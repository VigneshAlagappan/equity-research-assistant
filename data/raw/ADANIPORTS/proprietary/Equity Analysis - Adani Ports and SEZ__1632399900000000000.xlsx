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L171" i="18" l="1"/>
  <c r="M171" i="18"/>
  <c r="G47" i="18"/>
  <c r="G46" i="18"/>
  <c r="G45" i="18"/>
  <c r="M12" i="18"/>
  <c r="L12" i="18"/>
  <c r="F115" i="18" l="1"/>
  <c r="F180" i="18" l="1"/>
  <c r="E180" i="18"/>
  <c r="D180" i="18"/>
  <c r="C180" i="18"/>
  <c r="Q197" i="18" l="1"/>
  <c r="Q196" i="18"/>
  <c r="Q195" i="18"/>
  <c r="Q178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3" i="18" l="1"/>
  <c r="T192" i="18"/>
  <c r="T193" i="18" s="1"/>
  <c r="Q192" i="18"/>
  <c r="Q113" i="18"/>
  <c r="Q114" i="18" s="1"/>
  <c r="Q115" i="18"/>
  <c r="Q66" i="18"/>
  <c r="Q175" i="18" s="1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Q180" i="18" l="1"/>
  <c r="Q181" i="18" s="1"/>
  <c r="R52" i="18"/>
  <c r="R91" i="18"/>
  <c r="S44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20" i="18" l="1"/>
  <c r="G217" i="18"/>
  <c r="K214" i="18"/>
  <c r="Y38" i="18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R141" i="18" s="1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Q191" i="18" l="1"/>
  <c r="P191" i="18"/>
  <c r="T191" i="18"/>
  <c r="T190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81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G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<sst xmlns="http://schemas.openxmlformats.org/spreadsheetml/2006/main" count="648" uniqueCount="456">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</sst>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73888"/>
        <c:axId val="110596864"/>
      </c:lineChart>
      <c:catAx>
        <c:axId val="1103738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0596864"/>
        <c:crosses val="autoZero"/>
        <c:auto val="1"/>
        <c:lblAlgn val="ctr"/>
        <c:lblOffset val="100"/>
        <c:noMultiLvlLbl val="0"/>
      </c:catAx>
      <c:valAx>
        <c:axId val="110596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37388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89" activePane="bottomRight" state="frozen"/>
      <selection pane="topRight" activeCell="C1" sqref="C1"/>
      <selection pane="bottomLeft" activeCell="A5" sqref="A5"/>
      <selection pane="bottomRight" activeCell="N203" sqref="N203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325</v>
      </c>
      <c r="H6" s="147">
        <v>389</v>
      </c>
      <c r="I6" s="147">
        <v>415</v>
      </c>
      <c r="J6" s="147">
        <v>386</v>
      </c>
      <c r="K6" s="147">
        <v>2216</v>
      </c>
      <c r="L6" s="147">
        <v>2526</v>
      </c>
      <c r="M6" s="147">
        <v>3060</v>
      </c>
      <c r="N6" s="147">
        <v>3786</v>
      </c>
      <c r="O6" s="147">
        <v>4411</v>
      </c>
      <c r="P6" s="147">
        <v>5992</v>
      </c>
      <c r="Q6" s="147">
        <v>8351</v>
      </c>
      <c r="R6" s="118">
        <f>((Q6/G6)^(1/($H$2-$H$1) ))-1</f>
        <v>0.43433491144005854</v>
      </c>
      <c r="S6" s="31">
        <f>$L$2</f>
        <v>0.2</v>
      </c>
      <c r="T6" s="154">
        <f>Q6*(1+$S6)</f>
        <v>10021.199999999999</v>
      </c>
      <c r="U6" s="154">
        <f>T6*(1+$S6)</f>
        <v>12025.439999999999</v>
      </c>
      <c r="V6" s="154">
        <f t="shared" ref="V6:AC6" si="0">U6*(1+$S6)</f>
        <v>14430.527999999998</v>
      </c>
      <c r="W6" s="154">
        <f t="shared" si="0"/>
        <v>17316.633599999997</v>
      </c>
      <c r="X6" s="154">
        <f t="shared" si="0"/>
        <v>20779.960319999995</v>
      </c>
      <c r="Y6" s="154">
        <f t="shared" si="0"/>
        <v>24935.952383999993</v>
      </c>
      <c r="Z6" s="154">
        <f t="shared" si="0"/>
        <v>29923.142860799991</v>
      </c>
      <c r="AA6" s="154">
        <f t="shared" si="0"/>
        <v>35907.771432959991</v>
      </c>
      <c r="AB6" s="154">
        <f t="shared" si="0"/>
        <v>43089.325719551991</v>
      </c>
      <c r="AC6" s="154">
        <f t="shared" si="0"/>
        <v>51707.190863462391</v>
      </c>
      <c r="AD6" s="138">
        <f>((AC6/G6)^(1/($AC$3-$H$1) ))-1</f>
        <v>0.28849690338758061</v>
      </c>
      <c r="AE6" s="31">
        <f>$L$1</f>
        <v>0.05</v>
      </c>
      <c r="AF6" s="146">
        <f t="shared" ref="AF6:AF44" si="1">(AC6*(1+AE6))/($C$1-AE6)</f>
        <v>775607.86295193597</v>
      </c>
    </row>
    <row r="7" spans="2:32" x14ac:dyDescent="0.2">
      <c r="B7" s="20" t="s">
        <v>240</v>
      </c>
      <c r="C7" s="141"/>
      <c r="D7" s="141"/>
      <c r="E7" s="147"/>
      <c r="F7" s="147"/>
      <c r="G7" s="147">
        <v>469</v>
      </c>
      <c r="H7" s="147">
        <v>572</v>
      </c>
      <c r="I7" s="147">
        <v>598</v>
      </c>
      <c r="J7" s="147">
        <v>750</v>
      </c>
      <c r="K7" s="147">
        <v>2621</v>
      </c>
      <c r="L7" s="147">
        <v>2930</v>
      </c>
      <c r="M7" s="147">
        <v>3463</v>
      </c>
      <c r="N7" s="147">
        <v>4189</v>
      </c>
      <c r="O7" s="147">
        <v>4815</v>
      </c>
      <c r="P7" s="147">
        <v>6396</v>
      </c>
      <c r="Q7" s="147">
        <v>8768</v>
      </c>
      <c r="R7" s="118">
        <f>((Q7/G7)^(1/($H$2-$H$1) ))-1</f>
        <v>0.38453225431559046</v>
      </c>
      <c r="S7" s="31">
        <f>$L$2</f>
        <v>0.2</v>
      </c>
      <c r="T7" s="154">
        <f t="shared" ref="T7:T44" si="2">Q7*(1+$S7)</f>
        <v>10521.6</v>
      </c>
      <c r="U7" s="154">
        <f t="shared" ref="U7:AC7" si="3">T7*(1+$S7)</f>
        <v>12625.92</v>
      </c>
      <c r="V7" s="154">
        <f t="shared" si="3"/>
        <v>15151.103999999999</v>
      </c>
      <c r="W7" s="154">
        <f t="shared" si="3"/>
        <v>18181.324799999999</v>
      </c>
      <c r="X7" s="154">
        <f t="shared" si="3"/>
        <v>21817.589759999999</v>
      </c>
      <c r="Y7" s="154">
        <f t="shared" si="3"/>
        <v>26181.107711999997</v>
      </c>
      <c r="Z7" s="154">
        <f t="shared" si="3"/>
        <v>31417.329254399996</v>
      </c>
      <c r="AA7" s="154">
        <f t="shared" si="3"/>
        <v>37700.795105279991</v>
      </c>
      <c r="AB7" s="154">
        <f t="shared" si="3"/>
        <v>45240.954126335986</v>
      </c>
      <c r="AC7" s="154">
        <f t="shared" si="3"/>
        <v>54289.144951603179</v>
      </c>
      <c r="AD7" s="138">
        <f>((AC7/G7)^(1/($AC$3-$H$1) ))-1</f>
        <v>0.26816863545601155</v>
      </c>
      <c r="AE7" s="31">
        <f>$L$1</f>
        <v>0.05</v>
      </c>
      <c r="AF7" s="146">
        <f t="shared" si="1"/>
        <v>814337.17427404784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0.18006993006993008</v>
      </c>
      <c r="I8" s="151">
        <f t="shared" ref="I8:Q8" si="4">(I7-H7)/I7</f>
        <v>4.3478260869565216E-2</v>
      </c>
      <c r="J8" s="151">
        <f t="shared" si="4"/>
        <v>0.20266666666666666</v>
      </c>
      <c r="K8" s="151">
        <f t="shared" si="4"/>
        <v>0.71384967569629909</v>
      </c>
      <c r="L8" s="151">
        <f t="shared" si="4"/>
        <v>0.10546075085324232</v>
      </c>
      <c r="M8" s="151">
        <f t="shared" si="4"/>
        <v>0.15391279237655212</v>
      </c>
      <c r="N8" s="151">
        <f t="shared" si="4"/>
        <v>0.17331105275722131</v>
      </c>
      <c r="O8" s="151">
        <f t="shared" si="4"/>
        <v>0.1300103842159917</v>
      </c>
      <c r="P8" s="151">
        <f t="shared" si="4"/>
        <v>0.24718574108818012</v>
      </c>
      <c r="Q8" s="151">
        <f t="shared" si="4"/>
        <v>0.27052919708029199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538</v>
      </c>
      <c r="H9" s="147">
        <v>587</v>
      </c>
      <c r="I9" s="147">
        <v>702</v>
      </c>
      <c r="J9" s="147">
        <v>255</v>
      </c>
      <c r="K9" s="147">
        <v>472</v>
      </c>
      <c r="L9" s="147">
        <v>585</v>
      </c>
      <c r="M9" s="147">
        <v>775</v>
      </c>
      <c r="N9" s="147">
        <v>1535</v>
      </c>
      <c r="O9" s="147">
        <v>4117</v>
      </c>
      <c r="P9" s="147">
        <v>3454</v>
      </c>
      <c r="Q9" s="147">
        <v>3377</v>
      </c>
      <c r="R9" s="118">
        <f>((Q9/G9)^(1/($H$2-$H$1) ))-1</f>
        <v>0.22641867181567799</v>
      </c>
      <c r="S9" s="31">
        <f t="shared" ref="S9:S40" si="5">$L$2</f>
        <v>0.2</v>
      </c>
      <c r="T9" s="154">
        <f t="shared" si="2"/>
        <v>4052.3999999999996</v>
      </c>
      <c r="U9" s="154">
        <f t="shared" ref="U9" si="6">T9*(1+$S9)</f>
        <v>4862.8799999999992</v>
      </c>
      <c r="V9" s="154">
        <f t="shared" ref="V9" si="7">U9*(1+$S9)</f>
        <v>5835.4559999999992</v>
      </c>
      <c r="W9" s="154">
        <f t="shared" ref="W9" si="8">V9*(1+$S9)</f>
        <v>7002.5471999999991</v>
      </c>
      <c r="X9" s="154">
        <f t="shared" ref="X9" si="9">W9*(1+$S9)</f>
        <v>8403.0566399999989</v>
      </c>
      <c r="Y9" s="154">
        <f t="shared" ref="Y9" si="10">X9*(1+$S9)</f>
        <v>10083.667967999998</v>
      </c>
      <c r="Z9" s="154">
        <f t="shared" ref="Z9" si="11">Y9*(1+$S9)</f>
        <v>12100.401561599998</v>
      </c>
      <c r="AA9" s="154">
        <f t="shared" ref="AA9" si="12">Z9*(1+$S9)</f>
        <v>14520.481873919996</v>
      </c>
      <c r="AB9" s="154">
        <f t="shared" ref="AB9" si="13">AA9*(1+$S9)</f>
        <v>17424.578248703994</v>
      </c>
      <c r="AC9" s="154">
        <f t="shared" ref="AC9" si="14">AB9*(1+$S9)</f>
        <v>20909.493898444791</v>
      </c>
      <c r="AD9" s="138">
        <f>((AC9/G9)^(1/($AC$3-$H$1) ))-1</f>
        <v>0.20082041385883653</v>
      </c>
      <c r="AE9" s="31">
        <f t="shared" ref="AE9:AE81" si="15">$L$1</f>
        <v>0.05</v>
      </c>
      <c r="AF9" s="146">
        <f t="shared" si="1"/>
        <v>313642.4084766719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285</v>
      </c>
      <c r="H10" s="147">
        <v>624</v>
      </c>
      <c r="I10" s="147">
        <v>962</v>
      </c>
      <c r="J10" s="147">
        <v>1998</v>
      </c>
      <c r="K10" s="147">
        <v>2724</v>
      </c>
      <c r="L10" s="147">
        <v>3546</v>
      </c>
      <c r="M10" s="147">
        <v>4335</v>
      </c>
      <c r="N10" s="147">
        <v>3592</v>
      </c>
      <c r="O10" s="147">
        <v>16451</v>
      </c>
      <c r="P10" s="147">
        <v>10662</v>
      </c>
      <c r="Q10" s="147">
        <v>11693</v>
      </c>
      <c r="R10" s="118">
        <f>((Q10/G10)^(1/($H$2-$H$1) ))-1</f>
        <v>0.51088438291446758</v>
      </c>
      <c r="S10" s="31">
        <f t="shared" si="5"/>
        <v>0.2</v>
      </c>
      <c r="T10" s="154">
        <f t="shared" si="2"/>
        <v>14031.6</v>
      </c>
      <c r="U10" s="154">
        <f t="shared" ref="U10:AC10" si="16">T10*(1+$S10)</f>
        <v>16837.919999999998</v>
      </c>
      <c r="V10" s="154">
        <f t="shared" si="16"/>
        <v>20205.503999999997</v>
      </c>
      <c r="W10" s="154">
        <f t="shared" si="16"/>
        <v>24246.604799999997</v>
      </c>
      <c r="X10" s="154">
        <f t="shared" si="16"/>
        <v>29095.925759999995</v>
      </c>
      <c r="Y10" s="154">
        <f t="shared" si="16"/>
        <v>34915.110911999989</v>
      </c>
      <c r="Z10" s="154">
        <f t="shared" si="16"/>
        <v>41898.133094399986</v>
      </c>
      <c r="AA10" s="154">
        <f t="shared" si="16"/>
        <v>50277.759713279978</v>
      </c>
      <c r="AB10" s="154">
        <f t="shared" si="16"/>
        <v>60333.31165593597</v>
      </c>
      <c r="AC10" s="154">
        <f t="shared" si="16"/>
        <v>72399.973987123158</v>
      </c>
      <c r="AD10" s="138">
        <f t="shared" ref="AD10:AD42" si="17">((AC10/G10)^(1/($AC$3-$H$1) ))-1</f>
        <v>0.31899964150294902</v>
      </c>
      <c r="AE10" s="31">
        <f t="shared" si="15"/>
        <v>0.05</v>
      </c>
      <c r="AF10" s="146">
        <f t="shared" si="1"/>
        <v>1085999.6098068475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0.54326923076923073</v>
      </c>
      <c r="I11" s="148">
        <f t="shared" si="18"/>
        <v>0.35135135135135137</v>
      </c>
      <c r="J11" s="148">
        <f t="shared" si="18"/>
        <v>0.51851851851851849</v>
      </c>
      <c r="K11" s="148">
        <f t="shared" si="18"/>
        <v>0.26651982378854627</v>
      </c>
      <c r="L11" s="148">
        <f t="shared" si="18"/>
        <v>0.23181049069373943</v>
      </c>
      <c r="M11" s="148">
        <f t="shared" si="18"/>
        <v>0.18200692041522493</v>
      </c>
      <c r="N11" s="148">
        <f t="shared" si="18"/>
        <v>-0.20684855233853006</v>
      </c>
      <c r="O11" s="148">
        <f t="shared" si="18"/>
        <v>0.78165461066196584</v>
      </c>
      <c r="P11" s="148">
        <f t="shared" si="18"/>
        <v>-0.54295629337835305</v>
      </c>
      <c r="Q11" s="148">
        <f t="shared" si="18"/>
        <v>8.8172410844094759E-2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4</v>
      </c>
      <c r="H12" s="147">
        <v>30</v>
      </c>
      <c r="I12" s="147">
        <v>96</v>
      </c>
      <c r="J12" s="147">
        <v>61</v>
      </c>
      <c r="K12" s="147">
        <v>896</v>
      </c>
      <c r="L12" s="147">
        <f>1128+166</f>
        <v>1294</v>
      </c>
      <c r="M12" s="147">
        <f>859+140</f>
        <v>999</v>
      </c>
      <c r="N12" s="147">
        <v>252</v>
      </c>
      <c r="O12" s="147">
        <v>1118</v>
      </c>
      <c r="P12" s="147">
        <v>830</v>
      </c>
      <c r="Q12" s="147">
        <v>514</v>
      </c>
      <c r="R12" s="118">
        <f>((Q12/G12)^(1/($H$2-$H$1) ))-1</f>
        <v>0.71523081237467201</v>
      </c>
      <c r="S12" s="31">
        <f t="shared" si="5"/>
        <v>0.2</v>
      </c>
      <c r="T12" s="154">
        <f t="shared" si="2"/>
        <v>616.79999999999995</v>
      </c>
      <c r="U12" s="154">
        <f t="shared" ref="U12:AC12" si="19">T12*(1+$S12)</f>
        <v>740.16</v>
      </c>
      <c r="V12" s="154">
        <f t="shared" si="19"/>
        <v>888.19199999999989</v>
      </c>
      <c r="W12" s="154">
        <f t="shared" si="19"/>
        <v>1065.8303999999998</v>
      </c>
      <c r="X12" s="154">
        <f t="shared" si="19"/>
        <v>1278.9964799999998</v>
      </c>
      <c r="Y12" s="154">
        <f t="shared" si="19"/>
        <v>1534.7957759999997</v>
      </c>
      <c r="Z12" s="154">
        <f t="shared" si="19"/>
        <v>1841.7549311999996</v>
      </c>
      <c r="AA12" s="154">
        <f t="shared" si="19"/>
        <v>2210.1059174399993</v>
      </c>
      <c r="AB12" s="154">
        <f t="shared" si="19"/>
        <v>2652.127100927999</v>
      </c>
      <c r="AC12" s="154">
        <f t="shared" si="19"/>
        <v>3182.5525211135987</v>
      </c>
      <c r="AD12" s="138">
        <f t="shared" si="17"/>
        <v>0.39648340578326091</v>
      </c>
      <c r="AE12" s="31">
        <f t="shared" si="15"/>
        <v>0.05</v>
      </c>
      <c r="AF12" s="146">
        <f t="shared" si="1"/>
        <v>47738.287816703989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206</v>
      </c>
      <c r="H13" s="147">
        <v>32</v>
      </c>
      <c r="I13" s="147">
        <v>122</v>
      </c>
      <c r="J13" s="147">
        <v>77</v>
      </c>
      <c r="K13" s="147">
        <v>888</v>
      </c>
      <c r="L13" s="147">
        <v>207</v>
      </c>
      <c r="M13" s="147">
        <v>222</v>
      </c>
      <c r="N13" s="147">
        <v>67</v>
      </c>
      <c r="O13" s="147">
        <v>69</v>
      </c>
      <c r="P13" s="147">
        <v>222</v>
      </c>
      <c r="Q13" s="147">
        <v>63</v>
      </c>
      <c r="R13" s="118">
        <f>((Q13/G13)^(1/($H$2-$H$1) ))-1</f>
        <v>-0.12334165773982098</v>
      </c>
      <c r="S13" s="31">
        <f t="shared" si="5"/>
        <v>0.2</v>
      </c>
      <c r="T13" s="154">
        <f t="shared" si="2"/>
        <v>75.599999999999994</v>
      </c>
      <c r="U13" s="154">
        <f t="shared" ref="U13:AC13" si="20">T13*(1+$S13)</f>
        <v>90.719999999999985</v>
      </c>
      <c r="V13" s="154">
        <f t="shared" si="20"/>
        <v>108.86399999999998</v>
      </c>
      <c r="W13" s="154">
        <f t="shared" si="20"/>
        <v>130.63679999999997</v>
      </c>
      <c r="X13" s="154">
        <f t="shared" si="20"/>
        <v>156.76415999999995</v>
      </c>
      <c r="Y13" s="154">
        <f t="shared" si="20"/>
        <v>188.11699199999993</v>
      </c>
      <c r="Z13" s="154">
        <f t="shared" si="20"/>
        <v>225.74039039999991</v>
      </c>
      <c r="AA13" s="154">
        <f t="shared" si="20"/>
        <v>270.88846847999986</v>
      </c>
      <c r="AB13" s="154">
        <f t="shared" si="20"/>
        <v>325.06616217599981</v>
      </c>
      <c r="AC13" s="154">
        <f t="shared" si="20"/>
        <v>390.07939461119975</v>
      </c>
      <c r="AD13" s="138">
        <f t="shared" si="17"/>
        <v>3.2438733705580924E-2</v>
      </c>
      <c r="AE13" s="31">
        <f t="shared" si="15"/>
        <v>0.05</v>
      </c>
      <c r="AF13" s="146">
        <f t="shared" si="1"/>
        <v>5851.190919167997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0.16</v>
      </c>
      <c r="H14" s="147">
        <v>3</v>
      </c>
      <c r="I14" s="147">
        <v>4</v>
      </c>
      <c r="J14" s="147">
        <v>11</v>
      </c>
      <c r="K14" s="147">
        <v>19</v>
      </c>
      <c r="L14" s="147">
        <v>27</v>
      </c>
      <c r="M14" s="147">
        <v>32</v>
      </c>
      <c r="N14" s="147">
        <v>42</v>
      </c>
      <c r="O14" s="147">
        <v>69</v>
      </c>
      <c r="P14" s="147">
        <v>98</v>
      </c>
      <c r="Q14" s="147">
        <v>169</v>
      </c>
      <c r="R14" s="118">
        <f>((Q14/G14)^(1/($H$2-$H$1) ))-1</f>
        <v>1.1675747346698016</v>
      </c>
      <c r="S14" s="31">
        <f t="shared" si="5"/>
        <v>0.2</v>
      </c>
      <c r="T14" s="154">
        <f t="shared" si="2"/>
        <v>202.79999999999998</v>
      </c>
      <c r="U14" s="154">
        <f t="shared" ref="U14" si="21">T14*(1+$S14)</f>
        <v>243.35999999999996</v>
      </c>
      <c r="V14" s="154">
        <f t="shared" ref="V14" si="22">U14*(1+$S14)</f>
        <v>292.03199999999993</v>
      </c>
      <c r="W14" s="154">
        <f t="shared" ref="W14" si="23">V14*(1+$S14)</f>
        <v>350.43839999999989</v>
      </c>
      <c r="X14" s="154">
        <f t="shared" ref="X14" si="24">W14*(1+$S14)</f>
        <v>420.52607999999987</v>
      </c>
      <c r="Y14" s="154">
        <f t="shared" ref="Y14" si="25">X14*(1+$S14)</f>
        <v>504.63129599999979</v>
      </c>
      <c r="Z14" s="154">
        <f t="shared" ref="Z14" si="26">Y14*(1+$S14)</f>
        <v>605.55755519999968</v>
      </c>
      <c r="AA14" s="154">
        <f t="shared" ref="AA14" si="27">Z14*(1+$S14)</f>
        <v>726.66906623999955</v>
      </c>
      <c r="AB14" s="154">
        <f t="shared" ref="AB14" si="28">AA14*(1+$S14)</f>
        <v>872.00287948799939</v>
      </c>
      <c r="AC14" s="154">
        <f t="shared" ref="AC14" si="29">AB14*(1+$S14)</f>
        <v>1046.4034553855993</v>
      </c>
      <c r="AD14" s="138">
        <f t="shared" ref="AD14" si="30">((AC14/G14)^(1/($AC$3-$H$1) ))-1</f>
        <v>0.5515970996695565</v>
      </c>
      <c r="AE14" s="31">
        <f t="shared" si="15"/>
        <v>0.05</v>
      </c>
      <c r="AF14" s="146">
        <f t="shared" ref="AF14" si="31">(AC14*(1+AE14))/($C$1-AE14)</f>
        <v>15696.05183078399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4</v>
      </c>
      <c r="H15" s="147">
        <v>55</v>
      </c>
      <c r="I15" s="147">
        <v>96</v>
      </c>
      <c r="J15" s="147">
        <v>342</v>
      </c>
      <c r="K15" s="147">
        <v>414</v>
      </c>
      <c r="L15" s="147">
        <v>422</v>
      </c>
      <c r="M15" s="147">
        <v>348</v>
      </c>
      <c r="N15" s="147">
        <v>578</v>
      </c>
      <c r="O15" s="147">
        <v>1489</v>
      </c>
      <c r="P15" s="147">
        <v>1656</v>
      </c>
      <c r="Q15" s="147">
        <v>2110</v>
      </c>
      <c r="R15" s="118">
        <f>((Q15/G15)^(1/($H$2-$H$1) ))-1</f>
        <v>1.0066386023980773</v>
      </c>
      <c r="S15" s="31">
        <f t="shared" si="5"/>
        <v>0.2</v>
      </c>
      <c r="T15" s="154">
        <f t="shared" si="2"/>
        <v>2532</v>
      </c>
      <c r="U15" s="154">
        <f t="shared" ref="U15:AC15" si="32">T15*(1+$S15)</f>
        <v>3038.4</v>
      </c>
      <c r="V15" s="154">
        <f t="shared" si="32"/>
        <v>3646.08</v>
      </c>
      <c r="W15" s="154">
        <f t="shared" si="32"/>
        <v>4375.2959999999994</v>
      </c>
      <c r="X15" s="154">
        <f t="shared" si="32"/>
        <v>5250.3551999999991</v>
      </c>
      <c r="Y15" s="154">
        <f t="shared" si="32"/>
        <v>6300.4262399999989</v>
      </c>
      <c r="Z15" s="154">
        <f t="shared" si="32"/>
        <v>7560.5114879999983</v>
      </c>
      <c r="AA15" s="154">
        <f t="shared" si="32"/>
        <v>9072.6137855999968</v>
      </c>
      <c r="AB15" s="154">
        <f t="shared" si="32"/>
        <v>10887.136542719996</v>
      </c>
      <c r="AC15" s="154">
        <f t="shared" si="32"/>
        <v>13064.563851263994</v>
      </c>
      <c r="AD15" s="138">
        <f t="shared" si="17"/>
        <v>0.49865527345813088</v>
      </c>
      <c r="AE15" s="31">
        <f t="shared" si="15"/>
        <v>0.05</v>
      </c>
      <c r="AF15" s="146">
        <f t="shared" si="1"/>
        <v>195968.45776895992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-357</v>
      </c>
      <c r="H16" s="147">
        <v>-410</v>
      </c>
      <c r="I16" s="147">
        <v>-459</v>
      </c>
      <c r="J16" s="147">
        <v>264</v>
      </c>
      <c r="K16" s="147">
        <v>792</v>
      </c>
      <c r="L16" s="147">
        <v>1097</v>
      </c>
      <c r="M16" s="147">
        <v>888</v>
      </c>
      <c r="N16" s="147">
        <v>-694</v>
      </c>
      <c r="O16" s="147">
        <v>-734</v>
      </c>
      <c r="P16" s="147">
        <v>2645</v>
      </c>
      <c r="Q16" s="147">
        <v>5354</v>
      </c>
      <c r="R16" s="118">
        <f>((Q16/G16)^(1/($H$2-$H$1) ))-1</f>
        <v>-2.351038715936284</v>
      </c>
      <c r="S16" s="31">
        <f t="shared" si="5"/>
        <v>0.2</v>
      </c>
      <c r="T16" s="154">
        <f t="shared" si="2"/>
        <v>6424.8</v>
      </c>
      <c r="U16" s="154">
        <f t="shared" ref="U16:AC16" si="33">T16*(1+$S16)</f>
        <v>7709.76</v>
      </c>
      <c r="V16" s="154">
        <f t="shared" si="33"/>
        <v>9251.7119999999995</v>
      </c>
      <c r="W16" s="154">
        <f t="shared" si="33"/>
        <v>11102.054399999999</v>
      </c>
      <c r="X16" s="154">
        <f t="shared" si="33"/>
        <v>13322.465279999999</v>
      </c>
      <c r="Y16" s="154">
        <f t="shared" si="33"/>
        <v>15986.958335999998</v>
      </c>
      <c r="Z16" s="154">
        <f t="shared" si="33"/>
        <v>19184.350003199997</v>
      </c>
      <c r="AA16" s="154">
        <f t="shared" si="33"/>
        <v>23021.220003839997</v>
      </c>
      <c r="AB16" s="154">
        <f t="shared" si="33"/>
        <v>27625.464004607995</v>
      </c>
      <c r="AC16" s="154">
        <f t="shared" si="33"/>
        <v>33150.556805529595</v>
      </c>
      <c r="AD16" s="138" t="e">
        <f t="shared" si="17"/>
        <v>#NUM!</v>
      </c>
      <c r="AE16" s="31">
        <f t="shared" si="15"/>
        <v>0.05</v>
      </c>
      <c r="AF16" s="146">
        <f t="shared" si="1"/>
        <v>497258.35208294401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694</v>
      </c>
      <c r="H18" s="147">
        <v>1127</v>
      </c>
      <c r="I18" s="147">
        <v>1484</v>
      </c>
      <c r="J18" s="147">
        <v>1984</v>
      </c>
      <c r="K18" s="147">
        <v>2973</v>
      </c>
      <c r="L18" s="147">
        <v>3559</v>
      </c>
      <c r="M18" s="147">
        <v>4852</v>
      </c>
      <c r="N18" s="147">
        <v>6391</v>
      </c>
      <c r="O18" s="147">
        <v>18427</v>
      </c>
      <c r="P18" s="147">
        <v>11382</v>
      </c>
      <c r="Q18" s="147">
        <v>13162</v>
      </c>
      <c r="R18" s="118">
        <f>((Q18/G18)^(1/($H$2-$H$1) ))-1</f>
        <v>0.38674249445633668</v>
      </c>
      <c r="S18" s="31">
        <f t="shared" si="5"/>
        <v>0.2</v>
      </c>
      <c r="T18" s="154">
        <f t="shared" si="2"/>
        <v>15794.4</v>
      </c>
      <c r="U18" s="154">
        <f t="shared" ref="U18:U34" si="34">T18*(1+$S18)</f>
        <v>18953.28</v>
      </c>
      <c r="V18" s="154">
        <f t="shared" ref="V18:V34" si="35">U18*(1+$S18)</f>
        <v>22743.935999999998</v>
      </c>
      <c r="W18" s="154">
        <f t="shared" ref="W18:W34" si="36">V18*(1+$S18)</f>
        <v>27292.723199999997</v>
      </c>
      <c r="X18" s="154">
        <f t="shared" ref="X18:X36" si="37">W18*(1+$S18)</f>
        <v>32751.267839999993</v>
      </c>
      <c r="Y18" s="154">
        <f t="shared" ref="Y18:Y36" si="38">X18*(1+$S18)</f>
        <v>39301.521407999993</v>
      </c>
      <c r="Z18" s="154">
        <f t="shared" ref="Z18:Z36" si="39">Y18*(1+$S18)</f>
        <v>47161.825689599988</v>
      </c>
      <c r="AA18" s="154">
        <f t="shared" ref="AA18:AA36" si="40">Z18*(1+$S18)</f>
        <v>56594.190827519982</v>
      </c>
      <c r="AB18" s="154">
        <f t="shared" ref="AB18:AB36" si="41">AA18*(1+$S18)</f>
        <v>67913.028993023981</v>
      </c>
      <c r="AC18" s="154">
        <f t="shared" ref="AC18:AC36" si="42">AB18*(1+$S18)</f>
        <v>81495.634791628778</v>
      </c>
      <c r="AD18" s="138">
        <f t="shared" si="17"/>
        <v>0.26907925163906099</v>
      </c>
      <c r="AE18" s="31">
        <f t="shared" si="15"/>
        <v>0.05</v>
      </c>
      <c r="AF18" s="146">
        <f t="shared" si="1"/>
        <v>1222434.521874432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300</v>
      </c>
      <c r="H20" s="147">
        <v>203</v>
      </c>
      <c r="I20" s="147">
        <v>201</v>
      </c>
      <c r="J20" s="147">
        <v>448</v>
      </c>
      <c r="K20" s="147">
        <v>520</v>
      </c>
      <c r="L20" s="147">
        <v>695</v>
      </c>
      <c r="M20" s="147">
        <v>1035</v>
      </c>
      <c r="N20" s="147">
        <v>1258</v>
      </c>
      <c r="O20" s="147">
        <v>1287</v>
      </c>
      <c r="P20" s="147">
        <v>1369</v>
      </c>
      <c r="Q20" s="147">
        <v>1601</v>
      </c>
      <c r="R20" s="118">
        <f>((Q20/G20)^(1/($H$2-$H$1) ))-1</f>
        <v>0.20450272360314359</v>
      </c>
      <c r="S20" s="31">
        <f t="shared" si="5"/>
        <v>0.2</v>
      </c>
      <c r="T20" s="154">
        <f t="shared" si="2"/>
        <v>1921.1999999999998</v>
      </c>
      <c r="U20" s="154">
        <f t="shared" ref="U20:U22" si="43">T20*(1+$S20)</f>
        <v>2305.4399999999996</v>
      </c>
      <c r="V20" s="154">
        <f t="shared" ref="V20:V22" si="44">U20*(1+$S20)</f>
        <v>2766.5279999999993</v>
      </c>
      <c r="W20" s="154">
        <f t="shared" ref="W20:W22" si="45">V20*(1+$S20)</f>
        <v>3319.833599999999</v>
      </c>
      <c r="X20" s="154">
        <f t="shared" ref="X20:X22" si="46">W20*(1+$S20)</f>
        <v>3983.8003199999985</v>
      </c>
      <c r="Y20" s="154">
        <f t="shared" ref="Y20:Y22" si="47">X20*(1+$S20)</f>
        <v>4780.5603839999976</v>
      </c>
      <c r="Z20" s="154">
        <f t="shared" ref="Z20:Z22" si="48">Y20*(1+$S20)</f>
        <v>5736.6724607999968</v>
      </c>
      <c r="AA20" s="154">
        <f t="shared" ref="AA20:AA22" si="49">Z20*(1+$S20)</f>
        <v>6884.0069529599959</v>
      </c>
      <c r="AB20" s="154">
        <f t="shared" ref="AB20:AB22" si="50">AA20*(1+$S20)</f>
        <v>8260.8083435519948</v>
      </c>
      <c r="AC20" s="154">
        <f t="shared" ref="AC20:AC22" si="51">AB20*(1+$S20)</f>
        <v>9912.9700122623926</v>
      </c>
      <c r="AD20" s="138">
        <f t="shared" ref="AD20:AD22" si="52">((AC20/G20)^(1/($AC$3-$H$1) ))-1</f>
        <v>0.19111618764649729</v>
      </c>
      <c r="AE20" s="31">
        <f t="shared" si="15"/>
        <v>0.05</v>
      </c>
      <c r="AF20" s="146">
        <f t="shared" si="1"/>
        <v>148694.55018393591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-324</v>
      </c>
      <c r="H21" s="147">
        <v>-340</v>
      </c>
      <c r="I21" s="147">
        <v>-417</v>
      </c>
      <c r="J21" s="147">
        <v>-664</v>
      </c>
      <c r="K21" s="147">
        <v>-1122</v>
      </c>
      <c r="L21" s="147">
        <v>-1112</v>
      </c>
      <c r="M21" s="147">
        <v>-1767</v>
      </c>
      <c r="N21" s="147">
        <v>-483</v>
      </c>
      <c r="O21" s="147">
        <v>-3819</v>
      </c>
      <c r="P21" s="147">
        <v>-2445</v>
      </c>
      <c r="Q21" s="147">
        <v>-2313</v>
      </c>
      <c r="R21" s="118">
        <f>((Q21/G21)^(1/($H$2-$H$1) ))-1</f>
        <v>0.24407867824319496</v>
      </c>
      <c r="S21" s="31">
        <f t="shared" si="5"/>
        <v>0.2</v>
      </c>
      <c r="T21" s="154">
        <f t="shared" si="2"/>
        <v>-2775.6</v>
      </c>
      <c r="U21" s="154">
        <f t="shared" si="43"/>
        <v>-3330.72</v>
      </c>
      <c r="V21" s="154">
        <f t="shared" si="44"/>
        <v>-3996.8639999999996</v>
      </c>
      <c r="W21" s="154">
        <f t="shared" si="45"/>
        <v>-4796.2367999999997</v>
      </c>
      <c r="X21" s="154">
        <f t="shared" si="46"/>
        <v>-5755.4841599999991</v>
      </c>
      <c r="Y21" s="154">
        <f t="shared" si="47"/>
        <v>-6906.5809919999983</v>
      </c>
      <c r="Z21" s="154">
        <f t="shared" si="48"/>
        <v>-8287.8971903999973</v>
      </c>
      <c r="AA21" s="154">
        <f t="shared" si="49"/>
        <v>-9945.4766284799971</v>
      </c>
      <c r="AB21" s="154">
        <f t="shared" si="50"/>
        <v>-11934.571954175995</v>
      </c>
      <c r="AC21" s="154">
        <f t="shared" si="51"/>
        <v>-14321.486345011193</v>
      </c>
      <c r="AD21" s="138">
        <f t="shared" si="52"/>
        <v>0.20857095862590946</v>
      </c>
      <c r="AE21" s="31">
        <f t="shared" si="15"/>
        <v>0.05</v>
      </c>
      <c r="AF21" s="146">
        <f t="shared" si="1"/>
        <v>-214822.29517516794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25</v>
      </c>
      <c r="H22" s="147">
        <v>156</v>
      </c>
      <c r="I22" s="147">
        <v>283</v>
      </c>
      <c r="J22" s="147">
        <v>174</v>
      </c>
      <c r="K22" s="147">
        <v>2204</v>
      </c>
      <c r="L22" s="147">
        <v>-52</v>
      </c>
      <c r="M22" s="147">
        <v>675</v>
      </c>
      <c r="N22" s="147">
        <v>-914</v>
      </c>
      <c r="O22" s="147">
        <v>2680</v>
      </c>
      <c r="P22" s="147">
        <v>1416</v>
      </c>
      <c r="Q22" s="147">
        <v>250</v>
      </c>
      <c r="R22" s="118">
        <f>((Q22/G22)^(1/($H$2-$H$1) ))-1</f>
        <v>0.29154966501488389</v>
      </c>
      <c r="S22" s="31">
        <f t="shared" si="5"/>
        <v>0.2</v>
      </c>
      <c r="T22" s="154">
        <f t="shared" si="2"/>
        <v>300</v>
      </c>
      <c r="U22" s="154">
        <f t="shared" si="43"/>
        <v>360</v>
      </c>
      <c r="V22" s="154">
        <f t="shared" si="44"/>
        <v>432</v>
      </c>
      <c r="W22" s="154">
        <f t="shared" si="45"/>
        <v>518.4</v>
      </c>
      <c r="X22" s="154">
        <f t="shared" si="46"/>
        <v>622.07999999999993</v>
      </c>
      <c r="Y22" s="154">
        <f t="shared" si="47"/>
        <v>746.49599999999987</v>
      </c>
      <c r="Z22" s="154">
        <f t="shared" si="48"/>
        <v>895.7951999999998</v>
      </c>
      <c r="AA22" s="154">
        <f t="shared" si="49"/>
        <v>1074.9542399999998</v>
      </c>
      <c r="AB22" s="154">
        <f t="shared" si="50"/>
        <v>1289.9450879999997</v>
      </c>
      <c r="AC22" s="154">
        <f t="shared" si="51"/>
        <v>1547.9341055999996</v>
      </c>
      <c r="AD22" s="138">
        <f t="shared" si="52"/>
        <v>0.22910963471652956</v>
      </c>
      <c r="AE22" s="31">
        <f t="shared" si="15"/>
        <v>0.05</v>
      </c>
      <c r="AF22" s="146">
        <f t="shared" si="1"/>
        <v>23219.011584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4</v>
      </c>
      <c r="H23" s="147">
        <v>31</v>
      </c>
      <c r="I23" s="147">
        <v>98</v>
      </c>
      <c r="J23" s="147">
        <v>57</v>
      </c>
      <c r="K23" s="147">
        <v>1634</v>
      </c>
      <c r="L23" s="147">
        <v>1165</v>
      </c>
      <c r="M23" s="147">
        <v>204</v>
      </c>
      <c r="N23" s="147">
        <v>64</v>
      </c>
      <c r="O23" s="147">
        <v>214</v>
      </c>
      <c r="P23" s="147">
        <v>555</v>
      </c>
      <c r="Q23" s="147">
        <v>92</v>
      </c>
      <c r="R23" s="118">
        <f>((Q23/G23)^(1/($H$2-$H$1) ))-1</f>
        <v>0.41678220330141147</v>
      </c>
      <c r="S23" s="31">
        <f t="shared" si="5"/>
        <v>0.2</v>
      </c>
      <c r="T23" s="154">
        <f t="shared" si="2"/>
        <v>110.39999999999999</v>
      </c>
      <c r="U23" s="154">
        <f t="shared" ref="U23" si="53">T23*(1+$S23)</f>
        <v>132.47999999999999</v>
      </c>
      <c r="V23" s="154">
        <f t="shared" ref="V23" si="54">U23*(1+$S23)</f>
        <v>158.97599999999997</v>
      </c>
      <c r="W23" s="154">
        <f t="shared" ref="W23" si="55">V23*(1+$S23)</f>
        <v>190.77119999999996</v>
      </c>
      <c r="X23" s="154">
        <f t="shared" ref="X23" si="56">W23*(1+$S23)</f>
        <v>228.92543999999995</v>
      </c>
      <c r="Y23" s="154">
        <f t="shared" ref="Y23" si="57">X23*(1+$S23)</f>
        <v>274.71052799999995</v>
      </c>
      <c r="Z23" s="154">
        <f t="shared" ref="Z23" si="58">Y23*(1+$S23)</f>
        <v>329.65263359999994</v>
      </c>
      <c r="AA23" s="154">
        <f t="shared" ref="AA23" si="59">Z23*(1+$S23)</f>
        <v>395.58316031999993</v>
      </c>
      <c r="AB23" s="154">
        <f t="shared" ref="AB23" si="60">AA23*(1+$S23)</f>
        <v>474.69979238399992</v>
      </c>
      <c r="AC23" s="154">
        <f t="shared" ref="AC23" si="61">AB23*(1+$S23)</f>
        <v>569.63975086079984</v>
      </c>
      <c r="AD23" s="138">
        <f t="shared" ref="AD23" si="62">((AC23/G23)^(1/($AC$3-$H$1) ))-1</f>
        <v>0.28137726684664721</v>
      </c>
      <c r="AE23" s="31">
        <f t="shared" si="15"/>
        <v>0.05</v>
      </c>
      <c r="AF23" s="146">
        <f t="shared" si="1"/>
        <v>8544.5962629119986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111</v>
      </c>
      <c r="H25" s="147">
        <v>277</v>
      </c>
      <c r="I25" s="147">
        <v>398</v>
      </c>
      <c r="J25" s="147">
        <v>587</v>
      </c>
      <c r="K25" s="147">
        <v>884</v>
      </c>
      <c r="L25" s="147">
        <v>1308</v>
      </c>
      <c r="M25" s="147">
        <v>1685</v>
      </c>
      <c r="N25" s="147">
        <v>2031</v>
      </c>
      <c r="O25" s="147">
        <v>2733</v>
      </c>
      <c r="P25" s="147">
        <v>3926</v>
      </c>
      <c r="Q25" s="147">
        <v>5507</v>
      </c>
      <c r="R25" s="118">
        <f>((Q25/G25)^(1/($H$2-$H$1) ))-1</f>
        <v>0.54311794585926498</v>
      </c>
      <c r="S25" s="31">
        <f t="shared" si="5"/>
        <v>0.2</v>
      </c>
      <c r="T25" s="154">
        <f t="shared" si="2"/>
        <v>6608.4</v>
      </c>
      <c r="U25" s="154">
        <f t="shared" si="34"/>
        <v>7930.079999999999</v>
      </c>
      <c r="V25" s="154">
        <f t="shared" si="35"/>
        <v>9516.0959999999977</v>
      </c>
      <c r="W25" s="154">
        <f t="shared" si="36"/>
        <v>11419.315199999997</v>
      </c>
      <c r="X25" s="154">
        <f t="shared" si="37"/>
        <v>13703.178239999996</v>
      </c>
      <c r="Y25" s="154">
        <f t="shared" si="38"/>
        <v>16443.813887999993</v>
      </c>
      <c r="Z25" s="154">
        <f t="shared" si="39"/>
        <v>19732.576665599991</v>
      </c>
      <c r="AA25" s="154">
        <f t="shared" si="40"/>
        <v>23679.091998719989</v>
      </c>
      <c r="AB25" s="154">
        <f t="shared" si="41"/>
        <v>28414.910398463984</v>
      </c>
      <c r="AC25" s="154">
        <f t="shared" si="42"/>
        <v>34097.892478156777</v>
      </c>
      <c r="AD25" s="138">
        <f t="shared" si="17"/>
        <v>0.33158908901517314</v>
      </c>
      <c r="AE25" s="31">
        <f t="shared" si="15"/>
        <v>0.05</v>
      </c>
      <c r="AF25" s="146">
        <f t="shared" si="1"/>
        <v>511468.38717235177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0.59927797833935015</v>
      </c>
      <c r="I26" s="148">
        <f t="shared" ref="I26" si="63">(I25-H25)/I25</f>
        <v>0.30402010050251255</v>
      </c>
      <c r="J26" s="148">
        <f t="shared" ref="J26" si="64">(J25-I25)/J25</f>
        <v>0.3219761499148211</v>
      </c>
      <c r="K26" s="148">
        <f t="shared" ref="K26" si="65">(K25-J25)/K25</f>
        <v>0.33597285067873306</v>
      </c>
      <c r="L26" s="148">
        <f t="shared" ref="L26" si="66">(L25-K25)/L25</f>
        <v>0.32415902140672781</v>
      </c>
      <c r="M26" s="148">
        <f t="shared" ref="M26" si="67">(M25-L25)/M25</f>
        <v>0.22373887240356083</v>
      </c>
      <c r="N26" s="148">
        <f t="shared" ref="N26" si="68">(N25-M25)/N25</f>
        <v>0.17035942885278188</v>
      </c>
      <c r="O26" s="148">
        <f t="shared" ref="O26" si="69">(O25-N25)/O25</f>
        <v>0.25686059275521406</v>
      </c>
      <c r="P26" s="148">
        <f t="shared" ref="P26:Q26" si="70">(P25-O25)/P25</f>
        <v>0.30387162506367804</v>
      </c>
      <c r="Q26" s="148">
        <f t="shared" si="70"/>
        <v>0.28708915925186129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38</v>
      </c>
      <c r="H27" s="147">
        <v>100</v>
      </c>
      <c r="I27" s="147">
        <v>155</v>
      </c>
      <c r="J27" s="147">
        <v>266</v>
      </c>
      <c r="K27" s="147">
        <v>280</v>
      </c>
      <c r="L27" s="147">
        <v>439</v>
      </c>
      <c r="M27" s="147">
        <v>529</v>
      </c>
      <c r="N27" s="147">
        <v>700</v>
      </c>
      <c r="O27" s="147">
        <v>950</v>
      </c>
      <c r="P27" s="147">
        <v>1200</v>
      </c>
      <c r="Q27" s="147">
        <v>1903</v>
      </c>
      <c r="R27" s="118">
        <f>((Q27/G27)^(1/($H$2-$H$1) ))-1</f>
        <v>0.54472287149991727</v>
      </c>
      <c r="S27" s="31">
        <f t="shared" si="5"/>
        <v>0.2</v>
      </c>
      <c r="T27" s="154">
        <f t="shared" si="2"/>
        <v>2283.6</v>
      </c>
      <c r="U27" s="154">
        <f t="shared" si="34"/>
        <v>2740.3199999999997</v>
      </c>
      <c r="V27" s="154">
        <f t="shared" si="35"/>
        <v>3288.3839999999996</v>
      </c>
      <c r="W27" s="154">
        <f t="shared" si="36"/>
        <v>3946.0607999999993</v>
      </c>
      <c r="X27" s="154">
        <f t="shared" si="37"/>
        <v>4735.2729599999993</v>
      </c>
      <c r="Y27" s="154">
        <f t="shared" si="38"/>
        <v>5682.3275519999988</v>
      </c>
      <c r="Z27" s="154">
        <f t="shared" si="39"/>
        <v>6818.7930623999982</v>
      </c>
      <c r="AA27" s="154">
        <f t="shared" si="40"/>
        <v>8182.5516748799973</v>
      </c>
      <c r="AB27" s="154">
        <f t="shared" si="41"/>
        <v>9819.0620098559957</v>
      </c>
      <c r="AC27" s="154">
        <f t="shared" si="42"/>
        <v>11782.874411827195</v>
      </c>
      <c r="AD27" s="138">
        <f t="shared" si="17"/>
        <v>0.33221212677674261</v>
      </c>
      <c r="AE27" s="31">
        <f t="shared" si="15"/>
        <v>0.05</v>
      </c>
      <c r="AF27" s="146">
        <f t="shared" si="1"/>
        <v>176743.11617740797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0.62</v>
      </c>
      <c r="I28" s="148">
        <f t="shared" si="71"/>
        <v>0.35483870967741937</v>
      </c>
      <c r="J28" s="148">
        <f t="shared" si="71"/>
        <v>0.41729323308270677</v>
      </c>
      <c r="K28" s="148">
        <f t="shared" si="71"/>
        <v>0.05</v>
      </c>
      <c r="L28" s="148">
        <f t="shared" si="71"/>
        <v>0.36218678815489752</v>
      </c>
      <c r="M28" s="148">
        <f t="shared" si="71"/>
        <v>0.17013232514177692</v>
      </c>
      <c r="N28" s="148">
        <f t="shared" ref="N28" si="72">(N27-M27)/N27</f>
        <v>0.24428571428571427</v>
      </c>
      <c r="O28" s="148">
        <f t="shared" ref="O28" si="73">(O27-N27)/O27</f>
        <v>0.26315789473684209</v>
      </c>
      <c r="P28" s="148">
        <f t="shared" ref="P28:Q28" si="74">(P27-O27)/P27</f>
        <v>0.20833333333333334</v>
      </c>
      <c r="Q28" s="148">
        <f t="shared" si="74"/>
        <v>0.36941671045717289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45</v>
      </c>
      <c r="H29" s="147">
        <v>36</v>
      </c>
      <c r="I29" s="147">
        <v>55</v>
      </c>
      <c r="J29" s="147">
        <v>68</v>
      </c>
      <c r="K29" s="147">
        <v>137</v>
      </c>
      <c r="L29" s="147">
        <v>215</v>
      </c>
      <c r="M29" s="147">
        <v>218</v>
      </c>
      <c r="N29" s="147">
        <v>88</v>
      </c>
      <c r="O29" s="147">
        <v>281</v>
      </c>
      <c r="P29" s="147">
        <v>542</v>
      </c>
      <c r="Q29" s="147">
        <v>977</v>
      </c>
      <c r="R29" s="118">
        <f>((Q29/G29)^(1/($H$2-$H$1) ))-1</f>
        <v>0.40773279363037873</v>
      </c>
      <c r="S29" s="31">
        <f t="shared" si="5"/>
        <v>0.2</v>
      </c>
      <c r="T29" s="154">
        <f t="shared" si="2"/>
        <v>1172.3999999999999</v>
      </c>
      <c r="U29" s="154">
        <f t="shared" ref="U29" si="75">T29*(1+$S29)</f>
        <v>1406.8799999999999</v>
      </c>
      <c r="V29" s="154">
        <f t="shared" ref="V29" si="76">U29*(1+$S29)</f>
        <v>1688.2559999999999</v>
      </c>
      <c r="W29" s="154">
        <f t="shared" ref="W29" si="77">V29*(1+$S29)</f>
        <v>2025.9071999999996</v>
      </c>
      <c r="X29" s="154">
        <f t="shared" ref="X29" si="78">W29*(1+$S29)</f>
        <v>2431.0886399999995</v>
      </c>
      <c r="Y29" s="154">
        <f t="shared" ref="Y29" si="79">X29*(1+$S29)</f>
        <v>2917.3063679999991</v>
      </c>
      <c r="Z29" s="154">
        <f t="shared" ref="Z29" si="80">Y29*(1+$S29)</f>
        <v>3500.767641599999</v>
      </c>
      <c r="AA29" s="154">
        <f t="shared" ref="AA29" si="81">Z29*(1+$S29)</f>
        <v>4200.9211699199986</v>
      </c>
      <c r="AB29" s="154">
        <f t="shared" ref="AB29" si="82">AA29*(1+$S29)</f>
        <v>5041.1054039039982</v>
      </c>
      <c r="AC29" s="154">
        <f t="shared" ref="AC29" si="83">AB29*(1+$S29)</f>
        <v>6049.3264846847978</v>
      </c>
      <c r="AD29" s="138">
        <f t="shared" ref="AD29" si="84">((AC29/G29)^(1/($AC$3-$H$1) ))-1</f>
        <v>0.27768773400530677</v>
      </c>
      <c r="AE29" s="31">
        <f t="shared" si="15"/>
        <v>0.05</v>
      </c>
      <c r="AF29" s="146">
        <f t="shared" ref="AF29" si="85">(AC29*(1+AE29))/($C$1-AE29)</f>
        <v>90739.897270271977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-0.25</v>
      </c>
      <c r="I30" s="148">
        <f t="shared" si="86"/>
        <v>0.34545454545454546</v>
      </c>
      <c r="J30" s="148">
        <f t="shared" si="86"/>
        <v>0.19117647058823528</v>
      </c>
      <c r="K30" s="148">
        <f t="shared" si="86"/>
        <v>0.5036496350364964</v>
      </c>
      <c r="L30" s="148">
        <f t="shared" si="86"/>
        <v>0.36279069767441863</v>
      </c>
      <c r="M30" s="148">
        <f t="shared" ref="M30" si="87">(M29-L29)/M29</f>
        <v>1.3761467889908258E-2</v>
      </c>
      <c r="N30" s="148">
        <f t="shared" ref="N30" si="88">(N29-M29)/N29</f>
        <v>-1.4772727272727273</v>
      </c>
      <c r="O30" s="148">
        <f t="shared" ref="O30" si="89">(O29-N29)/O29</f>
        <v>0.68683274021352314</v>
      </c>
      <c r="P30" s="148">
        <f t="shared" ref="P30:Q30" si="90">(P29-O29)/P29</f>
        <v>0.48154981549815495</v>
      </c>
      <c r="Q30" s="148">
        <f t="shared" si="90"/>
        <v>0.4452405322415558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1</v>
      </c>
      <c r="H33" s="147">
        <v>7</v>
      </c>
      <c r="I33" s="147">
        <v>13</v>
      </c>
      <c r="J33" s="147">
        <v>20</v>
      </c>
      <c r="K33" s="147">
        <v>22</v>
      </c>
      <c r="L33" s="147">
        <v>32</v>
      </c>
      <c r="M33" s="147">
        <v>46</v>
      </c>
      <c r="N33" s="147">
        <v>0</v>
      </c>
      <c r="O33" s="147">
        <v>128</v>
      </c>
      <c r="P33" s="147">
        <v>85</v>
      </c>
      <c r="Q33" s="147">
        <v>113</v>
      </c>
      <c r="R33" s="118">
        <f>((Q33/G33)^(1/($H$2-$H$1) ))-1</f>
        <v>0.69090740891103986</v>
      </c>
      <c r="S33" s="31">
        <f t="shared" si="5"/>
        <v>0.2</v>
      </c>
      <c r="T33" s="154">
        <f t="shared" si="2"/>
        <v>135.6</v>
      </c>
      <c r="U33" s="154">
        <f t="shared" si="34"/>
        <v>162.72</v>
      </c>
      <c r="V33" s="154">
        <f t="shared" si="35"/>
        <v>195.26399999999998</v>
      </c>
      <c r="W33" s="154">
        <f t="shared" si="36"/>
        <v>234.31679999999997</v>
      </c>
      <c r="X33" s="154">
        <f t="shared" si="37"/>
        <v>281.18015999999994</v>
      </c>
      <c r="Y33" s="154">
        <f t="shared" si="38"/>
        <v>337.41619199999991</v>
      </c>
      <c r="Z33" s="154">
        <f t="shared" si="39"/>
        <v>404.89943039999986</v>
      </c>
      <c r="AA33" s="154">
        <f t="shared" si="40"/>
        <v>485.87931647999983</v>
      </c>
      <c r="AB33" s="154">
        <f t="shared" si="41"/>
        <v>583.05517977599982</v>
      </c>
      <c r="AC33" s="154">
        <f t="shared" si="42"/>
        <v>699.66621573119971</v>
      </c>
      <c r="AD33" s="138">
        <f t="shared" si="17"/>
        <v>0.38753691172909521</v>
      </c>
      <c r="AE33" s="31">
        <f t="shared" si="15"/>
        <v>0.05</v>
      </c>
      <c r="AF33" s="146">
        <f t="shared" si="1"/>
        <v>10494.993235967997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3</v>
      </c>
      <c r="H34" s="147">
        <v>7</v>
      </c>
      <c r="I34" s="147">
        <v>11</v>
      </c>
      <c r="J34" s="147">
        <v>19</v>
      </c>
      <c r="K34" s="147">
        <v>34</v>
      </c>
      <c r="L34" s="147">
        <v>44</v>
      </c>
      <c r="M34" s="147">
        <v>60</v>
      </c>
      <c r="N34" s="147">
        <v>79</v>
      </c>
      <c r="O34" s="147">
        <v>110</v>
      </c>
      <c r="P34" s="147">
        <v>131</v>
      </c>
      <c r="Q34" s="147">
        <v>162</v>
      </c>
      <c r="R34" s="118">
        <f>((Q34/G34)^(1/($H$2-$H$1) ))-1</f>
        <v>0.55771569432376022</v>
      </c>
      <c r="S34" s="31">
        <f t="shared" si="5"/>
        <v>0.2</v>
      </c>
      <c r="T34" s="154">
        <f t="shared" si="2"/>
        <v>194.4</v>
      </c>
      <c r="U34" s="154">
        <f t="shared" si="34"/>
        <v>233.28</v>
      </c>
      <c r="V34" s="154">
        <f t="shared" si="35"/>
        <v>279.93599999999998</v>
      </c>
      <c r="W34" s="154">
        <f t="shared" si="36"/>
        <v>335.92319999999995</v>
      </c>
      <c r="X34" s="154">
        <f t="shared" si="37"/>
        <v>403.10783999999995</v>
      </c>
      <c r="Y34" s="154">
        <f t="shared" si="38"/>
        <v>483.72940799999992</v>
      </c>
      <c r="Z34" s="154">
        <f t="shared" si="39"/>
        <v>580.47528959999988</v>
      </c>
      <c r="AA34" s="154">
        <f t="shared" si="40"/>
        <v>696.57034751999981</v>
      </c>
      <c r="AB34" s="154">
        <f t="shared" si="41"/>
        <v>835.88441702399973</v>
      </c>
      <c r="AC34" s="154">
        <f t="shared" si="42"/>
        <v>1003.0613004287997</v>
      </c>
      <c r="AD34" s="138">
        <f t="shared" si="17"/>
        <v>0.33724293171096442</v>
      </c>
      <c r="AE34" s="31">
        <f t="shared" si="15"/>
        <v>0.05</v>
      </c>
      <c r="AF34" s="146">
        <f t="shared" si="1"/>
        <v>15045.919506431997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68</v>
      </c>
      <c r="H36" s="147">
        <v>172</v>
      </c>
      <c r="I36" s="147">
        <v>230</v>
      </c>
      <c r="J36" s="147">
        <v>317</v>
      </c>
      <c r="K36" s="147">
        <v>537</v>
      </c>
      <c r="L36" s="147">
        <v>758</v>
      </c>
      <c r="M36" s="147">
        <v>969</v>
      </c>
      <c r="N36" s="147">
        <v>1299</v>
      </c>
      <c r="O36" s="147">
        <v>1746</v>
      </c>
      <c r="P36" s="147">
        <v>2375</v>
      </c>
      <c r="Q36" s="147">
        <v>2920</v>
      </c>
      <c r="R36" s="118">
        <f>((Q36/G36)^(1/($H$2-$H$1) ))-1</f>
        <v>0.51855469069930593</v>
      </c>
      <c r="S36" s="31">
        <f t="shared" si="5"/>
        <v>0.2</v>
      </c>
      <c r="T36" s="154">
        <f t="shared" si="2"/>
        <v>3504</v>
      </c>
      <c r="U36" s="154">
        <f t="shared" ref="U36" si="94">T36*(1+$S36)</f>
        <v>4204.8</v>
      </c>
      <c r="V36" s="154">
        <f t="shared" ref="V36" si="95">U36*(1+$S36)</f>
        <v>5045.76</v>
      </c>
      <c r="W36" s="154">
        <f t="shared" ref="W36" si="96">V36*(1+$S36)</f>
        <v>6054.9120000000003</v>
      </c>
      <c r="X36" s="154">
        <f t="shared" si="37"/>
        <v>7265.8944000000001</v>
      </c>
      <c r="Y36" s="154">
        <f t="shared" si="38"/>
        <v>8719.0732800000005</v>
      </c>
      <c r="Z36" s="154">
        <f t="shared" si="39"/>
        <v>10462.887936000001</v>
      </c>
      <c r="AA36" s="154">
        <f t="shared" si="40"/>
        <v>12555.4655232</v>
      </c>
      <c r="AB36" s="154">
        <f t="shared" si="41"/>
        <v>15066.558627840001</v>
      </c>
      <c r="AC36" s="154">
        <f t="shared" si="42"/>
        <v>18079.870353408001</v>
      </c>
      <c r="AD36" s="138">
        <f t="shared" si="17"/>
        <v>0.32200872056447394</v>
      </c>
      <c r="AE36" s="31">
        <f t="shared" si="15"/>
        <v>0.05</v>
      </c>
      <c r="AF36" s="146">
        <f t="shared" si="1"/>
        <v>271198.0553011201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0.60465116279069764</v>
      </c>
      <c r="I37" s="148">
        <f t="shared" ref="I37" si="99">(I36-H36)/I36</f>
        <v>0.25217391304347825</v>
      </c>
      <c r="J37" s="148">
        <f t="shared" ref="J37" si="100">(J36-I36)/J36</f>
        <v>0.27444794952681389</v>
      </c>
      <c r="K37" s="148">
        <f t="shared" ref="K37" si="101">(K36-J36)/K36</f>
        <v>0.40968342644320299</v>
      </c>
      <c r="L37" s="148">
        <f t="shared" ref="L37" si="102">(L36-K36)/L36</f>
        <v>0.29155672823218998</v>
      </c>
      <c r="M37" s="148">
        <f t="shared" ref="M37" si="103">(M36-L36)/M36</f>
        <v>0.21775025799793601</v>
      </c>
      <c r="N37" s="148">
        <f t="shared" ref="N37" si="104">(N36-M36)/N36</f>
        <v>0.2540415704387991</v>
      </c>
      <c r="O37" s="148">
        <f t="shared" ref="O37" si="105">(O36-N36)/O36</f>
        <v>0.25601374570446733</v>
      </c>
      <c r="P37" s="148">
        <f t="shared" ref="P37:Q37" si="106">(P36-O36)/P36</f>
        <v>0.26484210526315788</v>
      </c>
      <c r="Q37" s="148">
        <f t="shared" si="106"/>
        <v>0.18664383561643835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2</v>
      </c>
      <c r="H38" s="147">
        <v>91</v>
      </c>
      <c r="I38" s="147">
        <v>115</v>
      </c>
      <c r="J38" s="147">
        <v>168</v>
      </c>
      <c r="K38" s="147">
        <v>364</v>
      </c>
      <c r="L38" s="147">
        <v>508</v>
      </c>
      <c r="M38" s="147">
        <v>751</v>
      </c>
      <c r="N38" s="147">
        <v>1003</v>
      </c>
      <c r="O38" s="147">
        <v>1185</v>
      </c>
      <c r="P38" s="147">
        <v>1761</v>
      </c>
      <c r="Q38" s="147">
        <v>1977</v>
      </c>
      <c r="R38" s="118">
        <f>((Q38/G38)^(1/($H$2-$H$1) ))-1</f>
        <v>1.151667628207556</v>
      </c>
      <c r="S38" s="31">
        <f t="shared" si="5"/>
        <v>0.2</v>
      </c>
      <c r="T38" s="154">
        <f t="shared" si="2"/>
        <v>2372.4</v>
      </c>
      <c r="U38" s="154">
        <f t="shared" ref="U38" si="107">T38*(1+$S38)</f>
        <v>2846.88</v>
      </c>
      <c r="V38" s="154">
        <f t="shared" ref="V38" si="108">U38*(1+$S38)</f>
        <v>3416.2559999999999</v>
      </c>
      <c r="W38" s="154">
        <f t="shared" ref="W38" si="109">V38*(1+$S38)</f>
        <v>4099.5072</v>
      </c>
      <c r="X38" s="154">
        <f t="shared" ref="X38" si="110">W38*(1+$S38)</f>
        <v>4919.4086399999997</v>
      </c>
      <c r="Y38" s="154">
        <f t="shared" ref="Y38" si="111">X38*(1+$S38)</f>
        <v>5903.290367999999</v>
      </c>
      <c r="Z38" s="154">
        <f t="shared" ref="Z38" si="112">Y38*(1+$S38)</f>
        <v>7083.9484415999987</v>
      </c>
      <c r="AA38" s="154">
        <f t="shared" ref="AA38" si="113">Z38*(1+$S38)</f>
        <v>8500.7381299199988</v>
      </c>
      <c r="AB38" s="154">
        <f t="shared" ref="AB38" si="114">AA38*(1+$S38)</f>
        <v>10200.885755903999</v>
      </c>
      <c r="AC38" s="154">
        <f t="shared" ref="AC38" si="115">AB38*(1+$S38)</f>
        <v>12241.062907084799</v>
      </c>
      <c r="AD38" s="138">
        <f t="shared" ref="AD38" si="116">((AC38/G38)^(1/($AC$3-$H$1) ))-1</f>
        <v>0.54646272575437105</v>
      </c>
      <c r="AE38" s="31">
        <f t="shared" si="15"/>
        <v>0.05</v>
      </c>
      <c r="AF38" s="146">
        <f t="shared" ref="AF38" si="117">(AC38*(1+AE38))/($C$1-AE38)</f>
        <v>183615.94360627202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0.97802197802197799</v>
      </c>
      <c r="I39" s="148">
        <f t="shared" ref="I39" si="120">(I38-H38)/I38</f>
        <v>0.20869565217391303</v>
      </c>
      <c r="J39" s="148">
        <f t="shared" ref="J39" si="121">(J38-I38)/J38</f>
        <v>0.31547619047619047</v>
      </c>
      <c r="K39" s="148">
        <f t="shared" ref="K39" si="122">(K38-J38)/K38</f>
        <v>0.53846153846153844</v>
      </c>
      <c r="L39" s="148">
        <f t="shared" ref="L39" si="123">(L38-K38)/L38</f>
        <v>0.28346456692913385</v>
      </c>
      <c r="M39" s="148">
        <f t="shared" ref="M39" si="124">(M38-L38)/M38</f>
        <v>0.32356857523302263</v>
      </c>
      <c r="N39" s="148">
        <f t="shared" ref="N39" si="125">(N38-M38)/N38</f>
        <v>0.25124626121635096</v>
      </c>
      <c r="O39" s="148">
        <f t="shared" ref="O39" si="126">(O38-N38)/O38</f>
        <v>0.15358649789029535</v>
      </c>
      <c r="P39" s="148">
        <f t="shared" ref="P39:Q39" si="127">(P38-O38)/P38</f>
        <v>0.3270868824531516</v>
      </c>
      <c r="Q39" s="148">
        <f t="shared" si="127"/>
        <v>0.10925644916540213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3</v>
      </c>
      <c r="H40" s="147">
        <v>62</v>
      </c>
      <c r="I40" s="147">
        <v>67</v>
      </c>
      <c r="J40" s="147">
        <v>187</v>
      </c>
      <c r="K40" s="147">
        <v>211</v>
      </c>
      <c r="L40" s="147">
        <v>432</v>
      </c>
      <c r="M40" s="147">
        <v>673</v>
      </c>
      <c r="N40" s="147">
        <v>917</v>
      </c>
      <c r="O40" s="147">
        <v>1092</v>
      </c>
      <c r="P40" s="147">
        <v>1638</v>
      </c>
      <c r="Q40" s="147">
        <v>1741</v>
      </c>
      <c r="R40" s="118">
        <f>((Q40/G40)^(1/($H$2-$H$1) ))-1</f>
        <v>1.0280342238117055</v>
      </c>
      <c r="S40" s="31">
        <f t="shared" si="5"/>
        <v>0.2</v>
      </c>
      <c r="T40" s="154">
        <f t="shared" si="2"/>
        <v>2089.1999999999998</v>
      </c>
      <c r="U40" s="154">
        <f t="shared" ref="U40:AC40" si="128">T40*(1+$S40)</f>
        <v>2507.0399999999995</v>
      </c>
      <c r="V40" s="154">
        <f t="shared" si="128"/>
        <v>3008.4479999999994</v>
      </c>
      <c r="W40" s="154">
        <f t="shared" si="128"/>
        <v>3610.1375999999991</v>
      </c>
      <c r="X40" s="154">
        <f t="shared" si="128"/>
        <v>4332.1651199999988</v>
      </c>
      <c r="Y40" s="154">
        <f t="shared" si="128"/>
        <v>5198.5981439999987</v>
      </c>
      <c r="Z40" s="154">
        <f t="shared" si="128"/>
        <v>6238.3177727999982</v>
      </c>
      <c r="AA40" s="154">
        <f t="shared" si="128"/>
        <v>7485.9813273599975</v>
      </c>
      <c r="AB40" s="154">
        <f t="shared" si="128"/>
        <v>8983.1775928319967</v>
      </c>
      <c r="AC40" s="154">
        <f t="shared" si="128"/>
        <v>10779.813111398396</v>
      </c>
      <c r="AD40" s="138">
        <f t="shared" si="17"/>
        <v>0.50582498522103303</v>
      </c>
      <c r="AE40" s="31">
        <f t="shared" si="15"/>
        <v>0.05</v>
      </c>
      <c r="AF40" s="146">
        <f t="shared" si="1"/>
        <v>161697.19667097597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0.95161290322580649</v>
      </c>
      <c r="I41" s="148">
        <f t="shared" si="129"/>
        <v>7.4626865671641784E-2</v>
      </c>
      <c r="J41" s="148">
        <f t="shared" si="129"/>
        <v>0.64171122994652408</v>
      </c>
      <c r="K41" s="148">
        <f t="shared" si="129"/>
        <v>0.11374407582938388</v>
      </c>
      <c r="L41" s="148">
        <f t="shared" si="129"/>
        <v>0.51157407407407407</v>
      </c>
      <c r="M41" s="148">
        <f t="shared" si="129"/>
        <v>0.35809806835066865</v>
      </c>
      <c r="N41" s="148">
        <f t="shared" si="129"/>
        <v>0.26608505997818976</v>
      </c>
      <c r="O41" s="148">
        <f t="shared" si="129"/>
        <v>0.16025641025641027</v>
      </c>
      <c r="P41" s="148">
        <f t="shared" si="129"/>
        <v>0.33333333333333331</v>
      </c>
      <c r="Q41" s="148">
        <f t="shared" si="129"/>
        <v>5.9161401493394598E-2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7">
        <v>14</v>
      </c>
      <c r="H42" s="145">
        <v>13.99</v>
      </c>
      <c r="I42" s="145">
        <v>18.02</v>
      </c>
      <c r="J42" s="145">
        <v>36</v>
      </c>
      <c r="K42" s="145">
        <v>40</v>
      </c>
      <c r="L42" s="145">
        <v>40</v>
      </c>
      <c r="M42" s="145">
        <v>40</v>
      </c>
      <c r="N42" s="145">
        <v>200</v>
      </c>
      <c r="O42" s="145">
        <v>200</v>
      </c>
      <c r="P42" s="145">
        <v>200</v>
      </c>
      <c r="Q42" s="145">
        <v>200</v>
      </c>
      <c r="R42" s="118">
        <f>((Q42/G42)^(1/($H$2-$H$1) ))-1</f>
        <v>0.34376226116078223</v>
      </c>
      <c r="S42" s="31">
        <v>0.01</v>
      </c>
      <c r="T42" s="154">
        <f t="shared" si="2"/>
        <v>202</v>
      </c>
      <c r="U42" s="154">
        <f t="shared" ref="U42:AC42" si="130">T42*(1+$S42)</f>
        <v>204.02</v>
      </c>
      <c r="V42" s="154">
        <f t="shared" si="130"/>
        <v>206.06020000000001</v>
      </c>
      <c r="W42" s="154">
        <f t="shared" si="130"/>
        <v>208.120802</v>
      </c>
      <c r="X42" s="154">
        <f t="shared" si="130"/>
        <v>210.20201001999999</v>
      </c>
      <c r="Y42" s="154">
        <f t="shared" si="130"/>
        <v>212.3040301202</v>
      </c>
      <c r="Z42" s="154">
        <f t="shared" si="130"/>
        <v>214.42707042140199</v>
      </c>
      <c r="AA42" s="154">
        <f t="shared" si="130"/>
        <v>216.57134112561602</v>
      </c>
      <c r="AB42" s="154">
        <f t="shared" si="130"/>
        <v>218.73705453687217</v>
      </c>
      <c r="AC42" s="154">
        <f t="shared" si="130"/>
        <v>220.9244250822409</v>
      </c>
      <c r="AD42" s="138">
        <f t="shared" si="17"/>
        <v>0.14790457001010604</v>
      </c>
      <c r="AE42" s="31">
        <f t="shared" si="15"/>
        <v>0.05</v>
      </c>
      <c r="AF42" s="146">
        <f t="shared" si="1"/>
        <v>3313.8663762336141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0.9285714285714286</v>
      </c>
      <c r="H43" s="148">
        <f t="shared" ref="H43" si="131">(H42-G42)/H42</f>
        <v>-7.1479628305931282E-4</v>
      </c>
      <c r="I43" s="148">
        <f t="shared" ref="I43" si="132">(I42-H42)/I42</f>
        <v>0.22364039955604881</v>
      </c>
      <c r="J43" s="148">
        <f t="shared" ref="J43" si="133">(J42-I42)/J42</f>
        <v>0.49944444444444447</v>
      </c>
      <c r="K43" s="148">
        <f t="shared" ref="K43" si="134">(K42-J42)/K42</f>
        <v>0.1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0.8</v>
      </c>
      <c r="O43" s="148">
        <f t="shared" ref="O43" si="138">(O42-N42)/O42</f>
        <v>0</v>
      </c>
      <c r="P43" s="148">
        <f t="shared" ref="P43:Q43" si="139">(P42-O42)/P42</f>
        <v>0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7">
        <v>0.01</v>
      </c>
      <c r="H44" s="145">
        <v>0</v>
      </c>
      <c r="I44" s="145">
        <v>2</v>
      </c>
      <c r="J44" s="145">
        <v>1</v>
      </c>
      <c r="K44" s="145">
        <v>1.5</v>
      </c>
      <c r="L44" s="145">
        <v>3</v>
      </c>
      <c r="M44" s="145">
        <v>4</v>
      </c>
      <c r="N44" s="145">
        <v>0.9</v>
      </c>
      <c r="O44" s="145">
        <v>1</v>
      </c>
      <c r="P44" s="145">
        <v>1</v>
      </c>
      <c r="Q44" s="145">
        <v>1</v>
      </c>
      <c r="R44" s="118">
        <f>((Q44/G44)^(1/($H$2-$H$1) ))-1</f>
        <v>0.6681005372000588</v>
      </c>
      <c r="S44" s="31">
        <f>P1</f>
        <v>0.05</v>
      </c>
      <c r="T44" s="154">
        <f t="shared" si="2"/>
        <v>1.05</v>
      </c>
      <c r="U44" s="154">
        <f t="shared" ref="U44" si="140">T44*(1+$S44)</f>
        <v>1.1025</v>
      </c>
      <c r="V44" s="154">
        <f t="shared" ref="V44" si="141">U44*(1+$S44)</f>
        <v>1.1576250000000001</v>
      </c>
      <c r="W44" s="154">
        <f t="shared" ref="W44" si="142">V44*(1+$S44)</f>
        <v>1.2155062500000002</v>
      </c>
      <c r="X44" s="154">
        <f t="shared" ref="X44" si="143">W44*(1+$S44)</f>
        <v>1.2762815625000004</v>
      </c>
      <c r="Y44" s="154">
        <f t="shared" ref="Y44" si="144">X44*(1+$S44)</f>
        <v>1.3400956406250004</v>
      </c>
      <c r="Z44" s="154">
        <f t="shared" ref="Z44" si="145">Y44*(1+$S44)</f>
        <v>1.4071004226562505</v>
      </c>
      <c r="AA44" s="154">
        <f t="shared" ref="AA44" si="146">Z44*(1+$S44)</f>
        <v>1.477455443789063</v>
      </c>
      <c r="AB44" s="154">
        <f t="shared" ref="AB44" si="147">AA44*(1+$S44)</f>
        <v>1.5513282159785162</v>
      </c>
      <c r="AC44" s="154">
        <f t="shared" ref="AC44" si="148">AB44*(1+$S44)</f>
        <v>1.628894626777442</v>
      </c>
      <c r="AD44" s="138">
        <f t="shared" ref="AD44" si="149">((AC44/G44)^(1/($AC$3-$H$1) ))-1</f>
        <v>0.2900146712670244</v>
      </c>
      <c r="AE44" s="31">
        <f t="shared" si="15"/>
        <v>0.05</v>
      </c>
      <c r="AF44" s="146">
        <f t="shared" si="1"/>
        <v>24.433419401661634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f>J45</f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455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f>J46</f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f>J47</f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7.9285714285714288</v>
      </c>
      <c r="H50" s="133">
        <f t="shared" si="150"/>
        <v>19.799857040743387</v>
      </c>
      <c r="I50" s="133">
        <f t="shared" si="150"/>
        <v>22.086570477247502</v>
      </c>
      <c r="J50" s="133">
        <f t="shared" si="150"/>
        <v>16.305555555555557</v>
      </c>
      <c r="K50" s="133">
        <f t="shared" si="150"/>
        <v>22.1</v>
      </c>
      <c r="L50" s="133">
        <f t="shared" si="150"/>
        <v>32.700000000000003</v>
      </c>
      <c r="M50" s="133">
        <f t="shared" si="150"/>
        <v>42.125</v>
      </c>
      <c r="N50" s="133">
        <f t="shared" si="150"/>
        <v>10.154999999999999</v>
      </c>
      <c r="O50" s="133">
        <f t="shared" si="150"/>
        <v>13.664999999999999</v>
      </c>
      <c r="P50" s="133">
        <f t="shared" si="150"/>
        <v>19.63</v>
      </c>
      <c r="Q50" s="133">
        <f t="shared" ref="Q50" si="151">Q25/Q42</f>
        <v>27.535</v>
      </c>
      <c r="R50" s="118">
        <f>((P50/G50)^(1/($H$2-$H$1) ))-1</f>
        <v>0.10597997036038675</v>
      </c>
      <c r="S50" s="128"/>
      <c r="T50" s="158">
        <f t="shared" ref="T50:AC50" si="152">T25/T42</f>
        <v>32.714851485148515</v>
      </c>
      <c r="U50" s="158">
        <f t="shared" si="152"/>
        <v>38.86913047740417</v>
      </c>
      <c r="V50" s="158">
        <f t="shared" si="152"/>
        <v>46.181145121668315</v>
      </c>
      <c r="W50" s="158">
        <f t="shared" si="152"/>
        <v>54.868687273269288</v>
      </c>
      <c r="X50" s="158">
        <f t="shared" si="152"/>
        <v>65.190519532597165</v>
      </c>
      <c r="Y50" s="158">
        <f t="shared" si="152"/>
        <v>77.454082612986724</v>
      </c>
      <c r="Z50" s="158">
        <f t="shared" si="152"/>
        <v>92.024652609489181</v>
      </c>
      <c r="AA50" s="158">
        <f t="shared" si="152"/>
        <v>109.33622092216535</v>
      </c>
      <c r="AB50" s="158">
        <f t="shared" si="152"/>
        <v>129.9044208976222</v>
      </c>
      <c r="AC50" s="158">
        <f t="shared" si="152"/>
        <v>154.34188621499663</v>
      </c>
      <c r="AD50" s="138">
        <f t="shared" ref="AD50" si="153">((AC50/G50)^(1/($AC$3-$H$1) ))-1</f>
        <v>0.16001723819554958</v>
      </c>
      <c r="AE50" s="31">
        <f t="shared" si="15"/>
        <v>0.05</v>
      </c>
      <c r="AF50" s="146">
        <f t="shared" ref="AF50:AF51" si="154">(AC50*(1+AE50))/($C$1-AE50)</f>
        <v>2315.1282932249501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2.7142857142857144</v>
      </c>
      <c r="H51" s="133">
        <f t="shared" si="155"/>
        <v>7.147962830593281</v>
      </c>
      <c r="I51" s="133">
        <f t="shared" si="155"/>
        <v>8.6015538290788012</v>
      </c>
      <c r="J51" s="133">
        <f t="shared" si="155"/>
        <v>7.3888888888888893</v>
      </c>
      <c r="K51" s="133">
        <f t="shared" si="155"/>
        <v>7</v>
      </c>
      <c r="L51" s="133">
        <f t="shared" si="155"/>
        <v>10.975</v>
      </c>
      <c r="M51" s="133">
        <f t="shared" si="155"/>
        <v>13.225</v>
      </c>
      <c r="N51" s="133">
        <f t="shared" si="155"/>
        <v>3.5</v>
      </c>
      <c r="O51" s="133">
        <f t="shared" si="155"/>
        <v>4.75</v>
      </c>
      <c r="P51" s="133">
        <f t="shared" si="155"/>
        <v>6</v>
      </c>
      <c r="Q51" s="133">
        <f t="shared" ref="Q51" si="156">Q27/Q42</f>
        <v>9.5150000000000006</v>
      </c>
      <c r="R51" s="118">
        <f>((P51/G51)^(1/($H$2-$H$1) ))-1</f>
        <v>9.2137448159240076E-2</v>
      </c>
      <c r="S51" s="128"/>
      <c r="T51" s="158">
        <f t="shared" ref="T51:AC51" si="157">T27/T42</f>
        <v>11.304950495049505</v>
      </c>
      <c r="U51" s="158">
        <f t="shared" si="157"/>
        <v>13.431624350553864</v>
      </c>
      <c r="V51" s="158">
        <f t="shared" si="157"/>
        <v>15.958365565014493</v>
      </c>
      <c r="W51" s="158">
        <f t="shared" si="157"/>
        <v>18.960434334670683</v>
      </c>
      <c r="X51" s="158">
        <f t="shared" si="157"/>
        <v>22.527248714460221</v>
      </c>
      <c r="Y51" s="158">
        <f t="shared" si="157"/>
        <v>26.765047977576497</v>
      </c>
      <c r="Z51" s="158">
        <f t="shared" si="157"/>
        <v>31.800057003061184</v>
      </c>
      <c r="AA51" s="158">
        <f t="shared" si="157"/>
        <v>37.782245944231107</v>
      </c>
      <c r="AB51" s="158">
        <f t="shared" si="157"/>
        <v>44.889797161462702</v>
      </c>
      <c r="AC51" s="158">
        <f t="shared" si="157"/>
        <v>53.334412469064588</v>
      </c>
      <c r="AD51" s="138">
        <f t="shared" ref="AD51" si="158">((AC51/G51)^(1/($AC$3-$H$1) ))-1</f>
        <v>0.16055999913391217</v>
      </c>
      <c r="AE51" s="31">
        <f t="shared" si="15"/>
        <v>0.05</v>
      </c>
      <c r="AF51" s="146">
        <f t="shared" si="154"/>
        <v>800.01618703596887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-1</v>
      </c>
      <c r="H52" s="133">
        <f t="shared" ref="H52:P52" si="159">H38-H40</f>
        <v>29</v>
      </c>
      <c r="I52" s="133">
        <f t="shared" si="159"/>
        <v>48</v>
      </c>
      <c r="J52" s="133">
        <f t="shared" si="159"/>
        <v>-19</v>
      </c>
      <c r="K52" s="133">
        <f t="shared" si="159"/>
        <v>153</v>
      </c>
      <c r="L52" s="133">
        <f t="shared" si="159"/>
        <v>76</v>
      </c>
      <c r="M52" s="133">
        <f t="shared" si="159"/>
        <v>78</v>
      </c>
      <c r="N52" s="133">
        <f t="shared" si="159"/>
        <v>86</v>
      </c>
      <c r="O52" s="133">
        <f t="shared" si="159"/>
        <v>93</v>
      </c>
      <c r="P52" s="133">
        <f t="shared" si="159"/>
        <v>123</v>
      </c>
      <c r="Q52" s="133">
        <f t="shared" ref="Q52" si="160">Q38-Q40</f>
        <v>236</v>
      </c>
      <c r="R52" s="118">
        <f>((P52/G52)^(1/($H$2-$H$1) ))-1</f>
        <v>-2.7069141516401793</v>
      </c>
      <c r="S52" s="128"/>
      <c r="T52" s="133">
        <f t="shared" ref="T52:AC52" si="161">T38-T40</f>
        <v>283.20000000000027</v>
      </c>
      <c r="U52" s="133">
        <f t="shared" si="161"/>
        <v>339.8400000000006</v>
      </c>
      <c r="V52" s="133">
        <f t="shared" si="161"/>
        <v>407.80800000000045</v>
      </c>
      <c r="W52" s="133">
        <f t="shared" si="161"/>
        <v>489.3696000000009</v>
      </c>
      <c r="X52" s="133">
        <f t="shared" si="161"/>
        <v>587.2435200000009</v>
      </c>
      <c r="Y52" s="133">
        <f t="shared" si="161"/>
        <v>704.69222400000035</v>
      </c>
      <c r="Z52" s="133">
        <f t="shared" si="161"/>
        <v>845.63066880000042</v>
      </c>
      <c r="AA52" s="133">
        <f t="shared" si="161"/>
        <v>1014.7568025600012</v>
      </c>
      <c r="AB52" s="133">
        <f t="shared" si="161"/>
        <v>1217.7081630720022</v>
      </c>
      <c r="AC52" s="133">
        <f t="shared" si="161"/>
        <v>1461.2497956864026</v>
      </c>
      <c r="AD52" s="138" t="e">
        <f t="shared" ref="AD52" si="162">((AC52/G52)^(1/($AC$3-$H$1) ))-1</f>
        <v>#NUM!</v>
      </c>
      <c r="AE52" s="31">
        <f t="shared" si="15"/>
        <v>0.05</v>
      </c>
      <c r="AF52" s="146">
        <f t="shared" ref="AF52" si="163">(AC52*(1+AE52))/($C$1-AE52)</f>
        <v>21918.746935296043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0.21428571428571427</v>
      </c>
      <c r="H54" s="133">
        <f t="shared" si="164"/>
        <v>4.4317369549678345</v>
      </c>
      <c r="I54" s="133">
        <f t="shared" si="164"/>
        <v>3.7180910099889015</v>
      </c>
      <c r="J54" s="133">
        <f t="shared" si="164"/>
        <v>5.1944444444444446</v>
      </c>
      <c r="K54" s="133">
        <f t="shared" si="164"/>
        <v>5.2750000000000004</v>
      </c>
      <c r="L54" s="133">
        <f t="shared" si="164"/>
        <v>10.8</v>
      </c>
      <c r="M54" s="133">
        <f t="shared" si="164"/>
        <v>16.824999999999999</v>
      </c>
      <c r="N54" s="133">
        <f t="shared" si="164"/>
        <v>4.585</v>
      </c>
      <c r="O54" s="133">
        <f t="shared" si="164"/>
        <v>5.46</v>
      </c>
      <c r="P54" s="133">
        <f t="shared" si="164"/>
        <v>8.19</v>
      </c>
      <c r="Q54" s="133">
        <f t="shared" ref="Q54" si="165">Q40/Q42</f>
        <v>8.7050000000000001</v>
      </c>
      <c r="R54" s="118">
        <f>((P54/G54)^(1/($H$2-$H$1) ))-1</f>
        <v>0.4990291419638524</v>
      </c>
      <c r="S54" s="128"/>
      <c r="T54" s="158">
        <f t="shared" ref="T54:AC54" si="166">T40/T42</f>
        <v>10.342574257425742</v>
      </c>
      <c r="U54" s="158">
        <f t="shared" si="166"/>
        <v>12.288207038525632</v>
      </c>
      <c r="V54" s="158">
        <f t="shared" si="166"/>
        <v>14.599849946763127</v>
      </c>
      <c r="W54" s="158">
        <f t="shared" si="166"/>
        <v>17.346356372391835</v>
      </c>
      <c r="X54" s="158">
        <f t="shared" si="166"/>
        <v>20.609532323633861</v>
      </c>
      <c r="Y54" s="158">
        <f t="shared" si="166"/>
        <v>24.486573057782806</v>
      </c>
      <c r="Z54" s="158">
        <f t="shared" si="166"/>
        <v>29.092958088454818</v>
      </c>
      <c r="AA54" s="158">
        <f t="shared" si="166"/>
        <v>34.565890798164141</v>
      </c>
      <c r="AB54" s="158">
        <f t="shared" si="166"/>
        <v>41.068385106729671</v>
      </c>
      <c r="AC54" s="158">
        <f t="shared" si="166"/>
        <v>48.794120918886733</v>
      </c>
      <c r="AD54" s="138">
        <f t="shared" ref="AD54:AD68" si="167">((AC54/G54)^(1/($AC$3-$H$1) ))-1</f>
        <v>0.31180328449060513</v>
      </c>
      <c r="AE54" s="31">
        <f t="shared" si="15"/>
        <v>0.05</v>
      </c>
      <c r="AF54" s="146">
        <f t="shared" ref="AF54:AF82" si="168">(AC54*(1+AE54))/($C$1-AE54)</f>
        <v>731.91181378330111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21.428571428571427</v>
      </c>
      <c r="H55" s="133">
        <f t="shared" ref="H55:P55" si="170">H20/H42</f>
        <v>14.510364546104361</v>
      </c>
      <c r="I55" s="133">
        <f t="shared" si="170"/>
        <v>11.154273029966705</v>
      </c>
      <c r="J55" s="133">
        <f t="shared" si="170"/>
        <v>12.444444444444445</v>
      </c>
      <c r="K55" s="133">
        <f t="shared" si="170"/>
        <v>13</v>
      </c>
      <c r="L55" s="133">
        <f t="shared" si="170"/>
        <v>17.375</v>
      </c>
      <c r="M55" s="133">
        <f t="shared" si="170"/>
        <v>25.875</v>
      </c>
      <c r="N55" s="133">
        <f t="shared" si="170"/>
        <v>6.29</v>
      </c>
      <c r="O55" s="133">
        <f t="shared" si="170"/>
        <v>6.4349999999999996</v>
      </c>
      <c r="P55" s="133">
        <f t="shared" si="170"/>
        <v>6.8449999999999998</v>
      </c>
      <c r="Q55" s="133">
        <f t="shared" ref="Q55" si="171">Q20/Q42</f>
        <v>8.0050000000000008</v>
      </c>
      <c r="R55" s="118">
        <f>((P55/G55)^(1/($H$2-$H$1) ))-1</f>
        <v>-0.11909081749977823</v>
      </c>
      <c r="S55" s="128"/>
      <c r="T55" s="133">
        <f t="shared" ref="T55:AC55" si="172">T20/T42</f>
        <v>9.5108910891089096</v>
      </c>
      <c r="U55" s="133">
        <f t="shared" si="172"/>
        <v>11.300068620723456</v>
      </c>
      <c r="V55" s="133">
        <f t="shared" si="172"/>
        <v>13.425824103829848</v>
      </c>
      <c r="W55" s="133">
        <f t="shared" si="172"/>
        <v>15.951474182768136</v>
      </c>
      <c r="X55" s="133">
        <f t="shared" si="172"/>
        <v>18.952246553783922</v>
      </c>
      <c r="Y55" s="133">
        <f t="shared" si="172"/>
        <v>22.517520657961093</v>
      </c>
      <c r="Z55" s="133">
        <f t="shared" si="172"/>
        <v>26.753489890646843</v>
      </c>
      <c r="AA55" s="133">
        <f t="shared" si="172"/>
        <v>31.786324622550701</v>
      </c>
      <c r="AB55" s="133">
        <f t="shared" si="172"/>
        <v>37.765930244614694</v>
      </c>
      <c r="AC55" s="133">
        <f t="shared" si="172"/>
        <v>44.870412171819432</v>
      </c>
      <c r="AD55" s="138">
        <f t="shared" ref="AD55" si="173">((AC55/G55)^(1/($AC$3-$H$1) ))-1</f>
        <v>3.7643911144992437E-2</v>
      </c>
      <c r="AE55" s="31">
        <f t="shared" si="15"/>
        <v>0.05</v>
      </c>
      <c r="AF55" s="146">
        <f t="shared" si="168"/>
        <v>673.05618257729157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33.5</v>
      </c>
      <c r="H56" s="133">
        <f t="shared" si="174"/>
        <v>40.886347390993564</v>
      </c>
      <c r="I56" s="133">
        <f t="shared" si="174"/>
        <v>33.185349611542733</v>
      </c>
      <c r="J56" s="133">
        <f t="shared" si="174"/>
        <v>20.833333333333332</v>
      </c>
      <c r="K56" s="133">
        <f t="shared" si="174"/>
        <v>65.525000000000006</v>
      </c>
      <c r="L56" s="133">
        <f t="shared" si="174"/>
        <v>73.25</v>
      </c>
      <c r="M56" s="133">
        <f t="shared" si="174"/>
        <v>86.575000000000003</v>
      </c>
      <c r="N56" s="133">
        <f t="shared" si="174"/>
        <v>20.945</v>
      </c>
      <c r="O56" s="133">
        <f t="shared" si="174"/>
        <v>24.074999999999999</v>
      </c>
      <c r="P56" s="133">
        <f t="shared" si="174"/>
        <v>31.98</v>
      </c>
      <c r="Q56" s="133">
        <f t="shared" ref="Q56" si="175">Q7/Q42</f>
        <v>43.84</v>
      </c>
      <c r="R56" s="118">
        <f>((P56/G56)^(1/($H$2-$H$1) ))-1</f>
        <v>-5.1461276840085723E-3</v>
      </c>
      <c r="S56" s="128"/>
      <c r="T56" s="158">
        <f t="shared" ref="T56:AC56" si="176">T7/T42</f>
        <v>52.087128712871291</v>
      </c>
      <c r="U56" s="158">
        <f t="shared" si="176"/>
        <v>61.885697480639152</v>
      </c>
      <c r="V56" s="158">
        <f t="shared" si="176"/>
        <v>73.527561363135618</v>
      </c>
      <c r="W56" s="158">
        <f t="shared" si="176"/>
        <v>87.35947884728985</v>
      </c>
      <c r="X56" s="158">
        <f t="shared" si="176"/>
        <v>103.7934402146018</v>
      </c>
      <c r="Y56" s="158">
        <f t="shared" si="176"/>
        <v>123.31893886883383</v>
      </c>
      <c r="Z56" s="158">
        <f t="shared" si="176"/>
        <v>146.51755113128772</v>
      </c>
      <c r="AA56" s="158">
        <f t="shared" si="176"/>
        <v>174.08025876984675</v>
      </c>
      <c r="AB56" s="158">
        <f t="shared" si="176"/>
        <v>206.8280302216001</v>
      </c>
      <c r="AC56" s="158">
        <f t="shared" si="176"/>
        <v>245.73627353061394</v>
      </c>
      <c r="AD56" s="138">
        <f t="shared" si="167"/>
        <v>0.10476834798631973</v>
      </c>
      <c r="AE56" s="31">
        <f t="shared" si="15"/>
        <v>0.05</v>
      </c>
      <c r="AF56" s="146">
        <f t="shared" si="168"/>
        <v>3686.0441029592098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23.214285714285715</v>
      </c>
      <c r="H57" s="144">
        <f t="shared" si="177"/>
        <v>27.805575411007862</v>
      </c>
      <c r="I57" s="144">
        <f t="shared" si="177"/>
        <v>23.029966703662598</v>
      </c>
      <c r="J57" s="144">
        <f t="shared" si="177"/>
        <v>10.722222222222221</v>
      </c>
      <c r="K57" s="144">
        <f t="shared" si="177"/>
        <v>55.4</v>
      </c>
      <c r="L57" s="144">
        <f t="shared" si="177"/>
        <v>63.15</v>
      </c>
      <c r="M57" s="144">
        <f t="shared" si="177"/>
        <v>76.5</v>
      </c>
      <c r="N57" s="144">
        <f t="shared" si="177"/>
        <v>18.93</v>
      </c>
      <c r="O57" s="144">
        <f t="shared" si="177"/>
        <v>22.055</v>
      </c>
      <c r="P57" s="144">
        <f t="shared" si="177"/>
        <v>29.96</v>
      </c>
      <c r="Q57" s="144">
        <f t="shared" ref="Q57" si="178">Q6/Q42</f>
        <v>41.755000000000003</v>
      </c>
      <c r="R57" s="118">
        <f>((P57/G57)^(1/($H$2-$H$1) ))-1</f>
        <v>2.8749434056462242E-2</v>
      </c>
      <c r="S57" s="128"/>
      <c r="T57" s="157">
        <f t="shared" ref="T57:AC57" si="179">T6/T42</f>
        <v>49.609900990099007</v>
      </c>
      <c r="U57" s="157">
        <f t="shared" si="179"/>
        <v>58.942456621899801</v>
      </c>
      <c r="V57" s="157">
        <f t="shared" si="179"/>
        <v>70.030641530970058</v>
      </c>
      <c r="W57" s="157">
        <f t="shared" si="179"/>
        <v>83.204722611053541</v>
      </c>
      <c r="X57" s="157">
        <f t="shared" si="179"/>
        <v>98.857096171548761</v>
      </c>
      <c r="Y57" s="157">
        <f t="shared" si="179"/>
        <v>117.45397564936485</v>
      </c>
      <c r="Z57" s="157">
        <f t="shared" si="179"/>
        <v>139.54927799924536</v>
      </c>
      <c r="AA57" s="157">
        <f t="shared" si="179"/>
        <v>165.80112237534104</v>
      </c>
      <c r="AB57" s="157">
        <f t="shared" si="179"/>
        <v>196.99143252515768</v>
      </c>
      <c r="AC57" s="157">
        <f t="shared" si="179"/>
        <v>234.04922676256359</v>
      </c>
      <c r="AD57" s="138">
        <f t="shared" si="167"/>
        <v>0.12247737055026842</v>
      </c>
      <c r="AE57" s="31">
        <f t="shared" si="15"/>
        <v>0.05</v>
      </c>
      <c r="AF57" s="146">
        <f t="shared" si="168"/>
        <v>3510.7384014384543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20.357142857142858</v>
      </c>
      <c r="H58" s="144">
        <f t="shared" si="180"/>
        <v>44.603288062902074</v>
      </c>
      <c r="I58" s="144">
        <f t="shared" si="180"/>
        <v>53.385127635960046</v>
      </c>
      <c r="J58" s="144">
        <f t="shared" si="180"/>
        <v>55.5</v>
      </c>
      <c r="K58" s="144">
        <f t="shared" si="180"/>
        <v>68.099999999999994</v>
      </c>
      <c r="L58" s="144">
        <f t="shared" si="180"/>
        <v>88.65</v>
      </c>
      <c r="M58" s="144">
        <f t="shared" si="180"/>
        <v>108.375</v>
      </c>
      <c r="N58" s="144">
        <f t="shared" si="180"/>
        <v>17.96</v>
      </c>
      <c r="O58" s="144">
        <f t="shared" si="180"/>
        <v>82.254999999999995</v>
      </c>
      <c r="P58" s="144">
        <f t="shared" si="180"/>
        <v>53.31</v>
      </c>
      <c r="Q58" s="144">
        <f t="shared" ref="Q58" si="181">Q10/Q42</f>
        <v>58.465000000000003</v>
      </c>
      <c r="R58" s="118">
        <f>((P58/G58)^(1/($H$2-$H$1) ))-1</f>
        <v>0.1128961779624813</v>
      </c>
      <c r="S58" s="128"/>
      <c r="T58" s="157">
        <f t="shared" ref="T58:AC58" si="182">T10/T42</f>
        <v>69.463366336633669</v>
      </c>
      <c r="U58" s="157">
        <f t="shared" si="182"/>
        <v>82.5307322811489</v>
      </c>
      <c r="V58" s="157">
        <f t="shared" si="182"/>
        <v>98.056315581563041</v>
      </c>
      <c r="W58" s="157">
        <f t="shared" si="182"/>
        <v>116.50255316621352</v>
      </c>
      <c r="X58" s="157">
        <f t="shared" si="182"/>
        <v>138.41887504896656</v>
      </c>
      <c r="Y58" s="157">
        <f t="shared" si="182"/>
        <v>164.45806936510874</v>
      </c>
      <c r="Z58" s="157">
        <f t="shared" si="182"/>
        <v>195.39572597834703</v>
      </c>
      <c r="AA58" s="157">
        <f t="shared" si="182"/>
        <v>232.15333779605587</v>
      </c>
      <c r="AB58" s="157">
        <f t="shared" si="182"/>
        <v>275.82574787650202</v>
      </c>
      <c r="AC58" s="157">
        <f t="shared" si="182"/>
        <v>327.71375985326966</v>
      </c>
      <c r="AD58" s="138">
        <f t="shared" si="167"/>
        <v>0.14904990881893321</v>
      </c>
      <c r="AE58" s="31">
        <f t="shared" si="15"/>
        <v>0.05</v>
      </c>
      <c r="AF58" s="146">
        <f t="shared" si="168"/>
        <v>4915.7063977990456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13.142857142857142</v>
      </c>
      <c r="H60" s="144">
        <f t="shared" si="183"/>
        <v>-3.7169406719085059</v>
      </c>
      <c r="I60" s="144">
        <f t="shared" si="183"/>
        <v>-20.199778024417313</v>
      </c>
      <c r="J60" s="144">
        <f t="shared" si="183"/>
        <v>-34.666666666666664</v>
      </c>
      <c r="K60" s="144">
        <f t="shared" si="183"/>
        <v>-2.5750000000000002</v>
      </c>
      <c r="L60" s="144">
        <f t="shared" si="183"/>
        <v>-15.4</v>
      </c>
      <c r="M60" s="144">
        <f t="shared" si="183"/>
        <v>-21.8</v>
      </c>
      <c r="N60" s="144">
        <f t="shared" si="183"/>
        <v>2.9849999999999999</v>
      </c>
      <c r="O60" s="144">
        <f t="shared" si="183"/>
        <v>-58.18</v>
      </c>
      <c r="P60" s="144">
        <f t="shared" si="183"/>
        <v>-21.33</v>
      </c>
      <c r="Q60" s="144">
        <f t="shared" ref="Q60" si="184">(Q7-Q10)/Q42</f>
        <v>-14.625</v>
      </c>
      <c r="R60" s="118">
        <f>((P60/G60)^(1/($H$2-$H$1) ))-1</f>
        <v>-2.0552777596972014</v>
      </c>
      <c r="S60" s="128"/>
      <c r="T60" s="157">
        <f t="shared" ref="T60:AC60" si="185">(T7-T10)/T42</f>
        <v>-17.376237623762375</v>
      </c>
      <c r="U60" s="157">
        <f t="shared" si="185"/>
        <v>-20.645034800509745</v>
      </c>
      <c r="V60" s="157">
        <f t="shared" si="185"/>
        <v>-24.528754218427419</v>
      </c>
      <c r="W60" s="157">
        <f t="shared" si="185"/>
        <v>-29.143074318923674</v>
      </c>
      <c r="X60" s="157">
        <f t="shared" si="185"/>
        <v>-34.625434834364746</v>
      </c>
      <c r="Y60" s="157">
        <f t="shared" si="185"/>
        <v>-41.139130496274937</v>
      </c>
      <c r="Z60" s="157">
        <f t="shared" si="185"/>
        <v>-48.878174847059327</v>
      </c>
      <c r="AA60" s="157">
        <f t="shared" si="185"/>
        <v>-58.073079026209101</v>
      </c>
      <c r="AB60" s="157">
        <f t="shared" si="185"/>
        <v>-68.997717654901891</v>
      </c>
      <c r="AC60" s="157">
        <f t="shared" si="185"/>
        <v>-81.977486322655707</v>
      </c>
      <c r="AD60" s="138" t="e">
        <f t="shared" si="167"/>
        <v>#NUM!</v>
      </c>
      <c r="AE60" s="31">
        <f t="shared" si="15"/>
        <v>0.05</v>
      </c>
      <c r="AF60" s="146">
        <f t="shared" si="168"/>
        <v>-1229.6622948398358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-25.285714285714285</v>
      </c>
      <c r="H61" s="144">
        <f t="shared" si="186"/>
        <v>-45.675482487491067</v>
      </c>
      <c r="I61" s="144">
        <f t="shared" si="186"/>
        <v>-59.156492785793567</v>
      </c>
      <c r="J61" s="144">
        <f t="shared" si="186"/>
        <v>-41.75</v>
      </c>
      <c r="K61" s="144">
        <f t="shared" si="186"/>
        <v>-14.375</v>
      </c>
      <c r="L61" s="144">
        <f t="shared" si="186"/>
        <v>-30.024999999999999</v>
      </c>
      <c r="M61" s="144">
        <f t="shared" si="186"/>
        <v>-41.174999999999997</v>
      </c>
      <c r="N61" s="144">
        <f t="shared" si="186"/>
        <v>-4.6900000000000004</v>
      </c>
      <c r="O61" s="144">
        <f t="shared" si="186"/>
        <v>-78.765000000000001</v>
      </c>
      <c r="P61" s="144">
        <f t="shared" si="186"/>
        <v>-38.6</v>
      </c>
      <c r="Q61" s="144">
        <f t="shared" ref="Q61" si="187">(Q7-Q10-Q9)/Q42</f>
        <v>-31.51</v>
      </c>
      <c r="R61" s="118">
        <f>((P61/G61)^(1/($H$2-$H$1) ))-1</f>
        <v>4.812348727654614E-2</v>
      </c>
      <c r="S61" s="128"/>
      <c r="T61" s="157">
        <f t="shared" ref="T61:AC61" si="188">(T7-T10-T9)/T42</f>
        <v>-37.437623762376234</v>
      </c>
      <c r="U61" s="157">
        <f t="shared" si="188"/>
        <v>-44.480345064209374</v>
      </c>
      <c r="V61" s="157">
        <f t="shared" si="188"/>
        <v>-52.84793472975371</v>
      </c>
      <c r="W61" s="157">
        <f t="shared" si="188"/>
        <v>-62.789625421489575</v>
      </c>
      <c r="X61" s="157">
        <f t="shared" si="188"/>
        <v>-74.601535154245028</v>
      </c>
      <c r="Y61" s="157">
        <f t="shared" si="188"/>
        <v>-88.635487311974273</v>
      </c>
      <c r="Z61" s="157">
        <f t="shared" si="188"/>
        <v>-105.309489875613</v>
      </c>
      <c r="AA61" s="157">
        <f t="shared" si="188"/>
        <v>-125.12018599082732</v>
      </c>
      <c r="AB61" s="157">
        <f t="shared" si="188"/>
        <v>-148.65764672177502</v>
      </c>
      <c r="AC61" s="157">
        <f t="shared" si="188"/>
        <v>-176.6229466001287</v>
      </c>
      <c r="AD61" s="138">
        <f t="shared" si="167"/>
        <v>0.10206851440890619</v>
      </c>
      <c r="AE61" s="31">
        <f t="shared" si="15"/>
        <v>0.05</v>
      </c>
      <c r="AF61" s="146">
        <f t="shared" si="168"/>
        <v>-2649.344199001931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-25</v>
      </c>
      <c r="H62" s="144">
        <f t="shared" si="189"/>
        <v>-41.744102930664759</v>
      </c>
      <c r="I62" s="144">
        <f t="shared" si="189"/>
        <v>-53.829078801331853</v>
      </c>
      <c r="J62" s="144">
        <f t="shared" si="189"/>
        <v>-32.25</v>
      </c>
      <c r="K62" s="144">
        <f t="shared" si="189"/>
        <v>-4.0250000000000004</v>
      </c>
      <c r="L62" s="144">
        <f t="shared" si="189"/>
        <v>-19.475000000000001</v>
      </c>
      <c r="M62" s="144">
        <f t="shared" si="189"/>
        <v>-32.475000000000001</v>
      </c>
      <c r="N62" s="144">
        <f t="shared" si="189"/>
        <v>-1.8</v>
      </c>
      <c r="O62" s="144">
        <f t="shared" si="189"/>
        <v>-71.319999999999993</v>
      </c>
      <c r="P62" s="144">
        <f t="shared" si="189"/>
        <v>-30.32</v>
      </c>
      <c r="Q62" s="144">
        <f t="shared" ref="Q62" si="190">(Q7+Q15-Q10-Q9)/Q42</f>
        <v>-20.96</v>
      </c>
      <c r="R62" s="118">
        <f>((P62/G62)^(1/($H$2-$H$1) ))-1</f>
        <v>2.1668279700858717E-2</v>
      </c>
      <c r="S62" s="128"/>
      <c r="T62" s="157">
        <f t="shared" ref="T62:AC62" si="191">(T7+T15-T10-T9)/T42</f>
        <v>-24.9029702970297</v>
      </c>
      <c r="U62" s="157">
        <f t="shared" si="191"/>
        <v>-29.587687481619437</v>
      </c>
      <c r="V62" s="157">
        <f t="shared" si="191"/>
        <v>-35.153688096973582</v>
      </c>
      <c r="W62" s="157">
        <f t="shared" si="191"/>
        <v>-41.766758135018136</v>
      </c>
      <c r="X62" s="157">
        <f t="shared" si="191"/>
        <v>-49.62387105150669</v>
      </c>
      <c r="Y62" s="157">
        <f t="shared" si="191"/>
        <v>-58.959054714661377</v>
      </c>
      <c r="Z62" s="157">
        <f t="shared" si="191"/>
        <v>-70.050362037221447</v>
      </c>
      <c r="AA62" s="157">
        <f t="shared" si="191"/>
        <v>-83.228152915510634</v>
      </c>
      <c r="AB62" s="157">
        <f t="shared" si="191"/>
        <v>-98.884934157042352</v>
      </c>
      <c r="AC62" s="157">
        <f t="shared" si="191"/>
        <v>-117.48705048361464</v>
      </c>
      <c r="AD62" s="138">
        <f t="shared" si="167"/>
        <v>8.044459093323808E-2</v>
      </c>
      <c r="AE62" s="31">
        <f t="shared" si="15"/>
        <v>0.05</v>
      </c>
      <c r="AF62" s="146">
        <f t="shared" si="168"/>
        <v>-1762.3057572542198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0.2857142857142857</v>
      </c>
      <c r="H64" s="144">
        <f t="shared" si="192"/>
        <v>2.1443888491779841</v>
      </c>
      <c r="I64" s="144">
        <f t="shared" si="192"/>
        <v>5.3274139844617094</v>
      </c>
      <c r="J64" s="144">
        <f t="shared" si="192"/>
        <v>1.6944444444444444</v>
      </c>
      <c r="K64" s="144">
        <f t="shared" si="192"/>
        <v>22.4</v>
      </c>
      <c r="L64" s="144">
        <f t="shared" si="192"/>
        <v>32.35</v>
      </c>
      <c r="M64" s="144">
        <f t="shared" si="192"/>
        <v>24.975000000000001</v>
      </c>
      <c r="N64" s="144">
        <f t="shared" si="192"/>
        <v>1.26</v>
      </c>
      <c r="O64" s="144">
        <f t="shared" si="192"/>
        <v>5.59</v>
      </c>
      <c r="P64" s="144">
        <f t="shared" si="192"/>
        <v>4.1500000000000004</v>
      </c>
      <c r="Q64" s="144">
        <f t="shared" ref="Q64" si="193">Q12/Q42</f>
        <v>2.57</v>
      </c>
      <c r="R64" s="118">
        <f>((P64/G64)^(1/($H$2-$H$1) ))-1</f>
        <v>0.34624472829603592</v>
      </c>
      <c r="S64" s="128"/>
      <c r="T64" s="157">
        <f t="shared" ref="T64:AC64" si="194">T12/T42</f>
        <v>3.0534653465346531</v>
      </c>
      <c r="U64" s="157">
        <f t="shared" si="194"/>
        <v>3.6278796196451326</v>
      </c>
      <c r="V64" s="157">
        <f t="shared" si="194"/>
        <v>4.3103520233407515</v>
      </c>
      <c r="W64" s="157">
        <f t="shared" si="194"/>
        <v>5.1212103247612886</v>
      </c>
      <c r="X64" s="157">
        <f t="shared" si="194"/>
        <v>6.0846063264490562</v>
      </c>
      <c r="Y64" s="157">
        <f t="shared" si="194"/>
        <v>7.2292352393454129</v>
      </c>
      <c r="Z64" s="157">
        <f t="shared" si="194"/>
        <v>8.5891903833806875</v>
      </c>
      <c r="AA64" s="157">
        <f t="shared" si="194"/>
        <v>10.204978673323589</v>
      </c>
      <c r="AB64" s="157">
        <f t="shared" si="194"/>
        <v>12.124727136622086</v>
      </c>
      <c r="AC64" s="157">
        <f t="shared" si="194"/>
        <v>14.40561639994703</v>
      </c>
      <c r="AD64" s="138">
        <f t="shared" si="167"/>
        <v>0.21655008810616239</v>
      </c>
      <c r="AE64" s="31">
        <f t="shared" si="15"/>
        <v>0.05</v>
      </c>
      <c r="AF64" s="146">
        <f t="shared" si="168"/>
        <v>216.08424599920548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14.714285714285714</v>
      </c>
      <c r="H65" s="144">
        <f t="shared" si="195"/>
        <v>2.2873481057898499</v>
      </c>
      <c r="I65" s="144">
        <f t="shared" si="195"/>
        <v>6.7702552719200888</v>
      </c>
      <c r="J65" s="144">
        <f t="shared" si="195"/>
        <v>2.1388888888888888</v>
      </c>
      <c r="K65" s="144">
        <f t="shared" si="195"/>
        <v>22.2</v>
      </c>
      <c r="L65" s="144">
        <f t="shared" si="195"/>
        <v>5.1749999999999998</v>
      </c>
      <c r="M65" s="144">
        <f t="shared" si="195"/>
        <v>5.55</v>
      </c>
      <c r="N65" s="144">
        <f t="shared" si="195"/>
        <v>0.33500000000000002</v>
      </c>
      <c r="O65" s="144">
        <f t="shared" si="195"/>
        <v>0.34499999999999997</v>
      </c>
      <c r="P65" s="144">
        <f t="shared" si="195"/>
        <v>1.1100000000000001</v>
      </c>
      <c r="Q65" s="144">
        <f t="shared" ref="Q65" si="196">Q13/Q42</f>
        <v>0.315</v>
      </c>
      <c r="R65" s="118">
        <f>((P65/G65)^(1/($H$2-$H$1) ))-1</f>
        <v>-0.24960991290520507</v>
      </c>
      <c r="S65" s="128"/>
      <c r="T65" s="157">
        <f t="shared" ref="T65:AC65" si="197">T13/T42</f>
        <v>0.37425742574257426</v>
      </c>
      <c r="U65" s="157">
        <f t="shared" si="197"/>
        <v>0.44466228801097923</v>
      </c>
      <c r="V65" s="157">
        <f t="shared" si="197"/>
        <v>0.52831162931997533</v>
      </c>
      <c r="W65" s="157">
        <f t="shared" si="197"/>
        <v>0.62769698533066376</v>
      </c>
      <c r="X65" s="157">
        <f t="shared" si="197"/>
        <v>0.74577859643247169</v>
      </c>
      <c r="Y65" s="157">
        <f t="shared" si="197"/>
        <v>0.88607357991976832</v>
      </c>
      <c r="Z65" s="157">
        <f t="shared" si="197"/>
        <v>1.0527606890135861</v>
      </c>
      <c r="AA65" s="157">
        <f t="shared" si="197"/>
        <v>1.2508047790260428</v>
      </c>
      <c r="AB65" s="157">
        <f t="shared" si="197"/>
        <v>1.4861046879517339</v>
      </c>
      <c r="AC65" s="157">
        <f t="shared" si="197"/>
        <v>1.7656689361802778</v>
      </c>
      <c r="AD65" s="138">
        <f t="shared" si="167"/>
        <v>-0.10058835840640368</v>
      </c>
      <c r="AE65" s="31">
        <f t="shared" si="15"/>
        <v>0.05</v>
      </c>
      <c r="AF65" s="146">
        <f t="shared" si="168"/>
        <v>26.485034042704168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15</v>
      </c>
      <c r="H66" s="144">
        <f t="shared" si="198"/>
        <v>4.4317369549678336</v>
      </c>
      <c r="I66" s="144">
        <f t="shared" si="198"/>
        <v>12.097669256381799</v>
      </c>
      <c r="J66" s="144">
        <f t="shared" si="198"/>
        <v>3.833333333333333</v>
      </c>
      <c r="K66" s="144">
        <f t="shared" si="198"/>
        <v>44.599999999999994</v>
      </c>
      <c r="L66" s="144">
        <f t="shared" si="198"/>
        <v>37.524999999999999</v>
      </c>
      <c r="M66" s="144">
        <f t="shared" si="198"/>
        <v>30.525000000000002</v>
      </c>
      <c r="N66" s="144">
        <f t="shared" si="198"/>
        <v>1.595</v>
      </c>
      <c r="O66" s="144">
        <f t="shared" ref="O66" si="199">(O64+O65)</f>
        <v>5.9349999999999996</v>
      </c>
      <c r="P66" s="144">
        <f t="shared" si="198"/>
        <v>5.2600000000000007</v>
      </c>
      <c r="Q66" s="144">
        <f t="shared" ref="Q66" si="200">(Q64+Q65)</f>
        <v>2.8849999999999998</v>
      </c>
      <c r="R66" s="118">
        <f>((P66/G66)^(1/($H$2-$H$1) ))-1</f>
        <v>-0.10991246202457661</v>
      </c>
      <c r="S66" s="128"/>
      <c r="T66" s="157">
        <f t="shared" ref="T66:AC66" si="201">(T64+T65)</f>
        <v>3.4277227722772272</v>
      </c>
      <c r="U66" s="157">
        <f t="shared" si="201"/>
        <v>4.0725419076561122</v>
      </c>
      <c r="V66" s="157">
        <f t="shared" si="201"/>
        <v>4.8386636526607267</v>
      </c>
      <c r="W66" s="157">
        <f t="shared" si="201"/>
        <v>5.7489073100919521</v>
      </c>
      <c r="X66" s="157">
        <f t="shared" si="201"/>
        <v>6.8303849228815281</v>
      </c>
      <c r="Y66" s="157">
        <f t="shared" si="201"/>
        <v>8.1153088192651808</v>
      </c>
      <c r="Z66" s="157">
        <f t="shared" si="201"/>
        <v>9.6419510723942743</v>
      </c>
      <c r="AA66" s="157">
        <f t="shared" si="201"/>
        <v>11.455783452349632</v>
      </c>
      <c r="AB66" s="157">
        <f t="shared" si="201"/>
        <v>13.61083182457382</v>
      </c>
      <c r="AC66" s="157">
        <f t="shared" si="201"/>
        <v>16.171285336127308</v>
      </c>
      <c r="AD66" s="138">
        <f t="shared" si="167"/>
        <v>3.7664231249350255E-3</v>
      </c>
      <c r="AE66" s="31">
        <f t="shared" si="15"/>
        <v>0.05</v>
      </c>
      <c r="AF66" s="146">
        <f t="shared" si="168"/>
        <v>242.56928004190968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0.2857142857142857</v>
      </c>
      <c r="H67" s="144">
        <f t="shared" si="202"/>
        <v>3.9313795568263044</v>
      </c>
      <c r="I67" s="144">
        <f t="shared" si="202"/>
        <v>5.3274139844617094</v>
      </c>
      <c r="J67" s="144">
        <f t="shared" si="202"/>
        <v>9.5</v>
      </c>
      <c r="K67" s="144">
        <f t="shared" si="202"/>
        <v>10.35</v>
      </c>
      <c r="L67" s="144">
        <f t="shared" si="202"/>
        <v>10.55</v>
      </c>
      <c r="M67" s="144">
        <f t="shared" si="202"/>
        <v>8.6999999999999993</v>
      </c>
      <c r="N67" s="144">
        <f t="shared" si="202"/>
        <v>2.89</v>
      </c>
      <c r="O67" s="144">
        <f t="shared" si="202"/>
        <v>7.4450000000000003</v>
      </c>
      <c r="P67" s="144">
        <f t="shared" si="202"/>
        <v>8.2799999999999994</v>
      </c>
      <c r="Q67" s="144">
        <f t="shared" ref="Q67" si="203">Q15/Q42</f>
        <v>10.55</v>
      </c>
      <c r="R67" s="118">
        <f>((P67/G67)^(1/($H$2-$H$1) ))-1</f>
        <v>0.45363501506059567</v>
      </c>
      <c r="S67" s="128"/>
      <c r="T67" s="157">
        <f t="shared" ref="T67:AC67" si="204">T15/T42</f>
        <v>12.534653465346535</v>
      </c>
      <c r="U67" s="157">
        <f t="shared" si="204"/>
        <v>14.892657582589942</v>
      </c>
      <c r="V67" s="157">
        <f t="shared" si="204"/>
        <v>17.694246632780128</v>
      </c>
      <c r="W67" s="157">
        <f t="shared" si="204"/>
        <v>21.022867286471438</v>
      </c>
      <c r="X67" s="157">
        <f t="shared" si="204"/>
        <v>24.977664102738341</v>
      </c>
      <c r="Y67" s="157">
        <f t="shared" si="204"/>
        <v>29.676432597312882</v>
      </c>
      <c r="Z67" s="157">
        <f t="shared" si="204"/>
        <v>35.259127838391542</v>
      </c>
      <c r="AA67" s="157">
        <f t="shared" si="204"/>
        <v>41.892033075316675</v>
      </c>
      <c r="AB67" s="157">
        <f t="shared" si="204"/>
        <v>49.772712564732686</v>
      </c>
      <c r="AC67" s="157">
        <f t="shared" si="204"/>
        <v>59.135896116514076</v>
      </c>
      <c r="AD67" s="138">
        <f t="shared" si="167"/>
        <v>0.30555737176387132</v>
      </c>
      <c r="AE67" s="31">
        <f t="shared" si="15"/>
        <v>0.05</v>
      </c>
      <c r="AF67" s="146">
        <f t="shared" si="168"/>
        <v>887.03844174771132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-25.5</v>
      </c>
      <c r="H68" s="144">
        <f t="shared" si="205"/>
        <v>-29.306647605432453</v>
      </c>
      <c r="I68" s="144">
        <f t="shared" si="205"/>
        <v>-25.471698113207548</v>
      </c>
      <c r="J68" s="144">
        <f t="shared" si="205"/>
        <v>7.333333333333333</v>
      </c>
      <c r="K68" s="144">
        <f t="shared" si="205"/>
        <v>19.8</v>
      </c>
      <c r="L68" s="144">
        <f t="shared" si="205"/>
        <v>27.425000000000001</v>
      </c>
      <c r="M68" s="144">
        <f t="shared" si="205"/>
        <v>22.2</v>
      </c>
      <c r="N68" s="144">
        <f t="shared" si="205"/>
        <v>-3.47</v>
      </c>
      <c r="O68" s="144">
        <f t="shared" si="205"/>
        <v>-3.67</v>
      </c>
      <c r="P68" s="144">
        <f t="shared" si="205"/>
        <v>13.225</v>
      </c>
      <c r="Q68" s="144">
        <f t="shared" ref="Q68" si="206">Q16/Q42</f>
        <v>26.77</v>
      </c>
      <c r="R68" s="118">
        <f>((P68/G68)^(1/($H$2-$H$1) ))-1</f>
        <v>-1.9296452996379121</v>
      </c>
      <c r="S68" s="128"/>
      <c r="T68" s="157">
        <f t="shared" ref="T68:AC68" si="207">T16/T42</f>
        <v>31.805940594059408</v>
      </c>
      <c r="U68" s="157">
        <f t="shared" si="207"/>
        <v>37.789236349377511</v>
      </c>
      <c r="V68" s="157">
        <f t="shared" si="207"/>
        <v>44.898102593319813</v>
      </c>
      <c r="W68" s="157">
        <f t="shared" si="207"/>
        <v>53.344280308894824</v>
      </c>
      <c r="X68" s="157">
        <f t="shared" si="207"/>
        <v>63.379342941261179</v>
      </c>
      <c r="Y68" s="157">
        <f t="shared" si="207"/>
        <v>75.302189633181598</v>
      </c>
      <c r="Z68" s="157">
        <f t="shared" si="207"/>
        <v>89.467948079027636</v>
      </c>
      <c r="AA68" s="157">
        <f t="shared" si="207"/>
        <v>106.29855217310215</v>
      </c>
      <c r="AB68" s="157">
        <f t="shared" si="207"/>
        <v>126.29530951259662</v>
      </c>
      <c r="AC68" s="157">
        <f t="shared" si="207"/>
        <v>150.05383308427321</v>
      </c>
      <c r="AD68" s="138" t="e">
        <f t="shared" si="167"/>
        <v>#NUM!</v>
      </c>
      <c r="AE68" s="137"/>
      <c r="AF68" s="146">
        <f t="shared" si="168"/>
        <v>1250.4486090356102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0.01</v>
      </c>
      <c r="H70" s="159">
        <f t="shared" si="208"/>
        <v>0</v>
      </c>
      <c r="I70" s="159">
        <f t="shared" si="208"/>
        <v>2</v>
      </c>
      <c r="J70" s="159">
        <f t="shared" si="208"/>
        <v>1</v>
      </c>
      <c r="K70" s="159">
        <f t="shared" si="208"/>
        <v>1.5</v>
      </c>
      <c r="L70" s="159">
        <f t="shared" si="208"/>
        <v>3</v>
      </c>
      <c r="M70" s="159">
        <f t="shared" si="208"/>
        <v>4</v>
      </c>
      <c r="N70" s="159">
        <f t="shared" si="208"/>
        <v>0.9</v>
      </c>
      <c r="O70" s="159">
        <f t="shared" si="208"/>
        <v>1</v>
      </c>
      <c r="P70" s="159">
        <f t="shared" si="208"/>
        <v>1</v>
      </c>
      <c r="Q70" s="159">
        <f t="shared" ref="Q70" si="209">Q44</f>
        <v>1</v>
      </c>
      <c r="R70" s="118">
        <f>((P70/G70)^(1/($H$2-$H$1) ))-1</f>
        <v>0.6681005372000588</v>
      </c>
      <c r="S70" s="128"/>
      <c r="T70" s="159">
        <f t="shared" ref="T70:AC70" si="210">T44</f>
        <v>1.05</v>
      </c>
      <c r="U70" s="159">
        <f t="shared" si="210"/>
        <v>1.1025</v>
      </c>
      <c r="V70" s="159">
        <f t="shared" si="210"/>
        <v>1.1576250000000001</v>
      </c>
      <c r="W70" s="159">
        <f t="shared" si="210"/>
        <v>1.2155062500000002</v>
      </c>
      <c r="X70" s="159">
        <f t="shared" si="210"/>
        <v>1.2762815625000004</v>
      </c>
      <c r="Y70" s="159">
        <f t="shared" si="210"/>
        <v>1.3400956406250004</v>
      </c>
      <c r="Z70" s="159">
        <f t="shared" si="210"/>
        <v>1.4071004226562505</v>
      </c>
      <c r="AA70" s="159">
        <f t="shared" si="210"/>
        <v>1.477455443789063</v>
      </c>
      <c r="AB70" s="159">
        <f t="shared" si="210"/>
        <v>1.5513282159785162</v>
      </c>
      <c r="AC70" s="159">
        <f t="shared" si="210"/>
        <v>1.628894626777442</v>
      </c>
      <c r="AD70" s="138">
        <f t="shared" ref="AD70" si="211">((AC70/G70)^(1/($AC$3-$H$1) ))-1</f>
        <v>0.2900146712670244</v>
      </c>
      <c r="AE70" s="31">
        <f t="shared" si="15"/>
        <v>0.05</v>
      </c>
      <c r="AF70" s="146">
        <f t="shared" si="168"/>
        <v>24.433419401661634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-24</v>
      </c>
      <c r="H72" s="144">
        <f t="shared" si="212"/>
        <v>-137</v>
      </c>
      <c r="I72" s="144">
        <f t="shared" si="212"/>
        <v>-216</v>
      </c>
      <c r="J72" s="144">
        <f t="shared" si="212"/>
        <v>-216</v>
      </c>
      <c r="K72" s="144">
        <f t="shared" si="212"/>
        <v>-602</v>
      </c>
      <c r="L72" s="144">
        <f t="shared" si="212"/>
        <v>-417</v>
      </c>
      <c r="M72" s="144">
        <f t="shared" si="212"/>
        <v>-732</v>
      </c>
      <c r="N72" s="144">
        <f t="shared" si="212"/>
        <v>775</v>
      </c>
      <c r="O72" s="144">
        <f t="shared" si="212"/>
        <v>-2532</v>
      </c>
      <c r="P72" s="144">
        <f t="shared" si="212"/>
        <v>-1076</v>
      </c>
      <c r="Q72" s="144">
        <f t="shared" ref="Q72" si="213">Q20+Q21</f>
        <v>-712</v>
      </c>
      <c r="R72" s="118">
        <f>((P72/G72)^(1/($H$2-$H$1) ))-1</f>
        <v>0.52584783395384216</v>
      </c>
      <c r="S72" s="128"/>
      <c r="T72" s="144">
        <f t="shared" ref="T72:AC72" si="214">T20+T21</f>
        <v>-854.40000000000009</v>
      </c>
      <c r="U72" s="144">
        <f t="shared" si="214"/>
        <v>-1025.2800000000002</v>
      </c>
      <c r="V72" s="144">
        <f t="shared" si="214"/>
        <v>-1230.3360000000002</v>
      </c>
      <c r="W72" s="144">
        <f t="shared" si="214"/>
        <v>-1476.4032000000007</v>
      </c>
      <c r="X72" s="144">
        <f t="shared" si="214"/>
        <v>-1771.6838400000006</v>
      </c>
      <c r="Y72" s="144">
        <f t="shared" si="214"/>
        <v>-2126.0206080000007</v>
      </c>
      <c r="Z72" s="144">
        <f t="shared" si="214"/>
        <v>-2551.2247296000005</v>
      </c>
      <c r="AA72" s="144">
        <f t="shared" si="214"/>
        <v>-3061.4696755200011</v>
      </c>
      <c r="AB72" s="144">
        <f t="shared" si="214"/>
        <v>-3673.7636106240006</v>
      </c>
      <c r="AC72" s="144">
        <f t="shared" si="214"/>
        <v>-4408.5163327488008</v>
      </c>
      <c r="AD72" s="138">
        <f t="shared" ref="AD72:AD77" si="215">((AC72/G72)^(1/($AC$3-$H$1) ))-1</f>
        <v>0.29778891585581624</v>
      </c>
      <c r="AE72" s="31">
        <f t="shared" si="15"/>
        <v>0.05</v>
      </c>
      <c r="AF72" s="146">
        <f t="shared" si="168"/>
        <v>-66127.744991232015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-1.7142857142857142</v>
      </c>
      <c r="H74" s="144">
        <f t="shared" si="216"/>
        <v>-9.7927090779127948</v>
      </c>
      <c r="I74" s="144">
        <f t="shared" si="216"/>
        <v>-11.986681465038846</v>
      </c>
      <c r="J74" s="144">
        <f t="shared" si="216"/>
        <v>-6</v>
      </c>
      <c r="K74" s="144">
        <f t="shared" si="216"/>
        <v>-15.05</v>
      </c>
      <c r="L74" s="144">
        <f t="shared" si="216"/>
        <v>-10.425000000000001</v>
      </c>
      <c r="M74" s="144">
        <f t="shared" si="216"/>
        <v>-18.3</v>
      </c>
      <c r="N74" s="144">
        <f t="shared" si="216"/>
        <v>3.875</v>
      </c>
      <c r="O74" s="144">
        <f t="shared" si="216"/>
        <v>-12.66</v>
      </c>
      <c r="P74" s="144">
        <f t="shared" si="216"/>
        <v>-5.38</v>
      </c>
      <c r="Q74" s="144">
        <f t="shared" ref="Q74" si="217">Q72/Q42</f>
        <v>-3.56</v>
      </c>
      <c r="R74" s="118">
        <f>((P74/G74)^(1/($H$2-$H$1) ))-1</f>
        <v>0.1355043061231449</v>
      </c>
      <c r="S74" s="128"/>
      <c r="T74" s="146">
        <f t="shared" ref="T74:AC74" si="218">T72/T42</f>
        <v>-4.2297029702970299</v>
      </c>
      <c r="U74" s="146">
        <f t="shared" si="218"/>
        <v>-5.0253896676796401</v>
      </c>
      <c r="V74" s="146">
        <f t="shared" si="218"/>
        <v>-5.9707600012035327</v>
      </c>
      <c r="W74" s="146">
        <f t="shared" si="218"/>
        <v>-7.0939722786576649</v>
      </c>
      <c r="X74" s="146">
        <f t="shared" si="218"/>
        <v>-8.4284819152368282</v>
      </c>
      <c r="Y74" s="146">
        <f t="shared" si="218"/>
        <v>-10.014037919093262</v>
      </c>
      <c r="Z74" s="146">
        <f t="shared" si="218"/>
        <v>-11.897866834566249</v>
      </c>
      <c r="AA74" s="146">
        <f t="shared" si="218"/>
        <v>-14.136079407405449</v>
      </c>
      <c r="AB74" s="146">
        <f t="shared" si="218"/>
        <v>-16.795341870184689</v>
      </c>
      <c r="AC74" s="146">
        <f t="shared" si="218"/>
        <v>-19.954861627942201</v>
      </c>
      <c r="AD74" s="138">
        <f t="shared" si="215"/>
        <v>0.13057213096066911</v>
      </c>
      <c r="AE74" s="31">
        <f t="shared" si="15"/>
        <v>0.05</v>
      </c>
      <c r="AF74" s="146">
        <f t="shared" si="168"/>
        <v>-299.32292441913307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21.428571428571427</v>
      </c>
      <c r="H75" s="144">
        <f t="shared" si="219"/>
        <v>14.510364546104361</v>
      </c>
      <c r="I75" s="144">
        <f t="shared" si="219"/>
        <v>11.154273029966705</v>
      </c>
      <c r="J75" s="144">
        <f t="shared" si="219"/>
        <v>12.444444444444445</v>
      </c>
      <c r="K75" s="144">
        <f t="shared" si="219"/>
        <v>13</v>
      </c>
      <c r="L75" s="144">
        <f t="shared" si="219"/>
        <v>17.375</v>
      </c>
      <c r="M75" s="144">
        <f t="shared" si="219"/>
        <v>25.875</v>
      </c>
      <c r="N75" s="144">
        <f t="shared" si="219"/>
        <v>6.29</v>
      </c>
      <c r="O75" s="144">
        <f t="shared" si="219"/>
        <v>6.4349999999999996</v>
      </c>
      <c r="P75" s="144">
        <f t="shared" si="219"/>
        <v>6.8449999999999998</v>
      </c>
      <c r="Q75" s="144">
        <f t="shared" ref="Q75" si="220">Q20/Q42</f>
        <v>8.0050000000000008</v>
      </c>
      <c r="R75" s="118">
        <f>((P75/G75)^(1/($H$2-$H$1) ))-1</f>
        <v>-0.11909081749977823</v>
      </c>
      <c r="S75" s="128"/>
      <c r="T75" s="146">
        <f t="shared" ref="T75:AC75" si="221">T20/T42</f>
        <v>9.5108910891089096</v>
      </c>
      <c r="U75" s="146">
        <f t="shared" si="221"/>
        <v>11.300068620723456</v>
      </c>
      <c r="V75" s="146">
        <f t="shared" si="221"/>
        <v>13.425824103829848</v>
      </c>
      <c r="W75" s="146">
        <f t="shared" si="221"/>
        <v>15.951474182768136</v>
      </c>
      <c r="X75" s="146">
        <f t="shared" si="221"/>
        <v>18.952246553783922</v>
      </c>
      <c r="Y75" s="146">
        <f t="shared" si="221"/>
        <v>22.517520657961093</v>
      </c>
      <c r="Z75" s="146">
        <f t="shared" si="221"/>
        <v>26.753489890646843</v>
      </c>
      <c r="AA75" s="146">
        <f t="shared" si="221"/>
        <v>31.786324622550701</v>
      </c>
      <c r="AB75" s="146">
        <f t="shared" si="221"/>
        <v>37.765930244614694</v>
      </c>
      <c r="AC75" s="146">
        <f t="shared" si="221"/>
        <v>44.870412171819432</v>
      </c>
      <c r="AD75" s="138">
        <f t="shared" si="215"/>
        <v>3.7643911144992437E-2</v>
      </c>
      <c r="AE75" s="31">
        <f t="shared" si="15"/>
        <v>0.05</v>
      </c>
      <c r="AF75" s="146">
        <f t="shared" si="168"/>
        <v>673.05618257729157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-23.142857142857142</v>
      </c>
      <c r="H76" s="144">
        <f t="shared" si="222"/>
        <v>-24.303073624017156</v>
      </c>
      <c r="I76" s="144">
        <f t="shared" si="222"/>
        <v>-23.140954495005548</v>
      </c>
      <c r="J76" s="144">
        <f t="shared" si="222"/>
        <v>-18.444444444444443</v>
      </c>
      <c r="K76" s="144">
        <f t="shared" si="222"/>
        <v>-28.05</v>
      </c>
      <c r="L76" s="144">
        <f t="shared" si="222"/>
        <v>-27.8</v>
      </c>
      <c r="M76" s="144">
        <f t="shared" si="222"/>
        <v>-44.174999999999997</v>
      </c>
      <c r="N76" s="144">
        <f t="shared" si="222"/>
        <v>-2.415</v>
      </c>
      <c r="O76" s="144">
        <f t="shared" si="222"/>
        <v>-19.094999999999999</v>
      </c>
      <c r="P76" s="144">
        <f t="shared" si="222"/>
        <v>-12.225</v>
      </c>
      <c r="Q76" s="144">
        <f t="shared" ref="Q76" si="223">Q21/Q42</f>
        <v>-11.565</v>
      </c>
      <c r="R76" s="118">
        <f>((P76/G76)^(1/($H$2-$H$1) ))-1</f>
        <v>-6.8455633704875174E-2</v>
      </c>
      <c r="S76" s="128"/>
      <c r="T76" s="146">
        <f t="shared" ref="T76:AC76" si="224">T21/T42</f>
        <v>-13.740594059405939</v>
      </c>
      <c r="U76" s="146">
        <f t="shared" si="224"/>
        <v>-16.325458288403095</v>
      </c>
      <c r="V76" s="146">
        <f t="shared" si="224"/>
        <v>-19.39658410503338</v>
      </c>
      <c r="W76" s="146">
        <f t="shared" si="224"/>
        <v>-23.045446461425801</v>
      </c>
      <c r="X76" s="146">
        <f t="shared" si="224"/>
        <v>-27.380728469020752</v>
      </c>
      <c r="Y76" s="146">
        <f t="shared" si="224"/>
        <v>-32.531558577054355</v>
      </c>
      <c r="Z76" s="146">
        <f t="shared" si="224"/>
        <v>-38.651356725213091</v>
      </c>
      <c r="AA76" s="146">
        <f t="shared" si="224"/>
        <v>-45.922404029956148</v>
      </c>
      <c r="AB76" s="146">
        <f t="shared" si="224"/>
        <v>-54.561272114799387</v>
      </c>
      <c r="AC76" s="146">
        <f t="shared" si="224"/>
        <v>-64.825273799761632</v>
      </c>
      <c r="AD76" s="138">
        <f t="shared" si="215"/>
        <v>5.2849679494933355E-2</v>
      </c>
      <c r="AE76" s="31">
        <f t="shared" si="15"/>
        <v>0.05</v>
      </c>
      <c r="AF76" s="146">
        <f t="shared" si="168"/>
        <v>-972.37910699642464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1.7857142857142858</v>
      </c>
      <c r="H77" s="144">
        <f t="shared" si="225"/>
        <v>11.150822015725518</v>
      </c>
      <c r="I77" s="144">
        <f t="shared" si="225"/>
        <v>15.704772475027747</v>
      </c>
      <c r="J77" s="144">
        <f t="shared" si="225"/>
        <v>4.833333333333333</v>
      </c>
      <c r="K77" s="144">
        <f t="shared" si="225"/>
        <v>55.1</v>
      </c>
      <c r="L77" s="144">
        <f t="shared" si="225"/>
        <v>-1.3</v>
      </c>
      <c r="M77" s="144">
        <f t="shared" si="225"/>
        <v>16.875</v>
      </c>
      <c r="N77" s="144">
        <f t="shared" si="225"/>
        <v>-4.57</v>
      </c>
      <c r="O77" s="144">
        <f t="shared" si="225"/>
        <v>13.4</v>
      </c>
      <c r="P77" s="144">
        <f t="shared" si="225"/>
        <v>7.08</v>
      </c>
      <c r="Q77" s="144">
        <f t="shared" ref="Q77" si="226">Q22/Q42</f>
        <v>1.25</v>
      </c>
      <c r="R77" s="118">
        <f>((P77/G77)^(1/($H$2-$H$1) ))-1</f>
        <v>0.16538394749098551</v>
      </c>
      <c r="S77" s="128"/>
      <c r="T77" s="146">
        <f t="shared" ref="T77:AC77" si="227">T22/T42</f>
        <v>1.4851485148514851</v>
      </c>
      <c r="U77" s="146">
        <f t="shared" si="227"/>
        <v>1.7645328889324574</v>
      </c>
      <c r="V77" s="146">
        <f t="shared" si="227"/>
        <v>2.0964747195237119</v>
      </c>
      <c r="W77" s="146">
        <f t="shared" si="227"/>
        <v>2.4908610528994597</v>
      </c>
      <c r="X77" s="146">
        <f t="shared" si="227"/>
        <v>2.9594388747320313</v>
      </c>
      <c r="Y77" s="146">
        <f t="shared" si="227"/>
        <v>3.5161649996816209</v>
      </c>
      <c r="Z77" s="146">
        <f t="shared" si="227"/>
        <v>4.1776217817999459</v>
      </c>
      <c r="AA77" s="146">
        <f t="shared" si="227"/>
        <v>4.9635110278811236</v>
      </c>
      <c r="AB77" s="146">
        <f t="shared" si="227"/>
        <v>5.8972408252052952</v>
      </c>
      <c r="AC77" s="146">
        <f t="shared" si="227"/>
        <v>7.006622762620152</v>
      </c>
      <c r="AD77" s="138">
        <f t="shared" si="215"/>
        <v>7.0741999664404531E-2</v>
      </c>
      <c r="AE77" s="31">
        <f t="shared" si="15"/>
        <v>0.05</v>
      </c>
      <c r="AF77" s="146">
        <f t="shared" si="168"/>
        <v>105.09934143930229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0.2857142857142857</v>
      </c>
      <c r="H78" s="144">
        <f t="shared" si="228"/>
        <v>2.2158684774839172</v>
      </c>
      <c r="I78" s="144">
        <f t="shared" si="228"/>
        <v>5.4384017758046612</v>
      </c>
      <c r="J78" s="144">
        <f t="shared" si="228"/>
        <v>1.5833333333333333</v>
      </c>
      <c r="K78" s="144">
        <f t="shared" si="228"/>
        <v>40.85</v>
      </c>
      <c r="L78" s="144">
        <f t="shared" si="228"/>
        <v>29.125</v>
      </c>
      <c r="M78" s="144">
        <f t="shared" si="228"/>
        <v>5.0999999999999996</v>
      </c>
      <c r="N78" s="144">
        <f t="shared" si="228"/>
        <v>0.32</v>
      </c>
      <c r="O78" s="144">
        <f t="shared" si="228"/>
        <v>1.07</v>
      </c>
      <c r="P78" s="144">
        <f t="shared" si="228"/>
        <v>2.7749999999999999</v>
      </c>
      <c r="Q78" s="144">
        <f t="shared" ref="Q78" si="229">Q23/Q42</f>
        <v>0.46</v>
      </c>
      <c r="R78" s="118">
        <f>((P78/G78)^(1/($H$2-$H$1) ))-1</f>
        <v>0.28737018844769069</v>
      </c>
      <c r="S78" s="128"/>
      <c r="T78" s="146">
        <f t="shared" ref="T78:AC78" si="230">T23/T42</f>
        <v>0.54653465346534646</v>
      </c>
      <c r="U78" s="146">
        <f t="shared" si="230"/>
        <v>0.6493481031271443</v>
      </c>
      <c r="V78" s="146">
        <f t="shared" si="230"/>
        <v>0.77150269678472583</v>
      </c>
      <c r="W78" s="146">
        <f t="shared" si="230"/>
        <v>0.91663686746700102</v>
      </c>
      <c r="X78" s="146">
        <f t="shared" si="230"/>
        <v>1.0890735059013874</v>
      </c>
      <c r="Y78" s="146">
        <f t="shared" si="230"/>
        <v>1.2939487198828366</v>
      </c>
      <c r="Z78" s="146">
        <f t="shared" si="230"/>
        <v>1.53736481570238</v>
      </c>
      <c r="AA78" s="146">
        <f t="shared" si="230"/>
        <v>1.8265720582602536</v>
      </c>
      <c r="AB78" s="146">
        <f t="shared" si="230"/>
        <v>2.1701846236755489</v>
      </c>
      <c r="AC78" s="146">
        <f t="shared" si="230"/>
        <v>2.5784371766442158</v>
      </c>
      <c r="AD78" s="138">
        <f t="shared" ref="AD78" si="231">((AC78/G78)^(1/($AC$3-$H$1) ))-1</f>
        <v>0.11627508098113593</v>
      </c>
      <c r="AE78" s="31">
        <f t="shared" si="15"/>
        <v>0.05</v>
      </c>
      <c r="AF78" s="146">
        <f t="shared" si="168"/>
        <v>38.676557649663238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4.8571428571428568</v>
      </c>
      <c r="H80" s="144">
        <f t="shared" si="232"/>
        <v>12.294496068620443</v>
      </c>
      <c r="I80" s="144">
        <f t="shared" si="232"/>
        <v>12.763596004439512</v>
      </c>
      <c r="J80" s="144">
        <f t="shared" si="232"/>
        <v>8.8055555555555554</v>
      </c>
      <c r="K80" s="144">
        <f t="shared" si="232"/>
        <v>13.425000000000001</v>
      </c>
      <c r="L80" s="144">
        <f t="shared" si="232"/>
        <v>18.95</v>
      </c>
      <c r="M80" s="144">
        <f t="shared" si="232"/>
        <v>24.225000000000001</v>
      </c>
      <c r="N80" s="144">
        <f t="shared" si="232"/>
        <v>6.4950000000000001</v>
      </c>
      <c r="O80" s="144">
        <f t="shared" si="232"/>
        <v>8.73</v>
      </c>
      <c r="P80" s="144">
        <f t="shared" si="232"/>
        <v>11.875</v>
      </c>
      <c r="Q80" s="144">
        <f t="shared" ref="Q80" si="233">Q36/Q42</f>
        <v>14.6</v>
      </c>
      <c r="R80" s="118">
        <f>((P80/G80)^(1/($H$2-$H$1) ))-1</f>
        <v>0.10443253913370643</v>
      </c>
      <c r="S80" s="128"/>
      <c r="T80" s="144">
        <f t="shared" ref="T80:AC80" si="234">T36/T42</f>
        <v>17.346534653465348</v>
      </c>
      <c r="U80" s="144">
        <f t="shared" si="234"/>
        <v>20.609744142731106</v>
      </c>
      <c r="V80" s="144">
        <f t="shared" si="234"/>
        <v>24.486824724036957</v>
      </c>
      <c r="W80" s="144">
        <f t="shared" si="234"/>
        <v>29.093257097865692</v>
      </c>
      <c r="X80" s="144">
        <f t="shared" si="234"/>
        <v>34.566246056870128</v>
      </c>
      <c r="Y80" s="144">
        <f t="shared" si="234"/>
        <v>41.068807196281341</v>
      </c>
      <c r="Z80" s="144">
        <f t="shared" si="234"/>
        <v>48.794622411423383</v>
      </c>
      <c r="AA80" s="144">
        <f t="shared" si="234"/>
        <v>57.973808805651537</v>
      </c>
      <c r="AB80" s="144">
        <f t="shared" si="234"/>
        <v>68.879772838397869</v>
      </c>
      <c r="AC80" s="144">
        <f t="shared" si="234"/>
        <v>81.837353867403408</v>
      </c>
      <c r="AD80" s="138">
        <f t="shared" ref="AD80:AD82" si="235">((AC80/G80)^(1/($AC$3-$H$1) ))-1</f>
        <v>0.15167127573404038</v>
      </c>
      <c r="AE80" s="31">
        <f t="shared" si="15"/>
        <v>0.05</v>
      </c>
      <c r="AF80" s="146">
        <f t="shared" si="168"/>
        <v>1227.5603080110513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0.21428571428571427</v>
      </c>
      <c r="H81" s="144">
        <f t="shared" si="236"/>
        <v>4.4317369549678345</v>
      </c>
      <c r="I81" s="144">
        <f t="shared" si="236"/>
        <v>3.7180910099889015</v>
      </c>
      <c r="J81" s="144">
        <f t="shared" si="236"/>
        <v>5.1944444444444446</v>
      </c>
      <c r="K81" s="144">
        <f t="shared" si="236"/>
        <v>5.2750000000000004</v>
      </c>
      <c r="L81" s="144">
        <f t="shared" si="236"/>
        <v>10.8</v>
      </c>
      <c r="M81" s="144">
        <f t="shared" si="236"/>
        <v>16.824999999999999</v>
      </c>
      <c r="N81" s="144">
        <f t="shared" si="236"/>
        <v>4.585</v>
      </c>
      <c r="O81" s="144">
        <f t="shared" si="236"/>
        <v>5.46</v>
      </c>
      <c r="P81" s="144">
        <f t="shared" si="236"/>
        <v>8.19</v>
      </c>
      <c r="Q81" s="144">
        <f t="shared" ref="Q81" si="237">Q40/Q42</f>
        <v>8.7050000000000001</v>
      </c>
      <c r="R81" s="118">
        <f>((P81/G81)^(1/($H$2-$H$1) ))-1</f>
        <v>0.4990291419638524</v>
      </c>
      <c r="S81" s="128"/>
      <c r="T81" s="144">
        <f t="shared" ref="T81:AC81" si="238">T40/T42</f>
        <v>10.342574257425742</v>
      </c>
      <c r="U81" s="144">
        <f t="shared" si="238"/>
        <v>12.288207038525632</v>
      </c>
      <c r="V81" s="144">
        <f t="shared" si="238"/>
        <v>14.599849946763127</v>
      </c>
      <c r="W81" s="144">
        <f t="shared" si="238"/>
        <v>17.346356372391835</v>
      </c>
      <c r="X81" s="144">
        <f t="shared" si="238"/>
        <v>20.609532323633861</v>
      </c>
      <c r="Y81" s="144">
        <f t="shared" si="238"/>
        <v>24.486573057782806</v>
      </c>
      <c r="Z81" s="144">
        <f t="shared" si="238"/>
        <v>29.092958088454818</v>
      </c>
      <c r="AA81" s="144">
        <f t="shared" si="238"/>
        <v>34.565890798164141</v>
      </c>
      <c r="AB81" s="144">
        <f t="shared" si="238"/>
        <v>41.068385106729671</v>
      </c>
      <c r="AC81" s="144">
        <f t="shared" si="238"/>
        <v>48.794120918886733</v>
      </c>
      <c r="AD81" s="138">
        <f t="shared" si="235"/>
        <v>0.31180328449060513</v>
      </c>
      <c r="AE81" s="31">
        <f t="shared" si="15"/>
        <v>0.05</v>
      </c>
      <c r="AF81" s="146">
        <f t="shared" si="168"/>
        <v>731.91181378330111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23.214285714285715</v>
      </c>
      <c r="H82" s="144">
        <f t="shared" si="239"/>
        <v>27.805575411007862</v>
      </c>
      <c r="I82" s="144">
        <f t="shared" si="239"/>
        <v>23.029966703662598</v>
      </c>
      <c r="J82" s="144">
        <f t="shared" si="239"/>
        <v>10.722222222222221</v>
      </c>
      <c r="K82" s="144">
        <f t="shared" si="239"/>
        <v>55.4</v>
      </c>
      <c r="L82" s="144">
        <f t="shared" si="239"/>
        <v>63.15</v>
      </c>
      <c r="M82" s="144">
        <f t="shared" si="239"/>
        <v>76.5</v>
      </c>
      <c r="N82" s="144">
        <f t="shared" si="239"/>
        <v>18.93</v>
      </c>
      <c r="O82" s="144">
        <f t="shared" si="239"/>
        <v>22.055</v>
      </c>
      <c r="P82" s="144">
        <f t="shared" si="239"/>
        <v>29.96</v>
      </c>
      <c r="Q82" s="144">
        <f t="shared" ref="Q82" si="240">Q6/Q42</f>
        <v>41.755000000000003</v>
      </c>
      <c r="R82" s="118">
        <f>((P82/G82)^(1/($H$2-$H$1) ))-1</f>
        <v>2.8749434056462242E-2</v>
      </c>
      <c r="S82" s="128"/>
      <c r="T82" s="144">
        <f t="shared" ref="T82:AC82" si="241">T6/T42</f>
        <v>49.609900990099007</v>
      </c>
      <c r="U82" s="144">
        <f t="shared" si="241"/>
        <v>58.942456621899801</v>
      </c>
      <c r="V82" s="144">
        <f t="shared" si="241"/>
        <v>70.030641530970058</v>
      </c>
      <c r="W82" s="144">
        <f t="shared" si="241"/>
        <v>83.204722611053541</v>
      </c>
      <c r="X82" s="144">
        <f t="shared" si="241"/>
        <v>98.857096171548761</v>
      </c>
      <c r="Y82" s="144">
        <f t="shared" si="241"/>
        <v>117.45397564936485</v>
      </c>
      <c r="Z82" s="144">
        <f t="shared" si="241"/>
        <v>139.54927799924536</v>
      </c>
      <c r="AA82" s="144">
        <f t="shared" si="241"/>
        <v>165.80112237534104</v>
      </c>
      <c r="AB82" s="144">
        <f t="shared" si="241"/>
        <v>196.99143252515768</v>
      </c>
      <c r="AC82" s="144">
        <f t="shared" si="241"/>
        <v>234.04922676256359</v>
      </c>
      <c r="AD82" s="138">
        <f t="shared" si="235"/>
        <v>0.12247737055026842</v>
      </c>
      <c r="AE82" s="31">
        <f t="shared" ref="AE82" si="242">$L$1</f>
        <v>0.05</v>
      </c>
      <c r="AF82" s="146">
        <f t="shared" si="168"/>
        <v>3510.7384014384543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0.61261261261261257</v>
      </c>
      <c r="H86" s="152">
        <f t="shared" si="243"/>
        <v>0.62093862815884482</v>
      </c>
      <c r="I86" s="152">
        <f t="shared" si="243"/>
        <v>0.57788944723618085</v>
      </c>
      <c r="J86" s="152">
        <f t="shared" si="243"/>
        <v>0.54003407155025551</v>
      </c>
      <c r="K86" s="152">
        <f t="shared" si="243"/>
        <v>0.60746606334841624</v>
      </c>
      <c r="L86" s="152">
        <f t="shared" si="243"/>
        <v>0.57951070336391441</v>
      </c>
      <c r="M86" s="152">
        <f t="shared" si="243"/>
        <v>0.57507418397626109</v>
      </c>
      <c r="N86" s="152">
        <f t="shared" si="243"/>
        <v>0.63958641063515509</v>
      </c>
      <c r="O86" s="152">
        <f t="shared" si="243"/>
        <v>0.6388583973655324</v>
      </c>
      <c r="P86" s="152">
        <f t="shared" si="243"/>
        <v>0.60494141619969433</v>
      </c>
      <c r="Q86" s="152">
        <f t="shared" ref="Q86" si="244">Q36/Q25</f>
        <v>0.53023424732159075</v>
      </c>
      <c r="R86" s="118">
        <f t="shared" ref="R86:R138" si="245">((P86/G86)^(1/($H$2-$H$1) ))-1</f>
        <v>-1.399149413326306E-3</v>
      </c>
      <c r="S86" s="152"/>
      <c r="T86" s="152">
        <f t="shared" ref="T86:AC86" si="246">T36/T25</f>
        <v>0.53023424732159075</v>
      </c>
      <c r="U86" s="152">
        <f t="shared" si="246"/>
        <v>0.53023424732159075</v>
      </c>
      <c r="V86" s="152">
        <f t="shared" si="246"/>
        <v>0.53023424732159086</v>
      </c>
      <c r="W86" s="152">
        <f t="shared" si="246"/>
        <v>0.53023424732159086</v>
      </c>
      <c r="X86" s="152">
        <f t="shared" si="246"/>
        <v>0.53023424732159086</v>
      </c>
      <c r="Y86" s="152">
        <f t="shared" si="246"/>
        <v>0.53023424732159097</v>
      </c>
      <c r="Z86" s="152">
        <f t="shared" si="246"/>
        <v>0.53023424732159097</v>
      </c>
      <c r="AA86" s="152">
        <f t="shared" si="246"/>
        <v>0.53023424732159097</v>
      </c>
      <c r="AB86" s="152">
        <f t="shared" si="246"/>
        <v>0.53023424732159097</v>
      </c>
      <c r="AC86" s="152">
        <f t="shared" si="246"/>
        <v>0.53023424732159108</v>
      </c>
      <c r="AD86" s="138">
        <f t="shared" ref="AD86:AD125" si="247">((AC86/G86)^(1/($AC$3-$H$1) ))-1</f>
        <v>-7.1946883086768665E-3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2.7027027027027029E-2</v>
      </c>
      <c r="H87" s="152">
        <f t="shared" si="248"/>
        <v>0.22382671480144403</v>
      </c>
      <c r="I87" s="152">
        <f t="shared" si="248"/>
        <v>0.16834170854271358</v>
      </c>
      <c r="J87" s="152">
        <f t="shared" si="248"/>
        <v>0.31856899488926749</v>
      </c>
      <c r="K87" s="152">
        <f t="shared" si="248"/>
        <v>0.23868778280542988</v>
      </c>
      <c r="L87" s="152">
        <f t="shared" si="248"/>
        <v>0.33027522935779818</v>
      </c>
      <c r="M87" s="152">
        <f t="shared" si="248"/>
        <v>0.39940652818991096</v>
      </c>
      <c r="N87" s="152">
        <f t="shared" si="248"/>
        <v>0.45150172328902016</v>
      </c>
      <c r="O87" s="152">
        <f t="shared" si="248"/>
        <v>0.39956092206366628</v>
      </c>
      <c r="P87" s="152">
        <f t="shared" si="248"/>
        <v>0.41721854304635764</v>
      </c>
      <c r="Q87" s="152">
        <f t="shared" ref="Q87" si="249">Q40/Q25</f>
        <v>0.31614309061194845</v>
      </c>
      <c r="R87" s="118">
        <f t="shared" si="245"/>
        <v>0.35538543385680788</v>
      </c>
      <c r="S87" s="152"/>
      <c r="T87" s="152">
        <f t="shared" ref="T87:AC87" si="250">T40/T25</f>
        <v>0.3161430906119484</v>
      </c>
      <c r="U87" s="152">
        <f t="shared" si="250"/>
        <v>0.3161430906119484</v>
      </c>
      <c r="V87" s="152">
        <f t="shared" si="250"/>
        <v>0.31614309061194845</v>
      </c>
      <c r="W87" s="152">
        <f t="shared" si="250"/>
        <v>0.31614309061194845</v>
      </c>
      <c r="X87" s="152">
        <f t="shared" si="250"/>
        <v>0.31614309061194845</v>
      </c>
      <c r="Y87" s="152">
        <f t="shared" si="250"/>
        <v>0.31614309061194845</v>
      </c>
      <c r="Z87" s="152">
        <f t="shared" si="250"/>
        <v>0.31614309061194851</v>
      </c>
      <c r="AA87" s="152">
        <f t="shared" si="250"/>
        <v>0.31614309061194845</v>
      </c>
      <c r="AB87" s="152">
        <f t="shared" si="250"/>
        <v>0.31614309061194851</v>
      </c>
      <c r="AC87" s="152">
        <f t="shared" si="250"/>
        <v>0.31614309061194856</v>
      </c>
      <c r="AD87" s="138">
        <f t="shared" si="247"/>
        <v>0.13084809543965426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6.3965884861407248E-3</v>
      </c>
      <c r="H88" s="152">
        <f t="shared" si="251"/>
        <v>0.10839160839160839</v>
      </c>
      <c r="I88" s="152">
        <f t="shared" si="251"/>
        <v>0.11204013377926421</v>
      </c>
      <c r="J88" s="152">
        <f t="shared" si="251"/>
        <v>0.24933333333333332</v>
      </c>
      <c r="K88" s="152">
        <f t="shared" si="251"/>
        <v>8.0503624570774507E-2</v>
      </c>
      <c r="L88" s="152">
        <f t="shared" si="251"/>
        <v>0.14744027303754267</v>
      </c>
      <c r="M88" s="152">
        <f t="shared" si="251"/>
        <v>0.19434016748483973</v>
      </c>
      <c r="N88" s="152">
        <f t="shared" si="251"/>
        <v>0.21890666030078779</v>
      </c>
      <c r="O88" s="152">
        <f t="shared" si="251"/>
        <v>0.22679127725856699</v>
      </c>
      <c r="P88" s="152">
        <f t="shared" ref="P88:Q88" si="252">P40/P7</f>
        <v>0.25609756097560976</v>
      </c>
      <c r="Q88" s="152">
        <f t="shared" si="252"/>
        <v>0.19856295620437955</v>
      </c>
      <c r="R88" s="118">
        <f t="shared" si="245"/>
        <v>0.50678324091371874</v>
      </c>
      <c r="S88" s="20"/>
      <c r="T88" s="152">
        <f t="shared" ref="T88" si="253">T40/T7</f>
        <v>0.19856295620437953</v>
      </c>
      <c r="U88" s="152">
        <f t="shared" ref="U88:AC88" si="254">U40/U7</f>
        <v>0.19856295620437953</v>
      </c>
      <c r="V88" s="152">
        <f t="shared" si="254"/>
        <v>0.19856295620437953</v>
      </c>
      <c r="W88" s="152">
        <f t="shared" si="254"/>
        <v>0.19856295620437953</v>
      </c>
      <c r="X88" s="152">
        <f t="shared" si="254"/>
        <v>0.19856295620437953</v>
      </c>
      <c r="Y88" s="152">
        <f t="shared" si="254"/>
        <v>0.19856295620437953</v>
      </c>
      <c r="Z88" s="152">
        <f t="shared" si="254"/>
        <v>0.19856295620437953</v>
      </c>
      <c r="AA88" s="152">
        <f t="shared" si="254"/>
        <v>0.19856295620437955</v>
      </c>
      <c r="AB88" s="152">
        <f t="shared" si="254"/>
        <v>0.19856295620437955</v>
      </c>
      <c r="AC88" s="152">
        <f t="shared" si="254"/>
        <v>0.19856295620437958</v>
      </c>
      <c r="AD88" s="138">
        <f t="shared" si="247"/>
        <v>0.18740122024825512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3.9787798408488064E-3</v>
      </c>
      <c r="H89" s="152">
        <f t="shared" ref="H89:O89" si="256">(H40)/(H7+H10)</f>
        <v>5.1839464882943144E-2</v>
      </c>
      <c r="I89" s="152">
        <f t="shared" si="256"/>
        <v>4.2948717948717949E-2</v>
      </c>
      <c r="J89" s="152">
        <f t="shared" si="256"/>
        <v>6.8049490538573509E-2</v>
      </c>
      <c r="K89" s="152">
        <f t="shared" si="256"/>
        <v>3.9476145930776425E-2</v>
      </c>
      <c r="L89" s="152">
        <f t="shared" si="256"/>
        <v>6.6707844348363188E-2</v>
      </c>
      <c r="M89" s="152">
        <f t="shared" si="256"/>
        <v>8.6304180559117719E-2</v>
      </c>
      <c r="N89" s="152">
        <f t="shared" si="256"/>
        <v>0.11785117594139571</v>
      </c>
      <c r="O89" s="152">
        <f t="shared" si="256"/>
        <v>5.1349572086899276E-2</v>
      </c>
      <c r="P89" s="152">
        <f t="shared" ref="P89:Q89" si="257">(P40)/(P7+P10)</f>
        <v>9.6025325360534652E-2</v>
      </c>
      <c r="Q89" s="152">
        <f t="shared" si="257"/>
        <v>8.5088705341869894E-2</v>
      </c>
      <c r="R89" s="118">
        <f t="shared" si="245"/>
        <v>0.42438112066544709</v>
      </c>
      <c r="S89" s="20"/>
      <c r="T89" s="152">
        <f t="shared" ref="T89:AC89" si="258">(T40)/(T7+T10)</f>
        <v>8.5088705341869894E-2</v>
      </c>
      <c r="U89" s="152">
        <f t="shared" si="258"/>
        <v>8.5088705341869894E-2</v>
      </c>
      <c r="V89" s="152">
        <f t="shared" si="258"/>
        <v>8.5088705341869894E-2</v>
      </c>
      <c r="W89" s="152">
        <f t="shared" si="258"/>
        <v>8.508870534186988E-2</v>
      </c>
      <c r="X89" s="152">
        <f t="shared" si="258"/>
        <v>8.508870534186988E-2</v>
      </c>
      <c r="Y89" s="152">
        <f t="shared" si="258"/>
        <v>8.5088705341869894E-2</v>
      </c>
      <c r="Z89" s="152">
        <f t="shared" si="258"/>
        <v>8.5088705341869894E-2</v>
      </c>
      <c r="AA89" s="152">
        <f t="shared" si="258"/>
        <v>8.5088705341869908E-2</v>
      </c>
      <c r="AB89" s="152">
        <f t="shared" si="258"/>
        <v>8.5088705341869908E-2</v>
      </c>
      <c r="AC89" s="152">
        <f t="shared" si="258"/>
        <v>8.5088705341869908E-2</v>
      </c>
      <c r="AD89" s="138">
        <f t="shared" si="247"/>
        <v>0.16548342175849329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2.7027027027027026</v>
      </c>
      <c r="H90" s="152">
        <f t="shared" ref="H90:P90" si="259">H20/H25</f>
        <v>0.73285198555956677</v>
      </c>
      <c r="I90" s="152">
        <f t="shared" si="259"/>
        <v>0.50502512562814073</v>
      </c>
      <c r="J90" s="152">
        <f t="shared" si="259"/>
        <v>0.76320272572402048</v>
      </c>
      <c r="K90" s="152">
        <f t="shared" si="259"/>
        <v>0.58823529411764708</v>
      </c>
      <c r="L90" s="152">
        <f t="shared" si="259"/>
        <v>0.53134556574923553</v>
      </c>
      <c r="M90" s="152">
        <f t="shared" si="259"/>
        <v>0.6142433234421365</v>
      </c>
      <c r="N90" s="152">
        <f t="shared" si="259"/>
        <v>0.61939931068439191</v>
      </c>
      <c r="O90" s="152">
        <f t="shared" si="259"/>
        <v>0.47091108671789245</v>
      </c>
      <c r="P90" s="152">
        <f t="shared" si="259"/>
        <v>0.34870096790626592</v>
      </c>
      <c r="Q90" s="152">
        <f t="shared" ref="Q90" si="260">Q20/Q25</f>
        <v>0.29072090067187217</v>
      </c>
      <c r="R90" s="118">
        <f t="shared" si="245"/>
        <v>-0.20350349363634956</v>
      </c>
      <c r="S90" s="20"/>
      <c r="T90" s="152">
        <f t="shared" ref="T90:AC90" si="261">T20/T25</f>
        <v>0.29072090067187217</v>
      </c>
      <c r="U90" s="152">
        <f t="shared" si="261"/>
        <v>0.29072090067187217</v>
      </c>
      <c r="V90" s="152">
        <f t="shared" si="261"/>
        <v>0.29072090067187217</v>
      </c>
      <c r="W90" s="152">
        <f t="shared" si="261"/>
        <v>0.29072090067187217</v>
      </c>
      <c r="X90" s="152">
        <f t="shared" si="261"/>
        <v>0.29072090067187212</v>
      </c>
      <c r="Y90" s="152">
        <f t="shared" si="261"/>
        <v>0.29072090067187212</v>
      </c>
      <c r="Z90" s="152">
        <f t="shared" si="261"/>
        <v>0.29072090067187212</v>
      </c>
      <c r="AA90" s="152">
        <f t="shared" si="261"/>
        <v>0.29072090067187212</v>
      </c>
      <c r="AB90" s="152">
        <f t="shared" si="261"/>
        <v>0.29072090067187212</v>
      </c>
      <c r="AC90" s="152">
        <f t="shared" si="261"/>
        <v>0.29072090067187217</v>
      </c>
      <c r="AD90" s="138">
        <f t="shared" si="247"/>
        <v>-0.10549267978199484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-9.0090090090090089E-3</v>
      </c>
      <c r="H91" s="152">
        <f t="shared" ref="H91:P91" si="262">H52/H25</f>
        <v>0.10469314079422383</v>
      </c>
      <c r="I91" s="152">
        <f t="shared" si="262"/>
        <v>0.12060301507537688</v>
      </c>
      <c r="J91" s="152">
        <f t="shared" si="262"/>
        <v>-3.2367972742759793E-2</v>
      </c>
      <c r="K91" s="152">
        <f t="shared" si="262"/>
        <v>0.17307692307692307</v>
      </c>
      <c r="L91" s="152">
        <f t="shared" si="262"/>
        <v>5.8103975535168197E-2</v>
      </c>
      <c r="M91" s="152">
        <f t="shared" si="262"/>
        <v>4.629080118694362E-2</v>
      </c>
      <c r="N91" s="152">
        <f t="shared" si="262"/>
        <v>4.2343673067454457E-2</v>
      </c>
      <c r="O91" s="152">
        <f t="shared" si="262"/>
        <v>3.4028540065861687E-2</v>
      </c>
      <c r="P91" s="152">
        <f t="shared" si="262"/>
        <v>3.1329597554763118E-2</v>
      </c>
      <c r="Q91" s="152">
        <f t="shared" ref="Q91" si="263">Q52/Q25</f>
        <v>4.2854548756128562E-2</v>
      </c>
      <c r="R91" s="118">
        <f t="shared" si="245"/>
        <v>-2.1485290310684304</v>
      </c>
      <c r="S91" s="20"/>
      <c r="T91" s="152">
        <f t="shared" ref="T91:AC91" si="264">T52/T25</f>
        <v>4.285454875612861E-2</v>
      </c>
      <c r="U91" s="152">
        <f t="shared" si="264"/>
        <v>4.2854548756128645E-2</v>
      </c>
      <c r="V91" s="152">
        <f t="shared" si="264"/>
        <v>4.2854548756128624E-2</v>
      </c>
      <c r="W91" s="152">
        <f t="shared" si="264"/>
        <v>4.2854548756128652E-2</v>
      </c>
      <c r="X91" s="152">
        <f t="shared" si="264"/>
        <v>4.2854548756128645E-2</v>
      </c>
      <c r="Y91" s="152">
        <f t="shared" si="264"/>
        <v>4.2854548756128603E-2</v>
      </c>
      <c r="Z91" s="152">
        <f t="shared" si="264"/>
        <v>4.2854548756128603E-2</v>
      </c>
      <c r="AA91" s="152">
        <f t="shared" si="264"/>
        <v>4.2854548756128638E-2</v>
      </c>
      <c r="AB91" s="152">
        <f t="shared" si="264"/>
        <v>4.2854548756128666E-2</v>
      </c>
      <c r="AC91" s="152">
        <f t="shared" si="264"/>
        <v>4.2854548756128673E-2</v>
      </c>
      <c r="AD91" s="138" t="e">
        <f t="shared" si="247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0.40540540540540543</v>
      </c>
      <c r="H93" s="152">
        <f t="shared" ref="H93:P93" si="265">H29/H25</f>
        <v>0.1299638989169675</v>
      </c>
      <c r="I93" s="152">
        <f t="shared" si="265"/>
        <v>0.13819095477386933</v>
      </c>
      <c r="J93" s="152">
        <f t="shared" si="265"/>
        <v>0.11584327086882454</v>
      </c>
      <c r="K93" s="152">
        <f t="shared" si="265"/>
        <v>0.15497737556561086</v>
      </c>
      <c r="L93" s="152">
        <f t="shared" si="265"/>
        <v>0.1643730886850153</v>
      </c>
      <c r="M93" s="152">
        <f t="shared" si="265"/>
        <v>0.12937685459940654</v>
      </c>
      <c r="N93" s="152">
        <f t="shared" si="265"/>
        <v>4.3328409650418516E-2</v>
      </c>
      <c r="O93" s="152">
        <f t="shared" si="265"/>
        <v>0.10281741675814124</v>
      </c>
      <c r="P93" s="152">
        <f t="shared" si="265"/>
        <v>0.13805399898115131</v>
      </c>
      <c r="Q93" s="152">
        <f t="shared" ref="Q93" si="266">Q29/Q25</f>
        <v>0.17741056836753225</v>
      </c>
      <c r="R93" s="118">
        <f t="shared" si="245"/>
        <v>-0.11280779503714145</v>
      </c>
      <c r="S93" s="20"/>
      <c r="T93" s="152">
        <f t="shared" ref="T93:AC93" si="267">T29/T25</f>
        <v>0.17741056836753222</v>
      </c>
      <c r="U93" s="152">
        <f t="shared" si="267"/>
        <v>0.17741056836753225</v>
      </c>
      <c r="V93" s="152">
        <f t="shared" si="267"/>
        <v>0.17741056836753225</v>
      </c>
      <c r="W93" s="152">
        <f t="shared" si="267"/>
        <v>0.17741056836753225</v>
      </c>
      <c r="X93" s="152">
        <f t="shared" si="267"/>
        <v>0.17741056836753225</v>
      </c>
      <c r="Y93" s="152">
        <f t="shared" si="267"/>
        <v>0.17741056836753225</v>
      </c>
      <c r="Z93" s="152">
        <f t="shared" si="267"/>
        <v>0.17741056836753227</v>
      </c>
      <c r="AA93" s="152">
        <f t="shared" si="267"/>
        <v>0.17741056836753227</v>
      </c>
      <c r="AB93" s="152">
        <f t="shared" si="267"/>
        <v>0.17741056836753227</v>
      </c>
      <c r="AC93" s="152">
        <f t="shared" si="267"/>
        <v>0.1774105683675323</v>
      </c>
      <c r="AD93" s="138">
        <f t="shared" si="247"/>
        <v>-4.0478970167689754E-2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0.66176470588235292</v>
      </c>
      <c r="H94" s="152">
        <f t="shared" ref="H94:P94" si="268">H29/H36</f>
        <v>0.20930232558139536</v>
      </c>
      <c r="I94" s="152">
        <f t="shared" si="268"/>
        <v>0.2391304347826087</v>
      </c>
      <c r="J94" s="152">
        <f t="shared" si="268"/>
        <v>0.21451104100946372</v>
      </c>
      <c r="K94" s="152">
        <f t="shared" si="268"/>
        <v>0.25512104283054005</v>
      </c>
      <c r="L94" s="152">
        <f t="shared" si="268"/>
        <v>0.28364116094986808</v>
      </c>
      <c r="M94" s="152">
        <f t="shared" si="268"/>
        <v>0.22497420020639836</v>
      </c>
      <c r="N94" s="152">
        <f t="shared" si="268"/>
        <v>6.7744418783679747E-2</v>
      </c>
      <c r="O94" s="152">
        <f t="shared" si="268"/>
        <v>0.1609392898052692</v>
      </c>
      <c r="P94" s="152">
        <f t="shared" si="268"/>
        <v>0.22821052631578947</v>
      </c>
      <c r="Q94" s="152">
        <f t="shared" ref="Q94" si="269">Q29/Q36</f>
        <v>0.33458904109589044</v>
      </c>
      <c r="R94" s="118">
        <f t="shared" ref="R94" si="270">((P94/G94)^(1/($H$2-$H$1) ))-1</f>
        <v>-0.11156474136624561</v>
      </c>
      <c r="S94" s="20"/>
      <c r="T94" s="152">
        <f t="shared" ref="T94:AC94" si="271">T29/T36</f>
        <v>0.33458904109589038</v>
      </c>
      <c r="U94" s="152">
        <f t="shared" si="271"/>
        <v>0.33458904109589038</v>
      </c>
      <c r="V94" s="152">
        <f t="shared" si="271"/>
        <v>0.33458904109589038</v>
      </c>
      <c r="W94" s="152">
        <f t="shared" si="271"/>
        <v>0.33458904109589033</v>
      </c>
      <c r="X94" s="152">
        <f t="shared" si="271"/>
        <v>0.33458904109589033</v>
      </c>
      <c r="Y94" s="152">
        <f t="shared" si="271"/>
        <v>0.33458904109589027</v>
      </c>
      <c r="Z94" s="152">
        <f t="shared" si="271"/>
        <v>0.33458904109589027</v>
      </c>
      <c r="AA94" s="152">
        <f t="shared" si="271"/>
        <v>0.33458904109589027</v>
      </c>
      <c r="AB94" s="152">
        <f t="shared" si="271"/>
        <v>0.33458904109589027</v>
      </c>
      <c r="AC94" s="152">
        <f t="shared" si="271"/>
        <v>0.33458904109589027</v>
      </c>
      <c r="AD94" s="138">
        <f t="shared" ref="AD94" si="272">((AC94/G94)^(1/($AC$3-$H$1) ))-1</f>
        <v>-3.3525487290464229E-2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15</v>
      </c>
      <c r="H95" s="171">
        <f t="shared" si="273"/>
        <v>0.58064516129032262</v>
      </c>
      <c r="I95" s="171">
        <f t="shared" si="273"/>
        <v>0.82089552238805974</v>
      </c>
      <c r="J95" s="171">
        <f t="shared" si="273"/>
        <v>0.36363636363636365</v>
      </c>
      <c r="K95" s="171">
        <f t="shared" si="273"/>
        <v>0.64928909952606639</v>
      </c>
      <c r="L95" s="171">
        <f t="shared" si="273"/>
        <v>0.49768518518518517</v>
      </c>
      <c r="M95" s="171">
        <f t="shared" si="273"/>
        <v>0.32392273402674593</v>
      </c>
      <c r="N95" s="171">
        <f t="shared" si="273"/>
        <v>9.5965103598691384E-2</v>
      </c>
      <c r="O95" s="171">
        <f t="shared" si="273"/>
        <v>0.2573260073260073</v>
      </c>
      <c r="P95" s="171">
        <f t="shared" si="273"/>
        <v>0.33089133089133088</v>
      </c>
      <c r="Q95" s="171">
        <f t="shared" ref="Q95" si="274">Q29/Q40</f>
        <v>0.56117174037909245</v>
      </c>
      <c r="R95" s="118">
        <f t="shared" ref="R95" si="275">((P95/G95)^(1/($H$2-$H$1) ))-1</f>
        <v>-0.34543179910210875</v>
      </c>
      <c r="S95" s="20"/>
      <c r="T95" s="171">
        <f t="shared" ref="T95:AC95" si="276">T29/T40</f>
        <v>0.56117174037909245</v>
      </c>
      <c r="U95" s="171">
        <f t="shared" si="276"/>
        <v>0.56117174037909257</v>
      </c>
      <c r="V95" s="171">
        <f t="shared" si="276"/>
        <v>0.56117174037909257</v>
      </c>
      <c r="W95" s="171">
        <f t="shared" si="276"/>
        <v>0.56117174037909257</v>
      </c>
      <c r="X95" s="171">
        <f t="shared" si="276"/>
        <v>0.56117174037909257</v>
      </c>
      <c r="Y95" s="171">
        <f t="shared" si="276"/>
        <v>0.56117174037909245</v>
      </c>
      <c r="Z95" s="171">
        <f t="shared" si="276"/>
        <v>0.56117174037909245</v>
      </c>
      <c r="AA95" s="171">
        <f t="shared" si="276"/>
        <v>0.56117174037909245</v>
      </c>
      <c r="AB95" s="171">
        <f t="shared" si="276"/>
        <v>0.56117174037909245</v>
      </c>
      <c r="AC95" s="171">
        <f t="shared" si="276"/>
        <v>0.56117174037909245</v>
      </c>
      <c r="AD95" s="138">
        <f t="shared" ref="AD95" si="277">((AC95/G95)^(1/($AC$3-$H$1) ))-1</f>
        <v>-0.1515031650123928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11.25</v>
      </c>
      <c r="H96" s="171">
        <f t="shared" si="278"/>
        <v>1.2</v>
      </c>
      <c r="I96" s="171">
        <f t="shared" si="278"/>
        <v>0.57291666666666663</v>
      </c>
      <c r="J96" s="171">
        <f t="shared" si="278"/>
        <v>1.1147540983606556</v>
      </c>
      <c r="K96" s="171">
        <f t="shared" si="278"/>
        <v>0.15290178571428573</v>
      </c>
      <c r="L96" s="171">
        <f t="shared" si="278"/>
        <v>0.16615146831530139</v>
      </c>
      <c r="M96" s="171">
        <f t="shared" si="278"/>
        <v>0.21821821821821821</v>
      </c>
      <c r="N96" s="171">
        <f t="shared" si="278"/>
        <v>0.34920634920634919</v>
      </c>
      <c r="O96" s="171">
        <f t="shared" si="278"/>
        <v>0.25134168157423969</v>
      </c>
      <c r="P96" s="171">
        <f t="shared" si="278"/>
        <v>0.65301204819277103</v>
      </c>
      <c r="Q96" s="171">
        <f t="shared" ref="Q96" si="279">Q29/Q12</f>
        <v>1.9007782101167314</v>
      </c>
      <c r="R96" s="118">
        <f t="shared" si="245"/>
        <v>-0.27114529184397951</v>
      </c>
      <c r="S96" s="20"/>
      <c r="T96" s="152">
        <f t="shared" ref="T96:AC96" si="280">T29/T12</f>
        <v>1.9007782101167314</v>
      </c>
      <c r="U96" s="152">
        <f t="shared" si="280"/>
        <v>1.9007782101167314</v>
      </c>
      <c r="V96" s="152">
        <f t="shared" si="280"/>
        <v>1.9007782101167316</v>
      </c>
      <c r="W96" s="152">
        <f t="shared" si="280"/>
        <v>1.9007782101167314</v>
      </c>
      <c r="X96" s="152">
        <f t="shared" si="280"/>
        <v>1.9007782101167314</v>
      </c>
      <c r="Y96" s="152">
        <f t="shared" si="280"/>
        <v>1.9007782101167312</v>
      </c>
      <c r="Z96" s="152">
        <f t="shared" si="280"/>
        <v>1.9007782101167314</v>
      </c>
      <c r="AA96" s="152">
        <f t="shared" si="280"/>
        <v>1.9007782101167314</v>
      </c>
      <c r="AB96" s="152">
        <f t="shared" si="280"/>
        <v>1.9007782101167316</v>
      </c>
      <c r="AC96" s="152">
        <f t="shared" si="280"/>
        <v>1.9007782101167316</v>
      </c>
      <c r="AD96" s="138">
        <f t="shared" si="247"/>
        <v>-8.5067728901027651E-2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11.25</v>
      </c>
      <c r="H97" s="171">
        <f t="shared" ref="H97:P97" si="281">H29/H23</f>
        <v>1.1612903225806452</v>
      </c>
      <c r="I97" s="171">
        <f t="shared" si="281"/>
        <v>0.56122448979591832</v>
      </c>
      <c r="J97" s="171">
        <f t="shared" si="281"/>
        <v>1.1929824561403508</v>
      </c>
      <c r="K97" s="171">
        <f t="shared" si="281"/>
        <v>8.3843329253365975E-2</v>
      </c>
      <c r="L97" s="171">
        <f t="shared" si="281"/>
        <v>0.18454935622317598</v>
      </c>
      <c r="M97" s="171">
        <f t="shared" si="281"/>
        <v>1.0686274509803921</v>
      </c>
      <c r="N97" s="171">
        <f t="shared" si="281"/>
        <v>1.375</v>
      </c>
      <c r="O97" s="171">
        <f t="shared" si="281"/>
        <v>1.3130841121495327</v>
      </c>
      <c r="P97" s="171">
        <f t="shared" si="281"/>
        <v>0.97657657657657659</v>
      </c>
      <c r="Q97" s="171">
        <f t="shared" ref="Q97" si="282">Q29/Q23</f>
        <v>10.619565217391305</v>
      </c>
      <c r="R97" s="118">
        <f t="shared" ref="R97" si="283">((P97/G97)^(1/($H$2-$H$1) ))-1</f>
        <v>-0.23781301031062529</v>
      </c>
      <c r="S97" s="20"/>
      <c r="T97" s="171">
        <f t="shared" ref="T97:AC97" si="284">T29/T23</f>
        <v>10.619565217391305</v>
      </c>
      <c r="U97" s="171">
        <f t="shared" si="284"/>
        <v>10.619565217391305</v>
      </c>
      <c r="V97" s="171">
        <f t="shared" si="284"/>
        <v>10.619565217391305</v>
      </c>
      <c r="W97" s="171">
        <f t="shared" si="284"/>
        <v>10.619565217391305</v>
      </c>
      <c r="X97" s="171">
        <f t="shared" si="284"/>
        <v>10.619565217391305</v>
      </c>
      <c r="Y97" s="171">
        <f t="shared" si="284"/>
        <v>10.619565217391303</v>
      </c>
      <c r="Z97" s="171">
        <f t="shared" si="284"/>
        <v>10.619565217391303</v>
      </c>
      <c r="AA97" s="171">
        <f t="shared" si="284"/>
        <v>10.619565217391303</v>
      </c>
      <c r="AB97" s="171">
        <f t="shared" si="284"/>
        <v>10.619565217391303</v>
      </c>
      <c r="AC97" s="171">
        <f t="shared" si="284"/>
        <v>10.619565217391303</v>
      </c>
      <c r="AD97" s="138">
        <f t="shared" ref="AD97" si="285">((AC97/G97)^(1/($AC$3-$H$1) ))-1</f>
        <v>-2.8793493819505578E-3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2.4666666666666663</v>
      </c>
      <c r="H99" s="127">
        <f t="shared" ref="H99:P99" si="286">1/H93</f>
        <v>7.6944444444444455</v>
      </c>
      <c r="I99" s="127">
        <f t="shared" si="286"/>
        <v>7.2363636363636372</v>
      </c>
      <c r="J99" s="127">
        <f t="shared" si="286"/>
        <v>8.6323529411764692</v>
      </c>
      <c r="K99" s="127">
        <f t="shared" si="286"/>
        <v>6.4525547445255471</v>
      </c>
      <c r="L99" s="127">
        <f t="shared" si="286"/>
        <v>6.0837209302325581</v>
      </c>
      <c r="M99" s="127">
        <f t="shared" si="286"/>
        <v>7.7293577981651369</v>
      </c>
      <c r="N99" s="127">
        <f t="shared" si="286"/>
        <v>23.079545454545453</v>
      </c>
      <c r="O99" s="127">
        <f t="shared" si="286"/>
        <v>9.7259786476868317</v>
      </c>
      <c r="P99" s="127">
        <f t="shared" si="286"/>
        <v>7.2435424354243541</v>
      </c>
      <c r="Q99" s="127">
        <f t="shared" ref="Q99" si="287">1/Q93</f>
        <v>5.6366427840327527</v>
      </c>
      <c r="R99" s="118">
        <f t="shared" si="245"/>
        <v>0.12715147225833001</v>
      </c>
      <c r="S99" s="20"/>
      <c r="T99" s="127">
        <f t="shared" ref="T99:AC99" si="288">1/T93</f>
        <v>5.6366427840327535</v>
      </c>
      <c r="U99" s="127">
        <f t="shared" si="288"/>
        <v>5.6366427840327527</v>
      </c>
      <c r="V99" s="127">
        <f t="shared" si="288"/>
        <v>5.6366427840327527</v>
      </c>
      <c r="W99" s="127">
        <f t="shared" si="288"/>
        <v>5.6366427840327527</v>
      </c>
      <c r="X99" s="127">
        <f t="shared" si="288"/>
        <v>5.6366427840327527</v>
      </c>
      <c r="Y99" s="127">
        <f t="shared" si="288"/>
        <v>5.6366427840327527</v>
      </c>
      <c r="Z99" s="127">
        <f t="shared" si="288"/>
        <v>5.6366427840327518</v>
      </c>
      <c r="AA99" s="127">
        <f t="shared" si="288"/>
        <v>5.6366427840327518</v>
      </c>
      <c r="AB99" s="127">
        <f t="shared" si="288"/>
        <v>5.6366427840327518</v>
      </c>
      <c r="AC99" s="127">
        <f t="shared" si="288"/>
        <v>5.6366427840327509</v>
      </c>
      <c r="AD99" s="138">
        <f t="shared" si="247"/>
        <v>4.2186641990289653E-2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9">1/G94</f>
        <v>1.5111111111111111</v>
      </c>
      <c r="H100" s="127">
        <f t="shared" si="289"/>
        <v>4.7777777777777777</v>
      </c>
      <c r="I100" s="127">
        <f t="shared" si="289"/>
        <v>4.1818181818181817</v>
      </c>
      <c r="J100" s="127">
        <f t="shared" si="289"/>
        <v>4.6617647058823533</v>
      </c>
      <c r="K100" s="127">
        <f t="shared" si="289"/>
        <v>3.9197080291970803</v>
      </c>
      <c r="L100" s="127">
        <f t="shared" si="289"/>
        <v>3.5255813953488371</v>
      </c>
      <c r="M100" s="127">
        <f t="shared" si="289"/>
        <v>4.4449541284403669</v>
      </c>
      <c r="N100" s="127">
        <f t="shared" si="289"/>
        <v>14.761363636363638</v>
      </c>
      <c r="O100" s="127">
        <f t="shared" si="289"/>
        <v>6.2135231316725976</v>
      </c>
      <c r="P100" s="127">
        <f t="shared" si="289"/>
        <v>4.3819188191881917</v>
      </c>
      <c r="Q100" s="127">
        <f t="shared" ref="Q100" si="290">1/Q94</f>
        <v>2.9887410440122824</v>
      </c>
      <c r="R100" s="118">
        <f t="shared" si="245"/>
        <v>0.1255744189371899</v>
      </c>
      <c r="S100" s="20"/>
      <c r="T100" s="127">
        <f t="shared" ref="T100:AC100" si="291">1/T94</f>
        <v>2.9887410440122828</v>
      </c>
      <c r="U100" s="127">
        <f t="shared" si="291"/>
        <v>2.9887410440122828</v>
      </c>
      <c r="V100" s="127">
        <f t="shared" si="291"/>
        <v>2.9887410440122828</v>
      </c>
      <c r="W100" s="127">
        <f t="shared" si="291"/>
        <v>2.9887410440122832</v>
      </c>
      <c r="X100" s="127">
        <f t="shared" si="291"/>
        <v>2.9887410440122832</v>
      </c>
      <c r="Y100" s="127">
        <f t="shared" si="291"/>
        <v>2.9887410440122837</v>
      </c>
      <c r="Z100" s="127">
        <f t="shared" si="291"/>
        <v>2.9887410440122837</v>
      </c>
      <c r="AA100" s="127">
        <f t="shared" si="291"/>
        <v>2.9887410440122837</v>
      </c>
      <c r="AB100" s="127">
        <f t="shared" si="291"/>
        <v>2.9887410440122837</v>
      </c>
      <c r="AC100" s="127">
        <f t="shared" si="291"/>
        <v>2.9887410440122837</v>
      </c>
      <c r="AD100" s="138">
        <f t="shared" si="247"/>
        <v>3.4688433941702845E-2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9"/>
        <v>6.6666666666666666E-2</v>
      </c>
      <c r="H101" s="127">
        <f t="shared" si="289"/>
        <v>1.7222222222222221</v>
      </c>
      <c r="I101" s="127">
        <f t="shared" si="289"/>
        <v>1.218181818181818</v>
      </c>
      <c r="J101" s="127">
        <f t="shared" si="289"/>
        <v>2.75</v>
      </c>
      <c r="K101" s="127">
        <f t="shared" si="289"/>
        <v>1.5401459854014599</v>
      </c>
      <c r="L101" s="127">
        <f t="shared" si="289"/>
        <v>2.0093023255813955</v>
      </c>
      <c r="M101" s="127">
        <f t="shared" si="289"/>
        <v>3.0871559633027523</v>
      </c>
      <c r="N101" s="127">
        <f t="shared" si="289"/>
        <v>10.420454545454545</v>
      </c>
      <c r="O101" s="127">
        <f t="shared" si="289"/>
        <v>3.8861209964412815</v>
      </c>
      <c r="P101" s="127">
        <f t="shared" si="289"/>
        <v>3.0221402214022142</v>
      </c>
      <c r="Q101" s="127">
        <f t="shared" ref="Q101" si="292">1/Q95</f>
        <v>1.7819856704196522</v>
      </c>
      <c r="R101" s="118">
        <f t="shared" si="245"/>
        <v>0.5277246872491963</v>
      </c>
      <c r="S101" s="20"/>
      <c r="T101" s="127">
        <f t="shared" ref="T101:AC101" si="293">1/T95</f>
        <v>1.7819856704196522</v>
      </c>
      <c r="U101" s="127">
        <f t="shared" si="293"/>
        <v>1.7819856704196517</v>
      </c>
      <c r="V101" s="127">
        <f t="shared" si="293"/>
        <v>1.7819856704196517</v>
      </c>
      <c r="W101" s="127">
        <f t="shared" si="293"/>
        <v>1.7819856704196517</v>
      </c>
      <c r="X101" s="127">
        <f t="shared" si="293"/>
        <v>1.7819856704196517</v>
      </c>
      <c r="Y101" s="127">
        <f t="shared" si="293"/>
        <v>1.7819856704196522</v>
      </c>
      <c r="Z101" s="127">
        <f t="shared" si="293"/>
        <v>1.7819856704196522</v>
      </c>
      <c r="AA101" s="127">
        <f t="shared" si="293"/>
        <v>1.7819856704196522</v>
      </c>
      <c r="AB101" s="127">
        <f t="shared" si="293"/>
        <v>1.7819856704196522</v>
      </c>
      <c r="AC101" s="127">
        <f t="shared" si="293"/>
        <v>1.7819856704196522</v>
      </c>
      <c r="AD101" s="138">
        <f t="shared" si="247"/>
        <v>0.17855477918736806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9"/>
        <v>8.8888888888888892E-2</v>
      </c>
      <c r="H102" s="127">
        <f t="shared" si="289"/>
        <v>0.83333333333333337</v>
      </c>
      <c r="I102" s="127">
        <f t="shared" si="289"/>
        <v>1.7454545454545456</v>
      </c>
      <c r="J102" s="127">
        <f t="shared" si="289"/>
        <v>0.8970588235294118</v>
      </c>
      <c r="K102" s="127">
        <f t="shared" si="289"/>
        <v>6.540145985401459</v>
      </c>
      <c r="L102" s="127">
        <f t="shared" si="289"/>
        <v>6.0186046511627902</v>
      </c>
      <c r="M102" s="127">
        <f t="shared" si="289"/>
        <v>4.5825688073394497</v>
      </c>
      <c r="N102" s="127">
        <f t="shared" si="289"/>
        <v>2.8636363636363638</v>
      </c>
      <c r="O102" s="127">
        <f t="shared" si="289"/>
        <v>3.9786476868327405</v>
      </c>
      <c r="P102" s="127">
        <f t="shared" si="289"/>
        <v>1.5313653136531367</v>
      </c>
      <c r="Q102" s="127">
        <f t="shared" ref="Q102" si="294">1/Q96</f>
        <v>0.52610030706243605</v>
      </c>
      <c r="R102" s="118">
        <f t="shared" si="245"/>
        <v>0.37201555921888541</v>
      </c>
      <c r="S102" s="20"/>
      <c r="T102" s="127">
        <f t="shared" ref="T102:AC102" si="295">1/T96</f>
        <v>0.52610030706243605</v>
      </c>
      <c r="U102" s="127">
        <f t="shared" si="295"/>
        <v>0.52610030706243605</v>
      </c>
      <c r="V102" s="127">
        <f t="shared" si="295"/>
        <v>0.52610030706243605</v>
      </c>
      <c r="W102" s="127">
        <f t="shared" si="295"/>
        <v>0.52610030706243605</v>
      </c>
      <c r="X102" s="127">
        <f t="shared" si="295"/>
        <v>0.52610030706243605</v>
      </c>
      <c r="Y102" s="127">
        <f t="shared" si="295"/>
        <v>0.52610030706243616</v>
      </c>
      <c r="Z102" s="127">
        <f t="shared" si="295"/>
        <v>0.52610030706243605</v>
      </c>
      <c r="AA102" s="127">
        <f t="shared" si="295"/>
        <v>0.52610030706243605</v>
      </c>
      <c r="AB102" s="127">
        <f t="shared" si="295"/>
        <v>0.52610030706243605</v>
      </c>
      <c r="AC102" s="127">
        <f t="shared" si="295"/>
        <v>0.52610030706243605</v>
      </c>
      <c r="AD102" s="138">
        <f t="shared" si="247"/>
        <v>9.2977077744616388E-2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9"/>
        <v>8.8888888888888892E-2</v>
      </c>
      <c r="H103" s="127">
        <f t="shared" si="289"/>
        <v>0.86111111111111105</v>
      </c>
      <c r="I103" s="127">
        <f t="shared" si="289"/>
        <v>1.781818181818182</v>
      </c>
      <c r="J103" s="127">
        <f t="shared" si="289"/>
        <v>0.83823529411764708</v>
      </c>
      <c r="K103" s="127">
        <f t="shared" si="289"/>
        <v>11.927007299270073</v>
      </c>
      <c r="L103" s="127">
        <f t="shared" si="289"/>
        <v>5.4186046511627906</v>
      </c>
      <c r="M103" s="127">
        <f t="shared" si="289"/>
        <v>0.93577981651376152</v>
      </c>
      <c r="N103" s="127">
        <f t="shared" si="289"/>
        <v>0.72727272727272729</v>
      </c>
      <c r="O103" s="127">
        <f t="shared" si="289"/>
        <v>0.76156583629893237</v>
      </c>
      <c r="P103" s="127">
        <f t="shared" si="289"/>
        <v>1.0239852398523985</v>
      </c>
      <c r="Q103" s="127">
        <f t="shared" ref="Q103" si="296">1/Q97</f>
        <v>9.4165813715455474E-2</v>
      </c>
      <c r="R103" s="118">
        <f t="shared" si="245"/>
        <v>0.31201399856949097</v>
      </c>
      <c r="S103" s="20"/>
      <c r="T103" s="127">
        <f t="shared" ref="T103:AC103" si="297">1/T97</f>
        <v>9.4165813715455474E-2</v>
      </c>
      <c r="U103" s="127">
        <f t="shared" si="297"/>
        <v>9.4165813715455474E-2</v>
      </c>
      <c r="V103" s="127">
        <f t="shared" si="297"/>
        <v>9.4165813715455474E-2</v>
      </c>
      <c r="W103" s="127">
        <f t="shared" si="297"/>
        <v>9.4165813715455474E-2</v>
      </c>
      <c r="X103" s="127">
        <f t="shared" si="297"/>
        <v>9.4165813715455474E-2</v>
      </c>
      <c r="Y103" s="127">
        <f t="shared" si="297"/>
        <v>9.4165813715455488E-2</v>
      </c>
      <c r="Z103" s="127">
        <f t="shared" si="297"/>
        <v>9.4165813715455488E-2</v>
      </c>
      <c r="AA103" s="127">
        <f t="shared" si="297"/>
        <v>9.4165813715455488E-2</v>
      </c>
      <c r="AB103" s="127">
        <f t="shared" si="297"/>
        <v>9.4165813715455488E-2</v>
      </c>
      <c r="AC103" s="127">
        <f t="shared" si="297"/>
        <v>9.4165813715455488E-2</v>
      </c>
      <c r="AD103" s="138">
        <f t="shared" si="247"/>
        <v>2.8876639754333855E-3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75</v>
      </c>
      <c r="H106" s="163">
        <f t="shared" si="298"/>
        <v>562</v>
      </c>
      <c r="I106" s="163">
        <f t="shared" si="298"/>
        <v>744</v>
      </c>
      <c r="J106" s="163">
        <f t="shared" si="298"/>
        <v>1860</v>
      </c>
      <c r="K106" s="163">
        <f t="shared" si="298"/>
        <v>940</v>
      </c>
      <c r="L106" s="163">
        <f t="shared" si="298"/>
        <v>2045</v>
      </c>
      <c r="M106" s="163">
        <f t="shared" si="298"/>
        <v>3114</v>
      </c>
      <c r="N106" s="163">
        <f t="shared" si="298"/>
        <v>3273</v>
      </c>
      <c r="O106" s="163">
        <f t="shared" si="298"/>
        <v>15264</v>
      </c>
      <c r="P106" s="163">
        <f>P10-(P12+P13)</f>
        <v>9610</v>
      </c>
      <c r="Q106" s="163">
        <f>Q10-(Q12+Q13)</f>
        <v>11116</v>
      </c>
      <c r="R106" s="118">
        <f t="shared" si="245"/>
        <v>0.71468631000492744</v>
      </c>
      <c r="S106" s="20"/>
      <c r="T106" s="163">
        <f>T10-(T12+T13)</f>
        <v>13339.2</v>
      </c>
      <c r="U106" s="163">
        <f t="shared" ref="U106:AC106" si="299">U10-(U12+U13)</f>
        <v>16007.039999999999</v>
      </c>
      <c r="V106" s="163">
        <f t="shared" si="299"/>
        <v>19208.447999999997</v>
      </c>
      <c r="W106" s="163">
        <f t="shared" si="299"/>
        <v>23050.137599999998</v>
      </c>
      <c r="X106" s="163">
        <f t="shared" si="299"/>
        <v>27660.165119999994</v>
      </c>
      <c r="Y106" s="163">
        <f t="shared" si="299"/>
        <v>33192.198143999987</v>
      </c>
      <c r="Z106" s="163">
        <f t="shared" si="299"/>
        <v>39830.637772799986</v>
      </c>
      <c r="AA106" s="163">
        <f t="shared" si="299"/>
        <v>47796.765327359979</v>
      </c>
      <c r="AB106" s="163">
        <f t="shared" si="299"/>
        <v>57356.118392831973</v>
      </c>
      <c r="AC106" s="163">
        <f t="shared" si="299"/>
        <v>68827.342071398365</v>
      </c>
      <c r="AD106" s="138">
        <f t="shared" si="247"/>
        <v>0.40648461763737687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4.3227665706051877E-3</v>
      </c>
      <c r="H107" s="152">
        <f t="shared" si="300"/>
        <v>5.5013309671694766E-2</v>
      </c>
      <c r="I107" s="152">
        <f t="shared" si="300"/>
        <v>4.5148247978436661E-2</v>
      </c>
      <c r="J107" s="152">
        <f t="shared" si="300"/>
        <v>9.4254032258064516E-2</v>
      </c>
      <c r="K107" s="152">
        <f t="shared" si="300"/>
        <v>7.0972082071981163E-2</v>
      </c>
      <c r="L107" s="152">
        <f t="shared" si="300"/>
        <v>0.12138241078954763</v>
      </c>
      <c r="M107" s="152">
        <f t="shared" si="300"/>
        <v>0.13870568837592745</v>
      </c>
      <c r="N107" s="152">
        <f t="shared" si="300"/>
        <v>0.14348302300109528</v>
      </c>
      <c r="O107" s="152">
        <f t="shared" si="300"/>
        <v>5.9260867205730719E-2</v>
      </c>
      <c r="P107" s="152">
        <f t="shared" si="300"/>
        <v>0.14391143911439114</v>
      </c>
      <c r="Q107" s="152">
        <f t="shared" ref="Q107" si="301">Q40/Q18</f>
        <v>0.13227473028415135</v>
      </c>
      <c r="R107" s="118">
        <f t="shared" si="245"/>
        <v>0.47621009263418279</v>
      </c>
      <c r="S107" s="20"/>
      <c r="T107" s="152">
        <f t="shared" ref="T107:AC107" si="302">T40/T18</f>
        <v>0.13227473028415135</v>
      </c>
      <c r="U107" s="152">
        <f t="shared" si="302"/>
        <v>0.13227473028415132</v>
      </c>
      <c r="V107" s="152">
        <f t="shared" si="302"/>
        <v>0.13227473028415132</v>
      </c>
      <c r="W107" s="152">
        <f t="shared" si="302"/>
        <v>0.13227473028415132</v>
      </c>
      <c r="X107" s="152">
        <f t="shared" si="302"/>
        <v>0.13227473028415132</v>
      </c>
      <c r="Y107" s="152">
        <f t="shared" si="302"/>
        <v>0.13227473028415132</v>
      </c>
      <c r="Z107" s="152">
        <f t="shared" si="302"/>
        <v>0.13227473028415135</v>
      </c>
      <c r="AA107" s="152">
        <f t="shared" si="302"/>
        <v>0.13227473028415135</v>
      </c>
      <c r="AB107" s="152">
        <f t="shared" si="302"/>
        <v>0.13227473028415132</v>
      </c>
      <c r="AC107" s="152">
        <f t="shared" si="302"/>
        <v>0.13227473028415135</v>
      </c>
      <c r="AD107" s="138">
        <f t="shared" si="247"/>
        <v>0.18654921138786751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2.7027027027027029E-2</v>
      </c>
      <c r="H108" s="152">
        <f t="shared" si="303"/>
        <v>0.22382671480144403</v>
      </c>
      <c r="I108" s="152">
        <f t="shared" si="303"/>
        <v>0.16834170854271358</v>
      </c>
      <c r="J108" s="152">
        <f t="shared" si="303"/>
        <v>0.31856899488926749</v>
      </c>
      <c r="K108" s="152">
        <f t="shared" si="303"/>
        <v>0.23868778280542988</v>
      </c>
      <c r="L108" s="152">
        <f t="shared" si="303"/>
        <v>0.33027522935779818</v>
      </c>
      <c r="M108" s="152">
        <f t="shared" si="303"/>
        <v>0.39940652818991096</v>
      </c>
      <c r="N108" s="152">
        <f t="shared" si="303"/>
        <v>0.45150172328902016</v>
      </c>
      <c r="O108" s="152">
        <f t="shared" si="303"/>
        <v>0.39956092206366628</v>
      </c>
      <c r="P108" s="152">
        <f t="shared" si="303"/>
        <v>0.41721854304635764</v>
      </c>
      <c r="Q108" s="152">
        <f t="shared" ref="Q108" si="304">Q40/Q25</f>
        <v>0.31614309061194845</v>
      </c>
      <c r="R108" s="118">
        <f t="shared" si="245"/>
        <v>0.35538543385680788</v>
      </c>
      <c r="S108" s="20"/>
      <c r="T108" s="152">
        <f t="shared" ref="T108:AC108" si="305">T40/T25</f>
        <v>0.3161430906119484</v>
      </c>
      <c r="U108" s="152">
        <f t="shared" si="305"/>
        <v>0.3161430906119484</v>
      </c>
      <c r="V108" s="152">
        <f t="shared" si="305"/>
        <v>0.31614309061194845</v>
      </c>
      <c r="W108" s="152">
        <f t="shared" si="305"/>
        <v>0.31614309061194845</v>
      </c>
      <c r="X108" s="152">
        <f t="shared" si="305"/>
        <v>0.31614309061194845</v>
      </c>
      <c r="Y108" s="152">
        <f t="shared" si="305"/>
        <v>0.31614309061194845</v>
      </c>
      <c r="Z108" s="152">
        <f t="shared" si="305"/>
        <v>0.31614309061194851</v>
      </c>
      <c r="AA108" s="152">
        <f t="shared" si="305"/>
        <v>0.31614309061194845</v>
      </c>
      <c r="AB108" s="152">
        <f t="shared" si="305"/>
        <v>0.31614309061194851</v>
      </c>
      <c r="AC108" s="152">
        <f t="shared" si="305"/>
        <v>0.31614309061194856</v>
      </c>
      <c r="AD108" s="138">
        <f t="shared" si="247"/>
        <v>0.13084809543965426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0.15994236311239193</v>
      </c>
      <c r="H109" s="152">
        <f t="shared" si="306"/>
        <v>0.24578527062999111</v>
      </c>
      <c r="I109" s="152">
        <f t="shared" si="306"/>
        <v>0.26819407008086255</v>
      </c>
      <c r="J109" s="152">
        <f t="shared" si="306"/>
        <v>0.29586693548387094</v>
      </c>
      <c r="K109" s="152">
        <f t="shared" si="306"/>
        <v>0.29734275142953248</v>
      </c>
      <c r="L109" s="152">
        <f t="shared" si="306"/>
        <v>0.36751896600168588</v>
      </c>
      <c r="M109" s="152">
        <f t="shared" si="306"/>
        <v>0.34727947238252266</v>
      </c>
      <c r="N109" s="152">
        <f t="shared" si="306"/>
        <v>0.3177906430918479</v>
      </c>
      <c r="O109" s="152">
        <f t="shared" si="306"/>
        <v>0.14831497259456233</v>
      </c>
      <c r="P109" s="152">
        <f>P25/P18</f>
        <v>0.34493059216306449</v>
      </c>
      <c r="Q109" s="152">
        <f>Q25/Q18</f>
        <v>0.41840145874487161</v>
      </c>
      <c r="R109" s="118">
        <f t="shared" si="245"/>
        <v>8.9144132553913513E-2</v>
      </c>
      <c r="S109" s="20"/>
      <c r="T109" s="152">
        <f>T25/T18</f>
        <v>0.41840145874487161</v>
      </c>
      <c r="U109" s="152">
        <f t="shared" ref="U109:AC109" si="307">U25/U18</f>
        <v>0.41840145874487156</v>
      </c>
      <c r="V109" s="152">
        <f t="shared" si="307"/>
        <v>0.41840145874487156</v>
      </c>
      <c r="W109" s="152">
        <f t="shared" si="307"/>
        <v>0.41840145874487156</v>
      </c>
      <c r="X109" s="152">
        <f t="shared" si="307"/>
        <v>0.41840145874487156</v>
      </c>
      <c r="Y109" s="152">
        <f t="shared" si="307"/>
        <v>0.4184014587448715</v>
      </c>
      <c r="Z109" s="152">
        <f t="shared" si="307"/>
        <v>0.4184014587448715</v>
      </c>
      <c r="AA109" s="152">
        <f t="shared" si="307"/>
        <v>0.41840145874487156</v>
      </c>
      <c r="AB109" s="152">
        <f t="shared" si="307"/>
        <v>0.4184014587448715</v>
      </c>
      <c r="AC109" s="152">
        <f t="shared" si="307"/>
        <v>0.41840145874487145</v>
      </c>
      <c r="AD109" s="138">
        <f t="shared" si="247"/>
        <v>4.9256054966920759E-2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0.14000000000000001</v>
      </c>
      <c r="H111" s="165">
        <f t="shared" ref="H111:P111" si="309">H70*H42</f>
        <v>0</v>
      </c>
      <c r="I111" s="165">
        <f t="shared" si="309"/>
        <v>36.04</v>
      </c>
      <c r="J111" s="165">
        <f t="shared" si="309"/>
        <v>36</v>
      </c>
      <c r="K111" s="165">
        <f t="shared" si="309"/>
        <v>60</v>
      </c>
      <c r="L111" s="165">
        <f t="shared" si="309"/>
        <v>120</v>
      </c>
      <c r="M111" s="165">
        <f t="shared" si="309"/>
        <v>160</v>
      </c>
      <c r="N111" s="165">
        <f t="shared" si="309"/>
        <v>180</v>
      </c>
      <c r="O111" s="165">
        <f t="shared" si="309"/>
        <v>200</v>
      </c>
      <c r="P111" s="165">
        <f t="shared" si="309"/>
        <v>200</v>
      </c>
      <c r="Q111" s="165">
        <f t="shared" ref="Q111" si="310">Q70*Q42</f>
        <v>200</v>
      </c>
      <c r="R111" s="118">
        <f t="shared" si="245"/>
        <v>1.2415305497114666</v>
      </c>
      <c r="S111" s="20"/>
      <c r="T111" s="165">
        <f t="shared" ref="T111:AC111" si="311">T70*T42</f>
        <v>212.10000000000002</v>
      </c>
      <c r="U111" s="165">
        <f t="shared" si="311"/>
        <v>224.93205000000003</v>
      </c>
      <c r="V111" s="165">
        <f t="shared" si="311"/>
        <v>238.54043902500004</v>
      </c>
      <c r="W111" s="165">
        <f t="shared" si="311"/>
        <v>252.97213558601254</v>
      </c>
      <c r="X111" s="165">
        <f t="shared" si="311"/>
        <v>268.27694978896631</v>
      </c>
      <c r="Y111" s="165">
        <f t="shared" si="311"/>
        <v>284.50770525119879</v>
      </c>
      <c r="Z111" s="165">
        <f t="shared" si="311"/>
        <v>301.72042141889631</v>
      </c>
      <c r="AA111" s="165">
        <f t="shared" si="311"/>
        <v>319.97450691473955</v>
      </c>
      <c r="AB111" s="165">
        <f t="shared" si="311"/>
        <v>339.33296458308132</v>
      </c>
      <c r="AC111" s="165">
        <f t="shared" si="311"/>
        <v>359.86260894035775</v>
      </c>
      <c r="AD111" s="138">
        <f t="shared" si="247"/>
        <v>0.48081373652750203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0.16380000000000003</v>
      </c>
      <c r="H112" s="165">
        <f t="shared" si="312"/>
        <v>0</v>
      </c>
      <c r="I112" s="165">
        <f t="shared" si="312"/>
        <v>42.166800000000002</v>
      </c>
      <c r="J112" s="165">
        <f t="shared" si="312"/>
        <v>42.12</v>
      </c>
      <c r="K112" s="165">
        <f t="shared" si="312"/>
        <v>70.2</v>
      </c>
      <c r="L112" s="165">
        <f t="shared" si="312"/>
        <v>140.4</v>
      </c>
      <c r="M112" s="165">
        <f t="shared" si="312"/>
        <v>187.2</v>
      </c>
      <c r="N112" s="165">
        <f t="shared" si="312"/>
        <v>210.6</v>
      </c>
      <c r="O112" s="165">
        <f t="shared" si="312"/>
        <v>234</v>
      </c>
      <c r="P112" s="165">
        <f t="shared" si="312"/>
        <v>234</v>
      </c>
      <c r="Q112" s="165">
        <f t="shared" ref="Q112" si="313">(Q111*0.17)+Q111</f>
        <v>234</v>
      </c>
      <c r="R112" s="118">
        <f t="shared" si="245"/>
        <v>1.2415305497114666</v>
      </c>
      <c r="S112" s="20"/>
      <c r="T112" s="165">
        <f t="shared" ref="T112:AC112" si="314">(T111*0.17)+T111</f>
        <v>248.15700000000004</v>
      </c>
      <c r="U112" s="165">
        <f t="shared" si="314"/>
        <v>263.17049850000006</v>
      </c>
      <c r="V112" s="165">
        <f t="shared" si="314"/>
        <v>279.09231365925007</v>
      </c>
      <c r="W112" s="165">
        <f t="shared" si="314"/>
        <v>295.9773986356347</v>
      </c>
      <c r="X112" s="165">
        <f t="shared" si="314"/>
        <v>313.8840312530906</v>
      </c>
      <c r="Y112" s="165">
        <f t="shared" si="314"/>
        <v>332.87401514390257</v>
      </c>
      <c r="Z112" s="165">
        <f t="shared" si="314"/>
        <v>353.01289306010869</v>
      </c>
      <c r="AA112" s="165">
        <f t="shared" si="314"/>
        <v>374.37017309024526</v>
      </c>
      <c r="AB112" s="165">
        <f t="shared" si="314"/>
        <v>397.01956856220517</v>
      </c>
      <c r="AC112" s="165">
        <f t="shared" si="314"/>
        <v>421.03925246021856</v>
      </c>
      <c r="AD112" s="138">
        <f t="shared" si="247"/>
        <v>0.48081373652750203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5.460000000000001E-2</v>
      </c>
      <c r="H113" s="152">
        <f t="shared" si="315"/>
        <v>0</v>
      </c>
      <c r="I113" s="152">
        <f t="shared" si="315"/>
        <v>0.62935522388059706</v>
      </c>
      <c r="J113" s="152">
        <f t="shared" si="315"/>
        <v>0.22524064171122993</v>
      </c>
      <c r="K113" s="152">
        <f t="shared" si="315"/>
        <v>0.33270142180094786</v>
      </c>
      <c r="L113" s="152">
        <f t="shared" si="315"/>
        <v>0.32500000000000001</v>
      </c>
      <c r="M113" s="152">
        <f t="shared" si="315"/>
        <v>0.27815750371471021</v>
      </c>
      <c r="N113" s="152">
        <f t="shared" si="315"/>
        <v>0.2296619411123228</v>
      </c>
      <c r="O113" s="152">
        <f t="shared" si="315"/>
        <v>0.21428571428571427</v>
      </c>
      <c r="P113" s="152">
        <f t="shared" si="315"/>
        <v>0.14285714285714285</v>
      </c>
      <c r="Q113" s="152">
        <f t="shared" ref="Q113" si="316">Q112/Q40</f>
        <v>0.1344055140723722</v>
      </c>
      <c r="R113" s="118">
        <f t="shared" si="245"/>
        <v>0.11278726377174264</v>
      </c>
      <c r="S113" s="20"/>
      <c r="T113" s="152">
        <f t="shared" ref="T113:AC113" si="317">T112/T40</f>
        <v>0.11878087306145896</v>
      </c>
      <c r="U113" s="152">
        <f t="shared" si="317"/>
        <v>0.10497259656806437</v>
      </c>
      <c r="V113" s="152">
        <f t="shared" si="317"/>
        <v>9.2769532217026898E-2</v>
      </c>
      <c r="W113" s="152">
        <f t="shared" si="317"/>
        <v>8.1985074096797519E-2</v>
      </c>
      <c r="X113" s="152">
        <f t="shared" si="317"/>
        <v>7.2454309233044814E-2</v>
      </c>
      <c r="Y113" s="152">
        <f t="shared" si="317"/>
        <v>6.4031495784703352E-2</v>
      </c>
      <c r="Z113" s="152">
        <f t="shared" si="317"/>
        <v>5.6587834399731592E-2</v>
      </c>
      <c r="AA113" s="152">
        <f t="shared" si="317"/>
        <v>5.000949865076279E-2</v>
      </c>
      <c r="AB113" s="152">
        <f t="shared" si="317"/>
        <v>4.4195894432611627E-2</v>
      </c>
      <c r="AC113" s="152">
        <f t="shared" si="317"/>
        <v>3.9058121704820523E-2</v>
      </c>
      <c r="AD113" s="138">
        <f t="shared" si="247"/>
        <v>-1.6609665093224257E-2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0.94540000000000002</v>
      </c>
      <c r="H114" s="152">
        <f t="shared" ref="H114:P114" si="318">1-H113</f>
        <v>1</v>
      </c>
      <c r="I114" s="152">
        <f t="shared" si="318"/>
        <v>0.37064477611940294</v>
      </c>
      <c r="J114" s="152">
        <f t="shared" si="318"/>
        <v>0.77475935828877007</v>
      </c>
      <c r="K114" s="152">
        <f t="shared" si="318"/>
        <v>0.66729857819905214</v>
      </c>
      <c r="L114" s="152">
        <f t="shared" si="318"/>
        <v>0.67500000000000004</v>
      </c>
      <c r="M114" s="152">
        <f t="shared" si="318"/>
        <v>0.72184249628528985</v>
      </c>
      <c r="N114" s="152">
        <f t="shared" si="318"/>
        <v>0.77033805888767715</v>
      </c>
      <c r="O114" s="152">
        <f t="shared" si="318"/>
        <v>0.7857142857142857</v>
      </c>
      <c r="P114" s="152">
        <f t="shared" si="318"/>
        <v>0.85714285714285721</v>
      </c>
      <c r="Q114" s="152">
        <f t="shared" ref="Q114" si="319">1-Q113</f>
        <v>0.86559448592762778</v>
      </c>
      <c r="R114" s="118">
        <f t="shared" si="245"/>
        <v>-1.0830206320478597E-2</v>
      </c>
      <c r="S114" s="20"/>
      <c r="T114" s="152">
        <f t="shared" ref="T114:AC114" si="320">1-T113</f>
        <v>0.88121912693854099</v>
      </c>
      <c r="U114" s="152">
        <f t="shared" si="320"/>
        <v>0.89502740343193565</v>
      </c>
      <c r="V114" s="152">
        <f t="shared" si="320"/>
        <v>0.90723046778297312</v>
      </c>
      <c r="W114" s="152">
        <f t="shared" si="320"/>
        <v>0.91801492590320244</v>
      </c>
      <c r="X114" s="152">
        <f t="shared" si="320"/>
        <v>0.92754569076695514</v>
      </c>
      <c r="Y114" s="152">
        <f t="shared" si="320"/>
        <v>0.93596850421529665</v>
      </c>
      <c r="Z114" s="152">
        <f t="shared" si="320"/>
        <v>0.94341216560026842</v>
      </c>
      <c r="AA114" s="152">
        <f t="shared" si="320"/>
        <v>0.94999050134923724</v>
      </c>
      <c r="AB114" s="152">
        <f t="shared" si="320"/>
        <v>0.95580410556738837</v>
      </c>
      <c r="AC114" s="152">
        <f t="shared" si="320"/>
        <v>0.96094187829517952</v>
      </c>
      <c r="AD114" s="138">
        <f t="shared" si="247"/>
        <v>8.156228565747714E-4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5.4600000000000004E-4</v>
      </c>
      <c r="H115" s="152">
        <f t="shared" si="321"/>
        <v>0</v>
      </c>
      <c r="I115" s="152">
        <f t="shared" si="321"/>
        <v>0.20978507462686569</v>
      </c>
      <c r="J115" s="152">
        <f t="shared" si="321"/>
        <v>9.4017857142857139E-2</v>
      </c>
      <c r="K115" s="152">
        <f t="shared" si="321"/>
        <v>0.13500000000000001</v>
      </c>
      <c r="L115" s="152">
        <f t="shared" si="321"/>
        <v>0.20201438848920864</v>
      </c>
      <c r="M115" s="152">
        <f t="shared" si="321"/>
        <v>0.18086956521739128</v>
      </c>
      <c r="N115" s="152">
        <f t="shared" si="321"/>
        <v>0.16740858505564388</v>
      </c>
      <c r="O115" s="152">
        <f t="shared" si="321"/>
        <v>0.18181818181818182</v>
      </c>
      <c r="P115" s="152">
        <f t="shared" si="321"/>
        <v>0.17092768444119796</v>
      </c>
      <c r="Q115" s="152">
        <f>Q112/Q20</f>
        <v>0.14615865084322299</v>
      </c>
      <c r="R115" s="118">
        <f t="shared" si="245"/>
        <v>0.89361238404350352</v>
      </c>
      <c r="S115" s="20"/>
      <c r="T115" s="152">
        <f>T112/T20</f>
        <v>0.12916770768269834</v>
      </c>
      <c r="U115" s="152">
        <f t="shared" ref="U115:AC115" si="322">U112/U20</f>
        <v>0.11415196166458469</v>
      </c>
      <c r="V115" s="152">
        <f t="shared" si="322"/>
        <v>0.10088179612107671</v>
      </c>
      <c r="W115" s="152">
        <f t="shared" si="322"/>
        <v>8.9154287322001563E-2</v>
      </c>
      <c r="X115" s="152">
        <f t="shared" si="322"/>
        <v>7.8790101420818881E-2</v>
      </c>
      <c r="Y115" s="152">
        <f t="shared" si="322"/>
        <v>6.963075213064869E-2</v>
      </c>
      <c r="Z115" s="152">
        <f t="shared" si="322"/>
        <v>6.1536177195460791E-2</v>
      </c>
      <c r="AA115" s="152">
        <f t="shared" si="322"/>
        <v>5.4382596596488475E-2</v>
      </c>
      <c r="AB115" s="152">
        <f t="shared" si="322"/>
        <v>4.8060619742146697E-2</v>
      </c>
      <c r="AC115" s="152">
        <f t="shared" si="322"/>
        <v>4.2473572697122146E-2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0.34234234234234234</v>
      </c>
      <c r="H120" s="152">
        <f t="shared" ref="H120:P120" si="329">H27/H25</f>
        <v>0.36101083032490977</v>
      </c>
      <c r="I120" s="152">
        <f t="shared" si="329"/>
        <v>0.38944723618090454</v>
      </c>
      <c r="J120" s="152">
        <f t="shared" si="329"/>
        <v>0.45315161839863716</v>
      </c>
      <c r="K120" s="152">
        <f t="shared" si="329"/>
        <v>0.31674208144796379</v>
      </c>
      <c r="L120" s="152">
        <f t="shared" si="329"/>
        <v>0.33562691131498473</v>
      </c>
      <c r="M120" s="152">
        <f t="shared" si="329"/>
        <v>0.31394658753709198</v>
      </c>
      <c r="N120" s="152">
        <f t="shared" si="329"/>
        <v>0.34465780403741997</v>
      </c>
      <c r="O120" s="152">
        <f t="shared" si="329"/>
        <v>0.34760336626417854</v>
      </c>
      <c r="P120" s="152">
        <f t="shared" si="329"/>
        <v>0.30565461029037189</v>
      </c>
      <c r="Q120" s="152">
        <f t="shared" ref="Q120" si="330">Q27/Q25</f>
        <v>0.34556019611403666</v>
      </c>
      <c r="R120" s="118">
        <f t="shared" si="245"/>
        <v>-1.2516069523967999E-2</v>
      </c>
      <c r="S120" s="20"/>
      <c r="T120" s="152">
        <f t="shared" ref="T120:AC120" si="331">T27/T25</f>
        <v>0.34556019611403671</v>
      </c>
      <c r="U120" s="152">
        <f t="shared" si="331"/>
        <v>0.34556019611403671</v>
      </c>
      <c r="V120" s="152">
        <f t="shared" si="331"/>
        <v>0.34556019611403671</v>
      </c>
      <c r="W120" s="152">
        <f t="shared" si="331"/>
        <v>0.34556019611403671</v>
      </c>
      <c r="X120" s="152">
        <f t="shared" si="331"/>
        <v>0.34556019611403677</v>
      </c>
      <c r="Y120" s="152">
        <f t="shared" si="331"/>
        <v>0.34556019611403677</v>
      </c>
      <c r="Z120" s="152">
        <f t="shared" si="331"/>
        <v>0.34556019611403677</v>
      </c>
      <c r="AA120" s="152">
        <f t="shared" si="331"/>
        <v>0.34556019611403671</v>
      </c>
      <c r="AB120" s="152">
        <f t="shared" si="331"/>
        <v>0.34556019611403671</v>
      </c>
      <c r="AC120" s="152">
        <f t="shared" si="331"/>
        <v>0.34556019611403677</v>
      </c>
      <c r="AD120" s="138">
        <f t="shared" si="247"/>
        <v>4.6789040756589628E-4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9.0090090090090089E-3</v>
      </c>
      <c r="H121" s="152">
        <f t="shared" ref="H121:P121" si="332">H33/H25</f>
        <v>2.5270758122743681E-2</v>
      </c>
      <c r="I121" s="152">
        <f t="shared" si="332"/>
        <v>3.2663316582914576E-2</v>
      </c>
      <c r="J121" s="152">
        <f t="shared" si="332"/>
        <v>3.4071550255536626E-2</v>
      </c>
      <c r="K121" s="152">
        <f t="shared" si="332"/>
        <v>2.4886877828054297E-2</v>
      </c>
      <c r="L121" s="152">
        <f t="shared" si="332"/>
        <v>2.4464831804281346E-2</v>
      </c>
      <c r="M121" s="152">
        <f t="shared" si="332"/>
        <v>2.7299703264094956E-2</v>
      </c>
      <c r="N121" s="152">
        <f t="shared" si="332"/>
        <v>0</v>
      </c>
      <c r="O121" s="152">
        <f t="shared" si="332"/>
        <v>4.6834979875594582E-2</v>
      </c>
      <c r="P121" s="152">
        <f t="shared" si="332"/>
        <v>2.1650534895568008E-2</v>
      </c>
      <c r="Q121" s="152">
        <f t="shared" ref="Q121" si="333">Q33/Q25</f>
        <v>2.0519339023061557E-2</v>
      </c>
      <c r="R121" s="118">
        <f t="shared" si="245"/>
        <v>0.10232632435067401</v>
      </c>
      <c r="S121" s="20"/>
      <c r="T121" s="152">
        <f t="shared" ref="T121:AC121" si="334">T33/T25</f>
        <v>2.0519339023061557E-2</v>
      </c>
      <c r="U121" s="152">
        <f t="shared" si="334"/>
        <v>2.0519339023061561E-2</v>
      </c>
      <c r="V121" s="152">
        <f t="shared" si="334"/>
        <v>2.0519339023061561E-2</v>
      </c>
      <c r="W121" s="152">
        <f t="shared" si="334"/>
        <v>2.0519339023061561E-2</v>
      </c>
      <c r="X121" s="152">
        <f t="shared" si="334"/>
        <v>2.0519339023061561E-2</v>
      </c>
      <c r="Y121" s="152">
        <f t="shared" si="334"/>
        <v>2.0519339023061561E-2</v>
      </c>
      <c r="Z121" s="152">
        <f t="shared" si="334"/>
        <v>2.0519339023061561E-2</v>
      </c>
      <c r="AA121" s="152">
        <f t="shared" si="334"/>
        <v>2.0519339023061561E-2</v>
      </c>
      <c r="AB121" s="152">
        <f t="shared" si="334"/>
        <v>2.0519339023061564E-2</v>
      </c>
      <c r="AC121" s="152">
        <f t="shared" si="334"/>
        <v>2.0519339023061564E-2</v>
      </c>
      <c r="AD121" s="138">
        <f t="shared" si="247"/>
        <v>4.2015831441890583E-2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2.7027027027027029E-2</v>
      </c>
      <c r="H122" s="152">
        <f t="shared" ref="H122:P122" si="335">H34/H25</f>
        <v>2.5270758122743681E-2</v>
      </c>
      <c r="I122" s="152">
        <f t="shared" si="335"/>
        <v>2.7638190954773871E-2</v>
      </c>
      <c r="J122" s="152">
        <f t="shared" si="335"/>
        <v>3.2367972742759793E-2</v>
      </c>
      <c r="K122" s="152">
        <f t="shared" si="335"/>
        <v>3.8461538461538464E-2</v>
      </c>
      <c r="L122" s="152">
        <f t="shared" si="335"/>
        <v>3.3639143730886847E-2</v>
      </c>
      <c r="M122" s="152">
        <f t="shared" si="335"/>
        <v>3.5608308605341248E-2</v>
      </c>
      <c r="N122" s="152">
        <f t="shared" si="335"/>
        <v>3.8897095027080254E-2</v>
      </c>
      <c r="O122" s="152">
        <f t="shared" si="335"/>
        <v>4.0248810830589093E-2</v>
      </c>
      <c r="P122" s="152">
        <f t="shared" si="335"/>
        <v>3.3367294956698927E-2</v>
      </c>
      <c r="Q122" s="152">
        <f t="shared" ref="Q122" si="336">Q34/Q25</f>
        <v>2.9417105502088252E-2</v>
      </c>
      <c r="R122" s="118">
        <f t="shared" si="245"/>
        <v>2.3691722454034947E-2</v>
      </c>
      <c r="S122" s="20"/>
      <c r="T122" s="152">
        <f t="shared" ref="T122:AC122" si="337">T34/T25</f>
        <v>2.9417105502088255E-2</v>
      </c>
      <c r="U122" s="152">
        <f t="shared" si="337"/>
        <v>2.9417105502088255E-2</v>
      </c>
      <c r="V122" s="152">
        <f t="shared" si="337"/>
        <v>2.9417105502088255E-2</v>
      </c>
      <c r="W122" s="152">
        <f t="shared" si="337"/>
        <v>2.9417105502088255E-2</v>
      </c>
      <c r="X122" s="152">
        <f t="shared" si="337"/>
        <v>2.9417105502088259E-2</v>
      </c>
      <c r="Y122" s="152">
        <f t="shared" si="337"/>
        <v>2.9417105502088259E-2</v>
      </c>
      <c r="Z122" s="152">
        <f t="shared" si="337"/>
        <v>2.9417105502088259E-2</v>
      </c>
      <c r="AA122" s="152">
        <f t="shared" si="337"/>
        <v>2.9417105502088259E-2</v>
      </c>
      <c r="AB122" s="152">
        <f t="shared" si="337"/>
        <v>2.9417105502088259E-2</v>
      </c>
      <c r="AC122" s="152">
        <f t="shared" si="337"/>
        <v>2.9417105502088262E-2</v>
      </c>
      <c r="AD122" s="138">
        <f t="shared" si="247"/>
        <v>4.2459364847851067E-3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7.4349442379182153E-3</v>
      </c>
      <c r="H125" s="25">
        <f t="shared" ref="H125:AC125" si="338">H15/H9</f>
        <v>9.3696763202725727E-2</v>
      </c>
      <c r="I125" s="25">
        <f t="shared" si="338"/>
        <v>0.13675213675213677</v>
      </c>
      <c r="J125" s="25">
        <f t="shared" si="338"/>
        <v>1.3411764705882352</v>
      </c>
      <c r="K125" s="25">
        <f t="shared" si="338"/>
        <v>0.8771186440677966</v>
      </c>
      <c r="L125" s="25">
        <f t="shared" si="338"/>
        <v>0.72136752136752136</v>
      </c>
      <c r="M125" s="25">
        <f t="shared" si="338"/>
        <v>0.44903225806451613</v>
      </c>
      <c r="N125" s="25">
        <f t="shared" si="338"/>
        <v>0.37654723127035833</v>
      </c>
      <c r="O125" s="25">
        <f t="shared" si="338"/>
        <v>0.36167111974738886</v>
      </c>
      <c r="P125" s="25">
        <f t="shared" si="338"/>
        <v>0.47944412275622467</v>
      </c>
      <c r="Q125" s="25">
        <f t="shared" ref="Q125" si="339">Q15/Q9</f>
        <v>0.62481492448919163</v>
      </c>
      <c r="R125" s="118">
        <f t="shared" si="245"/>
        <v>0.58873382724047452</v>
      </c>
      <c r="S125" s="20"/>
      <c r="T125" s="20">
        <f t="shared" si="338"/>
        <v>0.62481492448919163</v>
      </c>
      <c r="U125" s="20">
        <f t="shared" si="338"/>
        <v>0.62481492448919174</v>
      </c>
      <c r="V125" s="20">
        <f t="shared" si="338"/>
        <v>0.62481492448919163</v>
      </c>
      <c r="W125" s="20">
        <f t="shared" si="338"/>
        <v>0.62481492448919163</v>
      </c>
      <c r="X125" s="20">
        <f t="shared" si="338"/>
        <v>0.62481492448919151</v>
      </c>
      <c r="Y125" s="20">
        <f t="shared" si="338"/>
        <v>0.62481492448919163</v>
      </c>
      <c r="Z125" s="20">
        <f t="shared" si="338"/>
        <v>0.62481492448919151</v>
      </c>
      <c r="AA125" s="20">
        <f t="shared" si="338"/>
        <v>0.62481492448919151</v>
      </c>
      <c r="AB125" s="20">
        <f t="shared" si="338"/>
        <v>0.62481492448919163</v>
      </c>
      <c r="AC125" s="20">
        <f t="shared" si="338"/>
        <v>0.62481492448919163</v>
      </c>
      <c r="AD125" s="138">
        <f t="shared" si="247"/>
        <v>0.24802614625962449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7.4349442379182153E-3</v>
      </c>
      <c r="H126" s="25">
        <f t="shared" ref="H126:P126" si="340">H12/H9</f>
        <v>5.1107325383304938E-2</v>
      </c>
      <c r="I126" s="25">
        <f t="shared" si="340"/>
        <v>0.13675213675213677</v>
      </c>
      <c r="J126" s="25">
        <f t="shared" si="340"/>
        <v>0.23921568627450981</v>
      </c>
      <c r="K126" s="25">
        <f t="shared" si="340"/>
        <v>1.8983050847457628</v>
      </c>
      <c r="L126" s="25">
        <f t="shared" si="340"/>
        <v>2.2119658119658121</v>
      </c>
      <c r="M126" s="25">
        <f t="shared" si="340"/>
        <v>1.2890322580645162</v>
      </c>
      <c r="N126" s="25">
        <f t="shared" si="340"/>
        <v>0.16416938110749185</v>
      </c>
      <c r="O126" s="25">
        <f t="shared" si="340"/>
        <v>0.27155695895069226</v>
      </c>
      <c r="P126" s="25">
        <f t="shared" si="340"/>
        <v>0.24030110017371165</v>
      </c>
      <c r="Q126" s="25">
        <f t="shared" ref="Q126" si="341">Q12/Q9</f>
        <v>0.15220610008883625</v>
      </c>
      <c r="R126" s="118">
        <f t="shared" si="245"/>
        <v>0.47136283690780245</v>
      </c>
      <c r="S126" s="128"/>
      <c r="T126" s="20">
        <f t="shared" ref="T126:AC126" si="342">T12/T9</f>
        <v>0.15220610008883625</v>
      </c>
      <c r="U126" s="20">
        <f t="shared" si="342"/>
        <v>0.15220610008883625</v>
      </c>
      <c r="V126" s="20">
        <f t="shared" si="342"/>
        <v>0.15220610008883625</v>
      </c>
      <c r="W126" s="20">
        <f t="shared" si="342"/>
        <v>0.15220610008883623</v>
      </c>
      <c r="X126" s="20">
        <f t="shared" si="342"/>
        <v>0.15220610008883623</v>
      </c>
      <c r="Y126" s="20">
        <f t="shared" si="342"/>
        <v>0.15220610008883625</v>
      </c>
      <c r="Z126" s="20">
        <f t="shared" si="342"/>
        <v>0.15220610008883625</v>
      </c>
      <c r="AA126" s="20">
        <f t="shared" si="342"/>
        <v>0.15220610008883623</v>
      </c>
      <c r="AB126" s="20">
        <f t="shared" si="342"/>
        <v>0.15220610008883623</v>
      </c>
      <c r="AC126" s="20">
        <f t="shared" si="342"/>
        <v>0.15220610008883625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0.30833333333333335</v>
      </c>
      <c r="H127" s="25">
        <f t="shared" ref="H127:P127" si="344">H25/360</f>
        <v>0.76944444444444449</v>
      </c>
      <c r="I127" s="25">
        <f t="shared" si="344"/>
        <v>1.1055555555555556</v>
      </c>
      <c r="J127" s="25">
        <f t="shared" si="344"/>
        <v>1.6305555555555555</v>
      </c>
      <c r="K127" s="25">
        <f t="shared" si="344"/>
        <v>2.4555555555555557</v>
      </c>
      <c r="L127" s="25">
        <f t="shared" si="344"/>
        <v>3.6333333333333333</v>
      </c>
      <c r="M127" s="25">
        <f t="shared" si="344"/>
        <v>4.6805555555555554</v>
      </c>
      <c r="N127" s="25">
        <f t="shared" si="344"/>
        <v>5.6416666666666666</v>
      </c>
      <c r="O127" s="25">
        <f t="shared" si="344"/>
        <v>7.5916666666666668</v>
      </c>
      <c r="P127" s="25">
        <f t="shared" si="344"/>
        <v>10.905555555555555</v>
      </c>
      <c r="Q127" s="25">
        <f t="shared" ref="Q127" si="345">Q25/360</f>
        <v>15.297222222222222</v>
      </c>
      <c r="R127" s="118">
        <f t="shared" si="245"/>
        <v>0.48617414577000817</v>
      </c>
      <c r="S127" s="128"/>
      <c r="T127" s="25">
        <f t="shared" ref="T127:AC127" si="346">T25/360</f>
        <v>18.356666666666666</v>
      </c>
      <c r="U127" s="25">
        <f t="shared" si="346"/>
        <v>22.027999999999999</v>
      </c>
      <c r="V127" s="25">
        <f t="shared" si="346"/>
        <v>26.433599999999995</v>
      </c>
      <c r="W127" s="25">
        <f t="shared" si="346"/>
        <v>31.720319999999994</v>
      </c>
      <c r="X127" s="25">
        <f t="shared" si="346"/>
        <v>38.06438399999999</v>
      </c>
      <c r="Y127" s="25">
        <f t="shared" si="346"/>
        <v>45.677260799999985</v>
      </c>
      <c r="Z127" s="25">
        <f t="shared" si="346"/>
        <v>54.812712959999971</v>
      </c>
      <c r="AA127" s="25">
        <f t="shared" si="346"/>
        <v>65.775255551999962</v>
      </c>
      <c r="AB127" s="25">
        <f t="shared" si="346"/>
        <v>78.930306662399957</v>
      </c>
      <c r="AC127" s="25">
        <f t="shared" si="346"/>
        <v>94.716367994879931</v>
      </c>
      <c r="AD127" s="118">
        <f t="shared" ref="AD127:AD138" si="347">((AC127/T127)^(1/($H$2-$H$1) ))-1</f>
        <v>0.19999999999999996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0.10555555555555556</v>
      </c>
      <c r="H128" s="25">
        <f t="shared" ref="H128:P128" si="348">H27/360</f>
        <v>0.27777777777777779</v>
      </c>
      <c r="I128" s="25">
        <f t="shared" si="348"/>
        <v>0.43055555555555558</v>
      </c>
      <c r="J128" s="25">
        <f t="shared" si="348"/>
        <v>0.73888888888888893</v>
      </c>
      <c r="K128" s="25">
        <f t="shared" si="348"/>
        <v>0.77777777777777779</v>
      </c>
      <c r="L128" s="25">
        <f t="shared" si="348"/>
        <v>1.2194444444444446</v>
      </c>
      <c r="M128" s="25">
        <f t="shared" si="348"/>
        <v>1.4694444444444446</v>
      </c>
      <c r="N128" s="25">
        <f t="shared" si="348"/>
        <v>1.9444444444444444</v>
      </c>
      <c r="O128" s="25">
        <f t="shared" si="348"/>
        <v>2.6388888888888888</v>
      </c>
      <c r="P128" s="25">
        <f t="shared" si="348"/>
        <v>3.3333333333333335</v>
      </c>
      <c r="Q128" s="25">
        <f t="shared" ref="Q128" si="349">Q27/360</f>
        <v>5.2861111111111114</v>
      </c>
      <c r="R128" s="118">
        <f t="shared" si="245"/>
        <v>0.46757308683682708</v>
      </c>
      <c r="S128" s="128"/>
      <c r="T128" s="25">
        <f t="shared" ref="T128:AC128" si="350">T27/360</f>
        <v>6.3433333333333328</v>
      </c>
      <c r="U128" s="25">
        <f t="shared" si="350"/>
        <v>7.6119999999999992</v>
      </c>
      <c r="V128" s="25">
        <f t="shared" si="350"/>
        <v>9.1343999999999994</v>
      </c>
      <c r="W128" s="25">
        <f t="shared" si="350"/>
        <v>10.961279999999999</v>
      </c>
      <c r="X128" s="25">
        <f t="shared" si="350"/>
        <v>13.153535999999999</v>
      </c>
      <c r="Y128" s="25">
        <f t="shared" si="350"/>
        <v>15.784243199999997</v>
      </c>
      <c r="Z128" s="25">
        <f t="shared" si="350"/>
        <v>18.941091839999995</v>
      </c>
      <c r="AA128" s="25">
        <f t="shared" si="350"/>
        <v>22.729310207999994</v>
      </c>
      <c r="AB128" s="25">
        <f t="shared" si="350"/>
        <v>27.275172249599986</v>
      </c>
      <c r="AC128" s="25">
        <f t="shared" si="350"/>
        <v>32.730206699519989</v>
      </c>
      <c r="AD128" s="118">
        <f t="shared" si="347"/>
        <v>0.19999999999999996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0.60767590618336886</v>
      </c>
      <c r="H130" s="25">
        <f t="shared" ref="H130:P130" si="351">H10/H7</f>
        <v>1.0909090909090908</v>
      </c>
      <c r="I130" s="25">
        <f t="shared" si="351"/>
        <v>1.6086956521739131</v>
      </c>
      <c r="J130" s="25">
        <f t="shared" si="351"/>
        <v>2.6640000000000001</v>
      </c>
      <c r="K130" s="25">
        <f t="shared" si="351"/>
        <v>1.0392979778710416</v>
      </c>
      <c r="L130" s="25">
        <f t="shared" si="351"/>
        <v>1.2102389078498295</v>
      </c>
      <c r="M130" s="25">
        <f t="shared" si="351"/>
        <v>1.2518047935316199</v>
      </c>
      <c r="N130" s="25">
        <f t="shared" si="351"/>
        <v>0.85748388636906181</v>
      </c>
      <c r="O130" s="25">
        <f t="shared" si="351"/>
        <v>3.4166147455867084</v>
      </c>
      <c r="P130" s="25">
        <f t="shared" si="351"/>
        <v>1.6669793621013134</v>
      </c>
      <c r="Q130" s="25">
        <f t="shared" ref="Q130" si="352">Q10/Q7</f>
        <v>1.3335994525547445</v>
      </c>
      <c r="R130" s="118">
        <f t="shared" si="245"/>
        <v>0.11865290866455669</v>
      </c>
      <c r="S130" s="128"/>
      <c r="T130" s="25">
        <f t="shared" ref="T130:AC130" si="353">T10/T7</f>
        <v>1.3335994525547445</v>
      </c>
      <c r="U130" s="25">
        <f t="shared" si="353"/>
        <v>1.3335994525547443</v>
      </c>
      <c r="V130" s="25">
        <f t="shared" si="353"/>
        <v>1.3335994525547443</v>
      </c>
      <c r="W130" s="25">
        <f t="shared" si="353"/>
        <v>1.3335994525547445</v>
      </c>
      <c r="X130" s="25">
        <f t="shared" si="353"/>
        <v>1.3335994525547443</v>
      </c>
      <c r="Y130" s="25">
        <f t="shared" si="353"/>
        <v>1.3335994525547443</v>
      </c>
      <c r="Z130" s="25">
        <f t="shared" si="353"/>
        <v>1.3335994525547443</v>
      </c>
      <c r="AA130" s="25">
        <f t="shared" si="353"/>
        <v>1.3335994525547443</v>
      </c>
      <c r="AB130" s="25">
        <f t="shared" si="353"/>
        <v>1.3335994525547443</v>
      </c>
      <c r="AC130" s="25">
        <f t="shared" si="353"/>
        <v>1.3335994525547443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0.37798408488063662</v>
      </c>
      <c r="H131" s="25">
        <f t="shared" ref="H131:P131" si="354">H10/(H10+H7)</f>
        <v>0.52173913043478259</v>
      </c>
      <c r="I131" s="25">
        <f t="shared" si="354"/>
        <v>0.6166666666666667</v>
      </c>
      <c r="J131" s="25">
        <f t="shared" si="354"/>
        <v>0.72707423580786024</v>
      </c>
      <c r="K131" s="25">
        <f t="shared" si="354"/>
        <v>0.50963517305893358</v>
      </c>
      <c r="L131" s="25">
        <f t="shared" si="354"/>
        <v>0.54756022235948121</v>
      </c>
      <c r="M131" s="25">
        <f t="shared" si="354"/>
        <v>0.55591177224929467</v>
      </c>
      <c r="N131" s="25">
        <f t="shared" si="354"/>
        <v>0.46163732168101784</v>
      </c>
      <c r="O131" s="25">
        <f t="shared" si="354"/>
        <v>0.77358224395749087</v>
      </c>
      <c r="P131" s="25">
        <f t="shared" si="354"/>
        <v>0.62504396763981707</v>
      </c>
      <c r="Q131" s="25">
        <f t="shared" ref="Q131" si="355">Q10/(Q10+Q7)</f>
        <v>0.57147744489516639</v>
      </c>
      <c r="R131" s="118">
        <f t="shared" si="245"/>
        <v>5.7476643231741065E-2</v>
      </c>
      <c r="S131" s="128"/>
      <c r="T131" s="25">
        <f t="shared" ref="T131:AC131" si="356">T10/(T10+T7)</f>
        <v>0.57147744489516639</v>
      </c>
      <c r="U131" s="25">
        <f t="shared" si="356"/>
        <v>0.57147744489516639</v>
      </c>
      <c r="V131" s="25">
        <f t="shared" si="356"/>
        <v>0.5714774448951665</v>
      </c>
      <c r="W131" s="25">
        <f t="shared" si="356"/>
        <v>0.57147744489516639</v>
      </c>
      <c r="X131" s="25">
        <f t="shared" si="356"/>
        <v>0.57147744489516639</v>
      </c>
      <c r="Y131" s="25">
        <f t="shared" si="356"/>
        <v>0.57147744489516639</v>
      </c>
      <c r="Z131" s="25">
        <f t="shared" si="356"/>
        <v>0.57147744489516639</v>
      </c>
      <c r="AA131" s="25">
        <f t="shared" si="356"/>
        <v>0.57147744489516639</v>
      </c>
      <c r="AB131" s="25">
        <f t="shared" si="356"/>
        <v>0.57147744489516639</v>
      </c>
      <c r="AC131" s="25">
        <f t="shared" si="356"/>
        <v>0.57147744489516639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-357</v>
      </c>
      <c r="H133" s="25">
        <f t="shared" ref="H133:P133" si="357">H16</f>
        <v>-410</v>
      </c>
      <c r="I133" s="25">
        <f t="shared" si="357"/>
        <v>-459</v>
      </c>
      <c r="J133" s="25">
        <f t="shared" si="357"/>
        <v>264</v>
      </c>
      <c r="K133" s="25">
        <f t="shared" si="357"/>
        <v>792</v>
      </c>
      <c r="L133" s="25">
        <f t="shared" si="357"/>
        <v>1097</v>
      </c>
      <c r="M133" s="25">
        <f t="shared" si="357"/>
        <v>888</v>
      </c>
      <c r="N133" s="25">
        <f t="shared" si="357"/>
        <v>-694</v>
      </c>
      <c r="O133" s="25">
        <f t="shared" si="357"/>
        <v>-734</v>
      </c>
      <c r="P133" s="25">
        <f t="shared" si="357"/>
        <v>2645</v>
      </c>
      <c r="Q133" s="25">
        <f t="shared" ref="Q133" si="358">Q16</f>
        <v>5354</v>
      </c>
      <c r="R133" s="118">
        <f t="shared" si="245"/>
        <v>-2.2492222699189339</v>
      </c>
      <c r="S133" s="128"/>
      <c r="T133" s="25">
        <f t="shared" ref="T133:AC133" si="359">T16</f>
        <v>6424.8</v>
      </c>
      <c r="U133" s="25">
        <f t="shared" si="359"/>
        <v>7709.76</v>
      </c>
      <c r="V133" s="25">
        <f t="shared" si="359"/>
        <v>9251.7119999999995</v>
      </c>
      <c r="W133" s="25">
        <f t="shared" si="359"/>
        <v>11102.054399999999</v>
      </c>
      <c r="X133" s="25">
        <f t="shared" si="359"/>
        <v>13322.465279999999</v>
      </c>
      <c r="Y133" s="25">
        <f t="shared" si="359"/>
        <v>15986.958335999998</v>
      </c>
      <c r="Z133" s="25">
        <f t="shared" si="359"/>
        <v>19184.350003199997</v>
      </c>
      <c r="AA133" s="25">
        <f t="shared" si="359"/>
        <v>23021.220003839997</v>
      </c>
      <c r="AB133" s="25">
        <f t="shared" si="359"/>
        <v>27625.464004607995</v>
      </c>
      <c r="AC133" s="25">
        <f t="shared" si="359"/>
        <v>33150.556805529595</v>
      </c>
      <c r="AD133" s="118">
        <f t="shared" si="347"/>
        <v>0.19999999999999996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-1173.918918918919</v>
      </c>
      <c r="H134" s="119">
        <f t="shared" si="360"/>
        <v>-540.25270758122747</v>
      </c>
      <c r="I134" s="119">
        <f t="shared" si="360"/>
        <v>-420.9422110552764</v>
      </c>
      <c r="J134" s="119">
        <f t="shared" si="360"/>
        <v>164.15672913117547</v>
      </c>
      <c r="K134" s="119">
        <f t="shared" si="360"/>
        <v>327.01357466063348</v>
      </c>
      <c r="L134" s="119">
        <f t="shared" si="360"/>
        <v>306.12003058103977</v>
      </c>
      <c r="M134" s="119">
        <f t="shared" si="360"/>
        <v>192.35608308605342</v>
      </c>
      <c r="N134" s="119">
        <f t="shared" si="360"/>
        <v>-124.72181191531266</v>
      </c>
      <c r="O134" s="119">
        <f t="shared" si="360"/>
        <v>-98.027808269301133</v>
      </c>
      <c r="P134" s="119">
        <f t="shared" si="360"/>
        <v>245.90550178298523</v>
      </c>
      <c r="Q134" s="119">
        <f t="shared" ref="Q134" si="361">Q133*365/Q25</f>
        <v>354.85927001997459</v>
      </c>
      <c r="R134" s="118">
        <f t="shared" si="245"/>
        <v>-1.840562509766777</v>
      </c>
      <c r="S134" s="128"/>
      <c r="T134" s="119">
        <f t="shared" ref="T134:AC134" si="362">T133*365/T25</f>
        <v>354.85927001997459</v>
      </c>
      <c r="U134" s="119">
        <f t="shared" si="362"/>
        <v>354.85927001997459</v>
      </c>
      <c r="V134" s="119">
        <f t="shared" si="362"/>
        <v>354.85927001997464</v>
      </c>
      <c r="W134" s="119">
        <f t="shared" si="362"/>
        <v>354.85927001997464</v>
      </c>
      <c r="X134" s="119">
        <f t="shared" si="362"/>
        <v>354.85927001997464</v>
      </c>
      <c r="Y134" s="119">
        <f t="shared" si="362"/>
        <v>354.8592700199747</v>
      </c>
      <c r="Z134" s="119">
        <f t="shared" si="362"/>
        <v>354.8592700199747</v>
      </c>
      <c r="AA134" s="119">
        <f t="shared" si="362"/>
        <v>354.8592700199747</v>
      </c>
      <c r="AB134" s="119">
        <f t="shared" si="362"/>
        <v>354.8592700199747</v>
      </c>
      <c r="AC134" s="119">
        <f t="shared" si="362"/>
        <v>354.85927001997476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0.10793650793650793</v>
      </c>
      <c r="H135" s="133">
        <f t="shared" ref="H135:P135" si="363">H80/H29</f>
        <v>0.34151377968390118</v>
      </c>
      <c r="I135" s="133">
        <f t="shared" si="363"/>
        <v>0.23206538189890022</v>
      </c>
      <c r="J135" s="133">
        <f t="shared" si="363"/>
        <v>0.12949346405228757</v>
      </c>
      <c r="K135" s="133">
        <f t="shared" si="363"/>
        <v>9.799270072992701E-2</v>
      </c>
      <c r="L135" s="133">
        <f t="shared" si="363"/>
        <v>8.8139534883720921E-2</v>
      </c>
      <c r="M135" s="133">
        <f t="shared" si="363"/>
        <v>0.11112385321100918</v>
      </c>
      <c r="N135" s="133">
        <f t="shared" si="363"/>
        <v>7.3806818181818182E-2</v>
      </c>
      <c r="O135" s="133">
        <f t="shared" si="363"/>
        <v>3.1067615658362992E-2</v>
      </c>
      <c r="P135" s="133">
        <f t="shared" si="363"/>
        <v>2.1909594095940961E-2</v>
      </c>
      <c r="Q135" s="133">
        <f t="shared" ref="Q135" si="364">Q80/Q29</f>
        <v>1.4943705220061412E-2</v>
      </c>
      <c r="R135" s="118">
        <f t="shared" si="245"/>
        <v>-0.16237086613454621</v>
      </c>
      <c r="S135" s="128"/>
      <c r="T135" s="133">
        <f t="shared" ref="T135:AC135" si="365">T80/T29</f>
        <v>1.4795747742635064E-2</v>
      </c>
      <c r="U135" s="133">
        <f t="shared" si="365"/>
        <v>1.4649255190727786E-2</v>
      </c>
      <c r="V135" s="133">
        <f t="shared" si="365"/>
        <v>1.450421306012652E-2</v>
      </c>
      <c r="W135" s="133">
        <f t="shared" si="365"/>
        <v>1.4360606990224279E-2</v>
      </c>
      <c r="X135" s="133">
        <f t="shared" si="365"/>
        <v>1.4218422762598297E-2</v>
      </c>
      <c r="Y135" s="133">
        <f t="shared" si="365"/>
        <v>1.4077646299602274E-2</v>
      </c>
      <c r="Z135" s="133">
        <f t="shared" si="365"/>
        <v>1.3938263662972551E-2</v>
      </c>
      <c r="AA135" s="133">
        <f t="shared" si="365"/>
        <v>1.380026105244807E-2</v>
      </c>
      <c r="AB135" s="133">
        <f t="shared" si="365"/>
        <v>1.366362480440403E-2</v>
      </c>
      <c r="AC135" s="133">
        <f t="shared" si="365"/>
        <v>1.352834139049904E-2</v>
      </c>
      <c r="AD135" s="118">
        <f t="shared" si="347"/>
        <v>-9.9009900990099098E-3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693.75</v>
      </c>
      <c r="H137" s="180">
        <f t="shared" ref="H137:P137" si="366">H25/H14</f>
        <v>92.333333333333329</v>
      </c>
      <c r="I137" s="180">
        <f t="shared" si="366"/>
        <v>99.5</v>
      </c>
      <c r="J137" s="180">
        <f t="shared" si="366"/>
        <v>53.363636363636367</v>
      </c>
      <c r="K137" s="180">
        <f t="shared" si="366"/>
        <v>46.526315789473685</v>
      </c>
      <c r="L137" s="180">
        <f t="shared" si="366"/>
        <v>48.444444444444443</v>
      </c>
      <c r="M137" s="180">
        <f t="shared" si="366"/>
        <v>52.65625</v>
      </c>
      <c r="N137" s="180">
        <f t="shared" si="366"/>
        <v>48.357142857142854</v>
      </c>
      <c r="O137" s="180">
        <f t="shared" si="366"/>
        <v>39.608695652173914</v>
      </c>
      <c r="P137" s="180">
        <f t="shared" si="366"/>
        <v>40.061224489795919</v>
      </c>
      <c r="Q137" s="180">
        <f t="shared" ref="Q137" si="367">Q25/Q14</f>
        <v>32.585798816568044</v>
      </c>
      <c r="R137" s="118">
        <f t="shared" si="245"/>
        <v>-0.27156425805153539</v>
      </c>
      <c r="S137" s="128"/>
      <c r="T137" s="20">
        <f t="shared" ref="T137" si="368">T25/T14</f>
        <v>32.585798816568051</v>
      </c>
      <c r="U137" s="20">
        <f t="shared" ref="U137:AC137" si="369">U25/U14</f>
        <v>32.585798816568051</v>
      </c>
      <c r="V137" s="20">
        <f t="shared" si="369"/>
        <v>32.585798816568051</v>
      </c>
      <c r="W137" s="20">
        <f t="shared" si="369"/>
        <v>32.585798816568051</v>
      </c>
      <c r="X137" s="20">
        <f t="shared" si="369"/>
        <v>32.585798816568044</v>
      </c>
      <c r="Y137" s="20">
        <f t="shared" si="369"/>
        <v>32.585798816568051</v>
      </c>
      <c r="Z137" s="20">
        <f t="shared" si="369"/>
        <v>32.585798816568051</v>
      </c>
      <c r="AA137" s="20">
        <f t="shared" si="369"/>
        <v>32.585798816568051</v>
      </c>
      <c r="AB137" s="20">
        <f t="shared" si="369"/>
        <v>32.585798816568051</v>
      </c>
      <c r="AC137" s="20">
        <f t="shared" si="369"/>
        <v>32.585798816568051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237.5</v>
      </c>
      <c r="H138" s="180">
        <f t="shared" ref="H138:P138" si="370">H27/H14</f>
        <v>33.333333333333336</v>
      </c>
      <c r="I138" s="180">
        <f t="shared" si="370"/>
        <v>38.75</v>
      </c>
      <c r="J138" s="180">
        <f t="shared" si="370"/>
        <v>24.181818181818183</v>
      </c>
      <c r="K138" s="180">
        <f t="shared" si="370"/>
        <v>14.736842105263158</v>
      </c>
      <c r="L138" s="180">
        <f t="shared" si="370"/>
        <v>16.25925925925926</v>
      </c>
      <c r="M138" s="180">
        <f t="shared" si="370"/>
        <v>16.53125</v>
      </c>
      <c r="N138" s="180">
        <f t="shared" si="370"/>
        <v>16.666666666666668</v>
      </c>
      <c r="O138" s="180">
        <f t="shared" si="370"/>
        <v>13.768115942028986</v>
      </c>
      <c r="P138" s="180">
        <f t="shared" si="370"/>
        <v>12.244897959183673</v>
      </c>
      <c r="Q138" s="180">
        <f t="shared" ref="Q138" si="371">Q27/Q14</f>
        <v>11.260355029585799</v>
      </c>
      <c r="R138" s="118">
        <f t="shared" si="245"/>
        <v>-0.28068141044150563</v>
      </c>
      <c r="S138" s="128"/>
      <c r="T138" s="20">
        <f t="shared" ref="T138:AC138" si="372">T27/T14</f>
        <v>11.260355029585799</v>
      </c>
      <c r="U138" s="20">
        <f t="shared" si="372"/>
        <v>11.260355029585799</v>
      </c>
      <c r="V138" s="20">
        <f t="shared" si="372"/>
        <v>11.260355029585801</v>
      </c>
      <c r="W138" s="20">
        <f t="shared" si="372"/>
        <v>11.260355029585801</v>
      </c>
      <c r="X138" s="20">
        <f t="shared" si="372"/>
        <v>11.260355029585801</v>
      </c>
      <c r="Y138" s="20">
        <f t="shared" si="372"/>
        <v>11.260355029585801</v>
      </c>
      <c r="Z138" s="20">
        <f t="shared" si="372"/>
        <v>11.260355029585801</v>
      </c>
      <c r="AA138" s="20">
        <f t="shared" si="372"/>
        <v>11.260355029585803</v>
      </c>
      <c r="AB138" s="20">
        <f t="shared" si="372"/>
        <v>11.260355029585801</v>
      </c>
      <c r="AC138" s="20">
        <f t="shared" si="372"/>
        <v>11.260355029585803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6.6725961930624456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281.53038661622338</v>
      </c>
      <c r="T142" s="133">
        <f>PV($C$1, ($AC$3-$T$3), 0, -AC54)</f>
        <v>17.595649163513958</v>
      </c>
      <c r="U142" s="133">
        <f>PV($C$1, ($AC$3-$T$3), 0, -AF54)</f>
        <v>263.93473745270944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1417.8394197880798</v>
      </c>
      <c r="T143" s="133">
        <f>PV($C$1, ($AC$3-$T$3), 0, -AC56)</f>
        <v>88.614963736754959</v>
      </c>
      <c r="U143" s="133">
        <f>PV($C$1, ($AC$3-$T$3), 0, -AF56)</f>
        <v>1329.2244560513248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1350.4079601562789</v>
      </c>
      <c r="T144" s="133">
        <f>PV($C$1, ($AC$3-$T$3), 0, -AC57)</f>
        <v>84.400497509767433</v>
      </c>
      <c r="U144" s="133">
        <f>PV($C$1, ($AC$3-$T$3), 0, -AF57)</f>
        <v>1266.0074626465116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1890.8298740399191</v>
      </c>
      <c r="T145" s="133">
        <f>PV($C$1, ($AC$3-$T$3), 0, -AC58)</f>
        <v>118.17686712749494</v>
      </c>
      <c r="U145" s="133">
        <f>PV($C$1, ($AC$3-$T$3), 0, -AF58)</f>
        <v>1772.6530069124242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83.116955037759226</v>
      </c>
      <c r="T146" s="133">
        <f>PV($C$1, ($AC$3-$T$3), 0, -AC64)</f>
        <v>5.1948096898599507</v>
      </c>
      <c r="U146" s="133">
        <f>PV($C$1, ($AC$3-$T$3), 0, -AF64)</f>
        <v>77.922145347899274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-472.99045425183959</v>
      </c>
      <c r="T148" s="133">
        <f>PV($C$1, ($AC$3-$T$3), 0, -AC60)</f>
        <v>-29.561903390739971</v>
      </c>
      <c r="U148" s="133">
        <f>PV($C$1, ($AC$3-$T$3), 0, -$AF$60)</f>
        <v>-443.42855086109961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-1019.0720829726818</v>
      </c>
      <c r="T149" s="133">
        <f>PV($C$1, ($AC$3-$T$3), 0, -AC61)</f>
        <v>-63.692005185792603</v>
      </c>
      <c r="U149" s="133">
        <f>PV($C$1, ($AC$3-$T$3), 0, -$AF$61)</f>
        <v>-955.38007778688916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-677.87213135853403</v>
      </c>
      <c r="T150" s="133">
        <f>PV($C$1, ($AC$3-$T$3), 0, -AC62)</f>
        <v>-42.36700820990837</v>
      </c>
      <c r="U150" s="133">
        <f>PV($C$1, ($AC$3-$T$3), 0, -$AF$62)</f>
        <v>-635.50512314862567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341.19995161414784</v>
      </c>
      <c r="T152" s="133">
        <f>PV($C$1, ($AC$3-$T$3), 0, -AC67)</f>
        <v>21.324996975884236</v>
      </c>
      <c r="U152" s="133">
        <f>PV($C$1, ($AC$3-$T$3), 0, -AF67)</f>
        <v>319.8749546382636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505.03522063961429</v>
      </c>
      <c r="T153" s="133">
        <f>PV($C$1, ($AC$3-$T$3), 0, -AC68)</f>
        <v>54.110916497101528</v>
      </c>
      <c r="U153" s="133">
        <f>PV($C$1, ($AC$3-$T$3), 0, -AF68)</f>
        <v>450.92430414251277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18362.565506303421</v>
      </c>
      <c r="T155" s="133">
        <f>PV($C$1, ($AC$3-$T$3), 0, -AC12)</f>
        <v>1147.6603441439638</v>
      </c>
      <c r="U155" s="133">
        <f>PV($C$1, ($AC$3-$T$3), 0, -AF12)</f>
        <v>17214.905162159459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91.812827531517115</v>
      </c>
      <c r="T156" s="140">
        <f>T155/P42</f>
        <v>5.7383017207198188</v>
      </c>
      <c r="U156" s="140">
        <f>U155/P42</f>
        <v>86.074525810797297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19.118988063619948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10.308052082801336</v>
      </c>
      <c r="U159" s="133">
        <f>PV($C$1, ($AC$3-$T$3), 0, -AF70)</f>
        <v>8.8109359808186127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-51744.520338217102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-27898.192564953402</v>
      </c>
      <c r="U161" s="133">
        <f>PV($C$1, ($AC$3-$T$3), 0, -AF72)</f>
        <v>-23846.3277732637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-234.2181961951685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-126.27934894282546</v>
      </c>
      <c r="U163" s="133">
        <f>PV($C$1, ($AC$3-$T$3), 0, -AF74)</f>
        <v>-107.93884725234302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526.66198329840506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283.95117648520142</v>
      </c>
      <c r="U164" s="133">
        <f>PV($C$1, ($AC$3-$T$3), 0, -AF75)</f>
        <v>242.71080681320367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-760.88017949357356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-410.23052542802685</v>
      </c>
      <c r="U165" s="133">
        <f>PV($C$1, ($AC$3-$T$3), 0, -AF76)</f>
        <v>-350.64965406554671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82.239535180887785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44.339659038913425</v>
      </c>
      <c r="U166" s="133">
        <f>PV($C$1, ($AC$3-$T$3), 0, -AF77)</f>
        <v>37.89987614197436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30.264148946566699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16.316994526320137</v>
      </c>
      <c r="U168" s="133">
        <f>PV($C$1, ($AC$3-$T$3), 0, -AF78)</f>
        <v>13.947154420246562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175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270</v>
      </c>
      <c r="Q170" s="20"/>
      <c r="R170" s="20">
        <v>120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400</v>
      </c>
      <c r="L171" s="22">
        <f>90*5</f>
        <v>450</v>
      </c>
      <c r="M171" s="22">
        <f>150*5</f>
        <v>750</v>
      </c>
      <c r="N171" s="22">
        <v>150</v>
      </c>
      <c r="O171" s="22">
        <v>117</v>
      </c>
      <c r="P171" s="22">
        <v>120</v>
      </c>
      <c r="Q171" s="22">
        <v>270</v>
      </c>
      <c r="R171" s="118" t="e">
        <f t="shared" ref="R171:R176" si="377">((P171/G171)^(1/($H$2-$H$1) ))-1</f>
        <v>#DIV/0!</v>
      </c>
      <c r="S171" s="31">
        <f>L2-3%</f>
        <v>0.17</v>
      </c>
      <c r="T171" s="119">
        <f t="shared" ref="T171" si="378">P171*(1+$S171)</f>
        <v>140.39999999999998</v>
      </c>
      <c r="U171" s="119">
        <f t="shared" ref="U171:AC171" si="379">T171*(1+$S171)</f>
        <v>164.26799999999997</v>
      </c>
      <c r="V171" s="119">
        <f t="shared" si="379"/>
        <v>192.19355999999996</v>
      </c>
      <c r="W171" s="119">
        <f t="shared" si="379"/>
        <v>224.86646519999994</v>
      </c>
      <c r="X171" s="119">
        <f t="shared" si="379"/>
        <v>263.09376428399992</v>
      </c>
      <c r="Y171" s="119">
        <f t="shared" si="379"/>
        <v>307.81970421227987</v>
      </c>
      <c r="Z171" s="119">
        <f t="shared" si="379"/>
        <v>360.14905392836744</v>
      </c>
      <c r="AA171" s="119">
        <f t="shared" si="379"/>
        <v>421.37439309618986</v>
      </c>
      <c r="AB171" s="119">
        <f t="shared" si="379"/>
        <v>493.00803992254208</v>
      </c>
      <c r="AC171" s="119">
        <f t="shared" si="379"/>
        <v>576.81940670937422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</v>
      </c>
      <c r="H172" s="25">
        <f t="shared" si="382"/>
        <v>0</v>
      </c>
      <c r="I172" s="25">
        <f t="shared" si="382"/>
        <v>0</v>
      </c>
      <c r="J172" s="25">
        <f t="shared" si="382"/>
        <v>0</v>
      </c>
      <c r="K172" s="25">
        <f t="shared" si="382"/>
        <v>18.099547511312217</v>
      </c>
      <c r="L172" s="25">
        <f t="shared" si="382"/>
        <v>13.761467889908255</v>
      </c>
      <c r="M172" s="25">
        <f t="shared" si="382"/>
        <v>17.804154302670621</v>
      </c>
      <c r="N172" s="25">
        <f t="shared" si="382"/>
        <v>14.771048744460858</v>
      </c>
      <c r="O172" s="25">
        <f t="shared" si="382"/>
        <v>8.5620197585071356</v>
      </c>
      <c r="P172" s="25">
        <f t="shared" si="382"/>
        <v>6.1130922058074377</v>
      </c>
      <c r="Q172" s="25">
        <f t="shared" ref="Q172" si="383">Q171/Q50</f>
        <v>9.8057018340294171</v>
      </c>
      <c r="R172" s="118" t="e">
        <f t="shared" ref="R172" si="384">((P172/G172)^(1/($H$2-$H$1) ))-1</f>
        <v>#DIV/0!</v>
      </c>
      <c r="S172" s="128"/>
      <c r="T172" s="25">
        <f t="shared" ref="T172:AC172" si="385">T171/T50</f>
        <v>4.2916288360268746</v>
      </c>
      <c r="U172" s="25">
        <f t="shared" si="385"/>
        <v>4.2261814962774649</v>
      </c>
      <c r="V172" s="25">
        <f t="shared" si="385"/>
        <v>4.1617322284592344</v>
      </c>
      <c r="W172" s="25">
        <f t="shared" si="385"/>
        <v>4.0982658119752298</v>
      </c>
      <c r="X172" s="25">
        <f t="shared" si="385"/>
        <v>4.0357672583426085</v>
      </c>
      <c r="Y172" s="25">
        <f t="shared" si="385"/>
        <v>3.9742218076528837</v>
      </c>
      <c r="Z172" s="25">
        <f t="shared" si="385"/>
        <v>3.9136149250861769</v>
      </c>
      <c r="AA172" s="25">
        <f t="shared" si="385"/>
        <v>3.8539322974786123</v>
      </c>
      <c r="AB172" s="25">
        <f t="shared" si="385"/>
        <v>3.795159829942063</v>
      </c>
      <c r="AC172" s="25">
        <f t="shared" si="385"/>
        <v>3.7372836425354476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0</v>
      </c>
      <c r="H173" s="25">
        <f t="shared" si="388"/>
        <v>0</v>
      </c>
      <c r="I173" s="25">
        <f t="shared" si="388"/>
        <v>0</v>
      </c>
      <c r="J173" s="25">
        <f t="shared" si="388"/>
        <v>0</v>
      </c>
      <c r="K173" s="25">
        <f t="shared" si="388"/>
        <v>75.829383886255926</v>
      </c>
      <c r="L173" s="25">
        <f t="shared" si="388"/>
        <v>41.666666666666664</v>
      </c>
      <c r="M173" s="25">
        <f t="shared" si="388"/>
        <v>44.576523031203571</v>
      </c>
      <c r="N173" s="25">
        <f t="shared" si="388"/>
        <v>32.715376226826606</v>
      </c>
      <c r="O173" s="25">
        <f t="shared" si="388"/>
        <v>21.428571428571427</v>
      </c>
      <c r="P173" s="25">
        <f t="shared" si="388"/>
        <v>14.652014652014653</v>
      </c>
      <c r="Q173" s="25">
        <f t="shared" ref="Q173" si="389">Q171/Q54</f>
        <v>31.016657093624353</v>
      </c>
      <c r="R173" s="118" t="e">
        <f t="shared" si="377"/>
        <v>#DIV/0!</v>
      </c>
      <c r="S173" s="128"/>
      <c r="T173" s="119">
        <f t="shared" ref="T173:AC173" si="390">T171/T54</f>
        <v>13.574956921309591</v>
      </c>
      <c r="U173" s="119">
        <f t="shared" si="390"/>
        <v>13.367938828259621</v>
      </c>
      <c r="V173" s="119">
        <f t="shared" si="390"/>
        <v>13.164077761128661</v>
      </c>
      <c r="W173" s="119">
        <f t="shared" si="390"/>
        <v>12.963325575271448</v>
      </c>
      <c r="X173" s="119">
        <f t="shared" si="390"/>
        <v>12.765634860248559</v>
      </c>
      <c r="Y173" s="119">
        <f t="shared" si="390"/>
        <v>12.570958928629768</v>
      </c>
      <c r="Z173" s="119">
        <f t="shared" si="390"/>
        <v>12.379251804968163</v>
      </c>
      <c r="AA173" s="119">
        <f t="shared" si="390"/>
        <v>12.190468214942397</v>
      </c>
      <c r="AB173" s="119">
        <f t="shared" si="390"/>
        <v>12.004563574664525</v>
      </c>
      <c r="AC173" s="119">
        <f t="shared" si="390"/>
        <v>11.821493980150892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</v>
      </c>
      <c r="H174" s="25">
        <f t="shared" si="391"/>
        <v>0</v>
      </c>
      <c r="I174" s="25">
        <f t="shared" si="391"/>
        <v>0</v>
      </c>
      <c r="J174" s="25">
        <f t="shared" si="391"/>
        <v>0</v>
      </c>
      <c r="K174" s="25">
        <f t="shared" si="391"/>
        <v>7.2202166064981954</v>
      </c>
      <c r="L174" s="25">
        <f t="shared" si="391"/>
        <v>7.1258907363420425</v>
      </c>
      <c r="M174" s="25">
        <f t="shared" si="391"/>
        <v>9.8039215686274517</v>
      </c>
      <c r="N174" s="25">
        <f t="shared" si="391"/>
        <v>7.9239302694136295</v>
      </c>
      <c r="O174" s="25">
        <f t="shared" si="391"/>
        <v>5.3049195193833603</v>
      </c>
      <c r="P174" s="25">
        <f t="shared" si="391"/>
        <v>4.0053404539385848</v>
      </c>
      <c r="Q174" s="25">
        <f t="shared" ref="Q174" si="392">Q171/Q57</f>
        <v>6.4662914621003464</v>
      </c>
      <c r="R174" s="118" t="e">
        <f t="shared" si="377"/>
        <v>#DIV/0!</v>
      </c>
      <c r="S174" s="128"/>
      <c r="T174" s="119">
        <f t="shared" ref="T174:AC174" si="393">T171/T57</f>
        <v>2.8300802299125851</v>
      </c>
      <c r="U174" s="119">
        <f t="shared" si="393"/>
        <v>2.7869215064064186</v>
      </c>
      <c r="V174" s="119">
        <f t="shared" si="393"/>
        <v>2.7444209534337207</v>
      </c>
      <c r="W174" s="119">
        <f t="shared" si="393"/>
        <v>2.7025685338938561</v>
      </c>
      <c r="X174" s="119">
        <f t="shared" si="393"/>
        <v>2.6613543637519745</v>
      </c>
      <c r="Y174" s="119">
        <f t="shared" si="393"/>
        <v>2.6207687097047572</v>
      </c>
      <c r="Z174" s="119">
        <f t="shared" si="393"/>
        <v>2.5808019868817595</v>
      </c>
      <c r="AA174" s="119">
        <f t="shared" si="393"/>
        <v>2.5414447565818121</v>
      </c>
      <c r="AB174" s="119">
        <f t="shared" si="393"/>
        <v>2.5026877240439394</v>
      </c>
      <c r="AC174" s="119">
        <f t="shared" si="393"/>
        <v>2.4645217362522689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0</v>
      </c>
      <c r="H175" s="25">
        <f t="shared" si="394"/>
        <v>0</v>
      </c>
      <c r="I175" s="25">
        <f t="shared" si="394"/>
        <v>0</v>
      </c>
      <c r="J175" s="25">
        <f t="shared" si="394"/>
        <v>0</v>
      </c>
      <c r="K175" s="25">
        <f t="shared" si="394"/>
        <v>8.968609865470853</v>
      </c>
      <c r="L175" s="25">
        <f t="shared" si="394"/>
        <v>11.992005329780147</v>
      </c>
      <c r="M175" s="25">
        <f t="shared" si="394"/>
        <v>24.570024570024568</v>
      </c>
      <c r="N175" s="25">
        <f t="shared" si="394"/>
        <v>94.043887147335425</v>
      </c>
      <c r="O175" s="25">
        <f t="shared" si="394"/>
        <v>19.71356360572873</v>
      </c>
      <c r="P175" s="25">
        <f t="shared" si="394"/>
        <v>22.813688212927755</v>
      </c>
      <c r="Q175" s="25">
        <f t="shared" ref="Q175" si="395">Q171/Q66</f>
        <v>93.587521663778176</v>
      </c>
      <c r="R175" s="118" t="e">
        <f t="shared" si="377"/>
        <v>#DIV/0!</v>
      </c>
      <c r="S175" s="128"/>
      <c r="T175" s="119">
        <f t="shared" ref="T175:AC175" si="396">T171/T66</f>
        <v>40.960138648180241</v>
      </c>
      <c r="U175" s="119">
        <f t="shared" si="396"/>
        <v>40.335496533795485</v>
      </c>
      <c r="V175" s="119">
        <f t="shared" si="396"/>
        <v>39.720380211655112</v>
      </c>
      <c r="W175" s="119">
        <f t="shared" si="396"/>
        <v>39.114644413427371</v>
      </c>
      <c r="X175" s="119">
        <f t="shared" si="396"/>
        <v>38.518146086122599</v>
      </c>
      <c r="Y175" s="119">
        <f t="shared" si="396"/>
        <v>37.930744358309227</v>
      </c>
      <c r="Z175" s="119">
        <f t="shared" si="396"/>
        <v>37.352300506845012</v>
      </c>
      <c r="AA175" s="119">
        <f t="shared" si="396"/>
        <v>36.782677924115625</v>
      </c>
      <c r="AB175" s="119">
        <f t="shared" si="396"/>
        <v>36.221742085772853</v>
      </c>
      <c r="AC175" s="119">
        <f t="shared" si="396"/>
        <v>35.669360518964822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0</v>
      </c>
      <c r="H176" s="25">
        <f t="shared" si="397"/>
        <v>0</v>
      </c>
      <c r="I176" s="25">
        <f t="shared" si="397"/>
        <v>0</v>
      </c>
      <c r="J176" s="25">
        <f t="shared" si="397"/>
        <v>0</v>
      </c>
      <c r="K176" s="25">
        <f t="shared" si="397"/>
        <v>20.202020202020201</v>
      </c>
      <c r="L176" s="25">
        <f t="shared" si="397"/>
        <v>16.40838650865998</v>
      </c>
      <c r="M176" s="25">
        <f t="shared" si="397"/>
        <v>33.783783783783782</v>
      </c>
      <c r="N176" s="25">
        <f t="shared" si="397"/>
        <v>-43.227665706051873</v>
      </c>
      <c r="O176" s="25">
        <f t="shared" si="397"/>
        <v>-31.880108991825615</v>
      </c>
      <c r="P176" s="25">
        <f t="shared" si="397"/>
        <v>9.0737240075614363</v>
      </c>
      <c r="Q176" s="25">
        <f t="shared" ref="Q176" si="398">Q171/Q68</f>
        <v>10.085917071348524</v>
      </c>
      <c r="R176" s="118" t="e">
        <f t="shared" si="377"/>
        <v>#DIV/0!</v>
      </c>
      <c r="S176" s="128"/>
      <c r="T176" s="119">
        <f t="shared" ref="T176:AC176" si="399">T171/T68</f>
        <v>4.4142697048935364</v>
      </c>
      <c r="U176" s="119">
        <f t="shared" si="399"/>
        <v>4.3469520918939102</v>
      </c>
      <c r="V176" s="119">
        <f t="shared" si="399"/>
        <v>4.2806610724925287</v>
      </c>
      <c r="W176" s="119">
        <f t="shared" si="399"/>
        <v>4.2153809911370175</v>
      </c>
      <c r="X176" s="119">
        <f t="shared" si="399"/>
        <v>4.1510964310221778</v>
      </c>
      <c r="Y176" s="119">
        <f t="shared" si="399"/>
        <v>4.0877922104490887</v>
      </c>
      <c r="Z176" s="119">
        <f t="shared" si="399"/>
        <v>4.0254533792397407</v>
      </c>
      <c r="AA176" s="119">
        <f t="shared" si="399"/>
        <v>3.9640652152063338</v>
      </c>
      <c r="AB176" s="119">
        <f t="shared" si="399"/>
        <v>3.9036132206744365</v>
      </c>
      <c r="AC176" s="119">
        <f t="shared" si="399"/>
        <v>3.8440831190591513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</v>
      </c>
      <c r="H177" s="182">
        <f t="shared" si="400"/>
        <v>0</v>
      </c>
      <c r="I177" s="182">
        <f t="shared" si="400"/>
        <v>0</v>
      </c>
      <c r="J177" s="182">
        <f t="shared" si="400"/>
        <v>0</v>
      </c>
      <c r="K177" s="182">
        <f t="shared" si="400"/>
        <v>-99.378881987577628</v>
      </c>
      <c r="L177" s="182">
        <f t="shared" si="400"/>
        <v>-23.106546854942231</v>
      </c>
      <c r="M177" s="182">
        <f t="shared" si="400"/>
        <v>-23.094688221709006</v>
      </c>
      <c r="N177" s="182">
        <f t="shared" si="400"/>
        <v>-83.333333333333329</v>
      </c>
      <c r="O177" s="182">
        <f t="shared" si="400"/>
        <v>-1.6404935501962985</v>
      </c>
      <c r="P177" s="182">
        <f t="shared" si="400"/>
        <v>-3.9577836411609497</v>
      </c>
      <c r="Q177" s="182">
        <f t="shared" ref="Q177" si="401">Q171/Q62</f>
        <v>-12.881679389312977</v>
      </c>
      <c r="R177" s="118" t="e">
        <f t="shared" ref="R177:R180" si="402">((P177/G177)^(1/($H$2-$H$1) ))-1</f>
        <v>#DIV/0!</v>
      </c>
      <c r="S177" s="128"/>
      <c r="T177" s="135">
        <f t="shared" ref="T177:AC177" si="403">T171/T62</f>
        <v>-5.6378816793893129</v>
      </c>
      <c r="U177" s="135">
        <f t="shared" si="403"/>
        <v>-5.5519039837786277</v>
      </c>
      <c r="V177" s="135">
        <f t="shared" si="403"/>
        <v>-5.4672374480260038</v>
      </c>
      <c r="W177" s="135">
        <f t="shared" si="403"/>
        <v>-5.383862076943605</v>
      </c>
      <c r="X177" s="135">
        <f t="shared" si="403"/>
        <v>-5.3017581802702152</v>
      </c>
      <c r="Y177" s="135">
        <f t="shared" si="403"/>
        <v>-5.2209063680210974</v>
      </c>
      <c r="Z177" s="135">
        <f t="shared" si="403"/>
        <v>-5.1412875459087743</v>
      </c>
      <c r="AA177" s="135">
        <f t="shared" si="403"/>
        <v>-5.0628829108336646</v>
      </c>
      <c r="AB177" s="135">
        <f t="shared" si="403"/>
        <v>-4.9856739464434501</v>
      </c>
      <c r="AC177" s="135">
        <f t="shared" si="403"/>
        <v>-4.909642418760189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 t="e">
        <f t="shared" si="405"/>
        <v>#DIV/0!</v>
      </c>
      <c r="K178" s="161">
        <f t="shared" si="405"/>
        <v>1.3187500000000001E-2</v>
      </c>
      <c r="L178" s="161">
        <f t="shared" si="405"/>
        <v>2.4E-2</v>
      </c>
      <c r="M178" s="161">
        <f t="shared" si="405"/>
        <v>2.2433333333333333E-2</v>
      </c>
      <c r="N178" s="161">
        <f t="shared" si="405"/>
        <v>3.0566666666666666E-2</v>
      </c>
      <c r="O178" s="161">
        <f t="shared" si="405"/>
        <v>4.6666666666666669E-2</v>
      </c>
      <c r="P178" s="161">
        <f t="shared" si="405"/>
        <v>6.8249999999999991E-2</v>
      </c>
      <c r="Q178" s="161">
        <f t="shared" ref="Q178" si="406">Q54/Q171</f>
        <v>3.2240740740740743E-2</v>
      </c>
      <c r="R178" s="118" t="e">
        <f t="shared" si="402"/>
        <v>#DIV/0!</v>
      </c>
      <c r="S178" s="128"/>
      <c r="T178" s="161">
        <f t="shared" ref="T178:AC178" si="407">T54/T171</f>
        <v>7.3665058813573672E-2</v>
      </c>
      <c r="U178" s="161">
        <f t="shared" si="407"/>
        <v>7.4805847995505118E-2</v>
      </c>
      <c r="V178" s="161">
        <f t="shared" si="407"/>
        <v>7.5964303625798549E-2</v>
      </c>
      <c r="W178" s="161">
        <f t="shared" si="407"/>
        <v>7.714069928997061E-2</v>
      </c>
      <c r="X178" s="161">
        <f t="shared" si="407"/>
        <v>7.83353128103281E-2</v>
      </c>
      <c r="Y178" s="161">
        <f t="shared" si="407"/>
        <v>7.9548426311579698E-2</v>
      </c>
      <c r="Z178" s="161">
        <f t="shared" si="407"/>
        <v>8.0780326287463525E-2</v>
      </c>
      <c r="AA178" s="161">
        <f t="shared" si="407"/>
        <v>8.2031303668406733E-2</v>
      </c>
      <c r="AB178" s="161">
        <f t="shared" si="407"/>
        <v>8.3301653890232794E-2</v>
      </c>
      <c r="AC178" s="161">
        <f t="shared" si="407"/>
        <v>8.4591676963932758E-2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 t="e">
        <f t="shared" si="409"/>
        <v>#DIV/0!</v>
      </c>
      <c r="K179" s="152">
        <f t="shared" si="409"/>
        <v>3.7499999999999999E-3</v>
      </c>
      <c r="L179" s="152">
        <f t="shared" si="409"/>
        <v>6.6666666666666671E-3</v>
      </c>
      <c r="M179" s="152">
        <f t="shared" si="409"/>
        <v>5.3333333333333332E-3</v>
      </c>
      <c r="N179" s="152">
        <f t="shared" si="409"/>
        <v>6.0000000000000001E-3</v>
      </c>
      <c r="O179" s="152">
        <f t="shared" si="409"/>
        <v>8.5470085470085479E-3</v>
      </c>
      <c r="P179" s="152">
        <f t="shared" si="409"/>
        <v>8.3333333333333332E-3</v>
      </c>
      <c r="Q179" s="152">
        <f t="shared" ref="Q179" si="410">Q44/Q171</f>
        <v>3.7037037037037038E-3</v>
      </c>
      <c r="R179" s="118" t="e">
        <f t="shared" si="402"/>
        <v>#DIV/0!</v>
      </c>
      <c r="S179" s="128"/>
      <c r="T179" s="152">
        <f t="shared" ref="T179:AC179" si="411">T44/T171</f>
        <v>7.4786324786324798E-3</v>
      </c>
      <c r="U179" s="152">
        <f t="shared" si="411"/>
        <v>6.7115932500547894E-3</v>
      </c>
      <c r="V179" s="152">
        <f t="shared" si="411"/>
        <v>6.0232247115876323E-3</v>
      </c>
      <c r="W179" s="152">
        <f t="shared" si="411"/>
        <v>5.4054580745017226E-3</v>
      </c>
      <c r="X179" s="152">
        <f t="shared" si="411"/>
        <v>4.8510521181425719E-3</v>
      </c>
      <c r="Y179" s="152">
        <f t="shared" si="411"/>
        <v>4.3535083111535906E-3</v>
      </c>
      <c r="Z179" s="152">
        <f t="shared" si="411"/>
        <v>3.906994638214761E-3</v>
      </c>
      <c r="AA179" s="152">
        <f t="shared" si="411"/>
        <v>3.5062772394235039E-3</v>
      </c>
      <c r="AB179" s="152">
        <f t="shared" si="411"/>
        <v>3.146659061021094E-3</v>
      </c>
      <c r="AC179" s="152">
        <f t="shared" si="411"/>
        <v>2.8239247983522639E-3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</v>
      </c>
      <c r="H180" s="181">
        <f t="shared" si="412"/>
        <v>0</v>
      </c>
      <c r="I180" s="181">
        <f t="shared" si="412"/>
        <v>0</v>
      </c>
      <c r="J180" s="181">
        <f t="shared" si="412"/>
        <v>0</v>
      </c>
      <c r="K180" s="181">
        <f t="shared" si="412"/>
        <v>3.7914691943127963</v>
      </c>
      <c r="L180" s="181">
        <f t="shared" si="412"/>
        <v>2.083333333333333</v>
      </c>
      <c r="M180" s="181">
        <f t="shared" si="412"/>
        <v>2.2288261515601784</v>
      </c>
      <c r="N180" s="181">
        <f t="shared" si="412"/>
        <v>1.6357688113413302</v>
      </c>
      <c r="O180" s="181">
        <f t="shared" si="412"/>
        <v>1.0714285714285714</v>
      </c>
      <c r="P180" s="181">
        <f>(P173)/($L$2*100)</f>
        <v>0.73260073260073266</v>
      </c>
      <c r="Q180" s="181">
        <f>(Q173)/($L$2*100)</f>
        <v>1.5508328546812176</v>
      </c>
      <c r="R180" s="118" t="e">
        <f t="shared" si="402"/>
        <v>#DIV/0!</v>
      </c>
      <c r="S180" s="128"/>
      <c r="T180" s="181">
        <f>(T173)/($L$2*100)</f>
        <v>0.67874784606547955</v>
      </c>
      <c r="U180" s="181">
        <f t="shared" ref="U180:AC180" si="413">(U173)/($L$2*100)</f>
        <v>0.66839694141298112</v>
      </c>
      <c r="V180" s="181">
        <f t="shared" si="413"/>
        <v>0.65820388805643304</v>
      </c>
      <c r="W180" s="181">
        <f t="shared" si="413"/>
        <v>0.64816627876357236</v>
      </c>
      <c r="X180" s="181">
        <f t="shared" si="413"/>
        <v>0.6382817430124279</v>
      </c>
      <c r="Y180" s="181">
        <f t="shared" si="413"/>
        <v>0.62854794643148837</v>
      </c>
      <c r="Z180" s="181">
        <f t="shared" si="413"/>
        <v>0.61896259024840816</v>
      </c>
      <c r="AA180" s="181">
        <f t="shared" si="413"/>
        <v>0.60952341074711991</v>
      </c>
      <c r="AB180" s="181">
        <f t="shared" si="413"/>
        <v>0.6002281787332262</v>
      </c>
      <c r="AC180" s="181">
        <f t="shared" si="413"/>
        <v>0.59107469900754461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-1</v>
      </c>
      <c r="H181" s="152">
        <f t="shared" si="414"/>
        <v>-1</v>
      </c>
      <c r="I181" s="152">
        <f t="shared" si="414"/>
        <v>-1</v>
      </c>
      <c r="J181" s="152">
        <f t="shared" si="414"/>
        <v>-1</v>
      </c>
      <c r="K181" s="152">
        <f t="shared" si="414"/>
        <v>2.7914691943127963</v>
      </c>
      <c r="L181" s="152">
        <f t="shared" si="414"/>
        <v>1.083333333333333</v>
      </c>
      <c r="M181" s="152">
        <f t="shared" si="414"/>
        <v>1.2288261515601784</v>
      </c>
      <c r="N181" s="152">
        <f t="shared" si="414"/>
        <v>0.63576881134133023</v>
      </c>
      <c r="O181" s="152">
        <f t="shared" si="414"/>
        <v>7.1428571428571397E-2</v>
      </c>
      <c r="P181" s="152">
        <f t="shared" si="414"/>
        <v>-0.26739926739926734</v>
      </c>
      <c r="Q181" s="152">
        <f>Q180-1</f>
        <v>0.55083285468121757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351</v>
      </c>
      <c r="L183" s="204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0.9291889330977039</v>
      </c>
      <c r="Q184" s="128">
        <f>(Q171-T159)/Q171</f>
        <v>0.96182202932295802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6.6489344279877836</v>
      </c>
      <c r="N185" s="20"/>
      <c r="O185" s="20"/>
      <c r="P185" s="128">
        <f>(Q171-S150)/Q171</f>
        <v>3.5106375235501259</v>
      </c>
      <c r="Q185" s="128">
        <f>(Q171-T150)/Q171</f>
        <v>1.1569148452218829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-10.815328498233999</v>
      </c>
      <c r="N186" s="20"/>
      <c r="O186" s="20"/>
      <c r="P186" s="128">
        <f>(Q171-S143)/Q171</f>
        <v>-4.2512571103262218</v>
      </c>
      <c r="Q186" s="128">
        <f>(Q171-T143)/Q171</f>
        <v>0.67179643060461125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0.23489310390402404</v>
      </c>
      <c r="N187" s="20"/>
      <c r="O187" s="20"/>
      <c r="P187" s="128">
        <f>(Q171-S156)/Q171</f>
        <v>0.65995249062401073</v>
      </c>
      <c r="Q187" s="128">
        <f>(Q171-T156)/Q171</f>
        <v>0.97874703066400059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0.74779875877861079</v>
      </c>
      <c r="N188" s="20"/>
      <c r="O188" s="20"/>
      <c r="P188" s="128">
        <f>(Q171-S168)/Q171</f>
        <v>0.88791055945716035</v>
      </c>
      <c r="Q188" s="128">
        <f>(Q171-T168)/Q171</f>
        <v>0.93956668693955503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0.95904390018139896</v>
      </c>
      <c r="Q189" s="25">
        <f>Q171/T142</f>
        <v>15.344702402902387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1.0427051356156423</v>
      </c>
      <c r="Q190" s="152">
        <f>1/Q189</f>
        <v>6.5169070975977628E-2</v>
      </c>
      <c r="R190" s="20"/>
      <c r="S190" s="20"/>
      <c r="T190" s="129">
        <f>Q171-T191</f>
        <v>262.99377399728445</v>
      </c>
      <c r="U190" s="185">
        <f>T190-U191</f>
        <v>255.63723669443311</v>
      </c>
      <c r="V190" s="185">
        <f t="shared" ref="V190:X190" si="415">U190-V191</f>
        <v>247.9128725264392</v>
      </c>
      <c r="W190" s="185">
        <f t="shared" si="415"/>
        <v>239.80229015004559</v>
      </c>
      <c r="X190" s="185">
        <f t="shared" si="415"/>
        <v>231.2861786548323</v>
      </c>
      <c r="Y190" s="185">
        <f>X190-Y191</f>
        <v>222.34426158485834</v>
      </c>
      <c r="Z190" s="185">
        <f t="shared" ref="Z190:AC190" si="416">Y190-Z191</f>
        <v>212.9552486613857</v>
      </c>
      <c r="AA190" s="185">
        <f t="shared" si="416"/>
        <v>203.09678509173941</v>
      </c>
      <c r="AB190" s="185">
        <f t="shared" si="416"/>
        <v>192.74539834361082</v>
      </c>
      <c r="AC190" s="185">
        <f t="shared" si="416"/>
        <v>181.87644225807577</v>
      </c>
      <c r="AD190" s="185">
        <f t="shared" ref="AD190" si="417">AC190-AD191</f>
        <v>170.46403836826397</v>
      </c>
      <c r="AE190" s="185">
        <f t="shared" ref="AE190" si="418">AD190-AE191</f>
        <v>158.4810142839616</v>
      </c>
      <c r="AF190" s="185">
        <f t="shared" ref="AF190" si="419">AE190-AF191</f>
        <v>145.89883899544409</v>
      </c>
      <c r="AG190" s="185">
        <f t="shared" ref="AG190" si="420">AF190-AG191</f>
        <v>132.68755494250073</v>
      </c>
      <c r="AH190" s="185">
        <f t="shared" ref="AH190" si="421">AG190-AH191</f>
        <v>118.81570668691019</v>
      </c>
      <c r="AI190" s="185">
        <f t="shared" ref="AI190" si="422">AH190-AI191</f>
        <v>104.25026601854013</v>
      </c>
      <c r="AJ190" s="185">
        <f t="shared" ref="AJ190" si="423">AI190-AJ191</f>
        <v>88.956553316751567</v>
      </c>
      <c r="AK190" s="185">
        <f t="shared" ref="AK190" si="424">AJ190-AK191</f>
        <v>72.898154979873567</v>
      </c>
      <c r="AL190" s="185">
        <f t="shared" ref="AL190" si="425">AK190-AL191</f>
        <v>56.03683672615167</v>
      </c>
      <c r="AM190" s="185">
        <f t="shared" ref="AM190" si="426">AL190-AM191</f>
        <v>38.332452559743672</v>
      </c>
      <c r="AN190" s="185">
        <f t="shared" ref="AN190" si="427">AM190-AN191</f>
        <v>19.742849185015277</v>
      </c>
      <c r="AO190" s="185">
        <f t="shared" ref="AO190" si="428">AN190-AO191</f>
        <v>0.22376564155046097</v>
      </c>
      <c r="AP190" s="185">
        <f t="shared" ref="AP190" si="429">AO190-AP191</f>
        <v>-20.271272079087598</v>
      </c>
      <c r="AQ190" s="185">
        <f t="shared" ref="AQ190" si="430">AP190-AQ191</f>
        <v>-41.791061685757562</v>
      </c>
      <c r="AR190" s="185">
        <f t="shared" ref="AR190" si="431">AQ190-AR191</f>
        <v>-64.386840772761019</v>
      </c>
      <c r="AS190" s="185">
        <f t="shared" ref="AS190" si="432">AR190-AS191</f>
        <v>-88.112408814114659</v>
      </c>
      <c r="AT190" s="185">
        <f t="shared" ref="AT190" si="433">AS190-AT191</f>
        <v>-113.02425525753598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40.464010137571528</v>
      </c>
      <c r="Q191" s="181">
        <f>Q171/R141</f>
        <v>40.464010137571528</v>
      </c>
      <c r="R191" s="20"/>
      <c r="S191" s="20"/>
      <c r="T191" s="186">
        <f>R141*(1+$K$191)</f>
        <v>7.0062260027155681</v>
      </c>
      <c r="U191" s="186">
        <f>T191*(1+$K$191)</f>
        <v>7.356537302851347</v>
      </c>
      <c r="V191" s="186">
        <f t="shared" ref="V191:AC191" si="434">U191*(1+$K$191)</f>
        <v>7.7243641679939143</v>
      </c>
      <c r="W191" s="186">
        <f t="shared" si="434"/>
        <v>8.1105823763936105</v>
      </c>
      <c r="X191" s="186">
        <f t="shared" si="434"/>
        <v>8.5161114952132912</v>
      </c>
      <c r="Y191" s="186">
        <f t="shared" si="434"/>
        <v>8.9419170699739556</v>
      </c>
      <c r="Z191" s="186">
        <f t="shared" si="434"/>
        <v>9.389012923472654</v>
      </c>
      <c r="AA191" s="186">
        <f t="shared" si="434"/>
        <v>9.8584635696462879</v>
      </c>
      <c r="AB191" s="186">
        <f t="shared" si="434"/>
        <v>10.351386748128602</v>
      </c>
      <c r="AC191" s="186">
        <f t="shared" si="434"/>
        <v>10.868956085535032</v>
      </c>
      <c r="AD191" s="186">
        <f t="shared" ref="AD191" si="435">AC191*(1+$K$191)</f>
        <v>11.412403889811785</v>
      </c>
      <c r="AE191" s="186">
        <f t="shared" ref="AE191" si="436">AD191*(1+$K$191)</f>
        <v>11.983024084302373</v>
      </c>
      <c r="AF191" s="186">
        <f t="shared" ref="AF191" si="437">AE191*(1+$K$191)</f>
        <v>12.582175288517492</v>
      </c>
      <c r="AG191" s="186">
        <f t="shared" ref="AG191" si="438">AF191*(1+$K$191)</f>
        <v>13.211284052943368</v>
      </c>
      <c r="AH191" s="186">
        <f t="shared" ref="AH191" si="439">AG191*(1+$K$191)</f>
        <v>13.871848255590537</v>
      </c>
      <c r="AI191" s="186">
        <f t="shared" ref="AI191" si="440">AH191*(1+$K$191)</f>
        <v>14.565440668370064</v>
      </c>
      <c r="AJ191" s="186">
        <f t="shared" ref="AJ191" si="441">AI191*(1+$K$191)</f>
        <v>15.293712701788568</v>
      </c>
      <c r="AK191" s="186">
        <f t="shared" ref="AK191" si="442">AJ191*(1+$K$191)</f>
        <v>16.058398336877996</v>
      </c>
      <c r="AL191" s="186">
        <f t="shared" ref="AL191" si="443">AK191*(1+$K$191)</f>
        <v>16.861318253721898</v>
      </c>
      <c r="AM191" s="186">
        <f t="shared" ref="AM191" si="444">AL191*(1+$K$191)</f>
        <v>17.704384166407994</v>
      </c>
      <c r="AN191" s="186">
        <f t="shared" ref="AN191" si="445">AM191*(1+$K$191)</f>
        <v>18.589603374728394</v>
      </c>
      <c r="AO191" s="186">
        <f t="shared" ref="AO191" si="446">AN191*(1+$K$191)</f>
        <v>19.519083543464816</v>
      </c>
      <c r="AP191" s="186">
        <f t="shared" ref="AP191" si="447">AO191*(1+$K$191)</f>
        <v>20.495037720638059</v>
      </c>
      <c r="AQ191" s="186">
        <f t="shared" ref="AQ191" si="448">AP191*(1+$K$191)</f>
        <v>21.519789606669963</v>
      </c>
      <c r="AR191" s="186">
        <f t="shared" ref="AR191" si="449">AQ191*(1+$K$191)</f>
        <v>22.595779087003464</v>
      </c>
      <c r="AS191" s="186">
        <f t="shared" ref="AS191" si="450">AR191*(1+$K$191)</f>
        <v>23.72556804135364</v>
      </c>
      <c r="AT191" s="186">
        <f t="shared" ref="AT191" si="451">AS191*(1+$K$191)</f>
        <v>24.911846443421322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>
        <v>120</v>
      </c>
      <c r="G192" s="191">
        <v>0</v>
      </c>
      <c r="H192" s="192">
        <v>14</v>
      </c>
      <c r="I192" s="191">
        <v>0.05</v>
      </c>
      <c r="J192" s="190">
        <v>10</v>
      </c>
      <c r="K192" s="184">
        <v>0.05</v>
      </c>
      <c r="L192" s="191">
        <v>0.12</v>
      </c>
      <c r="M192" s="190">
        <v>8</v>
      </c>
      <c r="N192" s="191">
        <v>0.2</v>
      </c>
      <c r="O192" s="190">
        <v>6</v>
      </c>
      <c r="P192" s="181">
        <f>Q171/Q54</f>
        <v>31.016657093624353</v>
      </c>
      <c r="Q192" s="181">
        <f>Q171/Q54</f>
        <v>31.016657093624353</v>
      </c>
      <c r="R192" s="20"/>
      <c r="S192" s="20"/>
      <c r="T192" s="186">
        <f>Q54*(1+$K$192)</f>
        <v>9.14025</v>
      </c>
      <c r="U192" s="186">
        <f>T192*(1+$K$192)</f>
        <v>9.5972625000000011</v>
      </c>
      <c r="V192" s="186">
        <f t="shared" ref="V192:AC192" si="452">U192*(1+$K$192)</f>
        <v>10.077125625000001</v>
      </c>
      <c r="W192" s="186">
        <f t="shared" si="452"/>
        <v>10.580981906250001</v>
      </c>
      <c r="X192" s="186">
        <f t="shared" si="452"/>
        <v>11.110031001562501</v>
      </c>
      <c r="Y192" s="186">
        <f t="shared" si="452"/>
        <v>11.665532551640625</v>
      </c>
      <c r="Z192" s="186">
        <f t="shared" si="452"/>
        <v>12.248809179222658</v>
      </c>
      <c r="AA192" s="186">
        <f t="shared" si="452"/>
        <v>12.861249638183791</v>
      </c>
      <c r="AB192" s="186">
        <f t="shared" si="452"/>
        <v>13.504312120092981</v>
      </c>
      <c r="AC192" s="186">
        <f t="shared" si="452"/>
        <v>14.17952772609763</v>
      </c>
      <c r="AD192" s="186">
        <f t="shared" ref="AD192" si="453">AC192*(1+$K$192)</f>
        <v>14.888504112402513</v>
      </c>
      <c r="AE192" s="186">
        <f t="shared" ref="AE192" si="454">AD192*(1+$K$192)</f>
        <v>15.63292931802264</v>
      </c>
      <c r="AF192" s="186">
        <f t="shared" ref="AF192" si="455">AE192*(1+$K$192)</f>
        <v>16.414575783923773</v>
      </c>
      <c r="AG192" s="186">
        <f t="shared" ref="AG192" si="456">AF192*(1+$K$192)</f>
        <v>17.235304573119961</v>
      </c>
      <c r="AH192" s="186">
        <f t="shared" ref="AH192" si="457">AG192*(1+$K$192)</f>
        <v>18.097069801775959</v>
      </c>
      <c r="AI192" s="186">
        <f t="shared" ref="AI192" si="458">AH192*(1+$K$192)</f>
        <v>19.001923291864756</v>
      </c>
      <c r="AJ192" s="186">
        <f t="shared" ref="AJ192" si="459">AI192*(1+$K$192)</f>
        <v>19.952019456457993</v>
      </c>
      <c r="AK192" s="186">
        <f t="shared" ref="AK192" si="460">AJ192*(1+$K$192)</f>
        <v>20.949620429280895</v>
      </c>
      <c r="AL192" s="186">
        <f t="shared" ref="AL192" si="461">AK192*(1+$K$192)</f>
        <v>21.997101450744939</v>
      </c>
      <c r="AM192" s="186">
        <f t="shared" ref="AM192" si="462">AL192*(1+$K$192)</f>
        <v>23.096956523282188</v>
      </c>
      <c r="AN192" s="186">
        <f t="shared" ref="AN192" si="463">AM192*(1+$K$192)</f>
        <v>24.251804349446299</v>
      </c>
      <c r="AO192" s="186">
        <f t="shared" ref="AO192" si="464">AN192*(1+$K$192)</f>
        <v>25.464394566918614</v>
      </c>
      <c r="AP192" s="186">
        <f t="shared" ref="AP192" si="465">AO192*(1+$K$192)</f>
        <v>26.737614295264546</v>
      </c>
      <c r="AQ192" s="186">
        <f t="shared" ref="AQ192" si="466">AP192*(1+$K$192)</f>
        <v>28.074495010027775</v>
      </c>
      <c r="AR192" s="186">
        <f t="shared" ref="AR192" si="467">AQ192*(1+$K$192)</f>
        <v>29.478219760529164</v>
      </c>
      <c r="AS192" s="186">
        <f t="shared" ref="AS192" si="468">AR192*(1+$K$192)</f>
        <v>30.952130748555625</v>
      </c>
      <c r="AT192" s="186">
        <f t="shared" ref="AT192" si="469">AS192*(1+$K$192)</f>
        <v>32.499737285983407</v>
      </c>
    </row>
    <row r="193" spans="2:46" x14ac:dyDescent="0.2">
      <c r="B193" s="20"/>
      <c r="C193" s="20"/>
      <c r="D193" s="20"/>
      <c r="E193" s="23" t="s">
        <v>454</v>
      </c>
      <c r="F193" s="22">
        <v>270</v>
      </c>
      <c r="G193" s="191">
        <v>0</v>
      </c>
      <c r="H193" s="192">
        <v>31</v>
      </c>
      <c r="I193" s="191">
        <v>0.05</v>
      </c>
      <c r="J193" s="190">
        <v>18</v>
      </c>
      <c r="K193" s="190"/>
      <c r="L193" s="191">
        <v>0.12</v>
      </c>
      <c r="M193" s="190">
        <v>12</v>
      </c>
      <c r="N193" s="191">
        <v>0.2</v>
      </c>
      <c r="O193" s="20">
        <v>10</v>
      </c>
      <c r="P193" s="20"/>
      <c r="Q193" s="20"/>
      <c r="R193" s="20"/>
      <c r="S193" s="20"/>
      <c r="T193" s="129">
        <f>Q171-T192</f>
        <v>260.85975000000002</v>
      </c>
      <c r="U193" s="185">
        <f>T193-U192</f>
        <v>251.26248750000002</v>
      </c>
      <c r="V193" s="185">
        <f t="shared" ref="V193:AA193" si="470">U193-V192</f>
        <v>241.18536187500001</v>
      </c>
      <c r="W193" s="185">
        <f t="shared" si="470"/>
        <v>230.60437996875001</v>
      </c>
      <c r="X193" s="185">
        <f t="shared" si="470"/>
        <v>219.49434896718751</v>
      </c>
      <c r="Y193" s="185">
        <f t="shared" si="470"/>
        <v>207.82881641554687</v>
      </c>
      <c r="Z193" s="185">
        <f t="shared" si="470"/>
        <v>195.58000723632421</v>
      </c>
      <c r="AA193" s="185">
        <f t="shared" si="470"/>
        <v>182.71875759814043</v>
      </c>
      <c r="AB193" s="185">
        <f>AA193-AB192</f>
        <v>169.21444547804745</v>
      </c>
      <c r="AC193" s="185">
        <f t="shared" ref="AC193" si="471">AB193-AC192</f>
        <v>155.03491775194982</v>
      </c>
      <c r="AD193" s="185">
        <f t="shared" ref="AD193" si="472">AC193-AD192</f>
        <v>140.14641363954732</v>
      </c>
      <c r="AE193" s="185">
        <f t="shared" ref="AE193" si="473">AD193-AE192</f>
        <v>124.51348432152469</v>
      </c>
      <c r="AF193" s="185">
        <f t="shared" ref="AF193" si="474">AE193-AF192</f>
        <v>108.09890853760092</v>
      </c>
      <c r="AG193" s="185">
        <f t="shared" ref="AG193" si="475">AF193-AG192</f>
        <v>90.863603964480959</v>
      </c>
      <c r="AH193" s="185">
        <f t="shared" ref="AH193" si="476">AG193-AH192</f>
        <v>72.766534162705</v>
      </c>
      <c r="AI193" s="185">
        <f t="shared" ref="AI193" si="477">AH193-AI192</f>
        <v>53.764610870840244</v>
      </c>
      <c r="AJ193" s="185">
        <f t="shared" ref="AJ193" si="478">AI193-AJ192</f>
        <v>33.812591414382254</v>
      </c>
      <c r="AK193" s="185">
        <f t="shared" ref="AK193" si="479">AJ193-AK192</f>
        <v>12.862970985101359</v>
      </c>
      <c r="AL193" s="185">
        <f t="shared" ref="AL193" si="480">AK193-AL192</f>
        <v>-9.1341304656435796</v>
      </c>
      <c r="AM193" s="185">
        <f t="shared" ref="AM193" si="481">AL193-AM192</f>
        <v>-32.231086988925767</v>
      </c>
      <c r="AN193" s="185">
        <f t="shared" ref="AN193" si="482">AM193-AN192</f>
        <v>-56.48289133837207</v>
      </c>
      <c r="AO193" s="185">
        <f t="shared" ref="AO193" si="483">AN193-AO192</f>
        <v>-81.947285905290684</v>
      </c>
      <c r="AP193" s="185">
        <f t="shared" ref="AP193" si="484">AO193-AP192</f>
        <v>-108.68490020055523</v>
      </c>
      <c r="AQ193" s="185">
        <f t="shared" ref="AQ193" si="485">AP193-AQ192</f>
        <v>-136.75939521058302</v>
      </c>
      <c r="AR193" s="185">
        <f t="shared" ref="AR193" si="486">AQ193-AR192</f>
        <v>-166.23761497111218</v>
      </c>
      <c r="AS193" s="185">
        <f t="shared" ref="AS193" si="487">AR193-AS192</f>
        <v>-197.1897457196678</v>
      </c>
      <c r="AT193" s="185">
        <f t="shared" ref="AT193" si="488">AS193-AT192</f>
        <v>-229.6894830056512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0.60767590618336886</v>
      </c>
      <c r="H195" s="25">
        <f t="shared" si="489"/>
        <v>1.0909090909090908</v>
      </c>
      <c r="I195" s="25">
        <f t="shared" si="489"/>
        <v>1.6086956521739131</v>
      </c>
      <c r="J195" s="25">
        <f t="shared" si="489"/>
        <v>2.6640000000000001</v>
      </c>
      <c r="K195" s="25">
        <f t="shared" si="489"/>
        <v>1.0392979778710416</v>
      </c>
      <c r="L195" s="25">
        <f t="shared" si="489"/>
        <v>1.2102389078498295</v>
      </c>
      <c r="M195" s="25">
        <f t="shared" si="489"/>
        <v>1.2518047935316199</v>
      </c>
      <c r="N195" s="25">
        <f t="shared" si="489"/>
        <v>0.85748388636906181</v>
      </c>
      <c r="O195" s="25">
        <f t="shared" si="489"/>
        <v>3.4166147455867084</v>
      </c>
      <c r="P195" s="25">
        <f t="shared" si="489"/>
        <v>1.6669793621013134</v>
      </c>
      <c r="Q195" s="25">
        <f t="shared" ref="Q195" si="490">Q10/Q7</f>
        <v>1.3335994525547445</v>
      </c>
      <c r="R195" s="118">
        <f t="shared" ref="R195:R197" si="491">((P195/G195)^(1/($H$2-$H$1) ))-1</f>
        <v>0.11865290866455669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71.25</v>
      </c>
      <c r="H196" s="112">
        <f t="shared" ref="H196:P196" si="492">H10/H12</f>
        <v>20.8</v>
      </c>
      <c r="I196" s="112">
        <f t="shared" si="492"/>
        <v>10.020833333333334</v>
      </c>
      <c r="J196" s="112">
        <f t="shared" si="492"/>
        <v>32.754098360655739</v>
      </c>
      <c r="K196" s="112">
        <f t="shared" si="492"/>
        <v>3.0401785714285716</v>
      </c>
      <c r="L196" s="112">
        <f t="shared" si="492"/>
        <v>2.7403400309119013</v>
      </c>
      <c r="M196" s="112">
        <f t="shared" si="492"/>
        <v>4.3393393393393396</v>
      </c>
      <c r="N196" s="112">
        <f t="shared" si="492"/>
        <v>14.253968253968255</v>
      </c>
      <c r="O196" s="112">
        <f t="shared" si="492"/>
        <v>14.714669051878355</v>
      </c>
      <c r="P196" s="112">
        <f t="shared" si="492"/>
        <v>12.845783132530121</v>
      </c>
      <c r="Q196" s="112">
        <f t="shared" ref="Q196" si="493">Q10/Q12</f>
        <v>22.749027237354085</v>
      </c>
      <c r="R196" s="118">
        <f t="shared" si="491"/>
        <v>-0.17333293525977833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1.3571428571428572</v>
      </c>
      <c r="H197" s="25">
        <f t="shared" ref="H197:P197" si="494">H10/(H12+H13)</f>
        <v>10.064516129032258</v>
      </c>
      <c r="I197" s="25">
        <f t="shared" si="494"/>
        <v>4.4128440366972477</v>
      </c>
      <c r="J197" s="25">
        <f t="shared" si="494"/>
        <v>14.478260869565217</v>
      </c>
      <c r="K197" s="25">
        <f t="shared" si="494"/>
        <v>1.5269058295964126</v>
      </c>
      <c r="L197" s="25">
        <f t="shared" si="494"/>
        <v>2.362425049966689</v>
      </c>
      <c r="M197" s="25">
        <f t="shared" si="494"/>
        <v>3.5503685503685505</v>
      </c>
      <c r="N197" s="25">
        <f t="shared" si="494"/>
        <v>11.260188087774294</v>
      </c>
      <c r="O197" s="25">
        <f t="shared" si="494"/>
        <v>13.859309182813817</v>
      </c>
      <c r="P197" s="25">
        <f t="shared" si="494"/>
        <v>10.134980988593156</v>
      </c>
      <c r="Q197" s="25">
        <f t="shared" ref="Q197" si="495">Q10/(Q12+Q13)</f>
        <v>20.265164644714037</v>
      </c>
      <c r="R197" s="118">
        <f t="shared" si="491"/>
        <v>0.25032216549605257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337</v>
      </c>
      <c r="M200" s="201"/>
      <c r="N200" s="202"/>
      <c r="O200" s="23" t="s">
        <v>340</v>
      </c>
      <c r="P200" s="20"/>
      <c r="Q200" s="137"/>
      <c r="R200" s="200" t="s">
        <v>338</v>
      </c>
      <c r="S200" s="201"/>
      <c r="T200" s="202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400</v>
      </c>
      <c r="E202" s="176" t="s">
        <v>384</v>
      </c>
      <c r="F202" s="22">
        <v>0</v>
      </c>
      <c r="G202" s="22">
        <v>1</v>
      </c>
      <c r="H202" s="167">
        <f>F202/G202</f>
        <v>0</v>
      </c>
      <c r="I202" s="167">
        <f>H202*D203</f>
        <v>0</v>
      </c>
      <c r="J202" s="177">
        <f>I202+D203</f>
        <v>1</v>
      </c>
      <c r="K202" s="20"/>
      <c r="L202" s="167" t="s">
        <v>341</v>
      </c>
      <c r="M202" s="167"/>
      <c r="N202" s="21">
        <v>200</v>
      </c>
      <c r="O202" s="173">
        <f>N202</f>
        <v>200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1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400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1</v>
      </c>
      <c r="K204" s="20"/>
      <c r="L204" s="167" t="s">
        <v>343</v>
      </c>
      <c r="M204" s="167"/>
      <c r="N204" s="168">
        <f>N202*N203</f>
        <v>200</v>
      </c>
      <c r="O204" s="173">
        <f>N204</f>
        <v>200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2</v>
      </c>
      <c r="H205" s="167">
        <f>F205/G205</f>
        <v>5</v>
      </c>
      <c r="I205" s="167">
        <f>H205*J204</f>
        <v>5</v>
      </c>
      <c r="J205" s="167">
        <f>I205</f>
        <v>5</v>
      </c>
      <c r="K205" s="20"/>
      <c r="L205" s="167" t="s">
        <v>345</v>
      </c>
      <c r="M205" s="167"/>
      <c r="N205" s="21">
        <v>270</v>
      </c>
      <c r="O205" s="21">
        <v>300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270</v>
      </c>
      <c r="E206" s="176"/>
      <c r="F206" s="167"/>
      <c r="G206" s="167"/>
      <c r="H206" s="169" t="s">
        <v>387</v>
      </c>
      <c r="I206" s="167"/>
      <c r="J206" s="167">
        <f>J205</f>
        <v>5</v>
      </c>
      <c r="K206" s="20"/>
      <c r="L206" s="167" t="s">
        <v>346</v>
      </c>
      <c r="M206" s="167"/>
      <c r="N206" s="168">
        <f>N205*N203</f>
        <v>270</v>
      </c>
      <c r="O206" s="168">
        <f>O205*O203</f>
        <v>300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5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1350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1.35</v>
      </c>
      <c r="O209" s="170">
        <f>O206/O204</f>
        <v>1.5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3.375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392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400</v>
      </c>
      <c r="H214" s="20"/>
      <c r="I214" s="20" t="s">
        <v>28</v>
      </c>
      <c r="J214" s="127"/>
      <c r="K214" s="21">
        <f>G214</f>
        <v>400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1350</v>
      </c>
      <c r="H215" s="20"/>
      <c r="I215" s="20" t="s">
        <v>29</v>
      </c>
      <c r="J215" s="20"/>
      <c r="K215" s="21">
        <f>G215</f>
        <v>1350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7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0.18978278948438598</v>
      </c>
      <c r="H217" s="20"/>
      <c r="I217" s="23" t="s">
        <v>393</v>
      </c>
      <c r="J217" s="23"/>
      <c r="K217" s="23">
        <f>(K215-K214)/K214</f>
        <v>2.375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84</v>
      </c>
      <c r="H218" s="20"/>
      <c r="I218" s="23" t="s">
        <v>394</v>
      </c>
      <c r="J218" s="23"/>
      <c r="K218" s="23">
        <f>K215/K214</f>
        <v>3.375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7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0.18978278948438598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2014-12-17T15:07:03Z</dcterms:modified>
</cp:coreProperties>
</file>
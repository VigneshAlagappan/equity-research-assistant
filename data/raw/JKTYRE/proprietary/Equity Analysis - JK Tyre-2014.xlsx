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42" i="18"/>
  <c r="Q40" i="18"/>
  <c r="Q38" i="18"/>
  <c r="Q36" i="18"/>
  <c r="Q34" i="18"/>
  <c r="Q33" i="18"/>
  <c r="Q29" i="18"/>
  <c r="Q27" i="18"/>
  <c r="Q25" i="18"/>
  <c r="Q18" i="18"/>
  <c r="Q16" i="18"/>
  <c r="Q15" i="18"/>
  <c r="Q14" i="18"/>
  <c r="Q13" i="18"/>
  <c r="Q12" i="18"/>
  <c r="Q10" i="18"/>
  <c r="Q9" i="18"/>
  <c r="K11" i="18"/>
  <c r="Q7" i="18"/>
  <c r="Q6" i="18"/>
  <c r="Q44" i="18"/>
  <c r="K180" i="18" l="1"/>
  <c r="K181" i="18" s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5" i="18" s="1"/>
  <c r="Q178" i="18"/>
  <c r="Q173" i="18"/>
  <c r="T192" i="18"/>
  <c r="T193" i="18" s="1"/>
  <c r="Q192" i="18"/>
  <c r="Q113" i="18"/>
  <c r="Q114" i="18" s="1"/>
  <c r="Q115" i="18"/>
  <c r="K91" i="18"/>
  <c r="AE52" i="18"/>
  <c r="H52" i="18"/>
  <c r="H91" i="18" s="1"/>
  <c r="I52" i="18"/>
  <c r="I91" i="18" s="1"/>
  <c r="J52" i="18"/>
  <c r="J91" i="18" s="1"/>
  <c r="K52" i="18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H192" i="18"/>
  <c r="Q180" i="18"/>
  <c r="Q181" i="18" s="1"/>
  <c r="P91" i="18"/>
  <c r="R91" i="18" s="1"/>
  <c r="S44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T191" i="18"/>
  <c r="T190" i="18" s="1"/>
  <c r="P191" i="18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F177" i="18" l="1"/>
  <c r="F180" i="18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<sst xmlns="http://schemas.openxmlformats.org/spreadsheetml/2006/main" count="649" uniqueCount="457">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</sst>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0" fontId="16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98752"/>
        <c:axId val="101482880"/>
      </c:lineChart>
      <c:catAx>
        <c:axId val="10069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1482880"/>
        <c:crosses val="autoZero"/>
        <c:auto val="1"/>
        <c:lblAlgn val="ctr"/>
        <c:lblOffset val="100"/>
        <c:noMultiLvlLbl val="0"/>
      </c:catAx>
      <c:valAx>
        <c:axId val="10148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6987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6" activePane="bottomRight" state="frozen"/>
      <selection pane="topRight" activeCell="C1" sqref="C1"/>
      <selection pane="bottomLeft" activeCell="A5" sqref="A5"/>
      <selection pane="bottomRight" activeCell="D166" sqref="D166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0.08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>
        <v>856</v>
      </c>
      <c r="G6" s="147">
        <v>819</v>
      </c>
      <c r="H6" s="147">
        <v>745</v>
      </c>
      <c r="I6" s="147">
        <v>568</v>
      </c>
      <c r="J6" s="147">
        <v>513</v>
      </c>
      <c r="K6" s="147"/>
      <c r="L6" s="147">
        <v>650</v>
      </c>
      <c r="M6" s="147">
        <v>809</v>
      </c>
      <c r="N6" s="147">
        <v>817</v>
      </c>
      <c r="O6" s="147">
        <v>715</v>
      </c>
      <c r="P6" s="147">
        <v>865</v>
      </c>
      <c r="Q6" s="213">
        <f>P6</f>
        <v>865</v>
      </c>
      <c r="R6" s="118">
        <f>((Q6/G6)^(1/($H$2-$H$1) ))-1</f>
        <v>6.0901838919349416E-3</v>
      </c>
      <c r="S6" s="31">
        <f>$L$2</f>
        <v>0.08</v>
      </c>
      <c r="T6" s="154">
        <f>Q6*(1+$S6)</f>
        <v>934.2</v>
      </c>
      <c r="U6" s="154">
        <f>T6*(1+$S6)</f>
        <v>1008.9360000000001</v>
      </c>
      <c r="V6" s="154">
        <f t="shared" ref="V6:AC6" si="0">U6*(1+$S6)</f>
        <v>1089.6508800000001</v>
      </c>
      <c r="W6" s="154">
        <f t="shared" si="0"/>
        <v>1176.8229504000003</v>
      </c>
      <c r="X6" s="154">
        <f t="shared" si="0"/>
        <v>1270.9687864320003</v>
      </c>
      <c r="Y6" s="154">
        <f t="shared" si="0"/>
        <v>1372.6462893465605</v>
      </c>
      <c r="Z6" s="154">
        <f t="shared" si="0"/>
        <v>1482.4579924942855</v>
      </c>
      <c r="AA6" s="154">
        <f t="shared" si="0"/>
        <v>1601.0546318938284</v>
      </c>
      <c r="AB6" s="154">
        <f t="shared" si="0"/>
        <v>1729.1390024453349</v>
      </c>
      <c r="AC6" s="154">
        <f t="shared" si="0"/>
        <v>1867.4701226409618</v>
      </c>
      <c r="AD6" s="138">
        <f>((AC6/G6)^(1/($AC$3-$H$1) ))-1</f>
        <v>4.2073826638462819E-2</v>
      </c>
      <c r="AE6" s="31">
        <f>$L$1</f>
        <v>0.05</v>
      </c>
      <c r="AF6" s="146">
        <f t="shared" ref="AF6:AF44" si="1">(AC6*(1+AE6))/($C$1-AE6)</f>
        <v>11534.37428690006</v>
      </c>
    </row>
    <row r="7" spans="2:32" x14ac:dyDescent="0.2">
      <c r="B7" s="20" t="s">
        <v>240</v>
      </c>
      <c r="C7" s="141"/>
      <c r="D7" s="141"/>
      <c r="E7" s="147"/>
      <c r="F7" s="147">
        <v>893</v>
      </c>
      <c r="G7" s="147">
        <v>856</v>
      </c>
      <c r="H7" s="147">
        <v>782</v>
      </c>
      <c r="I7" s="147">
        <v>599</v>
      </c>
      <c r="J7" s="147">
        <v>544</v>
      </c>
      <c r="K7" s="147"/>
      <c r="L7" s="147">
        <v>691</v>
      </c>
      <c r="M7" s="147">
        <v>850</v>
      </c>
      <c r="N7" s="147">
        <v>858</v>
      </c>
      <c r="O7" s="147">
        <v>755</v>
      </c>
      <c r="P7" s="147">
        <v>906</v>
      </c>
      <c r="Q7" s="213">
        <f>P7</f>
        <v>906</v>
      </c>
      <c r="R7" s="118">
        <f>((Q7/G7)^(1/($H$2-$H$1) ))-1</f>
        <v>6.3275940508908946E-3</v>
      </c>
      <c r="S7" s="31">
        <f>$L$2</f>
        <v>0.08</v>
      </c>
      <c r="T7" s="154">
        <f t="shared" ref="T7:T44" si="2">Q7*(1+$S7)</f>
        <v>978.48</v>
      </c>
      <c r="U7" s="154">
        <f t="shared" ref="U7:AC7" si="3">T7*(1+$S7)</f>
        <v>1056.7584000000002</v>
      </c>
      <c r="V7" s="154">
        <f t="shared" si="3"/>
        <v>1141.2990720000003</v>
      </c>
      <c r="W7" s="154">
        <f t="shared" si="3"/>
        <v>1232.6029977600003</v>
      </c>
      <c r="X7" s="154">
        <f t="shared" si="3"/>
        <v>1331.2112375808003</v>
      </c>
      <c r="Y7" s="154">
        <f t="shared" si="3"/>
        <v>1437.7081365872646</v>
      </c>
      <c r="Z7" s="154">
        <f t="shared" si="3"/>
        <v>1552.7247875142459</v>
      </c>
      <c r="AA7" s="154">
        <f t="shared" si="3"/>
        <v>1676.9427705153857</v>
      </c>
      <c r="AB7" s="154">
        <f t="shared" si="3"/>
        <v>1811.0981921566167</v>
      </c>
      <c r="AC7" s="154">
        <f t="shared" si="3"/>
        <v>1955.9860475291462</v>
      </c>
      <c r="AD7" s="138">
        <f>((AC7/G7)^(1/($AC$3-$H$1) ))-1</f>
        <v>4.2184475056442627E-2</v>
      </c>
      <c r="AE7" s="31">
        <f>$L$1</f>
        <v>0.05</v>
      </c>
      <c r="AF7" s="146">
        <f t="shared" si="1"/>
        <v>12081.090293562376</v>
      </c>
    </row>
    <row r="8" spans="2:32" x14ac:dyDescent="0.2">
      <c r="B8" s="20"/>
      <c r="C8" s="141"/>
      <c r="D8" s="141"/>
      <c r="E8" s="147"/>
      <c r="F8" s="147"/>
      <c r="G8" s="148">
        <f>(G7-F7)/G7</f>
        <v>-4.3224299065420559E-2</v>
      </c>
      <c r="H8" s="151">
        <f>(H7-G7)/H7</f>
        <v>-9.4629156010230184E-2</v>
      </c>
      <c r="I8" s="151">
        <f t="shared" ref="I8:Q8" si="4">(I7-H7)/I7</f>
        <v>-0.30550918196994992</v>
      </c>
      <c r="J8" s="151">
        <f t="shared" si="4"/>
        <v>-0.10110294117647059</v>
      </c>
      <c r="K8" s="151" t="e">
        <f t="shared" si="4"/>
        <v>#DIV/0!</v>
      </c>
      <c r="L8" s="151">
        <f t="shared" si="4"/>
        <v>1</v>
      </c>
      <c r="M8" s="151">
        <f t="shared" si="4"/>
        <v>0.18705882352941178</v>
      </c>
      <c r="N8" s="151">
        <f t="shared" si="4"/>
        <v>9.324009324009324E-3</v>
      </c>
      <c r="O8" s="151">
        <f t="shared" si="4"/>
        <v>-0.13642384105960265</v>
      </c>
      <c r="P8" s="151">
        <f t="shared" si="4"/>
        <v>0.16666666666666666</v>
      </c>
      <c r="Q8" s="21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>
        <v>577</v>
      </c>
      <c r="G9" s="147">
        <v>641</v>
      </c>
      <c r="H9" s="147">
        <v>686</v>
      </c>
      <c r="I9" s="147">
        <v>781</v>
      </c>
      <c r="J9" s="147">
        <v>928</v>
      </c>
      <c r="K9" s="147"/>
      <c r="L9" s="147">
        <v>1159</v>
      </c>
      <c r="M9" s="147">
        <v>1388</v>
      </c>
      <c r="N9" s="147">
        <v>1667</v>
      </c>
      <c r="O9" s="147">
        <v>2189</v>
      </c>
      <c r="P9" s="147">
        <v>1866</v>
      </c>
      <c r="Q9" s="213">
        <f>P9</f>
        <v>1866</v>
      </c>
      <c r="R9" s="118">
        <f>((Q9/G9)^(1/($H$2-$H$1) ))-1</f>
        <v>0.12605994946414212</v>
      </c>
      <c r="S9" s="31">
        <f t="shared" ref="S9:S40" si="5">$L$2</f>
        <v>0.08</v>
      </c>
      <c r="T9" s="154">
        <f t="shared" si="2"/>
        <v>2015.2800000000002</v>
      </c>
      <c r="U9" s="154">
        <f t="shared" ref="U9" si="6">T9*(1+$S9)</f>
        <v>2176.5024000000003</v>
      </c>
      <c r="V9" s="154">
        <f t="shared" ref="V9" si="7">U9*(1+$S9)</f>
        <v>2350.6225920000006</v>
      </c>
      <c r="W9" s="154">
        <f t="shared" ref="W9" si="8">V9*(1+$S9)</f>
        <v>2538.6723993600008</v>
      </c>
      <c r="X9" s="154">
        <f t="shared" ref="X9" si="9">W9*(1+$S9)</f>
        <v>2741.7661913088009</v>
      </c>
      <c r="Y9" s="154">
        <f t="shared" ref="Y9" si="10">X9*(1+$S9)</f>
        <v>2961.107486613505</v>
      </c>
      <c r="Z9" s="154">
        <f t="shared" ref="Z9" si="11">Y9*(1+$S9)</f>
        <v>3197.9960855425857</v>
      </c>
      <c r="AA9" s="154">
        <f t="shared" ref="AA9" si="12">Z9*(1+$S9)</f>
        <v>3453.8357723859926</v>
      </c>
      <c r="AB9" s="154">
        <f t="shared" ref="AB9" si="13">AA9*(1+$S9)</f>
        <v>3730.1426341768724</v>
      </c>
      <c r="AC9" s="154">
        <f t="shared" ref="AC9" si="14">AB9*(1+$S9)</f>
        <v>4028.5540449110226</v>
      </c>
      <c r="AD9" s="138">
        <f>((AC9/G9)^(1/($AC$3-$H$1) ))-1</f>
        <v>9.6262499610383578E-2</v>
      </c>
      <c r="AE9" s="31">
        <f t="shared" ref="AE9:AE81" si="15">$L$1</f>
        <v>0.05</v>
      </c>
      <c r="AF9" s="146">
        <f t="shared" si="1"/>
        <v>24882.245571509262</v>
      </c>
    </row>
    <row r="10" spans="2:32" x14ac:dyDescent="0.2">
      <c r="B10" s="20" t="s">
        <v>4</v>
      </c>
      <c r="C10" s="141"/>
      <c r="D10" s="141"/>
      <c r="E10" s="147"/>
      <c r="F10" s="147">
        <v>838</v>
      </c>
      <c r="G10" s="147">
        <v>750</v>
      </c>
      <c r="H10" s="147">
        <v>830</v>
      </c>
      <c r="I10" s="147">
        <v>944</v>
      </c>
      <c r="J10" s="147">
        <v>915</v>
      </c>
      <c r="K10" s="147"/>
      <c r="L10" s="147">
        <v>1382</v>
      </c>
      <c r="M10" s="147">
        <v>1158</v>
      </c>
      <c r="N10" s="147">
        <v>1613</v>
      </c>
      <c r="O10" s="147">
        <v>2022</v>
      </c>
      <c r="P10" s="147">
        <v>2534</v>
      </c>
      <c r="Q10" s="213">
        <f>P10</f>
        <v>2534</v>
      </c>
      <c r="R10" s="118">
        <f>((Q10/G10)^(1/($H$2-$H$1) ))-1</f>
        <v>0.1448523581177239</v>
      </c>
      <c r="S10" s="31">
        <f t="shared" si="5"/>
        <v>0.08</v>
      </c>
      <c r="T10" s="154">
        <f t="shared" si="2"/>
        <v>2736.7200000000003</v>
      </c>
      <c r="U10" s="154">
        <f t="shared" ref="U10:AC10" si="16">T10*(1+$S10)</f>
        <v>2955.6576000000005</v>
      </c>
      <c r="V10" s="154">
        <f t="shared" si="16"/>
        <v>3192.1102080000005</v>
      </c>
      <c r="W10" s="154">
        <f t="shared" si="16"/>
        <v>3447.4790246400007</v>
      </c>
      <c r="X10" s="154">
        <f t="shared" si="16"/>
        <v>3723.2773466112012</v>
      </c>
      <c r="Y10" s="154">
        <f t="shared" si="16"/>
        <v>4021.1395343400977</v>
      </c>
      <c r="Z10" s="154">
        <f t="shared" si="16"/>
        <v>4342.8306970873055</v>
      </c>
      <c r="AA10" s="154">
        <f t="shared" si="16"/>
        <v>4690.2571528542903</v>
      </c>
      <c r="AB10" s="154">
        <f t="shared" si="16"/>
        <v>5065.4777250826337</v>
      </c>
      <c r="AC10" s="154">
        <f t="shared" si="16"/>
        <v>5470.7159430892443</v>
      </c>
      <c r="AD10" s="138">
        <f t="shared" ref="AD10:AD42" si="17">((AC10/G10)^(1/($AC$3-$H$1) ))-1</f>
        <v>0.10445784690756033</v>
      </c>
      <c r="AE10" s="31">
        <f t="shared" si="15"/>
        <v>0.05</v>
      </c>
      <c r="AF10" s="146">
        <f t="shared" si="1"/>
        <v>33789.716119080629</v>
      </c>
    </row>
    <row r="11" spans="2:32" x14ac:dyDescent="0.2">
      <c r="B11" s="20"/>
      <c r="C11" s="141"/>
      <c r="D11" s="141"/>
      <c r="E11" s="147"/>
      <c r="F11" s="147"/>
      <c r="G11" s="148">
        <f>(G10-F10)/G10</f>
        <v>-0.11733333333333333</v>
      </c>
      <c r="H11" s="148">
        <f t="shared" ref="H11:Q11" si="18">(H10-G10)/H10</f>
        <v>9.6385542168674704E-2</v>
      </c>
      <c r="I11" s="148">
        <f t="shared" si="18"/>
        <v>0.12076271186440678</v>
      </c>
      <c r="J11" s="148">
        <f t="shared" si="18"/>
        <v>-3.169398907103825E-2</v>
      </c>
      <c r="K11" s="148" t="e">
        <f t="shared" si="18"/>
        <v>#DIV/0!</v>
      </c>
      <c r="L11" s="148">
        <f t="shared" si="18"/>
        <v>1</v>
      </c>
      <c r="M11" s="148">
        <f t="shared" si="18"/>
        <v>-0.19343696027633853</v>
      </c>
      <c r="N11" s="148">
        <f t="shared" si="18"/>
        <v>0.28208307501549906</v>
      </c>
      <c r="O11" s="148">
        <f t="shared" si="18"/>
        <v>0.20227497527200791</v>
      </c>
      <c r="P11" s="148">
        <f t="shared" si="18"/>
        <v>0.20205209155485399</v>
      </c>
      <c r="Q11" s="21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>
        <v>26</v>
      </c>
      <c r="G12" s="147">
        <v>37</v>
      </c>
      <c r="H12" s="147">
        <v>36</v>
      </c>
      <c r="I12" s="147">
        <v>40</v>
      </c>
      <c r="J12" s="147">
        <v>30</v>
      </c>
      <c r="K12" s="147"/>
      <c r="L12" s="147">
        <v>50</v>
      </c>
      <c r="M12" s="147">
        <v>90</v>
      </c>
      <c r="N12" s="147">
        <v>115</v>
      </c>
      <c r="O12" s="147">
        <v>105</v>
      </c>
      <c r="P12" s="147">
        <v>140</v>
      </c>
      <c r="Q12" s="213">
        <f>P12</f>
        <v>140</v>
      </c>
      <c r="R12" s="118">
        <f>((Q12/G12)^(1/($H$2-$H$1) ))-1</f>
        <v>0.15934858054624024</v>
      </c>
      <c r="S12" s="31">
        <f t="shared" si="5"/>
        <v>0.08</v>
      </c>
      <c r="T12" s="154">
        <f t="shared" si="2"/>
        <v>151.20000000000002</v>
      </c>
      <c r="U12" s="154">
        <f t="shared" ref="U12:AC12" si="19">T12*(1+$S12)</f>
        <v>163.29600000000002</v>
      </c>
      <c r="V12" s="154">
        <f t="shared" si="19"/>
        <v>176.35968000000003</v>
      </c>
      <c r="W12" s="154">
        <f t="shared" si="19"/>
        <v>190.46845440000004</v>
      </c>
      <c r="X12" s="154">
        <f t="shared" si="19"/>
        <v>205.70593075200006</v>
      </c>
      <c r="Y12" s="154">
        <f t="shared" si="19"/>
        <v>222.16240521216008</v>
      </c>
      <c r="Z12" s="154">
        <f t="shared" si="19"/>
        <v>239.93539762913289</v>
      </c>
      <c r="AA12" s="154">
        <f t="shared" si="19"/>
        <v>259.13022943946356</v>
      </c>
      <c r="AB12" s="154">
        <f t="shared" si="19"/>
        <v>279.86064779462066</v>
      </c>
      <c r="AC12" s="154">
        <f t="shared" si="19"/>
        <v>302.24949961819033</v>
      </c>
      <c r="AD12" s="138">
        <f t="shared" si="17"/>
        <v>0.11072921054498619</v>
      </c>
      <c r="AE12" s="31">
        <f t="shared" si="15"/>
        <v>0.05</v>
      </c>
      <c r="AF12" s="146">
        <f t="shared" si="1"/>
        <v>1866.8351447005878</v>
      </c>
    </row>
    <row r="13" spans="2:32" x14ac:dyDescent="0.2">
      <c r="B13" s="20" t="s">
        <v>218</v>
      </c>
      <c r="C13" s="141"/>
      <c r="D13" s="141"/>
      <c r="E13" s="147"/>
      <c r="F13" s="147">
        <v>252</v>
      </c>
      <c r="G13" s="147">
        <v>252</v>
      </c>
      <c r="H13" s="147">
        <v>250</v>
      </c>
      <c r="I13" s="147">
        <v>68</v>
      </c>
      <c r="J13" s="147">
        <v>71</v>
      </c>
      <c r="K13" s="147"/>
      <c r="L13" s="147">
        <v>76</v>
      </c>
      <c r="M13" s="147">
        <v>80</v>
      </c>
      <c r="N13" s="147">
        <v>87</v>
      </c>
      <c r="O13" s="147">
        <v>100</v>
      </c>
      <c r="P13" s="147">
        <v>104</v>
      </c>
      <c r="Q13" s="213">
        <f>P13</f>
        <v>104</v>
      </c>
      <c r="R13" s="118">
        <f>((Q13/G13)^(1/($H$2-$H$1) ))-1</f>
        <v>-9.3657107942563655E-2</v>
      </c>
      <c r="S13" s="31">
        <f t="shared" si="5"/>
        <v>0.08</v>
      </c>
      <c r="T13" s="154">
        <f t="shared" si="2"/>
        <v>112.32000000000001</v>
      </c>
      <c r="U13" s="154">
        <f t="shared" ref="U13:AC13" si="20">T13*(1+$S13)</f>
        <v>121.30560000000001</v>
      </c>
      <c r="V13" s="154">
        <f t="shared" si="20"/>
        <v>131.01004800000001</v>
      </c>
      <c r="W13" s="154">
        <f t="shared" si="20"/>
        <v>141.49085184000003</v>
      </c>
      <c r="X13" s="154">
        <f t="shared" si="20"/>
        <v>152.81011998720004</v>
      </c>
      <c r="Y13" s="154">
        <f t="shared" si="20"/>
        <v>165.03492958617605</v>
      </c>
      <c r="Z13" s="154">
        <f t="shared" si="20"/>
        <v>178.23772395307014</v>
      </c>
      <c r="AA13" s="154">
        <f t="shared" si="20"/>
        <v>192.49674186931577</v>
      </c>
      <c r="AB13" s="154">
        <f t="shared" si="20"/>
        <v>207.89648121886106</v>
      </c>
      <c r="AC13" s="154">
        <f t="shared" si="20"/>
        <v>224.52819971636995</v>
      </c>
      <c r="AD13" s="138">
        <f t="shared" si="17"/>
        <v>-5.7547663794288439E-3</v>
      </c>
      <c r="AE13" s="31">
        <f t="shared" si="15"/>
        <v>0.05</v>
      </c>
      <c r="AF13" s="146">
        <f t="shared" si="1"/>
        <v>1386.7918217775793</v>
      </c>
    </row>
    <row r="14" spans="2:32" x14ac:dyDescent="0.2">
      <c r="B14" s="20" t="s">
        <v>373</v>
      </c>
      <c r="C14" s="141"/>
      <c r="D14" s="141"/>
      <c r="E14" s="147"/>
      <c r="F14" s="147">
        <v>211</v>
      </c>
      <c r="G14" s="147">
        <v>178</v>
      </c>
      <c r="H14" s="147">
        <v>244</v>
      </c>
      <c r="I14" s="147">
        <v>369</v>
      </c>
      <c r="J14" s="147">
        <v>503</v>
      </c>
      <c r="K14" s="147"/>
      <c r="L14" s="147">
        <v>483</v>
      </c>
      <c r="M14" s="147">
        <v>555</v>
      </c>
      <c r="N14" s="147">
        <v>817</v>
      </c>
      <c r="O14" s="147">
        <v>782</v>
      </c>
      <c r="P14" s="147">
        <v>933</v>
      </c>
      <c r="Q14" s="213">
        <f>P14</f>
        <v>933</v>
      </c>
      <c r="R14" s="118">
        <f>((Q14/G14)^(1/($H$2-$H$1) ))-1</f>
        <v>0.20209885194197086</v>
      </c>
      <c r="S14" s="31">
        <f t="shared" si="5"/>
        <v>0.08</v>
      </c>
      <c r="T14" s="154">
        <f t="shared" si="2"/>
        <v>1007.6400000000001</v>
      </c>
      <c r="U14" s="154">
        <f t="shared" ref="U14" si="21">T14*(1+$S14)</f>
        <v>1088.2512000000002</v>
      </c>
      <c r="V14" s="154">
        <f t="shared" ref="V14" si="22">U14*(1+$S14)</f>
        <v>1175.3112960000003</v>
      </c>
      <c r="W14" s="154">
        <f t="shared" ref="W14" si="23">V14*(1+$S14)</f>
        <v>1269.3361996800004</v>
      </c>
      <c r="X14" s="154">
        <f t="shared" ref="X14" si="24">W14*(1+$S14)</f>
        <v>1370.8830956544004</v>
      </c>
      <c r="Y14" s="154">
        <f t="shared" ref="Y14" si="25">X14*(1+$S14)</f>
        <v>1480.5537433067525</v>
      </c>
      <c r="Z14" s="154">
        <f t="shared" ref="Z14" si="26">Y14*(1+$S14)</f>
        <v>1598.9980427712928</v>
      </c>
      <c r="AA14" s="154">
        <f t="shared" ref="AA14" si="27">Z14*(1+$S14)</f>
        <v>1726.9178861929963</v>
      </c>
      <c r="AB14" s="154">
        <f t="shared" ref="AB14" si="28">AA14*(1+$S14)</f>
        <v>1865.0713170884362</v>
      </c>
      <c r="AC14" s="154">
        <f t="shared" ref="AC14" si="29">AB14*(1+$S14)</f>
        <v>2014.2770224555113</v>
      </c>
      <c r="AD14" s="138">
        <f t="shared" ref="AD14" si="30">((AC14/G14)^(1/($AC$3-$H$1) ))-1</f>
        <v>0.12897665018251536</v>
      </c>
      <c r="AE14" s="31">
        <f t="shared" si="15"/>
        <v>0.05</v>
      </c>
      <c r="AF14" s="146">
        <f t="shared" ref="AF14" si="31">(AC14*(1+AE14))/($C$1-AE14)</f>
        <v>12441.122785754631</v>
      </c>
    </row>
    <row r="15" spans="2:32" x14ac:dyDescent="0.2">
      <c r="B15" s="20" t="s">
        <v>19</v>
      </c>
      <c r="C15" s="141"/>
      <c r="D15" s="141"/>
      <c r="E15" s="147"/>
      <c r="F15" s="147">
        <v>638</v>
      </c>
      <c r="G15" s="147">
        <v>654</v>
      </c>
      <c r="H15" s="147">
        <v>686</v>
      </c>
      <c r="I15" s="147">
        <v>880</v>
      </c>
      <c r="J15" s="147">
        <v>963</v>
      </c>
      <c r="K15" s="147"/>
      <c r="L15" s="147">
        <v>1080</v>
      </c>
      <c r="M15" s="147">
        <v>1261</v>
      </c>
      <c r="N15" s="147">
        <v>1760</v>
      </c>
      <c r="O15" s="147">
        <v>1895</v>
      </c>
      <c r="P15" s="147">
        <v>2123</v>
      </c>
      <c r="Q15" s="213">
        <f>P15</f>
        <v>2123</v>
      </c>
      <c r="R15" s="118">
        <f>((Q15/G15)^(1/($H$2-$H$1) ))-1</f>
        <v>0.13977503035541061</v>
      </c>
      <c r="S15" s="31">
        <f t="shared" si="5"/>
        <v>0.08</v>
      </c>
      <c r="T15" s="154">
        <f t="shared" si="2"/>
        <v>2292.84</v>
      </c>
      <c r="U15" s="154">
        <f t="shared" ref="U15:AC15" si="32">T15*(1+$S15)</f>
        <v>2476.2672000000002</v>
      </c>
      <c r="V15" s="154">
        <f t="shared" si="32"/>
        <v>2674.3685760000003</v>
      </c>
      <c r="W15" s="154">
        <f t="shared" si="32"/>
        <v>2888.3180620800003</v>
      </c>
      <c r="X15" s="154">
        <f t="shared" si="32"/>
        <v>3119.3835070464006</v>
      </c>
      <c r="Y15" s="154">
        <f t="shared" si="32"/>
        <v>3368.934187610113</v>
      </c>
      <c r="Z15" s="154">
        <f t="shared" si="32"/>
        <v>3638.4489226189221</v>
      </c>
      <c r="AA15" s="154">
        <f t="shared" si="32"/>
        <v>3929.5248364284362</v>
      </c>
      <c r="AB15" s="154">
        <f t="shared" si="32"/>
        <v>4243.8868233427111</v>
      </c>
      <c r="AC15" s="154">
        <f t="shared" si="32"/>
        <v>4583.397769210128</v>
      </c>
      <c r="AD15" s="138">
        <f t="shared" si="17"/>
        <v>0.10225097088918544</v>
      </c>
      <c r="AE15" s="31">
        <f t="shared" si="15"/>
        <v>0.05</v>
      </c>
      <c r="AF15" s="146">
        <f t="shared" si="1"/>
        <v>28309.221515709618</v>
      </c>
    </row>
    <row r="16" spans="2:32" x14ac:dyDescent="0.2">
      <c r="B16" s="20" t="s">
        <v>23</v>
      </c>
      <c r="C16" s="141"/>
      <c r="D16" s="141"/>
      <c r="E16" s="147"/>
      <c r="F16" s="147">
        <v>194</v>
      </c>
      <c r="G16" s="147">
        <v>116</v>
      </c>
      <c r="H16" s="147">
        <v>115</v>
      </c>
      <c r="I16" s="147">
        <v>220</v>
      </c>
      <c r="J16" s="147">
        <v>160</v>
      </c>
      <c r="K16" s="147"/>
      <c r="L16" s="147">
        <v>90</v>
      </c>
      <c r="M16" s="147">
        <v>-24</v>
      </c>
      <c r="N16" s="147">
        <v>234</v>
      </c>
      <c r="O16" s="147">
        <v>42</v>
      </c>
      <c r="P16" s="147">
        <v>546</v>
      </c>
      <c r="Q16" s="213">
        <f>P16</f>
        <v>546</v>
      </c>
      <c r="R16" s="118">
        <f>((Q16/G16)^(1/($H$2-$H$1) ))-1</f>
        <v>0.1878136037192748</v>
      </c>
      <c r="S16" s="31">
        <f t="shared" si="5"/>
        <v>0.08</v>
      </c>
      <c r="T16" s="154">
        <f t="shared" si="2"/>
        <v>589.68000000000006</v>
      </c>
      <c r="U16" s="154">
        <f t="shared" ref="U16:AC16" si="33">T16*(1+$S16)</f>
        <v>636.85440000000006</v>
      </c>
      <c r="V16" s="154">
        <f t="shared" si="33"/>
        <v>687.80275200000005</v>
      </c>
      <c r="W16" s="154">
        <f t="shared" si="33"/>
        <v>742.82697216000008</v>
      </c>
      <c r="X16" s="154">
        <f t="shared" si="33"/>
        <v>802.25312993280011</v>
      </c>
      <c r="Y16" s="154">
        <f t="shared" si="33"/>
        <v>866.43338032742417</v>
      </c>
      <c r="Z16" s="154">
        <f t="shared" si="33"/>
        <v>935.74805075361814</v>
      </c>
      <c r="AA16" s="154">
        <f t="shared" si="33"/>
        <v>1010.6078948139077</v>
      </c>
      <c r="AB16" s="154">
        <f t="shared" si="33"/>
        <v>1091.4565263990205</v>
      </c>
      <c r="AC16" s="154">
        <f t="shared" si="33"/>
        <v>1178.7730485109423</v>
      </c>
      <c r="AD16" s="138">
        <f t="shared" si="17"/>
        <v>0.12291946586888391</v>
      </c>
      <c r="AE16" s="31">
        <f t="shared" si="15"/>
        <v>0.05</v>
      </c>
      <c r="AF16" s="146">
        <f t="shared" si="1"/>
        <v>7280.6570643322921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>
        <v>1265</v>
      </c>
      <c r="G18" s="147">
        <v>1207</v>
      </c>
      <c r="H18" s="147">
        <v>1174</v>
      </c>
      <c r="I18" s="147">
        <v>1225</v>
      </c>
      <c r="J18" s="147">
        <v>1198</v>
      </c>
      <c r="K18" s="147"/>
      <c r="L18" s="147">
        <v>1612</v>
      </c>
      <c r="M18" s="147">
        <v>1763</v>
      </c>
      <c r="N18" s="147">
        <v>1855</v>
      </c>
      <c r="O18" s="147">
        <v>1869</v>
      </c>
      <c r="P18" s="147">
        <v>2714</v>
      </c>
      <c r="Q18" s="213">
        <f>P18</f>
        <v>2714</v>
      </c>
      <c r="R18" s="118">
        <f>((Q18/G18)^(1/($H$2-$H$1) ))-1</f>
        <v>9.4209008399545047E-2</v>
      </c>
      <c r="S18" s="31">
        <f t="shared" si="5"/>
        <v>0.08</v>
      </c>
      <c r="T18" s="154">
        <f t="shared" si="2"/>
        <v>2931.1200000000003</v>
      </c>
      <c r="U18" s="154">
        <f t="shared" ref="U18:U34" si="34">T18*(1+$S18)</f>
        <v>3165.6096000000007</v>
      </c>
      <c r="V18" s="154">
        <f t="shared" ref="V18:V34" si="35">U18*(1+$S18)</f>
        <v>3418.8583680000011</v>
      </c>
      <c r="W18" s="154">
        <f t="shared" ref="W18:W34" si="36">V18*(1+$S18)</f>
        <v>3692.3670374400012</v>
      </c>
      <c r="X18" s="154">
        <f t="shared" ref="X18:X36" si="37">W18*(1+$S18)</f>
        <v>3987.7564004352016</v>
      </c>
      <c r="Y18" s="154">
        <f t="shared" ref="Y18:Y36" si="38">X18*(1+$S18)</f>
        <v>4306.776912470018</v>
      </c>
      <c r="Z18" s="154">
        <f t="shared" ref="Z18:Z36" si="39">Y18*(1+$S18)</f>
        <v>4651.31906546762</v>
      </c>
      <c r="AA18" s="154">
        <f t="shared" ref="AA18:AA36" si="40">Z18*(1+$S18)</f>
        <v>5023.4245907050299</v>
      </c>
      <c r="AB18" s="154">
        <f t="shared" ref="AB18:AB36" si="41">AA18*(1+$S18)</f>
        <v>5425.2985579614324</v>
      </c>
      <c r="AC18" s="154">
        <f t="shared" ref="AC18:AC36" si="42">AB18*(1+$S18)</f>
        <v>5859.3224425983472</v>
      </c>
      <c r="AD18" s="138">
        <f t="shared" si="17"/>
        <v>8.2198696281404304E-2</v>
      </c>
      <c r="AE18" s="31">
        <f t="shared" si="15"/>
        <v>0.05</v>
      </c>
      <c r="AF18" s="146">
        <f t="shared" si="1"/>
        <v>36189.932733695678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>
        <v>139</v>
      </c>
      <c r="G20" s="147">
        <v>214</v>
      </c>
      <c r="H20" s="147">
        <v>86</v>
      </c>
      <c r="I20" s="147">
        <v>45</v>
      </c>
      <c r="J20" s="147">
        <v>195</v>
      </c>
      <c r="K20" s="147"/>
      <c r="L20" s="147">
        <v>266</v>
      </c>
      <c r="M20" s="147">
        <v>544</v>
      </c>
      <c r="N20" s="147">
        <v>-21</v>
      </c>
      <c r="O20" s="147">
        <v>346</v>
      </c>
      <c r="P20" s="147">
        <v>-101</v>
      </c>
      <c r="Q20" s="213">
        <f>P20</f>
        <v>-101</v>
      </c>
      <c r="R20" s="118">
        <f>((Q20/G20)^(1/($H$2-$H$1) ))-1</f>
        <v>-1.9199569636387559</v>
      </c>
      <c r="S20" s="31">
        <f t="shared" si="5"/>
        <v>0.08</v>
      </c>
      <c r="T20" s="154">
        <f t="shared" si="2"/>
        <v>-109.08000000000001</v>
      </c>
      <c r="U20" s="154">
        <f t="shared" ref="U20:U22" si="43">T20*(1+$S20)</f>
        <v>-117.80640000000002</v>
      </c>
      <c r="V20" s="154">
        <f t="shared" ref="V20:V22" si="44">U20*(1+$S20)</f>
        <v>-127.23091200000003</v>
      </c>
      <c r="W20" s="154">
        <f t="shared" ref="W20:W22" si="45">V20*(1+$S20)</f>
        <v>-137.40938496000004</v>
      </c>
      <c r="X20" s="154">
        <f t="shared" ref="X20:X22" si="46">W20*(1+$S20)</f>
        <v>-148.40213575680005</v>
      </c>
      <c r="Y20" s="154">
        <f t="shared" ref="Y20:Y22" si="47">X20*(1+$S20)</f>
        <v>-160.27430661734405</v>
      </c>
      <c r="Z20" s="154">
        <f t="shared" ref="Z20:Z22" si="48">Y20*(1+$S20)</f>
        <v>-173.09625114673159</v>
      </c>
      <c r="AA20" s="154">
        <f t="shared" ref="AA20:AA22" si="49">Z20*(1+$S20)</f>
        <v>-186.94395123847013</v>
      </c>
      <c r="AB20" s="154">
        <f t="shared" ref="AB20:AB22" si="50">AA20*(1+$S20)</f>
        <v>-201.89946733754775</v>
      </c>
      <c r="AC20" s="154">
        <f t="shared" ref="AC20:AC22" si="51">AB20*(1+$S20)</f>
        <v>-218.05142472455159</v>
      </c>
      <c r="AD20" s="138" t="e">
        <f t="shared" ref="AD20:AD22" si="52">((AC20/G20)^(1/($AC$3-$H$1) ))-1</f>
        <v>#NUM!</v>
      </c>
      <c r="AE20" s="31">
        <f t="shared" si="15"/>
        <v>0.05</v>
      </c>
      <c r="AF20" s="146">
        <f t="shared" si="1"/>
        <v>-1346.7882115339953</v>
      </c>
    </row>
    <row r="21" spans="2:32" x14ac:dyDescent="0.2">
      <c r="B21" s="20" t="s">
        <v>284</v>
      </c>
      <c r="C21" s="141"/>
      <c r="D21" s="141"/>
      <c r="E21" s="147"/>
      <c r="F21" s="147">
        <v>-27</v>
      </c>
      <c r="G21" s="147">
        <v>-25</v>
      </c>
      <c r="H21" s="147">
        <v>-82</v>
      </c>
      <c r="I21" s="147">
        <v>-102</v>
      </c>
      <c r="J21" s="147">
        <v>-74</v>
      </c>
      <c r="K21" s="147"/>
      <c r="L21" s="147">
        <v>-350</v>
      </c>
      <c r="M21" s="147">
        <v>-169</v>
      </c>
      <c r="N21" s="147">
        <v>-283</v>
      </c>
      <c r="O21" s="147">
        <v>-600</v>
      </c>
      <c r="P21" s="147">
        <v>-180</v>
      </c>
      <c r="Q21" s="213">
        <f>P21</f>
        <v>-180</v>
      </c>
      <c r="R21" s="118">
        <f>((Q21/G21)^(1/($H$2-$H$1) ))-1</f>
        <v>0.24525750047889994</v>
      </c>
      <c r="S21" s="31">
        <f t="shared" si="5"/>
        <v>0.08</v>
      </c>
      <c r="T21" s="154">
        <f t="shared" si="2"/>
        <v>-194.4</v>
      </c>
      <c r="U21" s="154">
        <f t="shared" si="43"/>
        <v>-209.95200000000003</v>
      </c>
      <c r="V21" s="154">
        <f t="shared" si="44"/>
        <v>-226.74816000000004</v>
      </c>
      <c r="W21" s="154">
        <f t="shared" si="45"/>
        <v>-244.88801280000007</v>
      </c>
      <c r="X21" s="154">
        <f t="shared" si="46"/>
        <v>-264.47905382400012</v>
      </c>
      <c r="Y21" s="154">
        <f t="shared" si="47"/>
        <v>-285.63737812992014</v>
      </c>
      <c r="Z21" s="154">
        <f t="shared" si="48"/>
        <v>-308.48836838031377</v>
      </c>
      <c r="AA21" s="154">
        <f t="shared" si="49"/>
        <v>-333.16743785073891</v>
      </c>
      <c r="AB21" s="154">
        <f t="shared" si="50"/>
        <v>-359.82083287879806</v>
      </c>
      <c r="AC21" s="154">
        <f t="shared" si="51"/>
        <v>-388.60649950910192</v>
      </c>
      <c r="AD21" s="138">
        <f t="shared" si="52"/>
        <v>0.14703984027095141</v>
      </c>
      <c r="AE21" s="31">
        <f t="shared" si="15"/>
        <v>0.05</v>
      </c>
      <c r="AF21" s="146">
        <f t="shared" si="1"/>
        <v>-2400.2166146150416</v>
      </c>
    </row>
    <row r="22" spans="2:32" x14ac:dyDescent="0.2">
      <c r="B22" s="20" t="s">
        <v>285</v>
      </c>
      <c r="C22" s="141"/>
      <c r="D22" s="141"/>
      <c r="E22" s="147"/>
      <c r="F22" s="147">
        <v>-127</v>
      </c>
      <c r="G22" s="147">
        <v>-175</v>
      </c>
      <c r="H22" s="147">
        <v>-6</v>
      </c>
      <c r="I22" s="147">
        <v>59</v>
      </c>
      <c r="J22" s="147">
        <v>-131</v>
      </c>
      <c r="K22" s="147"/>
      <c r="L22" s="147">
        <v>96</v>
      </c>
      <c r="M22" s="147">
        <v>-353</v>
      </c>
      <c r="N22" s="147">
        <v>327</v>
      </c>
      <c r="O22" s="147">
        <v>246</v>
      </c>
      <c r="P22" s="147">
        <v>296</v>
      </c>
      <c r="Q22" s="213">
        <f>P22</f>
        <v>296</v>
      </c>
      <c r="R22" s="118">
        <f>((Q22/G22)^(1/($H$2-$H$1) ))-1</f>
        <v>-2.0601358426727057</v>
      </c>
      <c r="S22" s="31">
        <f t="shared" si="5"/>
        <v>0.08</v>
      </c>
      <c r="T22" s="154">
        <f t="shared" si="2"/>
        <v>319.68</v>
      </c>
      <c r="U22" s="154">
        <f t="shared" si="43"/>
        <v>345.25440000000003</v>
      </c>
      <c r="V22" s="154">
        <f t="shared" si="44"/>
        <v>372.87475200000006</v>
      </c>
      <c r="W22" s="154">
        <f t="shared" si="45"/>
        <v>402.70473216000011</v>
      </c>
      <c r="X22" s="154">
        <f t="shared" si="46"/>
        <v>434.92111073280012</v>
      </c>
      <c r="Y22" s="154">
        <f t="shared" si="47"/>
        <v>469.71479959142414</v>
      </c>
      <c r="Z22" s="154">
        <f t="shared" si="48"/>
        <v>507.29198355873808</v>
      </c>
      <c r="AA22" s="154">
        <f t="shared" si="49"/>
        <v>547.87534224343722</v>
      </c>
      <c r="AB22" s="154">
        <f t="shared" si="50"/>
        <v>591.70536962291226</v>
      </c>
      <c r="AC22" s="154">
        <f t="shared" si="51"/>
        <v>639.04179919274532</v>
      </c>
      <c r="AD22" s="138" t="e">
        <f t="shared" si="52"/>
        <v>#NUM!</v>
      </c>
      <c r="AE22" s="31">
        <f t="shared" si="15"/>
        <v>0.05</v>
      </c>
      <c r="AF22" s="146">
        <f t="shared" si="1"/>
        <v>3947.0228773669569</v>
      </c>
    </row>
    <row r="23" spans="2:32" x14ac:dyDescent="0.2">
      <c r="B23" s="20" t="s">
        <v>295</v>
      </c>
      <c r="C23" s="141"/>
      <c r="D23" s="141"/>
      <c r="E23" s="147"/>
      <c r="F23" s="147">
        <v>25</v>
      </c>
      <c r="G23" s="147">
        <v>38</v>
      </c>
      <c r="H23" s="147">
        <v>36</v>
      </c>
      <c r="I23" s="147">
        <v>39</v>
      </c>
      <c r="J23" s="147">
        <v>29</v>
      </c>
      <c r="K23" s="147"/>
      <c r="L23" s="147">
        <v>42</v>
      </c>
      <c r="M23" s="147">
        <v>63</v>
      </c>
      <c r="N23" s="147">
        <v>85</v>
      </c>
      <c r="O23" s="147">
        <v>78</v>
      </c>
      <c r="P23" s="147">
        <v>94</v>
      </c>
      <c r="Q23" s="213">
        <f>P23</f>
        <v>94</v>
      </c>
      <c r="R23" s="118">
        <f>((Q23/G23)^(1/($H$2-$H$1) ))-1</f>
        <v>0.10587214084386321</v>
      </c>
      <c r="S23" s="31">
        <f t="shared" si="5"/>
        <v>0.08</v>
      </c>
      <c r="T23" s="154">
        <f t="shared" si="2"/>
        <v>101.52000000000001</v>
      </c>
      <c r="U23" s="154">
        <f t="shared" ref="U23" si="53">T23*(1+$S23)</f>
        <v>109.64160000000003</v>
      </c>
      <c r="V23" s="154">
        <f t="shared" ref="V23" si="54">U23*(1+$S23)</f>
        <v>118.41292800000004</v>
      </c>
      <c r="W23" s="154">
        <f t="shared" ref="W23" si="55">V23*(1+$S23)</f>
        <v>127.88596224000005</v>
      </c>
      <c r="X23" s="154">
        <f t="shared" ref="X23" si="56">W23*(1+$S23)</f>
        <v>138.11683921920007</v>
      </c>
      <c r="Y23" s="154">
        <f t="shared" ref="Y23" si="57">X23*(1+$S23)</f>
        <v>149.16618635673609</v>
      </c>
      <c r="Z23" s="154">
        <f t="shared" ref="Z23" si="58">Y23*(1+$S23)</f>
        <v>161.09948126527499</v>
      </c>
      <c r="AA23" s="154">
        <f t="shared" ref="AA23" si="59">Z23*(1+$S23)</f>
        <v>173.987439766497</v>
      </c>
      <c r="AB23" s="154">
        <f t="shared" ref="AB23" si="60">AA23*(1+$S23)</f>
        <v>187.90643494781679</v>
      </c>
      <c r="AC23" s="154">
        <f t="shared" ref="AC23" si="61">AB23*(1+$S23)</f>
        <v>202.93894974364215</v>
      </c>
      <c r="AD23" s="138">
        <f t="shared" ref="AD23" si="62">((AC23/G23)^(1/($AC$3-$H$1) ))-1</f>
        <v>8.7374365897102901E-2</v>
      </c>
      <c r="AE23" s="31">
        <f t="shared" si="15"/>
        <v>0.05</v>
      </c>
      <c r="AF23" s="146">
        <f t="shared" si="1"/>
        <v>1253.4464542989663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>
        <v>1771</v>
      </c>
      <c r="G25" s="147">
        <v>1874</v>
      </c>
      <c r="H25" s="147">
        <v>2133</v>
      </c>
      <c r="I25" s="147">
        <v>2720</v>
      </c>
      <c r="J25" s="147">
        <v>2934</v>
      </c>
      <c r="K25" s="147"/>
      <c r="L25" s="147">
        <v>5453</v>
      </c>
      <c r="M25" s="147">
        <v>4548</v>
      </c>
      <c r="N25" s="147">
        <v>6156</v>
      </c>
      <c r="O25" s="147">
        <v>6820</v>
      </c>
      <c r="P25" s="147">
        <v>7049</v>
      </c>
      <c r="Q25" s="213">
        <f>P25</f>
        <v>7049</v>
      </c>
      <c r="R25" s="118">
        <f>((Q25/G25)^(1/($H$2-$H$1) ))-1</f>
        <v>0.15858701884180659</v>
      </c>
      <c r="S25" s="31">
        <f t="shared" si="5"/>
        <v>0.08</v>
      </c>
      <c r="T25" s="154">
        <f t="shared" si="2"/>
        <v>7612.92</v>
      </c>
      <c r="U25" s="154">
        <f t="shared" si="34"/>
        <v>8221.9536000000007</v>
      </c>
      <c r="V25" s="154">
        <f t="shared" si="35"/>
        <v>8879.7098880000012</v>
      </c>
      <c r="W25" s="154">
        <f t="shared" si="36"/>
        <v>9590.0866790400014</v>
      </c>
      <c r="X25" s="154">
        <f t="shared" si="37"/>
        <v>10357.293613363203</v>
      </c>
      <c r="Y25" s="154">
        <f t="shared" si="38"/>
        <v>11185.87710243226</v>
      </c>
      <c r="Z25" s="154">
        <f t="shared" si="39"/>
        <v>12080.747270626842</v>
      </c>
      <c r="AA25" s="154">
        <f t="shared" si="40"/>
        <v>13047.20705227699</v>
      </c>
      <c r="AB25" s="154">
        <f t="shared" si="41"/>
        <v>14090.983616459151</v>
      </c>
      <c r="AC25" s="154">
        <f t="shared" si="42"/>
        <v>15218.262305775883</v>
      </c>
      <c r="AD25" s="138">
        <f t="shared" si="17"/>
        <v>0.11040082030434628</v>
      </c>
      <c r="AE25" s="31">
        <f t="shared" si="15"/>
        <v>0.05</v>
      </c>
      <c r="AF25" s="146">
        <f t="shared" si="1"/>
        <v>93995.149535674587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5.4962646744930628E-2</v>
      </c>
      <c r="H26" s="148">
        <f>(H25-G25)/H25</f>
        <v>0.12142522269104547</v>
      </c>
      <c r="I26" s="148">
        <f t="shared" ref="I26" si="63">(I25-H25)/I25</f>
        <v>0.21580882352941178</v>
      </c>
      <c r="J26" s="148">
        <f t="shared" ref="J26" si="64">(J25-I25)/J25</f>
        <v>7.2937968643490114E-2</v>
      </c>
      <c r="K26" s="148" t="e">
        <f t="shared" ref="K26" si="65">(K25-J25)/K25</f>
        <v>#DIV/0!</v>
      </c>
      <c r="L26" s="148">
        <f t="shared" ref="L26" si="66">(L25-K25)/L25</f>
        <v>1</v>
      </c>
      <c r="M26" s="148">
        <f t="shared" ref="M26" si="67">(M25-L25)/M25</f>
        <v>-0.19898856640281443</v>
      </c>
      <c r="N26" s="148">
        <f t="shared" ref="N26" si="68">(N25-M25)/N25</f>
        <v>0.26120857699805067</v>
      </c>
      <c r="O26" s="148">
        <f t="shared" ref="O26" si="69">(O25-N25)/O25</f>
        <v>9.7360703812316721E-2</v>
      </c>
      <c r="P26" s="148">
        <f t="shared" ref="P26:Q26" si="70">(P25-O25)/P25</f>
        <v>3.248687757128671E-2</v>
      </c>
      <c r="Q26" s="215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>
        <v>1568</v>
      </c>
      <c r="G27" s="147">
        <v>1733</v>
      </c>
      <c r="H27" s="147">
        <v>1994</v>
      </c>
      <c r="I27" s="147">
        <v>2543</v>
      </c>
      <c r="J27" s="147">
        <v>2663</v>
      </c>
      <c r="K27" s="147"/>
      <c r="L27" s="147">
        <v>5130</v>
      </c>
      <c r="M27" s="147">
        <v>3919</v>
      </c>
      <c r="N27" s="147">
        <v>5825</v>
      </c>
      <c r="O27" s="147">
        <v>6535</v>
      </c>
      <c r="P27" s="147">
        <v>6419</v>
      </c>
      <c r="Q27" s="213">
        <f>P27</f>
        <v>6419</v>
      </c>
      <c r="R27" s="118">
        <f>((Q27/G27)^(1/($H$2-$H$1) ))-1</f>
        <v>0.15660595405312061</v>
      </c>
      <c r="S27" s="31">
        <f t="shared" si="5"/>
        <v>0.08</v>
      </c>
      <c r="T27" s="154">
        <f t="shared" si="2"/>
        <v>6932.52</v>
      </c>
      <c r="U27" s="154">
        <f t="shared" si="34"/>
        <v>7487.1216000000013</v>
      </c>
      <c r="V27" s="154">
        <f t="shared" si="35"/>
        <v>8086.0913280000022</v>
      </c>
      <c r="W27" s="154">
        <f t="shared" si="36"/>
        <v>8732.9786342400039</v>
      </c>
      <c r="X27" s="154">
        <f t="shared" si="37"/>
        <v>9431.6169249792056</v>
      </c>
      <c r="Y27" s="154">
        <f t="shared" si="38"/>
        <v>10186.146278977543</v>
      </c>
      <c r="Z27" s="154">
        <f t="shared" si="39"/>
        <v>11001.037981295747</v>
      </c>
      <c r="AA27" s="154">
        <f t="shared" si="40"/>
        <v>11881.121019799408</v>
      </c>
      <c r="AB27" s="154">
        <f t="shared" si="41"/>
        <v>12831.610701383361</v>
      </c>
      <c r="AC27" s="154">
        <f t="shared" si="42"/>
        <v>13858.139557494031</v>
      </c>
      <c r="AD27" s="138">
        <f t="shared" si="17"/>
        <v>0.10954601608801573</v>
      </c>
      <c r="AE27" s="31">
        <f t="shared" si="15"/>
        <v>0.05</v>
      </c>
      <c r="AF27" s="146">
        <f t="shared" si="1"/>
        <v>85594.391384521965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9.5210617426428154E-2</v>
      </c>
      <c r="H28" s="148">
        <f t="shared" si="71"/>
        <v>0.13089267803410232</v>
      </c>
      <c r="I28" s="148">
        <f t="shared" si="71"/>
        <v>0.21588674793550924</v>
      </c>
      <c r="J28" s="148">
        <f t="shared" si="71"/>
        <v>4.5061960195268494E-2</v>
      </c>
      <c r="K28" s="148" t="e">
        <f t="shared" si="71"/>
        <v>#DIV/0!</v>
      </c>
      <c r="L28" s="148">
        <f t="shared" si="71"/>
        <v>1</v>
      </c>
      <c r="M28" s="148">
        <f t="shared" si="71"/>
        <v>-0.30900739984689973</v>
      </c>
      <c r="N28" s="148">
        <f t="shared" ref="N28" si="72">(N27-M27)/N27</f>
        <v>0.32721030042918453</v>
      </c>
      <c r="O28" s="148">
        <f t="shared" ref="O28" si="73">(O27-N27)/O27</f>
        <v>0.10864575363427698</v>
      </c>
      <c r="P28" s="148">
        <f t="shared" ref="P28:Q28" si="74">(P27-O27)/P27</f>
        <v>-1.8071350677675652E-2</v>
      </c>
      <c r="Q28" s="21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>
        <v>101</v>
      </c>
      <c r="G29" s="147">
        <v>85</v>
      </c>
      <c r="H29" s="147">
        <v>67</v>
      </c>
      <c r="I29" s="147">
        <v>79</v>
      </c>
      <c r="J29" s="147">
        <v>91</v>
      </c>
      <c r="K29" s="147"/>
      <c r="L29" s="147">
        <v>271</v>
      </c>
      <c r="M29" s="147">
        <v>211</v>
      </c>
      <c r="N29" s="147">
        <v>109</v>
      </c>
      <c r="O29" s="147">
        <v>187</v>
      </c>
      <c r="P29" s="147">
        <v>232</v>
      </c>
      <c r="Q29" s="213">
        <f>P29</f>
        <v>232</v>
      </c>
      <c r="R29" s="118">
        <f>((Q29/G29)^(1/($H$2-$H$1) ))-1</f>
        <v>0.11802655189354105</v>
      </c>
      <c r="S29" s="31">
        <f t="shared" si="5"/>
        <v>0.08</v>
      </c>
      <c r="T29" s="154">
        <f t="shared" si="2"/>
        <v>250.56</v>
      </c>
      <c r="U29" s="154">
        <f t="shared" ref="U29" si="75">T29*(1+$S29)</f>
        <v>270.60480000000001</v>
      </c>
      <c r="V29" s="154">
        <f t="shared" ref="V29" si="76">U29*(1+$S29)</f>
        <v>292.25318400000003</v>
      </c>
      <c r="W29" s="154">
        <f t="shared" ref="W29" si="77">V29*(1+$S29)</f>
        <v>315.63343872000007</v>
      </c>
      <c r="X29" s="154">
        <f t="shared" ref="X29" si="78">W29*(1+$S29)</f>
        <v>340.88411381760011</v>
      </c>
      <c r="Y29" s="154">
        <f t="shared" ref="Y29" si="79">X29*(1+$S29)</f>
        <v>368.15484292300812</v>
      </c>
      <c r="Z29" s="154">
        <f t="shared" ref="Z29" si="80">Y29*(1+$S29)</f>
        <v>397.60723035684879</v>
      </c>
      <c r="AA29" s="154">
        <f t="shared" ref="AA29" si="81">Z29*(1+$S29)</f>
        <v>429.41580878539673</v>
      </c>
      <c r="AB29" s="154">
        <f t="shared" ref="AB29" si="82">AA29*(1+$S29)</f>
        <v>463.76907348822851</v>
      </c>
      <c r="AC29" s="154">
        <f t="shared" ref="AC29" si="83">AB29*(1+$S29)</f>
        <v>500.87059936728684</v>
      </c>
      <c r="AD29" s="138">
        <f t="shared" ref="AD29" si="84">((AC29/G29)^(1/($AC$3-$H$1) ))-1</f>
        <v>9.2736200365418409E-2</v>
      </c>
      <c r="AE29" s="31">
        <f t="shared" si="15"/>
        <v>0.05</v>
      </c>
      <c r="AF29" s="146">
        <f t="shared" ref="AF29" si="85">(AC29*(1+AE29))/($C$1-AE29)</f>
        <v>3093.612525503831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-0.18823529411764706</v>
      </c>
      <c r="H30" s="148">
        <f t="shared" si="86"/>
        <v>-0.26865671641791045</v>
      </c>
      <c r="I30" s="148">
        <f t="shared" si="86"/>
        <v>0.15189873417721519</v>
      </c>
      <c r="J30" s="148">
        <f t="shared" si="86"/>
        <v>0.13186813186813187</v>
      </c>
      <c r="K30" s="148" t="e">
        <f t="shared" si="86"/>
        <v>#DIV/0!</v>
      </c>
      <c r="L30" s="148">
        <f t="shared" si="86"/>
        <v>1</v>
      </c>
      <c r="M30" s="148">
        <f t="shared" ref="M30" si="87">(M29-L29)/M29</f>
        <v>-0.28436018957345971</v>
      </c>
      <c r="N30" s="148">
        <f t="shared" ref="N30" si="88">(N29-M29)/N29</f>
        <v>-0.93577981651376152</v>
      </c>
      <c r="O30" s="148">
        <f t="shared" ref="O30" si="89">(O29-N29)/O29</f>
        <v>0.41711229946524064</v>
      </c>
      <c r="P30" s="148">
        <f t="shared" ref="P30:Q30" si="90">(P29-O29)/P29</f>
        <v>0.19396551724137931</v>
      </c>
      <c r="Q30" s="21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3"/>
      <c r="R31" s="118" t="e">
        <f>((Q31/G31)^(1/($H$2-$H$1) ))-1</f>
        <v>#DIV/0!</v>
      </c>
      <c r="S31" s="31">
        <f t="shared" si="5"/>
        <v>0.08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3"/>
      <c r="R32" s="118" t="e">
        <f>((Q32/G32)^(1/($H$2-$H$1) ))-1</f>
        <v>#DIV/0!</v>
      </c>
      <c r="S32" s="31">
        <f t="shared" si="5"/>
        <v>0.08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>
        <v>1091</v>
      </c>
      <c r="G33" s="147">
        <v>1213</v>
      </c>
      <c r="H33" s="147">
        <v>1452</v>
      </c>
      <c r="I33" s="147">
        <v>1942</v>
      </c>
      <c r="J33" s="147">
        <v>2013</v>
      </c>
      <c r="K33" s="147"/>
      <c r="L33" s="147">
        <v>3943</v>
      </c>
      <c r="M33" s="147">
        <v>2825</v>
      </c>
      <c r="N33" s="147">
        <v>4634</v>
      </c>
      <c r="O33" s="147">
        <v>5128</v>
      </c>
      <c r="P33" s="147">
        <v>4953</v>
      </c>
      <c r="Q33" s="213">
        <f>P33</f>
        <v>4953</v>
      </c>
      <c r="R33" s="118">
        <f>((Q33/G33)^(1/($H$2-$H$1) ))-1</f>
        <v>0.16920247290603241</v>
      </c>
      <c r="S33" s="31">
        <f t="shared" si="5"/>
        <v>0.08</v>
      </c>
      <c r="T33" s="154">
        <f t="shared" si="2"/>
        <v>5349.2400000000007</v>
      </c>
      <c r="U33" s="154">
        <f t="shared" si="34"/>
        <v>5777.1792000000014</v>
      </c>
      <c r="V33" s="154">
        <f t="shared" si="35"/>
        <v>6239.3535360000024</v>
      </c>
      <c r="W33" s="154">
        <f t="shared" si="36"/>
        <v>6738.5018188800032</v>
      </c>
      <c r="X33" s="154">
        <f t="shared" si="37"/>
        <v>7277.5819643904042</v>
      </c>
      <c r="Y33" s="154">
        <f t="shared" si="38"/>
        <v>7859.7885215416372</v>
      </c>
      <c r="Z33" s="154">
        <f t="shared" si="39"/>
        <v>8488.5716032649689</v>
      </c>
      <c r="AA33" s="154">
        <f t="shared" si="40"/>
        <v>9167.6573315261667</v>
      </c>
      <c r="AB33" s="154">
        <f t="shared" si="41"/>
        <v>9901.0699180482607</v>
      </c>
      <c r="AC33" s="154">
        <f t="shared" si="42"/>
        <v>10693.155511492123</v>
      </c>
      <c r="AD33" s="138">
        <f t="shared" si="17"/>
        <v>0.11496761734483307</v>
      </c>
      <c r="AE33" s="31">
        <f t="shared" si="15"/>
        <v>0.05</v>
      </c>
      <c r="AF33" s="146">
        <f t="shared" si="1"/>
        <v>66045.960512157239</v>
      </c>
    </row>
    <row r="34" spans="2:32" x14ac:dyDescent="0.2">
      <c r="B34" s="20" t="s">
        <v>308</v>
      </c>
      <c r="C34" s="141"/>
      <c r="D34" s="141"/>
      <c r="E34" s="147"/>
      <c r="F34" s="147">
        <v>126</v>
      </c>
      <c r="G34" s="147">
        <v>139</v>
      </c>
      <c r="H34" s="147">
        <v>142</v>
      </c>
      <c r="I34" s="147">
        <v>156</v>
      </c>
      <c r="J34" s="147">
        <v>177</v>
      </c>
      <c r="K34" s="147"/>
      <c r="L34" s="147">
        <v>382</v>
      </c>
      <c r="M34" s="147">
        <v>432</v>
      </c>
      <c r="N34" s="147">
        <v>474</v>
      </c>
      <c r="O34" s="147">
        <v>502</v>
      </c>
      <c r="P34" s="147">
        <v>590</v>
      </c>
      <c r="Q34" s="213">
        <f>P34</f>
        <v>590</v>
      </c>
      <c r="R34" s="118">
        <f>((Q34/G34)^(1/($H$2-$H$1) ))-1</f>
        <v>0.17424762416121431</v>
      </c>
      <c r="S34" s="31">
        <f t="shared" si="5"/>
        <v>0.08</v>
      </c>
      <c r="T34" s="154">
        <f t="shared" si="2"/>
        <v>637.20000000000005</v>
      </c>
      <c r="U34" s="154">
        <f t="shared" si="34"/>
        <v>688.17600000000004</v>
      </c>
      <c r="V34" s="154">
        <f t="shared" si="35"/>
        <v>743.23008000000004</v>
      </c>
      <c r="W34" s="154">
        <f t="shared" si="36"/>
        <v>802.6884864000001</v>
      </c>
      <c r="X34" s="154">
        <f t="shared" si="37"/>
        <v>866.90356531200018</v>
      </c>
      <c r="Y34" s="154">
        <f t="shared" si="38"/>
        <v>936.25585053696022</v>
      </c>
      <c r="Z34" s="154">
        <f t="shared" si="39"/>
        <v>1011.1563185799171</v>
      </c>
      <c r="AA34" s="154">
        <f t="shared" si="40"/>
        <v>1092.0488240663105</v>
      </c>
      <c r="AB34" s="154">
        <f t="shared" si="41"/>
        <v>1179.4127299916154</v>
      </c>
      <c r="AC34" s="154">
        <f t="shared" si="42"/>
        <v>1273.7657483909447</v>
      </c>
      <c r="AD34" s="138">
        <f t="shared" si="17"/>
        <v>0.11713006062915654</v>
      </c>
      <c r="AE34" s="31">
        <f t="shared" si="15"/>
        <v>0.05</v>
      </c>
      <c r="AF34" s="146">
        <f t="shared" si="1"/>
        <v>7867.3766812381891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>
        <v>194</v>
      </c>
      <c r="G36" s="147">
        <v>125</v>
      </c>
      <c r="H36" s="147">
        <v>113</v>
      </c>
      <c r="I36" s="147">
        <v>157</v>
      </c>
      <c r="J36" s="147">
        <v>259</v>
      </c>
      <c r="K36" s="147"/>
      <c r="L36" s="147">
        <v>358</v>
      </c>
      <c r="M36" s="147">
        <v>599</v>
      </c>
      <c r="N36" s="147">
        <v>284</v>
      </c>
      <c r="O36" s="147">
        <v>329</v>
      </c>
      <c r="P36" s="147">
        <v>618</v>
      </c>
      <c r="Q36" s="213">
        <f>P36</f>
        <v>618</v>
      </c>
      <c r="R36" s="118">
        <f>((Q36/G36)^(1/($H$2-$H$1) ))-1</f>
        <v>0.19431759122972525</v>
      </c>
      <c r="S36" s="31">
        <f t="shared" si="5"/>
        <v>0.08</v>
      </c>
      <c r="T36" s="154">
        <f t="shared" si="2"/>
        <v>667.44</v>
      </c>
      <c r="U36" s="154">
        <f t="shared" ref="U36" si="94">T36*(1+$S36)</f>
        <v>720.8352000000001</v>
      </c>
      <c r="V36" s="154">
        <f t="shared" ref="V36" si="95">U36*(1+$S36)</f>
        <v>778.50201600000014</v>
      </c>
      <c r="W36" s="154">
        <f t="shared" ref="W36" si="96">V36*(1+$S36)</f>
        <v>840.78217728000016</v>
      </c>
      <c r="X36" s="154">
        <f t="shared" si="37"/>
        <v>908.0447514624002</v>
      </c>
      <c r="Y36" s="154">
        <f t="shared" si="38"/>
        <v>980.6883315793923</v>
      </c>
      <c r="Z36" s="154">
        <f t="shared" si="39"/>
        <v>1059.1433981057437</v>
      </c>
      <c r="AA36" s="154">
        <f t="shared" si="40"/>
        <v>1143.8748699542032</v>
      </c>
      <c r="AB36" s="154">
        <f t="shared" si="41"/>
        <v>1235.3848595505394</v>
      </c>
      <c r="AC36" s="154">
        <f t="shared" si="42"/>
        <v>1334.2156483145827</v>
      </c>
      <c r="AD36" s="138">
        <f t="shared" si="17"/>
        <v>0.12568220529704988</v>
      </c>
      <c r="AE36" s="31">
        <f t="shared" si="15"/>
        <v>0.05</v>
      </c>
      <c r="AF36" s="146">
        <f t="shared" si="1"/>
        <v>8240.7437101783071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-0.55200000000000005</v>
      </c>
      <c r="H37" s="148">
        <f t="shared" ref="H37" si="98">(H36-G36)/H36</f>
        <v>-0.10619469026548672</v>
      </c>
      <c r="I37" s="148">
        <f t="shared" ref="I37" si="99">(I36-H36)/I36</f>
        <v>0.28025477707006369</v>
      </c>
      <c r="J37" s="148">
        <f t="shared" ref="J37" si="100">(J36-I36)/J36</f>
        <v>0.39382239382239381</v>
      </c>
      <c r="K37" s="148" t="e">
        <f t="shared" ref="K37" si="101">(K36-J36)/K36</f>
        <v>#DIV/0!</v>
      </c>
      <c r="L37" s="148">
        <f t="shared" ref="L37" si="102">(L36-K36)/L36</f>
        <v>1</v>
      </c>
      <c r="M37" s="148">
        <f t="shared" ref="M37" si="103">(M36-L36)/M36</f>
        <v>0.40233722871452421</v>
      </c>
      <c r="N37" s="148">
        <f t="shared" ref="N37" si="104">(N36-M36)/N36</f>
        <v>-1.1091549295774648</v>
      </c>
      <c r="O37" s="148">
        <f t="shared" ref="O37" si="105">(O36-N36)/O36</f>
        <v>0.13677811550151975</v>
      </c>
      <c r="P37" s="148">
        <f t="shared" ref="P37:Q37" si="106">(P36-O36)/P36</f>
        <v>0.46763754045307443</v>
      </c>
      <c r="Q37" s="21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>
        <v>11</v>
      </c>
      <c r="G38" s="147">
        <v>-11</v>
      </c>
      <c r="H38" s="147">
        <v>3</v>
      </c>
      <c r="I38" s="147">
        <v>22</v>
      </c>
      <c r="J38" s="147">
        <v>101</v>
      </c>
      <c r="K38" s="147"/>
      <c r="L38" s="147">
        <v>-75</v>
      </c>
      <c r="M38" s="147">
        <v>313</v>
      </c>
      <c r="N38" s="147">
        <v>112</v>
      </c>
      <c r="O38" s="147">
        <v>-23</v>
      </c>
      <c r="P38" s="147">
        <v>265</v>
      </c>
      <c r="Q38" s="213">
        <f>P38</f>
        <v>265</v>
      </c>
      <c r="R38" s="118">
        <f>((Q38/G38)^(1/($H$2-$H$1) ))-1</f>
        <v>-2.4240959232820209</v>
      </c>
      <c r="S38" s="31">
        <f t="shared" si="5"/>
        <v>0.08</v>
      </c>
      <c r="T38" s="154">
        <f t="shared" si="2"/>
        <v>286.20000000000005</v>
      </c>
      <c r="U38" s="154">
        <f t="shared" ref="U38" si="107">T38*(1+$S38)</f>
        <v>309.09600000000006</v>
      </c>
      <c r="V38" s="154">
        <f t="shared" ref="V38" si="108">U38*(1+$S38)</f>
        <v>333.82368000000008</v>
      </c>
      <c r="W38" s="154">
        <f t="shared" ref="W38" si="109">V38*(1+$S38)</f>
        <v>360.52957440000012</v>
      </c>
      <c r="X38" s="154">
        <f t="shared" ref="X38" si="110">W38*(1+$S38)</f>
        <v>389.37194035200014</v>
      </c>
      <c r="Y38" s="154">
        <f t="shared" ref="Y38" si="111">X38*(1+$S38)</f>
        <v>420.52169558016016</v>
      </c>
      <c r="Z38" s="154">
        <f t="shared" ref="Z38" si="112">Y38*(1+$S38)</f>
        <v>454.16343122657298</v>
      </c>
      <c r="AA38" s="154">
        <f t="shared" ref="AA38" si="113">Z38*(1+$S38)</f>
        <v>490.49650572469886</v>
      </c>
      <c r="AB38" s="154">
        <f t="shared" ref="AB38" si="114">AA38*(1+$S38)</f>
        <v>529.73622618267484</v>
      </c>
      <c r="AC38" s="154">
        <f t="shared" ref="AC38" si="115">AB38*(1+$S38)</f>
        <v>572.11512427728883</v>
      </c>
      <c r="AD38" s="138" t="e">
        <f t="shared" ref="AD38" si="116">((AC38/G38)^(1/($AC$3-$H$1) ))-1</f>
        <v>#NUM!</v>
      </c>
      <c r="AE38" s="31">
        <f t="shared" si="15"/>
        <v>0.05</v>
      </c>
      <c r="AF38" s="146">
        <f t="shared" ref="AF38" si="117">(AC38*(1+AE38))/($C$1-AE38)</f>
        <v>3533.6522381832547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2</v>
      </c>
      <c r="H39" s="148">
        <f t="shared" ref="H39" si="119">(H38-G38)/H38</f>
        <v>4.666666666666667</v>
      </c>
      <c r="I39" s="148">
        <f t="shared" ref="I39" si="120">(I38-H38)/I38</f>
        <v>0.86363636363636365</v>
      </c>
      <c r="J39" s="148">
        <f t="shared" ref="J39" si="121">(J38-I38)/J38</f>
        <v>0.78217821782178221</v>
      </c>
      <c r="K39" s="148" t="e">
        <f t="shared" ref="K39" si="122">(K38-J38)/K38</f>
        <v>#DIV/0!</v>
      </c>
      <c r="L39" s="148">
        <f t="shared" ref="L39" si="123">(L38-K38)/L38</f>
        <v>1</v>
      </c>
      <c r="M39" s="148">
        <f t="shared" ref="M39" si="124">(M38-L38)/M38</f>
        <v>1.2396166134185302</v>
      </c>
      <c r="N39" s="148">
        <f t="shared" ref="N39" si="125">(N38-M38)/N38</f>
        <v>-1.7946428571428572</v>
      </c>
      <c r="O39" s="148">
        <f t="shared" ref="O39" si="126">(O38-N38)/O38</f>
        <v>5.8695652173913047</v>
      </c>
      <c r="P39" s="148">
        <f t="shared" ref="P39:Q39" si="127">(P38-O38)/P38</f>
        <v>1.0867924528301887</v>
      </c>
      <c r="Q39" s="21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>
        <v>22</v>
      </c>
      <c r="G40" s="147">
        <v>12</v>
      </c>
      <c r="H40" s="147">
        <v>17</v>
      </c>
      <c r="I40" s="147">
        <v>14</v>
      </c>
      <c r="J40" s="147">
        <v>64</v>
      </c>
      <c r="K40" s="147"/>
      <c r="L40" s="147">
        <v>-112</v>
      </c>
      <c r="M40" s="147">
        <v>219</v>
      </c>
      <c r="N40" s="147">
        <v>62</v>
      </c>
      <c r="O40" s="147">
        <v>-38</v>
      </c>
      <c r="P40" s="147">
        <v>197</v>
      </c>
      <c r="Q40" s="213">
        <f>P40</f>
        <v>197</v>
      </c>
      <c r="R40" s="118">
        <f>((Q40/G40)^(1/($H$2-$H$1) ))-1</f>
        <v>0.36468263211837648</v>
      </c>
      <c r="S40" s="31">
        <f t="shared" si="5"/>
        <v>0.08</v>
      </c>
      <c r="T40" s="154">
        <f t="shared" si="2"/>
        <v>212.76000000000002</v>
      </c>
      <c r="U40" s="154">
        <f t="shared" ref="U40:AC40" si="128">T40*(1+$S40)</f>
        <v>229.78080000000003</v>
      </c>
      <c r="V40" s="154">
        <f t="shared" si="128"/>
        <v>248.16326400000005</v>
      </c>
      <c r="W40" s="154">
        <f t="shared" si="128"/>
        <v>268.01632512000009</v>
      </c>
      <c r="X40" s="154">
        <f t="shared" si="128"/>
        <v>289.45763112960009</v>
      </c>
      <c r="Y40" s="154">
        <f t="shared" si="128"/>
        <v>312.61424161996814</v>
      </c>
      <c r="Z40" s="154">
        <f t="shared" si="128"/>
        <v>337.62338094956561</v>
      </c>
      <c r="AA40" s="154">
        <f t="shared" si="128"/>
        <v>364.63325142553089</v>
      </c>
      <c r="AB40" s="154">
        <f t="shared" si="128"/>
        <v>393.80391153957339</v>
      </c>
      <c r="AC40" s="154">
        <f t="shared" si="128"/>
        <v>425.3082244627393</v>
      </c>
      <c r="AD40" s="138">
        <f t="shared" si="17"/>
        <v>0.19529781811782509</v>
      </c>
      <c r="AE40" s="31">
        <f t="shared" si="15"/>
        <v>0.05</v>
      </c>
      <c r="AF40" s="146">
        <f t="shared" si="1"/>
        <v>2626.9037393286844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-0.83333333333333337</v>
      </c>
      <c r="H41" s="148">
        <f t="shared" ref="H41:Q41" si="129">(H40-G40)/H40</f>
        <v>0.29411764705882354</v>
      </c>
      <c r="I41" s="148">
        <f t="shared" si="129"/>
        <v>-0.21428571428571427</v>
      </c>
      <c r="J41" s="148">
        <f t="shared" si="129"/>
        <v>0.78125</v>
      </c>
      <c r="K41" s="148" t="e">
        <f t="shared" si="129"/>
        <v>#DIV/0!</v>
      </c>
      <c r="L41" s="148">
        <f t="shared" si="129"/>
        <v>1</v>
      </c>
      <c r="M41" s="148">
        <f t="shared" si="129"/>
        <v>1.5114155251141552</v>
      </c>
      <c r="N41" s="148">
        <f t="shared" si="129"/>
        <v>-2.532258064516129</v>
      </c>
      <c r="O41" s="148">
        <f t="shared" si="129"/>
        <v>2.6315789473684212</v>
      </c>
      <c r="P41" s="148">
        <f t="shared" si="129"/>
        <v>1.1928934010152283</v>
      </c>
      <c r="Q41" s="21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3.74</v>
      </c>
      <c r="G42" s="145">
        <v>3.74</v>
      </c>
      <c r="H42" s="145">
        <v>3.74</v>
      </c>
      <c r="I42" s="145">
        <v>3.07</v>
      </c>
      <c r="J42" s="145">
        <v>3.07</v>
      </c>
      <c r="K42" s="145"/>
      <c r="L42" s="145">
        <v>4.0999999999999996</v>
      </c>
      <c r="M42" s="145">
        <v>4.0999999999999996</v>
      </c>
      <c r="N42" s="145">
        <v>4.0999999999999996</v>
      </c>
      <c r="O42" s="145">
        <v>4.0999999999999996</v>
      </c>
      <c r="P42" s="145">
        <v>4.0999999999999996</v>
      </c>
      <c r="Q42" s="216">
        <f>P42</f>
        <v>4.0999999999999996</v>
      </c>
      <c r="R42" s="118">
        <f>((Q42/G42)^(1/($H$2-$H$1) ))-1</f>
        <v>1.0263575325113461E-2</v>
      </c>
      <c r="S42" s="31">
        <v>0.01</v>
      </c>
      <c r="T42" s="154">
        <f t="shared" si="2"/>
        <v>4.141</v>
      </c>
      <c r="U42" s="154">
        <f t="shared" ref="U42:AC42" si="130">T42*(1+$S42)</f>
        <v>4.18241</v>
      </c>
      <c r="V42" s="154">
        <f t="shared" si="130"/>
        <v>4.2242341000000003</v>
      </c>
      <c r="W42" s="154">
        <f t="shared" si="130"/>
        <v>4.266476441</v>
      </c>
      <c r="X42" s="154">
        <f t="shared" si="130"/>
        <v>4.3091412054100005</v>
      </c>
      <c r="Y42" s="154">
        <f t="shared" si="130"/>
        <v>4.3522326174641002</v>
      </c>
      <c r="Z42" s="154">
        <f t="shared" si="130"/>
        <v>4.3957549436387415</v>
      </c>
      <c r="AA42" s="154">
        <f t="shared" si="130"/>
        <v>4.4397124930751293</v>
      </c>
      <c r="AB42" s="154">
        <f t="shared" si="130"/>
        <v>4.4841096180058804</v>
      </c>
      <c r="AC42" s="154">
        <f t="shared" si="130"/>
        <v>4.5289507141859389</v>
      </c>
      <c r="AD42" s="138">
        <f t="shared" si="17"/>
        <v>9.6161746645933022E-3</v>
      </c>
      <c r="AE42" s="31">
        <f t="shared" si="15"/>
        <v>0.05</v>
      </c>
      <c r="AF42" s="146">
        <f t="shared" si="1"/>
        <v>27.972930881736684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</v>
      </c>
      <c r="H43" s="148">
        <f t="shared" ref="H43" si="131">(H42-G42)/H42</f>
        <v>0</v>
      </c>
      <c r="I43" s="148">
        <f t="shared" ref="I43" si="132">(I42-H42)/I42</f>
        <v>-0.218241042345277</v>
      </c>
      <c r="J43" s="148">
        <f t="shared" ref="J43" si="133">(J42-I42)/J42</f>
        <v>0</v>
      </c>
      <c r="K43" s="148" t="e">
        <f t="shared" ref="K43" si="134">(K42-J42)/K42</f>
        <v>#DIV/0!</v>
      </c>
      <c r="L43" s="148">
        <f t="shared" ref="L43" si="135">(L42-K42)/L42</f>
        <v>1</v>
      </c>
      <c r="M43" s="148">
        <f t="shared" ref="M43" si="136">(M42-L42)/M42</f>
        <v>0</v>
      </c>
      <c r="N43" s="148">
        <f t="shared" ref="N43" si="137">(N42-M42)/N42</f>
        <v>0</v>
      </c>
      <c r="O43" s="148">
        <f t="shared" ref="O43" si="138">(O42-N42)/O42</f>
        <v>0</v>
      </c>
      <c r="P43" s="148">
        <f t="shared" ref="P43:Q43" si="139">(P42-O42)/P42</f>
        <v>0</v>
      </c>
      <c r="Q43" s="21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>
        <v>2</v>
      </c>
      <c r="G44" s="145">
        <v>2</v>
      </c>
      <c r="H44" s="145">
        <v>3</v>
      </c>
      <c r="I44" s="145">
        <v>2.5</v>
      </c>
      <c r="J44" s="145">
        <v>2.7</v>
      </c>
      <c r="K44" s="145">
        <v>0</v>
      </c>
      <c r="L44" s="145">
        <v>2.7</v>
      </c>
      <c r="M44" s="145">
        <v>3.5</v>
      </c>
      <c r="N44" s="145">
        <v>3</v>
      </c>
      <c r="O44" s="145">
        <v>2.5</v>
      </c>
      <c r="P44" s="145">
        <v>3.5</v>
      </c>
      <c r="Q44" s="216">
        <f>P44</f>
        <v>3.5</v>
      </c>
      <c r="R44" s="118">
        <f>((Q44/G44)^(1/($H$2-$H$1) ))-1</f>
        <v>6.4153377155776292E-2</v>
      </c>
      <c r="S44" s="31">
        <f>P1</f>
        <v>0.05</v>
      </c>
      <c r="T44" s="154">
        <f t="shared" si="2"/>
        <v>3.6750000000000003</v>
      </c>
      <c r="U44" s="154">
        <f t="shared" ref="U44" si="140">T44*(1+$S44)</f>
        <v>3.8587500000000006</v>
      </c>
      <c r="V44" s="154">
        <f t="shared" ref="V44" si="141">U44*(1+$S44)</f>
        <v>4.0516875000000008</v>
      </c>
      <c r="W44" s="154">
        <f t="shared" ref="W44" si="142">V44*(1+$S44)</f>
        <v>4.2542718750000006</v>
      </c>
      <c r="X44" s="154">
        <f t="shared" ref="X44" si="143">W44*(1+$S44)</f>
        <v>4.4669854687500008</v>
      </c>
      <c r="Y44" s="154">
        <f t="shared" ref="Y44" si="144">X44*(1+$S44)</f>
        <v>4.6903347421875008</v>
      </c>
      <c r="Z44" s="154">
        <f t="shared" ref="Z44" si="145">Y44*(1+$S44)</f>
        <v>4.9248514792968763</v>
      </c>
      <c r="AA44" s="154">
        <f t="shared" ref="AA44" si="146">Z44*(1+$S44)</f>
        <v>5.1710940532617204</v>
      </c>
      <c r="AB44" s="154">
        <f t="shared" ref="AB44" si="147">AA44*(1+$S44)</f>
        <v>5.4296487559248066</v>
      </c>
      <c r="AC44" s="154">
        <f t="shared" ref="AC44" si="148">AB44*(1+$S44)</f>
        <v>5.7011311937210474</v>
      </c>
      <c r="AD44" s="138">
        <f t="shared" ref="AD44" si="149">((AC44/G44)^(1/($AC$3-$H$1) ))-1</f>
        <v>5.3771750833720544E-2</v>
      </c>
      <c r="AE44" s="31">
        <f t="shared" si="15"/>
        <v>0.05</v>
      </c>
      <c r="AF44" s="146">
        <f t="shared" si="1"/>
        <v>35.212869137688827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 t="s">
        <v>456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7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473.52941176470586</v>
      </c>
      <c r="G50" s="133">
        <f t="shared" si="150"/>
        <v>501.06951871657753</v>
      </c>
      <c r="H50" s="133">
        <f t="shared" si="150"/>
        <v>570.3208556149732</v>
      </c>
      <c r="I50" s="133">
        <f t="shared" si="150"/>
        <v>885.99348534201954</v>
      </c>
      <c r="J50" s="133">
        <f t="shared" si="150"/>
        <v>955.70032573289905</v>
      </c>
      <c r="K50" s="133" t="e">
        <f t="shared" si="150"/>
        <v>#DIV/0!</v>
      </c>
      <c r="L50" s="133">
        <f t="shared" si="150"/>
        <v>1330.0000000000002</v>
      </c>
      <c r="M50" s="133">
        <f t="shared" si="150"/>
        <v>1109.2682926829268</v>
      </c>
      <c r="N50" s="133">
        <f t="shared" si="150"/>
        <v>1501.4634146341464</v>
      </c>
      <c r="O50" s="133">
        <f t="shared" si="150"/>
        <v>1663.4146341463415</v>
      </c>
      <c r="P50" s="133">
        <f t="shared" si="150"/>
        <v>1719.268292682927</v>
      </c>
      <c r="Q50" s="133">
        <f t="shared" ref="Q50" si="151">Q25/Q42</f>
        <v>1719.268292682927</v>
      </c>
      <c r="R50" s="118">
        <f>((P50/G50)^(1/($H$2-$H$1) ))-1</f>
        <v>0.14681658048392077</v>
      </c>
      <c r="S50" s="128"/>
      <c r="T50" s="158">
        <f t="shared" ref="T50:AC50" si="152">T25/T42</f>
        <v>1838.4255010866941</v>
      </c>
      <c r="U50" s="158">
        <f t="shared" si="152"/>
        <v>1965.8411298748808</v>
      </c>
      <c r="V50" s="158">
        <f t="shared" si="152"/>
        <v>2102.0875448167044</v>
      </c>
      <c r="W50" s="158">
        <f t="shared" si="152"/>
        <v>2247.7767805960802</v>
      </c>
      <c r="X50" s="158">
        <f t="shared" si="152"/>
        <v>2403.5632901423432</v>
      </c>
      <c r="Y50" s="158">
        <f t="shared" si="152"/>
        <v>2570.1468845086442</v>
      </c>
      <c r="Z50" s="158">
        <f t="shared" si="152"/>
        <v>2748.2758765042931</v>
      </c>
      <c r="AA50" s="158">
        <f t="shared" si="152"/>
        <v>2938.7504422026104</v>
      </c>
      <c r="AB50" s="158">
        <f t="shared" si="152"/>
        <v>3142.4262154245739</v>
      </c>
      <c r="AC50" s="158">
        <f t="shared" si="152"/>
        <v>3360.2181313450892</v>
      </c>
      <c r="AD50" s="138">
        <f t="shared" ref="AD50" si="153">((AC50/G50)^(1/($AC$3-$H$1) ))-1</f>
        <v>9.9824713756427874E-2</v>
      </c>
      <c r="AE50" s="31">
        <f t="shared" si="15"/>
        <v>0.05</v>
      </c>
      <c r="AF50" s="146">
        <f t="shared" ref="AF50:AF51" si="154">(AC50*(1+AE50))/($C$1-AE50)</f>
        <v>20754.288458307907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419.25133689839572</v>
      </c>
      <c r="G51" s="133">
        <f t="shared" si="155"/>
        <v>463.3689839572192</v>
      </c>
      <c r="H51" s="133">
        <f t="shared" si="155"/>
        <v>533.15508021390372</v>
      </c>
      <c r="I51" s="133">
        <f t="shared" si="155"/>
        <v>828.33876221498372</v>
      </c>
      <c r="J51" s="133">
        <f t="shared" si="155"/>
        <v>867.42671009771993</v>
      </c>
      <c r="K51" s="133" t="e">
        <f t="shared" si="155"/>
        <v>#DIV/0!</v>
      </c>
      <c r="L51" s="133">
        <f t="shared" si="155"/>
        <v>1251.219512195122</v>
      </c>
      <c r="M51" s="133">
        <f t="shared" si="155"/>
        <v>955.8536585365855</v>
      </c>
      <c r="N51" s="133">
        <f t="shared" si="155"/>
        <v>1420.7317073170732</v>
      </c>
      <c r="O51" s="133">
        <f t="shared" si="155"/>
        <v>1593.9024390243903</v>
      </c>
      <c r="P51" s="133">
        <f t="shared" si="155"/>
        <v>1565.6097560975611</v>
      </c>
      <c r="Q51" s="133">
        <f t="shared" ref="Q51" si="156">Q27/Q42</f>
        <v>1565.6097560975611</v>
      </c>
      <c r="R51" s="118">
        <f>((P51/G51)^(1/($H$2-$H$1) ))-1</f>
        <v>0.14485564193573208</v>
      </c>
      <c r="S51" s="128"/>
      <c r="T51" s="158">
        <f t="shared" ref="T51:AC51" si="157">T27/T42</f>
        <v>1674.1173629558079</v>
      </c>
      <c r="U51" s="158">
        <f t="shared" si="157"/>
        <v>1790.1452990022503</v>
      </c>
      <c r="V51" s="158">
        <f t="shared" si="157"/>
        <v>1914.214775170723</v>
      </c>
      <c r="W51" s="158">
        <f t="shared" si="157"/>
        <v>2046.8831259251301</v>
      </c>
      <c r="X51" s="158">
        <f t="shared" si="157"/>
        <v>2188.7463128704362</v>
      </c>
      <c r="Y51" s="158">
        <f t="shared" si="157"/>
        <v>2340.441601881259</v>
      </c>
      <c r="Z51" s="158">
        <f t="shared" si="157"/>
        <v>2502.6504257740194</v>
      </c>
      <c r="AA51" s="158">
        <f t="shared" si="157"/>
        <v>2676.1014453821199</v>
      </c>
      <c r="AB51" s="158">
        <f t="shared" si="157"/>
        <v>2861.573822784841</v>
      </c>
      <c r="AC51" s="158">
        <f t="shared" si="157"/>
        <v>3059.900721393692</v>
      </c>
      <c r="AD51" s="138">
        <f t="shared" ref="AD51" si="158">((AC51/G51)^(1/($AC$3-$H$1) ))-1</f>
        <v>9.8978051195168559E-2</v>
      </c>
      <c r="AE51" s="31">
        <f t="shared" si="15"/>
        <v>0.05</v>
      </c>
      <c r="AF51" s="146">
        <f t="shared" si="154"/>
        <v>18899.386808608102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-23</v>
      </c>
      <c r="H52" s="133">
        <f t="shared" ref="H52:P52" si="159">H38-H40</f>
        <v>-14</v>
      </c>
      <c r="I52" s="133">
        <f t="shared" si="159"/>
        <v>8</v>
      </c>
      <c r="J52" s="133">
        <f t="shared" si="159"/>
        <v>37</v>
      </c>
      <c r="K52" s="133">
        <f t="shared" si="159"/>
        <v>0</v>
      </c>
      <c r="L52" s="133">
        <f t="shared" si="159"/>
        <v>37</v>
      </c>
      <c r="M52" s="133">
        <f t="shared" si="159"/>
        <v>94</v>
      </c>
      <c r="N52" s="133">
        <f t="shared" si="159"/>
        <v>50</v>
      </c>
      <c r="O52" s="133">
        <f t="shared" si="159"/>
        <v>15</v>
      </c>
      <c r="P52" s="133">
        <f t="shared" si="159"/>
        <v>68</v>
      </c>
      <c r="Q52" s="133">
        <f t="shared" ref="Q52" si="160">Q38-Q40</f>
        <v>68</v>
      </c>
      <c r="R52" s="118">
        <f>((P52/G52)^(1/($H$2-$H$1) ))-1</f>
        <v>-2.1279997633160654</v>
      </c>
      <c r="S52" s="128"/>
      <c r="T52" s="133">
        <f t="shared" ref="T52:AC52" si="161">T38-T40</f>
        <v>73.440000000000026</v>
      </c>
      <c r="U52" s="133">
        <f t="shared" si="161"/>
        <v>79.315200000000033</v>
      </c>
      <c r="V52" s="133">
        <f t="shared" si="161"/>
        <v>85.660416000000026</v>
      </c>
      <c r="W52" s="133">
        <f t="shared" si="161"/>
        <v>92.513249280000025</v>
      </c>
      <c r="X52" s="133">
        <f t="shared" si="161"/>
        <v>99.91430922240005</v>
      </c>
      <c r="Y52" s="133">
        <f t="shared" si="161"/>
        <v>107.90745396019202</v>
      </c>
      <c r="Z52" s="133">
        <f t="shared" si="161"/>
        <v>116.54005027700737</v>
      </c>
      <c r="AA52" s="133">
        <f t="shared" si="161"/>
        <v>125.86325429916798</v>
      </c>
      <c r="AB52" s="133">
        <f t="shared" si="161"/>
        <v>135.93231464310145</v>
      </c>
      <c r="AC52" s="133">
        <f t="shared" si="161"/>
        <v>146.80689981454952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906.7484988545707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5.8823529411764701</v>
      </c>
      <c r="G54" s="133">
        <f t="shared" si="164"/>
        <v>3.2085561497326203</v>
      </c>
      <c r="H54" s="133">
        <f t="shared" si="164"/>
        <v>4.545454545454545</v>
      </c>
      <c r="I54" s="133">
        <f t="shared" si="164"/>
        <v>4.5602605863192185</v>
      </c>
      <c r="J54" s="133">
        <f t="shared" si="164"/>
        <v>20.846905537459286</v>
      </c>
      <c r="K54" s="133" t="e">
        <f t="shared" si="164"/>
        <v>#DIV/0!</v>
      </c>
      <c r="L54" s="133">
        <f t="shared" si="164"/>
        <v>-27.31707317073171</v>
      </c>
      <c r="M54" s="133">
        <f t="shared" si="164"/>
        <v>53.41463414634147</v>
      </c>
      <c r="N54" s="133">
        <f t="shared" si="164"/>
        <v>15.121951219512196</v>
      </c>
      <c r="O54" s="133">
        <f t="shared" si="164"/>
        <v>-9.2682926829268304</v>
      </c>
      <c r="P54" s="133">
        <f t="shared" si="164"/>
        <v>48.048780487804883</v>
      </c>
      <c r="Q54" s="133">
        <f t="shared" ref="Q54" si="165">Q40/Q42</f>
        <v>48.048780487804883</v>
      </c>
      <c r="R54" s="118">
        <f>((P54/G54)^(1/($H$2-$H$1) ))-1</f>
        <v>0.35081840566132194</v>
      </c>
      <c r="S54" s="128"/>
      <c r="T54" s="158">
        <f t="shared" ref="T54:AC54" si="166">T40/T42</f>
        <v>51.378893986959675</v>
      </c>
      <c r="U54" s="158">
        <f t="shared" si="166"/>
        <v>54.93980743160045</v>
      </c>
      <c r="V54" s="158">
        <f t="shared" si="166"/>
        <v>58.747516857552952</v>
      </c>
      <c r="W54" s="158">
        <f t="shared" si="166"/>
        <v>62.81912693678931</v>
      </c>
      <c r="X54" s="158">
        <f t="shared" si="166"/>
        <v>67.172927813596488</v>
      </c>
      <c r="Y54" s="158">
        <f t="shared" si="166"/>
        <v>71.828477266023981</v>
      </c>
      <c r="Z54" s="158">
        <f t="shared" si="166"/>
        <v>76.806688561689</v>
      </c>
      <c r="AA54" s="158">
        <f t="shared" si="166"/>
        <v>82.129924402598135</v>
      </c>
      <c r="AB54" s="158">
        <f t="shared" si="166"/>
        <v>87.822097380996041</v>
      </c>
      <c r="AC54" s="158">
        <f t="shared" si="166"/>
        <v>93.908777397500728</v>
      </c>
      <c r="AD54" s="138">
        <f t="shared" ref="AD54:AD68" si="167">((AC54/G54)^(1/($AC$3-$H$1) ))-1</f>
        <v>0.1839131029323271</v>
      </c>
      <c r="AE54" s="31">
        <f t="shared" si="15"/>
        <v>0.05</v>
      </c>
      <c r="AF54" s="146">
        <f t="shared" ref="AF54:AF82" si="168">(AC54*(1+AE54))/($C$1-AE54)</f>
        <v>580.02480157279865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37.165775401069517</v>
      </c>
      <c r="G55" s="133">
        <f>G20/G42</f>
        <v>57.219251336898395</v>
      </c>
      <c r="H55" s="133">
        <f t="shared" ref="H55:P55" si="170">H20/H42</f>
        <v>22.99465240641711</v>
      </c>
      <c r="I55" s="133">
        <f t="shared" si="170"/>
        <v>14.65798045602606</v>
      </c>
      <c r="J55" s="133">
        <f t="shared" si="170"/>
        <v>63.517915309446259</v>
      </c>
      <c r="K55" s="133" t="e">
        <f t="shared" si="170"/>
        <v>#DIV/0!</v>
      </c>
      <c r="L55" s="133">
        <f t="shared" si="170"/>
        <v>64.878048780487816</v>
      </c>
      <c r="M55" s="133">
        <f t="shared" si="170"/>
        <v>132.6829268292683</v>
      </c>
      <c r="N55" s="133">
        <f t="shared" si="170"/>
        <v>-5.1219512195121952</v>
      </c>
      <c r="O55" s="133">
        <f t="shared" si="170"/>
        <v>84.390243902439025</v>
      </c>
      <c r="P55" s="133">
        <f t="shared" si="170"/>
        <v>-24.634146341463417</v>
      </c>
      <c r="Q55" s="133">
        <f t="shared" ref="Q55" si="171">Q20/Q42</f>
        <v>-24.634146341463417</v>
      </c>
      <c r="R55" s="118">
        <f>((P55/G55)^(1/($H$2-$H$1) ))-1</f>
        <v>-1.9106108406835358</v>
      </c>
      <c r="S55" s="128"/>
      <c r="T55" s="133">
        <f t="shared" ref="T55:AC55" si="172">T20/T42</f>
        <v>-26.341463414634148</v>
      </c>
      <c r="U55" s="133">
        <f t="shared" si="172"/>
        <v>-28.167109393866223</v>
      </c>
      <c r="V55" s="133">
        <f t="shared" si="172"/>
        <v>-30.119285292451007</v>
      </c>
      <c r="W55" s="133">
        <f t="shared" si="172"/>
        <v>-32.206760510739699</v>
      </c>
      <c r="X55" s="133">
        <f t="shared" si="172"/>
        <v>-34.438912229305814</v>
      </c>
      <c r="Y55" s="133">
        <f t="shared" si="172"/>
        <v>-36.825767532327006</v>
      </c>
      <c r="Z55" s="133">
        <f t="shared" si="172"/>
        <v>-39.378048450409075</v>
      </c>
      <c r="AA55" s="133">
        <f t="shared" si="172"/>
        <v>-42.107220125189905</v>
      </c>
      <c r="AB55" s="133">
        <f t="shared" si="172"/>
        <v>-45.025542312084255</v>
      </c>
      <c r="AC55" s="133">
        <f t="shared" si="172"/>
        <v>-48.146124452525754</v>
      </c>
      <c r="AD55" s="138" t="e">
        <f t="shared" ref="AD55" si="173">((AC55/G55)^(1/($AC$3-$H$1) ))-1</f>
        <v>#NUM!</v>
      </c>
      <c r="AE55" s="31">
        <f t="shared" si="15"/>
        <v>0.05</v>
      </c>
      <c r="AF55" s="146">
        <f t="shared" si="168"/>
        <v>-297.37312161854146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238.77005347593581</v>
      </c>
      <c r="G56" s="133">
        <f t="shared" si="174"/>
        <v>228.87700534759358</v>
      </c>
      <c r="H56" s="133">
        <f t="shared" si="174"/>
        <v>209.09090909090907</v>
      </c>
      <c r="I56" s="133">
        <f t="shared" si="174"/>
        <v>195.114006514658</v>
      </c>
      <c r="J56" s="133">
        <f t="shared" si="174"/>
        <v>177.19869706840393</v>
      </c>
      <c r="K56" s="133" t="e">
        <f t="shared" si="174"/>
        <v>#DIV/0!</v>
      </c>
      <c r="L56" s="133">
        <f t="shared" si="174"/>
        <v>168.53658536585368</v>
      </c>
      <c r="M56" s="133">
        <f t="shared" si="174"/>
        <v>207.31707317073173</v>
      </c>
      <c r="N56" s="133">
        <f t="shared" si="174"/>
        <v>209.26829268292684</v>
      </c>
      <c r="O56" s="133">
        <f t="shared" si="174"/>
        <v>184.14634146341464</v>
      </c>
      <c r="P56" s="133">
        <f t="shared" si="174"/>
        <v>220.97560975609758</v>
      </c>
      <c r="Q56" s="133">
        <f t="shared" ref="Q56" si="175">Q7/Q42</f>
        <v>220.97560975609758</v>
      </c>
      <c r="R56" s="118">
        <f>((P56/G56)^(1/($H$2-$H$1) ))-1</f>
        <v>-3.8959944418027748E-3</v>
      </c>
      <c r="S56" s="128"/>
      <c r="T56" s="158">
        <f t="shared" ref="T56:AC56" si="176">T7/T42</f>
        <v>236.29075102632214</v>
      </c>
      <c r="U56" s="158">
        <f t="shared" si="176"/>
        <v>252.66733773111679</v>
      </c>
      <c r="V56" s="158">
        <f t="shared" si="176"/>
        <v>270.1789353956496</v>
      </c>
      <c r="W56" s="158">
        <f t="shared" si="176"/>
        <v>288.9042081458432</v>
      </c>
      <c r="X56" s="158">
        <f t="shared" si="176"/>
        <v>308.92727207674318</v>
      </c>
      <c r="Y56" s="158">
        <f t="shared" si="176"/>
        <v>330.33807311176508</v>
      </c>
      <c r="Z56" s="158">
        <f t="shared" si="176"/>
        <v>353.23279105020424</v>
      </c>
      <c r="AA56" s="158">
        <f t="shared" si="176"/>
        <v>377.71427161804019</v>
      </c>
      <c r="AB56" s="158">
        <f t="shared" si="176"/>
        <v>403.89248846285489</v>
      </c>
      <c r="AC56" s="158">
        <f t="shared" si="176"/>
        <v>431.88503716820134</v>
      </c>
      <c r="AD56" s="138">
        <f t="shared" si="167"/>
        <v>3.2258100859634764E-2</v>
      </c>
      <c r="AE56" s="31">
        <f t="shared" si="15"/>
        <v>0.05</v>
      </c>
      <c r="AF56" s="146">
        <f t="shared" si="168"/>
        <v>2667.5252295683026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228.87700534759358</v>
      </c>
      <c r="G57" s="144">
        <f t="shared" si="177"/>
        <v>218.98395721925132</v>
      </c>
      <c r="H57" s="144">
        <f t="shared" si="177"/>
        <v>199.19786096256684</v>
      </c>
      <c r="I57" s="144">
        <f t="shared" si="177"/>
        <v>185.01628664495115</v>
      </c>
      <c r="J57" s="144">
        <f t="shared" si="177"/>
        <v>167.10097719869708</v>
      </c>
      <c r="K57" s="144" t="e">
        <f t="shared" si="177"/>
        <v>#DIV/0!</v>
      </c>
      <c r="L57" s="144">
        <f t="shared" si="177"/>
        <v>158.53658536585368</v>
      </c>
      <c r="M57" s="144">
        <f t="shared" si="177"/>
        <v>197.31707317073173</v>
      </c>
      <c r="N57" s="144">
        <f t="shared" si="177"/>
        <v>199.26829268292684</v>
      </c>
      <c r="O57" s="144">
        <f t="shared" si="177"/>
        <v>174.39024390243904</v>
      </c>
      <c r="P57" s="144">
        <f t="shared" si="177"/>
        <v>210.97560975609758</v>
      </c>
      <c r="Q57" s="144">
        <f t="shared" ref="Q57" si="178">Q6/Q42</f>
        <v>210.97560975609758</v>
      </c>
      <c r="R57" s="118">
        <f>((P57/G57)^(1/($H$2-$H$1) ))-1</f>
        <v>-4.1309926786536888E-3</v>
      </c>
      <c r="S57" s="128"/>
      <c r="T57" s="157">
        <f t="shared" ref="T57:AC57" si="179">T6/T42</f>
        <v>225.59768171939146</v>
      </c>
      <c r="U57" s="157">
        <f t="shared" si="179"/>
        <v>241.23316461083445</v>
      </c>
      <c r="V57" s="157">
        <f t="shared" si="179"/>
        <v>257.95229483138729</v>
      </c>
      <c r="W57" s="157">
        <f t="shared" si="179"/>
        <v>275.83017665138453</v>
      </c>
      <c r="X57" s="157">
        <f t="shared" si="179"/>
        <v>294.94711958761906</v>
      </c>
      <c r="Y57" s="157">
        <f t="shared" si="179"/>
        <v>315.38899916299863</v>
      </c>
      <c r="Z57" s="157">
        <f t="shared" si="179"/>
        <v>337.24764266934511</v>
      </c>
      <c r="AA57" s="157">
        <f t="shared" si="179"/>
        <v>360.62124166623039</v>
      </c>
      <c r="AB57" s="157">
        <f t="shared" si="179"/>
        <v>385.61479306884047</v>
      </c>
      <c r="AC57" s="157">
        <f t="shared" si="179"/>
        <v>412.34057080628492</v>
      </c>
      <c r="AD57" s="138">
        <f t="shared" si="167"/>
        <v>3.2148506321872494E-2</v>
      </c>
      <c r="AE57" s="31">
        <f t="shared" si="15"/>
        <v>0.05</v>
      </c>
      <c r="AF57" s="146">
        <f t="shared" si="168"/>
        <v>2546.8094079211719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224.06417112299465</v>
      </c>
      <c r="G58" s="144">
        <f t="shared" si="180"/>
        <v>200.53475935828877</v>
      </c>
      <c r="H58" s="144">
        <f t="shared" si="180"/>
        <v>221.92513368983956</v>
      </c>
      <c r="I58" s="144">
        <f t="shared" si="180"/>
        <v>307.49185667752442</v>
      </c>
      <c r="J58" s="144">
        <f t="shared" si="180"/>
        <v>298.04560260586322</v>
      </c>
      <c r="K58" s="144" t="e">
        <f t="shared" si="180"/>
        <v>#DIV/0!</v>
      </c>
      <c r="L58" s="144">
        <f t="shared" si="180"/>
        <v>337.07317073170736</v>
      </c>
      <c r="M58" s="144">
        <f t="shared" si="180"/>
        <v>282.4390243902439</v>
      </c>
      <c r="N58" s="144">
        <f t="shared" si="180"/>
        <v>393.41463414634148</v>
      </c>
      <c r="O58" s="144">
        <f t="shared" si="180"/>
        <v>493.17073170731709</v>
      </c>
      <c r="P58" s="144">
        <f t="shared" si="180"/>
        <v>618.04878048780495</v>
      </c>
      <c r="Q58" s="144">
        <f t="shared" ref="Q58" si="181">Q10/Q42</f>
        <v>618.04878048780495</v>
      </c>
      <c r="R58" s="118">
        <f>((P58/G58)^(1/($H$2-$H$1) ))-1</f>
        <v>0.13322145436085675</v>
      </c>
      <c r="S58" s="128"/>
      <c r="T58" s="157">
        <f t="shared" ref="T58:AC58" si="182">T10/T42</f>
        <v>660.88384448200918</v>
      </c>
      <c r="U58" s="157">
        <f t="shared" si="182"/>
        <v>706.68767528769308</v>
      </c>
      <c r="V58" s="157">
        <f t="shared" si="182"/>
        <v>755.6660290205034</v>
      </c>
      <c r="W58" s="157">
        <f t="shared" si="182"/>
        <v>808.03892212093444</v>
      </c>
      <c r="X58" s="157">
        <f t="shared" si="182"/>
        <v>864.04161969367249</v>
      </c>
      <c r="Y58" s="157">
        <f t="shared" si="182"/>
        <v>923.92569234570942</v>
      </c>
      <c r="Z58" s="157">
        <f t="shared" si="182"/>
        <v>987.96014627065949</v>
      </c>
      <c r="AA58" s="157">
        <f t="shared" si="182"/>
        <v>1056.4326316557547</v>
      </c>
      <c r="AB58" s="157">
        <f t="shared" si="182"/>
        <v>1129.650734839817</v>
      </c>
      <c r="AC58" s="157">
        <f t="shared" si="182"/>
        <v>1207.943360026735</v>
      </c>
      <c r="AD58" s="138">
        <f t="shared" si="167"/>
        <v>9.3938344712508837E-2</v>
      </c>
      <c r="AE58" s="31">
        <f t="shared" si="15"/>
        <v>0.05</v>
      </c>
      <c r="AF58" s="146">
        <f t="shared" si="168"/>
        <v>7460.8266354592461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14.705882352941176</v>
      </c>
      <c r="G60" s="144">
        <f t="shared" si="183"/>
        <v>28.342245989304811</v>
      </c>
      <c r="H60" s="144">
        <f t="shared" si="183"/>
        <v>-12.834224598930481</v>
      </c>
      <c r="I60" s="144">
        <f t="shared" si="183"/>
        <v>-112.37785016286645</v>
      </c>
      <c r="J60" s="144">
        <f t="shared" si="183"/>
        <v>-120.84690553745929</v>
      </c>
      <c r="K60" s="144" t="e">
        <f t="shared" si="183"/>
        <v>#DIV/0!</v>
      </c>
      <c r="L60" s="144">
        <f t="shared" si="183"/>
        <v>-168.53658536585368</v>
      </c>
      <c r="M60" s="144">
        <f t="shared" si="183"/>
        <v>-75.121951219512198</v>
      </c>
      <c r="N60" s="144">
        <f t="shared" si="183"/>
        <v>-184.14634146341464</v>
      </c>
      <c r="O60" s="144">
        <f t="shared" si="183"/>
        <v>-309.02439024390247</v>
      </c>
      <c r="P60" s="144">
        <f t="shared" si="183"/>
        <v>-397.07317073170736</v>
      </c>
      <c r="Q60" s="144">
        <f t="shared" ref="Q60" si="184">(Q7-Q10)/Q42</f>
        <v>-397.07317073170736</v>
      </c>
      <c r="R60" s="118">
        <f>((P60/G60)^(1/($H$2-$H$1) ))-1</f>
        <v>-2.3408549789112829</v>
      </c>
      <c r="S60" s="128"/>
      <c r="T60" s="157">
        <f t="shared" ref="T60:AC60" si="185">(T7-T10)/T42</f>
        <v>-424.5930934556871</v>
      </c>
      <c r="U60" s="157">
        <f t="shared" si="185"/>
        <v>-454.02033755657629</v>
      </c>
      <c r="V60" s="157">
        <f t="shared" si="185"/>
        <v>-485.4870936248538</v>
      </c>
      <c r="W60" s="157">
        <f t="shared" si="185"/>
        <v>-519.13471397509136</v>
      </c>
      <c r="X60" s="157">
        <f t="shared" si="185"/>
        <v>-555.11434761692942</v>
      </c>
      <c r="Y60" s="157">
        <f t="shared" si="185"/>
        <v>-593.58761923394434</v>
      </c>
      <c r="Z60" s="157">
        <f t="shared" si="185"/>
        <v>-634.72735522045525</v>
      </c>
      <c r="AA60" s="157">
        <f t="shared" si="185"/>
        <v>-678.71836003771443</v>
      </c>
      <c r="AB60" s="157">
        <f t="shared" si="185"/>
        <v>-725.75824637696201</v>
      </c>
      <c r="AC60" s="157">
        <f t="shared" si="185"/>
        <v>-776.05832285853376</v>
      </c>
      <c r="AD60" s="138" t="e">
        <f t="shared" si="167"/>
        <v>#NUM!</v>
      </c>
      <c r="AE60" s="31">
        <f t="shared" si="15"/>
        <v>0.05</v>
      </c>
      <c r="AF60" s="146">
        <f t="shared" si="168"/>
        <v>-4793.3014058909448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-139.57219251336898</v>
      </c>
      <c r="G61" s="144">
        <f t="shared" si="186"/>
        <v>-143.04812834224597</v>
      </c>
      <c r="H61" s="144">
        <f t="shared" si="186"/>
        <v>-196.2566844919786</v>
      </c>
      <c r="I61" s="144">
        <f t="shared" si="186"/>
        <v>-366.77524429967428</v>
      </c>
      <c r="J61" s="144">
        <f t="shared" si="186"/>
        <v>-423.12703583061892</v>
      </c>
      <c r="K61" s="144" t="e">
        <f t="shared" si="186"/>
        <v>#DIV/0!</v>
      </c>
      <c r="L61" s="144">
        <f t="shared" si="186"/>
        <v>-451.21951219512198</v>
      </c>
      <c r="M61" s="144">
        <f t="shared" si="186"/>
        <v>-413.65853658536588</v>
      </c>
      <c r="N61" s="144">
        <f t="shared" si="186"/>
        <v>-590.73170731707319</v>
      </c>
      <c r="O61" s="144">
        <f t="shared" si="186"/>
        <v>-842.92682926829275</v>
      </c>
      <c r="P61" s="144">
        <f t="shared" si="186"/>
        <v>-852.19512195121956</v>
      </c>
      <c r="Q61" s="144">
        <f t="shared" ref="Q61" si="187">(Q7-Q10-Q9)/Q42</f>
        <v>-852.19512195121956</v>
      </c>
      <c r="R61" s="118">
        <f>((P61/G61)^(1/($H$2-$H$1) ))-1</f>
        <v>0.21931924737920205</v>
      </c>
      <c r="S61" s="128"/>
      <c r="T61" s="157">
        <f t="shared" ref="T61:AC61" si="188">(T7-T10-T9)/T42</f>
        <v>-911.25815020526454</v>
      </c>
      <c r="U61" s="157">
        <f t="shared" si="188"/>
        <v>-974.41465566503541</v>
      </c>
      <c r="V61" s="157">
        <f t="shared" si="188"/>
        <v>-1041.948344671523</v>
      </c>
      <c r="W61" s="157">
        <f t="shared" si="188"/>
        <v>-1114.1625863814306</v>
      </c>
      <c r="X61" s="157">
        <f t="shared" si="188"/>
        <v>-1191.3817755365792</v>
      </c>
      <c r="Y61" s="157">
        <f t="shared" si="188"/>
        <v>-1273.9527896826792</v>
      </c>
      <c r="Z61" s="157">
        <f t="shared" si="188"/>
        <v>-1362.2465473834586</v>
      </c>
      <c r="AA61" s="157">
        <f t="shared" si="188"/>
        <v>-1456.659674429837</v>
      </c>
      <c r="AB61" s="157">
        <f t="shared" si="188"/>
        <v>-1557.6162855289347</v>
      </c>
      <c r="AC61" s="157">
        <f t="shared" si="188"/>
        <v>-1665.5698894764848</v>
      </c>
      <c r="AD61" s="138">
        <f t="shared" si="167"/>
        <v>0.1305871213614187</v>
      </c>
      <c r="AE61" s="31">
        <f t="shared" si="15"/>
        <v>0.05</v>
      </c>
      <c r="AF61" s="146">
        <f t="shared" si="168"/>
        <v>-10287.34343500182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31.016042780748663</v>
      </c>
      <c r="G62" s="144">
        <f t="shared" si="189"/>
        <v>31.818181818181817</v>
      </c>
      <c r="H62" s="144">
        <f t="shared" si="189"/>
        <v>-12.834224598930481</v>
      </c>
      <c r="I62" s="144">
        <f t="shared" si="189"/>
        <v>-80.130293159609124</v>
      </c>
      <c r="J62" s="144">
        <f t="shared" si="189"/>
        <v>-109.44625407166124</v>
      </c>
      <c r="K62" s="144" t="e">
        <f t="shared" si="189"/>
        <v>#DIV/0!</v>
      </c>
      <c r="L62" s="144">
        <f t="shared" si="189"/>
        <v>-187.80487804878049</v>
      </c>
      <c r="M62" s="144">
        <f t="shared" si="189"/>
        <v>-106.09756097560977</v>
      </c>
      <c r="N62" s="144">
        <f t="shared" si="189"/>
        <v>-161.46341463414635</v>
      </c>
      <c r="O62" s="144">
        <f t="shared" si="189"/>
        <v>-380.73170731707319</v>
      </c>
      <c r="P62" s="144">
        <f t="shared" si="189"/>
        <v>-334.39024390243907</v>
      </c>
      <c r="Q62" s="144">
        <f t="shared" ref="Q62" si="190">(Q7+Q15-Q10-Q9)/Q42</f>
        <v>-334.39024390243907</v>
      </c>
      <c r="R62" s="118">
        <f>((P62/G62)^(1/($H$2-$H$1) ))-1</f>
        <v>-2.2986995594466619</v>
      </c>
      <c r="S62" s="128"/>
      <c r="T62" s="157">
        <f t="shared" ref="T62:AC62" si="191">(T7+T15-T10-T9)/T42</f>
        <v>-357.56580536102399</v>
      </c>
      <c r="U62" s="157">
        <f t="shared" si="191"/>
        <v>-382.34759385139199</v>
      </c>
      <c r="V62" s="157">
        <f t="shared" si="191"/>
        <v>-408.84693203911223</v>
      </c>
      <c r="W62" s="157">
        <f t="shared" si="191"/>
        <v>-437.18285802202115</v>
      </c>
      <c r="X62" s="157">
        <f t="shared" si="191"/>
        <v>-467.48266006315123</v>
      </c>
      <c r="Y62" s="157">
        <f t="shared" si="191"/>
        <v>-499.88244838435992</v>
      </c>
      <c r="Z62" s="157">
        <f t="shared" si="191"/>
        <v>-534.5277665892163</v>
      </c>
      <c r="AA62" s="157">
        <f t="shared" si="191"/>
        <v>-571.57424546173627</v>
      </c>
      <c r="AB62" s="157">
        <f t="shared" si="191"/>
        <v>-611.18830207789642</v>
      </c>
      <c r="AC62" s="157">
        <f t="shared" si="191"/>
        <v>-653.54788737042384</v>
      </c>
      <c r="AD62" s="138" t="e">
        <f t="shared" si="167"/>
        <v>#NUM!</v>
      </c>
      <c r="AE62" s="31">
        <f t="shared" si="15"/>
        <v>0.05</v>
      </c>
      <c r="AF62" s="146">
        <f t="shared" si="168"/>
        <v>-4036.6193043467365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6.9518716577540101</v>
      </c>
      <c r="G64" s="144">
        <f t="shared" si="192"/>
        <v>9.8930481283422456</v>
      </c>
      <c r="H64" s="144">
        <f t="shared" si="192"/>
        <v>9.6256684491978604</v>
      </c>
      <c r="I64" s="144">
        <f t="shared" si="192"/>
        <v>13.029315960912053</v>
      </c>
      <c r="J64" s="144">
        <f t="shared" si="192"/>
        <v>9.7719869706840399</v>
      </c>
      <c r="K64" s="144" t="e">
        <f t="shared" si="192"/>
        <v>#DIV/0!</v>
      </c>
      <c r="L64" s="144">
        <f t="shared" si="192"/>
        <v>12.195121951219512</v>
      </c>
      <c r="M64" s="144">
        <f t="shared" si="192"/>
        <v>21.951219512195124</v>
      </c>
      <c r="N64" s="144">
        <f t="shared" si="192"/>
        <v>28.04878048780488</v>
      </c>
      <c r="O64" s="144">
        <f t="shared" si="192"/>
        <v>25.609756097560979</v>
      </c>
      <c r="P64" s="144">
        <f t="shared" si="192"/>
        <v>34.146341463414636</v>
      </c>
      <c r="Q64" s="144">
        <f t="shared" ref="Q64" si="193">Q12/Q42</f>
        <v>34.146341463414636</v>
      </c>
      <c r="R64" s="118">
        <f>((P64/G64)^(1/($H$2-$H$1) ))-1</f>
        <v>0.1475704052510749</v>
      </c>
      <c r="S64" s="128"/>
      <c r="T64" s="157">
        <f t="shared" ref="T64:AC64" si="194">T12/T42</f>
        <v>36.512919584641395</v>
      </c>
      <c r="U64" s="157">
        <f t="shared" si="194"/>
        <v>39.043517971695749</v>
      </c>
      <c r="V64" s="157">
        <f t="shared" si="194"/>
        <v>41.749504365773667</v>
      </c>
      <c r="W64" s="157">
        <f t="shared" si="194"/>
        <v>44.643034371322351</v>
      </c>
      <c r="X64" s="157">
        <f t="shared" si="194"/>
        <v>47.737106060423898</v>
      </c>
      <c r="Y64" s="157">
        <f t="shared" si="194"/>
        <v>51.045618361641402</v>
      </c>
      <c r="Z64" s="157">
        <f t="shared" si="194"/>
        <v>54.583433495616546</v>
      </c>
      <c r="AA64" s="157">
        <f t="shared" si="194"/>
        <v>58.366443737887003</v>
      </c>
      <c r="AB64" s="157">
        <f t="shared" si="194"/>
        <v>62.411642808829669</v>
      </c>
      <c r="AC64" s="157">
        <f t="shared" si="194"/>
        <v>66.737202211421831</v>
      </c>
      <c r="AD64" s="138">
        <f t="shared" si="167"/>
        <v>0.10014997621644062</v>
      </c>
      <c r="AE64" s="31">
        <f t="shared" si="15"/>
        <v>0.05</v>
      </c>
      <c r="AF64" s="146">
        <f t="shared" si="168"/>
        <v>412.20036659995844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67.379679144385022</v>
      </c>
      <c r="G65" s="144">
        <f t="shared" si="195"/>
        <v>67.379679144385022</v>
      </c>
      <c r="H65" s="144">
        <f t="shared" si="195"/>
        <v>66.844919786096256</v>
      </c>
      <c r="I65" s="144">
        <f t="shared" si="195"/>
        <v>22.149837133550491</v>
      </c>
      <c r="J65" s="144">
        <f t="shared" si="195"/>
        <v>23.127035830618894</v>
      </c>
      <c r="K65" s="144" t="e">
        <f t="shared" si="195"/>
        <v>#DIV/0!</v>
      </c>
      <c r="L65" s="144">
        <f t="shared" si="195"/>
        <v>18.536585365853661</v>
      </c>
      <c r="M65" s="144">
        <f t="shared" si="195"/>
        <v>19.512195121951223</v>
      </c>
      <c r="N65" s="144">
        <f t="shared" si="195"/>
        <v>21.219512195121954</v>
      </c>
      <c r="O65" s="144">
        <f t="shared" si="195"/>
        <v>24.390243902439025</v>
      </c>
      <c r="P65" s="144">
        <f t="shared" si="195"/>
        <v>25.365853658536587</v>
      </c>
      <c r="Q65" s="144">
        <f t="shared" ref="Q65" si="196">Q13/Q42</f>
        <v>25.365853658536587</v>
      </c>
      <c r="R65" s="118">
        <f>((P65/G65)^(1/($H$2-$H$1) ))-1</f>
        <v>-0.10286492139859071</v>
      </c>
      <c r="S65" s="128"/>
      <c r="T65" s="157">
        <f t="shared" ref="T65:AC65" si="197">T13/T42</f>
        <v>27.123883120019322</v>
      </c>
      <c r="U65" s="157">
        <f t="shared" si="197"/>
        <v>29.003756207545415</v>
      </c>
      <c r="V65" s="157">
        <f t="shared" si="197"/>
        <v>31.013917528860439</v>
      </c>
      <c r="W65" s="157">
        <f t="shared" si="197"/>
        <v>33.163396961553744</v>
      </c>
      <c r="X65" s="157">
        <f t="shared" si="197"/>
        <v>35.461850216314893</v>
      </c>
      <c r="Y65" s="157">
        <f t="shared" si="197"/>
        <v>37.919602211505037</v>
      </c>
      <c r="Z65" s="157">
        <f t="shared" si="197"/>
        <v>40.547693453886573</v>
      </c>
      <c r="AA65" s="157">
        <f t="shared" si="197"/>
        <v>43.357929633858909</v>
      </c>
      <c r="AB65" s="157">
        <f t="shared" si="197"/>
        <v>46.362934657987751</v>
      </c>
      <c r="AC65" s="157">
        <f t="shared" si="197"/>
        <v>49.576207357056219</v>
      </c>
      <c r="AD65" s="138">
        <f t="shared" si="167"/>
        <v>-1.5224539215735744E-2</v>
      </c>
      <c r="AE65" s="31">
        <f t="shared" si="15"/>
        <v>0.05</v>
      </c>
      <c r="AF65" s="146">
        <f t="shared" si="168"/>
        <v>306.20598661711199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74.331550802139034</v>
      </c>
      <c r="G66" s="144">
        <f t="shared" si="198"/>
        <v>77.272727272727266</v>
      </c>
      <c r="H66" s="144">
        <f t="shared" si="198"/>
        <v>76.470588235294116</v>
      </c>
      <c r="I66" s="144">
        <f t="shared" si="198"/>
        <v>35.179153094462542</v>
      </c>
      <c r="J66" s="144">
        <f t="shared" si="198"/>
        <v>32.899022801302934</v>
      </c>
      <c r="K66" s="144" t="e">
        <f t="shared" si="198"/>
        <v>#DIV/0!</v>
      </c>
      <c r="L66" s="144">
        <f t="shared" si="198"/>
        <v>30.731707317073173</v>
      </c>
      <c r="M66" s="144">
        <f t="shared" si="198"/>
        <v>41.463414634146346</v>
      </c>
      <c r="N66" s="144">
        <f t="shared" si="198"/>
        <v>49.268292682926834</v>
      </c>
      <c r="O66" s="144">
        <f t="shared" ref="O66" si="199">(O64+O65)</f>
        <v>50</v>
      </c>
      <c r="P66" s="144">
        <f t="shared" si="198"/>
        <v>59.512195121951223</v>
      </c>
      <c r="Q66" s="144">
        <f t="shared" ref="Q66" si="200">(Q64+Q65)</f>
        <v>59.512195121951223</v>
      </c>
      <c r="R66" s="118">
        <f>((P66/G66)^(1/($H$2-$H$1) ))-1</f>
        <v>-2.8600786128728073E-2</v>
      </c>
      <c r="S66" s="128"/>
      <c r="T66" s="157">
        <f t="shared" ref="T66:AC66" si="201">(T64+T65)</f>
        <v>63.636802704660717</v>
      </c>
      <c r="U66" s="157">
        <f t="shared" si="201"/>
        <v>68.047274179241157</v>
      </c>
      <c r="V66" s="157">
        <f t="shared" si="201"/>
        <v>72.763421894634106</v>
      </c>
      <c r="W66" s="157">
        <f t="shared" si="201"/>
        <v>77.806431332876087</v>
      </c>
      <c r="X66" s="157">
        <f t="shared" si="201"/>
        <v>83.198956276738784</v>
      </c>
      <c r="Y66" s="157">
        <f t="shared" si="201"/>
        <v>88.965220573146439</v>
      </c>
      <c r="Z66" s="157">
        <f t="shared" si="201"/>
        <v>95.131126949503113</v>
      </c>
      <c r="AA66" s="157">
        <f t="shared" si="201"/>
        <v>101.72437337174591</v>
      </c>
      <c r="AB66" s="157">
        <f t="shared" si="201"/>
        <v>108.77457746681742</v>
      </c>
      <c r="AC66" s="157">
        <f t="shared" si="201"/>
        <v>116.31340956847805</v>
      </c>
      <c r="AD66" s="138">
        <f t="shared" si="167"/>
        <v>2.0657843367007489E-2</v>
      </c>
      <c r="AE66" s="31">
        <f t="shared" si="15"/>
        <v>0.05</v>
      </c>
      <c r="AF66" s="146">
        <f t="shared" si="168"/>
        <v>718.40635321707043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170.58823529411762</v>
      </c>
      <c r="G67" s="144">
        <f t="shared" si="202"/>
        <v>174.86631016042779</v>
      </c>
      <c r="H67" s="144">
        <f t="shared" si="202"/>
        <v>183.42245989304811</v>
      </c>
      <c r="I67" s="144">
        <f t="shared" si="202"/>
        <v>286.64495114006519</v>
      </c>
      <c r="J67" s="144">
        <f t="shared" si="202"/>
        <v>313.68078175895766</v>
      </c>
      <c r="K67" s="144" t="e">
        <f t="shared" si="202"/>
        <v>#DIV/0!</v>
      </c>
      <c r="L67" s="144">
        <f t="shared" si="202"/>
        <v>263.41463414634148</v>
      </c>
      <c r="M67" s="144">
        <f t="shared" si="202"/>
        <v>307.5609756097561</v>
      </c>
      <c r="N67" s="144">
        <f t="shared" si="202"/>
        <v>429.26829268292687</v>
      </c>
      <c r="O67" s="144">
        <f t="shared" si="202"/>
        <v>462.19512195121956</v>
      </c>
      <c r="P67" s="144">
        <f t="shared" si="202"/>
        <v>517.80487804878055</v>
      </c>
      <c r="Q67" s="144">
        <f t="shared" ref="Q67" si="203">Q15/Q42</f>
        <v>517.80487804878055</v>
      </c>
      <c r="R67" s="118">
        <f>((P67/G67)^(1/($H$2-$H$1) ))-1</f>
        <v>0.12819570871751873</v>
      </c>
      <c r="S67" s="128"/>
      <c r="T67" s="157">
        <f t="shared" ref="T67:AC67" si="204">T15/T42</f>
        <v>553.69234484424055</v>
      </c>
      <c r="U67" s="157">
        <f t="shared" si="204"/>
        <v>592.06706181364336</v>
      </c>
      <c r="V67" s="157">
        <f t="shared" si="204"/>
        <v>633.10141263241076</v>
      </c>
      <c r="W67" s="157">
        <f t="shared" si="204"/>
        <v>676.97972835940948</v>
      </c>
      <c r="X67" s="157">
        <f t="shared" si="204"/>
        <v>723.89911547342797</v>
      </c>
      <c r="Y67" s="157">
        <f t="shared" si="204"/>
        <v>774.07034129831914</v>
      </c>
      <c r="Z67" s="157">
        <f t="shared" si="204"/>
        <v>827.71878079424221</v>
      </c>
      <c r="AA67" s="157">
        <f t="shared" si="204"/>
        <v>885.08542896810059</v>
      </c>
      <c r="AB67" s="157">
        <f t="shared" si="204"/>
        <v>946.42798345103836</v>
      </c>
      <c r="AC67" s="157">
        <f t="shared" si="204"/>
        <v>1012.0220021060609</v>
      </c>
      <c r="AD67" s="138">
        <f t="shared" si="167"/>
        <v>9.1752488271462651E-2</v>
      </c>
      <c r="AE67" s="31">
        <f t="shared" si="15"/>
        <v>0.05</v>
      </c>
      <c r="AF67" s="146">
        <f t="shared" si="168"/>
        <v>6250.7241306550823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51.871657754010691</v>
      </c>
      <c r="G68" s="144">
        <f t="shared" si="205"/>
        <v>31.016042780748663</v>
      </c>
      <c r="H68" s="144">
        <f t="shared" si="205"/>
        <v>30.748663101604276</v>
      </c>
      <c r="I68" s="144">
        <f t="shared" si="205"/>
        <v>71.661237785016297</v>
      </c>
      <c r="J68" s="144">
        <f t="shared" si="205"/>
        <v>52.11726384364821</v>
      </c>
      <c r="K68" s="144" t="e">
        <f t="shared" si="205"/>
        <v>#DIV/0!</v>
      </c>
      <c r="L68" s="144">
        <f t="shared" si="205"/>
        <v>21.951219512195124</v>
      </c>
      <c r="M68" s="144">
        <f t="shared" si="205"/>
        <v>-5.8536585365853666</v>
      </c>
      <c r="N68" s="144">
        <f t="shared" si="205"/>
        <v>57.073170731707322</v>
      </c>
      <c r="O68" s="144">
        <f t="shared" si="205"/>
        <v>10.24390243902439</v>
      </c>
      <c r="P68" s="144">
        <f t="shared" si="205"/>
        <v>133.17073170731709</v>
      </c>
      <c r="Q68" s="144">
        <f t="shared" ref="Q68" si="206">Q16/Q42</f>
        <v>133.17073170731709</v>
      </c>
      <c r="R68" s="118">
        <f>((P68/G68)^(1/($H$2-$H$1) ))-1</f>
        <v>0.17574624358502078</v>
      </c>
      <c r="S68" s="128"/>
      <c r="T68" s="157">
        <f t="shared" ref="T68:AC68" si="207">T16/T42</f>
        <v>142.40038638010145</v>
      </c>
      <c r="U68" s="157">
        <f t="shared" si="207"/>
        <v>152.26972008961343</v>
      </c>
      <c r="V68" s="157">
        <f t="shared" si="207"/>
        <v>162.82306702651729</v>
      </c>
      <c r="W68" s="157">
        <f t="shared" si="207"/>
        <v>174.10783404815714</v>
      </c>
      <c r="X68" s="157">
        <f t="shared" si="207"/>
        <v>186.17471363565315</v>
      </c>
      <c r="Y68" s="157">
        <f t="shared" si="207"/>
        <v>199.07791161040143</v>
      </c>
      <c r="Z68" s="157">
        <f t="shared" si="207"/>
        <v>212.8753906329045</v>
      </c>
      <c r="AA68" s="157">
        <f t="shared" si="207"/>
        <v>227.62913057775927</v>
      </c>
      <c r="AB68" s="157">
        <f t="shared" si="207"/>
        <v>243.4054069544357</v>
      </c>
      <c r="AC68" s="157">
        <f t="shared" si="207"/>
        <v>260.27508862454516</v>
      </c>
      <c r="AD68" s="138">
        <f t="shared" si="167"/>
        <v>0.11222412442226504</v>
      </c>
      <c r="AE68" s="137"/>
      <c r="AF68" s="146">
        <f t="shared" si="168"/>
        <v>1183.0685846570234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2</v>
      </c>
      <c r="G70" s="159">
        <f t="shared" si="208"/>
        <v>2</v>
      </c>
      <c r="H70" s="159">
        <f t="shared" si="208"/>
        <v>3</v>
      </c>
      <c r="I70" s="159">
        <f t="shared" si="208"/>
        <v>2.5</v>
      </c>
      <c r="J70" s="159">
        <f t="shared" si="208"/>
        <v>2.7</v>
      </c>
      <c r="K70" s="159">
        <f t="shared" si="208"/>
        <v>0</v>
      </c>
      <c r="L70" s="159">
        <f t="shared" si="208"/>
        <v>2.7</v>
      </c>
      <c r="M70" s="159">
        <f t="shared" si="208"/>
        <v>3.5</v>
      </c>
      <c r="N70" s="159">
        <f t="shared" si="208"/>
        <v>3</v>
      </c>
      <c r="O70" s="159">
        <f t="shared" si="208"/>
        <v>2.5</v>
      </c>
      <c r="P70" s="159">
        <f t="shared" si="208"/>
        <v>3.5</v>
      </c>
      <c r="Q70" s="159">
        <f t="shared" ref="Q70" si="209">Q44</f>
        <v>3.5</v>
      </c>
      <c r="R70" s="118">
        <f>((P70/G70)^(1/($H$2-$H$1) ))-1</f>
        <v>6.4153377155776292E-2</v>
      </c>
      <c r="S70" s="128"/>
      <c r="T70" s="159">
        <f t="shared" ref="T70:AC70" si="210">T44</f>
        <v>3.6750000000000003</v>
      </c>
      <c r="U70" s="159">
        <f t="shared" si="210"/>
        <v>3.8587500000000006</v>
      </c>
      <c r="V70" s="159">
        <f t="shared" si="210"/>
        <v>4.0516875000000008</v>
      </c>
      <c r="W70" s="159">
        <f t="shared" si="210"/>
        <v>4.2542718750000006</v>
      </c>
      <c r="X70" s="159">
        <f t="shared" si="210"/>
        <v>4.4669854687500008</v>
      </c>
      <c r="Y70" s="159">
        <f t="shared" si="210"/>
        <v>4.6903347421875008</v>
      </c>
      <c r="Z70" s="159">
        <f t="shared" si="210"/>
        <v>4.9248514792968763</v>
      </c>
      <c r="AA70" s="159">
        <f t="shared" si="210"/>
        <v>5.1710940532617204</v>
      </c>
      <c r="AB70" s="159">
        <f t="shared" si="210"/>
        <v>5.4296487559248066</v>
      </c>
      <c r="AC70" s="159">
        <f t="shared" si="210"/>
        <v>5.7011311937210474</v>
      </c>
      <c r="AD70" s="138">
        <f t="shared" ref="AD70" si="211">((AC70/G70)^(1/($AC$3-$H$1) ))-1</f>
        <v>5.3771750833720544E-2</v>
      </c>
      <c r="AE70" s="31">
        <f t="shared" si="15"/>
        <v>0.05</v>
      </c>
      <c r="AF70" s="146">
        <f t="shared" si="168"/>
        <v>35.212869137688827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112</v>
      </c>
      <c r="G72" s="144">
        <f t="shared" si="212"/>
        <v>189</v>
      </c>
      <c r="H72" s="144">
        <f t="shared" si="212"/>
        <v>4</v>
      </c>
      <c r="I72" s="144">
        <f t="shared" si="212"/>
        <v>-57</v>
      </c>
      <c r="J72" s="144">
        <f t="shared" si="212"/>
        <v>121</v>
      </c>
      <c r="K72" s="144">
        <f t="shared" si="212"/>
        <v>0</v>
      </c>
      <c r="L72" s="144">
        <f t="shared" si="212"/>
        <v>-84</v>
      </c>
      <c r="M72" s="144">
        <f t="shared" si="212"/>
        <v>375</v>
      </c>
      <c r="N72" s="144">
        <f t="shared" si="212"/>
        <v>-304</v>
      </c>
      <c r="O72" s="144">
        <f t="shared" si="212"/>
        <v>-254</v>
      </c>
      <c r="P72" s="144">
        <f t="shared" si="212"/>
        <v>-281</v>
      </c>
      <c r="Q72" s="144">
        <f t="shared" ref="Q72" si="213">Q20+Q21</f>
        <v>-281</v>
      </c>
      <c r="R72" s="118">
        <f>((P72/G72)^(1/($H$2-$H$1) ))-1</f>
        <v>-2.0450529114918972</v>
      </c>
      <c r="S72" s="128"/>
      <c r="T72" s="144">
        <f t="shared" ref="T72:AC72" si="214">T20+T21</f>
        <v>-303.48</v>
      </c>
      <c r="U72" s="144">
        <f t="shared" si="214"/>
        <v>-327.75840000000005</v>
      </c>
      <c r="V72" s="144">
        <f t="shared" si="214"/>
        <v>-353.97907200000009</v>
      </c>
      <c r="W72" s="144">
        <f t="shared" si="214"/>
        <v>-382.29739776000008</v>
      </c>
      <c r="X72" s="144">
        <f t="shared" si="214"/>
        <v>-412.8811895808002</v>
      </c>
      <c r="Y72" s="144">
        <f t="shared" si="214"/>
        <v>-445.91168474726419</v>
      </c>
      <c r="Z72" s="144">
        <f t="shared" si="214"/>
        <v>-481.58461952704533</v>
      </c>
      <c r="AA72" s="144">
        <f t="shared" si="214"/>
        <v>-520.11138908920907</v>
      </c>
      <c r="AB72" s="144">
        <f t="shared" si="214"/>
        <v>-561.72030021634578</v>
      </c>
      <c r="AC72" s="144">
        <f t="shared" si="214"/>
        <v>-606.65792423365349</v>
      </c>
      <c r="AD72" s="138" t="e">
        <f t="shared" ref="AD72:AD77" si="215">((AC72/G72)^(1/($AC$3-$H$1) ))-1</f>
        <v>#NUM!</v>
      </c>
      <c r="AE72" s="31">
        <f t="shared" si="15"/>
        <v>0.05</v>
      </c>
      <c r="AF72" s="146">
        <f t="shared" si="168"/>
        <v>-3747.0048261490369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29.946524064171122</v>
      </c>
      <c r="G74" s="144">
        <f t="shared" si="216"/>
        <v>50.534759358288767</v>
      </c>
      <c r="H74" s="144">
        <f t="shared" si="216"/>
        <v>1.0695187165775399</v>
      </c>
      <c r="I74" s="144">
        <f t="shared" si="216"/>
        <v>-18.566775244299674</v>
      </c>
      <c r="J74" s="144">
        <f t="shared" si="216"/>
        <v>39.413680781758963</v>
      </c>
      <c r="K74" s="144" t="e">
        <f t="shared" si="216"/>
        <v>#DIV/0!</v>
      </c>
      <c r="L74" s="144">
        <f t="shared" si="216"/>
        <v>-20.487804878048781</v>
      </c>
      <c r="M74" s="144">
        <f t="shared" si="216"/>
        <v>91.463414634146346</v>
      </c>
      <c r="N74" s="144">
        <f t="shared" si="216"/>
        <v>-74.146341463414643</v>
      </c>
      <c r="O74" s="144">
        <f t="shared" si="216"/>
        <v>-61.951219512195131</v>
      </c>
      <c r="P74" s="144">
        <f t="shared" si="216"/>
        <v>-68.536585365853668</v>
      </c>
      <c r="Q74" s="144">
        <f t="shared" ref="Q74" si="217">Q72/Q42</f>
        <v>-68.536585365853668</v>
      </c>
      <c r="R74" s="118">
        <f>((P74/G74)^(1/($H$2-$H$1) ))-1</f>
        <v>-2.0344359007059998</v>
      </c>
      <c r="S74" s="128"/>
      <c r="T74" s="146">
        <f t="shared" ref="T74:AC74" si="218">T72/T42</f>
        <v>-73.286645737744507</v>
      </c>
      <c r="U74" s="146">
        <f t="shared" si="218"/>
        <v>-78.365918214617906</v>
      </c>
      <c r="V74" s="146">
        <f t="shared" si="218"/>
        <v>-83.797219477017165</v>
      </c>
      <c r="W74" s="146">
        <f t="shared" si="218"/>
        <v>-89.604947559582712</v>
      </c>
      <c r="X74" s="146">
        <f t="shared" si="218"/>
        <v>-95.815191449850829</v>
      </c>
      <c r="Y74" s="146">
        <f t="shared" si="218"/>
        <v>-102.45584828300882</v>
      </c>
      <c r="Z74" s="146">
        <f t="shared" si="218"/>
        <v>-109.55674865905893</v>
      </c>
      <c r="AA74" s="146">
        <f t="shared" si="218"/>
        <v>-117.14979064533036</v>
      </c>
      <c r="AB74" s="146">
        <f t="shared" si="218"/>
        <v>-125.26908306629385</v>
      </c>
      <c r="AC74" s="146">
        <f t="shared" si="218"/>
        <v>-133.95109872435384</v>
      </c>
      <c r="AD74" s="138" t="e">
        <f t="shared" si="215"/>
        <v>#NUM!</v>
      </c>
      <c r="AE74" s="31">
        <f t="shared" si="15"/>
        <v>0.05</v>
      </c>
      <c r="AF74" s="146">
        <f t="shared" si="168"/>
        <v>-827.34502153277379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37.165775401069517</v>
      </c>
      <c r="G75" s="144">
        <f t="shared" si="219"/>
        <v>57.219251336898395</v>
      </c>
      <c r="H75" s="144">
        <f t="shared" si="219"/>
        <v>22.99465240641711</v>
      </c>
      <c r="I75" s="144">
        <f t="shared" si="219"/>
        <v>14.65798045602606</v>
      </c>
      <c r="J75" s="144">
        <f t="shared" si="219"/>
        <v>63.517915309446259</v>
      </c>
      <c r="K75" s="144" t="e">
        <f t="shared" si="219"/>
        <v>#DIV/0!</v>
      </c>
      <c r="L75" s="144">
        <f t="shared" si="219"/>
        <v>64.878048780487816</v>
      </c>
      <c r="M75" s="144">
        <f t="shared" si="219"/>
        <v>132.6829268292683</v>
      </c>
      <c r="N75" s="144">
        <f t="shared" si="219"/>
        <v>-5.1219512195121952</v>
      </c>
      <c r="O75" s="144">
        <f t="shared" si="219"/>
        <v>84.390243902439025</v>
      </c>
      <c r="P75" s="144">
        <f t="shared" si="219"/>
        <v>-24.634146341463417</v>
      </c>
      <c r="Q75" s="144">
        <f t="shared" ref="Q75" si="220">Q20/Q42</f>
        <v>-24.634146341463417</v>
      </c>
      <c r="R75" s="118">
        <f>((P75/G75)^(1/($H$2-$H$1) ))-1</f>
        <v>-1.9106108406835358</v>
      </c>
      <c r="S75" s="128"/>
      <c r="T75" s="146">
        <f t="shared" ref="T75:AC75" si="221">T20/T42</f>
        <v>-26.341463414634148</v>
      </c>
      <c r="U75" s="146">
        <f t="shared" si="221"/>
        <v>-28.167109393866223</v>
      </c>
      <c r="V75" s="146">
        <f t="shared" si="221"/>
        <v>-30.119285292451007</v>
      </c>
      <c r="W75" s="146">
        <f t="shared" si="221"/>
        <v>-32.206760510739699</v>
      </c>
      <c r="X75" s="146">
        <f t="shared" si="221"/>
        <v>-34.438912229305814</v>
      </c>
      <c r="Y75" s="146">
        <f t="shared" si="221"/>
        <v>-36.825767532327006</v>
      </c>
      <c r="Z75" s="146">
        <f t="shared" si="221"/>
        <v>-39.378048450409075</v>
      </c>
      <c r="AA75" s="146">
        <f t="shared" si="221"/>
        <v>-42.107220125189905</v>
      </c>
      <c r="AB75" s="146">
        <f t="shared" si="221"/>
        <v>-45.025542312084255</v>
      </c>
      <c r="AC75" s="146">
        <f t="shared" si="221"/>
        <v>-48.146124452525754</v>
      </c>
      <c r="AD75" s="138" t="e">
        <f t="shared" si="215"/>
        <v>#NUM!</v>
      </c>
      <c r="AE75" s="31">
        <f t="shared" si="15"/>
        <v>0.05</v>
      </c>
      <c r="AF75" s="146">
        <f t="shared" si="168"/>
        <v>-297.37312161854146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-7.2192513368983953</v>
      </c>
      <c r="G76" s="144">
        <f t="shared" si="222"/>
        <v>-6.6844919786096249</v>
      </c>
      <c r="H76" s="144">
        <f t="shared" si="222"/>
        <v>-21.925133689839569</v>
      </c>
      <c r="I76" s="144">
        <f t="shared" si="222"/>
        <v>-33.224755700325737</v>
      </c>
      <c r="J76" s="144">
        <f t="shared" si="222"/>
        <v>-24.104234527687296</v>
      </c>
      <c r="K76" s="144" t="e">
        <f t="shared" si="222"/>
        <v>#DIV/0!</v>
      </c>
      <c r="L76" s="144">
        <f t="shared" si="222"/>
        <v>-85.365853658536594</v>
      </c>
      <c r="M76" s="144">
        <f t="shared" si="222"/>
        <v>-41.219512195121958</v>
      </c>
      <c r="N76" s="144">
        <f t="shared" si="222"/>
        <v>-69.024390243902445</v>
      </c>
      <c r="O76" s="144">
        <f t="shared" si="222"/>
        <v>-146.34146341463415</v>
      </c>
      <c r="P76" s="144">
        <f t="shared" si="222"/>
        <v>-43.902439024390247</v>
      </c>
      <c r="Q76" s="144">
        <f t="shared" ref="Q76" si="223">Q21/Q42</f>
        <v>-43.902439024390247</v>
      </c>
      <c r="R76" s="118">
        <f>((P76/G76)^(1/($H$2-$H$1) ))-1</f>
        <v>0.23260655030363053</v>
      </c>
      <c r="S76" s="128"/>
      <c r="T76" s="146">
        <f t="shared" ref="T76:AC76" si="224">T21/T42</f>
        <v>-46.945182323110359</v>
      </c>
      <c r="U76" s="146">
        <f t="shared" si="224"/>
        <v>-50.19880882075168</v>
      </c>
      <c r="V76" s="146">
        <f t="shared" si="224"/>
        <v>-53.677934184566148</v>
      </c>
      <c r="W76" s="146">
        <f t="shared" si="224"/>
        <v>-57.39818704884302</v>
      </c>
      <c r="X76" s="146">
        <f t="shared" si="224"/>
        <v>-61.376279220545015</v>
      </c>
      <c r="Y76" s="146">
        <f t="shared" si="224"/>
        <v>-65.630080750681813</v>
      </c>
      <c r="Z76" s="146">
        <f t="shared" si="224"/>
        <v>-70.178700208649857</v>
      </c>
      <c r="AA76" s="146">
        <f t="shared" si="224"/>
        <v>-75.042570520140444</v>
      </c>
      <c r="AB76" s="146">
        <f t="shared" si="224"/>
        <v>-80.24354075420959</v>
      </c>
      <c r="AC76" s="146">
        <f t="shared" si="224"/>
        <v>-85.804974271828087</v>
      </c>
      <c r="AD76" s="138">
        <f t="shared" si="215"/>
        <v>0.13611476227786445</v>
      </c>
      <c r="AE76" s="31">
        <f t="shared" si="15"/>
        <v>0.05</v>
      </c>
      <c r="AF76" s="146">
        <f t="shared" si="168"/>
        <v>-529.97189991423238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-33.957219251336895</v>
      </c>
      <c r="G77" s="144">
        <f t="shared" si="225"/>
        <v>-46.791443850267378</v>
      </c>
      <c r="H77" s="144">
        <f t="shared" si="225"/>
        <v>-1.6042780748663101</v>
      </c>
      <c r="I77" s="144">
        <f t="shared" si="225"/>
        <v>19.218241042345277</v>
      </c>
      <c r="J77" s="144">
        <f t="shared" si="225"/>
        <v>-42.671009771986974</v>
      </c>
      <c r="K77" s="144" t="e">
        <f t="shared" si="225"/>
        <v>#DIV/0!</v>
      </c>
      <c r="L77" s="144">
        <f t="shared" si="225"/>
        <v>23.414634146341466</v>
      </c>
      <c r="M77" s="144">
        <f t="shared" si="225"/>
        <v>-86.097560975609767</v>
      </c>
      <c r="N77" s="144">
        <f t="shared" si="225"/>
        <v>79.756097560975618</v>
      </c>
      <c r="O77" s="144">
        <f t="shared" si="225"/>
        <v>60.000000000000007</v>
      </c>
      <c r="P77" s="144">
        <f t="shared" si="225"/>
        <v>72.195121951219519</v>
      </c>
      <c r="Q77" s="144">
        <f t="shared" ref="Q77" si="226">Q22/Q42</f>
        <v>72.195121951219519</v>
      </c>
      <c r="R77" s="118">
        <f>((P77/G77)^(1/($H$2-$H$1) ))-1</f>
        <v>-2.0493655997956202</v>
      </c>
      <c r="S77" s="128"/>
      <c r="T77" s="146">
        <f t="shared" ref="T77:AC77" si="227">T22/T42</f>
        <v>77.198744264670367</v>
      </c>
      <c r="U77" s="146">
        <f t="shared" si="227"/>
        <v>82.549152283013868</v>
      </c>
      <c r="V77" s="146">
        <f t="shared" si="227"/>
        <v>88.27038065906433</v>
      </c>
      <c r="W77" s="146">
        <f t="shared" si="227"/>
        <v>94.388129813652967</v>
      </c>
      <c r="X77" s="146">
        <f t="shared" si="227"/>
        <v>100.92988138489623</v>
      </c>
      <c r="Y77" s="146">
        <f t="shared" si="227"/>
        <v>107.92502167889896</v>
      </c>
      <c r="Z77" s="146">
        <f t="shared" si="227"/>
        <v>115.4049736764464</v>
      </c>
      <c r="AA77" s="146">
        <f t="shared" si="227"/>
        <v>123.40333818867536</v>
      </c>
      <c r="AB77" s="146">
        <f t="shared" si="227"/>
        <v>131.95604479581129</v>
      </c>
      <c r="AC77" s="146">
        <f t="shared" si="227"/>
        <v>141.10151324700618</v>
      </c>
      <c r="AD77" s="138" t="e">
        <f t="shared" si="215"/>
        <v>#NUM!</v>
      </c>
      <c r="AE77" s="31">
        <f t="shared" si="15"/>
        <v>0.05</v>
      </c>
      <c r="AF77" s="146">
        <f t="shared" si="168"/>
        <v>871.50934652562648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6.6844919786096249</v>
      </c>
      <c r="G78" s="144">
        <f t="shared" si="228"/>
        <v>10.160427807486631</v>
      </c>
      <c r="H78" s="144">
        <f t="shared" si="228"/>
        <v>9.6256684491978604</v>
      </c>
      <c r="I78" s="144">
        <f t="shared" si="228"/>
        <v>12.703583061889251</v>
      </c>
      <c r="J78" s="144">
        <f t="shared" si="228"/>
        <v>9.4462540716612384</v>
      </c>
      <c r="K78" s="144" t="e">
        <f t="shared" si="228"/>
        <v>#DIV/0!</v>
      </c>
      <c r="L78" s="144">
        <f t="shared" si="228"/>
        <v>10.24390243902439</v>
      </c>
      <c r="M78" s="144">
        <f t="shared" si="228"/>
        <v>15.365853658536587</v>
      </c>
      <c r="N78" s="144">
        <f t="shared" si="228"/>
        <v>20.731707317073173</v>
      </c>
      <c r="O78" s="144">
        <f t="shared" si="228"/>
        <v>19.024390243902442</v>
      </c>
      <c r="P78" s="144">
        <f t="shared" si="228"/>
        <v>22.926829268292686</v>
      </c>
      <c r="Q78" s="144">
        <f t="shared" ref="Q78" si="229">Q23/Q42</f>
        <v>22.926829268292686</v>
      </c>
      <c r="R78" s="118">
        <f>((P78/G78)^(1/($H$2-$H$1) ))-1</f>
        <v>9.4637248985228295E-2</v>
      </c>
      <c r="S78" s="128"/>
      <c r="T78" s="146">
        <f t="shared" ref="T78:AC78" si="230">T23/T42</f>
        <v>24.515817435402081</v>
      </c>
      <c r="U78" s="146">
        <f t="shared" si="230"/>
        <v>26.214933495281436</v>
      </c>
      <c r="V78" s="146">
        <f t="shared" si="230"/>
        <v>28.031810074162326</v>
      </c>
      <c r="W78" s="146">
        <f t="shared" si="230"/>
        <v>29.974608792173584</v>
      </c>
      <c r="X78" s="146">
        <f t="shared" si="230"/>
        <v>32.052056926284621</v>
      </c>
      <c r="Y78" s="146">
        <f t="shared" si="230"/>
        <v>34.273486614244945</v>
      </c>
      <c r="Z78" s="146">
        <f t="shared" si="230"/>
        <v>36.64887677562826</v>
      </c>
      <c r="AA78" s="146">
        <f t="shared" si="230"/>
        <v>39.188897938295568</v>
      </c>
      <c r="AB78" s="146">
        <f t="shared" si="230"/>
        <v>41.904960171642792</v>
      </c>
      <c r="AC78" s="146">
        <f t="shared" si="230"/>
        <v>44.809264341954673</v>
      </c>
      <c r="AD78" s="138">
        <f t="shared" ref="AD78" si="231">((AC78/G78)^(1/($AC$3-$H$1) ))-1</f>
        <v>7.7017576762121065E-2</v>
      </c>
      <c r="AE78" s="31">
        <f t="shared" si="15"/>
        <v>0.05</v>
      </c>
      <c r="AF78" s="146">
        <f t="shared" si="168"/>
        <v>276.76310328854362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51.871657754010691</v>
      </c>
      <c r="G80" s="144">
        <f t="shared" si="232"/>
        <v>33.422459893048128</v>
      </c>
      <c r="H80" s="144">
        <f t="shared" si="232"/>
        <v>30.213903743315505</v>
      </c>
      <c r="I80" s="144">
        <f t="shared" si="232"/>
        <v>51.140065146579808</v>
      </c>
      <c r="J80" s="144">
        <f t="shared" si="232"/>
        <v>84.364820846905545</v>
      </c>
      <c r="K80" s="144" t="e">
        <f t="shared" si="232"/>
        <v>#DIV/0!</v>
      </c>
      <c r="L80" s="144">
        <f t="shared" si="232"/>
        <v>87.317073170731717</v>
      </c>
      <c r="M80" s="144">
        <f t="shared" si="232"/>
        <v>146.09756097560978</v>
      </c>
      <c r="N80" s="144">
        <f t="shared" si="232"/>
        <v>69.268292682926841</v>
      </c>
      <c r="O80" s="144">
        <f t="shared" si="232"/>
        <v>80.243902439024396</v>
      </c>
      <c r="P80" s="144">
        <f t="shared" si="232"/>
        <v>150.73170731707319</v>
      </c>
      <c r="Q80" s="144">
        <f t="shared" ref="Q80" si="233">Q36/Q42</f>
        <v>150.73170731707319</v>
      </c>
      <c r="R80" s="118">
        <f>((P80/G80)^(1/($H$2-$H$1) ))-1</f>
        <v>0.1821841551056429</v>
      </c>
      <c r="S80" s="128"/>
      <c r="T80" s="144">
        <f t="shared" ref="T80:AC80" si="234">T36/T42</f>
        <v>161.17845930934558</v>
      </c>
      <c r="U80" s="144">
        <f t="shared" si="234"/>
        <v>172.34924361791411</v>
      </c>
      <c r="V80" s="144">
        <f t="shared" si="234"/>
        <v>184.29424070034378</v>
      </c>
      <c r="W80" s="144">
        <f t="shared" si="234"/>
        <v>197.06710886769434</v>
      </c>
      <c r="X80" s="144">
        <f t="shared" si="234"/>
        <v>210.72522532387117</v>
      </c>
      <c r="Y80" s="144">
        <f t="shared" si="234"/>
        <v>225.32994391067416</v>
      </c>
      <c r="Z80" s="144">
        <f t="shared" si="234"/>
        <v>240.94687071636443</v>
      </c>
      <c r="AA80" s="144">
        <f t="shared" si="234"/>
        <v>257.64615878581543</v>
      </c>
      <c r="AB80" s="144">
        <f t="shared" si="234"/>
        <v>275.50282325611948</v>
      </c>
      <c r="AC80" s="144">
        <f t="shared" si="234"/>
        <v>294.59707833327633</v>
      </c>
      <c r="AD80" s="138">
        <f t="shared" ref="AD80:AD82" si="235">((AC80/G80)^(1/($AC$3-$H$1) ))-1</f>
        <v>0.11496054990503213</v>
      </c>
      <c r="AE80" s="31">
        <f t="shared" si="15"/>
        <v>0.05</v>
      </c>
      <c r="AF80" s="146">
        <f t="shared" si="168"/>
        <v>1819.5701897055305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5.8823529411764701</v>
      </c>
      <c r="G81" s="144">
        <f t="shared" si="236"/>
        <v>3.2085561497326203</v>
      </c>
      <c r="H81" s="144">
        <f t="shared" si="236"/>
        <v>4.545454545454545</v>
      </c>
      <c r="I81" s="144">
        <f t="shared" si="236"/>
        <v>4.5602605863192185</v>
      </c>
      <c r="J81" s="144">
        <f t="shared" si="236"/>
        <v>20.846905537459286</v>
      </c>
      <c r="K81" s="144" t="e">
        <f t="shared" si="236"/>
        <v>#DIV/0!</v>
      </c>
      <c r="L81" s="144">
        <f t="shared" si="236"/>
        <v>-27.31707317073171</v>
      </c>
      <c r="M81" s="144">
        <f t="shared" si="236"/>
        <v>53.41463414634147</v>
      </c>
      <c r="N81" s="144">
        <f t="shared" si="236"/>
        <v>15.121951219512196</v>
      </c>
      <c r="O81" s="144">
        <f t="shared" si="236"/>
        <v>-9.2682926829268304</v>
      </c>
      <c r="P81" s="144">
        <f t="shared" si="236"/>
        <v>48.048780487804883</v>
      </c>
      <c r="Q81" s="144">
        <f t="shared" ref="Q81" si="237">Q40/Q42</f>
        <v>48.048780487804883</v>
      </c>
      <c r="R81" s="118">
        <f>((P81/G81)^(1/($H$2-$H$1) ))-1</f>
        <v>0.35081840566132194</v>
      </c>
      <c r="S81" s="128"/>
      <c r="T81" s="144">
        <f t="shared" ref="T81:AC81" si="238">T40/T42</f>
        <v>51.378893986959675</v>
      </c>
      <c r="U81" s="144">
        <f t="shared" si="238"/>
        <v>54.93980743160045</v>
      </c>
      <c r="V81" s="144">
        <f t="shared" si="238"/>
        <v>58.747516857552952</v>
      </c>
      <c r="W81" s="144">
        <f t="shared" si="238"/>
        <v>62.81912693678931</v>
      </c>
      <c r="X81" s="144">
        <f t="shared" si="238"/>
        <v>67.172927813596488</v>
      </c>
      <c r="Y81" s="144">
        <f t="shared" si="238"/>
        <v>71.828477266023981</v>
      </c>
      <c r="Z81" s="144">
        <f t="shared" si="238"/>
        <v>76.806688561689</v>
      </c>
      <c r="AA81" s="144">
        <f t="shared" si="238"/>
        <v>82.129924402598135</v>
      </c>
      <c r="AB81" s="144">
        <f t="shared" si="238"/>
        <v>87.822097380996041</v>
      </c>
      <c r="AC81" s="144">
        <f t="shared" si="238"/>
        <v>93.908777397500728</v>
      </c>
      <c r="AD81" s="138">
        <f t="shared" si="235"/>
        <v>0.1839131029323271</v>
      </c>
      <c r="AE81" s="31">
        <f t="shared" si="15"/>
        <v>0.05</v>
      </c>
      <c r="AF81" s="146">
        <f t="shared" si="168"/>
        <v>580.02480157279865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228.87700534759358</v>
      </c>
      <c r="G82" s="144">
        <f t="shared" si="239"/>
        <v>218.98395721925132</v>
      </c>
      <c r="H82" s="144">
        <f t="shared" si="239"/>
        <v>199.19786096256684</v>
      </c>
      <c r="I82" s="144">
        <f t="shared" si="239"/>
        <v>185.01628664495115</v>
      </c>
      <c r="J82" s="144">
        <f t="shared" si="239"/>
        <v>167.10097719869708</v>
      </c>
      <c r="K82" s="144" t="e">
        <f t="shared" si="239"/>
        <v>#DIV/0!</v>
      </c>
      <c r="L82" s="144">
        <f t="shared" si="239"/>
        <v>158.53658536585368</v>
      </c>
      <c r="M82" s="144">
        <f t="shared" si="239"/>
        <v>197.31707317073173</v>
      </c>
      <c r="N82" s="144">
        <f t="shared" si="239"/>
        <v>199.26829268292684</v>
      </c>
      <c r="O82" s="144">
        <f t="shared" si="239"/>
        <v>174.39024390243904</v>
      </c>
      <c r="P82" s="144">
        <f t="shared" si="239"/>
        <v>210.97560975609758</v>
      </c>
      <c r="Q82" s="144">
        <f t="shared" ref="Q82" si="240">Q6/Q42</f>
        <v>210.97560975609758</v>
      </c>
      <c r="R82" s="118">
        <f>((P82/G82)^(1/($H$2-$H$1) ))-1</f>
        <v>-4.1309926786536888E-3</v>
      </c>
      <c r="S82" s="128"/>
      <c r="T82" s="144">
        <f t="shared" ref="T82:AC82" si="241">T6/T42</f>
        <v>225.59768171939146</v>
      </c>
      <c r="U82" s="144">
        <f t="shared" si="241"/>
        <v>241.23316461083445</v>
      </c>
      <c r="V82" s="144">
        <f t="shared" si="241"/>
        <v>257.95229483138729</v>
      </c>
      <c r="W82" s="144">
        <f t="shared" si="241"/>
        <v>275.83017665138453</v>
      </c>
      <c r="X82" s="144">
        <f t="shared" si="241"/>
        <v>294.94711958761906</v>
      </c>
      <c r="Y82" s="144">
        <f t="shared" si="241"/>
        <v>315.38899916299863</v>
      </c>
      <c r="Z82" s="144">
        <f t="shared" si="241"/>
        <v>337.24764266934511</v>
      </c>
      <c r="AA82" s="144">
        <f t="shared" si="241"/>
        <v>360.62124166623039</v>
      </c>
      <c r="AB82" s="144">
        <f t="shared" si="241"/>
        <v>385.61479306884047</v>
      </c>
      <c r="AC82" s="144">
        <f t="shared" si="241"/>
        <v>412.34057080628492</v>
      </c>
      <c r="AD82" s="138">
        <f t="shared" si="235"/>
        <v>3.2148506321872494E-2</v>
      </c>
      <c r="AE82" s="31">
        <f t="shared" ref="AE82" si="242">$L$1</f>
        <v>0.05</v>
      </c>
      <c r="AF82" s="146">
        <f t="shared" si="168"/>
        <v>2546.8094079211719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>
        <f t="shared" si="243"/>
        <v>0.10954263128176171</v>
      </c>
      <c r="G86" s="152">
        <f t="shared" si="243"/>
        <v>6.6702241195304157E-2</v>
      </c>
      <c r="H86" s="152">
        <f t="shared" si="243"/>
        <v>5.2977027660571961E-2</v>
      </c>
      <c r="I86" s="152">
        <f t="shared" si="243"/>
        <v>5.7720588235294121E-2</v>
      </c>
      <c r="J86" s="152">
        <f t="shared" si="243"/>
        <v>8.8275391956373558E-2</v>
      </c>
      <c r="K86" s="152" t="e">
        <f t="shared" si="243"/>
        <v>#DIV/0!</v>
      </c>
      <c r="L86" s="152">
        <f t="shared" si="243"/>
        <v>6.5651934714835866E-2</v>
      </c>
      <c r="M86" s="152">
        <f t="shared" si="243"/>
        <v>0.13170624450307827</v>
      </c>
      <c r="N86" s="152">
        <f t="shared" si="243"/>
        <v>4.6133853151397008E-2</v>
      </c>
      <c r="O86" s="152">
        <f t="shared" si="243"/>
        <v>4.8240469208211144E-2</v>
      </c>
      <c r="P86" s="152">
        <f t="shared" si="243"/>
        <v>8.7672010214214779E-2</v>
      </c>
      <c r="Q86" s="152">
        <f t="shared" ref="Q86" si="244">Q36/Q25</f>
        <v>8.7672010214214779E-2</v>
      </c>
      <c r="R86" s="118">
        <f t="shared" ref="R86:R138" si="245">((P86/G86)^(1/($H$2-$H$1) ))-1</f>
        <v>3.0839783121027198E-2</v>
      </c>
      <c r="S86" s="152"/>
      <c r="T86" s="152">
        <f t="shared" ref="T86:AC86" si="246">T36/T25</f>
        <v>8.7672010214214793E-2</v>
      </c>
      <c r="U86" s="152">
        <f t="shared" si="246"/>
        <v>8.7672010214214793E-2</v>
      </c>
      <c r="V86" s="152">
        <f t="shared" si="246"/>
        <v>8.7672010214214779E-2</v>
      </c>
      <c r="W86" s="152">
        <f t="shared" si="246"/>
        <v>8.7672010214214779E-2</v>
      </c>
      <c r="X86" s="152">
        <f t="shared" si="246"/>
        <v>8.7672010214214779E-2</v>
      </c>
      <c r="Y86" s="152">
        <f t="shared" si="246"/>
        <v>8.7672010214214779E-2</v>
      </c>
      <c r="Z86" s="152">
        <f t="shared" si="246"/>
        <v>8.7672010214214766E-2</v>
      </c>
      <c r="AA86" s="152">
        <f t="shared" si="246"/>
        <v>8.7672010214214766E-2</v>
      </c>
      <c r="AB86" s="152">
        <f t="shared" si="246"/>
        <v>8.7672010214214752E-2</v>
      </c>
      <c r="AC86" s="152">
        <f t="shared" si="246"/>
        <v>8.7672010214214766E-2</v>
      </c>
      <c r="AD86" s="138">
        <f t="shared" ref="AD86:AD125" si="247">((AC86/G86)^(1/($AC$3-$H$1) ))-1</f>
        <v>1.3762044041461863E-2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>
        <f t="shared" si="248"/>
        <v>1.2422360248447204E-2</v>
      </c>
      <c r="G87" s="152">
        <f t="shared" si="248"/>
        <v>6.4034151547491995E-3</v>
      </c>
      <c r="H87" s="152">
        <f t="shared" si="248"/>
        <v>7.9699953117674631E-3</v>
      </c>
      <c r="I87" s="152">
        <f t="shared" si="248"/>
        <v>5.1470588235294117E-3</v>
      </c>
      <c r="J87" s="152">
        <f t="shared" si="248"/>
        <v>2.1813224267211998E-2</v>
      </c>
      <c r="K87" s="152" t="e">
        <f t="shared" si="248"/>
        <v>#DIV/0!</v>
      </c>
      <c r="L87" s="152">
        <f t="shared" si="248"/>
        <v>-2.0539152759948651E-2</v>
      </c>
      <c r="M87" s="152">
        <f t="shared" si="248"/>
        <v>4.8153034300791556E-2</v>
      </c>
      <c r="N87" s="152">
        <f t="shared" si="248"/>
        <v>1.0071474983755685E-2</v>
      </c>
      <c r="O87" s="152">
        <f t="shared" si="248"/>
        <v>-5.5718475073313787E-3</v>
      </c>
      <c r="P87" s="152">
        <f t="shared" si="248"/>
        <v>2.7947226556958433E-2</v>
      </c>
      <c r="Q87" s="152">
        <f t="shared" ref="Q87" si="249">Q40/Q25</f>
        <v>2.7947226556958433E-2</v>
      </c>
      <c r="R87" s="118">
        <f t="shared" si="245"/>
        <v>0.17788531195748725</v>
      </c>
      <c r="S87" s="152"/>
      <c r="T87" s="152">
        <f t="shared" ref="T87:AC87" si="250">T40/T25</f>
        <v>2.7947226556958436E-2</v>
      </c>
      <c r="U87" s="152">
        <f t="shared" si="250"/>
        <v>2.7947226556958436E-2</v>
      </c>
      <c r="V87" s="152">
        <f t="shared" si="250"/>
        <v>2.7947226556958436E-2</v>
      </c>
      <c r="W87" s="152">
        <f t="shared" si="250"/>
        <v>2.794722655695844E-2</v>
      </c>
      <c r="X87" s="152">
        <f t="shared" si="250"/>
        <v>2.7947226556958433E-2</v>
      </c>
      <c r="Y87" s="152">
        <f t="shared" si="250"/>
        <v>2.7947226556958436E-2</v>
      </c>
      <c r="Z87" s="152">
        <f t="shared" si="250"/>
        <v>2.7947226556958436E-2</v>
      </c>
      <c r="AA87" s="152">
        <f t="shared" si="250"/>
        <v>2.7947226556958436E-2</v>
      </c>
      <c r="AB87" s="152">
        <f t="shared" si="250"/>
        <v>2.7947226556958436E-2</v>
      </c>
      <c r="AC87" s="152">
        <f t="shared" si="250"/>
        <v>2.7947226556958436E-2</v>
      </c>
      <c r="AD87" s="138">
        <f t="shared" si="247"/>
        <v>7.6456173537596817E-2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>
        <f t="shared" si="251"/>
        <v>2.463605823068309E-2</v>
      </c>
      <c r="G88" s="152">
        <f>G40/G7</f>
        <v>1.4018691588785047E-2</v>
      </c>
      <c r="H88" s="152">
        <f t="shared" si="251"/>
        <v>2.1739130434782608E-2</v>
      </c>
      <c r="I88" s="152">
        <f t="shared" si="251"/>
        <v>2.337228714524207E-2</v>
      </c>
      <c r="J88" s="152">
        <f t="shared" si="251"/>
        <v>0.11764705882352941</v>
      </c>
      <c r="K88" s="152" t="e">
        <f t="shared" si="251"/>
        <v>#DIV/0!</v>
      </c>
      <c r="L88" s="152">
        <f t="shared" si="251"/>
        <v>-0.16208393632416787</v>
      </c>
      <c r="M88" s="152">
        <f t="shared" si="251"/>
        <v>0.2576470588235294</v>
      </c>
      <c r="N88" s="152">
        <f t="shared" si="251"/>
        <v>7.2261072261072257E-2</v>
      </c>
      <c r="O88" s="152">
        <f t="shared" si="251"/>
        <v>-5.0331125827814571E-2</v>
      </c>
      <c r="P88" s="152">
        <f t="shared" ref="P88:Q88" si="252">P40/P7</f>
        <v>0.217439293598234</v>
      </c>
      <c r="Q88" s="152">
        <f t="shared" si="252"/>
        <v>0.217439293598234</v>
      </c>
      <c r="R88" s="118">
        <f t="shared" si="245"/>
        <v>0.35610177062218495</v>
      </c>
      <c r="S88" s="20"/>
      <c r="T88" s="152">
        <f t="shared" ref="T88" si="253">T40/T7</f>
        <v>0.21743929359823402</v>
      </c>
      <c r="U88" s="152">
        <f t="shared" ref="U88:AC88" si="254">U40/U7</f>
        <v>0.217439293598234</v>
      </c>
      <c r="V88" s="152">
        <f t="shared" si="254"/>
        <v>0.217439293598234</v>
      </c>
      <c r="W88" s="152">
        <f t="shared" si="254"/>
        <v>0.217439293598234</v>
      </c>
      <c r="X88" s="152">
        <f t="shared" si="254"/>
        <v>0.217439293598234</v>
      </c>
      <c r="Y88" s="152">
        <f t="shared" si="254"/>
        <v>0.217439293598234</v>
      </c>
      <c r="Z88" s="152">
        <f t="shared" si="254"/>
        <v>0.217439293598234</v>
      </c>
      <c r="AA88" s="152">
        <f t="shared" si="254"/>
        <v>0.217439293598234</v>
      </c>
      <c r="AB88" s="152">
        <f t="shared" si="254"/>
        <v>0.217439293598234</v>
      </c>
      <c r="AC88" s="152">
        <f t="shared" si="254"/>
        <v>0.217439293598234</v>
      </c>
      <c r="AD88" s="138">
        <f t="shared" si="247"/>
        <v>0.14691577808534362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>
        <f t="shared" si="255"/>
        <v>1.2709416522241479E-2</v>
      </c>
      <c r="G89" s="152">
        <f>(G40)/(G7+G10)</f>
        <v>7.4719800747198011E-3</v>
      </c>
      <c r="H89" s="152">
        <f t="shared" ref="H89:O89" si="256">(H40)/(H7+H10)</f>
        <v>1.054590570719603E-2</v>
      </c>
      <c r="I89" s="152">
        <f t="shared" si="256"/>
        <v>9.0732339598185354E-3</v>
      </c>
      <c r="J89" s="152">
        <f t="shared" si="256"/>
        <v>4.386566141192598E-2</v>
      </c>
      <c r="K89" s="152" t="e">
        <f t="shared" si="256"/>
        <v>#DIV/0!</v>
      </c>
      <c r="L89" s="152">
        <f t="shared" si="256"/>
        <v>-5.4027978774722624E-2</v>
      </c>
      <c r="M89" s="152">
        <f t="shared" si="256"/>
        <v>0.10906374501992032</v>
      </c>
      <c r="N89" s="152">
        <f t="shared" si="256"/>
        <v>2.5091056252529342E-2</v>
      </c>
      <c r="O89" s="152">
        <f t="shared" si="256"/>
        <v>-1.3683831472812387E-2</v>
      </c>
      <c r="P89" s="152">
        <f t="shared" ref="P89:Q89" si="257">(P40)/(P7+P10)</f>
        <v>5.7267441860465118E-2</v>
      </c>
      <c r="Q89" s="152">
        <f t="shared" si="257"/>
        <v>5.7267441860465118E-2</v>
      </c>
      <c r="R89" s="118">
        <f t="shared" si="245"/>
        <v>0.25393399162219232</v>
      </c>
      <c r="S89" s="20"/>
      <c r="T89" s="152">
        <f t="shared" ref="T89:AC89" si="258">(T40)/(T7+T10)</f>
        <v>5.7267441860465118E-2</v>
      </c>
      <c r="U89" s="152">
        <f t="shared" si="258"/>
        <v>5.7267441860465111E-2</v>
      </c>
      <c r="V89" s="152">
        <f t="shared" si="258"/>
        <v>5.7267441860465118E-2</v>
      </c>
      <c r="W89" s="152">
        <f t="shared" si="258"/>
        <v>5.7267441860465125E-2</v>
      </c>
      <c r="X89" s="152">
        <f t="shared" si="258"/>
        <v>5.7267441860465118E-2</v>
      </c>
      <c r="Y89" s="152">
        <f t="shared" si="258"/>
        <v>5.7267441860465125E-2</v>
      </c>
      <c r="Z89" s="152">
        <f t="shared" si="258"/>
        <v>5.7267441860465125E-2</v>
      </c>
      <c r="AA89" s="152">
        <f t="shared" si="258"/>
        <v>5.7267441860465118E-2</v>
      </c>
      <c r="AB89" s="152">
        <f t="shared" si="258"/>
        <v>5.7267441860465125E-2</v>
      </c>
      <c r="AC89" s="152">
        <f t="shared" si="258"/>
        <v>5.7267441860465125E-2</v>
      </c>
      <c r="AD89" s="138">
        <f t="shared" si="247"/>
        <v>0.10719369481643404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0.11419423692636073</v>
      </c>
      <c r="H90" s="152">
        <f t="shared" ref="H90:P90" si="259">H20/H25</f>
        <v>4.0318799812470697E-2</v>
      </c>
      <c r="I90" s="152">
        <f t="shared" si="259"/>
        <v>1.6544117647058824E-2</v>
      </c>
      <c r="J90" s="152">
        <f t="shared" si="259"/>
        <v>6.646216768916155E-2</v>
      </c>
      <c r="K90" s="152" t="e">
        <f t="shared" si="259"/>
        <v>#DIV/0!</v>
      </c>
      <c r="L90" s="152">
        <f t="shared" si="259"/>
        <v>4.878048780487805E-2</v>
      </c>
      <c r="M90" s="152">
        <f t="shared" si="259"/>
        <v>0.11961301671064203</v>
      </c>
      <c r="N90" s="152">
        <f t="shared" si="259"/>
        <v>-3.4113060428849901E-3</v>
      </c>
      <c r="O90" s="152">
        <f t="shared" si="259"/>
        <v>5.0733137829912026E-2</v>
      </c>
      <c r="P90" s="152">
        <f t="shared" si="259"/>
        <v>-1.4328273513973613E-2</v>
      </c>
      <c r="Q90" s="152">
        <f t="shared" ref="Q90" si="260">Q20/Q25</f>
        <v>-1.4328273513973613E-2</v>
      </c>
      <c r="R90" s="118">
        <f t="shared" si="245"/>
        <v>-1.7940335500723981</v>
      </c>
      <c r="S90" s="20"/>
      <c r="T90" s="152">
        <f t="shared" ref="T90:AC90" si="261">T20/T25</f>
        <v>-1.4328273513973614E-2</v>
      </c>
      <c r="U90" s="152">
        <f t="shared" si="261"/>
        <v>-1.4328273513973614E-2</v>
      </c>
      <c r="V90" s="152">
        <f t="shared" si="261"/>
        <v>-1.4328273513973614E-2</v>
      </c>
      <c r="W90" s="152">
        <f t="shared" si="261"/>
        <v>-1.4328273513973616E-2</v>
      </c>
      <c r="X90" s="152">
        <f t="shared" si="261"/>
        <v>-1.4328273513973614E-2</v>
      </c>
      <c r="Y90" s="152">
        <f t="shared" si="261"/>
        <v>-1.4328273513973613E-2</v>
      </c>
      <c r="Z90" s="152">
        <f t="shared" si="261"/>
        <v>-1.4328273513973613E-2</v>
      </c>
      <c r="AA90" s="152">
        <f t="shared" si="261"/>
        <v>-1.4328273513973613E-2</v>
      </c>
      <c r="AB90" s="152">
        <f t="shared" si="261"/>
        <v>-1.4328273513973613E-2</v>
      </c>
      <c r="AC90" s="152">
        <f t="shared" si="261"/>
        <v>-1.4328273513973613E-2</v>
      </c>
      <c r="AD90" s="138" t="e">
        <f t="shared" si="247"/>
        <v>#NUM!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-1.2273212379935965E-2</v>
      </c>
      <c r="H91" s="152">
        <f t="shared" ref="H91:P91" si="262">H52/H25</f>
        <v>-6.5635255508673229E-3</v>
      </c>
      <c r="I91" s="152">
        <f t="shared" si="262"/>
        <v>2.9411764705882353E-3</v>
      </c>
      <c r="J91" s="152">
        <f t="shared" si="262"/>
        <v>1.2610770279481936E-2</v>
      </c>
      <c r="K91" s="152" t="e">
        <f t="shared" si="262"/>
        <v>#DIV/0!</v>
      </c>
      <c r="L91" s="152">
        <f t="shared" si="262"/>
        <v>6.785255822483037E-3</v>
      </c>
      <c r="M91" s="152">
        <f t="shared" si="262"/>
        <v>2.0668425681618294E-2</v>
      </c>
      <c r="N91" s="152">
        <f t="shared" si="262"/>
        <v>8.1221572449642621E-3</v>
      </c>
      <c r="O91" s="152">
        <f t="shared" si="262"/>
        <v>2.1994134897360706E-3</v>
      </c>
      <c r="P91" s="152">
        <f t="shared" si="262"/>
        <v>9.6467584054475818E-3</v>
      </c>
      <c r="Q91" s="152">
        <f t="shared" ref="Q91" si="263">Q52/Q25</f>
        <v>9.6467584054475818E-3</v>
      </c>
      <c r="R91" s="118">
        <f t="shared" si="245"/>
        <v>-1.9735995181817954</v>
      </c>
      <c r="S91" s="20"/>
      <c r="T91" s="152">
        <f t="shared" ref="T91:AC91" si="264">T52/T25</f>
        <v>9.6467584054475853E-3</v>
      </c>
      <c r="U91" s="152">
        <f t="shared" si="264"/>
        <v>9.6467584054475836E-3</v>
      </c>
      <c r="V91" s="152">
        <f t="shared" si="264"/>
        <v>9.6467584054475836E-3</v>
      </c>
      <c r="W91" s="152">
        <f t="shared" si="264"/>
        <v>9.6467584054475818E-3</v>
      </c>
      <c r="X91" s="152">
        <f t="shared" si="264"/>
        <v>9.6467584054475836E-3</v>
      </c>
      <c r="Y91" s="152">
        <f t="shared" si="264"/>
        <v>9.6467584054475801E-3</v>
      </c>
      <c r="Z91" s="152">
        <f t="shared" si="264"/>
        <v>9.6467584054475784E-3</v>
      </c>
      <c r="AA91" s="152">
        <f t="shared" si="264"/>
        <v>9.6467584054475784E-3</v>
      </c>
      <c r="AB91" s="152">
        <f t="shared" si="264"/>
        <v>9.6467584054475801E-3</v>
      </c>
      <c r="AC91" s="152">
        <f t="shared" si="264"/>
        <v>9.6467584054475766E-3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4.5357524012806828E-2</v>
      </c>
      <c r="H93" s="152">
        <f t="shared" ref="H93:P93" si="265">H29/H25</f>
        <v>3.1411157993436474E-2</v>
      </c>
      <c r="I93" s="152">
        <f t="shared" si="265"/>
        <v>2.9044117647058824E-2</v>
      </c>
      <c r="J93" s="152">
        <f t="shared" si="265"/>
        <v>3.1015678254942058E-2</v>
      </c>
      <c r="K93" s="152" t="e">
        <f t="shared" si="265"/>
        <v>#DIV/0!</v>
      </c>
      <c r="L93" s="152">
        <f t="shared" si="265"/>
        <v>4.9697414267375756E-2</v>
      </c>
      <c r="M93" s="152">
        <f t="shared" si="265"/>
        <v>4.639401934916447E-2</v>
      </c>
      <c r="N93" s="152">
        <f t="shared" si="265"/>
        <v>1.7706302794022091E-2</v>
      </c>
      <c r="O93" s="152">
        <f t="shared" si="265"/>
        <v>2.7419354838709678E-2</v>
      </c>
      <c r="P93" s="152">
        <f t="shared" si="265"/>
        <v>3.291246985387998E-2</v>
      </c>
      <c r="Q93" s="152">
        <f t="shared" ref="Q93" si="266">Q29/Q25</f>
        <v>3.291246985387998E-2</v>
      </c>
      <c r="R93" s="118">
        <f t="shared" si="245"/>
        <v>-3.5008563265979009E-2</v>
      </c>
      <c r="S93" s="20"/>
      <c r="T93" s="152">
        <f t="shared" ref="T93:AC93" si="267">T29/T25</f>
        <v>3.291246985387998E-2</v>
      </c>
      <c r="U93" s="152">
        <f t="shared" si="267"/>
        <v>3.291246985387998E-2</v>
      </c>
      <c r="V93" s="152">
        <f t="shared" si="267"/>
        <v>3.291246985387998E-2</v>
      </c>
      <c r="W93" s="152">
        <f t="shared" si="267"/>
        <v>3.2912469853879987E-2</v>
      </c>
      <c r="X93" s="152">
        <f t="shared" si="267"/>
        <v>3.2912469853879987E-2</v>
      </c>
      <c r="Y93" s="152">
        <f t="shared" si="267"/>
        <v>3.291246985387998E-2</v>
      </c>
      <c r="Z93" s="152">
        <f t="shared" si="267"/>
        <v>3.291246985387998E-2</v>
      </c>
      <c r="AA93" s="152">
        <f t="shared" si="267"/>
        <v>3.291246985387998E-2</v>
      </c>
      <c r="AB93" s="152">
        <f t="shared" si="267"/>
        <v>3.291246985387998E-2</v>
      </c>
      <c r="AC93" s="152">
        <f t="shared" si="267"/>
        <v>3.2912469853879987E-2</v>
      </c>
      <c r="AD93" s="138">
        <f t="shared" si="247"/>
        <v>-1.5908327529950972E-2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0.68</v>
      </c>
      <c r="H94" s="152">
        <f t="shared" ref="H94:P94" si="268">H29/H36</f>
        <v>0.59292035398230092</v>
      </c>
      <c r="I94" s="152">
        <f t="shared" si="268"/>
        <v>0.50318471337579618</v>
      </c>
      <c r="J94" s="152">
        <f t="shared" si="268"/>
        <v>0.35135135135135137</v>
      </c>
      <c r="K94" s="152" t="e">
        <f t="shared" si="268"/>
        <v>#DIV/0!</v>
      </c>
      <c r="L94" s="152">
        <f t="shared" si="268"/>
        <v>0.75698324022346364</v>
      </c>
      <c r="M94" s="152">
        <f t="shared" si="268"/>
        <v>0.35225375626043404</v>
      </c>
      <c r="N94" s="152">
        <f t="shared" si="268"/>
        <v>0.38380281690140844</v>
      </c>
      <c r="O94" s="152">
        <f t="shared" si="268"/>
        <v>0.56838905775075987</v>
      </c>
      <c r="P94" s="152">
        <f t="shared" si="268"/>
        <v>0.37540453074433655</v>
      </c>
      <c r="Q94" s="152">
        <f t="shared" ref="Q94" si="269">Q29/Q36</f>
        <v>0.37540453074433655</v>
      </c>
      <c r="R94" s="118">
        <f t="shared" ref="R94" si="270">((P94/G94)^(1/($H$2-$H$1) ))-1</f>
        <v>-6.387835186923041E-2</v>
      </c>
      <c r="S94" s="20"/>
      <c r="T94" s="152">
        <f t="shared" ref="T94:AC94" si="271">T29/T36</f>
        <v>0.37540453074433655</v>
      </c>
      <c r="U94" s="152">
        <f t="shared" si="271"/>
        <v>0.37540453074433655</v>
      </c>
      <c r="V94" s="152">
        <f t="shared" si="271"/>
        <v>0.37540453074433655</v>
      </c>
      <c r="W94" s="152">
        <f t="shared" si="271"/>
        <v>0.37540453074433661</v>
      </c>
      <c r="X94" s="152">
        <f t="shared" si="271"/>
        <v>0.37540453074433661</v>
      </c>
      <c r="Y94" s="152">
        <f t="shared" si="271"/>
        <v>0.37540453074433655</v>
      </c>
      <c r="Z94" s="152">
        <f t="shared" si="271"/>
        <v>0.37540453074433661</v>
      </c>
      <c r="AA94" s="152">
        <f t="shared" si="271"/>
        <v>0.37540453074433661</v>
      </c>
      <c r="AB94" s="152">
        <f t="shared" si="271"/>
        <v>0.37540453074433666</v>
      </c>
      <c r="AC94" s="152">
        <f t="shared" si="271"/>
        <v>0.37540453074433666</v>
      </c>
      <c r="AD94" s="138">
        <f t="shared" ref="AD94" si="272">((AC94/G94)^(1/($AC$3-$H$1) ))-1</f>
        <v>-2.9267589712797859E-2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7.083333333333333</v>
      </c>
      <c r="H95" s="171">
        <f t="shared" si="273"/>
        <v>3.9411764705882355</v>
      </c>
      <c r="I95" s="171">
        <f t="shared" si="273"/>
        <v>5.6428571428571432</v>
      </c>
      <c r="J95" s="171">
        <f t="shared" si="273"/>
        <v>1.421875</v>
      </c>
      <c r="K95" s="171" t="e">
        <f t="shared" si="273"/>
        <v>#DIV/0!</v>
      </c>
      <c r="L95" s="171">
        <f t="shared" si="273"/>
        <v>-2.4196428571428572</v>
      </c>
      <c r="M95" s="171">
        <f t="shared" si="273"/>
        <v>0.9634703196347032</v>
      </c>
      <c r="N95" s="171">
        <f t="shared" si="273"/>
        <v>1.7580645161290323</v>
      </c>
      <c r="O95" s="171">
        <f t="shared" si="273"/>
        <v>-4.9210526315789478</v>
      </c>
      <c r="P95" s="171">
        <f t="shared" si="273"/>
        <v>1.1776649746192893</v>
      </c>
      <c r="Q95" s="171">
        <f t="shared" ref="Q95" si="274">Q29/Q40</f>
        <v>1.1776649746192893</v>
      </c>
      <c r="R95" s="118">
        <f t="shared" ref="R95" si="275">((P95/G95)^(1/($H$2-$H$1) ))-1</f>
        <v>-0.18074244840498543</v>
      </c>
      <c r="S95" s="20"/>
      <c r="T95" s="171">
        <f t="shared" ref="T95:AC95" si="276">T29/T40</f>
        <v>1.1776649746192893</v>
      </c>
      <c r="U95" s="171">
        <f t="shared" si="276"/>
        <v>1.1776649746192893</v>
      </c>
      <c r="V95" s="171">
        <f t="shared" si="276"/>
        <v>1.1776649746192893</v>
      </c>
      <c r="W95" s="171">
        <f t="shared" si="276"/>
        <v>1.1776649746192893</v>
      </c>
      <c r="X95" s="171">
        <f t="shared" si="276"/>
        <v>1.1776649746192893</v>
      </c>
      <c r="Y95" s="171">
        <f t="shared" si="276"/>
        <v>1.1776649746192891</v>
      </c>
      <c r="Z95" s="171">
        <f t="shared" si="276"/>
        <v>1.1776649746192891</v>
      </c>
      <c r="AA95" s="171">
        <f t="shared" si="276"/>
        <v>1.1776649746192893</v>
      </c>
      <c r="AB95" s="171">
        <f t="shared" si="276"/>
        <v>1.1776649746192893</v>
      </c>
      <c r="AC95" s="171">
        <f t="shared" si="276"/>
        <v>1.1776649746192893</v>
      </c>
      <c r="AD95" s="138">
        <f t="shared" ref="AD95" si="277">((AC95/G95)^(1/($AC$3-$H$1) ))-1</f>
        <v>-8.580423740244536E-2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2.2972972972972974</v>
      </c>
      <c r="H96" s="171">
        <f t="shared" si="278"/>
        <v>1.8611111111111112</v>
      </c>
      <c r="I96" s="171">
        <f t="shared" si="278"/>
        <v>1.9750000000000001</v>
      </c>
      <c r="J96" s="171">
        <f t="shared" si="278"/>
        <v>3.0333333333333332</v>
      </c>
      <c r="K96" s="171" t="e">
        <f t="shared" si="278"/>
        <v>#DIV/0!</v>
      </c>
      <c r="L96" s="171">
        <f t="shared" si="278"/>
        <v>5.42</v>
      </c>
      <c r="M96" s="171">
        <f t="shared" si="278"/>
        <v>2.3444444444444446</v>
      </c>
      <c r="N96" s="171">
        <f t="shared" si="278"/>
        <v>0.94782608695652171</v>
      </c>
      <c r="O96" s="171">
        <f t="shared" si="278"/>
        <v>1.7809523809523808</v>
      </c>
      <c r="P96" s="171">
        <f t="shared" si="278"/>
        <v>1.6571428571428573</v>
      </c>
      <c r="Q96" s="171">
        <f t="shared" ref="Q96" si="279">Q29/Q12</f>
        <v>1.6571428571428573</v>
      </c>
      <c r="R96" s="118">
        <f t="shared" si="245"/>
        <v>-3.5642454173040572E-2</v>
      </c>
      <c r="S96" s="20"/>
      <c r="T96" s="152">
        <f t="shared" ref="T96:AC96" si="280">T29/T12</f>
        <v>1.657142857142857</v>
      </c>
      <c r="U96" s="152">
        <f t="shared" si="280"/>
        <v>1.657142857142857</v>
      </c>
      <c r="V96" s="152">
        <f t="shared" si="280"/>
        <v>1.657142857142857</v>
      </c>
      <c r="W96" s="152">
        <f t="shared" si="280"/>
        <v>1.6571428571428573</v>
      </c>
      <c r="X96" s="152">
        <f t="shared" si="280"/>
        <v>1.6571428571428573</v>
      </c>
      <c r="Y96" s="152">
        <f t="shared" si="280"/>
        <v>1.657142857142857</v>
      </c>
      <c r="Z96" s="152">
        <f t="shared" si="280"/>
        <v>1.657142857142857</v>
      </c>
      <c r="AA96" s="152">
        <f t="shared" si="280"/>
        <v>1.657142857142857</v>
      </c>
      <c r="AB96" s="152">
        <f t="shared" si="280"/>
        <v>1.657142857142857</v>
      </c>
      <c r="AC96" s="152">
        <f t="shared" si="280"/>
        <v>1.6571428571428573</v>
      </c>
      <c r="AD96" s="138">
        <f t="shared" si="247"/>
        <v>-1.6199277023370429E-2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2.236842105263158</v>
      </c>
      <c r="H97" s="171">
        <f t="shared" ref="H97:P97" si="281">H29/H23</f>
        <v>1.8611111111111112</v>
      </c>
      <c r="I97" s="171">
        <f t="shared" si="281"/>
        <v>2.0256410256410255</v>
      </c>
      <c r="J97" s="171">
        <f t="shared" si="281"/>
        <v>3.1379310344827585</v>
      </c>
      <c r="K97" s="171" t="e">
        <f t="shared" si="281"/>
        <v>#DIV/0!</v>
      </c>
      <c r="L97" s="171">
        <f t="shared" si="281"/>
        <v>6.4523809523809526</v>
      </c>
      <c r="M97" s="171">
        <f t="shared" si="281"/>
        <v>3.3492063492063493</v>
      </c>
      <c r="N97" s="171">
        <f t="shared" si="281"/>
        <v>1.2823529411764707</v>
      </c>
      <c r="O97" s="171">
        <f t="shared" si="281"/>
        <v>2.3974358974358974</v>
      </c>
      <c r="P97" s="171">
        <f t="shared" si="281"/>
        <v>2.4680851063829787</v>
      </c>
      <c r="Q97" s="171">
        <f t="shared" ref="Q97" si="282">Q29/Q23</f>
        <v>2.4680851063829787</v>
      </c>
      <c r="R97" s="118">
        <f t="shared" ref="R97" si="283">((P97/G97)^(1/($H$2-$H$1) ))-1</f>
        <v>1.0990792335543675E-2</v>
      </c>
      <c r="S97" s="20"/>
      <c r="T97" s="171">
        <f t="shared" ref="T97:AC97" si="284">T29/T23</f>
        <v>2.4680851063829783</v>
      </c>
      <c r="U97" s="171">
        <f t="shared" si="284"/>
        <v>2.4680851063829783</v>
      </c>
      <c r="V97" s="171">
        <f t="shared" si="284"/>
        <v>2.4680851063829783</v>
      </c>
      <c r="W97" s="171">
        <f t="shared" si="284"/>
        <v>2.4680851063829783</v>
      </c>
      <c r="X97" s="171">
        <f t="shared" si="284"/>
        <v>2.4680851063829783</v>
      </c>
      <c r="Y97" s="171">
        <f t="shared" si="284"/>
        <v>2.4680851063829778</v>
      </c>
      <c r="Z97" s="171">
        <f t="shared" si="284"/>
        <v>2.4680851063829778</v>
      </c>
      <c r="AA97" s="171">
        <f t="shared" si="284"/>
        <v>2.4680851063829778</v>
      </c>
      <c r="AB97" s="171">
        <f t="shared" si="284"/>
        <v>2.4680851063829778</v>
      </c>
      <c r="AC97" s="171">
        <f t="shared" si="284"/>
        <v>2.4680851063829778</v>
      </c>
      <c r="AD97" s="138">
        <f t="shared" ref="AD97" si="285">((AC97/G97)^(1/($AC$3-$H$1) ))-1</f>
        <v>4.9309921554863134E-3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22.047058823529412</v>
      </c>
      <c r="H99" s="127">
        <f t="shared" ref="H99:P99" si="286">1/H93</f>
        <v>31.835820895522389</v>
      </c>
      <c r="I99" s="127">
        <f t="shared" si="286"/>
        <v>34.430379746835442</v>
      </c>
      <c r="J99" s="127">
        <f t="shared" si="286"/>
        <v>32.241758241758241</v>
      </c>
      <c r="K99" s="127" t="e">
        <f t="shared" si="286"/>
        <v>#DIV/0!</v>
      </c>
      <c r="L99" s="127">
        <f t="shared" si="286"/>
        <v>20.121771217712176</v>
      </c>
      <c r="M99" s="127">
        <f t="shared" si="286"/>
        <v>21.554502369668246</v>
      </c>
      <c r="N99" s="127">
        <f t="shared" si="286"/>
        <v>56.477064220183486</v>
      </c>
      <c r="O99" s="127">
        <f t="shared" si="286"/>
        <v>36.470588235294116</v>
      </c>
      <c r="P99" s="127">
        <f t="shared" si="286"/>
        <v>30.383620689655174</v>
      </c>
      <c r="Q99" s="127">
        <f t="shared" ref="Q99" si="287">1/Q93</f>
        <v>30.383620689655174</v>
      </c>
      <c r="R99" s="118">
        <f t="shared" si="245"/>
        <v>3.6278625833680245E-2</v>
      </c>
      <c r="S99" s="20"/>
      <c r="T99" s="127">
        <f t="shared" ref="T99:AC99" si="288">1/T93</f>
        <v>30.383620689655174</v>
      </c>
      <c r="U99" s="127">
        <f t="shared" si="288"/>
        <v>30.383620689655174</v>
      </c>
      <c r="V99" s="127">
        <f t="shared" si="288"/>
        <v>30.383620689655174</v>
      </c>
      <c r="W99" s="127">
        <f t="shared" si="288"/>
        <v>30.383620689655167</v>
      </c>
      <c r="X99" s="127">
        <f t="shared" si="288"/>
        <v>30.383620689655167</v>
      </c>
      <c r="Y99" s="127">
        <f t="shared" si="288"/>
        <v>30.383620689655174</v>
      </c>
      <c r="Z99" s="127">
        <f t="shared" si="288"/>
        <v>30.383620689655174</v>
      </c>
      <c r="AA99" s="127">
        <f t="shared" si="288"/>
        <v>30.383620689655174</v>
      </c>
      <c r="AB99" s="127">
        <f t="shared" si="288"/>
        <v>30.383620689655174</v>
      </c>
      <c r="AC99" s="127">
        <f t="shared" si="288"/>
        <v>30.383620689655167</v>
      </c>
      <c r="AD99" s="138">
        <f t="shared" si="247"/>
        <v>1.616549349515517E-2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89">1/G94</f>
        <v>1.4705882352941175</v>
      </c>
      <c r="H100" s="127">
        <f t="shared" si="289"/>
        <v>1.6865671641791045</v>
      </c>
      <c r="I100" s="127">
        <f t="shared" si="289"/>
        <v>1.9873417721518987</v>
      </c>
      <c r="J100" s="127">
        <f t="shared" si="289"/>
        <v>2.8461538461538458</v>
      </c>
      <c r="K100" s="127" t="e">
        <f t="shared" si="289"/>
        <v>#DIV/0!</v>
      </c>
      <c r="L100" s="127">
        <f t="shared" si="289"/>
        <v>1.3210332103321034</v>
      </c>
      <c r="M100" s="127">
        <f t="shared" si="289"/>
        <v>2.8388625592417065</v>
      </c>
      <c r="N100" s="127">
        <f t="shared" si="289"/>
        <v>2.6055045871559632</v>
      </c>
      <c r="O100" s="127">
        <f t="shared" si="289"/>
        <v>1.7593582887700534</v>
      </c>
      <c r="P100" s="127">
        <f t="shared" si="289"/>
        <v>2.6637931034482758</v>
      </c>
      <c r="Q100" s="127">
        <f t="shared" ref="Q100" si="290">1/Q94</f>
        <v>2.6637931034482758</v>
      </c>
      <c r="R100" s="118">
        <f t="shared" si="245"/>
        <v>6.8237233907346928E-2</v>
      </c>
      <c r="S100" s="20"/>
      <c r="T100" s="127">
        <f t="shared" ref="T100:AC100" si="291">1/T94</f>
        <v>2.6637931034482758</v>
      </c>
      <c r="U100" s="127">
        <f t="shared" si="291"/>
        <v>2.6637931034482758</v>
      </c>
      <c r="V100" s="127">
        <f t="shared" si="291"/>
        <v>2.6637931034482758</v>
      </c>
      <c r="W100" s="127">
        <f t="shared" si="291"/>
        <v>2.6637931034482758</v>
      </c>
      <c r="X100" s="127">
        <f t="shared" si="291"/>
        <v>2.6637931034482758</v>
      </c>
      <c r="Y100" s="127">
        <f t="shared" si="291"/>
        <v>2.6637931034482758</v>
      </c>
      <c r="Z100" s="127">
        <f t="shared" si="291"/>
        <v>2.6637931034482758</v>
      </c>
      <c r="AA100" s="127">
        <f t="shared" si="291"/>
        <v>2.6637931034482758</v>
      </c>
      <c r="AB100" s="127">
        <f t="shared" si="291"/>
        <v>2.6637931034482754</v>
      </c>
      <c r="AC100" s="127">
        <f t="shared" si="291"/>
        <v>2.6637931034482754</v>
      </c>
      <c r="AD100" s="138">
        <f t="shared" si="247"/>
        <v>3.0150007770049392E-2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89"/>
        <v>0.14117647058823529</v>
      </c>
      <c r="H101" s="127">
        <f t="shared" si="289"/>
        <v>0.2537313432835821</v>
      </c>
      <c r="I101" s="127">
        <f t="shared" si="289"/>
        <v>0.17721518987341772</v>
      </c>
      <c r="J101" s="127">
        <f t="shared" si="289"/>
        <v>0.70329670329670335</v>
      </c>
      <c r="K101" s="127" t="e">
        <f t="shared" si="289"/>
        <v>#DIV/0!</v>
      </c>
      <c r="L101" s="127">
        <f t="shared" si="289"/>
        <v>-0.41328413284132842</v>
      </c>
      <c r="M101" s="127">
        <f t="shared" si="289"/>
        <v>1.0379146919431279</v>
      </c>
      <c r="N101" s="127">
        <f t="shared" si="289"/>
        <v>0.56880733944954132</v>
      </c>
      <c r="O101" s="127">
        <f t="shared" si="289"/>
        <v>-0.2032085561497326</v>
      </c>
      <c r="P101" s="127">
        <f t="shared" si="289"/>
        <v>0.84913793103448276</v>
      </c>
      <c r="Q101" s="127">
        <f t="shared" ref="Q101" si="292">1/Q95</f>
        <v>0.84913793103448276</v>
      </c>
      <c r="R101" s="118">
        <f t="shared" si="245"/>
        <v>0.2206173724649807</v>
      </c>
      <c r="S101" s="20"/>
      <c r="T101" s="127">
        <f t="shared" ref="T101:AC101" si="293">1/T95</f>
        <v>0.84913793103448276</v>
      </c>
      <c r="U101" s="127">
        <f t="shared" si="293"/>
        <v>0.84913793103448276</v>
      </c>
      <c r="V101" s="127">
        <f t="shared" si="293"/>
        <v>0.84913793103448276</v>
      </c>
      <c r="W101" s="127">
        <f t="shared" si="293"/>
        <v>0.84913793103448276</v>
      </c>
      <c r="X101" s="127">
        <f t="shared" si="293"/>
        <v>0.84913793103448276</v>
      </c>
      <c r="Y101" s="127">
        <f t="shared" si="293"/>
        <v>0.84913793103448298</v>
      </c>
      <c r="Z101" s="127">
        <f t="shared" si="293"/>
        <v>0.84913793103448298</v>
      </c>
      <c r="AA101" s="127">
        <f t="shared" si="293"/>
        <v>0.84913793103448276</v>
      </c>
      <c r="AB101" s="127">
        <f t="shared" si="293"/>
        <v>0.84913793103448276</v>
      </c>
      <c r="AC101" s="127">
        <f t="shared" si="293"/>
        <v>0.84913793103448276</v>
      </c>
      <c r="AD101" s="138">
        <f t="shared" si="247"/>
        <v>9.3857618808738552E-2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89"/>
        <v>0.43529411764705883</v>
      </c>
      <c r="H102" s="127">
        <f t="shared" si="289"/>
        <v>0.53731343283582089</v>
      </c>
      <c r="I102" s="127">
        <f t="shared" si="289"/>
        <v>0.50632911392405056</v>
      </c>
      <c r="J102" s="127">
        <f t="shared" si="289"/>
        <v>0.32967032967032966</v>
      </c>
      <c r="K102" s="127" t="e">
        <f t="shared" si="289"/>
        <v>#DIV/0!</v>
      </c>
      <c r="L102" s="127">
        <f t="shared" si="289"/>
        <v>0.18450184501845018</v>
      </c>
      <c r="M102" s="127">
        <f t="shared" si="289"/>
        <v>0.42654028436018954</v>
      </c>
      <c r="N102" s="127">
        <f t="shared" si="289"/>
        <v>1.0550458715596331</v>
      </c>
      <c r="O102" s="127">
        <f t="shared" si="289"/>
        <v>0.56149732620320858</v>
      </c>
      <c r="P102" s="127">
        <f t="shared" si="289"/>
        <v>0.60344827586206895</v>
      </c>
      <c r="Q102" s="127">
        <f t="shared" ref="Q102" si="294">1/Q96</f>
        <v>0.60344827586206895</v>
      </c>
      <c r="R102" s="118">
        <f t="shared" si="245"/>
        <v>3.6959791860680102E-2</v>
      </c>
      <c r="S102" s="20"/>
      <c r="T102" s="127">
        <f t="shared" ref="T102:AC102" si="295">1/T96</f>
        <v>0.60344827586206906</v>
      </c>
      <c r="U102" s="127">
        <f t="shared" si="295"/>
        <v>0.60344827586206906</v>
      </c>
      <c r="V102" s="127">
        <f t="shared" si="295"/>
        <v>0.60344827586206906</v>
      </c>
      <c r="W102" s="127">
        <f t="shared" si="295"/>
        <v>0.60344827586206895</v>
      </c>
      <c r="X102" s="127">
        <f t="shared" si="295"/>
        <v>0.60344827586206895</v>
      </c>
      <c r="Y102" s="127">
        <f t="shared" si="295"/>
        <v>0.60344827586206906</v>
      </c>
      <c r="Z102" s="127">
        <f t="shared" si="295"/>
        <v>0.60344827586206906</v>
      </c>
      <c r="AA102" s="127">
        <f t="shared" si="295"/>
        <v>0.60344827586206906</v>
      </c>
      <c r="AB102" s="127">
        <f t="shared" si="295"/>
        <v>0.60344827586206906</v>
      </c>
      <c r="AC102" s="127">
        <f t="shared" si="295"/>
        <v>0.60344827586206895</v>
      </c>
      <c r="AD102" s="138">
        <f t="shared" si="247"/>
        <v>1.6466014554611386E-2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>
        <f t="shared" si="289"/>
        <v>0.44705882352941173</v>
      </c>
      <c r="H103" s="127">
        <f t="shared" si="289"/>
        <v>0.53731343283582089</v>
      </c>
      <c r="I103" s="127">
        <f t="shared" si="289"/>
        <v>0.49367088607594939</v>
      </c>
      <c r="J103" s="127">
        <f t="shared" si="289"/>
        <v>0.31868131868131871</v>
      </c>
      <c r="K103" s="127" t="e">
        <f t="shared" si="289"/>
        <v>#DIV/0!</v>
      </c>
      <c r="L103" s="127">
        <f t="shared" si="289"/>
        <v>0.15498154981549814</v>
      </c>
      <c r="M103" s="127">
        <f t="shared" si="289"/>
        <v>0.29857819905213268</v>
      </c>
      <c r="N103" s="127">
        <f t="shared" si="289"/>
        <v>0.77981651376146788</v>
      </c>
      <c r="O103" s="127">
        <f t="shared" si="289"/>
        <v>0.41711229946524064</v>
      </c>
      <c r="P103" s="127">
        <f t="shared" si="289"/>
        <v>0.40517241379310343</v>
      </c>
      <c r="Q103" s="127">
        <f t="shared" ref="Q103" si="296">1/Q97</f>
        <v>0.40517241379310343</v>
      </c>
      <c r="R103" s="118">
        <f t="shared" si="245"/>
        <v>-1.0871308046390138E-2</v>
      </c>
      <c r="S103" s="20"/>
      <c r="T103" s="127">
        <f t="shared" ref="T103:AC103" si="297">1/T97</f>
        <v>0.40517241379310354</v>
      </c>
      <c r="U103" s="127">
        <f t="shared" si="297"/>
        <v>0.40517241379310354</v>
      </c>
      <c r="V103" s="127">
        <f t="shared" si="297"/>
        <v>0.40517241379310354</v>
      </c>
      <c r="W103" s="127">
        <f t="shared" si="297"/>
        <v>0.40517241379310354</v>
      </c>
      <c r="X103" s="127">
        <f t="shared" si="297"/>
        <v>0.40517241379310354</v>
      </c>
      <c r="Y103" s="127">
        <f t="shared" si="297"/>
        <v>0.40517241379310359</v>
      </c>
      <c r="Z103" s="127">
        <f t="shared" si="297"/>
        <v>0.40517241379310359</v>
      </c>
      <c r="AA103" s="127">
        <f t="shared" si="297"/>
        <v>0.40517241379310359</v>
      </c>
      <c r="AB103" s="127">
        <f t="shared" si="297"/>
        <v>0.40517241379310359</v>
      </c>
      <c r="AC103" s="127">
        <f t="shared" si="297"/>
        <v>0.40517241379310359</v>
      </c>
      <c r="AD103" s="138">
        <f t="shared" si="247"/>
        <v>-4.9067967790602518E-3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560</v>
      </c>
      <c r="G106" s="163">
        <f t="shared" si="298"/>
        <v>461</v>
      </c>
      <c r="H106" s="163">
        <f t="shared" si="298"/>
        <v>544</v>
      </c>
      <c r="I106" s="163">
        <f t="shared" si="298"/>
        <v>836</v>
      </c>
      <c r="J106" s="163">
        <f t="shared" si="298"/>
        <v>814</v>
      </c>
      <c r="K106" s="163">
        <f t="shared" si="298"/>
        <v>0</v>
      </c>
      <c r="L106" s="163">
        <f t="shared" si="298"/>
        <v>1256</v>
      </c>
      <c r="M106" s="163">
        <f t="shared" si="298"/>
        <v>988</v>
      </c>
      <c r="N106" s="163">
        <f t="shared" si="298"/>
        <v>1411</v>
      </c>
      <c r="O106" s="163">
        <f t="shared" si="298"/>
        <v>1817</v>
      </c>
      <c r="P106" s="163">
        <f>P10-(P12+P13)</f>
        <v>2290</v>
      </c>
      <c r="Q106" s="163">
        <f>Q10-(Q12+Q13)</f>
        <v>2290</v>
      </c>
      <c r="R106" s="118">
        <f t="shared" si="245"/>
        <v>0.19494601179680338</v>
      </c>
      <c r="S106" s="20"/>
      <c r="T106" s="163">
        <f>T10-(T12+T13)</f>
        <v>2473.2000000000003</v>
      </c>
      <c r="U106" s="163">
        <f t="shared" ref="U106:AC106" si="299">U10-(U12+U13)</f>
        <v>2671.0560000000005</v>
      </c>
      <c r="V106" s="163">
        <f t="shared" si="299"/>
        <v>2884.7404800000004</v>
      </c>
      <c r="W106" s="163">
        <f t="shared" si="299"/>
        <v>3115.5197184000008</v>
      </c>
      <c r="X106" s="163">
        <f t="shared" si="299"/>
        <v>3364.761295872001</v>
      </c>
      <c r="Y106" s="163">
        <f t="shared" si="299"/>
        <v>3633.9421995417615</v>
      </c>
      <c r="Z106" s="163">
        <f t="shared" si="299"/>
        <v>3924.6575755051026</v>
      </c>
      <c r="AA106" s="163">
        <f t="shared" si="299"/>
        <v>4238.6301815455108</v>
      </c>
      <c r="AB106" s="163">
        <f t="shared" si="299"/>
        <v>4577.7205960691517</v>
      </c>
      <c r="AC106" s="163">
        <f t="shared" si="299"/>
        <v>4943.9382437546838</v>
      </c>
      <c r="AD106" s="138">
        <f t="shared" si="247"/>
        <v>0.12594870458112206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9.9420049710024858E-3</v>
      </c>
      <c r="H107" s="152">
        <f t="shared" si="300"/>
        <v>1.4480408858603067E-2</v>
      </c>
      <c r="I107" s="152">
        <f t="shared" si="300"/>
        <v>1.1428571428571429E-2</v>
      </c>
      <c r="J107" s="152">
        <f t="shared" si="300"/>
        <v>5.3422370617696162E-2</v>
      </c>
      <c r="K107" s="152" t="e">
        <f t="shared" si="300"/>
        <v>#DIV/0!</v>
      </c>
      <c r="L107" s="152">
        <f t="shared" si="300"/>
        <v>-6.9478908188585611E-2</v>
      </c>
      <c r="M107" s="152">
        <f t="shared" si="300"/>
        <v>0.12422007941009643</v>
      </c>
      <c r="N107" s="152">
        <f t="shared" si="300"/>
        <v>3.3423180592991916E-2</v>
      </c>
      <c r="O107" s="152">
        <f t="shared" si="300"/>
        <v>-2.0331728196896735E-2</v>
      </c>
      <c r="P107" s="152">
        <f t="shared" si="300"/>
        <v>7.2586588061901255E-2</v>
      </c>
      <c r="Q107" s="152">
        <f t="shared" ref="Q107" si="301">Q40/Q18</f>
        <v>7.2586588061901255E-2</v>
      </c>
      <c r="R107" s="118">
        <f t="shared" si="245"/>
        <v>0.24718643480594471</v>
      </c>
      <c r="S107" s="20"/>
      <c r="T107" s="152">
        <f t="shared" ref="T107:AC107" si="302">T40/T18</f>
        <v>7.2586588061901255E-2</v>
      </c>
      <c r="U107" s="152">
        <f t="shared" si="302"/>
        <v>7.2586588061901242E-2</v>
      </c>
      <c r="V107" s="152">
        <f t="shared" si="302"/>
        <v>7.2586588061901242E-2</v>
      </c>
      <c r="W107" s="152">
        <f t="shared" si="302"/>
        <v>7.2586588061901255E-2</v>
      </c>
      <c r="X107" s="152">
        <f t="shared" si="302"/>
        <v>7.2586588061901242E-2</v>
      </c>
      <c r="Y107" s="152">
        <f t="shared" si="302"/>
        <v>7.2586588061901255E-2</v>
      </c>
      <c r="Z107" s="152">
        <f t="shared" si="302"/>
        <v>7.2586588061901242E-2</v>
      </c>
      <c r="AA107" s="152">
        <f t="shared" si="302"/>
        <v>7.2586588061901242E-2</v>
      </c>
      <c r="AB107" s="152">
        <f t="shared" si="302"/>
        <v>7.2586588061901255E-2</v>
      </c>
      <c r="AC107" s="152">
        <f t="shared" si="302"/>
        <v>7.2586588061901255E-2</v>
      </c>
      <c r="AD107" s="138">
        <f t="shared" si="247"/>
        <v>0.10450864727988129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6.4034151547491995E-3</v>
      </c>
      <c r="H108" s="152">
        <f t="shared" si="303"/>
        <v>7.9699953117674631E-3</v>
      </c>
      <c r="I108" s="152">
        <f t="shared" si="303"/>
        <v>5.1470588235294117E-3</v>
      </c>
      <c r="J108" s="152">
        <f t="shared" si="303"/>
        <v>2.1813224267211998E-2</v>
      </c>
      <c r="K108" s="152" t="e">
        <f t="shared" si="303"/>
        <v>#DIV/0!</v>
      </c>
      <c r="L108" s="152">
        <f t="shared" si="303"/>
        <v>-2.0539152759948651E-2</v>
      </c>
      <c r="M108" s="152">
        <f t="shared" si="303"/>
        <v>4.8153034300791556E-2</v>
      </c>
      <c r="N108" s="152">
        <f t="shared" si="303"/>
        <v>1.0071474983755685E-2</v>
      </c>
      <c r="O108" s="152">
        <f t="shared" si="303"/>
        <v>-5.5718475073313787E-3</v>
      </c>
      <c r="P108" s="152">
        <f t="shared" si="303"/>
        <v>2.7947226556958433E-2</v>
      </c>
      <c r="Q108" s="152">
        <f t="shared" ref="Q108" si="304">Q40/Q25</f>
        <v>2.7947226556958433E-2</v>
      </c>
      <c r="R108" s="118">
        <f t="shared" si="245"/>
        <v>0.17788531195748725</v>
      </c>
      <c r="S108" s="20"/>
      <c r="T108" s="152">
        <f t="shared" ref="T108:AC108" si="305">T40/T25</f>
        <v>2.7947226556958436E-2</v>
      </c>
      <c r="U108" s="152">
        <f t="shared" si="305"/>
        <v>2.7947226556958436E-2</v>
      </c>
      <c r="V108" s="152">
        <f t="shared" si="305"/>
        <v>2.7947226556958436E-2</v>
      </c>
      <c r="W108" s="152">
        <f t="shared" si="305"/>
        <v>2.794722655695844E-2</v>
      </c>
      <c r="X108" s="152">
        <f t="shared" si="305"/>
        <v>2.7947226556958433E-2</v>
      </c>
      <c r="Y108" s="152">
        <f t="shared" si="305"/>
        <v>2.7947226556958436E-2</v>
      </c>
      <c r="Z108" s="152">
        <f t="shared" si="305"/>
        <v>2.7947226556958436E-2</v>
      </c>
      <c r="AA108" s="152">
        <f t="shared" si="305"/>
        <v>2.7947226556958436E-2</v>
      </c>
      <c r="AB108" s="152">
        <f t="shared" si="305"/>
        <v>2.7947226556958436E-2</v>
      </c>
      <c r="AC108" s="152">
        <f t="shared" si="305"/>
        <v>2.7947226556958436E-2</v>
      </c>
      <c r="AD108" s="138">
        <f t="shared" si="247"/>
        <v>7.6456173537596817E-2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1.5526097763048881</v>
      </c>
      <c r="H109" s="152">
        <f t="shared" si="306"/>
        <v>1.8168654173764907</v>
      </c>
      <c r="I109" s="152">
        <f t="shared" si="306"/>
        <v>2.2204081632653061</v>
      </c>
      <c r="J109" s="152">
        <f t="shared" si="306"/>
        <v>2.4490818030050083</v>
      </c>
      <c r="K109" s="152" t="e">
        <f t="shared" si="306"/>
        <v>#DIV/0!</v>
      </c>
      <c r="L109" s="152">
        <f t="shared" si="306"/>
        <v>3.3827543424317619</v>
      </c>
      <c r="M109" s="152">
        <f t="shared" si="306"/>
        <v>2.5796937039137835</v>
      </c>
      <c r="N109" s="152">
        <f t="shared" si="306"/>
        <v>3.3185983827493262</v>
      </c>
      <c r="O109" s="152">
        <f t="shared" si="306"/>
        <v>3.6490101658640985</v>
      </c>
      <c r="P109" s="152">
        <f>P25/P18</f>
        <v>2.5972733971997051</v>
      </c>
      <c r="Q109" s="152">
        <f>Q25/Q18</f>
        <v>2.5972733971997051</v>
      </c>
      <c r="R109" s="118">
        <f t="shared" si="245"/>
        <v>5.88352041959741E-2</v>
      </c>
      <c r="S109" s="20"/>
      <c r="T109" s="152">
        <f>T25/T18</f>
        <v>2.5972733971997051</v>
      </c>
      <c r="U109" s="152">
        <f t="shared" ref="U109:AC109" si="307">U25/U18</f>
        <v>2.5972733971997051</v>
      </c>
      <c r="V109" s="152">
        <f t="shared" si="307"/>
        <v>2.5972733971997046</v>
      </c>
      <c r="W109" s="152">
        <f t="shared" si="307"/>
        <v>2.5972733971997046</v>
      </c>
      <c r="X109" s="152">
        <f t="shared" si="307"/>
        <v>2.5972733971997051</v>
      </c>
      <c r="Y109" s="152">
        <f t="shared" si="307"/>
        <v>2.5972733971997046</v>
      </c>
      <c r="Z109" s="152">
        <f t="shared" si="307"/>
        <v>2.5972733971997046</v>
      </c>
      <c r="AA109" s="152">
        <f t="shared" si="307"/>
        <v>2.5972733971997051</v>
      </c>
      <c r="AB109" s="152">
        <f t="shared" si="307"/>
        <v>2.5972733971997051</v>
      </c>
      <c r="AC109" s="152">
        <f t="shared" si="307"/>
        <v>2.5972733971997051</v>
      </c>
      <c r="AD109" s="138">
        <f t="shared" si="247"/>
        <v>2.6060024023174755E-2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7.48</v>
      </c>
      <c r="G111" s="165">
        <f>G70*G42</f>
        <v>7.48</v>
      </c>
      <c r="H111" s="165">
        <f t="shared" ref="H111:P111" si="309">H70*H42</f>
        <v>11.22</v>
      </c>
      <c r="I111" s="165">
        <f t="shared" si="309"/>
        <v>7.6749999999999998</v>
      </c>
      <c r="J111" s="165">
        <f t="shared" si="309"/>
        <v>8.2889999999999997</v>
      </c>
      <c r="K111" s="165">
        <f t="shared" si="309"/>
        <v>0</v>
      </c>
      <c r="L111" s="165">
        <f t="shared" si="309"/>
        <v>11.07</v>
      </c>
      <c r="M111" s="165">
        <f t="shared" si="309"/>
        <v>14.349999999999998</v>
      </c>
      <c r="N111" s="165">
        <f t="shared" si="309"/>
        <v>12.299999999999999</v>
      </c>
      <c r="O111" s="165">
        <f t="shared" si="309"/>
        <v>10.25</v>
      </c>
      <c r="P111" s="165">
        <f t="shared" si="309"/>
        <v>14.349999999999998</v>
      </c>
      <c r="Q111" s="165">
        <f t="shared" ref="Q111" si="310">Q70*Q42</f>
        <v>14.349999999999998</v>
      </c>
      <c r="R111" s="118">
        <f t="shared" si="245"/>
        <v>7.5075395499688335E-2</v>
      </c>
      <c r="S111" s="20"/>
      <c r="T111" s="165">
        <f t="shared" ref="T111:AC111" si="311">T70*T42</f>
        <v>15.218175</v>
      </c>
      <c r="U111" s="165">
        <f t="shared" si="311"/>
        <v>16.138874587500002</v>
      </c>
      <c r="V111" s="165">
        <f t="shared" si="311"/>
        <v>17.115276500043755</v>
      </c>
      <c r="W111" s="165">
        <f t="shared" si="311"/>
        <v>18.150750728296398</v>
      </c>
      <c r="X111" s="165">
        <f t="shared" si="311"/>
        <v>19.248871147358333</v>
      </c>
      <c r="Y111" s="165">
        <f t="shared" si="311"/>
        <v>20.413427851773513</v>
      </c>
      <c r="Z111" s="165">
        <f t="shared" si="311"/>
        <v>21.648440236805815</v>
      </c>
      <c r="AA111" s="165">
        <f t="shared" si="311"/>
        <v>22.95817087113257</v>
      </c>
      <c r="AB111" s="165">
        <f t="shared" si="311"/>
        <v>24.347140208836088</v>
      </c>
      <c r="AC111" s="165">
        <f t="shared" si="311"/>
        <v>25.820142191470673</v>
      </c>
      <c r="AD111" s="138">
        <f t="shared" si="247"/>
        <v>6.3905004046352021E-2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8.7515999999999998</v>
      </c>
      <c r="G112" s="165">
        <f t="shared" ref="G112:P112" si="312">(G111*0.17)+G111</f>
        <v>8.7515999999999998</v>
      </c>
      <c r="H112" s="165">
        <f t="shared" si="312"/>
        <v>13.127400000000002</v>
      </c>
      <c r="I112" s="165">
        <f t="shared" si="312"/>
        <v>8.9797499999999992</v>
      </c>
      <c r="J112" s="165">
        <f t="shared" si="312"/>
        <v>9.698129999999999</v>
      </c>
      <c r="K112" s="165">
        <f t="shared" si="312"/>
        <v>0</v>
      </c>
      <c r="L112" s="165">
        <f t="shared" si="312"/>
        <v>12.9519</v>
      </c>
      <c r="M112" s="165">
        <f t="shared" si="312"/>
        <v>16.789499999999997</v>
      </c>
      <c r="N112" s="165">
        <f t="shared" si="312"/>
        <v>14.390999999999998</v>
      </c>
      <c r="O112" s="165">
        <f t="shared" si="312"/>
        <v>11.9925</v>
      </c>
      <c r="P112" s="165">
        <f t="shared" si="312"/>
        <v>16.789499999999997</v>
      </c>
      <c r="Q112" s="165">
        <f t="shared" ref="Q112" si="313">(Q111*0.17)+Q111</f>
        <v>16.789499999999997</v>
      </c>
      <c r="R112" s="118">
        <f t="shared" si="245"/>
        <v>7.5075395499688335E-2</v>
      </c>
      <c r="S112" s="20"/>
      <c r="T112" s="165">
        <f t="shared" ref="T112:AC112" si="314">(T111*0.17)+T111</f>
        <v>17.805264749999999</v>
      </c>
      <c r="U112" s="165">
        <f t="shared" si="314"/>
        <v>18.882483267375001</v>
      </c>
      <c r="V112" s="165">
        <f t="shared" si="314"/>
        <v>20.024873505051193</v>
      </c>
      <c r="W112" s="165">
        <f t="shared" si="314"/>
        <v>21.236378352106787</v>
      </c>
      <c r="X112" s="165">
        <f t="shared" si="314"/>
        <v>22.52117924240925</v>
      </c>
      <c r="Y112" s="165">
        <f t="shared" si="314"/>
        <v>23.88371058657501</v>
      </c>
      <c r="Z112" s="165">
        <f t="shared" si="314"/>
        <v>25.328675077062805</v>
      </c>
      <c r="AA112" s="165">
        <f t="shared" si="314"/>
        <v>26.861059919225106</v>
      </c>
      <c r="AB112" s="165">
        <f t="shared" si="314"/>
        <v>28.486154044338221</v>
      </c>
      <c r="AC112" s="165">
        <f t="shared" si="314"/>
        <v>30.209566364020688</v>
      </c>
      <c r="AD112" s="138">
        <f t="shared" si="247"/>
        <v>6.3905004046352021E-2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>
        <f t="shared" ref="F113:P113" si="315">F112/F40</f>
        <v>0.39779999999999999</v>
      </c>
      <c r="G113" s="152">
        <f t="shared" si="315"/>
        <v>0.72929999999999995</v>
      </c>
      <c r="H113" s="152">
        <f t="shared" si="315"/>
        <v>0.77220000000000011</v>
      </c>
      <c r="I113" s="152">
        <f t="shared" si="315"/>
        <v>0.64141071428571428</v>
      </c>
      <c r="J113" s="152">
        <f t="shared" si="315"/>
        <v>0.15153328124999998</v>
      </c>
      <c r="K113" s="152" t="e">
        <f t="shared" si="315"/>
        <v>#DIV/0!</v>
      </c>
      <c r="L113" s="152">
        <f t="shared" si="315"/>
        <v>-0.11564196428571429</v>
      </c>
      <c r="M113" s="152">
        <f t="shared" si="315"/>
        <v>7.6664383561643817E-2</v>
      </c>
      <c r="N113" s="152">
        <f t="shared" si="315"/>
        <v>0.23211290322580641</v>
      </c>
      <c r="O113" s="152">
        <f t="shared" si="315"/>
        <v>-0.3155921052631579</v>
      </c>
      <c r="P113" s="152">
        <f t="shared" si="315"/>
        <v>8.5225888324873086E-2</v>
      </c>
      <c r="Q113" s="152">
        <f t="shared" ref="Q113" si="316">Q112/Q40</f>
        <v>8.5225888324873086E-2</v>
      </c>
      <c r="R113" s="118">
        <f t="shared" si="245"/>
        <v>-0.21221581472692674</v>
      </c>
      <c r="S113" s="20"/>
      <c r="T113" s="152">
        <f t="shared" ref="T113:AC113" si="317">T112/T40</f>
        <v>8.3687087563451765E-2</v>
      </c>
      <c r="U113" s="152">
        <f t="shared" si="317"/>
        <v>8.2176070704667231E-2</v>
      </c>
      <c r="V113" s="152">
        <f t="shared" si="317"/>
        <v>8.0692336094721859E-2</v>
      </c>
      <c r="W113" s="152">
        <f t="shared" si="317"/>
        <v>7.9235391137456021E-2</v>
      </c>
      <c r="X113" s="152">
        <f t="shared" si="317"/>
        <v>7.7804752130807522E-2</v>
      </c>
      <c r="Y113" s="152">
        <f t="shared" si="317"/>
        <v>7.6399944106223486E-2</v>
      </c>
      <c r="Z113" s="152">
        <f t="shared" si="317"/>
        <v>7.502050067097224E-2</v>
      </c>
      <c r="AA113" s="152">
        <f t="shared" si="317"/>
        <v>7.3665963853301916E-2</v>
      </c>
      <c r="AB113" s="152">
        <f t="shared" si="317"/>
        <v>7.2335883950395058E-2</v>
      </c>
      <c r="AC113" s="152">
        <f t="shared" si="317"/>
        <v>7.1029819379068479E-2</v>
      </c>
      <c r="AD113" s="138">
        <f t="shared" si="247"/>
        <v>-0.10992475020022263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>
        <f>1-F113</f>
        <v>0.60220000000000007</v>
      </c>
      <c r="G114" s="152">
        <f>1-G113</f>
        <v>0.27070000000000005</v>
      </c>
      <c r="H114" s="152">
        <f t="shared" ref="H114:P114" si="318">1-H113</f>
        <v>0.22779999999999989</v>
      </c>
      <c r="I114" s="152">
        <f t="shared" si="318"/>
        <v>0.35858928571428572</v>
      </c>
      <c r="J114" s="152">
        <f t="shared" si="318"/>
        <v>0.84846671875000002</v>
      </c>
      <c r="K114" s="152" t="e">
        <f t="shared" si="318"/>
        <v>#DIV/0!</v>
      </c>
      <c r="L114" s="152">
        <f t="shared" si="318"/>
        <v>1.1156419642857143</v>
      </c>
      <c r="M114" s="152">
        <f t="shared" si="318"/>
        <v>0.92333561643835615</v>
      </c>
      <c r="N114" s="152">
        <f t="shared" si="318"/>
        <v>0.76788709677419353</v>
      </c>
      <c r="O114" s="152">
        <f t="shared" si="318"/>
        <v>1.3155921052631578</v>
      </c>
      <c r="P114" s="152">
        <f t="shared" si="318"/>
        <v>0.9147741116751269</v>
      </c>
      <c r="Q114" s="152">
        <f t="shared" ref="Q114" si="319">1-Q113</f>
        <v>0.9147741116751269</v>
      </c>
      <c r="R114" s="118">
        <f t="shared" si="245"/>
        <v>0.1448758674367403</v>
      </c>
      <c r="S114" s="20"/>
      <c r="T114" s="152">
        <f t="shared" ref="T114:AC114" si="320">1-T113</f>
        <v>0.91631291243654822</v>
      </c>
      <c r="U114" s="152">
        <f t="shared" si="320"/>
        <v>0.91782392929533274</v>
      </c>
      <c r="V114" s="152">
        <f t="shared" si="320"/>
        <v>0.91930766390527818</v>
      </c>
      <c r="W114" s="152">
        <f t="shared" si="320"/>
        <v>0.92076460886254397</v>
      </c>
      <c r="X114" s="152">
        <f t="shared" si="320"/>
        <v>0.92219524786919249</v>
      </c>
      <c r="Y114" s="152">
        <f t="shared" si="320"/>
        <v>0.92360005589377647</v>
      </c>
      <c r="Z114" s="152">
        <f t="shared" si="320"/>
        <v>0.92497949932902779</v>
      </c>
      <c r="AA114" s="152">
        <f t="shared" si="320"/>
        <v>0.92633403614669807</v>
      </c>
      <c r="AB114" s="152">
        <f t="shared" si="320"/>
        <v>0.92766411604960497</v>
      </c>
      <c r="AC114" s="152">
        <f t="shared" si="320"/>
        <v>0.92897018062093151</v>
      </c>
      <c r="AD114" s="138">
        <f t="shared" si="247"/>
        <v>6.3593503316041078E-2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>
        <f t="shared" ref="F115:P115" si="321">F112/F20</f>
        <v>6.296115107913669E-2</v>
      </c>
      <c r="G115" s="152">
        <f t="shared" si="321"/>
        <v>4.089532710280374E-2</v>
      </c>
      <c r="H115" s="152">
        <f t="shared" si="321"/>
        <v>0.15264418604651164</v>
      </c>
      <c r="I115" s="152">
        <f t="shared" si="321"/>
        <v>0.19954999999999998</v>
      </c>
      <c r="J115" s="152">
        <f t="shared" si="321"/>
        <v>4.9733999999999993E-2</v>
      </c>
      <c r="K115" s="152" t="e">
        <f t="shared" si="321"/>
        <v>#DIV/0!</v>
      </c>
      <c r="L115" s="152">
        <f t="shared" si="321"/>
        <v>4.8691353383458646E-2</v>
      </c>
      <c r="M115" s="152">
        <f t="shared" si="321"/>
        <v>3.0863051470588231E-2</v>
      </c>
      <c r="N115" s="152">
        <f t="shared" si="321"/>
        <v>-0.68528571428571416</v>
      </c>
      <c r="O115" s="152">
        <f t="shared" si="321"/>
        <v>3.4660404624277455E-2</v>
      </c>
      <c r="P115" s="152">
        <f t="shared" si="321"/>
        <v>-0.16623267326732671</v>
      </c>
      <c r="Q115" s="152">
        <f>Q112/Q20</f>
        <v>-0.16623267326732671</v>
      </c>
      <c r="R115" s="118">
        <f t="shared" si="245"/>
        <v>-2.1686148787301791</v>
      </c>
      <c r="S115" s="20"/>
      <c r="T115" s="152">
        <f>T112/T20</f>
        <v>-0.16323124999999997</v>
      </c>
      <c r="U115" s="152">
        <f t="shared" ref="U115:AC115" si="322">U112/U20</f>
        <v>-0.1602840190972222</v>
      </c>
      <c r="V115" s="152">
        <f t="shared" si="322"/>
        <v>-0.15739000208574461</v>
      </c>
      <c r="W115" s="152">
        <f t="shared" si="322"/>
        <v>-0.15454823815919641</v>
      </c>
      <c r="X115" s="152">
        <f t="shared" si="322"/>
        <v>-0.15175778385909983</v>
      </c>
      <c r="Y115" s="152">
        <f t="shared" si="322"/>
        <v>-0.14901771276164386</v>
      </c>
      <c r="Z115" s="152">
        <f t="shared" si="322"/>
        <v>-0.14632711517011421</v>
      </c>
      <c r="AA115" s="152">
        <f t="shared" si="322"/>
        <v>-0.14368509781287603</v>
      </c>
      <c r="AB115" s="152">
        <f t="shared" si="322"/>
        <v>-0.14109078354681018</v>
      </c>
      <c r="AC115" s="152">
        <f t="shared" si="322"/>
        <v>-0.13854331106610387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>
        <f>F31/F25</f>
        <v>0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 t="e">
        <f t="shared" si="323"/>
        <v>#DIV/0!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>
        <f>F32/F25</f>
        <v>0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 t="e">
        <f t="shared" si="326"/>
        <v>#DIV/0!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0.92475987193169695</v>
      </c>
      <c r="H120" s="152">
        <f t="shared" ref="H120:P120" si="329">H27/H25</f>
        <v>0.93483356774496018</v>
      </c>
      <c r="I120" s="152">
        <f t="shared" si="329"/>
        <v>0.9349264705882353</v>
      </c>
      <c r="J120" s="152">
        <f t="shared" si="329"/>
        <v>0.90763462849352416</v>
      </c>
      <c r="K120" s="152" t="e">
        <f t="shared" si="329"/>
        <v>#DIV/0!</v>
      </c>
      <c r="L120" s="152">
        <f t="shared" si="329"/>
        <v>0.94076655052264813</v>
      </c>
      <c r="M120" s="152">
        <f t="shared" si="329"/>
        <v>0.86169744942832016</v>
      </c>
      <c r="N120" s="152">
        <f t="shared" si="329"/>
        <v>0.94623131903833657</v>
      </c>
      <c r="O120" s="152">
        <f t="shared" si="329"/>
        <v>0.9582111436950147</v>
      </c>
      <c r="P120" s="152">
        <f t="shared" si="329"/>
        <v>0.91062562065541208</v>
      </c>
      <c r="Q120" s="152">
        <f t="shared" ref="Q120" si="330">Q27/Q25</f>
        <v>0.91062562065541208</v>
      </c>
      <c r="R120" s="118">
        <f t="shared" si="245"/>
        <v>-1.7098972770006604E-3</v>
      </c>
      <c r="S120" s="20"/>
      <c r="T120" s="152">
        <f t="shared" ref="T120:AC120" si="331">T27/T25</f>
        <v>0.91062562065541219</v>
      </c>
      <c r="U120" s="152">
        <f t="shared" si="331"/>
        <v>0.91062562065541219</v>
      </c>
      <c r="V120" s="152">
        <f t="shared" si="331"/>
        <v>0.91062562065541219</v>
      </c>
      <c r="W120" s="152">
        <f t="shared" si="331"/>
        <v>0.91062562065541242</v>
      </c>
      <c r="X120" s="152">
        <f t="shared" si="331"/>
        <v>0.91062562065541242</v>
      </c>
      <c r="Y120" s="152">
        <f t="shared" si="331"/>
        <v>0.91062562065541253</v>
      </c>
      <c r="Z120" s="152">
        <f t="shared" si="331"/>
        <v>0.91062562065541242</v>
      </c>
      <c r="AA120" s="152">
        <f t="shared" si="331"/>
        <v>0.91062562065541242</v>
      </c>
      <c r="AB120" s="152">
        <f t="shared" si="331"/>
        <v>0.9106256206554123</v>
      </c>
      <c r="AC120" s="152">
        <f t="shared" si="331"/>
        <v>0.91062562065541242</v>
      </c>
      <c r="AD120" s="138">
        <f t="shared" si="247"/>
        <v>-7.6981590854385828E-4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0.64727854855923161</v>
      </c>
      <c r="H121" s="152">
        <f t="shared" ref="H121:P121" si="332">H33/H25</f>
        <v>0.68073136427566805</v>
      </c>
      <c r="I121" s="152">
        <f t="shared" si="332"/>
        <v>0.71397058823529413</v>
      </c>
      <c r="J121" s="152">
        <f t="shared" si="332"/>
        <v>0.68609406952965235</v>
      </c>
      <c r="K121" s="152" t="e">
        <f t="shared" si="332"/>
        <v>#DIV/0!</v>
      </c>
      <c r="L121" s="152">
        <f t="shared" si="332"/>
        <v>0.72308820832569232</v>
      </c>
      <c r="M121" s="152">
        <f t="shared" si="332"/>
        <v>0.62115215479331576</v>
      </c>
      <c r="N121" s="152">
        <f t="shared" si="332"/>
        <v>0.75276153346328789</v>
      </c>
      <c r="O121" s="152">
        <f t="shared" si="332"/>
        <v>0.7519061583577713</v>
      </c>
      <c r="P121" s="152">
        <f t="shared" si="332"/>
        <v>0.70265285856149806</v>
      </c>
      <c r="Q121" s="152">
        <f t="shared" ref="Q121" si="333">Q33/Q25</f>
        <v>0.70265285856149806</v>
      </c>
      <c r="R121" s="118">
        <f t="shared" si="245"/>
        <v>9.162414123056406E-3</v>
      </c>
      <c r="S121" s="20"/>
      <c r="T121" s="152">
        <f t="shared" ref="T121:AC121" si="334">T33/T25</f>
        <v>0.70265285856149817</v>
      </c>
      <c r="U121" s="152">
        <f t="shared" si="334"/>
        <v>0.70265285856149817</v>
      </c>
      <c r="V121" s="152">
        <f t="shared" si="334"/>
        <v>0.70265285856149828</v>
      </c>
      <c r="W121" s="152">
        <f t="shared" si="334"/>
        <v>0.70265285856149828</v>
      </c>
      <c r="X121" s="152">
        <f t="shared" si="334"/>
        <v>0.70265285856149828</v>
      </c>
      <c r="Y121" s="152">
        <f t="shared" si="334"/>
        <v>0.70265285856149828</v>
      </c>
      <c r="Z121" s="152">
        <f t="shared" si="334"/>
        <v>0.70265285856149828</v>
      </c>
      <c r="AA121" s="152">
        <f t="shared" si="334"/>
        <v>0.70265285856149828</v>
      </c>
      <c r="AB121" s="152">
        <f t="shared" si="334"/>
        <v>0.70265285856149828</v>
      </c>
      <c r="AC121" s="152">
        <f t="shared" si="334"/>
        <v>0.70265285856149828</v>
      </c>
      <c r="AD121" s="138">
        <f t="shared" si="247"/>
        <v>4.1127464578378792E-3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7.4172892209178234E-2</v>
      </c>
      <c r="H122" s="152">
        <f t="shared" ref="H122:P122" si="335">H34/H25</f>
        <v>6.6572902015939989E-2</v>
      </c>
      <c r="I122" s="152">
        <f t="shared" si="335"/>
        <v>5.7352941176470586E-2</v>
      </c>
      <c r="J122" s="152">
        <f t="shared" si="335"/>
        <v>6.0327198364008183E-2</v>
      </c>
      <c r="K122" s="152" t="e">
        <f t="shared" si="335"/>
        <v>#DIV/0!</v>
      </c>
      <c r="L122" s="152">
        <f t="shared" si="335"/>
        <v>7.0053181734824874E-2</v>
      </c>
      <c r="M122" s="152">
        <f t="shared" si="335"/>
        <v>9.498680738786279E-2</v>
      </c>
      <c r="N122" s="152">
        <f t="shared" si="335"/>
        <v>7.6998050682261204E-2</v>
      </c>
      <c r="O122" s="152">
        <f t="shared" si="335"/>
        <v>7.3607038123167157E-2</v>
      </c>
      <c r="P122" s="152">
        <f t="shared" si="335"/>
        <v>8.369981557667755E-2</v>
      </c>
      <c r="Q122" s="152">
        <f t="shared" ref="Q122" si="336">Q34/Q25</f>
        <v>8.369981557667755E-2</v>
      </c>
      <c r="R122" s="118">
        <f t="shared" si="245"/>
        <v>1.35169866956244E-2</v>
      </c>
      <c r="S122" s="20"/>
      <c r="T122" s="152">
        <f t="shared" ref="T122:AC122" si="337">T34/T25</f>
        <v>8.369981557667755E-2</v>
      </c>
      <c r="U122" s="152">
        <f t="shared" si="337"/>
        <v>8.3699815576677536E-2</v>
      </c>
      <c r="V122" s="152">
        <f t="shared" si="337"/>
        <v>8.3699815576677536E-2</v>
      </c>
      <c r="W122" s="152">
        <f t="shared" si="337"/>
        <v>8.3699815576677536E-2</v>
      </c>
      <c r="X122" s="152">
        <f t="shared" si="337"/>
        <v>8.3699815576677536E-2</v>
      </c>
      <c r="Y122" s="152">
        <f t="shared" si="337"/>
        <v>8.3699815576677536E-2</v>
      </c>
      <c r="Z122" s="152">
        <f t="shared" si="337"/>
        <v>8.3699815576677522E-2</v>
      </c>
      <c r="AA122" s="152">
        <f t="shared" si="337"/>
        <v>8.3699815576677536E-2</v>
      </c>
      <c r="AB122" s="152">
        <f t="shared" si="337"/>
        <v>8.3699815576677522E-2</v>
      </c>
      <c r="AC122" s="152">
        <f t="shared" si="337"/>
        <v>8.3699815576677536E-2</v>
      </c>
      <c r="AD122" s="138">
        <f t="shared" si="247"/>
        <v>6.0601903400665513E-3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1.0202808112324493</v>
      </c>
      <c r="H125" s="25">
        <f t="shared" ref="H125:AC125" si="338">H15/H9</f>
        <v>1</v>
      </c>
      <c r="I125" s="25">
        <f t="shared" si="338"/>
        <v>1.1267605633802817</v>
      </c>
      <c r="J125" s="25">
        <f t="shared" si="338"/>
        <v>1.0377155172413792</v>
      </c>
      <c r="K125" s="25" t="e">
        <f t="shared" si="338"/>
        <v>#DIV/0!</v>
      </c>
      <c r="L125" s="25">
        <f t="shared" si="338"/>
        <v>0.93183779119930976</v>
      </c>
      <c r="M125" s="25">
        <f t="shared" si="338"/>
        <v>0.90850144092219021</v>
      </c>
      <c r="N125" s="25">
        <f t="shared" si="338"/>
        <v>1.0557888422315538</v>
      </c>
      <c r="O125" s="25">
        <f t="shared" si="338"/>
        <v>0.86569209684787574</v>
      </c>
      <c r="P125" s="25">
        <f t="shared" si="338"/>
        <v>1.137727759914255</v>
      </c>
      <c r="Q125" s="25">
        <f t="shared" ref="Q125" si="339">Q15/Q9</f>
        <v>1.137727759914255</v>
      </c>
      <c r="R125" s="118">
        <f t="shared" si="245"/>
        <v>1.2179707570449727E-2</v>
      </c>
      <c r="S125" s="20"/>
      <c r="T125" s="20">
        <f t="shared" si="338"/>
        <v>1.137727759914255</v>
      </c>
      <c r="U125" s="20">
        <f t="shared" si="338"/>
        <v>1.137727759914255</v>
      </c>
      <c r="V125" s="20">
        <f t="shared" si="338"/>
        <v>1.137727759914255</v>
      </c>
      <c r="W125" s="20">
        <f t="shared" si="338"/>
        <v>1.1377277599142548</v>
      </c>
      <c r="X125" s="20">
        <f t="shared" si="338"/>
        <v>1.137727759914255</v>
      </c>
      <c r="Y125" s="20">
        <f t="shared" si="338"/>
        <v>1.137727759914255</v>
      </c>
      <c r="Z125" s="20">
        <f t="shared" si="338"/>
        <v>1.137727759914255</v>
      </c>
      <c r="AA125" s="20">
        <f t="shared" si="338"/>
        <v>1.137727759914255</v>
      </c>
      <c r="AB125" s="20">
        <f t="shared" si="338"/>
        <v>1.137727759914255</v>
      </c>
      <c r="AC125" s="20">
        <f t="shared" si="338"/>
        <v>1.1377277599142548</v>
      </c>
      <c r="AD125" s="138">
        <f t="shared" si="247"/>
        <v>5.4626253118483792E-3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5.7722308892355696E-2</v>
      </c>
      <c r="H126" s="25">
        <f t="shared" ref="H126:P126" si="340">H12/H9</f>
        <v>5.2478134110787174E-2</v>
      </c>
      <c r="I126" s="25">
        <f t="shared" si="340"/>
        <v>5.1216389244558257E-2</v>
      </c>
      <c r="J126" s="25">
        <f t="shared" si="340"/>
        <v>3.2327586206896554E-2</v>
      </c>
      <c r="K126" s="25" t="e">
        <f t="shared" si="340"/>
        <v>#DIV/0!</v>
      </c>
      <c r="L126" s="25">
        <f t="shared" si="340"/>
        <v>4.3140638481449528E-2</v>
      </c>
      <c r="M126" s="25">
        <f t="shared" si="340"/>
        <v>6.4841498559077809E-2</v>
      </c>
      <c r="N126" s="25">
        <f t="shared" si="340"/>
        <v>6.8986202759448112E-2</v>
      </c>
      <c r="O126" s="25">
        <f t="shared" si="340"/>
        <v>4.7967108268615805E-2</v>
      </c>
      <c r="P126" s="25">
        <f t="shared" si="340"/>
        <v>7.5026795284030015E-2</v>
      </c>
      <c r="Q126" s="25">
        <f t="shared" ref="Q126" si="341">Q12/Q9</f>
        <v>7.5026795284030015E-2</v>
      </c>
      <c r="R126" s="118">
        <f t="shared" si="245"/>
        <v>2.9562041610608158E-2</v>
      </c>
      <c r="S126" s="128"/>
      <c r="T126" s="20">
        <f t="shared" ref="T126:AC126" si="342">T12/T9</f>
        <v>7.5026795284030015E-2</v>
      </c>
      <c r="U126" s="20">
        <f t="shared" si="342"/>
        <v>7.5026795284030015E-2</v>
      </c>
      <c r="V126" s="20">
        <f t="shared" si="342"/>
        <v>7.5026795284030001E-2</v>
      </c>
      <c r="W126" s="20">
        <f t="shared" si="342"/>
        <v>7.5026795284030001E-2</v>
      </c>
      <c r="X126" s="20">
        <f t="shared" si="342"/>
        <v>7.5026795284030001E-2</v>
      </c>
      <c r="Y126" s="20">
        <f t="shared" si="342"/>
        <v>7.5026795284030015E-2</v>
      </c>
      <c r="Z126" s="20">
        <f t="shared" si="342"/>
        <v>7.5026795284030015E-2</v>
      </c>
      <c r="AA126" s="20">
        <f t="shared" si="342"/>
        <v>7.5026795284030015E-2</v>
      </c>
      <c r="AB126" s="20">
        <f t="shared" si="342"/>
        <v>7.5026795284030015E-2</v>
      </c>
      <c r="AC126" s="20">
        <f t="shared" si="342"/>
        <v>7.5026795284030015E-2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5.2055555555555557</v>
      </c>
      <c r="H127" s="25">
        <f t="shared" ref="H127:P127" si="344">H25/360</f>
        <v>5.9249999999999998</v>
      </c>
      <c r="I127" s="25">
        <f t="shared" si="344"/>
        <v>7.5555555555555554</v>
      </c>
      <c r="J127" s="25">
        <f t="shared" si="344"/>
        <v>8.15</v>
      </c>
      <c r="K127" s="25">
        <f t="shared" si="344"/>
        <v>0</v>
      </c>
      <c r="L127" s="25">
        <f t="shared" si="344"/>
        <v>15.147222222222222</v>
      </c>
      <c r="M127" s="25">
        <f t="shared" si="344"/>
        <v>12.633333333333333</v>
      </c>
      <c r="N127" s="25">
        <f t="shared" si="344"/>
        <v>17.100000000000001</v>
      </c>
      <c r="O127" s="25">
        <f t="shared" si="344"/>
        <v>18.944444444444443</v>
      </c>
      <c r="P127" s="25">
        <f t="shared" si="344"/>
        <v>19.580555555555556</v>
      </c>
      <c r="Q127" s="25">
        <f t="shared" ref="Q127" si="345">Q25/360</f>
        <v>19.580555555555556</v>
      </c>
      <c r="R127" s="118">
        <f t="shared" si="245"/>
        <v>0.15858701884180637</v>
      </c>
      <c r="S127" s="128"/>
      <c r="T127" s="25">
        <f t="shared" ref="T127:AC127" si="346">T25/360</f>
        <v>21.146999999999998</v>
      </c>
      <c r="U127" s="25">
        <f t="shared" si="346"/>
        <v>22.838760000000001</v>
      </c>
      <c r="V127" s="25">
        <f t="shared" si="346"/>
        <v>24.665860800000004</v>
      </c>
      <c r="W127" s="25">
        <f t="shared" si="346"/>
        <v>26.639129664000002</v>
      </c>
      <c r="X127" s="25">
        <f t="shared" si="346"/>
        <v>28.770260037120007</v>
      </c>
      <c r="Y127" s="25">
        <f t="shared" si="346"/>
        <v>31.071880840089609</v>
      </c>
      <c r="Z127" s="25">
        <f t="shared" si="346"/>
        <v>33.557631307296781</v>
      </c>
      <c r="AA127" s="25">
        <f t="shared" si="346"/>
        <v>36.242241811880525</v>
      </c>
      <c r="AB127" s="25">
        <f t="shared" si="346"/>
        <v>39.141621156830972</v>
      </c>
      <c r="AC127" s="25">
        <f t="shared" si="346"/>
        <v>42.272950849377452</v>
      </c>
      <c r="AD127" s="118">
        <f t="shared" ref="AD127:AD138" si="347">((AC127/T127)^(1/($H$2-$H$1) ))-1</f>
        <v>8.0000000000000071E-2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4.8138888888888891</v>
      </c>
      <c r="H128" s="25">
        <f t="shared" ref="H128:P128" si="348">H27/360</f>
        <v>5.5388888888888888</v>
      </c>
      <c r="I128" s="25">
        <f t="shared" si="348"/>
        <v>7.0638888888888891</v>
      </c>
      <c r="J128" s="25">
        <f t="shared" si="348"/>
        <v>7.3972222222222221</v>
      </c>
      <c r="K128" s="25">
        <f t="shared" si="348"/>
        <v>0</v>
      </c>
      <c r="L128" s="25">
        <f t="shared" si="348"/>
        <v>14.25</v>
      </c>
      <c r="M128" s="25">
        <f t="shared" si="348"/>
        <v>10.886111111111111</v>
      </c>
      <c r="N128" s="25">
        <f t="shared" si="348"/>
        <v>16.180555555555557</v>
      </c>
      <c r="O128" s="25">
        <f t="shared" si="348"/>
        <v>18.152777777777779</v>
      </c>
      <c r="P128" s="25">
        <f t="shared" si="348"/>
        <v>17.830555555555556</v>
      </c>
      <c r="Q128" s="25">
        <f t="shared" ref="Q128" si="349">Q27/360</f>
        <v>17.830555555555556</v>
      </c>
      <c r="R128" s="118">
        <f t="shared" si="245"/>
        <v>0.15660595405312061</v>
      </c>
      <c r="S128" s="128"/>
      <c r="T128" s="25">
        <f t="shared" ref="T128:AC128" si="350">T27/360</f>
        <v>19.257000000000001</v>
      </c>
      <c r="U128" s="25">
        <f t="shared" si="350"/>
        <v>20.797560000000004</v>
      </c>
      <c r="V128" s="25">
        <f t="shared" si="350"/>
        <v>22.461364800000005</v>
      </c>
      <c r="W128" s="25">
        <f t="shared" si="350"/>
        <v>24.258273984000009</v>
      </c>
      <c r="X128" s="25">
        <f t="shared" si="350"/>
        <v>26.198935902720017</v>
      </c>
      <c r="Y128" s="25">
        <f t="shared" si="350"/>
        <v>28.294850774937622</v>
      </c>
      <c r="Z128" s="25">
        <f t="shared" si="350"/>
        <v>30.558438836932631</v>
      </c>
      <c r="AA128" s="25">
        <f t="shared" si="350"/>
        <v>33.003113943887243</v>
      </c>
      <c r="AB128" s="25">
        <f t="shared" si="350"/>
        <v>35.643363059398226</v>
      </c>
      <c r="AC128" s="25">
        <f t="shared" si="350"/>
        <v>38.494832104150085</v>
      </c>
      <c r="AD128" s="118">
        <f t="shared" si="347"/>
        <v>8.0000000000000071E-2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0.87616822429906538</v>
      </c>
      <c r="H130" s="25">
        <f t="shared" ref="H130:P130" si="351">H10/H7</f>
        <v>1.0613810741687979</v>
      </c>
      <c r="I130" s="25">
        <f t="shared" si="351"/>
        <v>1.5759599332220366</v>
      </c>
      <c r="J130" s="25">
        <f t="shared" si="351"/>
        <v>1.681985294117647</v>
      </c>
      <c r="K130" s="25" t="e">
        <f t="shared" si="351"/>
        <v>#DIV/0!</v>
      </c>
      <c r="L130" s="25">
        <f t="shared" si="351"/>
        <v>2</v>
      </c>
      <c r="M130" s="25">
        <f t="shared" si="351"/>
        <v>1.3623529411764705</v>
      </c>
      <c r="N130" s="25">
        <f t="shared" si="351"/>
        <v>1.8799533799533799</v>
      </c>
      <c r="O130" s="25">
        <f t="shared" si="351"/>
        <v>2.6781456953642384</v>
      </c>
      <c r="P130" s="25">
        <f t="shared" si="351"/>
        <v>2.7969094922737305</v>
      </c>
      <c r="Q130" s="25">
        <f t="shared" ref="Q130" si="352">Q10/Q7</f>
        <v>2.7969094922737305</v>
      </c>
      <c r="R130" s="118">
        <f t="shared" si="245"/>
        <v>0.13765374703600508</v>
      </c>
      <c r="S130" s="128"/>
      <c r="T130" s="25">
        <f t="shared" ref="T130:AC130" si="353">T10/T7</f>
        <v>2.796909492273731</v>
      </c>
      <c r="U130" s="25">
        <f t="shared" si="353"/>
        <v>2.7969094922737305</v>
      </c>
      <c r="V130" s="25">
        <f t="shared" si="353"/>
        <v>2.7969094922737305</v>
      </c>
      <c r="W130" s="25">
        <f t="shared" si="353"/>
        <v>2.7969094922737305</v>
      </c>
      <c r="X130" s="25">
        <f t="shared" si="353"/>
        <v>2.796909492273731</v>
      </c>
      <c r="Y130" s="25">
        <f t="shared" si="353"/>
        <v>2.796909492273731</v>
      </c>
      <c r="Z130" s="25">
        <f t="shared" si="353"/>
        <v>2.7969094922737305</v>
      </c>
      <c r="AA130" s="25">
        <f t="shared" si="353"/>
        <v>2.7969094922737305</v>
      </c>
      <c r="AB130" s="25">
        <f t="shared" si="353"/>
        <v>2.7969094922737301</v>
      </c>
      <c r="AC130" s="25">
        <f t="shared" si="353"/>
        <v>2.7969094922737301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0.46699875466998753</v>
      </c>
      <c r="H131" s="25">
        <f t="shared" ref="H131:P131" si="354">H10/(H10+H7)</f>
        <v>0.51488833746898266</v>
      </c>
      <c r="I131" s="25">
        <f t="shared" si="354"/>
        <v>0.61179520414776412</v>
      </c>
      <c r="J131" s="25">
        <f t="shared" si="354"/>
        <v>0.62714187799862919</v>
      </c>
      <c r="K131" s="25" t="e">
        <f t="shared" si="354"/>
        <v>#DIV/0!</v>
      </c>
      <c r="L131" s="25">
        <f t="shared" si="354"/>
        <v>0.66666666666666663</v>
      </c>
      <c r="M131" s="25">
        <f t="shared" si="354"/>
        <v>0.57669322709163351</v>
      </c>
      <c r="N131" s="25">
        <f t="shared" si="354"/>
        <v>0.65277215702144875</v>
      </c>
      <c r="O131" s="25">
        <f t="shared" si="354"/>
        <v>0.7281238746849118</v>
      </c>
      <c r="P131" s="25">
        <f t="shared" si="354"/>
        <v>0.73662790697674418</v>
      </c>
      <c r="Q131" s="25">
        <f t="shared" ref="Q131" si="355">Q10/(Q10+Q7)</f>
        <v>0.73662790697674418</v>
      </c>
      <c r="R131" s="118">
        <f t="shared" si="245"/>
        <v>5.1943692581640333E-2</v>
      </c>
      <c r="S131" s="128"/>
      <c r="T131" s="25">
        <f t="shared" ref="T131:AC131" si="356">T10/(T10+T7)</f>
        <v>0.73662790697674418</v>
      </c>
      <c r="U131" s="25">
        <f t="shared" si="356"/>
        <v>0.73662790697674418</v>
      </c>
      <c r="V131" s="25">
        <f t="shared" si="356"/>
        <v>0.73662790697674418</v>
      </c>
      <c r="W131" s="25">
        <f t="shared" si="356"/>
        <v>0.73662790697674418</v>
      </c>
      <c r="X131" s="25">
        <f t="shared" si="356"/>
        <v>0.73662790697674418</v>
      </c>
      <c r="Y131" s="25">
        <f t="shared" si="356"/>
        <v>0.7366279069767443</v>
      </c>
      <c r="Z131" s="25">
        <f t="shared" si="356"/>
        <v>0.73662790697674418</v>
      </c>
      <c r="AA131" s="25">
        <f t="shared" si="356"/>
        <v>0.73662790697674418</v>
      </c>
      <c r="AB131" s="25">
        <f t="shared" si="356"/>
        <v>0.73662790697674418</v>
      </c>
      <c r="AC131" s="25">
        <f t="shared" si="356"/>
        <v>0.73662790697674418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116</v>
      </c>
      <c r="H133" s="25">
        <f t="shared" ref="H133:P133" si="357">H16</f>
        <v>115</v>
      </c>
      <c r="I133" s="25">
        <f t="shared" si="357"/>
        <v>220</v>
      </c>
      <c r="J133" s="25">
        <f t="shared" si="357"/>
        <v>160</v>
      </c>
      <c r="K133" s="25">
        <f t="shared" si="357"/>
        <v>0</v>
      </c>
      <c r="L133" s="25">
        <f t="shared" si="357"/>
        <v>90</v>
      </c>
      <c r="M133" s="25">
        <f t="shared" si="357"/>
        <v>-24</v>
      </c>
      <c r="N133" s="25">
        <f t="shared" si="357"/>
        <v>234</v>
      </c>
      <c r="O133" s="25">
        <f t="shared" si="357"/>
        <v>42</v>
      </c>
      <c r="P133" s="25">
        <f t="shared" si="357"/>
        <v>546</v>
      </c>
      <c r="Q133" s="25">
        <f t="shared" ref="Q133" si="358">Q16</f>
        <v>546</v>
      </c>
      <c r="R133" s="118">
        <f t="shared" si="245"/>
        <v>0.1878136037192748</v>
      </c>
      <c r="S133" s="128"/>
      <c r="T133" s="25">
        <f t="shared" ref="T133:AC133" si="359">T16</f>
        <v>589.68000000000006</v>
      </c>
      <c r="U133" s="25">
        <f t="shared" si="359"/>
        <v>636.85440000000006</v>
      </c>
      <c r="V133" s="25">
        <f t="shared" si="359"/>
        <v>687.80275200000005</v>
      </c>
      <c r="W133" s="25">
        <f t="shared" si="359"/>
        <v>742.82697216000008</v>
      </c>
      <c r="X133" s="25">
        <f t="shared" si="359"/>
        <v>802.25312993280011</v>
      </c>
      <c r="Y133" s="25">
        <f t="shared" si="359"/>
        <v>866.43338032742417</v>
      </c>
      <c r="Z133" s="25">
        <f t="shared" si="359"/>
        <v>935.74805075361814</v>
      </c>
      <c r="AA133" s="25">
        <f t="shared" si="359"/>
        <v>1010.6078948139077</v>
      </c>
      <c r="AB133" s="25">
        <f t="shared" si="359"/>
        <v>1091.4565263990205</v>
      </c>
      <c r="AC133" s="25">
        <f t="shared" si="359"/>
        <v>1178.7730485109423</v>
      </c>
      <c r="AD133" s="118">
        <f t="shared" si="347"/>
        <v>8.0000000000000071E-2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22.593383137673428</v>
      </c>
      <c r="H134" s="119">
        <f t="shared" si="360"/>
        <v>19.678856071261134</v>
      </c>
      <c r="I134" s="119">
        <f t="shared" si="360"/>
        <v>29.522058823529413</v>
      </c>
      <c r="J134" s="119">
        <f t="shared" si="360"/>
        <v>19.904567143830949</v>
      </c>
      <c r="K134" s="119" t="e">
        <f t="shared" si="360"/>
        <v>#DIV/0!</v>
      </c>
      <c r="L134" s="119">
        <f t="shared" si="360"/>
        <v>6.0242068586099391</v>
      </c>
      <c r="M134" s="119">
        <f t="shared" si="360"/>
        <v>-1.9261213720316623</v>
      </c>
      <c r="N134" s="119">
        <f t="shared" si="360"/>
        <v>13.874269005847953</v>
      </c>
      <c r="O134" s="119">
        <f t="shared" si="360"/>
        <v>2.2478005865102637</v>
      </c>
      <c r="P134" s="119">
        <f t="shared" si="360"/>
        <v>28.272095332671302</v>
      </c>
      <c r="Q134" s="119">
        <f t="shared" ref="Q134" si="361">Q133*365/Q25</f>
        <v>28.272095332671302</v>
      </c>
      <c r="R134" s="118">
        <f t="shared" si="245"/>
        <v>2.5226059331033168E-2</v>
      </c>
      <c r="S134" s="128"/>
      <c r="T134" s="119">
        <f t="shared" ref="T134:AC134" si="362">T133*365/T25</f>
        <v>28.272095332671302</v>
      </c>
      <c r="U134" s="119">
        <f t="shared" si="362"/>
        <v>28.272095332671302</v>
      </c>
      <c r="V134" s="119">
        <f t="shared" si="362"/>
        <v>28.272095332671302</v>
      </c>
      <c r="W134" s="119">
        <f t="shared" si="362"/>
        <v>28.272095332671299</v>
      </c>
      <c r="X134" s="119">
        <f t="shared" si="362"/>
        <v>28.272095332671295</v>
      </c>
      <c r="Y134" s="119">
        <f t="shared" si="362"/>
        <v>28.272095332671295</v>
      </c>
      <c r="Z134" s="119">
        <f t="shared" si="362"/>
        <v>28.272095332671299</v>
      </c>
      <c r="AA134" s="119">
        <f t="shared" si="362"/>
        <v>28.272095332671299</v>
      </c>
      <c r="AB134" s="119">
        <f t="shared" si="362"/>
        <v>28.272095332671295</v>
      </c>
      <c r="AC134" s="119">
        <f t="shared" si="362"/>
        <v>28.272095332671302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0.39320541050644858</v>
      </c>
      <c r="H135" s="133">
        <f t="shared" ref="H135:P135" si="363">H80/H29</f>
        <v>0.45095378721366425</v>
      </c>
      <c r="I135" s="133">
        <f t="shared" si="363"/>
        <v>0.64734259679214945</v>
      </c>
      <c r="J135" s="133">
        <f t="shared" si="363"/>
        <v>0.92708594337258843</v>
      </c>
      <c r="K135" s="133" t="e">
        <f t="shared" si="363"/>
        <v>#DIV/0!</v>
      </c>
      <c r="L135" s="133">
        <f t="shared" si="363"/>
        <v>0.32220322203222035</v>
      </c>
      <c r="M135" s="133">
        <f t="shared" si="363"/>
        <v>0.69240550225407482</v>
      </c>
      <c r="N135" s="133">
        <f t="shared" si="363"/>
        <v>0.6354889236965765</v>
      </c>
      <c r="O135" s="133">
        <f t="shared" si="363"/>
        <v>0.42911177774879355</v>
      </c>
      <c r="P135" s="133">
        <f t="shared" si="363"/>
        <v>0.64970563498738443</v>
      </c>
      <c r="Q135" s="133">
        <f t="shared" ref="Q135" si="364">Q80/Q29</f>
        <v>0.64970563498738443</v>
      </c>
      <c r="R135" s="118">
        <f t="shared" si="245"/>
        <v>5.7384686529529549E-2</v>
      </c>
      <c r="S135" s="128"/>
      <c r="T135" s="133">
        <f t="shared" ref="T135:AC135" si="365">T80/T29</f>
        <v>0.64327290592810338</v>
      </c>
      <c r="U135" s="133">
        <f t="shared" si="365"/>
        <v>0.63690386725554793</v>
      </c>
      <c r="V135" s="133">
        <f t="shared" si="365"/>
        <v>0.63059788837182951</v>
      </c>
      <c r="W135" s="133">
        <f t="shared" si="365"/>
        <v>0.62435434492260344</v>
      </c>
      <c r="X135" s="133">
        <f t="shared" si="365"/>
        <v>0.61817261873525087</v>
      </c>
      <c r="Y135" s="133">
        <f t="shared" si="365"/>
        <v>0.61205209775767422</v>
      </c>
      <c r="Z135" s="133">
        <f t="shared" si="365"/>
        <v>0.60599217599769717</v>
      </c>
      <c r="AA135" s="133">
        <f t="shared" si="365"/>
        <v>0.59999225346306639</v>
      </c>
      <c r="AB135" s="133">
        <f t="shared" si="365"/>
        <v>0.59405173610204598</v>
      </c>
      <c r="AC135" s="133">
        <f t="shared" si="365"/>
        <v>0.58817003574460003</v>
      </c>
      <c r="AD135" s="118">
        <f t="shared" si="347"/>
        <v>-9.9009900990099098E-3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10.52808988764045</v>
      </c>
      <c r="H137" s="180">
        <f t="shared" ref="H137:P137" si="366">H25/H14</f>
        <v>8.7418032786885238</v>
      </c>
      <c r="I137" s="180">
        <f t="shared" si="366"/>
        <v>7.3712737127371275</v>
      </c>
      <c r="J137" s="180">
        <f t="shared" si="366"/>
        <v>5.8330019880715707</v>
      </c>
      <c r="K137" s="180" t="e">
        <f t="shared" si="366"/>
        <v>#DIV/0!</v>
      </c>
      <c r="L137" s="180">
        <f t="shared" si="366"/>
        <v>11.289855072463768</v>
      </c>
      <c r="M137" s="180">
        <f t="shared" si="366"/>
        <v>8.1945945945945944</v>
      </c>
      <c r="N137" s="180">
        <f t="shared" si="366"/>
        <v>7.5348837209302326</v>
      </c>
      <c r="O137" s="180">
        <f t="shared" si="366"/>
        <v>8.7212276214833757</v>
      </c>
      <c r="P137" s="180">
        <f t="shared" si="366"/>
        <v>7.555198285101822</v>
      </c>
      <c r="Q137" s="180">
        <f t="shared" ref="Q137" si="367">Q25/Q14</f>
        <v>7.555198285101822</v>
      </c>
      <c r="R137" s="118">
        <f t="shared" si="245"/>
        <v>-3.6196551581321068E-2</v>
      </c>
      <c r="S137" s="128"/>
      <c r="T137" s="20">
        <f t="shared" ref="T137" si="368">T25/T14</f>
        <v>7.5551982851018211</v>
      </c>
      <c r="U137" s="20">
        <f t="shared" ref="U137:AC137" si="369">U25/U14</f>
        <v>7.555198285101822</v>
      </c>
      <c r="V137" s="20">
        <f t="shared" si="369"/>
        <v>7.5551982851018211</v>
      </c>
      <c r="W137" s="20">
        <f t="shared" si="369"/>
        <v>7.5551982851018211</v>
      </c>
      <c r="X137" s="20">
        <f t="shared" si="369"/>
        <v>7.555198285101822</v>
      </c>
      <c r="Y137" s="20">
        <f t="shared" si="369"/>
        <v>7.555198285101822</v>
      </c>
      <c r="Z137" s="20">
        <f t="shared" si="369"/>
        <v>7.555198285101822</v>
      </c>
      <c r="AA137" s="20">
        <f t="shared" si="369"/>
        <v>7.5551982851018229</v>
      </c>
      <c r="AB137" s="20">
        <f t="shared" si="369"/>
        <v>7.5551982851018229</v>
      </c>
      <c r="AC137" s="20">
        <f t="shared" si="369"/>
        <v>7.555198285101822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9.7359550561797761</v>
      </c>
      <c r="H138" s="180">
        <f t="shared" ref="H138:P138" si="370">H27/H14</f>
        <v>8.1721311475409841</v>
      </c>
      <c r="I138" s="180">
        <f t="shared" si="370"/>
        <v>6.8915989159891602</v>
      </c>
      <c r="J138" s="180">
        <f t="shared" si="370"/>
        <v>5.2942345924453278</v>
      </c>
      <c r="K138" s="180" t="e">
        <f t="shared" si="370"/>
        <v>#DIV/0!</v>
      </c>
      <c r="L138" s="180">
        <f t="shared" si="370"/>
        <v>10.621118012422361</v>
      </c>
      <c r="M138" s="180">
        <f t="shared" si="370"/>
        <v>7.0612612612612615</v>
      </c>
      <c r="N138" s="180">
        <f t="shared" si="370"/>
        <v>7.1297429620563033</v>
      </c>
      <c r="O138" s="180">
        <f t="shared" si="370"/>
        <v>8.3567774936061383</v>
      </c>
      <c r="P138" s="180">
        <f t="shared" si="370"/>
        <v>6.879957127545552</v>
      </c>
      <c r="Q138" s="180">
        <f t="shared" ref="Q138" si="371">Q27/Q14</f>
        <v>6.879957127545552</v>
      </c>
      <c r="R138" s="118">
        <f t="shared" si="245"/>
        <v>-3.7844556473335955E-2</v>
      </c>
      <c r="S138" s="128"/>
      <c r="T138" s="20">
        <f t="shared" ref="T138:AC138" si="372">T27/T14</f>
        <v>6.879957127545552</v>
      </c>
      <c r="U138" s="20">
        <f t="shared" si="372"/>
        <v>6.879957127545552</v>
      </c>
      <c r="V138" s="20">
        <f t="shared" si="372"/>
        <v>6.879957127545552</v>
      </c>
      <c r="W138" s="20">
        <f t="shared" si="372"/>
        <v>6.8799571275455529</v>
      </c>
      <c r="X138" s="20">
        <f t="shared" si="372"/>
        <v>6.8799571275455538</v>
      </c>
      <c r="Y138" s="20">
        <f t="shared" si="372"/>
        <v>6.8799571275455547</v>
      </c>
      <c r="Z138" s="20">
        <f t="shared" si="372"/>
        <v>6.8799571275455547</v>
      </c>
      <c r="AA138" s="20">
        <f t="shared" si="372"/>
        <v>6.8799571275455547</v>
      </c>
      <c r="AB138" s="20">
        <f t="shared" si="372"/>
        <v>6.8799571275455538</v>
      </c>
      <c r="AC138" s="20">
        <f t="shared" si="372"/>
        <v>6.8799571275455538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112.55858366887902</v>
      </c>
      <c r="T142" s="133">
        <f>PV($C$1, ($AC$3-$T$3), 0, -AC54)</f>
        <v>15.684392806319208</v>
      </c>
      <c r="U142" s="133">
        <f>PV($C$1, ($AC$3-$T$3), 0, -AF54)</f>
        <v>96.874190862559814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517.655212203068</v>
      </c>
      <c r="T143" s="133">
        <f>PV($C$1, ($AC$3-$T$3), 0, -AC56)</f>
        <v>72.132283667640621</v>
      </c>
      <c r="U143" s="133">
        <f>PV($C$1, ($AC$3-$T$3), 0, -AF56)</f>
        <v>445.52292853542741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494.22931407908811</v>
      </c>
      <c r="T144" s="133">
        <f>PV($C$1, ($AC$3-$T$3), 0, -AC57)</f>
        <v>68.868019174954895</v>
      </c>
      <c r="U144" s="133">
        <f>PV($C$1, ($AC$3-$T$3), 0, -AF57)</f>
        <v>425.36129490413322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1447.8347767357329</v>
      </c>
      <c r="T145" s="133">
        <f>PV($C$1, ($AC$3-$T$3), 0, -AC58)</f>
        <v>201.74746888940541</v>
      </c>
      <c r="U145" s="133">
        <f>PV($C$1, ($AC$3-$T$3), 0, -AF58)</f>
        <v>1246.0873078463276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79.990871642858181</v>
      </c>
      <c r="T146" s="133">
        <f>PV($C$1, ($AC$3-$T$3), 0, -AC64)</f>
        <v>11.146268999414664</v>
      </c>
      <c r="U146" s="133">
        <f>PV($C$1, ($AC$3-$T$3), 0, -AF64)</f>
        <v>68.844602643443523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-930.17956453266515</v>
      </c>
      <c r="T148" s="133">
        <f>PV($C$1, ($AC$3-$T$3), 0, -AC60)</f>
        <v>-129.61518522176479</v>
      </c>
      <c r="U148" s="133">
        <f>PV($C$1, ($AC$3-$T$3), 0, -$AF$60)</f>
        <v>-800.56437931090034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-1996.3436108581893</v>
      </c>
      <c r="T149" s="133">
        <f>PV($C$1, ($AC$3-$T$3), 0, -AC61)</f>
        <v>-278.17902774253457</v>
      </c>
      <c r="U149" s="133">
        <f>PV($C$1, ($AC$3-$T$3), 0, -$AF$61)</f>
        <v>-1718.1645831156548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-783.33917873113285</v>
      </c>
      <c r="T150" s="133">
        <f>PV($C$1, ($AC$3-$T$3), 0, -AC62)</f>
        <v>-109.15381998712505</v>
      </c>
      <c r="U150" s="133">
        <f>PV($C$1, ($AC$3-$T$3), 0, -$AF$62)</f>
        <v>-674.18535874400777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1213.0044321270566</v>
      </c>
      <c r="T152" s="133">
        <f>PV($C$1, ($AC$3-$T$3), 0, -AC67)</f>
        <v>169.0252077554095</v>
      </c>
      <c r="U152" s="133">
        <f>PV($C$1, ($AC$3-$T$3), 0, -AF67)</f>
        <v>1043.979224371647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241.06339954188624</v>
      </c>
      <c r="T153" s="133">
        <f>PV($C$1, ($AC$3-$T$3), 0, -AC68)</f>
        <v>43.470449097717193</v>
      </c>
      <c r="U153" s="133">
        <f>PV($C$1, ($AC$3-$T$3), 0, -AF68)</f>
        <v>197.59295044416905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362.27471525527841</v>
      </c>
      <c r="T155" s="133">
        <f>PV($C$1, ($AC$3-$T$3), 0, -AC12)</f>
        <v>50.480902945407635</v>
      </c>
      <c r="U155" s="133">
        <f>PV($C$1, ($AC$3-$T$3), 0, -AF12)</f>
        <v>311.79381230987076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88.359686647628891</v>
      </c>
      <c r="T156" s="140">
        <f>T155/P42</f>
        <v>12.312415352538448</v>
      </c>
      <c r="U156" s="140">
        <f>U155/P42</f>
        <v>76.047271295090439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33.168397277760825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27.287238064546269</v>
      </c>
      <c r="U159" s="133">
        <f>PV($C$1, ($AC$3-$T$3), 0, -AF70)</f>
        <v>5.8811592132145565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-3529.452376897555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-2903.6376536184575</v>
      </c>
      <c r="U161" s="133">
        <f>PV($C$1, ($AC$3-$T$3), 0, -AF72)</f>
        <v>-625.81472327909773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-779.30907171109732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-641.12811926247139</v>
      </c>
      <c r="U163" s="133">
        <f>PV($C$1, ($AC$3-$T$3), 0, -AF74)</f>
        <v>-138.18095244862596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-280.10753111324135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-230.44106777761425</v>
      </c>
      <c r="U164" s="133">
        <f>PV($C$1, ($AC$3-$T$3), 0, -AF75)</f>
        <v>-49.666463335627121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-499.20154059785597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-410.68705148485714</v>
      </c>
      <c r="U165" s="133">
        <f>PV($C$1, ($AC$3-$T$3), 0, -AF76)</f>
        <v>-88.514489112998845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820.90920009425201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675.3520402195428</v>
      </c>
      <c r="U166" s="133">
        <f>PV($C$1, ($AC$3-$T$3), 0, -AF77)</f>
        <v>145.55715987470919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260.69413786776926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214.4699046643143</v>
      </c>
      <c r="U168" s="133">
        <f>PV($C$1, ($AC$3-$T$3), 0, -AF78)</f>
        <v>46.224233203454958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140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298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100</v>
      </c>
      <c r="K171" s="22">
        <v>0</v>
      </c>
      <c r="L171" s="22">
        <v>26</v>
      </c>
      <c r="M171" s="22">
        <v>176</v>
      </c>
      <c r="N171" s="22">
        <v>84</v>
      </c>
      <c r="O171" s="22">
        <v>70</v>
      </c>
      <c r="P171" s="22">
        <v>93</v>
      </c>
      <c r="Q171" s="22">
        <v>140</v>
      </c>
      <c r="R171" s="118" t="e">
        <f t="shared" ref="R171:R176" si="377">((P171/G171)^(1/($H$2-$H$1) ))-1</f>
        <v>#DIV/0!</v>
      </c>
      <c r="S171" s="31">
        <f>L2-3%</f>
        <v>0.05</v>
      </c>
      <c r="T171" s="119">
        <f t="shared" ref="T171" si="378">P171*(1+$S171)</f>
        <v>97.65</v>
      </c>
      <c r="U171" s="119">
        <f t="shared" ref="U171:AC171" si="379">T171*(1+$S171)</f>
        <v>102.53250000000001</v>
      </c>
      <c r="V171" s="119">
        <f t="shared" si="379"/>
        <v>107.65912500000002</v>
      </c>
      <c r="W171" s="119">
        <f t="shared" si="379"/>
        <v>113.04208125000002</v>
      </c>
      <c r="X171" s="119">
        <f t="shared" si="379"/>
        <v>118.69418531250003</v>
      </c>
      <c r="Y171" s="119">
        <f t="shared" si="379"/>
        <v>124.62889457812503</v>
      </c>
      <c r="Z171" s="119">
        <f t="shared" si="379"/>
        <v>130.8603393070313</v>
      </c>
      <c r="AA171" s="119">
        <f t="shared" si="379"/>
        <v>137.40335627238287</v>
      </c>
      <c r="AB171" s="119">
        <f t="shared" si="379"/>
        <v>144.27352408600203</v>
      </c>
      <c r="AC171" s="119">
        <f t="shared" si="379"/>
        <v>151.48720029030213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>
        <f t="shared" si="382"/>
        <v>0</v>
      </c>
      <c r="G172" s="25">
        <f t="shared" si="382"/>
        <v>0</v>
      </c>
      <c r="H172" s="25">
        <f t="shared" si="382"/>
        <v>0</v>
      </c>
      <c r="I172" s="25">
        <f t="shared" si="382"/>
        <v>0</v>
      </c>
      <c r="J172" s="25">
        <f t="shared" si="382"/>
        <v>0.10463531015678254</v>
      </c>
      <c r="K172" s="25" t="e">
        <f t="shared" si="382"/>
        <v>#DIV/0!</v>
      </c>
      <c r="L172" s="25">
        <f t="shared" si="382"/>
        <v>1.9548872180451125E-2</v>
      </c>
      <c r="M172" s="25">
        <f t="shared" si="382"/>
        <v>0.15866314863676342</v>
      </c>
      <c r="N172" s="25">
        <f t="shared" si="382"/>
        <v>5.594541910331384E-2</v>
      </c>
      <c r="O172" s="25">
        <f t="shared" si="382"/>
        <v>4.2082111436950148E-2</v>
      </c>
      <c r="P172" s="25">
        <f t="shared" si="382"/>
        <v>5.4092779117605329E-2</v>
      </c>
      <c r="Q172" s="25">
        <f t="shared" ref="Q172" si="383">Q171/Q50</f>
        <v>8.1429990069513403E-2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5.3116103939093016E-2</v>
      </c>
      <c r="U172" s="25">
        <f t="shared" si="385"/>
        <v>5.2157063173526065E-2</v>
      </c>
      <c r="V172" s="25">
        <f t="shared" si="385"/>
        <v>5.1215338421781838E-2</v>
      </c>
      <c r="W172" s="25">
        <f t="shared" si="385"/>
        <v>5.0290617033610777E-2</v>
      </c>
      <c r="X172" s="25">
        <f t="shared" si="385"/>
        <v>4.9382592003837246E-2</v>
      </c>
      <c r="Y172" s="25">
        <f t="shared" si="385"/>
        <v>4.8490961870434633E-2</v>
      </c>
      <c r="Z172" s="25">
        <f t="shared" si="385"/>
        <v>4.7615430614440672E-2</v>
      </c>
      <c r="AA172" s="25">
        <f t="shared" si="385"/>
        <v>4.6755707561679939E-2</v>
      </c>
      <c r="AB172" s="25">
        <f t="shared" si="385"/>
        <v>4.5911507286260721E-2</v>
      </c>
      <c r="AC172" s="25">
        <f t="shared" si="385"/>
        <v>4.5082549515814342E-2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>
        <f t="shared" si="388"/>
        <v>0</v>
      </c>
      <c r="G173" s="25">
        <f t="shared" si="388"/>
        <v>0</v>
      </c>
      <c r="H173" s="25">
        <f t="shared" si="388"/>
        <v>0</v>
      </c>
      <c r="I173" s="25">
        <f t="shared" si="388"/>
        <v>0</v>
      </c>
      <c r="J173" s="25">
        <f t="shared" si="388"/>
        <v>4.7968749999999991</v>
      </c>
      <c r="K173" s="25" t="e">
        <f t="shared" si="388"/>
        <v>#DIV/0!</v>
      </c>
      <c r="L173" s="25">
        <f t="shared" si="388"/>
        <v>-0.95178571428571423</v>
      </c>
      <c r="M173" s="25">
        <f t="shared" si="388"/>
        <v>3.2949771689497713</v>
      </c>
      <c r="N173" s="25">
        <f t="shared" si="388"/>
        <v>5.5548387096774192</v>
      </c>
      <c r="O173" s="25">
        <f t="shared" si="388"/>
        <v>-7.5526315789473673</v>
      </c>
      <c r="P173" s="25">
        <f t="shared" si="388"/>
        <v>1.9355329949238576</v>
      </c>
      <c r="Q173" s="25">
        <f t="shared" ref="Q173" si="389">Q171/Q54</f>
        <v>2.9137055837563448</v>
      </c>
      <c r="R173" s="118" t="e">
        <f t="shared" si="377"/>
        <v>#DIV/0!</v>
      </c>
      <c r="S173" s="128"/>
      <c r="T173" s="119">
        <f t="shared" ref="T173:AC173" si="390">T171/T54</f>
        <v>1.9005858714043993</v>
      </c>
      <c r="U173" s="119">
        <f t="shared" si="390"/>
        <v>1.8662697376151531</v>
      </c>
      <c r="V173" s="119">
        <f t="shared" si="390"/>
        <v>1.8325732006859909</v>
      </c>
      <c r="W173" s="119">
        <f t="shared" si="390"/>
        <v>1.7994850734513823</v>
      </c>
      <c r="X173" s="119">
        <f t="shared" si="390"/>
        <v>1.7669943707362881</v>
      </c>
      <c r="Y173" s="119">
        <f t="shared" si="390"/>
        <v>1.7350903057091047</v>
      </c>
      <c r="Z173" s="119">
        <f t="shared" si="390"/>
        <v>1.7037622863004684</v>
      </c>
      <c r="AA173" s="119">
        <f t="shared" si="390"/>
        <v>1.6729999116867103</v>
      </c>
      <c r="AB173" s="119">
        <f t="shared" si="390"/>
        <v>1.6427929688368113</v>
      </c>
      <c r="AC173" s="119">
        <f t="shared" si="390"/>
        <v>1.6131314291217018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>
        <f t="shared" si="391"/>
        <v>0</v>
      </c>
      <c r="G174" s="25">
        <f t="shared" si="391"/>
        <v>0</v>
      </c>
      <c r="H174" s="25">
        <f t="shared" si="391"/>
        <v>0</v>
      </c>
      <c r="I174" s="25">
        <f t="shared" si="391"/>
        <v>0</v>
      </c>
      <c r="J174" s="25">
        <f t="shared" si="391"/>
        <v>0.59844054580896677</v>
      </c>
      <c r="K174" s="25" t="e">
        <f t="shared" si="391"/>
        <v>#DIV/0!</v>
      </c>
      <c r="L174" s="25">
        <f t="shared" si="391"/>
        <v>0.16399999999999998</v>
      </c>
      <c r="M174" s="25">
        <f t="shared" si="391"/>
        <v>0.89196538936959202</v>
      </c>
      <c r="N174" s="25">
        <f t="shared" si="391"/>
        <v>0.42154222766217869</v>
      </c>
      <c r="O174" s="25">
        <f t="shared" si="391"/>
        <v>0.40139860139860134</v>
      </c>
      <c r="P174" s="25">
        <f t="shared" si="391"/>
        <v>0.44080924855491327</v>
      </c>
      <c r="Q174" s="25">
        <f t="shared" ref="Q174" si="392">Q171/Q57</f>
        <v>0.66358381502890162</v>
      </c>
      <c r="R174" s="118" t="e">
        <f t="shared" si="377"/>
        <v>#DIV/0!</v>
      </c>
      <c r="S174" s="128"/>
      <c r="T174" s="119">
        <f t="shared" ref="T174:AC174" si="393">T171/T57</f>
        <v>0.43285019267822739</v>
      </c>
      <c r="U174" s="119">
        <f t="shared" si="393"/>
        <v>0.42503484197709268</v>
      </c>
      <c r="V174" s="119">
        <f t="shared" si="393"/>
        <v>0.41736060177472861</v>
      </c>
      <c r="W174" s="119">
        <f t="shared" si="393"/>
        <v>0.4098249242426848</v>
      </c>
      <c r="X174" s="119">
        <f t="shared" si="393"/>
        <v>0.40242530755496969</v>
      </c>
      <c r="Y174" s="119">
        <f t="shared" si="393"/>
        <v>0.39515929505744934</v>
      </c>
      <c r="Z174" s="119">
        <f t="shared" si="393"/>
        <v>0.38802447445224542</v>
      </c>
      <c r="AA174" s="119">
        <f t="shared" si="393"/>
        <v>0.3810184769968577</v>
      </c>
      <c r="AB174" s="119">
        <f t="shared" si="393"/>
        <v>0.37413897671774776</v>
      </c>
      <c r="AC174" s="119">
        <f t="shared" si="393"/>
        <v>0.36738368963812174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>
        <f t="shared" si="394"/>
        <v>0</v>
      </c>
      <c r="G175" s="25">
        <f t="shared" si="394"/>
        <v>0</v>
      </c>
      <c r="H175" s="25">
        <f t="shared" si="394"/>
        <v>0</v>
      </c>
      <c r="I175" s="25">
        <f t="shared" si="394"/>
        <v>0</v>
      </c>
      <c r="J175" s="25">
        <f t="shared" si="394"/>
        <v>3.0396039603960392</v>
      </c>
      <c r="K175" s="25" t="e">
        <f t="shared" si="394"/>
        <v>#DIV/0!</v>
      </c>
      <c r="L175" s="25">
        <f t="shared" si="394"/>
        <v>0.84603174603174591</v>
      </c>
      <c r="M175" s="25">
        <f t="shared" si="394"/>
        <v>4.2447058823529407</v>
      </c>
      <c r="N175" s="25">
        <f t="shared" si="394"/>
        <v>1.7049504950495047</v>
      </c>
      <c r="O175" s="25">
        <f t="shared" si="394"/>
        <v>1.4</v>
      </c>
      <c r="P175" s="25">
        <f t="shared" si="394"/>
        <v>1.5627049180327868</v>
      </c>
      <c r="Q175" s="25">
        <f t="shared" ref="Q175" si="395">Q171/Q66</f>
        <v>2.3524590163934427</v>
      </c>
      <c r="R175" s="118" t="e">
        <f t="shared" si="377"/>
        <v>#DIV/0!</v>
      </c>
      <c r="S175" s="128"/>
      <c r="T175" s="119">
        <f t="shared" ref="T175:AC175" si="396">T171/T66</f>
        <v>1.534489412568306</v>
      </c>
      <c r="U175" s="119">
        <f t="shared" si="396"/>
        <v>1.5067833537302673</v>
      </c>
      <c r="V175" s="119">
        <f t="shared" si="396"/>
        <v>1.4795775431768043</v>
      </c>
      <c r="W175" s="119">
        <f t="shared" si="396"/>
        <v>1.4528629486472229</v>
      </c>
      <c r="X175" s="119">
        <f t="shared" si="396"/>
        <v>1.4266307009633148</v>
      </c>
      <c r="Y175" s="119">
        <f t="shared" si="396"/>
        <v>1.4008720910848103</v>
      </c>
      <c r="Z175" s="119">
        <f t="shared" si="396"/>
        <v>1.3755785672180014</v>
      </c>
      <c r="AA175" s="119">
        <f t="shared" si="396"/>
        <v>1.3507417319765653</v>
      </c>
      <c r="AB175" s="119">
        <f t="shared" si="396"/>
        <v>1.3263533395936551</v>
      </c>
      <c r="AC175" s="119">
        <f t="shared" si="396"/>
        <v>1.3024052931843251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>
        <f t="shared" si="397"/>
        <v>0</v>
      </c>
      <c r="G176" s="25">
        <f t="shared" si="397"/>
        <v>0</v>
      </c>
      <c r="H176" s="25">
        <f t="shared" si="397"/>
        <v>0</v>
      </c>
      <c r="I176" s="25">
        <f t="shared" si="397"/>
        <v>0</v>
      </c>
      <c r="J176" s="25">
        <f t="shared" si="397"/>
        <v>1.91875</v>
      </c>
      <c r="K176" s="25" t="e">
        <f t="shared" si="397"/>
        <v>#DIV/0!</v>
      </c>
      <c r="L176" s="25">
        <f t="shared" si="397"/>
        <v>1.1844444444444444</v>
      </c>
      <c r="M176" s="25">
        <f t="shared" si="397"/>
        <v>-30.066666666666663</v>
      </c>
      <c r="N176" s="25">
        <f t="shared" si="397"/>
        <v>1.4717948717948717</v>
      </c>
      <c r="O176" s="25">
        <f t="shared" si="397"/>
        <v>6.833333333333333</v>
      </c>
      <c r="P176" s="25">
        <f t="shared" si="397"/>
        <v>0.69835164835164831</v>
      </c>
      <c r="Q176" s="25">
        <f t="shared" ref="Q176" si="398">Q171/Q68</f>
        <v>1.0512820512820511</v>
      </c>
      <c r="R176" s="118" t="e">
        <f t="shared" si="377"/>
        <v>#DIV/0!</v>
      </c>
      <c r="S176" s="128"/>
      <c r="T176" s="119">
        <f t="shared" ref="T176:AC176" si="399">T171/T68</f>
        <v>0.68574252136752123</v>
      </c>
      <c r="U176" s="119">
        <f t="shared" si="399"/>
        <v>0.67336105917616329</v>
      </c>
      <c r="V176" s="119">
        <f t="shared" si="399"/>
        <v>0.66120315116326056</v>
      </c>
      <c r="W176" s="119">
        <f t="shared" si="399"/>
        <v>0.64926476093392382</v>
      </c>
      <c r="X176" s="119">
        <f t="shared" si="399"/>
        <v>0.63754192497261697</v>
      </c>
      <c r="Y176" s="119">
        <f t="shared" si="399"/>
        <v>0.62603075132727792</v>
      </c>
      <c r="Z176" s="119">
        <f t="shared" si="399"/>
        <v>0.61472741831720212</v>
      </c>
      <c r="AA176" s="119">
        <f t="shared" si="399"/>
        <v>0.60362817326425267</v>
      </c>
      <c r="AB176" s="119">
        <f t="shared" si="399"/>
        <v>0.59272933124698135</v>
      </c>
      <c r="AC176" s="119">
        <f t="shared" si="399"/>
        <v>0.58202727387724407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0</v>
      </c>
      <c r="J177" s="182">
        <f t="shared" si="400"/>
        <v>-0.91369047619047616</v>
      </c>
      <c r="K177" s="182" t="e">
        <f t="shared" si="400"/>
        <v>#DIV/0!</v>
      </c>
      <c r="L177" s="182">
        <f t="shared" si="400"/>
        <v>-0.13844155844155845</v>
      </c>
      <c r="M177" s="182">
        <f t="shared" si="400"/>
        <v>-1.6588505747126434</v>
      </c>
      <c r="N177" s="182">
        <f t="shared" si="400"/>
        <v>-0.52024169184290026</v>
      </c>
      <c r="O177" s="182">
        <f t="shared" si="400"/>
        <v>-0.18385650224215247</v>
      </c>
      <c r="P177" s="182">
        <f t="shared" si="400"/>
        <v>-0.27811816192560174</v>
      </c>
      <c r="Q177" s="182">
        <f t="shared" ref="Q177" si="401">Q171/Q62</f>
        <v>-0.41867250182348648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-0.27309658400194503</v>
      </c>
      <c r="U177" s="135">
        <f t="shared" si="403"/>
        <v>-0.26816567345746545</v>
      </c>
      <c r="V177" s="135">
        <f t="shared" si="403"/>
        <v>-0.26332379324226124</v>
      </c>
      <c r="W177" s="135">
        <f t="shared" si="403"/>
        <v>-0.25856933586427588</v>
      </c>
      <c r="X177" s="135">
        <f t="shared" si="403"/>
        <v>-0.25390072285561538</v>
      </c>
      <c r="Y177" s="135">
        <f t="shared" si="403"/>
        <v>-0.24931640424850002</v>
      </c>
      <c r="Z177" s="135">
        <f t="shared" si="403"/>
        <v>-0.24481485806068004</v>
      </c>
      <c r="AA177" s="135">
        <f t="shared" si="403"/>
        <v>-0.24039458979013997</v>
      </c>
      <c r="AB177" s="135">
        <f t="shared" si="403"/>
        <v>-0.23605413191892907</v>
      </c>
      <c r="AC177" s="135">
        <f t="shared" si="403"/>
        <v>-0.23179204342594842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>
        <f t="shared" si="405"/>
        <v>0.20846905537459284</v>
      </c>
      <c r="K178" s="161" t="e">
        <f t="shared" si="405"/>
        <v>#DIV/0!</v>
      </c>
      <c r="L178" s="161">
        <f t="shared" si="405"/>
        <v>-1.0506566604127581</v>
      </c>
      <c r="M178" s="161">
        <f t="shared" si="405"/>
        <v>0.30349223946784926</v>
      </c>
      <c r="N178" s="161">
        <f t="shared" si="405"/>
        <v>0.18002322880371663</v>
      </c>
      <c r="O178" s="161">
        <f t="shared" si="405"/>
        <v>-0.13240418118466901</v>
      </c>
      <c r="P178" s="161">
        <f t="shared" si="405"/>
        <v>0.51665355363231058</v>
      </c>
      <c r="Q178" s="161">
        <f t="shared" ref="Q178" si="406">Q54/Q171</f>
        <v>0.343205574912892</v>
      </c>
      <c r="R178" s="118" t="e">
        <f t="shared" si="402"/>
        <v>#DIV/0!</v>
      </c>
      <c r="S178" s="128"/>
      <c r="T178" s="161">
        <f t="shared" ref="T178:AC178" si="407">T54/T171</f>
        <v>0.52615354825355531</v>
      </c>
      <c r="U178" s="161">
        <f t="shared" si="407"/>
        <v>0.53582822452978751</v>
      </c>
      <c r="V178" s="161">
        <f t="shared" si="407"/>
        <v>0.5456807944292037</v>
      </c>
      <c r="W178" s="161">
        <f t="shared" si="407"/>
        <v>0.55571452898023577</v>
      </c>
      <c r="X178" s="161">
        <f t="shared" si="407"/>
        <v>0.56593275935752441</v>
      </c>
      <c r="Y178" s="161">
        <f t="shared" si="407"/>
        <v>0.57633887798786088</v>
      </c>
      <c r="Z178" s="161">
        <f t="shared" si="407"/>
        <v>0.58693633967646364</v>
      </c>
      <c r="AA178" s="161">
        <f t="shared" si="407"/>
        <v>0.59772866275396574</v>
      </c>
      <c r="AB178" s="161">
        <f t="shared" si="407"/>
        <v>0.60871943024449127</v>
      </c>
      <c r="AC178" s="161">
        <f t="shared" si="407"/>
        <v>0.6199122910552104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>
        <f t="shared" si="409"/>
        <v>2.7000000000000003E-2</v>
      </c>
      <c r="K179" s="152" t="e">
        <f t="shared" si="409"/>
        <v>#DIV/0!</v>
      </c>
      <c r="L179" s="152">
        <f t="shared" si="409"/>
        <v>0.10384615384615385</v>
      </c>
      <c r="M179" s="152">
        <f t="shared" si="409"/>
        <v>1.9886363636363636E-2</v>
      </c>
      <c r="N179" s="152">
        <f t="shared" si="409"/>
        <v>3.5714285714285712E-2</v>
      </c>
      <c r="O179" s="152">
        <f t="shared" si="409"/>
        <v>3.5714285714285712E-2</v>
      </c>
      <c r="P179" s="152">
        <f t="shared" si="409"/>
        <v>3.7634408602150539E-2</v>
      </c>
      <c r="Q179" s="152">
        <f t="shared" ref="Q179" si="410">Q44/Q171</f>
        <v>2.5000000000000001E-2</v>
      </c>
      <c r="R179" s="118" t="e">
        <f t="shared" si="402"/>
        <v>#DIV/0!</v>
      </c>
      <c r="S179" s="128"/>
      <c r="T179" s="152">
        <f t="shared" ref="T179:AC179" si="411">T44/T171</f>
        <v>3.7634408602150539E-2</v>
      </c>
      <c r="U179" s="152">
        <f t="shared" si="411"/>
        <v>3.7634408602150539E-2</v>
      </c>
      <c r="V179" s="152">
        <f t="shared" si="411"/>
        <v>3.7634408602150539E-2</v>
      </c>
      <c r="W179" s="152">
        <f t="shared" si="411"/>
        <v>3.7634408602150532E-2</v>
      </c>
      <c r="X179" s="152">
        <f t="shared" si="411"/>
        <v>3.7634408602150539E-2</v>
      </c>
      <c r="Y179" s="152">
        <f t="shared" si="411"/>
        <v>3.7634408602150539E-2</v>
      </c>
      <c r="Z179" s="152">
        <f t="shared" si="411"/>
        <v>3.7634408602150532E-2</v>
      </c>
      <c r="AA179" s="152">
        <f t="shared" si="411"/>
        <v>3.7634408602150539E-2</v>
      </c>
      <c r="AB179" s="152">
        <f t="shared" si="411"/>
        <v>3.7634408602150532E-2</v>
      </c>
      <c r="AC179" s="152">
        <f t="shared" si="411"/>
        <v>3.7634408602150532E-2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>
        <f t="shared" si="412"/>
        <v>0</v>
      </c>
      <c r="G180" s="181">
        <f t="shared" si="412"/>
        <v>0</v>
      </c>
      <c r="H180" s="181">
        <f t="shared" si="412"/>
        <v>0</v>
      </c>
      <c r="I180" s="181">
        <f t="shared" si="412"/>
        <v>0</v>
      </c>
      <c r="J180" s="181">
        <f t="shared" si="412"/>
        <v>0.59960937499999989</v>
      </c>
      <c r="K180" s="181" t="e">
        <f t="shared" si="412"/>
        <v>#DIV/0!</v>
      </c>
      <c r="L180" s="181">
        <f t="shared" si="412"/>
        <v>-0.11897321428571428</v>
      </c>
      <c r="M180" s="181">
        <f t="shared" si="412"/>
        <v>0.41187214611872142</v>
      </c>
      <c r="N180" s="181">
        <f t="shared" si="412"/>
        <v>0.6943548387096774</v>
      </c>
      <c r="O180" s="181">
        <f t="shared" si="412"/>
        <v>-0.94407894736842091</v>
      </c>
      <c r="P180" s="181">
        <f>(P173)/($L$2*100)</f>
        <v>0.24194162436548219</v>
      </c>
      <c r="Q180" s="181">
        <f>(Q173)/($L$2*100)</f>
        <v>0.3642131979695431</v>
      </c>
      <c r="R180" s="118" t="e">
        <f t="shared" si="402"/>
        <v>#DIV/0!</v>
      </c>
      <c r="S180" s="128"/>
      <c r="T180" s="181">
        <f>(T173)/($L$2*100)</f>
        <v>0.23757323392554991</v>
      </c>
      <c r="U180" s="181">
        <f t="shared" ref="U180:AC180" si="413">(U173)/($L$2*100)</f>
        <v>0.23328371720189414</v>
      </c>
      <c r="V180" s="181">
        <f t="shared" si="413"/>
        <v>0.22907165008574887</v>
      </c>
      <c r="W180" s="181">
        <f t="shared" si="413"/>
        <v>0.22493563418142279</v>
      </c>
      <c r="X180" s="181">
        <f t="shared" si="413"/>
        <v>0.22087429634203601</v>
      </c>
      <c r="Y180" s="181">
        <f t="shared" si="413"/>
        <v>0.21688628821363809</v>
      </c>
      <c r="Z180" s="181">
        <f t="shared" si="413"/>
        <v>0.21297028578755856</v>
      </c>
      <c r="AA180" s="181">
        <f t="shared" si="413"/>
        <v>0.20912498896083878</v>
      </c>
      <c r="AB180" s="181">
        <f t="shared" si="413"/>
        <v>0.20534912110460141</v>
      </c>
      <c r="AC180" s="181">
        <f t="shared" si="413"/>
        <v>0.20164142864021273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-1</v>
      </c>
      <c r="J181" s="152">
        <f t="shared" si="414"/>
        <v>-0.40039062500000011</v>
      </c>
      <c r="K181" s="152" t="e">
        <f t="shared" si="414"/>
        <v>#DIV/0!</v>
      </c>
      <c r="L181" s="152">
        <f t="shared" si="414"/>
        <v>-1.1189732142857143</v>
      </c>
      <c r="M181" s="152">
        <f t="shared" si="414"/>
        <v>-0.58812785388127864</v>
      </c>
      <c r="N181" s="152">
        <f t="shared" si="414"/>
        <v>-0.3056451612903226</v>
      </c>
      <c r="O181" s="152">
        <f t="shared" si="414"/>
        <v>-1.9440789473684208</v>
      </c>
      <c r="P181" s="152">
        <f t="shared" si="414"/>
        <v>-0.75805837563451783</v>
      </c>
      <c r="Q181" s="152">
        <f>Q180-1</f>
        <v>-0.6357868020304569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0.76308287658742269</v>
      </c>
      <c r="Q184" s="128">
        <f>(Q171-T159)/Q171</f>
        <v>0.8050911566818123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9.4230019218401377</v>
      </c>
      <c r="N185" s="20"/>
      <c r="O185" s="20"/>
      <c r="P185" s="128">
        <f>(Q171-S150)/Q171</f>
        <v>6.5952798480795201</v>
      </c>
      <c r="Q185" s="128">
        <f>(Q171-T150)/Q171</f>
        <v>1.7796701427651789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-4.566185077452344</v>
      </c>
      <c r="N186" s="20"/>
      <c r="O186" s="20"/>
      <c r="P186" s="128">
        <f>(Q171-S143)/Q171</f>
        <v>-2.6975372300219145</v>
      </c>
      <c r="Q186" s="128">
        <f>(Q171-T143)/Q171</f>
        <v>0.48476940237399557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4.9895842498614076E-2</v>
      </c>
      <c r="N187" s="20"/>
      <c r="O187" s="20"/>
      <c r="P187" s="128">
        <f>(Q171-S156)/Q171</f>
        <v>0.36885938108836508</v>
      </c>
      <c r="Q187" s="128">
        <f>(Q171-T156)/Q171</f>
        <v>0.91205417605329675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-1.8031627727717123</v>
      </c>
      <c r="N188" s="20"/>
      <c r="O188" s="20"/>
      <c r="P188" s="128">
        <f>(Q171-S168)/Q171</f>
        <v>-0.86210098476978037</v>
      </c>
      <c r="Q188" s="128">
        <f>(Q171-T168)/Q171</f>
        <v>-0.53192789045938782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1.2437967450962886</v>
      </c>
      <c r="Q189" s="25">
        <f>Q171/T142</f>
        <v>8.9260707589263077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0.8039898833491359</v>
      </c>
      <c r="Q190" s="152">
        <f>1/Q189</f>
        <v>0.11203137718799433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415">U190-V191</f>
        <v>#DIV/0!</v>
      </c>
      <c r="W190" s="185" t="e">
        <f t="shared" si="415"/>
        <v>#DIV/0!</v>
      </c>
      <c r="X190" s="185" t="e">
        <f t="shared" si="415"/>
        <v>#DIV/0!</v>
      </c>
      <c r="Y190" s="185" t="e">
        <f>X190-Y191</f>
        <v>#DIV/0!</v>
      </c>
      <c r="Z190" s="185" t="e">
        <f t="shared" ref="Z190:AC190" si="416">Y190-Z191</f>
        <v>#DIV/0!</v>
      </c>
      <c r="AA190" s="185" t="e">
        <f t="shared" si="416"/>
        <v>#DIV/0!</v>
      </c>
      <c r="AB190" s="185" t="e">
        <f t="shared" si="416"/>
        <v>#DIV/0!</v>
      </c>
      <c r="AC190" s="185" t="e">
        <f t="shared" si="416"/>
        <v>#DIV/0!</v>
      </c>
      <c r="AD190" s="185" t="e">
        <f t="shared" ref="AD190" si="417">AC190-AD191</f>
        <v>#DIV/0!</v>
      </c>
      <c r="AE190" s="185" t="e">
        <f t="shared" ref="AE190" si="418">AD190-AE191</f>
        <v>#DIV/0!</v>
      </c>
      <c r="AF190" s="185" t="e">
        <f t="shared" ref="AF190" si="419">AE190-AF191</f>
        <v>#DIV/0!</v>
      </c>
      <c r="AG190" s="185" t="e">
        <f t="shared" ref="AG190" si="420">AF190-AG191</f>
        <v>#DIV/0!</v>
      </c>
      <c r="AH190" s="185" t="e">
        <f t="shared" ref="AH190" si="421">AG190-AH191</f>
        <v>#DIV/0!</v>
      </c>
      <c r="AI190" s="185" t="e">
        <f t="shared" ref="AI190" si="422">AH190-AI191</f>
        <v>#DIV/0!</v>
      </c>
      <c r="AJ190" s="185" t="e">
        <f t="shared" ref="AJ190" si="423">AI190-AJ191</f>
        <v>#DIV/0!</v>
      </c>
      <c r="AK190" s="185" t="e">
        <f t="shared" ref="AK190" si="424">AJ190-AK191</f>
        <v>#DIV/0!</v>
      </c>
      <c r="AL190" s="185" t="e">
        <f t="shared" ref="AL190" si="425">AK190-AL191</f>
        <v>#DIV/0!</v>
      </c>
      <c r="AM190" s="185" t="e">
        <f t="shared" ref="AM190" si="426">AL190-AM191</f>
        <v>#DIV/0!</v>
      </c>
      <c r="AN190" s="185" t="e">
        <f t="shared" ref="AN190" si="427">AM190-AN191</f>
        <v>#DIV/0!</v>
      </c>
      <c r="AO190" s="185" t="e">
        <f t="shared" ref="AO190" si="428">AN190-AO191</f>
        <v>#DIV/0!</v>
      </c>
      <c r="AP190" s="185" t="e">
        <f t="shared" ref="AP190" si="429">AO190-AP191</f>
        <v>#DIV/0!</v>
      </c>
      <c r="AQ190" s="185" t="e">
        <f t="shared" ref="AQ190" si="430">AP190-AQ191</f>
        <v>#DIV/0!</v>
      </c>
      <c r="AR190" s="185" t="e">
        <f t="shared" ref="AR190" si="431">AQ190-AR191</f>
        <v>#DIV/0!</v>
      </c>
      <c r="AS190" s="185" t="e">
        <f t="shared" ref="AS190" si="432">AR190-AS191</f>
        <v>#DIV/0!</v>
      </c>
      <c r="AT190" s="185" t="e">
        <f t="shared" ref="AT190" si="433">AS190-AT191</f>
        <v>#DIV/0!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Q171/R141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34">U191*(1+$K$191)</f>
        <v>#DIV/0!</v>
      </c>
      <c r="W191" s="186" t="e">
        <f t="shared" si="434"/>
        <v>#DIV/0!</v>
      </c>
      <c r="X191" s="186" t="e">
        <f t="shared" si="434"/>
        <v>#DIV/0!</v>
      </c>
      <c r="Y191" s="186" t="e">
        <f t="shared" si="434"/>
        <v>#DIV/0!</v>
      </c>
      <c r="Z191" s="186" t="e">
        <f t="shared" si="434"/>
        <v>#DIV/0!</v>
      </c>
      <c r="AA191" s="186" t="e">
        <f t="shared" si="434"/>
        <v>#DIV/0!</v>
      </c>
      <c r="AB191" s="186" t="e">
        <f t="shared" si="434"/>
        <v>#DIV/0!</v>
      </c>
      <c r="AC191" s="186" t="e">
        <f t="shared" si="434"/>
        <v>#DIV/0!</v>
      </c>
      <c r="AD191" s="186" t="e">
        <f t="shared" ref="AD191" si="435">AC191*(1+$K$191)</f>
        <v>#DIV/0!</v>
      </c>
      <c r="AE191" s="186" t="e">
        <f t="shared" ref="AE191" si="436">AD191*(1+$K$191)</f>
        <v>#DIV/0!</v>
      </c>
      <c r="AF191" s="186" t="e">
        <f t="shared" ref="AF191" si="437">AE191*(1+$K$191)</f>
        <v>#DIV/0!</v>
      </c>
      <c r="AG191" s="186" t="e">
        <f t="shared" ref="AG191" si="438">AF191*(1+$K$191)</f>
        <v>#DIV/0!</v>
      </c>
      <c r="AH191" s="186" t="e">
        <f t="shared" ref="AH191" si="439">AG191*(1+$K$191)</f>
        <v>#DIV/0!</v>
      </c>
      <c r="AI191" s="186" t="e">
        <f t="shared" ref="AI191" si="440">AH191*(1+$K$191)</f>
        <v>#DIV/0!</v>
      </c>
      <c r="AJ191" s="186" t="e">
        <f t="shared" ref="AJ191" si="441">AI191*(1+$K$191)</f>
        <v>#DIV/0!</v>
      </c>
      <c r="AK191" s="186" t="e">
        <f t="shared" ref="AK191" si="442">AJ191*(1+$K$191)</f>
        <v>#DIV/0!</v>
      </c>
      <c r="AL191" s="186" t="e">
        <f t="shared" ref="AL191" si="443">AK191*(1+$K$191)</f>
        <v>#DIV/0!</v>
      </c>
      <c r="AM191" s="186" t="e">
        <f t="shared" ref="AM191" si="444">AL191*(1+$K$191)</f>
        <v>#DIV/0!</v>
      </c>
      <c r="AN191" s="186" t="e">
        <f t="shared" ref="AN191" si="445">AM191*(1+$K$191)</f>
        <v>#DIV/0!</v>
      </c>
      <c r="AO191" s="186" t="e">
        <f t="shared" ref="AO191" si="446">AN191*(1+$K$191)</f>
        <v>#DIV/0!</v>
      </c>
      <c r="AP191" s="186" t="e">
        <f t="shared" ref="AP191" si="447">AO191*(1+$K$191)</f>
        <v>#DIV/0!</v>
      </c>
      <c r="AQ191" s="186" t="e">
        <f t="shared" ref="AQ191" si="448">AP191*(1+$K$191)</f>
        <v>#DIV/0!</v>
      </c>
      <c r="AR191" s="186" t="e">
        <f t="shared" ref="AR191" si="449">AQ191*(1+$K$191)</f>
        <v>#DIV/0!</v>
      </c>
      <c r="AS191" s="186" t="e">
        <f t="shared" ref="AS191" si="450">AR191*(1+$K$191)</f>
        <v>#DIV/0!</v>
      </c>
      <c r="AT191" s="186" t="e">
        <f t="shared" ref="AT191" si="451">AS191*(1+$K$191)</f>
        <v>#DIV/0!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2.9137055837563448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2.9137055837563448</v>
      </c>
      <c r="Q192" s="181">
        <f>Q171/Q54</f>
        <v>2.9137055837563448</v>
      </c>
      <c r="R192" s="20"/>
      <c r="S192" s="20"/>
      <c r="T192" s="186">
        <f>Q54*(1+$K$192)</f>
        <v>50.451219512195131</v>
      </c>
      <c r="U192" s="186">
        <f>T192*(1+$K$192)</f>
        <v>52.973780487804888</v>
      </c>
      <c r="V192" s="186">
        <f t="shared" ref="V192:AC192" si="452">U192*(1+$K$192)</f>
        <v>55.622469512195131</v>
      </c>
      <c r="W192" s="186">
        <f t="shared" si="452"/>
        <v>58.403592987804892</v>
      </c>
      <c r="X192" s="186">
        <f t="shared" si="452"/>
        <v>61.323772637195141</v>
      </c>
      <c r="Y192" s="186">
        <f t="shared" si="452"/>
        <v>64.389961269054908</v>
      </c>
      <c r="Z192" s="186">
        <f t="shared" si="452"/>
        <v>67.609459332507654</v>
      </c>
      <c r="AA192" s="186">
        <f t="shared" si="452"/>
        <v>70.989932299133045</v>
      </c>
      <c r="AB192" s="186">
        <f t="shared" si="452"/>
        <v>74.539428914089697</v>
      </c>
      <c r="AC192" s="186">
        <f t="shared" si="452"/>
        <v>78.26640035979419</v>
      </c>
      <c r="AD192" s="186">
        <f t="shared" ref="AD192" si="453">AC192*(1+$K$192)</f>
        <v>82.179720377783909</v>
      </c>
      <c r="AE192" s="186">
        <f t="shared" ref="AE192" si="454">AD192*(1+$K$192)</f>
        <v>86.288706396673106</v>
      </c>
      <c r="AF192" s="186">
        <f t="shared" ref="AF192" si="455">AE192*(1+$K$192)</f>
        <v>90.603141716506769</v>
      </c>
      <c r="AG192" s="186">
        <f t="shared" ref="AG192" si="456">AF192*(1+$K$192)</f>
        <v>95.133298802332106</v>
      </c>
      <c r="AH192" s="186">
        <f t="shared" ref="AH192" si="457">AG192*(1+$K$192)</f>
        <v>99.889963742448714</v>
      </c>
      <c r="AI192" s="186">
        <f t="shared" ref="AI192" si="458">AH192*(1+$K$192)</f>
        <v>104.88446192957116</v>
      </c>
      <c r="AJ192" s="186">
        <f t="shared" ref="AJ192" si="459">AI192*(1+$K$192)</f>
        <v>110.12868502604972</v>
      </c>
      <c r="AK192" s="186">
        <f t="shared" ref="AK192" si="460">AJ192*(1+$K$192)</f>
        <v>115.63511927735222</v>
      </c>
      <c r="AL192" s="186">
        <f t="shared" ref="AL192" si="461">AK192*(1+$K$192)</f>
        <v>121.41687524121983</v>
      </c>
      <c r="AM192" s="186">
        <f t="shared" ref="AM192" si="462">AL192*(1+$K$192)</f>
        <v>127.48771900328083</v>
      </c>
      <c r="AN192" s="186">
        <f t="shared" ref="AN192" si="463">AM192*(1+$K$192)</f>
        <v>133.86210495344488</v>
      </c>
      <c r="AO192" s="186">
        <f t="shared" ref="AO192" si="464">AN192*(1+$K$192)</f>
        <v>140.55521020111715</v>
      </c>
      <c r="AP192" s="186">
        <f t="shared" ref="AP192" si="465">AO192*(1+$K$192)</f>
        <v>147.582970711173</v>
      </c>
      <c r="AQ192" s="186">
        <f t="shared" ref="AQ192" si="466">AP192*(1+$K$192)</f>
        <v>154.96211924673167</v>
      </c>
      <c r="AR192" s="186">
        <f t="shared" ref="AR192" si="467">AQ192*(1+$K$192)</f>
        <v>162.71022520906826</v>
      </c>
      <c r="AS192" s="186">
        <f t="shared" ref="AS192" si="468">AR192*(1+$K$192)</f>
        <v>170.84573646952168</v>
      </c>
      <c r="AT192" s="186">
        <f t="shared" ref="AT192" si="469">AS192*(1+$K$192)</f>
        <v>179.38802329299779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89.548780487804862</v>
      </c>
      <c r="U193" s="185">
        <f>T193-U192</f>
        <v>36.574999999999974</v>
      </c>
      <c r="V193" s="185">
        <f t="shared" ref="V193:AA193" si="470">U193-V192</f>
        <v>-19.047469512195157</v>
      </c>
      <c r="W193" s="185">
        <f t="shared" si="470"/>
        <v>-77.451062500000049</v>
      </c>
      <c r="X193" s="185">
        <f t="shared" si="470"/>
        <v>-138.7748351371952</v>
      </c>
      <c r="Y193" s="185">
        <f t="shared" si="470"/>
        <v>-203.1647964062501</v>
      </c>
      <c r="Z193" s="185">
        <f t="shared" si="470"/>
        <v>-270.77425573875774</v>
      </c>
      <c r="AA193" s="185">
        <f t="shared" si="470"/>
        <v>-341.76418803789079</v>
      </c>
      <c r="AB193" s="185">
        <f>AA193-AB192</f>
        <v>-416.30361695198047</v>
      </c>
      <c r="AC193" s="185">
        <f t="shared" ref="AC193" si="471">AB193-AC192</f>
        <v>-494.57001731177468</v>
      </c>
      <c r="AD193" s="185">
        <f t="shared" ref="AD193" si="472">AC193-AD192</f>
        <v>-576.74973768955863</v>
      </c>
      <c r="AE193" s="185">
        <f t="shared" ref="AE193" si="473">AD193-AE192</f>
        <v>-663.03844408623172</v>
      </c>
      <c r="AF193" s="185">
        <f t="shared" ref="AF193" si="474">AE193-AF192</f>
        <v>-753.64158580273852</v>
      </c>
      <c r="AG193" s="185">
        <f t="shared" ref="AG193" si="475">AF193-AG192</f>
        <v>-848.77488460507061</v>
      </c>
      <c r="AH193" s="185">
        <f t="shared" ref="AH193" si="476">AG193-AH192</f>
        <v>-948.6648483475193</v>
      </c>
      <c r="AI193" s="185">
        <f t="shared" ref="AI193" si="477">AH193-AI192</f>
        <v>-1053.5493102770904</v>
      </c>
      <c r="AJ193" s="185">
        <f t="shared" ref="AJ193" si="478">AI193-AJ192</f>
        <v>-1163.6779953031401</v>
      </c>
      <c r="AK193" s="185">
        <f t="shared" ref="AK193" si="479">AJ193-AK192</f>
        <v>-1279.3131145804923</v>
      </c>
      <c r="AL193" s="185">
        <f t="shared" ref="AL193" si="480">AK193-AL192</f>
        <v>-1400.729989821712</v>
      </c>
      <c r="AM193" s="185">
        <f t="shared" ref="AM193" si="481">AL193-AM192</f>
        <v>-1528.2177088249928</v>
      </c>
      <c r="AN193" s="185">
        <f t="shared" ref="AN193" si="482">AM193-AN192</f>
        <v>-1662.0798137784377</v>
      </c>
      <c r="AO193" s="185">
        <f t="shared" ref="AO193" si="483">AN193-AO192</f>
        <v>-1802.6350239795549</v>
      </c>
      <c r="AP193" s="185">
        <f t="shared" ref="AP193" si="484">AO193-AP192</f>
        <v>-1950.2179946907279</v>
      </c>
      <c r="AQ193" s="185">
        <f t="shared" ref="AQ193" si="485">AP193-AQ192</f>
        <v>-2105.1801139374597</v>
      </c>
      <c r="AR193" s="185">
        <f t="shared" ref="AR193" si="486">AQ193-AR192</f>
        <v>-2267.8903391465278</v>
      </c>
      <c r="AS193" s="185">
        <f t="shared" ref="AS193" si="487">AR193-AS192</f>
        <v>-2438.7360756160497</v>
      </c>
      <c r="AT193" s="185">
        <f t="shared" ref="AT193" si="488">AS193-AT192</f>
        <v>-2618.1240989090475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>
        <f t="shared" si="489"/>
        <v>0.93840985442329228</v>
      </c>
      <c r="G195" s="25">
        <f t="shared" si="489"/>
        <v>0.87616822429906538</v>
      </c>
      <c r="H195" s="25">
        <f t="shared" si="489"/>
        <v>1.0613810741687979</v>
      </c>
      <c r="I195" s="25">
        <f t="shared" si="489"/>
        <v>1.5759599332220366</v>
      </c>
      <c r="J195" s="25">
        <f t="shared" si="489"/>
        <v>1.681985294117647</v>
      </c>
      <c r="K195" s="25" t="e">
        <f t="shared" si="489"/>
        <v>#DIV/0!</v>
      </c>
      <c r="L195" s="25">
        <f t="shared" si="489"/>
        <v>2</v>
      </c>
      <c r="M195" s="25">
        <f t="shared" si="489"/>
        <v>1.3623529411764705</v>
      </c>
      <c r="N195" s="25">
        <f t="shared" si="489"/>
        <v>1.8799533799533799</v>
      </c>
      <c r="O195" s="25">
        <f t="shared" si="489"/>
        <v>2.6781456953642384</v>
      </c>
      <c r="P195" s="25">
        <f t="shared" si="489"/>
        <v>2.7969094922737305</v>
      </c>
      <c r="Q195" s="25">
        <f t="shared" ref="Q195" si="490">Q10/Q7</f>
        <v>2.7969094922737305</v>
      </c>
      <c r="R195" s="118">
        <f t="shared" ref="R195:R197" si="491">((P195/G195)^(1/($H$2-$H$1) ))-1</f>
        <v>0.13765374703600508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>
        <f>F10/F12</f>
        <v>32.230769230769234</v>
      </c>
      <c r="G196" s="112">
        <f>G10/G12</f>
        <v>20.27027027027027</v>
      </c>
      <c r="H196" s="112">
        <f t="shared" ref="H196:P196" si="492">H10/H12</f>
        <v>23.055555555555557</v>
      </c>
      <c r="I196" s="112">
        <f t="shared" si="492"/>
        <v>23.6</v>
      </c>
      <c r="J196" s="112">
        <f t="shared" si="492"/>
        <v>30.5</v>
      </c>
      <c r="K196" s="112" t="e">
        <f t="shared" si="492"/>
        <v>#DIV/0!</v>
      </c>
      <c r="L196" s="112">
        <f t="shared" si="492"/>
        <v>27.64</v>
      </c>
      <c r="M196" s="112">
        <f t="shared" si="492"/>
        <v>12.866666666666667</v>
      </c>
      <c r="N196" s="112">
        <f t="shared" si="492"/>
        <v>14.026086956521739</v>
      </c>
      <c r="O196" s="112">
        <f t="shared" si="492"/>
        <v>19.257142857142856</v>
      </c>
      <c r="P196" s="112">
        <f t="shared" si="492"/>
        <v>18.100000000000001</v>
      </c>
      <c r="Q196" s="112">
        <f t="shared" ref="Q196" si="493">Q10/Q12</f>
        <v>18.100000000000001</v>
      </c>
      <c r="R196" s="118">
        <f t="shared" si="491"/>
        <v>-1.2503765193455529E-2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>
        <f>F10/(F12+F13)</f>
        <v>3.014388489208633</v>
      </c>
      <c r="G197" s="25">
        <f>G10/(G12+G13)</f>
        <v>2.5951557093425603</v>
      </c>
      <c r="H197" s="25">
        <f t="shared" ref="H197:P197" si="494">H10/(H12+H13)</f>
        <v>2.9020979020979021</v>
      </c>
      <c r="I197" s="25">
        <f t="shared" si="494"/>
        <v>8.7407407407407405</v>
      </c>
      <c r="J197" s="25">
        <f t="shared" si="494"/>
        <v>9.0594059405940595</v>
      </c>
      <c r="K197" s="25" t="e">
        <f t="shared" si="494"/>
        <v>#DIV/0!</v>
      </c>
      <c r="L197" s="25">
        <f t="shared" si="494"/>
        <v>10.968253968253968</v>
      </c>
      <c r="M197" s="25">
        <f t="shared" si="494"/>
        <v>6.8117647058823527</v>
      </c>
      <c r="N197" s="25">
        <f t="shared" si="494"/>
        <v>7.9851485148514856</v>
      </c>
      <c r="O197" s="25">
        <f t="shared" si="494"/>
        <v>9.8634146341463413</v>
      </c>
      <c r="P197" s="25">
        <f t="shared" si="494"/>
        <v>10.385245901639344</v>
      </c>
      <c r="Q197" s="25">
        <f t="shared" ref="Q197" si="495">Q10/(Q12+Q13)</f>
        <v>10.385245901639344</v>
      </c>
      <c r="R197" s="118">
        <f t="shared" si="491"/>
        <v>0.16658675257176947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40</v>
      </c>
      <c r="O202" s="173">
        <f>N202</f>
        <v>40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40</v>
      </c>
      <c r="O204" s="173">
        <f>N204</f>
        <v>40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300</v>
      </c>
      <c r="O205" s="21">
        <v>310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300</v>
      </c>
      <c r="O206" s="168">
        <f>O205*O203</f>
        <v>310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7.5</v>
      </c>
      <c r="O209" s="170">
        <f>O206/O204</f>
        <v>7.75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393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2014-06-21T18:23:53Z</dcterms:modified>
</cp:coreProperties>
</file>
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O12" i="18" l="1"/>
  <c r="N12" i="18"/>
  <c r="R43" i="18" l="1"/>
  <c r="S4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G209" i="18" s="1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G210" i="18" s="1"/>
  <c r="K210" i="18" s="1"/>
  <c r="H202" i="18"/>
  <c r="I202" i="18" s="1"/>
  <c r="J202" i="18" s="1"/>
  <c r="J203" i="18" s="1"/>
  <c r="H200" i="18"/>
  <c r="H198" i="18"/>
  <c r="H197" i="18"/>
  <c r="I197" i="18" s="1"/>
  <c r="J197" i="18" s="1"/>
  <c r="G212" i="18" l="1"/>
  <c r="G215" i="18"/>
  <c r="K209" i="18"/>
  <c r="K213" i="18" s="1"/>
  <c r="D205" i="18"/>
  <c r="Q53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K212" i="18" l="1"/>
  <c r="Q97" i="18"/>
  <c r="Q98" i="18"/>
  <c r="Q100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6" i="18" l="1"/>
  <c r="Q99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8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03" i="18" s="1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<sst xmlns="http://schemas.openxmlformats.org/spreadsheetml/2006/main" count="618" uniqueCount="429">
  <si>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</si>
  <si>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</si>
  <si>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</si>
  <si>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</si>
  <si>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</si>
  <si>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</si>
  <si>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</si>
  <si>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</si>
  <si>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</si>
  <si>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</si>
  <si>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</si>
  <si>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</si>
  <si>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</si>
  <si>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</si>
  <si>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</si>
  <si>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</si>
  <si>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</si>
  <si>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</si>
  <si>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</si>
  <si>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</si>
  <si>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</si>
  <si>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</si>
  <si>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</si>
  <si>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</si>
  <si>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</si>
  <si>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</si>
  <si>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</si>
  <si>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</si>
  <si>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</si>
  <si>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</si>
  <si>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</si>
  <si>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</si>
  <si>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</si>
  <si>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</si>
  <si>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</si>
  <si>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</si>
  <si>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</si>
  <si>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</si>
  <si>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</si>
  <si>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</si>
  <si>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</si>
  <si>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</si>
  <si>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</si>
  <si>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</si>
  <si>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</si>
  <si>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</si>
  <si>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</si>
  <si>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</si>
  <si>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</si>
  <si>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</si>
  <si>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</si>
  <si>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</si>
  <si>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</si>
  <si>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</si>
  <si>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</si>
  <si>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</si>
  <si>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</si>
  <si>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</si>
  <si>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</si>
  <si>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</si>
  <si>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</si>
  <si>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</si>
  <si>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</si>
  <si>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</si>
  <si>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</si>
  <si>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</si>
  <si>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</si>
  <si>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</si>
  <si>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</si>
  <si>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</si>
  <si>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</si>
  <si>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</si>
  <si>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</si>
  <si>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</si>
  <si>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</si>
  <si>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</si>
  <si>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</si>
  <si>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</si>
  <si>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</si>
  <si>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</si>
  <si>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</si>
  <si>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</si>
  <si>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</si>
  <si>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</si>
  <si>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</si>
  <si>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</si>
  <si>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</si>
  <si>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</si>
  <si>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</si>
  <si>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</si>
  <si>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</si>
  <si>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</si>
  <si>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</si>
  <si>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</si>
  <si>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</si>
  <si>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</si>
  <si>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</si>
  <si>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</si>
  <si>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</si>
  <si>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</si>
  <si>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</si>
  <si>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</si>
  <si>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</si>
  <si>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</si>
  <si>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</si>
  <si>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</si>
  <si>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</si>
  <si>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</si>
  <si>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</si>
  <si>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</si>
  <si>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</si>
  <si>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</si>
  <si>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</si>
  <si>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</si>
  <si>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</si>
  <si>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</si>
  <si>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</si>
  <si>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</si>
  <si>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</si>
  <si>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</si>
  <si>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</si>
  <si>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</si>
  <si>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</si>
  <si>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</si>
  <si>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</si>
  <si>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</si>
  <si>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</si>
  <si>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</si>
  <si>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</si>
  <si>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</si>
  <si>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</si>
  <si>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</si>
  <si>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</si>
  <si>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</si>
  <si>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</si>
  <si>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</si>
  <si>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</si>
  <si>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</si>
  <si>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</si>
  <si>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</si>
  <si>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</si>
  <si>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</si>
  <si>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</si>
  <si>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</si>
  <si>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</si>
  <si>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</si>
  <si>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</si>
  <si>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</si>
  <si>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</si>
  <si>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</si>
  <si>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</si>
  <si>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</si>
  <si>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</si>
  <si>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</si>
  <si>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</si>
  <si>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</si>
  <si>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</si>
  <si>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</si>
  <si>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</si>
  <si>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</si>
  <si>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</si>
  <si>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</si>
  <si>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</si>
  <si>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</si>
  <si>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</si>
  <si>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</si>
  <si>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</si>
  <si>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</si>
  <si>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</si>
  <si>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</si>
  <si>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</si>
  <si>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</si>
  <si>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</si>
  <si>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</si>
  <si>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</si>
  <si>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</si>
  <si>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</si>
  <si>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</si>
  <si>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</si>
  <si>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</si>
  <si>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</si>
  <si>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</si>
  <si>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</si>
  <si>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</si>
  <si>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</si>
  <si>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</si>
  <si>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</si>
  <si>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</si>
  <si>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</si>
  <si>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</si>
  <si>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</si>
  <si>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</si>
  <si>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</si>
  <si>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</si>
  <si>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</si>
  <si>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</si>
  <si>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</si>
  <si>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</si>
  <si>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</si>
  <si>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</si>
  <si>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</si>
  <si>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</si>
  <si>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</si>
  <si>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</si>
  <si>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</si>
  <si>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</si>
  <si>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</si>
  <si>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</si>
  <si>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</si>
  <si>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</si>
  <si>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</si>
  <si>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</si>
  <si>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</si>
  <si>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</si>
  <si>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</si>
  <si>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</si>
  <si>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</si>
  <si>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</si>
  <si>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</si>
  <si>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</si>
  <si>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</si>
  <si>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</si>
  <si>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</si>
  <si>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</si>
  <si>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</si>
  <si>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</si>
  <si>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</si>
  <si>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</si>
  <si>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</si>
  <si>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</si>
  <si>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</si>
  <si>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</si>
  <si>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</si>
  <si>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</si>
  <si>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</si>
  <si>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</si>
  <si>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</si>
  <si>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</si>
  <si>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</si>
  <si>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</si>
  <si>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</si>
  <si>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</si>
  <si>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</si>
  <si>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</si>
  <si>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</si>
  <si>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</si>
  <si>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</si>
  <si>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</si>
  <si>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</si>
  <si>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</si>
  <si>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</si>
  <si>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</si>
  <si>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</si>
  <si>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</si>
  <si>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</si>
  <si>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</si>
  <si>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</si>
  <si>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</si>
  <si>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</si>
  <si>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</si>
  <si>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</si>
  <si>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</si>
  <si>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</si>
  <si>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</si>
  <si>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</si>
  <si>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</si>
  <si>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</si>
  <si>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</si>
  <si>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</si>
  <si>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</si>
  <si>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</si>
  <si>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</si>
  <si>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</si>
  <si>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</si>
  <si>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</si>
  <si>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</si>
  <si>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</si>
  <si>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</si>
  <si>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</si>
  <si>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</si>
  <si>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</si>
  <si>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</si>
  <si>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</si>
  <si>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</si>
  <si>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</si>
  <si>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</si>
  <si>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</si>
  <si>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</si>
  <si>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</si>
  <si>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</si>
  <si>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</si>
  <si>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</si>
  <si>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</si>
  <si>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</si>
  <si>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</si>
  <si>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</si>
  <si>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</si>
  <si>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</si>
  <si>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</si>
  <si>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</si>
  <si>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</si>
  <si>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</si>
  <si>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</si>
  <si>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</si>
  <si>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</si>
  <si>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</si>
  <si>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</si>
  <si>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</si>
  <si>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</si>
  <si>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</si>
  <si>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</si>
  <si>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</si>
  <si>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</si>
  <si>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</si>
  <si>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</si>
  <si>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</si>
  <si>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</si>
  <si>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</si>
  <si>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</si>
  <si>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</si>
  <si>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</si>
  <si>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</si>
  <si>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</si>
  <si>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</si>
  <si>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</si>
  <si>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</si>
  <si>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</si>
  <si>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</si>
  <si>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</si>
  <si>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</si>
  <si>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</si>
  <si>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</si>
  <si>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</si>
  <si>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</si>
  <si>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</si>
  <si>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</si>
  <si>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</si>
  <si>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</si>
  <si>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</si>
  <si>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</si>
  <si>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</si>
  <si>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</si>
  <si>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</si>
  <si>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</si>
  <si>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</si>
  <si>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</si>
  <si>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</si>
  <si>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</si>
  <si>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</si>
  <si>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</si>
  <si>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</si>
  <si>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</si>
  <si>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</si>
  <si>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</si>
  <si>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</si>
  <si>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</si>
  <si>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</si>
  <si>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</si>
  <si>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</si>
  <si>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</si>
  <si>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</si>
  <si>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</si>
  <si>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</si>
  <si>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</si>
  <si>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</si>
  <si>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</si>
  <si>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</si>
  <si>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</si>
  <si>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</si>
  <si>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</si>
  <si>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</si>
  <si>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</si>
  <si>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</si>
  <si>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</si>
  <si>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</si>
  <si>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</si>
  <si>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</si>
  <si>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</si>
  <si>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</si>
  <si>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</si>
  <si>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</si>
  <si>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</si>
  <si>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</si>
  <si>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</si>
  <si>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</si>
  <si>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</si>
  <si>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</si>
  <si>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</si>
  <si>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</si>
  <si>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</si>
  <si>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</si>
  <si>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</si>
  <si>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</si>
  <si>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</si>
  <si>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</si>
  <si>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</si>
  <si>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</si>
  <si>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</si>
  <si>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</si>
  <si>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</si>
  <si>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</si>
  <si>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</si>
  <si>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</si>
  <si>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</si>
  <si>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</si>
  <si>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</si>
  <si>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</si>
  <si>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</si>
  <si>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</si>
  <si>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</si>
  <si>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</si>
  <si>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</si>
  <si>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</si>
  <si>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</si>
  <si>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</si>
  <si>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</si>
  <si>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</si>
  <si>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</si>
  <si>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</si>
  <si>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</si>
  <si>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</si>
  <si>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</si>
  <si>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</si>
  <si>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</si>
  <si>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</si>
  <si>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</si>
  <si>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</si>
  <si>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</si>
  <si>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2x5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</si>
</sst>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0"/>
      <color rgb="FFFF000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4" fontId="8" fillId="5" borderId="1" xfId="2" applyNumberFormat="1" applyFont="1" applyFill="1" applyBorder="1"/>
    <xf numFmtId="0" fontId="15" fillId="6" borderId="1" xfId="0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98112"/>
        <c:axId val="99899648"/>
      </c:lineChart>
      <c:catAx>
        <c:axId val="99898112"/>
        <c:scaling>
          <c:orientation val="minMax"/>
        </c:scaling>
        <c:delete val="0"/>
        <c:axPos val="b"/>
        <c:majorTickMark val="out"/>
        <c:minorTickMark val="none"/>
        <c:tickLblPos val="nextTo"/>
        <c:crossAx val="99899648"/>
        <c:crosses val="autoZero"/>
        <c:auto val="1"/>
        <c:lblAlgn val="ctr"/>
        <c:lblOffset val="100"/>
        <c:noMultiLvlLbl val="0"/>
      </c:catAx>
      <c:valAx>
        <c:axId val="99899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898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159" activePane="bottomRight" state="frozen"/>
      <selection pane="topRight" activeCell="C1" sqref="C1"/>
      <selection pane="bottomLeft" activeCell="A5" sqref="A5"/>
      <selection pane="bottomRight" activeCell="P173" sqref="P173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0.08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291</v>
      </c>
      <c r="AE2" s="192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292</v>
      </c>
      <c r="AE3" s="194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684</v>
      </c>
      <c r="H6" s="147">
        <v>724</v>
      </c>
      <c r="I6" s="147">
        <v>813</v>
      </c>
      <c r="J6" s="147">
        <v>981</v>
      </c>
      <c r="K6" s="147">
        <v>1194</v>
      </c>
      <c r="L6" s="147">
        <v>1445</v>
      </c>
      <c r="M6" s="147">
        <v>1521</v>
      </c>
      <c r="N6" s="147">
        <v>1766</v>
      </c>
      <c r="O6" s="147">
        <v>1987</v>
      </c>
      <c r="P6" s="147">
        <v>2331</v>
      </c>
      <c r="Q6" s="118">
        <f>((P6/G6)^(1/($H$2-$H$1) ))-1</f>
        <v>0.14594857845037734</v>
      </c>
      <c r="R6" s="31">
        <f>$L$2</f>
        <v>0.08</v>
      </c>
      <c r="S6" s="154">
        <f>P6*(1+$R6)</f>
        <v>2517.48</v>
      </c>
      <c r="T6" s="154">
        <f>S6*(1+$R6)</f>
        <v>2718.8784000000001</v>
      </c>
      <c r="U6" s="154">
        <f t="shared" ref="U6:AB6" si="0">T6*(1+$R6)</f>
        <v>2936.388672</v>
      </c>
      <c r="V6" s="154">
        <f t="shared" si="0"/>
        <v>3171.2997657600004</v>
      </c>
      <c r="W6" s="154">
        <f t="shared" si="0"/>
        <v>3425.0037470208008</v>
      </c>
      <c r="X6" s="154">
        <f t="shared" si="0"/>
        <v>3699.0040467824651</v>
      </c>
      <c r="Y6" s="154">
        <f t="shared" si="0"/>
        <v>3994.9243705250624</v>
      </c>
      <c r="Z6" s="154">
        <f t="shared" si="0"/>
        <v>4314.5183201670679</v>
      </c>
      <c r="AA6" s="154">
        <f t="shared" si="0"/>
        <v>4659.679785780434</v>
      </c>
      <c r="AB6" s="154">
        <f t="shared" si="0"/>
        <v>5032.4541686428693</v>
      </c>
      <c r="AC6" s="138">
        <f>((AB6/G6)^(1/($AB$3-$H$1) ))-1</f>
        <v>0.11075183209189698</v>
      </c>
      <c r="AD6" s="31">
        <f>$L$1</f>
        <v>0.05</v>
      </c>
      <c r="AE6" s="146">
        <f t="shared" ref="AE6:AE43" si="1">(AB6*(1+AD6))/($C$1-AD6)</f>
        <v>31082.805159264783</v>
      </c>
    </row>
    <row r="7" spans="2:31" x14ac:dyDescent="0.2">
      <c r="B7" s="20" t="s">
        <v>240</v>
      </c>
      <c r="C7" s="141"/>
      <c r="D7" s="141"/>
      <c r="E7" s="147"/>
      <c r="F7" s="147"/>
      <c r="G7" s="147">
        <v>723</v>
      </c>
      <c r="H7" s="147">
        <v>763</v>
      </c>
      <c r="I7" s="147">
        <v>852</v>
      </c>
      <c r="J7" s="147">
        <v>1020</v>
      </c>
      <c r="K7" s="147">
        <v>1234</v>
      </c>
      <c r="L7" s="147">
        <v>1485</v>
      </c>
      <c r="M7" s="147">
        <v>1561</v>
      </c>
      <c r="N7" s="147">
        <v>1806</v>
      </c>
      <c r="O7" s="147">
        <v>2043</v>
      </c>
      <c r="P7" s="147">
        <v>2386</v>
      </c>
      <c r="Q7" s="118">
        <f>((P7/G7)^(1/($H$2-$H$1) ))-1</f>
        <v>0.14186479259001161</v>
      </c>
      <c r="R7" s="31">
        <f>$L$2</f>
        <v>0.08</v>
      </c>
      <c r="S7" s="154">
        <f t="shared" ref="S7:S16" si="2">P7*(1+$R7)</f>
        <v>2576.88</v>
      </c>
      <c r="T7" s="154">
        <f t="shared" ref="T7:AB7" si="3">S7*(1+$R7)</f>
        <v>2783.0304000000001</v>
      </c>
      <c r="U7" s="154">
        <f t="shared" si="3"/>
        <v>3005.6728320000002</v>
      </c>
      <c r="V7" s="154">
        <f t="shared" si="3"/>
        <v>3246.1266585600006</v>
      </c>
      <c r="W7" s="154">
        <f t="shared" si="3"/>
        <v>3505.8167912448007</v>
      </c>
      <c r="X7" s="154">
        <f t="shared" si="3"/>
        <v>3786.2821345443849</v>
      </c>
      <c r="Y7" s="154">
        <f t="shared" si="3"/>
        <v>4089.1847053079359</v>
      </c>
      <c r="Z7" s="154">
        <f t="shared" si="3"/>
        <v>4416.3194817325711</v>
      </c>
      <c r="AA7" s="154">
        <f t="shared" si="3"/>
        <v>4769.6250402711776</v>
      </c>
      <c r="AB7" s="154">
        <f t="shared" si="3"/>
        <v>5151.1950434928722</v>
      </c>
      <c r="AC7" s="138">
        <f>((AB7/G7)^(1/($AB$3-$H$1) ))-1</f>
        <v>0.10887505967771149</v>
      </c>
      <c r="AD7" s="31">
        <f>$L$1</f>
        <v>0.05</v>
      </c>
      <c r="AE7" s="146">
        <f t="shared" si="1"/>
        <v>31816.204680397157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5.242463958060288E-2</v>
      </c>
      <c r="I8" s="151">
        <f t="shared" ref="I8:P8" si="4">(I7-H7)/I7</f>
        <v>0.10446009389671361</v>
      </c>
      <c r="J8" s="151">
        <f t="shared" si="4"/>
        <v>0.16470588235294117</v>
      </c>
      <c r="K8" s="151">
        <f t="shared" si="4"/>
        <v>0.17341977309562398</v>
      </c>
      <c r="L8" s="151">
        <f t="shared" si="4"/>
        <v>0.16902356902356902</v>
      </c>
      <c r="M8" s="151">
        <f t="shared" si="4"/>
        <v>4.8686739269698909E-2</v>
      </c>
      <c r="N8" s="151">
        <f t="shared" si="4"/>
        <v>0.13565891472868216</v>
      </c>
      <c r="O8" s="151">
        <f t="shared" si="4"/>
        <v>0.11600587371512482</v>
      </c>
      <c r="P8" s="151">
        <f t="shared" si="4"/>
        <v>0.14375523889354569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266</v>
      </c>
      <c r="H9" s="147">
        <v>287</v>
      </c>
      <c r="I9" s="147">
        <v>332</v>
      </c>
      <c r="J9" s="147">
        <v>398</v>
      </c>
      <c r="K9" s="147">
        <v>589</v>
      </c>
      <c r="L9" s="147">
        <v>646</v>
      </c>
      <c r="M9" s="147">
        <v>550</v>
      </c>
      <c r="N9" s="147">
        <v>747</v>
      </c>
      <c r="O9" s="147">
        <v>728</v>
      </c>
      <c r="P9" s="147">
        <v>804</v>
      </c>
      <c r="Q9" s="118">
        <f t="shared" ref="Q9:Q16" si="5">((P9/G9)^(1/($H$2-$H$1) ))-1</f>
        <v>0.13077171010773148</v>
      </c>
      <c r="R9" s="31">
        <f t="shared" ref="R9:R40" si="6">$L$2</f>
        <v>0.08</v>
      </c>
      <c r="S9" s="154">
        <f t="shared" ref="S9" si="7">P9*(1+$R9)</f>
        <v>868.32</v>
      </c>
      <c r="T9" s="154">
        <f t="shared" ref="T9" si="8">S9*(1+$R9)</f>
        <v>937.78560000000016</v>
      </c>
      <c r="U9" s="154">
        <f t="shared" ref="U9" si="9">T9*(1+$R9)</f>
        <v>1012.8084480000002</v>
      </c>
      <c r="V9" s="154">
        <f t="shared" ref="V9" si="10">U9*(1+$R9)</f>
        <v>1093.8331238400003</v>
      </c>
      <c r="W9" s="154">
        <f t="shared" ref="W9" si="11">V9*(1+$R9)</f>
        <v>1181.3397737472005</v>
      </c>
      <c r="X9" s="154">
        <f t="shared" ref="X9" si="12">W9*(1+$R9)</f>
        <v>1275.8469556469765</v>
      </c>
      <c r="Y9" s="154">
        <f t="shared" ref="Y9" si="13">X9*(1+$R9)</f>
        <v>1377.9147120987348</v>
      </c>
      <c r="Z9" s="154">
        <f t="shared" ref="Z9" si="14">Y9*(1+$R9)</f>
        <v>1488.1478890666335</v>
      </c>
      <c r="AA9" s="154">
        <f t="shared" ref="AA9" si="15">Z9*(1+$R9)</f>
        <v>1607.1997201919644</v>
      </c>
      <c r="AB9" s="154">
        <f t="shared" ref="AB9" si="16">AA9*(1+$R9)</f>
        <v>1735.7756978073216</v>
      </c>
      <c r="AC9" s="138">
        <f>((AB9/G9)^(1/($AB$3-$H$1) ))-1</f>
        <v>0.10375914292043187</v>
      </c>
      <c r="AD9" s="31">
        <f t="shared" ref="AD9:AD79" si="17">$L$1</f>
        <v>0.05</v>
      </c>
      <c r="AE9" s="146">
        <f t="shared" si="1"/>
        <v>10720.967545280517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56</v>
      </c>
      <c r="H10" s="147">
        <v>71</v>
      </c>
      <c r="I10" s="147">
        <v>44</v>
      </c>
      <c r="J10" s="147">
        <v>35</v>
      </c>
      <c r="K10" s="147">
        <v>34</v>
      </c>
      <c r="L10" s="147">
        <v>28</v>
      </c>
      <c r="M10" s="147">
        <v>9</v>
      </c>
      <c r="N10" s="147">
        <v>18</v>
      </c>
      <c r="O10" s="147">
        <v>0</v>
      </c>
      <c r="P10" s="147">
        <v>0.01</v>
      </c>
      <c r="Q10" s="118">
        <f t="shared" si="5"/>
        <v>-0.61670366762523976</v>
      </c>
      <c r="R10" s="31">
        <f t="shared" si="6"/>
        <v>0.08</v>
      </c>
      <c r="S10" s="154">
        <f t="shared" si="2"/>
        <v>1.0800000000000001E-2</v>
      </c>
      <c r="T10" s="154">
        <f t="shared" ref="T10:AB10" si="18">S10*(1+$R10)</f>
        <v>1.1664000000000001E-2</v>
      </c>
      <c r="U10" s="154">
        <f t="shared" si="18"/>
        <v>1.2597120000000002E-2</v>
      </c>
      <c r="V10" s="154">
        <f t="shared" si="18"/>
        <v>1.3604889600000003E-2</v>
      </c>
      <c r="W10" s="154">
        <f t="shared" si="18"/>
        <v>1.4693280768000003E-2</v>
      </c>
      <c r="X10" s="154">
        <f t="shared" si="18"/>
        <v>1.5868743229440006E-2</v>
      </c>
      <c r="Y10" s="154">
        <f t="shared" si="18"/>
        <v>1.7138242687795208E-2</v>
      </c>
      <c r="Z10" s="154">
        <f t="shared" si="18"/>
        <v>1.8509302102818825E-2</v>
      </c>
      <c r="AA10" s="154">
        <f t="shared" si="18"/>
        <v>1.999004627104433E-2</v>
      </c>
      <c r="AB10" s="154">
        <f t="shared" si="18"/>
        <v>2.1589249972727879E-2</v>
      </c>
      <c r="AC10" s="138">
        <f t="shared" ref="AC10:AC42" si="19">((AB10/G10)^(1/($AB$3-$H$1) ))-1</f>
        <v>-0.33882199732975649</v>
      </c>
      <c r="AD10" s="31">
        <f t="shared" si="17"/>
        <v>0.05</v>
      </c>
      <c r="AE10" s="146">
        <f t="shared" si="1"/>
        <v>0.13334536747861339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0.21126760563380281</v>
      </c>
      <c r="I11" s="148">
        <f t="shared" si="20"/>
        <v>-0.61363636363636365</v>
      </c>
      <c r="J11" s="148">
        <f t="shared" si="20"/>
        <v>-0.25714285714285712</v>
      </c>
      <c r="K11" s="148">
        <f t="shared" si="20"/>
        <v>-2.9411764705882353E-2</v>
      </c>
      <c r="L11" s="148">
        <f t="shared" si="20"/>
        <v>-0.21428571428571427</v>
      </c>
      <c r="M11" s="148">
        <f t="shared" si="20"/>
        <v>-2.1111111111111112</v>
      </c>
      <c r="N11" s="148">
        <f t="shared" si="20"/>
        <v>0.5</v>
      </c>
      <c r="O11" s="148" t="e">
        <f t="shared" si="20"/>
        <v>#DIV/0!</v>
      </c>
      <c r="P11" s="148">
        <f t="shared" si="20"/>
        <v>1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19</v>
      </c>
      <c r="H12" s="147">
        <v>10</v>
      </c>
      <c r="I12" s="147">
        <v>13</v>
      </c>
      <c r="J12" s="147">
        <v>55</v>
      </c>
      <c r="K12" s="147">
        <v>24</v>
      </c>
      <c r="L12" s="147">
        <v>47</v>
      </c>
      <c r="M12" s="147">
        <v>56</v>
      </c>
      <c r="N12" s="147">
        <f>85+19</f>
        <v>104</v>
      </c>
      <c r="O12" s="147">
        <f>145+78</f>
        <v>223</v>
      </c>
      <c r="P12" s="147">
        <v>354</v>
      </c>
      <c r="Q12" s="118">
        <f t="shared" si="5"/>
        <v>0.38400879907062846</v>
      </c>
      <c r="R12" s="31">
        <f t="shared" si="6"/>
        <v>0.08</v>
      </c>
      <c r="S12" s="154">
        <f t="shared" si="2"/>
        <v>382.32000000000005</v>
      </c>
      <c r="T12" s="154">
        <f t="shared" ref="T12:AB12" si="21">S12*(1+$R12)</f>
        <v>412.90560000000011</v>
      </c>
      <c r="U12" s="154">
        <f t="shared" si="21"/>
        <v>445.93804800000015</v>
      </c>
      <c r="V12" s="154">
        <f t="shared" si="21"/>
        <v>481.61309184000021</v>
      </c>
      <c r="W12" s="154">
        <f t="shared" si="21"/>
        <v>520.14213918720031</v>
      </c>
      <c r="X12" s="154">
        <f t="shared" si="21"/>
        <v>561.75351032217634</v>
      </c>
      <c r="Y12" s="154">
        <f t="shared" si="21"/>
        <v>606.69379114795049</v>
      </c>
      <c r="Z12" s="154">
        <f t="shared" si="21"/>
        <v>655.2292944397866</v>
      </c>
      <c r="AA12" s="154">
        <f t="shared" si="21"/>
        <v>707.64763799496961</v>
      </c>
      <c r="AB12" s="154">
        <f t="shared" si="21"/>
        <v>764.25944903456718</v>
      </c>
      <c r="AC12" s="138">
        <f t="shared" si="19"/>
        <v>0.21463752917444201</v>
      </c>
      <c r="AD12" s="31">
        <f t="shared" si="17"/>
        <v>0.05</v>
      </c>
      <c r="AE12" s="146">
        <f t="shared" si="1"/>
        <v>4720.4260087429157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336</v>
      </c>
      <c r="H13" s="147">
        <v>230</v>
      </c>
      <c r="I13" s="147">
        <v>272</v>
      </c>
      <c r="J13" s="147">
        <v>319</v>
      </c>
      <c r="K13" s="147">
        <v>486</v>
      </c>
      <c r="L13" s="147">
        <v>441</v>
      </c>
      <c r="M13" s="147">
        <v>733</v>
      </c>
      <c r="N13" s="147">
        <v>725</v>
      </c>
      <c r="O13" s="147">
        <v>598</v>
      </c>
      <c r="P13" s="147">
        <v>627</v>
      </c>
      <c r="Q13" s="118">
        <f t="shared" si="5"/>
        <v>7.1773810048863629E-2</v>
      </c>
      <c r="R13" s="31">
        <f t="shared" si="6"/>
        <v>0.08</v>
      </c>
      <c r="S13" s="154">
        <f t="shared" si="2"/>
        <v>677.16000000000008</v>
      </c>
      <c r="T13" s="154">
        <f t="shared" ref="T13:AB13" si="22">S13*(1+$R13)</f>
        <v>731.33280000000013</v>
      </c>
      <c r="U13" s="154">
        <f t="shared" si="22"/>
        <v>789.83942400000024</v>
      </c>
      <c r="V13" s="154">
        <f t="shared" si="22"/>
        <v>853.02657792000036</v>
      </c>
      <c r="W13" s="154">
        <f t="shared" si="22"/>
        <v>921.26870415360042</v>
      </c>
      <c r="X13" s="154">
        <f t="shared" si="22"/>
        <v>994.97020048588854</v>
      </c>
      <c r="Y13" s="154">
        <f t="shared" si="22"/>
        <v>1074.5678165247598</v>
      </c>
      <c r="Z13" s="154">
        <f t="shared" si="22"/>
        <v>1160.5332418467406</v>
      </c>
      <c r="AA13" s="154">
        <f t="shared" si="22"/>
        <v>1253.3759011944799</v>
      </c>
      <c r="AB13" s="154">
        <f t="shared" si="22"/>
        <v>1353.6459732900385</v>
      </c>
      <c r="AC13" s="138">
        <f t="shared" si="19"/>
        <v>7.6095542790062254E-2</v>
      </c>
      <c r="AD13" s="31">
        <f t="shared" si="17"/>
        <v>0.05</v>
      </c>
      <c r="AE13" s="146">
        <f t="shared" si="1"/>
        <v>8360.7545409090617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211</v>
      </c>
      <c r="H14" s="147">
        <v>280</v>
      </c>
      <c r="I14" s="147">
        <v>278</v>
      </c>
      <c r="J14" s="147">
        <v>341</v>
      </c>
      <c r="K14" s="147">
        <v>378</v>
      </c>
      <c r="L14" s="147">
        <v>497</v>
      </c>
      <c r="M14" s="147">
        <v>409</v>
      </c>
      <c r="N14" s="147">
        <v>519</v>
      </c>
      <c r="O14" s="147">
        <v>567</v>
      </c>
      <c r="P14" s="147">
        <v>530</v>
      </c>
      <c r="Q14" s="118">
        <f t="shared" ref="Q14" si="23">((P14/G14)^(1/($H$2-$H$1) ))-1</f>
        <v>0.10775498404837713</v>
      </c>
      <c r="R14" s="31">
        <f t="shared" si="6"/>
        <v>0.08</v>
      </c>
      <c r="S14" s="154">
        <f t="shared" ref="S14" si="24">P14*(1+$R14)</f>
        <v>572.40000000000009</v>
      </c>
      <c r="T14" s="154">
        <f t="shared" ref="T14" si="25">S14*(1+$R14)</f>
        <v>618.19200000000012</v>
      </c>
      <c r="U14" s="154">
        <f t="shared" ref="U14" si="26">T14*(1+$R14)</f>
        <v>667.64736000000016</v>
      </c>
      <c r="V14" s="154">
        <f t="shared" ref="V14" si="27">U14*(1+$R14)</f>
        <v>721.05914880000023</v>
      </c>
      <c r="W14" s="154">
        <f t="shared" ref="W14" si="28">V14*(1+$R14)</f>
        <v>778.74388070400028</v>
      </c>
      <c r="X14" s="154">
        <f t="shared" ref="X14" si="29">W14*(1+$R14)</f>
        <v>841.04339116032031</v>
      </c>
      <c r="Y14" s="154">
        <f t="shared" ref="Y14" si="30">X14*(1+$R14)</f>
        <v>908.32686245314596</v>
      </c>
      <c r="Z14" s="154">
        <f t="shared" ref="Z14" si="31">Y14*(1+$R14)</f>
        <v>980.99301144939773</v>
      </c>
      <c r="AA14" s="154">
        <f t="shared" ref="AA14" si="32">Z14*(1+$R14)</f>
        <v>1059.4724523653497</v>
      </c>
      <c r="AB14" s="154">
        <f t="shared" ref="AB14" si="33">AA14*(1+$R14)</f>
        <v>1144.2302485545777</v>
      </c>
      <c r="AC14" s="138">
        <f t="shared" ref="AC14" si="34">((AB14/G14)^(1/($AB$3-$H$1) ))-1</f>
        <v>9.3059329059810958E-2</v>
      </c>
      <c r="AD14" s="31">
        <f t="shared" si="17"/>
        <v>0.05</v>
      </c>
      <c r="AE14" s="146">
        <f t="shared" ref="AE14" si="35">(AB14*(1+AD14))/($C$1-AD14)</f>
        <v>7067.3044763665093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487</v>
      </c>
      <c r="H15" s="147">
        <v>627</v>
      </c>
      <c r="I15" s="147">
        <v>696</v>
      </c>
      <c r="J15" s="147">
        <v>843</v>
      </c>
      <c r="K15" s="147">
        <v>985</v>
      </c>
      <c r="L15" s="147">
        <v>1251</v>
      </c>
      <c r="M15" s="147">
        <v>958</v>
      </c>
      <c r="N15" s="147">
        <v>1255</v>
      </c>
      <c r="O15" s="147">
        <v>1324</v>
      </c>
      <c r="P15" s="147">
        <v>1739</v>
      </c>
      <c r="Q15" s="118">
        <f t="shared" si="5"/>
        <v>0.15191108577496193</v>
      </c>
      <c r="R15" s="31">
        <f t="shared" si="6"/>
        <v>0.08</v>
      </c>
      <c r="S15" s="154">
        <f t="shared" si="2"/>
        <v>1878.1200000000001</v>
      </c>
      <c r="T15" s="154">
        <f t="shared" ref="T15:AB15" si="36">S15*(1+$R15)</f>
        <v>2028.3696000000002</v>
      </c>
      <c r="U15" s="154">
        <f t="shared" si="36"/>
        <v>2190.6391680000002</v>
      </c>
      <c r="V15" s="154">
        <f t="shared" si="36"/>
        <v>2365.8903014400003</v>
      </c>
      <c r="W15" s="154">
        <f t="shared" si="36"/>
        <v>2555.1615255552006</v>
      </c>
      <c r="X15" s="154">
        <f t="shared" si="36"/>
        <v>2759.5744475996166</v>
      </c>
      <c r="Y15" s="154">
        <f t="shared" si="36"/>
        <v>2980.3404034075861</v>
      </c>
      <c r="Z15" s="154">
        <f t="shared" si="36"/>
        <v>3218.7676356801931</v>
      </c>
      <c r="AA15" s="154">
        <f t="shared" si="36"/>
        <v>3476.2690465346086</v>
      </c>
      <c r="AB15" s="154">
        <f t="shared" si="36"/>
        <v>3754.3705702573775</v>
      </c>
      <c r="AC15" s="138">
        <f t="shared" si="19"/>
        <v>0.11348569197105274</v>
      </c>
      <c r="AD15" s="31">
        <f t="shared" si="17"/>
        <v>0.05</v>
      </c>
      <c r="AE15" s="146">
        <f t="shared" si="1"/>
        <v>23188.759404530865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231</v>
      </c>
      <c r="H16" s="147">
        <v>391</v>
      </c>
      <c r="I16" s="147">
        <v>431</v>
      </c>
      <c r="J16" s="147">
        <v>526</v>
      </c>
      <c r="K16" s="147">
        <v>507</v>
      </c>
      <c r="L16" s="147">
        <v>756</v>
      </c>
      <c r="M16" s="147">
        <v>503</v>
      </c>
      <c r="N16" s="147">
        <v>658</v>
      </c>
      <c r="O16" s="147">
        <v>818</v>
      </c>
      <c r="P16" s="147">
        <v>1144</v>
      </c>
      <c r="Q16" s="118">
        <f t="shared" si="5"/>
        <v>0.19454237515659201</v>
      </c>
      <c r="R16" s="31">
        <f t="shared" si="6"/>
        <v>0.08</v>
      </c>
      <c r="S16" s="154">
        <f t="shared" si="2"/>
        <v>1235.52</v>
      </c>
      <c r="T16" s="154">
        <f t="shared" ref="T16:AB16" si="37">S16*(1+$R16)</f>
        <v>1334.3616000000002</v>
      </c>
      <c r="U16" s="154">
        <f t="shared" si="37"/>
        <v>1441.1105280000004</v>
      </c>
      <c r="V16" s="154">
        <f t="shared" si="37"/>
        <v>1556.3993702400005</v>
      </c>
      <c r="W16" s="154">
        <f t="shared" si="37"/>
        <v>1680.9113198592006</v>
      </c>
      <c r="X16" s="154">
        <f t="shared" si="37"/>
        <v>1815.3842254479368</v>
      </c>
      <c r="Y16" s="154">
        <f t="shared" si="37"/>
        <v>1960.6149634837718</v>
      </c>
      <c r="Z16" s="154">
        <f t="shared" si="37"/>
        <v>2117.4641605624738</v>
      </c>
      <c r="AA16" s="154">
        <f t="shared" si="37"/>
        <v>2286.8612934074717</v>
      </c>
      <c r="AB16" s="154">
        <f t="shared" si="37"/>
        <v>2469.8101968800697</v>
      </c>
      <c r="AC16" s="138">
        <f t="shared" si="19"/>
        <v>0.13281922423165593</v>
      </c>
      <c r="AD16" s="31">
        <f t="shared" si="17"/>
        <v>0.05</v>
      </c>
      <c r="AE16" s="146">
        <f t="shared" si="1"/>
        <v>15254.710039553374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213</v>
      </c>
      <c r="H18" s="147">
        <v>213</v>
      </c>
      <c r="I18" s="147">
        <v>193</v>
      </c>
      <c r="J18" s="147">
        <v>210</v>
      </c>
      <c r="K18" s="147">
        <v>274</v>
      </c>
      <c r="L18" s="147">
        <v>315</v>
      </c>
      <c r="M18" s="147">
        <v>294</v>
      </c>
      <c r="N18" s="147">
        <v>356</v>
      </c>
      <c r="O18" s="147">
        <v>465</v>
      </c>
      <c r="P18" s="147">
        <v>493</v>
      </c>
      <c r="Q18" s="118">
        <f>((P18/G18)^(1/($H$2-$H$1) ))-1</f>
        <v>9.7732110991730847E-2</v>
      </c>
      <c r="R18" s="31">
        <f t="shared" si="6"/>
        <v>0.08</v>
      </c>
      <c r="S18" s="154">
        <f t="shared" ref="S18:S34" si="38">P18*(1+$R18)</f>
        <v>532.44000000000005</v>
      </c>
      <c r="T18" s="154">
        <f t="shared" ref="T18:T34" si="39">S18*(1+$R18)</f>
        <v>575.03520000000015</v>
      </c>
      <c r="U18" s="154">
        <f t="shared" ref="U18:U34" si="40">T18*(1+$R18)</f>
        <v>621.0380160000002</v>
      </c>
      <c r="V18" s="154">
        <f t="shared" ref="V18:V34" si="41">U18*(1+$R18)</f>
        <v>670.72105728000031</v>
      </c>
      <c r="W18" s="154">
        <f t="shared" ref="W18:W36" si="42">V18*(1+$R18)</f>
        <v>724.37874186240037</v>
      </c>
      <c r="X18" s="154">
        <f t="shared" ref="X18:X36" si="43">W18*(1+$R18)</f>
        <v>782.32904121139245</v>
      </c>
      <c r="Y18" s="154">
        <f t="shared" ref="Y18:Y36" si="44">X18*(1+$R18)</f>
        <v>844.91536450830392</v>
      </c>
      <c r="Z18" s="154">
        <f t="shared" ref="Z18:Z36" si="45">Y18*(1+$R18)</f>
        <v>912.50859366896827</v>
      </c>
      <c r="AA18" s="154">
        <f t="shared" ref="AA18:AA36" si="46">Z18*(1+$R18)</f>
        <v>985.50928116248576</v>
      </c>
      <c r="AB18" s="154">
        <f t="shared" ref="AB18:AB36" si="47">AA18*(1+$R18)</f>
        <v>1064.3500236554846</v>
      </c>
      <c r="AC18" s="138">
        <f t="shared" si="19"/>
        <v>8.8363429748989253E-2</v>
      </c>
      <c r="AD18" s="31">
        <f t="shared" si="17"/>
        <v>0.05</v>
      </c>
      <c r="AE18" s="146">
        <f t="shared" si="1"/>
        <v>6573.9266166956404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0.08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0.08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0.08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0.08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1237</v>
      </c>
      <c r="H25" s="147">
        <v>1572</v>
      </c>
      <c r="I25" s="147">
        <v>1852</v>
      </c>
      <c r="J25" s="147">
        <v>2256</v>
      </c>
      <c r="K25" s="147">
        <v>2792</v>
      </c>
      <c r="L25" s="147">
        <v>3733</v>
      </c>
      <c r="M25" s="147">
        <v>2946</v>
      </c>
      <c r="N25" s="147">
        <v>4167</v>
      </c>
      <c r="O25" s="147">
        <v>4346</v>
      </c>
      <c r="P25" s="147">
        <v>4857</v>
      </c>
      <c r="Q25" s="118">
        <f>((P25/G25)^(1/($H$2-$H$1) ))-1</f>
        <v>0.16412555402223572</v>
      </c>
      <c r="R25" s="31">
        <f t="shared" si="6"/>
        <v>0.08</v>
      </c>
      <c r="S25" s="154">
        <f t="shared" si="38"/>
        <v>5245.56</v>
      </c>
      <c r="T25" s="154">
        <f t="shared" si="39"/>
        <v>5665.2048000000004</v>
      </c>
      <c r="U25" s="154">
        <f t="shared" si="40"/>
        <v>6118.4211840000007</v>
      </c>
      <c r="V25" s="154">
        <f t="shared" si="41"/>
        <v>6607.8948787200015</v>
      </c>
      <c r="W25" s="154">
        <f t="shared" si="42"/>
        <v>7136.5264690176018</v>
      </c>
      <c r="X25" s="154">
        <f t="shared" si="43"/>
        <v>7707.4485865390106</v>
      </c>
      <c r="Y25" s="154">
        <f t="shared" si="44"/>
        <v>8324.0444734621324</v>
      </c>
      <c r="Z25" s="154">
        <f t="shared" si="45"/>
        <v>8989.9680313391036</v>
      </c>
      <c r="AA25" s="154">
        <f t="shared" si="46"/>
        <v>9709.165473846233</v>
      </c>
      <c r="AB25" s="154">
        <f t="shared" si="47"/>
        <v>10485.898711753933</v>
      </c>
      <c r="AC25" s="138">
        <f t="shared" si="19"/>
        <v>0.1190629675510575</v>
      </c>
      <c r="AD25" s="31">
        <f t="shared" si="17"/>
        <v>0.05</v>
      </c>
      <c r="AE25" s="146">
        <f t="shared" si="1"/>
        <v>64765.844984362535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0.21310432569974555</v>
      </c>
      <c r="I26" s="148">
        <f t="shared" ref="I26" si="70">(I25-H25)/I25</f>
        <v>0.15118790496760259</v>
      </c>
      <c r="J26" s="148">
        <f t="shared" ref="J26" si="71">(J25-I25)/J25</f>
        <v>0.17907801418439717</v>
      </c>
      <c r="K26" s="148">
        <f t="shared" ref="K26" si="72">(K25-J25)/K25</f>
        <v>0.19197707736389685</v>
      </c>
      <c r="L26" s="148">
        <f t="shared" ref="L26" si="73">(L25-K25)/L25</f>
        <v>0.25207607822126976</v>
      </c>
      <c r="M26" s="148">
        <f t="shared" ref="M26" si="74">(M25-L25)/M25</f>
        <v>-0.26714188730482008</v>
      </c>
      <c r="N26" s="148">
        <f t="shared" ref="N26" si="75">(N25-M25)/N25</f>
        <v>0.29301655867530596</v>
      </c>
      <c r="O26" s="148">
        <f t="shared" ref="O26" si="76">(O25-N25)/O25</f>
        <v>4.1187298665439485E-2</v>
      </c>
      <c r="P26" s="148">
        <f t="shared" ref="P26" si="77">(P25-O25)/P25</f>
        <v>0.10520897673460984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1060</v>
      </c>
      <c r="H27" s="147">
        <v>1335</v>
      </c>
      <c r="I27" s="147">
        <v>1549</v>
      </c>
      <c r="J27" s="147">
        <v>1838</v>
      </c>
      <c r="K27" s="147">
        <v>2312</v>
      </c>
      <c r="L27" s="147">
        <v>3062</v>
      </c>
      <c r="M27" s="147">
        <v>2297</v>
      </c>
      <c r="N27" s="147">
        <v>3329</v>
      </c>
      <c r="O27" s="147">
        <v>3478</v>
      </c>
      <c r="P27" s="147">
        <v>3754</v>
      </c>
      <c r="Q27" s="118">
        <f>((P27/G27)^(1/($H$2-$H$1) ))-1</f>
        <v>0.15085586064850509</v>
      </c>
      <c r="R27" s="31">
        <f t="shared" si="6"/>
        <v>0.08</v>
      </c>
      <c r="S27" s="154">
        <f t="shared" si="38"/>
        <v>4054.32</v>
      </c>
      <c r="T27" s="154">
        <f t="shared" si="39"/>
        <v>4378.6656000000003</v>
      </c>
      <c r="U27" s="154">
        <f t="shared" si="40"/>
        <v>4728.9588480000002</v>
      </c>
      <c r="V27" s="154">
        <f t="shared" si="41"/>
        <v>5107.2755558400004</v>
      </c>
      <c r="W27" s="154">
        <f t="shared" si="42"/>
        <v>5515.8576003072012</v>
      </c>
      <c r="X27" s="154">
        <f t="shared" si="43"/>
        <v>5957.1262083317779</v>
      </c>
      <c r="Y27" s="154">
        <f t="shared" si="44"/>
        <v>6433.6963049983206</v>
      </c>
      <c r="Z27" s="154">
        <f t="shared" si="45"/>
        <v>6948.3920093981869</v>
      </c>
      <c r="AA27" s="154">
        <f t="shared" si="46"/>
        <v>7504.2633701500426</v>
      </c>
      <c r="AB27" s="154">
        <f t="shared" si="47"/>
        <v>8104.6044397620462</v>
      </c>
      <c r="AC27" s="138">
        <f t="shared" si="19"/>
        <v>0.11300240571266906</v>
      </c>
      <c r="AD27" s="31">
        <f t="shared" si="17"/>
        <v>0.05</v>
      </c>
      <c r="AE27" s="146">
        <f t="shared" si="1"/>
        <v>50057.850951471468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0.20599250936329588</v>
      </c>
      <c r="I28" s="148">
        <f t="shared" si="78"/>
        <v>0.1381536475145255</v>
      </c>
      <c r="J28" s="148">
        <f t="shared" si="78"/>
        <v>0.1572361262241567</v>
      </c>
      <c r="K28" s="148">
        <f t="shared" si="78"/>
        <v>0.20501730103806229</v>
      </c>
      <c r="L28" s="148">
        <f t="shared" si="78"/>
        <v>0.24493794905290658</v>
      </c>
      <c r="M28" s="148">
        <f t="shared" si="78"/>
        <v>-0.3330430996952547</v>
      </c>
      <c r="N28" s="148">
        <f t="shared" ref="N28" si="79">(N27-M27)/N27</f>
        <v>0.31000300390507662</v>
      </c>
      <c r="O28" s="148">
        <f t="shared" ref="O28" si="80">(O27-N27)/O27</f>
        <v>4.2840713053479008E-2</v>
      </c>
      <c r="P28" s="148">
        <f t="shared" ref="P28" si="81">(P27-O27)/P27</f>
        <v>7.3521576984549808E-2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5</v>
      </c>
      <c r="H29" s="147">
        <v>4</v>
      </c>
      <c r="I29" s="147">
        <v>5</v>
      </c>
      <c r="J29" s="147">
        <v>6</v>
      </c>
      <c r="K29" s="147">
        <v>2.5</v>
      </c>
      <c r="L29" s="147">
        <v>3.4</v>
      </c>
      <c r="M29" s="147">
        <v>2</v>
      </c>
      <c r="N29" s="147">
        <v>2</v>
      </c>
      <c r="O29" s="147">
        <v>5.4</v>
      </c>
      <c r="P29" s="147">
        <v>5</v>
      </c>
      <c r="Q29" s="118">
        <f>((P29/G29)^(1/($H$2-$H$1) ))-1</f>
        <v>0</v>
      </c>
      <c r="R29" s="31">
        <f t="shared" si="6"/>
        <v>0.08</v>
      </c>
      <c r="S29" s="154">
        <f t="shared" ref="S29" si="82">P29*(1+$R29)</f>
        <v>5.4</v>
      </c>
      <c r="T29" s="154">
        <f t="shared" ref="T29" si="83">S29*(1+$R29)</f>
        <v>5.8320000000000007</v>
      </c>
      <c r="U29" s="154">
        <f t="shared" ref="U29" si="84">T29*(1+$R29)</f>
        <v>6.298560000000001</v>
      </c>
      <c r="V29" s="154">
        <f t="shared" ref="V29" si="85">U29*(1+$R29)</f>
        <v>6.8024448000000017</v>
      </c>
      <c r="W29" s="154">
        <f t="shared" ref="W29" si="86">V29*(1+$R29)</f>
        <v>7.3466403840000023</v>
      </c>
      <c r="X29" s="154">
        <f t="shared" ref="X29" si="87">W29*(1+$R29)</f>
        <v>7.9343716147200034</v>
      </c>
      <c r="Y29" s="154">
        <f t="shared" ref="Y29" si="88">X29*(1+$R29)</f>
        <v>8.5691213438976046</v>
      </c>
      <c r="Z29" s="154">
        <f t="shared" ref="Z29" si="89">Y29*(1+$R29)</f>
        <v>9.2546510514094145</v>
      </c>
      <c r="AA29" s="154">
        <f t="shared" ref="AA29" si="90">Z29*(1+$R29)</f>
        <v>9.9950231355221675</v>
      </c>
      <c r="AB29" s="154">
        <f t="shared" ref="AB29" si="91">AA29*(1+$R29)</f>
        <v>10.794624986363942</v>
      </c>
      <c r="AC29" s="138">
        <f t="shared" ref="AC29" si="92">((AB29/G29)^(1/($AB$3-$H$1) ))-1</f>
        <v>4.1337361025755248E-2</v>
      </c>
      <c r="AD29" s="31">
        <f t="shared" si="17"/>
        <v>0.05</v>
      </c>
      <c r="AE29" s="146">
        <f t="shared" ref="AE29" si="93">(AB29*(1+AD29))/($C$1-AD29)</f>
        <v>66.672683739306706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-0.25</v>
      </c>
      <c r="I30" s="148">
        <f t="shared" si="94"/>
        <v>0.2</v>
      </c>
      <c r="J30" s="148">
        <f t="shared" si="94"/>
        <v>0.16666666666666666</v>
      </c>
      <c r="K30" s="148">
        <f t="shared" si="94"/>
        <v>-1.4</v>
      </c>
      <c r="L30" s="148">
        <f t="shared" si="94"/>
        <v>0.26470588235294118</v>
      </c>
      <c r="M30" s="148">
        <f t="shared" ref="M30" si="95">(M29-L29)/M29</f>
        <v>-0.7</v>
      </c>
      <c r="N30" s="148">
        <f t="shared" ref="N30" si="96">(N29-M29)/N29</f>
        <v>0</v>
      </c>
      <c r="O30" s="148">
        <f t="shared" ref="O30" si="97">(O29-N29)/O29</f>
        <v>0.62962962962962965</v>
      </c>
      <c r="P30" s="148">
        <f t="shared" ref="P30" si="98">(P29-O29)/P29</f>
        <v>-8.0000000000000071E-2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0.08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0.08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802</v>
      </c>
      <c r="H33" s="147">
        <v>1057</v>
      </c>
      <c r="I33" s="147">
        <v>1208</v>
      </c>
      <c r="J33" s="147">
        <v>1462</v>
      </c>
      <c r="K33" s="147">
        <v>1873</v>
      </c>
      <c r="L33" s="147">
        <v>2484</v>
      </c>
      <c r="M33" s="147">
        <v>1877</v>
      </c>
      <c r="N33" s="147">
        <v>2689</v>
      </c>
      <c r="O33" s="147">
        <v>2756</v>
      </c>
      <c r="P33" s="147">
        <v>2942</v>
      </c>
      <c r="Q33" s="118">
        <f>((P33/G33)^(1/($H$2-$H$1) ))-1</f>
        <v>0.15536365091875393</v>
      </c>
      <c r="R33" s="31">
        <f t="shared" si="6"/>
        <v>0.08</v>
      </c>
      <c r="S33" s="154">
        <f t="shared" si="38"/>
        <v>3177.36</v>
      </c>
      <c r="T33" s="154">
        <f t="shared" si="39"/>
        <v>3431.5488000000005</v>
      </c>
      <c r="U33" s="154">
        <f t="shared" si="40"/>
        <v>3706.0727040000006</v>
      </c>
      <c r="V33" s="154">
        <f t="shared" si="41"/>
        <v>4002.5585203200008</v>
      </c>
      <c r="W33" s="154">
        <f t="shared" si="42"/>
        <v>4322.7632019456014</v>
      </c>
      <c r="X33" s="154">
        <f t="shared" si="43"/>
        <v>4668.5842581012494</v>
      </c>
      <c r="Y33" s="154">
        <f t="shared" si="44"/>
        <v>5042.0709987493492</v>
      </c>
      <c r="Z33" s="154">
        <f t="shared" si="45"/>
        <v>5445.4366786492974</v>
      </c>
      <c r="AA33" s="154">
        <f t="shared" si="46"/>
        <v>5881.0716129412413</v>
      </c>
      <c r="AB33" s="154">
        <f t="shared" si="47"/>
        <v>6351.5573419765406</v>
      </c>
      <c r="AC33" s="138">
        <f t="shared" si="19"/>
        <v>0.11506531810414167</v>
      </c>
      <c r="AD33" s="31">
        <f t="shared" si="17"/>
        <v>0.05</v>
      </c>
      <c r="AE33" s="146">
        <f t="shared" si="1"/>
        <v>39230.207112208052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130</v>
      </c>
      <c r="H34" s="147">
        <v>115</v>
      </c>
      <c r="I34" s="147">
        <v>139</v>
      </c>
      <c r="J34" s="147">
        <v>154</v>
      </c>
      <c r="K34" s="147">
        <v>178</v>
      </c>
      <c r="L34" s="147">
        <v>230</v>
      </c>
      <c r="M34" s="147">
        <v>195</v>
      </c>
      <c r="N34" s="147">
        <v>254</v>
      </c>
      <c r="O34" s="147">
        <v>304</v>
      </c>
      <c r="P34" s="147">
        <v>339</v>
      </c>
      <c r="Q34" s="118">
        <f>((P34/G34)^(1/($H$2-$H$1) ))-1</f>
        <v>0.11237368173392737</v>
      </c>
      <c r="R34" s="31">
        <f t="shared" si="6"/>
        <v>0.08</v>
      </c>
      <c r="S34" s="154">
        <f t="shared" si="38"/>
        <v>366.12</v>
      </c>
      <c r="T34" s="154">
        <f t="shared" si="39"/>
        <v>395.40960000000001</v>
      </c>
      <c r="U34" s="154">
        <f t="shared" si="40"/>
        <v>427.04236800000007</v>
      </c>
      <c r="V34" s="154">
        <f t="shared" si="41"/>
        <v>461.20575744000013</v>
      </c>
      <c r="W34" s="154">
        <f t="shared" si="42"/>
        <v>498.10221803520017</v>
      </c>
      <c r="X34" s="154">
        <f t="shared" si="43"/>
        <v>537.95039547801616</v>
      </c>
      <c r="Y34" s="154">
        <f t="shared" si="44"/>
        <v>580.98642711625746</v>
      </c>
      <c r="Z34" s="154">
        <f t="shared" si="45"/>
        <v>627.46534128555811</v>
      </c>
      <c r="AA34" s="154">
        <f t="shared" si="46"/>
        <v>677.66256858840279</v>
      </c>
      <c r="AB34" s="154">
        <f t="shared" si="47"/>
        <v>731.87557407547501</v>
      </c>
      <c r="AC34" s="138">
        <f t="shared" si="19"/>
        <v>9.5215745828733045E-2</v>
      </c>
      <c r="AD34" s="31">
        <f t="shared" si="17"/>
        <v>0.05</v>
      </c>
      <c r="AE34" s="146">
        <f t="shared" si="1"/>
        <v>4520.4079575249934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127</v>
      </c>
      <c r="H36" s="147">
        <v>205</v>
      </c>
      <c r="I36" s="147">
        <v>272</v>
      </c>
      <c r="J36" s="147">
        <v>363</v>
      </c>
      <c r="K36" s="147">
        <v>397</v>
      </c>
      <c r="L36" s="147">
        <v>554</v>
      </c>
      <c r="M36" s="147">
        <v>534</v>
      </c>
      <c r="N36" s="147">
        <v>726</v>
      </c>
      <c r="O36" s="147">
        <v>697</v>
      </c>
      <c r="P36" s="147">
        <v>834</v>
      </c>
      <c r="Q36" s="118">
        <f>((P36/G36)^(1/($H$2-$H$1) ))-1</f>
        <v>0.23258828761463257</v>
      </c>
      <c r="R36" s="31">
        <f t="shared" si="6"/>
        <v>0.08</v>
      </c>
      <c r="S36" s="154">
        <f t="shared" ref="S36" si="102">P36*(1+$R36)</f>
        <v>900.72</v>
      </c>
      <c r="T36" s="154">
        <f t="shared" ref="T36" si="103">S36*(1+$R36)</f>
        <v>972.77760000000012</v>
      </c>
      <c r="U36" s="154">
        <f t="shared" ref="U36" si="104">T36*(1+$R36)</f>
        <v>1050.5998080000002</v>
      </c>
      <c r="V36" s="154">
        <f t="shared" ref="V36" si="105">U36*(1+$R36)</f>
        <v>1134.6477926400003</v>
      </c>
      <c r="W36" s="154">
        <f t="shared" si="42"/>
        <v>1225.4196160512004</v>
      </c>
      <c r="X36" s="154">
        <f t="shared" si="43"/>
        <v>1323.4531853352964</v>
      </c>
      <c r="Y36" s="154">
        <f t="shared" si="44"/>
        <v>1429.3294401621201</v>
      </c>
      <c r="Z36" s="154">
        <f t="shared" si="45"/>
        <v>1543.6757953750898</v>
      </c>
      <c r="AA36" s="154">
        <f t="shared" si="46"/>
        <v>1667.1698590050971</v>
      </c>
      <c r="AB36" s="154">
        <f t="shared" si="47"/>
        <v>1800.5434477255051</v>
      </c>
      <c r="AC36" s="138">
        <f t="shared" si="19"/>
        <v>0.14976880195142472</v>
      </c>
      <c r="AD36" s="31">
        <f t="shared" si="17"/>
        <v>0.05</v>
      </c>
      <c r="AE36" s="146">
        <f t="shared" si="1"/>
        <v>11121.003647716358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0.38048780487804879</v>
      </c>
      <c r="I37" s="148">
        <f t="shared" ref="I37" si="108">(I36-H36)/I36</f>
        <v>0.24632352941176472</v>
      </c>
      <c r="J37" s="148">
        <f t="shared" ref="J37" si="109">(J36-I36)/J36</f>
        <v>0.25068870523415976</v>
      </c>
      <c r="K37" s="148">
        <f t="shared" ref="K37" si="110">(K36-J36)/K36</f>
        <v>8.5642317380352648E-2</v>
      </c>
      <c r="L37" s="148">
        <f t="shared" ref="L37" si="111">(L36-K36)/L36</f>
        <v>0.28339350180505413</v>
      </c>
      <c r="M37" s="148">
        <f t="shared" ref="M37" si="112">(M36-L36)/M36</f>
        <v>-3.7453183520599252E-2</v>
      </c>
      <c r="N37" s="148">
        <f t="shared" ref="N37" si="113">(N36-M36)/N36</f>
        <v>0.26446280991735538</v>
      </c>
      <c r="O37" s="148">
        <f t="shared" ref="O37" si="114">(O36-N36)/O36</f>
        <v>-4.1606886657101862E-2</v>
      </c>
      <c r="P37" s="148">
        <f t="shared" ref="P37" si="115">(P36-O36)/P36</f>
        <v>0.16426858513189449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>
        <v>138</v>
      </c>
      <c r="H38" s="147">
        <v>192</v>
      </c>
      <c r="I38" s="147">
        <v>259</v>
      </c>
      <c r="J38" s="147">
        <v>372</v>
      </c>
      <c r="K38" s="147">
        <v>439</v>
      </c>
      <c r="L38" s="147">
        <v>619</v>
      </c>
      <c r="M38" s="147">
        <v>611</v>
      </c>
      <c r="N38" s="147">
        <v>799</v>
      </c>
      <c r="O38" s="147">
        <v>820</v>
      </c>
      <c r="P38" s="147">
        <v>1051</v>
      </c>
      <c r="Q38" s="118">
        <f>((P38/G38)^(1/($H$2-$H$1) ))-1</f>
        <v>0.25305257176122042</v>
      </c>
      <c r="R38" s="31">
        <f t="shared" si="6"/>
        <v>0.08</v>
      </c>
      <c r="S38" s="154">
        <f t="shared" ref="S38" si="116">P38*(1+$R38)</f>
        <v>1135.0800000000002</v>
      </c>
      <c r="T38" s="154">
        <f t="shared" ref="T38" si="117">S38*(1+$R38)</f>
        <v>1225.8864000000003</v>
      </c>
      <c r="U38" s="154">
        <f t="shared" ref="U38" si="118">T38*(1+$R38)</f>
        <v>1323.9573120000005</v>
      </c>
      <c r="V38" s="154">
        <f t="shared" ref="V38" si="119">U38*(1+$R38)</f>
        <v>1429.8738969600006</v>
      </c>
      <c r="W38" s="154">
        <f t="shared" ref="W38" si="120">V38*(1+$R38)</f>
        <v>1544.2638087168007</v>
      </c>
      <c r="X38" s="154">
        <f t="shared" ref="X38" si="121">W38*(1+$R38)</f>
        <v>1667.8049134141447</v>
      </c>
      <c r="Y38" s="154">
        <f t="shared" ref="Y38" si="122">X38*(1+$R38)</f>
        <v>1801.2293064872765</v>
      </c>
      <c r="Z38" s="154">
        <f t="shared" ref="Z38" si="123">Y38*(1+$R38)</f>
        <v>1945.3276510062587</v>
      </c>
      <c r="AA38" s="154">
        <f t="shared" ref="AA38" si="124">Z38*(1+$R38)</f>
        <v>2100.9538630867596</v>
      </c>
      <c r="AB38" s="154">
        <f t="shared" ref="AB38" si="125">AA38*(1+$R38)</f>
        <v>2269.0301721337005</v>
      </c>
      <c r="AC38" s="138">
        <f t="shared" ref="AC38" si="126">((AB38/G38)^(1/($AB$3-$H$1) ))-1</f>
        <v>0.15877190527927976</v>
      </c>
      <c r="AD38" s="31">
        <f t="shared" si="17"/>
        <v>0.05</v>
      </c>
      <c r="AE38" s="146">
        <f t="shared" ref="AE38" si="127">(AB38*(1+AD38))/($C$1-AD38)</f>
        <v>14014.598122002268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0.28125</v>
      </c>
      <c r="I39" s="148">
        <f t="shared" ref="I39" si="130">(I38-H38)/I38</f>
        <v>0.25868725868725867</v>
      </c>
      <c r="J39" s="148">
        <f t="shared" ref="J39" si="131">(J38-I38)/J38</f>
        <v>0.30376344086021506</v>
      </c>
      <c r="K39" s="148">
        <f t="shared" ref="K39" si="132">(K38-J38)/K38</f>
        <v>0.15261958997722094</v>
      </c>
      <c r="L39" s="148">
        <f t="shared" ref="L39" si="133">(L38-K38)/L38</f>
        <v>0.29079159935379645</v>
      </c>
      <c r="M39" s="148">
        <f t="shared" ref="M39" si="134">(M38-L38)/M38</f>
        <v>-1.3093289689034371E-2</v>
      </c>
      <c r="N39" s="148">
        <f t="shared" ref="N39" si="135">(N38-M38)/N38</f>
        <v>0.23529411764705882</v>
      </c>
      <c r="O39" s="148">
        <f t="shared" ref="O39" si="136">(O38-N38)/O38</f>
        <v>2.5609756097560974E-2</v>
      </c>
      <c r="P39" s="148">
        <f t="shared" ref="P39" si="137">(P38-O38)/P38</f>
        <v>0.219790675547098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97</v>
      </c>
      <c r="H40" s="147">
        <v>126</v>
      </c>
      <c r="I40" s="147">
        <v>168</v>
      </c>
      <c r="J40" s="147">
        <v>247</v>
      </c>
      <c r="K40" s="147">
        <v>299</v>
      </c>
      <c r="L40" s="147">
        <v>445</v>
      </c>
      <c r="M40" s="147">
        <v>444</v>
      </c>
      <c r="N40" s="147">
        <v>591</v>
      </c>
      <c r="O40" s="147">
        <v>591</v>
      </c>
      <c r="P40" s="147">
        <v>764</v>
      </c>
      <c r="Q40" s="118">
        <f>((P40/G40)^(1/($H$2-$H$1) ))-1</f>
        <v>0.25774121215374324</v>
      </c>
      <c r="R40" s="31">
        <f t="shared" si="6"/>
        <v>0.08</v>
      </c>
      <c r="S40" s="154">
        <f>P40*(1+$R40)</f>
        <v>825.12</v>
      </c>
      <c r="T40" s="154">
        <f t="shared" ref="T40:AB40" si="138">S40*(1+$R40)</f>
        <v>891.1296000000001</v>
      </c>
      <c r="U40" s="154">
        <f t="shared" si="138"/>
        <v>962.41996800000015</v>
      </c>
      <c r="V40" s="154">
        <f t="shared" si="138"/>
        <v>1039.4135654400002</v>
      </c>
      <c r="W40" s="154">
        <f t="shared" si="138"/>
        <v>1122.5666506752002</v>
      </c>
      <c r="X40" s="154">
        <f t="shared" si="138"/>
        <v>1212.3719827292164</v>
      </c>
      <c r="Y40" s="154">
        <f t="shared" si="138"/>
        <v>1309.3617413475538</v>
      </c>
      <c r="Z40" s="154">
        <f t="shared" si="138"/>
        <v>1414.1106806553582</v>
      </c>
      <c r="AA40" s="154">
        <f t="shared" si="138"/>
        <v>1527.2395351077871</v>
      </c>
      <c r="AB40" s="154">
        <f t="shared" si="138"/>
        <v>1649.4186979164101</v>
      </c>
      <c r="AC40" s="138">
        <f t="shared" si="19"/>
        <v>0.16082371678262763</v>
      </c>
      <c r="AD40" s="31">
        <f t="shared" si="17"/>
        <v>0.05</v>
      </c>
      <c r="AE40" s="146">
        <f t="shared" si="1"/>
        <v>10187.586075366064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0.23015873015873015</v>
      </c>
      <c r="I41" s="148">
        <f t="shared" si="139"/>
        <v>0.25</v>
      </c>
      <c r="J41" s="148">
        <f t="shared" si="139"/>
        <v>0.31983805668016196</v>
      </c>
      <c r="K41" s="148">
        <f t="shared" si="139"/>
        <v>0.17391304347826086</v>
      </c>
      <c r="L41" s="148">
        <f t="shared" si="139"/>
        <v>0.32808988764044944</v>
      </c>
      <c r="M41" s="148">
        <f t="shared" si="139"/>
        <v>-2.2522522522522522E-3</v>
      </c>
      <c r="N41" s="148">
        <f t="shared" si="139"/>
        <v>0.24873096446700507</v>
      </c>
      <c r="O41" s="148">
        <f t="shared" si="139"/>
        <v>0</v>
      </c>
      <c r="P41" s="148">
        <f t="shared" si="139"/>
        <v>0.22643979057591623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206">
        <v>19.8</v>
      </c>
      <c r="H42" s="206">
        <v>19.8</v>
      </c>
      <c r="I42" s="206">
        <v>19.8</v>
      </c>
      <c r="J42" s="206">
        <v>19.8</v>
      </c>
      <c r="K42" s="206">
        <v>19.8</v>
      </c>
      <c r="L42" s="206">
        <v>19.8</v>
      </c>
      <c r="M42" s="206">
        <v>19.8</v>
      </c>
      <c r="N42" s="206">
        <v>19.8</v>
      </c>
      <c r="O42" s="206">
        <v>27.72</v>
      </c>
      <c r="P42" s="206">
        <v>27.72</v>
      </c>
      <c r="Q42" s="118">
        <f>((P42/G42)^(1/($H$2-$H$1) ))-1</f>
        <v>3.809344426552097E-2</v>
      </c>
      <c r="R42" s="31">
        <v>0.02</v>
      </c>
      <c r="S42" s="154">
        <f t="shared" ref="S42:S43" si="140">P42*(1+$R42)</f>
        <v>28.2744</v>
      </c>
      <c r="T42" s="154">
        <f t="shared" ref="T42:AB42" si="141">S42*(1+$R42)</f>
        <v>28.839888000000002</v>
      </c>
      <c r="U42" s="154">
        <f t="shared" si="141"/>
        <v>29.416685760000004</v>
      </c>
      <c r="V42" s="154">
        <f t="shared" si="141"/>
        <v>30.005019475200005</v>
      </c>
      <c r="W42" s="154">
        <f t="shared" si="141"/>
        <v>30.605119864704005</v>
      </c>
      <c r="X42" s="154">
        <f t="shared" si="141"/>
        <v>31.217222261998085</v>
      </c>
      <c r="Y42" s="154">
        <f t="shared" si="141"/>
        <v>31.841566707238048</v>
      </c>
      <c r="Z42" s="154">
        <f t="shared" si="141"/>
        <v>32.47839804138281</v>
      </c>
      <c r="AA42" s="154">
        <f t="shared" si="141"/>
        <v>33.127966002210471</v>
      </c>
      <c r="AB42" s="154">
        <f t="shared" si="141"/>
        <v>33.79052532225468</v>
      </c>
      <c r="AC42" s="138">
        <f t="shared" si="19"/>
        <v>2.8530927864713007E-2</v>
      </c>
      <c r="AD42" s="31">
        <f t="shared" si="17"/>
        <v>0.05</v>
      </c>
      <c r="AE42" s="146">
        <f t="shared" si="1"/>
        <v>208.706185813926</v>
      </c>
    </row>
    <row r="43" spans="2:31" x14ac:dyDescent="0.2">
      <c r="B43" s="20" t="s">
        <v>282</v>
      </c>
      <c r="C43" s="145"/>
      <c r="D43" s="145"/>
      <c r="E43" s="145"/>
      <c r="F43" s="147"/>
      <c r="G43" s="206">
        <v>4</v>
      </c>
      <c r="H43" s="206">
        <v>4</v>
      </c>
      <c r="I43" s="206">
        <v>4</v>
      </c>
      <c r="J43" s="206">
        <v>4</v>
      </c>
      <c r="K43" s="206">
        <v>4</v>
      </c>
      <c r="L43" s="206">
        <v>9</v>
      </c>
      <c r="M43" s="206">
        <v>12</v>
      </c>
      <c r="N43" s="206">
        <v>15</v>
      </c>
      <c r="O43" s="206">
        <v>11</v>
      </c>
      <c r="P43" s="206">
        <v>13</v>
      </c>
      <c r="Q43" s="118">
        <f>((P43/G43)^(1/($H$2-$H$1) ))-1</f>
        <v>0.13992408292122827</v>
      </c>
      <c r="R43" s="31">
        <f>P1</f>
        <v>0.05</v>
      </c>
      <c r="S43" s="154">
        <f t="shared" si="140"/>
        <v>13.65</v>
      </c>
      <c r="T43" s="154">
        <f t="shared" ref="T43" si="142">S43*(1+$R43)</f>
        <v>14.332500000000001</v>
      </c>
      <c r="U43" s="154">
        <f t="shared" ref="U43" si="143">T43*(1+$R43)</f>
        <v>15.049125000000002</v>
      </c>
      <c r="V43" s="154">
        <f t="shared" ref="V43" si="144">U43*(1+$R43)</f>
        <v>15.801581250000003</v>
      </c>
      <c r="W43" s="154">
        <f t="shared" ref="W43" si="145">V43*(1+$R43)</f>
        <v>16.591660312500004</v>
      </c>
      <c r="X43" s="154">
        <f t="shared" ref="X43" si="146">W43*(1+$R43)</f>
        <v>17.421243328125005</v>
      </c>
      <c r="Y43" s="154">
        <f t="shared" ref="Y43" si="147">X43*(1+$R43)</f>
        <v>18.292305494531256</v>
      </c>
      <c r="Z43" s="154">
        <f t="shared" ref="Z43" si="148">Y43*(1+$R43)</f>
        <v>19.20692076925782</v>
      </c>
      <c r="AA43" s="154">
        <f t="shared" ref="AA43" si="149">Z43*(1+$R43)</f>
        <v>20.167266807720711</v>
      </c>
      <c r="AB43" s="154">
        <f t="shared" ref="AB43" si="150">AA43*(1+$R43)</f>
        <v>21.175630148106748</v>
      </c>
      <c r="AC43" s="138">
        <f t="shared" ref="AC43" si="151">((AB43/G43)^(1/($AB$3-$H$1) ))-1</f>
        <v>9.1675320174454455E-2</v>
      </c>
      <c r="AD43" s="31">
        <f t="shared" si="17"/>
        <v>0.05</v>
      </c>
      <c r="AE43" s="146">
        <f t="shared" si="1"/>
        <v>130.79065679712994</v>
      </c>
    </row>
    <row r="44" spans="2:31" x14ac:dyDescent="0.2">
      <c r="B44" s="20" t="s">
        <v>427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47">
        <v>0</v>
      </c>
      <c r="O44" s="147">
        <v>0</v>
      </c>
      <c r="P44" s="147">
        <v>0</v>
      </c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 t="s">
        <v>428</v>
      </c>
      <c r="P45" s="147">
        <v>0</v>
      </c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2">C25/C42</f>
        <v>0</v>
      </c>
      <c r="D49" s="133">
        <f t="shared" si="152"/>
        <v>0</v>
      </c>
      <c r="E49" s="133">
        <f t="shared" si="152"/>
        <v>0</v>
      </c>
      <c r="F49" s="133">
        <f t="shared" si="152"/>
        <v>0</v>
      </c>
      <c r="G49" s="133">
        <f t="shared" si="152"/>
        <v>62.474747474747474</v>
      </c>
      <c r="H49" s="133">
        <f t="shared" si="152"/>
        <v>79.393939393939391</v>
      </c>
      <c r="I49" s="133">
        <f t="shared" si="152"/>
        <v>93.535353535353536</v>
      </c>
      <c r="J49" s="133">
        <f t="shared" si="152"/>
        <v>113.93939393939394</v>
      </c>
      <c r="K49" s="133">
        <f t="shared" si="152"/>
        <v>141.01010101010101</v>
      </c>
      <c r="L49" s="133">
        <f t="shared" si="152"/>
        <v>188.53535353535352</v>
      </c>
      <c r="M49" s="133">
        <f t="shared" si="152"/>
        <v>148.78787878787878</v>
      </c>
      <c r="N49" s="133">
        <f t="shared" si="152"/>
        <v>210.45454545454544</v>
      </c>
      <c r="O49" s="133">
        <f t="shared" si="152"/>
        <v>156.78210678210678</v>
      </c>
      <c r="P49" s="133">
        <f t="shared" si="152"/>
        <v>175.21645021645023</v>
      </c>
      <c r="Q49" s="118">
        <f>((P49/G49)^(1/($H$2-$H$1) ))-1</f>
        <v>0.12140728799793732</v>
      </c>
      <c r="R49" s="128"/>
      <c r="S49" s="158">
        <f t="shared" ref="S49:AB49" si="153">S25/S42</f>
        <v>185.52330022918261</v>
      </c>
      <c r="T49" s="158">
        <f t="shared" si="153"/>
        <v>196.43643553678157</v>
      </c>
      <c r="U49" s="158">
        <f t="shared" si="153"/>
        <v>207.99151998012164</v>
      </c>
      <c r="V49" s="158">
        <f t="shared" si="153"/>
        <v>220.22631527306999</v>
      </c>
      <c r="W49" s="158">
        <f t="shared" si="153"/>
        <v>233.18080440678</v>
      </c>
      <c r="X49" s="158">
        <f t="shared" si="153"/>
        <v>246.89732231306121</v>
      </c>
      <c r="Y49" s="158">
        <f t="shared" si="153"/>
        <v>261.42069421382951</v>
      </c>
      <c r="Z49" s="158">
        <f t="shared" si="153"/>
        <v>276.79838210876068</v>
      </c>
      <c r="AA49" s="158">
        <f t="shared" si="153"/>
        <v>293.08063987986424</v>
      </c>
      <c r="AB49" s="158">
        <f t="shared" si="153"/>
        <v>310.3206775198563</v>
      </c>
      <c r="AC49" s="138">
        <f t="shared" ref="AC49" si="154">((AB49/G49)^(1/($AB$3-$H$1) ))-1</f>
        <v>8.8020726682759065E-2</v>
      </c>
      <c r="AD49" s="31">
        <f t="shared" si="17"/>
        <v>0.05</v>
      </c>
      <c r="AE49" s="146">
        <f t="shared" ref="AE49:AE50" si="155">(AB49*(1+AD49))/($C$1-AD49)</f>
        <v>1916.6865376226422</v>
      </c>
    </row>
    <row r="50" spans="2:31" x14ac:dyDescent="0.2">
      <c r="B50" s="20" t="s">
        <v>304</v>
      </c>
      <c r="C50" s="133">
        <f t="shared" ref="C50:P50" si="156">C27/C42</f>
        <v>0</v>
      </c>
      <c r="D50" s="133">
        <f t="shared" si="156"/>
        <v>0</v>
      </c>
      <c r="E50" s="133">
        <f t="shared" si="156"/>
        <v>0</v>
      </c>
      <c r="F50" s="133">
        <f t="shared" si="156"/>
        <v>0</v>
      </c>
      <c r="G50" s="133">
        <f t="shared" si="156"/>
        <v>53.535353535353536</v>
      </c>
      <c r="H50" s="133">
        <f t="shared" si="156"/>
        <v>67.424242424242422</v>
      </c>
      <c r="I50" s="133">
        <f t="shared" si="156"/>
        <v>78.232323232323225</v>
      </c>
      <c r="J50" s="133">
        <f t="shared" si="156"/>
        <v>92.828282828282823</v>
      </c>
      <c r="K50" s="133">
        <f t="shared" si="156"/>
        <v>116.76767676767676</v>
      </c>
      <c r="L50" s="133">
        <f t="shared" si="156"/>
        <v>154.64646464646464</v>
      </c>
      <c r="M50" s="133">
        <f t="shared" si="156"/>
        <v>116.01010101010101</v>
      </c>
      <c r="N50" s="133">
        <f t="shared" si="156"/>
        <v>168.13131313131314</v>
      </c>
      <c r="O50" s="133">
        <f t="shared" si="156"/>
        <v>125.46897546897547</v>
      </c>
      <c r="P50" s="133">
        <f t="shared" si="156"/>
        <v>135.42568542568543</v>
      </c>
      <c r="Q50" s="118">
        <f>((P50/G50)^(1/($H$2-$H$1) ))-1</f>
        <v>0.10862453376031733</v>
      </c>
      <c r="R50" s="128"/>
      <c r="S50" s="158">
        <f t="shared" ref="S50:AB50" si="157">S27/S42</f>
        <v>143.39190221543163</v>
      </c>
      <c r="T50" s="158">
        <f t="shared" si="157"/>
        <v>151.82671999280996</v>
      </c>
      <c r="U50" s="158">
        <f t="shared" si="157"/>
        <v>160.75770352179876</v>
      </c>
      <c r="V50" s="158">
        <f t="shared" si="157"/>
        <v>170.21403902308106</v>
      </c>
      <c r="W50" s="158">
        <f t="shared" si="157"/>
        <v>180.22662955385056</v>
      </c>
      <c r="X50" s="158">
        <f t="shared" si="157"/>
        <v>190.8281959981947</v>
      </c>
      <c r="Y50" s="158">
        <f t="shared" si="157"/>
        <v>202.05338399808852</v>
      </c>
      <c r="Z50" s="158">
        <f t="shared" si="157"/>
        <v>213.93887717444667</v>
      </c>
      <c r="AA50" s="158">
        <f t="shared" si="157"/>
        <v>226.52351700823766</v>
      </c>
      <c r="AB50" s="158">
        <f t="shared" si="157"/>
        <v>239.84842977342811</v>
      </c>
      <c r="AC50" s="138">
        <f t="shared" ref="AC50" si="158">((AB50/G50)^(1/($AB$3-$H$1) ))-1</f>
        <v>8.2128281765258659E-2</v>
      </c>
      <c r="AD50" s="31">
        <f t="shared" si="17"/>
        <v>0.05</v>
      </c>
      <c r="AE50" s="146">
        <f t="shared" si="155"/>
        <v>1481.4167721299973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59">C40/C42</f>
        <v>0</v>
      </c>
      <c r="D52" s="25">
        <f t="shared" si="159"/>
        <v>0</v>
      </c>
      <c r="E52" s="25">
        <f t="shared" si="159"/>
        <v>0</v>
      </c>
      <c r="F52" s="133">
        <f t="shared" si="159"/>
        <v>0</v>
      </c>
      <c r="G52" s="133">
        <f t="shared" si="159"/>
        <v>4.8989898989898988</v>
      </c>
      <c r="H52" s="133">
        <f t="shared" si="159"/>
        <v>6.3636363636363633</v>
      </c>
      <c r="I52" s="133">
        <f t="shared" si="159"/>
        <v>8.4848484848484844</v>
      </c>
      <c r="J52" s="133">
        <f t="shared" si="159"/>
        <v>12.474747474747474</v>
      </c>
      <c r="K52" s="133">
        <f t="shared" si="159"/>
        <v>15.1010101010101</v>
      </c>
      <c r="L52" s="133">
        <f t="shared" si="159"/>
        <v>22.474747474747474</v>
      </c>
      <c r="M52" s="133">
        <f t="shared" si="159"/>
        <v>22.424242424242422</v>
      </c>
      <c r="N52" s="133">
        <f t="shared" si="159"/>
        <v>29.848484848484848</v>
      </c>
      <c r="O52" s="133">
        <f t="shared" si="159"/>
        <v>21.320346320346321</v>
      </c>
      <c r="P52" s="133">
        <f t="shared" si="159"/>
        <v>27.561327561327563</v>
      </c>
      <c r="Q52" s="118">
        <f>((P52/G52)^(1/($H$2-$H$1) ))-1</f>
        <v>0.21158766496558412</v>
      </c>
      <c r="R52" s="128"/>
      <c r="S52" s="158">
        <f t="shared" ref="S52:AB52" si="160">S40/S42</f>
        <v>29.182582123758596</v>
      </c>
      <c r="T52" s="158">
        <f t="shared" si="160"/>
        <v>30.899204601626749</v>
      </c>
      <c r="U52" s="158">
        <f t="shared" si="160"/>
        <v>32.716804872310675</v>
      </c>
      <c r="V52" s="158">
        <f t="shared" si="160"/>
        <v>34.64132280597601</v>
      </c>
      <c r="W52" s="158">
        <f t="shared" si="160"/>
        <v>36.679047676915772</v>
      </c>
      <c r="X52" s="158">
        <f t="shared" si="160"/>
        <v>38.836638716734349</v>
      </c>
      <c r="Y52" s="158">
        <f t="shared" si="160"/>
        <v>41.121146876542255</v>
      </c>
      <c r="Z52" s="158">
        <f t="shared" si="160"/>
        <v>43.540037869280042</v>
      </c>
      <c r="AA52" s="158">
        <f t="shared" si="160"/>
        <v>46.101216567472981</v>
      </c>
      <c r="AB52" s="158">
        <f t="shared" si="160"/>
        <v>48.813052836147868</v>
      </c>
      <c r="AC52" s="138">
        <f t="shared" ref="AC52:AC66" si="161">((AB52/G52)^(1/($AB$3-$H$1) ))-1</f>
        <v>0.12862305384687045</v>
      </c>
      <c r="AD52" s="31">
        <f t="shared" si="17"/>
        <v>0.05</v>
      </c>
      <c r="AE52" s="146">
        <f t="shared" ref="AE52:AE80" si="162">(AB52*(1+AD52))/($C$1-AD52)</f>
        <v>301.49238516444274</v>
      </c>
    </row>
    <row r="53" spans="2:31" x14ac:dyDescent="0.2">
      <c r="B53" s="20" t="s">
        <v>388</v>
      </c>
      <c r="C53" s="133">
        <f t="shared" ref="C53:F53" si="163">C20/C42</f>
        <v>0</v>
      </c>
      <c r="D53" s="133">
        <f t="shared" si="163"/>
        <v>0</v>
      </c>
      <c r="E53" s="133">
        <f t="shared" si="163"/>
        <v>0</v>
      </c>
      <c r="F53" s="133">
        <f t="shared" si="163"/>
        <v>0</v>
      </c>
      <c r="G53" s="133">
        <f>G20/G42</f>
        <v>0</v>
      </c>
      <c r="H53" s="133">
        <f t="shared" ref="H53:P53" si="164">H20/H42</f>
        <v>0</v>
      </c>
      <c r="I53" s="133">
        <f t="shared" si="164"/>
        <v>0</v>
      </c>
      <c r="J53" s="133">
        <f t="shared" si="164"/>
        <v>0</v>
      </c>
      <c r="K53" s="133">
        <f t="shared" si="164"/>
        <v>0</v>
      </c>
      <c r="L53" s="133">
        <f t="shared" si="164"/>
        <v>0</v>
      </c>
      <c r="M53" s="133">
        <f t="shared" si="164"/>
        <v>0</v>
      </c>
      <c r="N53" s="133">
        <f t="shared" si="164"/>
        <v>0</v>
      </c>
      <c r="O53" s="133">
        <f t="shared" si="164"/>
        <v>0</v>
      </c>
      <c r="P53" s="133">
        <f t="shared" si="164"/>
        <v>0</v>
      </c>
      <c r="Q53" s="118" t="e">
        <f>((P53/G53)^(1/($H$2-$H$1) ))-1</f>
        <v>#DIV/0!</v>
      </c>
      <c r="R53" s="128"/>
      <c r="S53" s="133">
        <f t="shared" ref="S53:AB53" si="165">S20/S42</f>
        <v>0</v>
      </c>
      <c r="T53" s="133">
        <f t="shared" si="165"/>
        <v>0</v>
      </c>
      <c r="U53" s="133">
        <f t="shared" si="165"/>
        <v>0</v>
      </c>
      <c r="V53" s="133">
        <f t="shared" si="165"/>
        <v>0</v>
      </c>
      <c r="W53" s="133">
        <f t="shared" si="165"/>
        <v>0</v>
      </c>
      <c r="X53" s="133">
        <f t="shared" si="165"/>
        <v>0</v>
      </c>
      <c r="Y53" s="133">
        <f t="shared" si="165"/>
        <v>0</v>
      </c>
      <c r="Z53" s="133">
        <f t="shared" si="165"/>
        <v>0</v>
      </c>
      <c r="AA53" s="133">
        <f t="shared" si="165"/>
        <v>0</v>
      </c>
      <c r="AB53" s="133">
        <f t="shared" si="165"/>
        <v>0</v>
      </c>
      <c r="AC53" s="138" t="e">
        <f t="shared" ref="AC53" si="166">((AB53/G53)^(1/($AB$3-$H$1) ))-1</f>
        <v>#DIV/0!</v>
      </c>
      <c r="AD53" s="31">
        <f t="shared" si="17"/>
        <v>0.05</v>
      </c>
      <c r="AE53" s="146">
        <f t="shared" si="162"/>
        <v>0</v>
      </c>
    </row>
    <row r="54" spans="2:31" x14ac:dyDescent="0.2">
      <c r="B54" s="20" t="s">
        <v>245</v>
      </c>
      <c r="C54" s="25">
        <f t="shared" ref="C54:P54" si="167">C7/C42</f>
        <v>0</v>
      </c>
      <c r="D54" s="25">
        <f t="shared" si="167"/>
        <v>0</v>
      </c>
      <c r="E54" s="25">
        <f t="shared" si="167"/>
        <v>0</v>
      </c>
      <c r="F54" s="133">
        <f t="shared" si="167"/>
        <v>0</v>
      </c>
      <c r="G54" s="133">
        <f t="shared" si="167"/>
        <v>36.515151515151516</v>
      </c>
      <c r="H54" s="133">
        <f t="shared" si="167"/>
        <v>38.535353535353536</v>
      </c>
      <c r="I54" s="133">
        <f t="shared" si="167"/>
        <v>43.030303030303031</v>
      </c>
      <c r="J54" s="133">
        <f t="shared" si="167"/>
        <v>51.515151515151516</v>
      </c>
      <c r="K54" s="133">
        <f t="shared" si="167"/>
        <v>62.323232323232318</v>
      </c>
      <c r="L54" s="133">
        <f t="shared" si="167"/>
        <v>75</v>
      </c>
      <c r="M54" s="133">
        <f t="shared" si="167"/>
        <v>78.838383838383834</v>
      </c>
      <c r="N54" s="133">
        <f t="shared" si="167"/>
        <v>91.212121212121204</v>
      </c>
      <c r="O54" s="133">
        <f t="shared" si="167"/>
        <v>73.701298701298711</v>
      </c>
      <c r="P54" s="133">
        <f t="shared" si="167"/>
        <v>86.075036075036081</v>
      </c>
      <c r="Q54" s="118">
        <f>((P54/G54)^(1/($H$2-$H$1) ))-1</f>
        <v>9.9963398187059793E-2</v>
      </c>
      <c r="R54" s="128"/>
      <c r="S54" s="158">
        <f t="shared" ref="S54:AB54" si="168">S7/S42</f>
        <v>91.138273491214676</v>
      </c>
      <c r="T54" s="158">
        <f t="shared" si="168"/>
        <v>96.499348402462587</v>
      </c>
      <c r="U54" s="158">
        <f t="shared" si="168"/>
        <v>102.17578066143098</v>
      </c>
      <c r="V54" s="158">
        <f t="shared" si="168"/>
        <v>108.18612070033869</v>
      </c>
      <c r="W54" s="158">
        <f t="shared" si="168"/>
        <v>114.55001015329978</v>
      </c>
      <c r="X54" s="158">
        <f t="shared" si="168"/>
        <v>121.28824604467036</v>
      </c>
      <c r="Y54" s="158">
        <f t="shared" si="168"/>
        <v>128.42284875318038</v>
      </c>
      <c r="Z54" s="158">
        <f t="shared" si="168"/>
        <v>135.97713397395572</v>
      </c>
      <c r="AA54" s="158">
        <f t="shared" si="168"/>
        <v>143.97578891360016</v>
      </c>
      <c r="AB54" s="158">
        <f t="shared" si="168"/>
        <v>152.44495296734135</v>
      </c>
      <c r="AC54" s="138">
        <f t="shared" si="161"/>
        <v>7.8115426222328033E-2</v>
      </c>
      <c r="AD54" s="31">
        <f t="shared" si="17"/>
        <v>0.05</v>
      </c>
      <c r="AE54" s="146">
        <f t="shared" si="162"/>
        <v>941.57176832769676</v>
      </c>
    </row>
    <row r="55" spans="2:31" x14ac:dyDescent="0.2">
      <c r="B55" s="20" t="s">
        <v>246</v>
      </c>
      <c r="C55" s="127">
        <f t="shared" ref="C55:P55" si="169">C6/C42</f>
        <v>0</v>
      </c>
      <c r="D55" s="127">
        <f t="shared" si="169"/>
        <v>0</v>
      </c>
      <c r="E55" s="127">
        <f t="shared" si="169"/>
        <v>0</v>
      </c>
      <c r="F55" s="144">
        <f t="shared" si="169"/>
        <v>0</v>
      </c>
      <c r="G55" s="144">
        <f t="shared" si="169"/>
        <v>34.545454545454547</v>
      </c>
      <c r="H55" s="144">
        <f t="shared" si="169"/>
        <v>36.565656565656568</v>
      </c>
      <c r="I55" s="144">
        <f t="shared" si="169"/>
        <v>41.060606060606062</v>
      </c>
      <c r="J55" s="144">
        <f t="shared" si="169"/>
        <v>49.545454545454547</v>
      </c>
      <c r="K55" s="144">
        <f t="shared" si="169"/>
        <v>60.303030303030297</v>
      </c>
      <c r="L55" s="144">
        <f t="shared" si="169"/>
        <v>72.979797979797979</v>
      </c>
      <c r="M55" s="144">
        <f t="shared" si="169"/>
        <v>76.818181818181813</v>
      </c>
      <c r="N55" s="144">
        <f t="shared" si="169"/>
        <v>89.191919191919183</v>
      </c>
      <c r="O55" s="144">
        <f t="shared" si="169"/>
        <v>71.68109668109669</v>
      </c>
      <c r="P55" s="144">
        <f t="shared" si="169"/>
        <v>84.090909090909093</v>
      </c>
      <c r="Q55" s="118">
        <f>((P55/G55)^(1/($H$2-$H$1) ))-1</f>
        <v>0.10389732714396138</v>
      </c>
      <c r="R55" s="128"/>
      <c r="S55" s="157">
        <f t="shared" ref="S55:AB55" si="170">S6/S42</f>
        <v>89.037433155080208</v>
      </c>
      <c r="T55" s="157">
        <f t="shared" si="170"/>
        <v>94.274929223026106</v>
      </c>
      <c r="U55" s="157">
        <f t="shared" si="170"/>
        <v>99.820513294968805</v>
      </c>
      <c r="V55" s="157">
        <f t="shared" si="170"/>
        <v>105.69230819467286</v>
      </c>
      <c r="W55" s="157">
        <f t="shared" si="170"/>
        <v>111.90950279435951</v>
      </c>
      <c r="X55" s="157">
        <f t="shared" si="170"/>
        <v>118.4924147234395</v>
      </c>
      <c r="Y55" s="157">
        <f t="shared" si="170"/>
        <v>125.46255676599476</v>
      </c>
      <c r="Z55" s="157">
        <f t="shared" si="170"/>
        <v>132.84270716399445</v>
      </c>
      <c r="AA55" s="157">
        <f t="shared" si="170"/>
        <v>140.65698405599414</v>
      </c>
      <c r="AB55" s="157">
        <f t="shared" si="170"/>
        <v>148.93092429458204</v>
      </c>
      <c r="AC55" s="138">
        <f t="shared" si="161"/>
        <v>7.994013791872967E-2</v>
      </c>
      <c r="AD55" s="31">
        <f t="shared" si="17"/>
        <v>0.05</v>
      </c>
      <c r="AE55" s="146">
        <f t="shared" si="162"/>
        <v>919.86747358418324</v>
      </c>
    </row>
    <row r="56" spans="2:31" x14ac:dyDescent="0.2">
      <c r="B56" s="20" t="s">
        <v>247</v>
      </c>
      <c r="C56" s="127">
        <f t="shared" ref="C56:P56" si="171">C10/C42</f>
        <v>0</v>
      </c>
      <c r="D56" s="127">
        <f t="shared" si="171"/>
        <v>0</v>
      </c>
      <c r="E56" s="127">
        <f t="shared" si="171"/>
        <v>0</v>
      </c>
      <c r="F56" s="144">
        <f t="shared" si="171"/>
        <v>0</v>
      </c>
      <c r="G56" s="144">
        <f t="shared" si="171"/>
        <v>2.8282828282828283</v>
      </c>
      <c r="H56" s="144">
        <f t="shared" si="171"/>
        <v>3.5858585858585856</v>
      </c>
      <c r="I56" s="144">
        <f t="shared" si="171"/>
        <v>2.2222222222222223</v>
      </c>
      <c r="J56" s="144">
        <f t="shared" si="171"/>
        <v>1.7676767676767675</v>
      </c>
      <c r="K56" s="144">
        <f t="shared" si="171"/>
        <v>1.7171717171717171</v>
      </c>
      <c r="L56" s="144">
        <f t="shared" si="171"/>
        <v>1.4141414141414141</v>
      </c>
      <c r="M56" s="144">
        <f t="shared" si="171"/>
        <v>0.45454545454545453</v>
      </c>
      <c r="N56" s="144">
        <f t="shared" si="171"/>
        <v>0.90909090909090906</v>
      </c>
      <c r="O56" s="144">
        <f t="shared" si="171"/>
        <v>0</v>
      </c>
      <c r="P56" s="144">
        <f t="shared" si="171"/>
        <v>3.6075036075036075E-4</v>
      </c>
      <c r="Q56" s="118">
        <f>((P56/G56)^(1/($H$2-$H$1) ))-1</f>
        <v>-0.63076895004769762</v>
      </c>
      <c r="R56" s="128"/>
      <c r="S56" s="157">
        <f t="shared" ref="S56:AB56" si="172">S10/S42</f>
        <v>3.8197097020626437E-4</v>
      </c>
      <c r="T56" s="157">
        <f t="shared" si="172"/>
        <v>4.0443985080663281E-4</v>
      </c>
      <c r="U56" s="157">
        <f t="shared" si="172"/>
        <v>4.2823043026584654E-4</v>
      </c>
      <c r="V56" s="157">
        <f t="shared" si="172"/>
        <v>4.5342045557560221E-4</v>
      </c>
      <c r="W56" s="157">
        <f t="shared" si="172"/>
        <v>4.800922470800494E-4</v>
      </c>
      <c r="X56" s="157">
        <f t="shared" si="172"/>
        <v>5.0833296749652301E-4</v>
      </c>
      <c r="Y56" s="157">
        <f t="shared" si="172"/>
        <v>5.382349067610243E-4</v>
      </c>
      <c r="Z56" s="157">
        <f t="shared" si="172"/>
        <v>5.6989578362931991E-4</v>
      </c>
      <c r="AA56" s="157">
        <f t="shared" si="172"/>
        <v>6.0341906501927979E-4</v>
      </c>
      <c r="AB56" s="157">
        <f t="shared" si="172"/>
        <v>6.3891430413806096E-4</v>
      </c>
      <c r="AC56" s="138">
        <f t="shared" si="161"/>
        <v>-0.35716274080072086</v>
      </c>
      <c r="AD56" s="31">
        <f t="shared" si="17"/>
        <v>0.05</v>
      </c>
      <c r="AE56" s="146">
        <f t="shared" si="162"/>
        <v>3.9462354079115537E-3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3">(C7-C10)/C42</f>
        <v>0</v>
      </c>
      <c r="D58" s="127">
        <f t="shared" si="173"/>
        <v>0</v>
      </c>
      <c r="E58" s="127">
        <f t="shared" si="173"/>
        <v>0</v>
      </c>
      <c r="F58" s="144">
        <f t="shared" si="173"/>
        <v>0</v>
      </c>
      <c r="G58" s="144">
        <f t="shared" si="173"/>
        <v>33.686868686868685</v>
      </c>
      <c r="H58" s="144">
        <f t="shared" si="173"/>
        <v>34.949494949494948</v>
      </c>
      <c r="I58" s="144">
        <f t="shared" si="173"/>
        <v>40.80808080808081</v>
      </c>
      <c r="J58" s="144">
        <f t="shared" si="173"/>
        <v>49.747474747474747</v>
      </c>
      <c r="K58" s="144">
        <f t="shared" si="173"/>
        <v>60.606060606060602</v>
      </c>
      <c r="L58" s="144">
        <f t="shared" si="173"/>
        <v>73.585858585858588</v>
      </c>
      <c r="M58" s="144">
        <f t="shared" si="173"/>
        <v>78.383838383838381</v>
      </c>
      <c r="N58" s="144">
        <f t="shared" si="173"/>
        <v>90.303030303030297</v>
      </c>
      <c r="O58" s="144">
        <f t="shared" si="173"/>
        <v>73.701298701298711</v>
      </c>
      <c r="P58" s="144">
        <f t="shared" si="173"/>
        <v>86.074675324675326</v>
      </c>
      <c r="Q58" s="118">
        <f>((P58/G58)^(1/($H$2-$H$1) ))-1</f>
        <v>0.10986027102852014</v>
      </c>
      <c r="R58" s="128"/>
      <c r="S58" s="157">
        <f t="shared" ref="S58:AB58" si="174">(S7-S10)/S42</f>
        <v>91.137891520244466</v>
      </c>
      <c r="T58" s="157">
        <f t="shared" si="174"/>
        <v>96.498943962611776</v>
      </c>
      <c r="U58" s="157">
        <f t="shared" si="174"/>
        <v>102.1753524310007</v>
      </c>
      <c r="V58" s="157">
        <f t="shared" si="174"/>
        <v>108.18566727988311</v>
      </c>
      <c r="W58" s="157">
        <f t="shared" si="174"/>
        <v>114.54953006105271</v>
      </c>
      <c r="X58" s="157">
        <f t="shared" si="174"/>
        <v>121.28773771170287</v>
      </c>
      <c r="Y58" s="157">
        <f t="shared" si="174"/>
        <v>128.42231051827363</v>
      </c>
      <c r="Z58" s="157">
        <f t="shared" si="174"/>
        <v>135.97656407817209</v>
      </c>
      <c r="AA58" s="157">
        <f t="shared" si="174"/>
        <v>143.97518549453514</v>
      </c>
      <c r="AB58" s="157">
        <f t="shared" si="174"/>
        <v>152.44431405303723</v>
      </c>
      <c r="AC58" s="138">
        <f t="shared" si="161"/>
        <v>8.2699473582116489E-2</v>
      </c>
      <c r="AD58" s="31">
        <f t="shared" si="17"/>
        <v>0.05</v>
      </c>
      <c r="AE58" s="146">
        <f t="shared" si="162"/>
        <v>941.56782209228879</v>
      </c>
    </row>
    <row r="59" spans="2:31" x14ac:dyDescent="0.2">
      <c r="B59" s="20" t="s">
        <v>271</v>
      </c>
      <c r="C59" s="127">
        <f t="shared" ref="C59:P59" si="175">(C7-C10-C9)/C42</f>
        <v>0</v>
      </c>
      <c r="D59" s="127">
        <f t="shared" si="175"/>
        <v>0</v>
      </c>
      <c r="E59" s="127">
        <f t="shared" si="175"/>
        <v>0</v>
      </c>
      <c r="F59" s="144">
        <f t="shared" si="175"/>
        <v>0</v>
      </c>
      <c r="G59" s="144">
        <f t="shared" si="175"/>
        <v>20.252525252525253</v>
      </c>
      <c r="H59" s="144">
        <f t="shared" si="175"/>
        <v>20.454545454545453</v>
      </c>
      <c r="I59" s="144">
        <f t="shared" si="175"/>
        <v>24.040404040404038</v>
      </c>
      <c r="J59" s="144">
        <f t="shared" si="175"/>
        <v>29.646464646464647</v>
      </c>
      <c r="K59" s="144">
        <f t="shared" si="175"/>
        <v>30.858585858585858</v>
      </c>
      <c r="L59" s="144">
        <f t="shared" si="175"/>
        <v>40.959595959595958</v>
      </c>
      <c r="M59" s="144">
        <f t="shared" si="175"/>
        <v>50.606060606060602</v>
      </c>
      <c r="N59" s="144">
        <f t="shared" si="175"/>
        <v>52.575757575757571</v>
      </c>
      <c r="O59" s="144">
        <f t="shared" si="175"/>
        <v>47.438672438672441</v>
      </c>
      <c r="P59" s="144">
        <f t="shared" si="175"/>
        <v>57.070346320346317</v>
      </c>
      <c r="Q59" s="118">
        <f>((P59/G59)^(1/($H$2-$H$1) ))-1</f>
        <v>0.12199874078793349</v>
      </c>
      <c r="R59" s="128"/>
      <c r="S59" s="157">
        <f t="shared" ref="S59:AB59" si="176">(S7-S10-S9)/S42</f>
        <v>60.427425515660808</v>
      </c>
      <c r="T59" s="157">
        <f t="shared" si="176"/>
        <v>63.981979957758497</v>
      </c>
      <c r="U59" s="157">
        <f t="shared" si="176"/>
        <v>67.745625837626648</v>
      </c>
      <c r="V59" s="157">
        <f t="shared" si="176"/>
        <v>71.730662651604675</v>
      </c>
      <c r="W59" s="157">
        <f t="shared" si="176"/>
        <v>75.950113395816729</v>
      </c>
      <c r="X59" s="157">
        <f t="shared" si="176"/>
        <v>80.417767124982404</v>
      </c>
      <c r="Y59" s="157">
        <f t="shared" si="176"/>
        <v>85.148224014687258</v>
      </c>
      <c r="Z59" s="157">
        <f t="shared" si="176"/>
        <v>90.156943074374766</v>
      </c>
      <c r="AA59" s="157">
        <f t="shared" si="176"/>
        <v>95.46029266698504</v>
      </c>
      <c r="AB59" s="157">
        <f t="shared" si="176"/>
        <v>101.07560400033712</v>
      </c>
      <c r="AC59" s="138">
        <f t="shared" si="161"/>
        <v>8.8292509829041244E-2</v>
      </c>
      <c r="AD59" s="31">
        <f t="shared" si="17"/>
        <v>0.05</v>
      </c>
      <c r="AE59" s="146">
        <f t="shared" si="162"/>
        <v>624.29049529619999</v>
      </c>
    </row>
    <row r="60" spans="2:31" x14ac:dyDescent="0.2">
      <c r="B60" s="20" t="s">
        <v>276</v>
      </c>
      <c r="C60" s="127">
        <f t="shared" ref="C60:P60" si="177">(C7+C15-C10-C9)/C42</f>
        <v>0</v>
      </c>
      <c r="D60" s="127">
        <f t="shared" si="177"/>
        <v>0</v>
      </c>
      <c r="E60" s="127">
        <f t="shared" si="177"/>
        <v>0</v>
      </c>
      <c r="F60" s="144">
        <f t="shared" si="177"/>
        <v>0</v>
      </c>
      <c r="G60" s="144">
        <f t="shared" si="177"/>
        <v>44.848484848484844</v>
      </c>
      <c r="H60" s="144">
        <f t="shared" si="177"/>
        <v>52.121212121212118</v>
      </c>
      <c r="I60" s="144">
        <f t="shared" si="177"/>
        <v>59.19191919191919</v>
      </c>
      <c r="J60" s="144">
        <f t="shared" si="177"/>
        <v>72.222222222222214</v>
      </c>
      <c r="K60" s="144">
        <f t="shared" si="177"/>
        <v>80.606060606060609</v>
      </c>
      <c r="L60" s="144">
        <f t="shared" si="177"/>
        <v>104.14141414141413</v>
      </c>
      <c r="M60" s="144">
        <f t="shared" si="177"/>
        <v>98.98989898989899</v>
      </c>
      <c r="N60" s="144">
        <f t="shared" si="177"/>
        <v>115.95959595959596</v>
      </c>
      <c r="O60" s="144">
        <f t="shared" si="177"/>
        <v>95.202020202020208</v>
      </c>
      <c r="P60" s="144">
        <f t="shared" si="177"/>
        <v>119.80483405483405</v>
      </c>
      <c r="Q60" s="118">
        <f>((P60/G60)^(1/($H$2-$H$1) ))-1</f>
        <v>0.11535742548118821</v>
      </c>
      <c r="R60" s="128"/>
      <c r="S60" s="157">
        <f t="shared" ref="S60:AB60" si="178">(S7+S15-S10-S9)/S42</f>
        <v>126.85217723453017</v>
      </c>
      <c r="T60" s="157">
        <f t="shared" si="178"/>
        <v>134.31407001303197</v>
      </c>
      <c r="U60" s="157">
        <f t="shared" si="178"/>
        <v>142.21489766085736</v>
      </c>
      <c r="V60" s="157">
        <f t="shared" si="178"/>
        <v>150.58047987620188</v>
      </c>
      <c r="W60" s="157">
        <f t="shared" si="178"/>
        <v>159.43815516303729</v>
      </c>
      <c r="X60" s="157">
        <f t="shared" si="178"/>
        <v>168.81687017262774</v>
      </c>
      <c r="Y60" s="157">
        <f t="shared" si="178"/>
        <v>178.74727430042938</v>
      </c>
      <c r="Z60" s="157">
        <f t="shared" si="178"/>
        <v>189.26181984751349</v>
      </c>
      <c r="AA60" s="157">
        <f t="shared" si="178"/>
        <v>200.39486807383784</v>
      </c>
      <c r="AB60" s="157">
        <f t="shared" si="178"/>
        <v>212.18280148994594</v>
      </c>
      <c r="AC60" s="138">
        <f t="shared" si="161"/>
        <v>8.5236362506517782E-2</v>
      </c>
      <c r="AD60" s="31">
        <f t="shared" si="17"/>
        <v>0.05</v>
      </c>
      <c r="AE60" s="146">
        <f t="shared" si="162"/>
        <v>1310.5408327320192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79">C12/C42</f>
        <v>0</v>
      </c>
      <c r="D62" s="127">
        <f t="shared" si="179"/>
        <v>0</v>
      </c>
      <c r="E62" s="127">
        <f t="shared" si="179"/>
        <v>0</v>
      </c>
      <c r="F62" s="144">
        <f t="shared" si="179"/>
        <v>0</v>
      </c>
      <c r="G62" s="144">
        <f t="shared" si="179"/>
        <v>0.95959595959595956</v>
      </c>
      <c r="H62" s="144">
        <f t="shared" si="179"/>
        <v>0.50505050505050508</v>
      </c>
      <c r="I62" s="144">
        <f t="shared" si="179"/>
        <v>0.65656565656565657</v>
      </c>
      <c r="J62" s="144">
        <f t="shared" si="179"/>
        <v>2.7777777777777777</v>
      </c>
      <c r="K62" s="144">
        <f t="shared" si="179"/>
        <v>1.2121212121212122</v>
      </c>
      <c r="L62" s="144">
        <f t="shared" si="179"/>
        <v>2.3737373737373737</v>
      </c>
      <c r="M62" s="144">
        <f t="shared" si="179"/>
        <v>2.8282828282828283</v>
      </c>
      <c r="N62" s="144">
        <f t="shared" si="179"/>
        <v>5.2525252525252526</v>
      </c>
      <c r="O62" s="144">
        <f t="shared" si="179"/>
        <v>8.0447330447330447</v>
      </c>
      <c r="P62" s="144">
        <f t="shared" si="179"/>
        <v>12.770562770562771</v>
      </c>
      <c r="Q62" s="118">
        <f>((P62/G62)^(1/($H$2-$H$1) ))-1</f>
        <v>0.33322178915198908</v>
      </c>
      <c r="R62" s="128"/>
      <c r="S62" s="157">
        <f t="shared" ref="S62:AB62" si="180">S12/S42</f>
        <v>13.521772345301759</v>
      </c>
      <c r="T62" s="157">
        <f t="shared" si="180"/>
        <v>14.317170718554804</v>
      </c>
      <c r="U62" s="157">
        <f t="shared" si="180"/>
        <v>15.15935723141097</v>
      </c>
      <c r="V62" s="157">
        <f t="shared" si="180"/>
        <v>16.051084127376321</v>
      </c>
      <c r="W62" s="157">
        <f t="shared" si="180"/>
        <v>16.995265546633757</v>
      </c>
      <c r="X62" s="157">
        <f t="shared" si="180"/>
        <v>17.994987049376917</v>
      </c>
      <c r="Y62" s="157">
        <f t="shared" si="180"/>
        <v>19.053515699340267</v>
      </c>
      <c r="Z62" s="157">
        <f t="shared" si="180"/>
        <v>20.174310740477932</v>
      </c>
      <c r="AA62" s="157">
        <f t="shared" si="180"/>
        <v>21.361034901682515</v>
      </c>
      <c r="AB62" s="157">
        <f t="shared" si="180"/>
        <v>22.617566366487367</v>
      </c>
      <c r="AC62" s="138">
        <f t="shared" si="161"/>
        <v>0.18094409829376401</v>
      </c>
      <c r="AD62" s="31">
        <f t="shared" si="17"/>
        <v>0.05</v>
      </c>
      <c r="AE62" s="146">
        <f t="shared" si="162"/>
        <v>139.69673344006907</v>
      </c>
    </row>
    <row r="63" spans="2:31" x14ac:dyDescent="0.2">
      <c r="B63" s="20" t="s">
        <v>255</v>
      </c>
      <c r="C63" s="127">
        <f t="shared" ref="C63:P63" si="181">C13/C42</f>
        <v>0</v>
      </c>
      <c r="D63" s="127">
        <f t="shared" si="181"/>
        <v>0</v>
      </c>
      <c r="E63" s="127">
        <f t="shared" si="181"/>
        <v>0</v>
      </c>
      <c r="F63" s="144">
        <f t="shared" si="181"/>
        <v>0</v>
      </c>
      <c r="G63" s="144">
        <f t="shared" si="181"/>
        <v>16.969696969696969</v>
      </c>
      <c r="H63" s="144">
        <f t="shared" si="181"/>
        <v>11.616161616161616</v>
      </c>
      <c r="I63" s="144">
        <f t="shared" si="181"/>
        <v>13.737373737373737</v>
      </c>
      <c r="J63" s="144">
        <f t="shared" si="181"/>
        <v>16.111111111111111</v>
      </c>
      <c r="K63" s="144">
        <f t="shared" si="181"/>
        <v>24.545454545454543</v>
      </c>
      <c r="L63" s="144">
        <f t="shared" si="181"/>
        <v>22.272727272727273</v>
      </c>
      <c r="M63" s="144">
        <f t="shared" si="181"/>
        <v>37.020202020202021</v>
      </c>
      <c r="N63" s="144">
        <f t="shared" si="181"/>
        <v>36.616161616161612</v>
      </c>
      <c r="O63" s="144">
        <f t="shared" si="181"/>
        <v>21.572871572871573</v>
      </c>
      <c r="P63" s="144">
        <f t="shared" si="181"/>
        <v>22.61904761904762</v>
      </c>
      <c r="Q63" s="118">
        <f>((P63/G63)^(1/($H$2-$H$1) ))-1</f>
        <v>3.2444445121385446E-2</v>
      </c>
      <c r="R63" s="128"/>
      <c r="S63" s="157">
        <f t="shared" ref="S63:AB63" si="182">S13/S42</f>
        <v>23.949579831932777</v>
      </c>
      <c r="T63" s="157">
        <f t="shared" si="182"/>
        <v>25.358378645575879</v>
      </c>
      <c r="U63" s="157">
        <f t="shared" si="182"/>
        <v>26.850047977668581</v>
      </c>
      <c r="V63" s="157">
        <f t="shared" si="182"/>
        <v>28.429462564590263</v>
      </c>
      <c r="W63" s="157">
        <f t="shared" si="182"/>
        <v>30.101783891919105</v>
      </c>
      <c r="X63" s="157">
        <f t="shared" si="182"/>
        <v>31.872477062031997</v>
      </c>
      <c r="Y63" s="157">
        <f t="shared" si="182"/>
        <v>33.747328653916234</v>
      </c>
      <c r="Z63" s="157">
        <f t="shared" si="182"/>
        <v>35.732465633558363</v>
      </c>
      <c r="AA63" s="157">
        <f t="shared" si="182"/>
        <v>37.834375376708856</v>
      </c>
      <c r="AB63" s="157">
        <f t="shared" si="182"/>
        <v>40.05992686945644</v>
      </c>
      <c r="AC63" s="138">
        <f t="shared" si="161"/>
        <v>4.6245196558256207E-2</v>
      </c>
      <c r="AD63" s="31">
        <f t="shared" si="17"/>
        <v>0.05</v>
      </c>
      <c r="AE63" s="146">
        <f t="shared" si="162"/>
        <v>247.42896007605452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3">(D62+D63)</f>
        <v>0</v>
      </c>
      <c r="E64" s="127">
        <f t="shared" si="183"/>
        <v>0</v>
      </c>
      <c r="F64" s="144">
        <f t="shared" si="183"/>
        <v>0</v>
      </c>
      <c r="G64" s="144">
        <f t="shared" si="183"/>
        <v>17.929292929292927</v>
      </c>
      <c r="H64" s="144">
        <f t="shared" si="183"/>
        <v>12.121212121212121</v>
      </c>
      <c r="I64" s="144">
        <f t="shared" si="183"/>
        <v>14.393939393939394</v>
      </c>
      <c r="J64" s="144">
        <f t="shared" si="183"/>
        <v>18.888888888888889</v>
      </c>
      <c r="K64" s="144">
        <f t="shared" si="183"/>
        <v>25.757575757575754</v>
      </c>
      <c r="L64" s="144">
        <f t="shared" si="183"/>
        <v>24.646464646464647</v>
      </c>
      <c r="M64" s="144">
        <f t="shared" si="183"/>
        <v>39.848484848484851</v>
      </c>
      <c r="N64" s="144">
        <f t="shared" si="183"/>
        <v>41.868686868686865</v>
      </c>
      <c r="O64" s="144">
        <f t="shared" ref="O64" si="184">(O62+O63)</f>
        <v>29.61760461760462</v>
      </c>
      <c r="P64" s="144">
        <f t="shared" si="183"/>
        <v>35.38961038961039</v>
      </c>
      <c r="Q64" s="118">
        <f>((P64/G64)^(1/($H$2-$H$1) ))-1</f>
        <v>7.8481036762817702E-2</v>
      </c>
      <c r="R64" s="128"/>
      <c r="S64" s="157">
        <f t="shared" ref="S64:AB64" si="185">(S62+S63)</f>
        <v>37.471352177234536</v>
      </c>
      <c r="T64" s="157">
        <f t="shared" si="185"/>
        <v>39.675549364130681</v>
      </c>
      <c r="U64" s="157">
        <f t="shared" si="185"/>
        <v>42.009405209079553</v>
      </c>
      <c r="V64" s="157">
        <f t="shared" si="185"/>
        <v>44.48054669196658</v>
      </c>
      <c r="W64" s="157">
        <f t="shared" si="185"/>
        <v>47.097049438552858</v>
      </c>
      <c r="X64" s="157">
        <f t="shared" si="185"/>
        <v>49.867464111408914</v>
      </c>
      <c r="Y64" s="157">
        <f t="shared" si="185"/>
        <v>52.800844353256501</v>
      </c>
      <c r="Z64" s="157">
        <f t="shared" si="185"/>
        <v>55.906776374036298</v>
      </c>
      <c r="AA64" s="157">
        <f t="shared" si="185"/>
        <v>59.195410278391371</v>
      </c>
      <c r="AB64" s="157">
        <f t="shared" si="185"/>
        <v>62.677493235943807</v>
      </c>
      <c r="AC64" s="138">
        <f t="shared" si="161"/>
        <v>6.8089912613935821E-2</v>
      </c>
      <c r="AD64" s="31">
        <f t="shared" si="17"/>
        <v>0.05</v>
      </c>
      <c r="AE64" s="146">
        <f t="shared" si="162"/>
        <v>387.12569351612353</v>
      </c>
    </row>
    <row r="65" spans="2:31" x14ac:dyDescent="0.2">
      <c r="B65" s="20" t="s">
        <v>249</v>
      </c>
      <c r="C65" s="127">
        <f t="shared" ref="C65:P65" si="186">C15/C42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0</v>
      </c>
      <c r="G65" s="144">
        <f t="shared" si="186"/>
        <v>24.595959595959595</v>
      </c>
      <c r="H65" s="144">
        <f t="shared" si="186"/>
        <v>31.666666666666664</v>
      </c>
      <c r="I65" s="144">
        <f t="shared" si="186"/>
        <v>35.151515151515149</v>
      </c>
      <c r="J65" s="144">
        <f t="shared" si="186"/>
        <v>42.575757575757571</v>
      </c>
      <c r="K65" s="144">
        <f t="shared" si="186"/>
        <v>49.747474747474747</v>
      </c>
      <c r="L65" s="144">
        <f t="shared" si="186"/>
        <v>63.18181818181818</v>
      </c>
      <c r="M65" s="144">
        <f t="shared" si="186"/>
        <v>48.383838383838381</v>
      </c>
      <c r="N65" s="144">
        <f t="shared" si="186"/>
        <v>63.383838383838381</v>
      </c>
      <c r="O65" s="144">
        <f t="shared" si="186"/>
        <v>47.763347763347767</v>
      </c>
      <c r="P65" s="144">
        <f t="shared" si="186"/>
        <v>62.734487734487736</v>
      </c>
      <c r="Q65" s="118">
        <f>((P65/G65)^(1/($H$2-$H$1) ))-1</f>
        <v>0.10964103678544102</v>
      </c>
      <c r="R65" s="128"/>
      <c r="S65" s="157">
        <f t="shared" ref="S65:AB65" si="187">S15/S42</f>
        <v>66.424751718869373</v>
      </c>
      <c r="T65" s="157">
        <f t="shared" si="187"/>
        <v>70.332090055273454</v>
      </c>
      <c r="U65" s="157">
        <f t="shared" si="187"/>
        <v>74.469271823230699</v>
      </c>
      <c r="V65" s="157">
        <f t="shared" si="187"/>
        <v>78.849817224597217</v>
      </c>
      <c r="W65" s="157">
        <f t="shared" si="187"/>
        <v>83.488041767220594</v>
      </c>
      <c r="X65" s="157">
        <f t="shared" si="187"/>
        <v>88.399103047645326</v>
      </c>
      <c r="Y65" s="157">
        <f t="shared" si="187"/>
        <v>93.599050285742123</v>
      </c>
      <c r="Z65" s="157">
        <f t="shared" si="187"/>
        <v>99.104876773138713</v>
      </c>
      <c r="AA65" s="157">
        <f t="shared" si="187"/>
        <v>104.93457540685274</v>
      </c>
      <c r="AB65" s="157">
        <f t="shared" si="187"/>
        <v>111.10719748960879</v>
      </c>
      <c r="AC65" s="138">
        <f t="shared" si="161"/>
        <v>8.2598161907207368E-2</v>
      </c>
      <c r="AD65" s="31">
        <f t="shared" si="17"/>
        <v>0.05</v>
      </c>
      <c r="AE65" s="146">
        <f t="shared" si="162"/>
        <v>686.25033743581912</v>
      </c>
    </row>
    <row r="66" spans="2:31" x14ac:dyDescent="0.2">
      <c r="B66" s="20" t="s">
        <v>250</v>
      </c>
      <c r="C66" s="127">
        <f t="shared" ref="C66:P66" si="188">C16/C42</f>
        <v>0</v>
      </c>
      <c r="D66" s="127">
        <f t="shared" si="188"/>
        <v>0</v>
      </c>
      <c r="E66" s="127">
        <f t="shared" si="188"/>
        <v>0</v>
      </c>
      <c r="F66" s="144">
        <f t="shared" si="188"/>
        <v>0</v>
      </c>
      <c r="G66" s="144">
        <f t="shared" si="188"/>
        <v>11.666666666666666</v>
      </c>
      <c r="H66" s="144">
        <f t="shared" si="188"/>
        <v>19.747474747474747</v>
      </c>
      <c r="I66" s="144">
        <f t="shared" si="188"/>
        <v>21.767676767676768</v>
      </c>
      <c r="J66" s="144">
        <f t="shared" si="188"/>
        <v>26.565656565656564</v>
      </c>
      <c r="K66" s="144">
        <f t="shared" si="188"/>
        <v>25.606060606060606</v>
      </c>
      <c r="L66" s="144">
        <f t="shared" si="188"/>
        <v>38.18181818181818</v>
      </c>
      <c r="M66" s="144">
        <f t="shared" si="188"/>
        <v>25.404040404040405</v>
      </c>
      <c r="N66" s="144">
        <f t="shared" si="188"/>
        <v>33.232323232323232</v>
      </c>
      <c r="O66" s="144">
        <f t="shared" si="188"/>
        <v>29.50937950937951</v>
      </c>
      <c r="P66" s="144">
        <f t="shared" si="188"/>
        <v>41.269841269841272</v>
      </c>
      <c r="Q66" s="118">
        <f>((P66/G66)^(1/($H$2-$H$1) ))-1</f>
        <v>0.15070794614425398</v>
      </c>
      <c r="R66" s="128"/>
      <c r="S66" s="157">
        <f t="shared" ref="S66:AB66" si="189">S16/S42</f>
        <v>43.69747899159664</v>
      </c>
      <c r="T66" s="157">
        <f t="shared" si="189"/>
        <v>46.267918932278796</v>
      </c>
      <c r="U66" s="157">
        <f t="shared" si="189"/>
        <v>48.989561222412846</v>
      </c>
      <c r="V66" s="157">
        <f t="shared" si="189"/>
        <v>51.871300117848897</v>
      </c>
      <c r="W66" s="157">
        <f t="shared" si="189"/>
        <v>54.922553065957658</v>
      </c>
      <c r="X66" s="157">
        <f t="shared" si="189"/>
        <v>58.153291481602231</v>
      </c>
      <c r="Y66" s="157">
        <f t="shared" si="189"/>
        <v>61.574073333461186</v>
      </c>
      <c r="Z66" s="157">
        <f t="shared" si="189"/>
        <v>65.196077647194201</v>
      </c>
      <c r="AA66" s="157">
        <f t="shared" si="189"/>
        <v>69.031141038205618</v>
      </c>
      <c r="AB66" s="157">
        <f t="shared" si="189"/>
        <v>73.091796393394191</v>
      </c>
      <c r="AC66" s="138">
        <f t="shared" si="161"/>
        <v>0.10139539175885681</v>
      </c>
      <c r="AD66" s="137"/>
      <c r="AE66" s="146">
        <f t="shared" si="162"/>
        <v>332.23543815179175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0">D43</f>
        <v>0</v>
      </c>
      <c r="E68" s="159">
        <f t="shared" si="190"/>
        <v>0</v>
      </c>
      <c r="F68" s="159">
        <f t="shared" si="190"/>
        <v>0</v>
      </c>
      <c r="G68" s="159">
        <f t="shared" si="190"/>
        <v>4</v>
      </c>
      <c r="H68" s="159">
        <f t="shared" si="190"/>
        <v>4</v>
      </c>
      <c r="I68" s="159">
        <f t="shared" si="190"/>
        <v>4</v>
      </c>
      <c r="J68" s="159">
        <f t="shared" si="190"/>
        <v>4</v>
      </c>
      <c r="K68" s="159">
        <f t="shared" si="190"/>
        <v>4</v>
      </c>
      <c r="L68" s="159">
        <f t="shared" si="190"/>
        <v>9</v>
      </c>
      <c r="M68" s="159">
        <f t="shared" si="190"/>
        <v>12</v>
      </c>
      <c r="N68" s="159">
        <f t="shared" si="190"/>
        <v>15</v>
      </c>
      <c r="O68" s="159">
        <f t="shared" si="190"/>
        <v>11</v>
      </c>
      <c r="P68" s="159">
        <f t="shared" si="190"/>
        <v>13</v>
      </c>
      <c r="Q68" s="118">
        <f>((P68/G68)^(1/($H$2-$H$1) ))-1</f>
        <v>0.13992408292122827</v>
      </c>
      <c r="R68" s="128"/>
      <c r="S68" s="159">
        <f t="shared" ref="S68:AB68" si="191">S43</f>
        <v>13.65</v>
      </c>
      <c r="T68" s="159">
        <f t="shared" si="191"/>
        <v>14.332500000000001</v>
      </c>
      <c r="U68" s="159">
        <f t="shared" si="191"/>
        <v>15.049125000000002</v>
      </c>
      <c r="V68" s="159">
        <f t="shared" si="191"/>
        <v>15.801581250000003</v>
      </c>
      <c r="W68" s="159">
        <f t="shared" si="191"/>
        <v>16.591660312500004</v>
      </c>
      <c r="X68" s="159">
        <f t="shared" si="191"/>
        <v>17.421243328125005</v>
      </c>
      <c r="Y68" s="159">
        <f t="shared" si="191"/>
        <v>18.292305494531256</v>
      </c>
      <c r="Z68" s="159">
        <f t="shared" si="191"/>
        <v>19.20692076925782</v>
      </c>
      <c r="AA68" s="159">
        <f t="shared" si="191"/>
        <v>20.167266807720711</v>
      </c>
      <c r="AB68" s="159">
        <f t="shared" si="191"/>
        <v>21.175630148106748</v>
      </c>
      <c r="AC68" s="138">
        <f t="shared" ref="AC68" si="192">((AB68/G68)^(1/($AB$3-$H$1) ))-1</f>
        <v>9.1675320174454455E-2</v>
      </c>
      <c r="AD68" s="31">
        <f t="shared" si="17"/>
        <v>0.05</v>
      </c>
      <c r="AE68" s="146">
        <f t="shared" si="162"/>
        <v>130.79065679712994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93">C20+C21</f>
        <v>0</v>
      </c>
      <c r="D70" s="127">
        <f t="shared" si="193"/>
        <v>0</v>
      </c>
      <c r="E70" s="127">
        <f t="shared" si="193"/>
        <v>0</v>
      </c>
      <c r="F70" s="144">
        <f t="shared" si="193"/>
        <v>0</v>
      </c>
      <c r="G70" s="144">
        <f t="shared" si="193"/>
        <v>0</v>
      </c>
      <c r="H70" s="144">
        <f t="shared" si="193"/>
        <v>0</v>
      </c>
      <c r="I70" s="144">
        <f t="shared" si="193"/>
        <v>0</v>
      </c>
      <c r="J70" s="144">
        <f t="shared" si="193"/>
        <v>0</v>
      </c>
      <c r="K70" s="144">
        <f t="shared" si="193"/>
        <v>0</v>
      </c>
      <c r="L70" s="144">
        <f t="shared" si="193"/>
        <v>0</v>
      </c>
      <c r="M70" s="144">
        <f t="shared" si="193"/>
        <v>0</v>
      </c>
      <c r="N70" s="144">
        <f t="shared" si="193"/>
        <v>0</v>
      </c>
      <c r="O70" s="144">
        <f t="shared" si="193"/>
        <v>0</v>
      </c>
      <c r="P70" s="144">
        <f t="shared" si="193"/>
        <v>0</v>
      </c>
      <c r="Q70" s="118" t="e">
        <f>((P70/G70)^(1/($H$2-$H$1) ))-1</f>
        <v>#DIV/0!</v>
      </c>
      <c r="R70" s="128"/>
      <c r="S70" s="144">
        <f t="shared" ref="S70:AB70" si="194">S20+S21</f>
        <v>0</v>
      </c>
      <c r="T70" s="144">
        <f t="shared" si="194"/>
        <v>0</v>
      </c>
      <c r="U70" s="144">
        <f t="shared" si="194"/>
        <v>0</v>
      </c>
      <c r="V70" s="144">
        <f t="shared" si="194"/>
        <v>0</v>
      </c>
      <c r="W70" s="144">
        <f t="shared" si="194"/>
        <v>0</v>
      </c>
      <c r="X70" s="144">
        <f t="shared" si="194"/>
        <v>0</v>
      </c>
      <c r="Y70" s="144">
        <f t="shared" si="194"/>
        <v>0</v>
      </c>
      <c r="Z70" s="144">
        <f t="shared" si="194"/>
        <v>0</v>
      </c>
      <c r="AA70" s="144">
        <f t="shared" si="194"/>
        <v>0</v>
      </c>
      <c r="AB70" s="144">
        <f t="shared" si="194"/>
        <v>0</v>
      </c>
      <c r="AC70" s="138" t="e">
        <f t="shared" ref="AC70:AC75" si="195">((AB70/G70)^(1/($AB$3-$H$1) ))-1</f>
        <v>#DIV/0!</v>
      </c>
      <c r="AD70" s="31">
        <f t="shared" si="17"/>
        <v>0.05</v>
      </c>
      <c r="AE70" s="146">
        <f t="shared" si="162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96">C70/C42</f>
        <v>0</v>
      </c>
      <c r="D72" s="127">
        <f t="shared" si="196"/>
        <v>0</v>
      </c>
      <c r="E72" s="127">
        <f t="shared" si="196"/>
        <v>0</v>
      </c>
      <c r="F72" s="144">
        <f t="shared" si="196"/>
        <v>0</v>
      </c>
      <c r="G72" s="144">
        <f t="shared" si="196"/>
        <v>0</v>
      </c>
      <c r="H72" s="144">
        <f t="shared" si="196"/>
        <v>0</v>
      </c>
      <c r="I72" s="144">
        <f t="shared" si="196"/>
        <v>0</v>
      </c>
      <c r="J72" s="144">
        <f t="shared" si="196"/>
        <v>0</v>
      </c>
      <c r="K72" s="144">
        <f t="shared" si="196"/>
        <v>0</v>
      </c>
      <c r="L72" s="144">
        <f t="shared" si="196"/>
        <v>0</v>
      </c>
      <c r="M72" s="144">
        <f t="shared" si="196"/>
        <v>0</v>
      </c>
      <c r="N72" s="144">
        <f t="shared" si="196"/>
        <v>0</v>
      </c>
      <c r="O72" s="144">
        <f t="shared" si="196"/>
        <v>0</v>
      </c>
      <c r="P72" s="144">
        <f t="shared" si="196"/>
        <v>0</v>
      </c>
      <c r="Q72" s="118" t="e">
        <f>((P72/G72)^(1/($H$2-$H$1) ))-1</f>
        <v>#DIV/0!</v>
      </c>
      <c r="R72" s="128"/>
      <c r="S72" s="146">
        <f t="shared" ref="S72:AB72" si="197">S70/S42</f>
        <v>0</v>
      </c>
      <c r="T72" s="146">
        <f t="shared" si="197"/>
        <v>0</v>
      </c>
      <c r="U72" s="146">
        <f t="shared" si="197"/>
        <v>0</v>
      </c>
      <c r="V72" s="146">
        <f t="shared" si="197"/>
        <v>0</v>
      </c>
      <c r="W72" s="146">
        <f t="shared" si="197"/>
        <v>0</v>
      </c>
      <c r="X72" s="146">
        <f t="shared" si="197"/>
        <v>0</v>
      </c>
      <c r="Y72" s="146">
        <f t="shared" si="197"/>
        <v>0</v>
      </c>
      <c r="Z72" s="146">
        <f t="shared" si="197"/>
        <v>0</v>
      </c>
      <c r="AA72" s="146">
        <f t="shared" si="197"/>
        <v>0</v>
      </c>
      <c r="AB72" s="146">
        <f t="shared" si="197"/>
        <v>0</v>
      </c>
      <c r="AC72" s="138" t="e">
        <f t="shared" si="195"/>
        <v>#DIV/0!</v>
      </c>
      <c r="AD72" s="31">
        <f t="shared" si="17"/>
        <v>0.05</v>
      </c>
      <c r="AE72" s="146">
        <f t="shared" si="162"/>
        <v>0</v>
      </c>
    </row>
    <row r="73" spans="2:31" x14ac:dyDescent="0.2">
      <c r="B73" s="20" t="s">
        <v>287</v>
      </c>
      <c r="C73" s="127">
        <f t="shared" ref="C73:P73" si="198">C20/C42</f>
        <v>0</v>
      </c>
      <c r="D73" s="127">
        <f t="shared" si="198"/>
        <v>0</v>
      </c>
      <c r="E73" s="127">
        <f t="shared" si="198"/>
        <v>0</v>
      </c>
      <c r="F73" s="144">
        <f t="shared" si="198"/>
        <v>0</v>
      </c>
      <c r="G73" s="144">
        <f t="shared" si="198"/>
        <v>0</v>
      </c>
      <c r="H73" s="144">
        <f t="shared" si="198"/>
        <v>0</v>
      </c>
      <c r="I73" s="144">
        <f t="shared" si="198"/>
        <v>0</v>
      </c>
      <c r="J73" s="144">
        <f t="shared" si="198"/>
        <v>0</v>
      </c>
      <c r="K73" s="144">
        <f t="shared" si="198"/>
        <v>0</v>
      </c>
      <c r="L73" s="144">
        <f t="shared" si="198"/>
        <v>0</v>
      </c>
      <c r="M73" s="144">
        <f t="shared" si="198"/>
        <v>0</v>
      </c>
      <c r="N73" s="144">
        <f t="shared" si="198"/>
        <v>0</v>
      </c>
      <c r="O73" s="144">
        <f t="shared" si="198"/>
        <v>0</v>
      </c>
      <c r="P73" s="144">
        <f t="shared" si="198"/>
        <v>0</v>
      </c>
      <c r="Q73" s="118" t="e">
        <f>((P73/G73)^(1/($H$2-$H$1) ))-1</f>
        <v>#DIV/0!</v>
      </c>
      <c r="R73" s="128"/>
      <c r="S73" s="146">
        <f t="shared" ref="S73:AB73" si="199">S20/S42</f>
        <v>0</v>
      </c>
      <c r="T73" s="146">
        <f t="shared" si="199"/>
        <v>0</v>
      </c>
      <c r="U73" s="146">
        <f t="shared" si="199"/>
        <v>0</v>
      </c>
      <c r="V73" s="146">
        <f t="shared" si="199"/>
        <v>0</v>
      </c>
      <c r="W73" s="146">
        <f t="shared" si="199"/>
        <v>0</v>
      </c>
      <c r="X73" s="146">
        <f t="shared" si="199"/>
        <v>0</v>
      </c>
      <c r="Y73" s="146">
        <f t="shared" si="199"/>
        <v>0</v>
      </c>
      <c r="Z73" s="146">
        <f t="shared" si="199"/>
        <v>0</v>
      </c>
      <c r="AA73" s="146">
        <f t="shared" si="199"/>
        <v>0</v>
      </c>
      <c r="AB73" s="146">
        <f t="shared" si="199"/>
        <v>0</v>
      </c>
      <c r="AC73" s="138" t="e">
        <f t="shared" si="195"/>
        <v>#DIV/0!</v>
      </c>
      <c r="AD73" s="31">
        <f t="shared" si="17"/>
        <v>0.05</v>
      </c>
      <c r="AE73" s="146">
        <f t="shared" si="162"/>
        <v>0</v>
      </c>
    </row>
    <row r="74" spans="2:31" x14ac:dyDescent="0.2">
      <c r="B74" s="20" t="s">
        <v>288</v>
      </c>
      <c r="C74" s="127">
        <f t="shared" ref="C74:P74" si="200">C21/C42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0</v>
      </c>
      <c r="G74" s="144">
        <f t="shared" si="200"/>
        <v>0</v>
      </c>
      <c r="H74" s="144">
        <f t="shared" si="200"/>
        <v>0</v>
      </c>
      <c r="I74" s="144">
        <f t="shared" si="200"/>
        <v>0</v>
      </c>
      <c r="J74" s="144">
        <f t="shared" si="200"/>
        <v>0</v>
      </c>
      <c r="K74" s="144">
        <f t="shared" si="200"/>
        <v>0</v>
      </c>
      <c r="L74" s="144">
        <f t="shared" si="200"/>
        <v>0</v>
      </c>
      <c r="M74" s="144">
        <f t="shared" si="200"/>
        <v>0</v>
      </c>
      <c r="N74" s="144">
        <f t="shared" si="200"/>
        <v>0</v>
      </c>
      <c r="O74" s="144">
        <f t="shared" si="200"/>
        <v>0</v>
      </c>
      <c r="P74" s="144">
        <f t="shared" si="200"/>
        <v>0</v>
      </c>
      <c r="Q74" s="118" t="e">
        <f>((P74/G74)^(1/($H$2-$H$1) ))-1</f>
        <v>#DIV/0!</v>
      </c>
      <c r="R74" s="128"/>
      <c r="S74" s="146">
        <f t="shared" ref="S74:AB74" si="201">S21/S42</f>
        <v>0</v>
      </c>
      <c r="T74" s="146">
        <f t="shared" si="201"/>
        <v>0</v>
      </c>
      <c r="U74" s="146">
        <f t="shared" si="201"/>
        <v>0</v>
      </c>
      <c r="V74" s="146">
        <f t="shared" si="201"/>
        <v>0</v>
      </c>
      <c r="W74" s="146">
        <f t="shared" si="201"/>
        <v>0</v>
      </c>
      <c r="X74" s="146">
        <f t="shared" si="201"/>
        <v>0</v>
      </c>
      <c r="Y74" s="146">
        <f t="shared" si="201"/>
        <v>0</v>
      </c>
      <c r="Z74" s="146">
        <f t="shared" si="201"/>
        <v>0</v>
      </c>
      <c r="AA74" s="146">
        <f t="shared" si="201"/>
        <v>0</v>
      </c>
      <c r="AB74" s="146">
        <f t="shared" si="201"/>
        <v>0</v>
      </c>
      <c r="AC74" s="138" t="e">
        <f t="shared" si="195"/>
        <v>#DIV/0!</v>
      </c>
      <c r="AD74" s="31">
        <f t="shared" si="17"/>
        <v>0.05</v>
      </c>
      <c r="AE74" s="146">
        <f t="shared" si="162"/>
        <v>0</v>
      </c>
    </row>
    <row r="75" spans="2:31" x14ac:dyDescent="0.2">
      <c r="B75" s="20" t="s">
        <v>289</v>
      </c>
      <c r="C75" s="127">
        <f t="shared" ref="C75:P75" si="202">C22/C42</f>
        <v>0</v>
      </c>
      <c r="D75" s="127">
        <f t="shared" si="202"/>
        <v>0</v>
      </c>
      <c r="E75" s="127">
        <f t="shared" si="202"/>
        <v>0</v>
      </c>
      <c r="F75" s="144">
        <f t="shared" si="202"/>
        <v>0</v>
      </c>
      <c r="G75" s="144">
        <f t="shared" si="202"/>
        <v>0</v>
      </c>
      <c r="H75" s="144">
        <f t="shared" si="202"/>
        <v>0</v>
      </c>
      <c r="I75" s="144">
        <f t="shared" si="202"/>
        <v>0</v>
      </c>
      <c r="J75" s="144">
        <f t="shared" si="202"/>
        <v>0</v>
      </c>
      <c r="K75" s="144">
        <f t="shared" si="202"/>
        <v>0</v>
      </c>
      <c r="L75" s="144">
        <f t="shared" si="202"/>
        <v>0</v>
      </c>
      <c r="M75" s="144">
        <f t="shared" si="202"/>
        <v>0</v>
      </c>
      <c r="N75" s="144">
        <f t="shared" si="202"/>
        <v>0</v>
      </c>
      <c r="O75" s="144">
        <f t="shared" si="202"/>
        <v>0</v>
      </c>
      <c r="P75" s="144">
        <f t="shared" si="202"/>
        <v>0</v>
      </c>
      <c r="Q75" s="118" t="e">
        <f>((P75/G75)^(1/($H$2-$H$1) ))-1</f>
        <v>#DIV/0!</v>
      </c>
      <c r="R75" s="128"/>
      <c r="S75" s="146">
        <f t="shared" ref="S75:AB75" si="203">S22/S42</f>
        <v>0</v>
      </c>
      <c r="T75" s="146">
        <f t="shared" si="203"/>
        <v>0</v>
      </c>
      <c r="U75" s="146">
        <f t="shared" si="203"/>
        <v>0</v>
      </c>
      <c r="V75" s="146">
        <f t="shared" si="203"/>
        <v>0</v>
      </c>
      <c r="W75" s="146">
        <f t="shared" si="203"/>
        <v>0</v>
      </c>
      <c r="X75" s="146">
        <f t="shared" si="203"/>
        <v>0</v>
      </c>
      <c r="Y75" s="146">
        <f t="shared" si="203"/>
        <v>0</v>
      </c>
      <c r="Z75" s="146">
        <f t="shared" si="203"/>
        <v>0</v>
      </c>
      <c r="AA75" s="146">
        <f t="shared" si="203"/>
        <v>0</v>
      </c>
      <c r="AB75" s="146">
        <f t="shared" si="203"/>
        <v>0</v>
      </c>
      <c r="AC75" s="138" t="e">
        <f t="shared" si="195"/>
        <v>#DIV/0!</v>
      </c>
      <c r="AD75" s="31">
        <f t="shared" si="17"/>
        <v>0.05</v>
      </c>
      <c r="AE75" s="146">
        <f t="shared" si="162"/>
        <v>0</v>
      </c>
    </row>
    <row r="76" spans="2:31" x14ac:dyDescent="0.2">
      <c r="B76" s="20" t="s">
        <v>296</v>
      </c>
      <c r="C76" s="127">
        <f t="shared" ref="C76:P76" si="204">C23/C42</f>
        <v>0</v>
      </c>
      <c r="D76" s="127">
        <f t="shared" si="204"/>
        <v>0</v>
      </c>
      <c r="E76" s="127">
        <f t="shared" si="204"/>
        <v>0</v>
      </c>
      <c r="F76" s="144">
        <f t="shared" si="204"/>
        <v>0</v>
      </c>
      <c r="G76" s="144">
        <f t="shared" si="204"/>
        <v>0</v>
      </c>
      <c r="H76" s="144">
        <f t="shared" si="204"/>
        <v>0</v>
      </c>
      <c r="I76" s="144">
        <f t="shared" si="204"/>
        <v>0</v>
      </c>
      <c r="J76" s="144">
        <f t="shared" si="204"/>
        <v>0</v>
      </c>
      <c r="K76" s="144">
        <f t="shared" si="204"/>
        <v>0</v>
      </c>
      <c r="L76" s="144">
        <f t="shared" si="204"/>
        <v>0</v>
      </c>
      <c r="M76" s="144">
        <f t="shared" si="204"/>
        <v>0</v>
      </c>
      <c r="N76" s="144">
        <f t="shared" si="204"/>
        <v>0</v>
      </c>
      <c r="O76" s="144">
        <f t="shared" si="204"/>
        <v>0</v>
      </c>
      <c r="P76" s="144">
        <f t="shared" si="204"/>
        <v>0</v>
      </c>
      <c r="Q76" s="118" t="e">
        <f>((P76/G76)^(1/($H$2-$H$1) ))-1</f>
        <v>#DIV/0!</v>
      </c>
      <c r="R76" s="128"/>
      <c r="S76" s="146">
        <f t="shared" ref="S76:AB76" si="205">S23/S42</f>
        <v>0</v>
      </c>
      <c r="T76" s="146">
        <f t="shared" si="205"/>
        <v>0</v>
      </c>
      <c r="U76" s="146">
        <f t="shared" si="205"/>
        <v>0</v>
      </c>
      <c r="V76" s="146">
        <f t="shared" si="205"/>
        <v>0</v>
      </c>
      <c r="W76" s="146">
        <f t="shared" si="205"/>
        <v>0</v>
      </c>
      <c r="X76" s="146">
        <f t="shared" si="205"/>
        <v>0</v>
      </c>
      <c r="Y76" s="146">
        <f t="shared" si="205"/>
        <v>0</v>
      </c>
      <c r="Z76" s="146">
        <f t="shared" si="205"/>
        <v>0</v>
      </c>
      <c r="AA76" s="146">
        <f t="shared" si="205"/>
        <v>0</v>
      </c>
      <c r="AB76" s="146">
        <f t="shared" si="205"/>
        <v>0</v>
      </c>
      <c r="AC76" s="138" t="e">
        <f t="shared" ref="AC76" si="206">((AB76/G76)^(1/($AB$3-$H$1) ))-1</f>
        <v>#DIV/0!</v>
      </c>
      <c r="AD76" s="31">
        <f t="shared" si="17"/>
        <v>0.05</v>
      </c>
      <c r="AE76" s="146">
        <f t="shared" si="162"/>
        <v>0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7">C36/C42</f>
        <v>0</v>
      </c>
      <c r="D78" s="144">
        <f t="shared" si="207"/>
        <v>0</v>
      </c>
      <c r="E78" s="144">
        <f t="shared" si="207"/>
        <v>0</v>
      </c>
      <c r="F78" s="144">
        <f t="shared" si="207"/>
        <v>0</v>
      </c>
      <c r="G78" s="144">
        <f t="shared" si="207"/>
        <v>6.4141414141414135</v>
      </c>
      <c r="H78" s="144">
        <f t="shared" si="207"/>
        <v>10.353535353535353</v>
      </c>
      <c r="I78" s="144">
        <f t="shared" si="207"/>
        <v>13.737373737373737</v>
      </c>
      <c r="J78" s="144">
        <f t="shared" si="207"/>
        <v>18.333333333333332</v>
      </c>
      <c r="K78" s="144">
        <f t="shared" si="207"/>
        <v>20.050505050505048</v>
      </c>
      <c r="L78" s="144">
        <f t="shared" si="207"/>
        <v>27.979797979797979</v>
      </c>
      <c r="M78" s="144">
        <f t="shared" si="207"/>
        <v>26.969696969696969</v>
      </c>
      <c r="N78" s="144">
        <f t="shared" si="207"/>
        <v>36.666666666666664</v>
      </c>
      <c r="O78" s="144">
        <f t="shared" si="207"/>
        <v>25.144300144300146</v>
      </c>
      <c r="P78" s="144">
        <f t="shared" si="207"/>
        <v>30.086580086580089</v>
      </c>
      <c r="Q78" s="118">
        <f>((P78/G78)^(1/($H$2-$H$1) ))-1</f>
        <v>0.18735774165949204</v>
      </c>
      <c r="R78" s="128"/>
      <c r="S78" s="144">
        <f t="shared" ref="S78:AB78" si="208">S36/S42</f>
        <v>31.856378915202445</v>
      </c>
      <c r="T78" s="144">
        <f t="shared" si="208"/>
        <v>33.730283557273175</v>
      </c>
      <c r="U78" s="144">
        <f t="shared" si="208"/>
        <v>35.714417884171603</v>
      </c>
      <c r="V78" s="144">
        <f t="shared" si="208"/>
        <v>37.815265995005227</v>
      </c>
      <c r="W78" s="144">
        <f t="shared" si="208"/>
        <v>40.039693406476125</v>
      </c>
      <c r="X78" s="144">
        <f t="shared" si="208"/>
        <v>42.394969489210013</v>
      </c>
      <c r="Y78" s="144">
        <f t="shared" si="208"/>
        <v>44.888791223869426</v>
      </c>
      <c r="Z78" s="144">
        <f t="shared" si="208"/>
        <v>47.52930835468527</v>
      </c>
      <c r="AA78" s="144">
        <f t="shared" si="208"/>
        <v>50.325150022607936</v>
      </c>
      <c r="AB78" s="144">
        <f t="shared" si="208"/>
        <v>53.285452965114288</v>
      </c>
      <c r="AC78" s="138">
        <f t="shared" ref="AC78:AC80" si="209">((AB78/G78)^(1/($AB$3-$H$1) ))-1</f>
        <v>0.11787479676319346</v>
      </c>
      <c r="AD78" s="31">
        <f t="shared" si="17"/>
        <v>0.05</v>
      </c>
      <c r="AE78" s="146">
        <f t="shared" si="162"/>
        <v>329.11603301982359</v>
      </c>
    </row>
    <row r="79" spans="2:31" x14ac:dyDescent="0.2">
      <c r="B79" s="20" t="s">
        <v>312</v>
      </c>
      <c r="C79" s="144">
        <f t="shared" ref="C79:P79" si="210">C40/C42</f>
        <v>0</v>
      </c>
      <c r="D79" s="144">
        <f t="shared" si="210"/>
        <v>0</v>
      </c>
      <c r="E79" s="144">
        <f t="shared" si="210"/>
        <v>0</v>
      </c>
      <c r="F79" s="144">
        <f t="shared" si="210"/>
        <v>0</v>
      </c>
      <c r="G79" s="144">
        <f t="shared" si="210"/>
        <v>4.8989898989898988</v>
      </c>
      <c r="H79" s="144">
        <f t="shared" si="210"/>
        <v>6.3636363636363633</v>
      </c>
      <c r="I79" s="144">
        <f t="shared" si="210"/>
        <v>8.4848484848484844</v>
      </c>
      <c r="J79" s="144">
        <f t="shared" si="210"/>
        <v>12.474747474747474</v>
      </c>
      <c r="K79" s="144">
        <f t="shared" si="210"/>
        <v>15.1010101010101</v>
      </c>
      <c r="L79" s="144">
        <f t="shared" si="210"/>
        <v>22.474747474747474</v>
      </c>
      <c r="M79" s="144">
        <f t="shared" si="210"/>
        <v>22.424242424242422</v>
      </c>
      <c r="N79" s="144">
        <f t="shared" si="210"/>
        <v>29.848484848484848</v>
      </c>
      <c r="O79" s="144">
        <f t="shared" si="210"/>
        <v>21.320346320346321</v>
      </c>
      <c r="P79" s="144">
        <f t="shared" si="210"/>
        <v>27.561327561327563</v>
      </c>
      <c r="Q79" s="118">
        <f>((P79/G79)^(1/($H$2-$H$1) ))-1</f>
        <v>0.21158766496558412</v>
      </c>
      <c r="R79" s="128"/>
      <c r="S79" s="144">
        <f t="shared" ref="S79:AB79" si="211">S40/S42</f>
        <v>29.182582123758596</v>
      </c>
      <c r="T79" s="144">
        <f t="shared" si="211"/>
        <v>30.899204601626749</v>
      </c>
      <c r="U79" s="144">
        <f t="shared" si="211"/>
        <v>32.716804872310675</v>
      </c>
      <c r="V79" s="144">
        <f t="shared" si="211"/>
        <v>34.64132280597601</v>
      </c>
      <c r="W79" s="144">
        <f t="shared" si="211"/>
        <v>36.679047676915772</v>
      </c>
      <c r="X79" s="144">
        <f t="shared" si="211"/>
        <v>38.836638716734349</v>
      </c>
      <c r="Y79" s="144">
        <f t="shared" si="211"/>
        <v>41.121146876542255</v>
      </c>
      <c r="Z79" s="144">
        <f t="shared" si="211"/>
        <v>43.540037869280042</v>
      </c>
      <c r="AA79" s="144">
        <f t="shared" si="211"/>
        <v>46.101216567472981</v>
      </c>
      <c r="AB79" s="144">
        <f t="shared" si="211"/>
        <v>48.813052836147868</v>
      </c>
      <c r="AC79" s="138">
        <f t="shared" si="209"/>
        <v>0.12862305384687045</v>
      </c>
      <c r="AD79" s="31">
        <f t="shared" si="17"/>
        <v>0.05</v>
      </c>
      <c r="AE79" s="146">
        <f t="shared" si="162"/>
        <v>301.49238516444274</v>
      </c>
    </row>
    <row r="80" spans="2:31" x14ac:dyDescent="0.2">
      <c r="B80" s="20" t="s">
        <v>313</v>
      </c>
      <c r="C80" s="144">
        <f t="shared" ref="C80:P80" si="212">C6/C42</f>
        <v>0</v>
      </c>
      <c r="D80" s="144">
        <f t="shared" si="212"/>
        <v>0</v>
      </c>
      <c r="E80" s="144">
        <f t="shared" si="212"/>
        <v>0</v>
      </c>
      <c r="F80" s="144">
        <f t="shared" si="212"/>
        <v>0</v>
      </c>
      <c r="G80" s="144">
        <f t="shared" si="212"/>
        <v>34.545454545454547</v>
      </c>
      <c r="H80" s="144">
        <f t="shared" si="212"/>
        <v>36.565656565656568</v>
      </c>
      <c r="I80" s="144">
        <f t="shared" si="212"/>
        <v>41.060606060606062</v>
      </c>
      <c r="J80" s="144">
        <f t="shared" si="212"/>
        <v>49.545454545454547</v>
      </c>
      <c r="K80" s="144">
        <f t="shared" si="212"/>
        <v>60.303030303030297</v>
      </c>
      <c r="L80" s="144">
        <f t="shared" si="212"/>
        <v>72.979797979797979</v>
      </c>
      <c r="M80" s="144">
        <f t="shared" si="212"/>
        <v>76.818181818181813</v>
      </c>
      <c r="N80" s="144">
        <f t="shared" si="212"/>
        <v>89.191919191919183</v>
      </c>
      <c r="O80" s="144">
        <f t="shared" si="212"/>
        <v>71.68109668109669</v>
      </c>
      <c r="P80" s="144">
        <f t="shared" si="212"/>
        <v>84.090909090909093</v>
      </c>
      <c r="Q80" s="118">
        <f>((P80/G80)^(1/($H$2-$H$1) ))-1</f>
        <v>0.10389732714396138</v>
      </c>
      <c r="R80" s="128"/>
      <c r="S80" s="144">
        <f t="shared" ref="S80:AB80" si="213">S6/S42</f>
        <v>89.037433155080208</v>
      </c>
      <c r="T80" s="144">
        <f t="shared" si="213"/>
        <v>94.274929223026106</v>
      </c>
      <c r="U80" s="144">
        <f t="shared" si="213"/>
        <v>99.820513294968805</v>
      </c>
      <c r="V80" s="144">
        <f t="shared" si="213"/>
        <v>105.69230819467286</v>
      </c>
      <c r="W80" s="144">
        <f t="shared" si="213"/>
        <v>111.90950279435951</v>
      </c>
      <c r="X80" s="144">
        <f t="shared" si="213"/>
        <v>118.4924147234395</v>
      </c>
      <c r="Y80" s="144">
        <f t="shared" si="213"/>
        <v>125.46255676599476</v>
      </c>
      <c r="Z80" s="144">
        <f t="shared" si="213"/>
        <v>132.84270716399445</v>
      </c>
      <c r="AA80" s="144">
        <f t="shared" si="213"/>
        <v>140.65698405599414</v>
      </c>
      <c r="AB80" s="144">
        <f t="shared" si="213"/>
        <v>148.93092429458204</v>
      </c>
      <c r="AC80" s="138">
        <f t="shared" si="209"/>
        <v>7.994013791872967E-2</v>
      </c>
      <c r="AD80" s="31">
        <f t="shared" ref="AD80" si="214">$L$1</f>
        <v>0.05</v>
      </c>
      <c r="AE80" s="146">
        <f t="shared" si="162"/>
        <v>919.86747358418324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5">E36/E25</f>
        <v>#DIV/0!</v>
      </c>
      <c r="F84" s="152" t="e">
        <f t="shared" si="215"/>
        <v>#DIV/0!</v>
      </c>
      <c r="G84" s="152">
        <f t="shared" si="215"/>
        <v>0.1026677445432498</v>
      </c>
      <c r="H84" s="152">
        <f t="shared" si="215"/>
        <v>0.13040712468193386</v>
      </c>
      <c r="I84" s="152">
        <f t="shared" si="215"/>
        <v>0.14686825053995681</v>
      </c>
      <c r="J84" s="152">
        <f t="shared" si="215"/>
        <v>0.16090425531914893</v>
      </c>
      <c r="K84" s="152">
        <f t="shared" si="215"/>
        <v>0.14219197707736389</v>
      </c>
      <c r="L84" s="152">
        <f t="shared" si="215"/>
        <v>0.14840610768818643</v>
      </c>
      <c r="M84" s="152">
        <f t="shared" si="215"/>
        <v>0.18126272912423624</v>
      </c>
      <c r="N84" s="152">
        <f t="shared" si="215"/>
        <v>0.1742260619150468</v>
      </c>
      <c r="O84" s="152">
        <f t="shared" si="215"/>
        <v>0.16037735849056603</v>
      </c>
      <c r="P84" s="152">
        <f t="shared" si="215"/>
        <v>0.17171093267449042</v>
      </c>
      <c r="Q84" s="118">
        <f t="shared" ref="Q84:Q134" si="216">((P84/G84)^(1/($H$2-$H$1) ))-1</f>
        <v>5.8810437891211542E-2</v>
      </c>
      <c r="R84" s="152"/>
      <c r="S84" s="152">
        <f t="shared" ref="S84:AB84" si="217">S36/S25</f>
        <v>0.17171093267449042</v>
      </c>
      <c r="T84" s="152">
        <f t="shared" si="217"/>
        <v>0.17171093267449045</v>
      </c>
      <c r="U84" s="152">
        <f t="shared" si="217"/>
        <v>0.17171093267449045</v>
      </c>
      <c r="V84" s="152">
        <f t="shared" si="217"/>
        <v>0.17171093267449042</v>
      </c>
      <c r="W84" s="152">
        <f t="shared" si="217"/>
        <v>0.17171093267449045</v>
      </c>
      <c r="X84" s="152">
        <f t="shared" si="217"/>
        <v>0.17171093267449042</v>
      </c>
      <c r="Y84" s="152">
        <f t="shared" si="217"/>
        <v>0.17171093267449039</v>
      </c>
      <c r="Z84" s="152">
        <f t="shared" si="217"/>
        <v>0.17171093267449039</v>
      </c>
      <c r="AA84" s="152">
        <f t="shared" si="217"/>
        <v>0.17171093267449039</v>
      </c>
      <c r="AB84" s="152">
        <f t="shared" si="217"/>
        <v>0.17171093267449039</v>
      </c>
      <c r="AC84" s="138">
        <f t="shared" ref="AC84:AC121" si="218">((AB84/G84)^(1/($AB$3-$H$1) ))-1</f>
        <v>2.7438879929664317E-2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19">E40/E25</f>
        <v>#DIV/0!</v>
      </c>
      <c r="F85" s="152" t="e">
        <f t="shared" si="219"/>
        <v>#DIV/0!</v>
      </c>
      <c r="G85" s="152">
        <f t="shared" si="219"/>
        <v>7.8415521422797091E-2</v>
      </c>
      <c r="H85" s="152">
        <f t="shared" si="219"/>
        <v>8.0152671755725186E-2</v>
      </c>
      <c r="I85" s="152">
        <f t="shared" si="219"/>
        <v>9.0712742980561561E-2</v>
      </c>
      <c r="J85" s="152">
        <f t="shared" si="219"/>
        <v>0.10948581560283688</v>
      </c>
      <c r="K85" s="152">
        <f t="shared" si="219"/>
        <v>0.1070916905444126</v>
      </c>
      <c r="L85" s="152">
        <f t="shared" si="219"/>
        <v>0.11920707206000536</v>
      </c>
      <c r="M85" s="152">
        <f t="shared" si="219"/>
        <v>0.15071283095723015</v>
      </c>
      <c r="N85" s="152">
        <f t="shared" si="219"/>
        <v>0.14182865370770339</v>
      </c>
      <c r="O85" s="152">
        <f t="shared" si="219"/>
        <v>0.13598711458812701</v>
      </c>
      <c r="P85" s="152">
        <f t="shared" si="219"/>
        <v>0.15729874408070826</v>
      </c>
      <c r="Q85" s="118">
        <f t="shared" si="216"/>
        <v>8.0417148999135657E-2</v>
      </c>
      <c r="R85" s="152"/>
      <c r="S85" s="152">
        <f t="shared" ref="S85:AB85" si="220">S40/S25</f>
        <v>0.15729874408070824</v>
      </c>
      <c r="T85" s="152">
        <f t="shared" si="220"/>
        <v>0.15729874408070826</v>
      </c>
      <c r="U85" s="152">
        <f t="shared" si="220"/>
        <v>0.15729874408070826</v>
      </c>
      <c r="V85" s="152">
        <f t="shared" si="220"/>
        <v>0.15729874408070824</v>
      </c>
      <c r="W85" s="152">
        <f t="shared" si="220"/>
        <v>0.15729874408070824</v>
      </c>
      <c r="X85" s="152">
        <f t="shared" si="220"/>
        <v>0.15729874408070826</v>
      </c>
      <c r="Y85" s="152">
        <f t="shared" si="220"/>
        <v>0.15729874408070824</v>
      </c>
      <c r="Z85" s="152">
        <f t="shared" si="220"/>
        <v>0.15729874408070826</v>
      </c>
      <c r="AA85" s="152">
        <f t="shared" si="220"/>
        <v>0.15729874408070826</v>
      </c>
      <c r="AB85" s="152">
        <f t="shared" si="220"/>
        <v>0.15729874408070824</v>
      </c>
      <c r="AC85" s="138">
        <f t="shared" si="218"/>
        <v>3.7317604498126489E-2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21">E40/E7</f>
        <v>#DIV/0!</v>
      </c>
      <c r="F86" s="152" t="e">
        <f t="shared" si="221"/>
        <v>#DIV/0!</v>
      </c>
      <c r="G86" s="152">
        <f>G40/G7</f>
        <v>0.13416320885200553</v>
      </c>
      <c r="H86" s="152">
        <f t="shared" si="221"/>
        <v>0.16513761467889909</v>
      </c>
      <c r="I86" s="152">
        <f t="shared" si="221"/>
        <v>0.19718309859154928</v>
      </c>
      <c r="J86" s="152">
        <f t="shared" si="221"/>
        <v>0.24215686274509804</v>
      </c>
      <c r="K86" s="152">
        <f t="shared" si="221"/>
        <v>0.24230145867098865</v>
      </c>
      <c r="L86" s="152">
        <f t="shared" si="221"/>
        <v>0.29966329966329969</v>
      </c>
      <c r="M86" s="152">
        <f t="shared" si="221"/>
        <v>0.28443305573350414</v>
      </c>
      <c r="N86" s="152">
        <f t="shared" si="221"/>
        <v>0.3272425249169435</v>
      </c>
      <c r="O86" s="152">
        <f t="shared" si="221"/>
        <v>0.28928046989721001</v>
      </c>
      <c r="P86" s="152">
        <f t="shared" ref="P86" si="222">P40/P7</f>
        <v>0.32020117351215421</v>
      </c>
      <c r="Q86" s="118">
        <f t="shared" si="216"/>
        <v>0.10147998284533943</v>
      </c>
      <c r="R86" s="20"/>
      <c r="S86" s="152">
        <f t="shared" ref="S86" si="223">S40/S7</f>
        <v>0.32020117351215421</v>
      </c>
      <c r="T86" s="152">
        <f t="shared" ref="T86:AB86" si="224">T40/T7</f>
        <v>0.32020117351215427</v>
      </c>
      <c r="U86" s="152">
        <f t="shared" si="224"/>
        <v>0.32020117351215427</v>
      </c>
      <c r="V86" s="152">
        <f t="shared" si="224"/>
        <v>0.32020117351215421</v>
      </c>
      <c r="W86" s="152">
        <f t="shared" si="224"/>
        <v>0.32020117351215421</v>
      </c>
      <c r="X86" s="152">
        <f t="shared" si="224"/>
        <v>0.32020117351215427</v>
      </c>
      <c r="Y86" s="152">
        <f t="shared" si="224"/>
        <v>0.32020117351215427</v>
      </c>
      <c r="Z86" s="152">
        <f t="shared" si="224"/>
        <v>0.32020117351215427</v>
      </c>
      <c r="AA86" s="152">
        <f t="shared" si="224"/>
        <v>0.32020117351215427</v>
      </c>
      <c r="AB86" s="152">
        <f t="shared" si="224"/>
        <v>0.32020117351215427</v>
      </c>
      <c r="AC86" s="138">
        <f t="shared" si="218"/>
        <v>4.6848070620340687E-2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25">(E40)/(E7+E10)</f>
        <v>#DIV/0!</v>
      </c>
      <c r="F87" s="152" t="e">
        <f t="shared" si="225"/>
        <v>#DIV/0!</v>
      </c>
      <c r="G87" s="152">
        <f>(G40)/(G7+G10)</f>
        <v>0.1245186136071887</v>
      </c>
      <c r="H87" s="152">
        <f t="shared" ref="H87:O87" si="226">(H40)/(H7+H10)</f>
        <v>0.15107913669064749</v>
      </c>
      <c r="I87" s="152">
        <f t="shared" si="226"/>
        <v>0.1875</v>
      </c>
      <c r="J87" s="152">
        <f t="shared" si="226"/>
        <v>0.23412322274881517</v>
      </c>
      <c r="K87" s="152">
        <f t="shared" si="226"/>
        <v>0.23580441640378549</v>
      </c>
      <c r="L87" s="152">
        <f t="shared" si="226"/>
        <v>0.29411764705882354</v>
      </c>
      <c r="M87" s="152">
        <f t="shared" si="226"/>
        <v>0.28280254777070063</v>
      </c>
      <c r="N87" s="152">
        <f t="shared" si="226"/>
        <v>0.32401315789473684</v>
      </c>
      <c r="O87" s="152">
        <f t="shared" si="226"/>
        <v>0.28928046989721001</v>
      </c>
      <c r="P87" s="152">
        <f t="shared" ref="P87" si="227">(P40)/(P7+P10)</f>
        <v>0.32019983151788967</v>
      </c>
      <c r="Q87" s="118">
        <f t="shared" si="216"/>
        <v>0.11064767961720579</v>
      </c>
      <c r="R87" s="20"/>
      <c r="S87" s="152">
        <f t="shared" ref="S87:AB87" si="228">(S40)/(S7+S10)</f>
        <v>0.32019983151788967</v>
      </c>
      <c r="T87" s="152">
        <f t="shared" si="228"/>
        <v>0.32019983151788972</v>
      </c>
      <c r="U87" s="152">
        <f t="shared" si="228"/>
        <v>0.32019983151788972</v>
      </c>
      <c r="V87" s="152">
        <f t="shared" si="228"/>
        <v>0.32019983151788967</v>
      </c>
      <c r="W87" s="152">
        <f t="shared" si="228"/>
        <v>0.32019983151788972</v>
      </c>
      <c r="X87" s="152">
        <f t="shared" si="228"/>
        <v>0.32019983151788972</v>
      </c>
      <c r="Y87" s="152">
        <f t="shared" si="228"/>
        <v>0.32019983151788972</v>
      </c>
      <c r="Z87" s="152">
        <f t="shared" si="228"/>
        <v>0.32019983151788972</v>
      </c>
      <c r="AA87" s="152">
        <f t="shared" si="228"/>
        <v>0.32019983151788972</v>
      </c>
      <c r="AB87" s="152">
        <f t="shared" si="228"/>
        <v>0.32019983151788972</v>
      </c>
      <c r="AC87" s="138">
        <f t="shared" si="218"/>
        <v>5.0966275431810759E-2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0</v>
      </c>
      <c r="H88" s="152">
        <f t="shared" ref="H88:P88" si="229">H20/H25</f>
        <v>0</v>
      </c>
      <c r="I88" s="152">
        <f t="shared" si="229"/>
        <v>0</v>
      </c>
      <c r="J88" s="152">
        <f t="shared" si="229"/>
        <v>0</v>
      </c>
      <c r="K88" s="152">
        <f t="shared" si="229"/>
        <v>0</v>
      </c>
      <c r="L88" s="152">
        <f t="shared" si="229"/>
        <v>0</v>
      </c>
      <c r="M88" s="152">
        <f t="shared" si="229"/>
        <v>0</v>
      </c>
      <c r="N88" s="152">
        <f t="shared" si="229"/>
        <v>0</v>
      </c>
      <c r="O88" s="152">
        <f t="shared" si="229"/>
        <v>0</v>
      </c>
      <c r="P88" s="152">
        <f t="shared" si="229"/>
        <v>0</v>
      </c>
      <c r="Q88" s="118" t="e">
        <f t="shared" si="216"/>
        <v>#DIV/0!</v>
      </c>
      <c r="R88" s="20"/>
      <c r="S88" s="152">
        <f t="shared" ref="S88:AB88" si="230">S20/S25</f>
        <v>0</v>
      </c>
      <c r="T88" s="152">
        <f t="shared" si="230"/>
        <v>0</v>
      </c>
      <c r="U88" s="152">
        <f t="shared" si="230"/>
        <v>0</v>
      </c>
      <c r="V88" s="152">
        <f t="shared" si="230"/>
        <v>0</v>
      </c>
      <c r="W88" s="152">
        <f t="shared" si="230"/>
        <v>0</v>
      </c>
      <c r="X88" s="152">
        <f t="shared" si="230"/>
        <v>0</v>
      </c>
      <c r="Y88" s="152">
        <f t="shared" si="230"/>
        <v>0</v>
      </c>
      <c r="Z88" s="152">
        <f t="shared" si="230"/>
        <v>0</v>
      </c>
      <c r="AA88" s="152">
        <f t="shared" si="230"/>
        <v>0</v>
      </c>
      <c r="AB88" s="152">
        <f t="shared" si="230"/>
        <v>0</v>
      </c>
      <c r="AC88" s="138" t="e">
        <f t="shared" si="218"/>
        <v>#DIV/0!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4.0420371867421184E-3</v>
      </c>
      <c r="H90" s="152">
        <f t="shared" ref="H90:P90" si="231">H29/H25</f>
        <v>2.5445292620865142E-3</v>
      </c>
      <c r="I90" s="152">
        <f t="shared" si="231"/>
        <v>2.6997840172786176E-3</v>
      </c>
      <c r="J90" s="152">
        <f t="shared" si="231"/>
        <v>2.6595744680851063E-3</v>
      </c>
      <c r="K90" s="152">
        <f t="shared" si="231"/>
        <v>8.9541547277936968E-4</v>
      </c>
      <c r="L90" s="152">
        <f t="shared" si="231"/>
        <v>9.1079560675060272E-4</v>
      </c>
      <c r="M90" s="152">
        <f t="shared" si="231"/>
        <v>6.7888662593346908E-4</v>
      </c>
      <c r="N90" s="152">
        <f t="shared" si="231"/>
        <v>4.7996160307175426E-4</v>
      </c>
      <c r="O90" s="152">
        <f t="shared" si="231"/>
        <v>1.2425218591808561E-3</v>
      </c>
      <c r="P90" s="152">
        <f t="shared" si="231"/>
        <v>1.0294420424130121E-3</v>
      </c>
      <c r="Q90" s="118">
        <f t="shared" si="216"/>
        <v>-0.14098612770345631</v>
      </c>
      <c r="R90" s="20"/>
      <c r="S90" s="152">
        <f t="shared" ref="S90:AB90" si="232">S29/S25</f>
        <v>1.0294420424130121E-3</v>
      </c>
      <c r="T90" s="152">
        <f t="shared" si="232"/>
        <v>1.0294420424130121E-3</v>
      </c>
      <c r="U90" s="152">
        <f t="shared" si="232"/>
        <v>1.0294420424130121E-3</v>
      </c>
      <c r="V90" s="152">
        <f t="shared" si="232"/>
        <v>1.0294420424130121E-3</v>
      </c>
      <c r="W90" s="152">
        <f t="shared" si="232"/>
        <v>1.0294420424130121E-3</v>
      </c>
      <c r="X90" s="152">
        <f t="shared" si="232"/>
        <v>1.0294420424130123E-3</v>
      </c>
      <c r="Y90" s="152">
        <f t="shared" si="232"/>
        <v>1.0294420424130123E-3</v>
      </c>
      <c r="Z90" s="152">
        <f t="shared" si="232"/>
        <v>1.0294420424130123E-3</v>
      </c>
      <c r="AA90" s="152">
        <f t="shared" si="232"/>
        <v>1.0294420424130121E-3</v>
      </c>
      <c r="AB90" s="152">
        <f t="shared" si="232"/>
        <v>1.0294420424130123E-3</v>
      </c>
      <c r="AC90" s="138">
        <f t="shared" si="218"/>
        <v>-6.945597234389389E-2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3.937007874015748E-2</v>
      </c>
      <c r="H91" s="152">
        <f t="shared" ref="H91:P91" si="233">H29/H36</f>
        <v>1.9512195121951219E-2</v>
      </c>
      <c r="I91" s="152">
        <f t="shared" si="233"/>
        <v>1.8382352941176471E-2</v>
      </c>
      <c r="J91" s="152">
        <f t="shared" si="233"/>
        <v>1.6528925619834711E-2</v>
      </c>
      <c r="K91" s="152">
        <f t="shared" si="233"/>
        <v>6.2972292191435771E-3</v>
      </c>
      <c r="L91" s="152">
        <f t="shared" si="233"/>
        <v>6.1371841155234653E-3</v>
      </c>
      <c r="M91" s="152">
        <f t="shared" si="233"/>
        <v>3.7453183520599251E-3</v>
      </c>
      <c r="N91" s="152">
        <f t="shared" si="233"/>
        <v>2.7548209366391185E-3</v>
      </c>
      <c r="O91" s="152">
        <f t="shared" si="233"/>
        <v>7.7474892395982785E-3</v>
      </c>
      <c r="P91" s="152">
        <f t="shared" si="233"/>
        <v>5.9952038369304557E-3</v>
      </c>
      <c r="Q91" s="118">
        <f t="shared" ref="Q91" si="234">((P91/G91)^(1/($H$2-$H$1) ))-1</f>
        <v>-0.18869908951086123</v>
      </c>
      <c r="R91" s="20"/>
      <c r="S91" s="152">
        <f t="shared" ref="S91:AB91" si="235">S29/S36</f>
        <v>5.9952038369304557E-3</v>
      </c>
      <c r="T91" s="152">
        <f t="shared" si="235"/>
        <v>5.9952038369304557E-3</v>
      </c>
      <c r="U91" s="152">
        <f t="shared" si="235"/>
        <v>5.9952038369304557E-3</v>
      </c>
      <c r="V91" s="152">
        <f t="shared" si="235"/>
        <v>5.9952038369304557E-3</v>
      </c>
      <c r="W91" s="152">
        <f t="shared" si="235"/>
        <v>5.9952038369304557E-3</v>
      </c>
      <c r="X91" s="152">
        <f t="shared" si="235"/>
        <v>5.9952038369304565E-3</v>
      </c>
      <c r="Y91" s="152">
        <f t="shared" si="235"/>
        <v>5.9952038369304565E-3</v>
      </c>
      <c r="Z91" s="152">
        <f t="shared" si="235"/>
        <v>5.9952038369304574E-3</v>
      </c>
      <c r="AA91" s="152">
        <f t="shared" si="235"/>
        <v>5.9952038369304574E-3</v>
      </c>
      <c r="AB91" s="152">
        <f t="shared" si="235"/>
        <v>5.9952038369304574E-3</v>
      </c>
      <c r="AC91" s="138">
        <f t="shared" ref="AC91" si="236">((AB91/G91)^(1/($AB$3-$H$1) ))-1</f>
        <v>-9.4307169181870321E-2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37">G29/G40</f>
        <v>5.1546391752577317E-2</v>
      </c>
      <c r="H92" s="171">
        <f t="shared" si="237"/>
        <v>3.1746031746031744E-2</v>
      </c>
      <c r="I92" s="171">
        <f t="shared" si="237"/>
        <v>2.976190476190476E-2</v>
      </c>
      <c r="J92" s="171">
        <f t="shared" si="237"/>
        <v>2.4291497975708502E-2</v>
      </c>
      <c r="K92" s="171">
        <f t="shared" si="237"/>
        <v>8.3612040133779261E-3</v>
      </c>
      <c r="L92" s="171">
        <f t="shared" si="237"/>
        <v>7.6404494382022467E-3</v>
      </c>
      <c r="M92" s="171">
        <f t="shared" si="237"/>
        <v>4.5045045045045045E-3</v>
      </c>
      <c r="N92" s="171">
        <f t="shared" si="237"/>
        <v>3.3840947546531302E-3</v>
      </c>
      <c r="O92" s="171">
        <f t="shared" si="237"/>
        <v>9.1370558375634525E-3</v>
      </c>
      <c r="P92" s="171">
        <f t="shared" si="237"/>
        <v>6.5445026178010471E-3</v>
      </c>
      <c r="Q92" s="118">
        <f t="shared" ref="Q92" si="238">((P92/G92)^(1/($H$2-$H$1) ))-1</f>
        <v>-0.20492388232424197</v>
      </c>
      <c r="R92" s="20"/>
      <c r="S92" s="171">
        <f t="shared" ref="S92:AB92" si="239">S29/S40</f>
        <v>6.5445026178010471E-3</v>
      </c>
      <c r="T92" s="171">
        <f t="shared" si="239"/>
        <v>6.5445026178010471E-3</v>
      </c>
      <c r="U92" s="171">
        <f t="shared" si="239"/>
        <v>6.5445026178010471E-3</v>
      </c>
      <c r="V92" s="171">
        <f t="shared" si="239"/>
        <v>6.544502617801048E-3</v>
      </c>
      <c r="W92" s="171">
        <f t="shared" si="239"/>
        <v>6.544502617801048E-3</v>
      </c>
      <c r="X92" s="171">
        <f t="shared" si="239"/>
        <v>6.544502617801048E-3</v>
      </c>
      <c r="Y92" s="171">
        <f t="shared" si="239"/>
        <v>6.544502617801048E-3</v>
      </c>
      <c r="Z92" s="171">
        <f t="shared" si="239"/>
        <v>6.5445026178010488E-3</v>
      </c>
      <c r="AA92" s="171">
        <f t="shared" si="239"/>
        <v>6.5445026178010471E-3</v>
      </c>
      <c r="AB92" s="171">
        <f t="shared" si="239"/>
        <v>6.544502617801048E-3</v>
      </c>
      <c r="AC92" s="138">
        <f t="shared" ref="AC92" si="240">((AB92/G92)^(1/($AB$3-$H$1) ))-1</f>
        <v>-0.10293238674347904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41">G29/G12</f>
        <v>0.26315789473684209</v>
      </c>
      <c r="H93" s="171">
        <f t="shared" si="241"/>
        <v>0.4</v>
      </c>
      <c r="I93" s="171">
        <f t="shared" si="241"/>
        <v>0.38461538461538464</v>
      </c>
      <c r="J93" s="171">
        <f t="shared" si="241"/>
        <v>0.10909090909090909</v>
      </c>
      <c r="K93" s="171">
        <f t="shared" si="241"/>
        <v>0.10416666666666667</v>
      </c>
      <c r="L93" s="171">
        <f t="shared" si="241"/>
        <v>7.2340425531914887E-2</v>
      </c>
      <c r="M93" s="171">
        <f t="shared" si="241"/>
        <v>3.5714285714285712E-2</v>
      </c>
      <c r="N93" s="171">
        <f t="shared" si="241"/>
        <v>1.9230769230769232E-2</v>
      </c>
      <c r="O93" s="171">
        <f t="shared" si="241"/>
        <v>2.4215246636771302E-2</v>
      </c>
      <c r="P93" s="171">
        <f t="shared" si="241"/>
        <v>1.4124293785310734E-2</v>
      </c>
      <c r="Q93" s="118">
        <f t="shared" si="216"/>
        <v>-0.27746124109073078</v>
      </c>
      <c r="R93" s="20"/>
      <c r="S93" s="152">
        <f t="shared" ref="S93:AB93" si="242">S29/S12</f>
        <v>1.4124293785310733E-2</v>
      </c>
      <c r="T93" s="152">
        <f t="shared" si="242"/>
        <v>1.4124293785310733E-2</v>
      </c>
      <c r="U93" s="152">
        <f t="shared" si="242"/>
        <v>1.4124293785310733E-2</v>
      </c>
      <c r="V93" s="152">
        <f t="shared" si="242"/>
        <v>1.4124293785310733E-2</v>
      </c>
      <c r="W93" s="152">
        <f t="shared" si="242"/>
        <v>1.4124293785310731E-2</v>
      </c>
      <c r="X93" s="152">
        <f t="shared" si="242"/>
        <v>1.4124293785310733E-2</v>
      </c>
      <c r="Y93" s="152">
        <f t="shared" si="242"/>
        <v>1.4124293785310733E-2</v>
      </c>
      <c r="Z93" s="152">
        <f t="shared" si="242"/>
        <v>1.4124293785310733E-2</v>
      </c>
      <c r="AA93" s="152">
        <f t="shared" si="242"/>
        <v>1.4124293785310731E-2</v>
      </c>
      <c r="AB93" s="152">
        <f t="shared" si="242"/>
        <v>1.4124293785310733E-2</v>
      </c>
      <c r="AC93" s="138">
        <f t="shared" si="218"/>
        <v>-0.14267644790003675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 t="e">
        <f>G29/G23</f>
        <v>#DIV/0!</v>
      </c>
      <c r="H94" s="171" t="e">
        <f t="shared" ref="H94:P94" si="243">H29/H23</f>
        <v>#DIV/0!</v>
      </c>
      <c r="I94" s="171" t="e">
        <f t="shared" si="243"/>
        <v>#DIV/0!</v>
      </c>
      <c r="J94" s="171" t="e">
        <f t="shared" si="243"/>
        <v>#DIV/0!</v>
      </c>
      <c r="K94" s="171" t="e">
        <f t="shared" si="243"/>
        <v>#DIV/0!</v>
      </c>
      <c r="L94" s="171" t="e">
        <f t="shared" si="243"/>
        <v>#DIV/0!</v>
      </c>
      <c r="M94" s="171" t="e">
        <f t="shared" si="243"/>
        <v>#DIV/0!</v>
      </c>
      <c r="N94" s="171" t="e">
        <f t="shared" si="243"/>
        <v>#DIV/0!</v>
      </c>
      <c r="O94" s="171" t="e">
        <f t="shared" si="243"/>
        <v>#DIV/0!</v>
      </c>
      <c r="P94" s="171" t="e">
        <f t="shared" si="243"/>
        <v>#DIV/0!</v>
      </c>
      <c r="Q94" s="118" t="e">
        <f t="shared" ref="Q94" si="244">((P94/G94)^(1/($H$2-$H$1) ))-1</f>
        <v>#DIV/0!</v>
      </c>
      <c r="R94" s="20"/>
      <c r="S94" s="171" t="e">
        <f t="shared" ref="S94:AB94" si="245">S29/S23</f>
        <v>#DIV/0!</v>
      </c>
      <c r="T94" s="171" t="e">
        <f t="shared" si="245"/>
        <v>#DIV/0!</v>
      </c>
      <c r="U94" s="171" t="e">
        <f t="shared" si="245"/>
        <v>#DIV/0!</v>
      </c>
      <c r="V94" s="171" t="e">
        <f t="shared" si="245"/>
        <v>#DIV/0!</v>
      </c>
      <c r="W94" s="171" t="e">
        <f t="shared" si="245"/>
        <v>#DIV/0!</v>
      </c>
      <c r="X94" s="171" t="e">
        <f t="shared" si="245"/>
        <v>#DIV/0!</v>
      </c>
      <c r="Y94" s="171" t="e">
        <f t="shared" si="245"/>
        <v>#DIV/0!</v>
      </c>
      <c r="Z94" s="171" t="e">
        <f t="shared" si="245"/>
        <v>#DIV/0!</v>
      </c>
      <c r="AA94" s="171" t="e">
        <f t="shared" si="245"/>
        <v>#DIV/0!</v>
      </c>
      <c r="AB94" s="171" t="e">
        <f t="shared" si="245"/>
        <v>#DIV/0!</v>
      </c>
      <c r="AC94" s="138" t="e">
        <f t="shared" ref="AC94" si="246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>
        <f>1/G90</f>
        <v>247.39999999999998</v>
      </c>
      <c r="H96" s="127">
        <f t="shared" ref="H96:P96" si="247">1/H90</f>
        <v>392.99999999999994</v>
      </c>
      <c r="I96" s="127">
        <f t="shared" si="247"/>
        <v>370.40000000000003</v>
      </c>
      <c r="J96" s="127">
        <f t="shared" si="247"/>
        <v>376</v>
      </c>
      <c r="K96" s="127">
        <f t="shared" si="247"/>
        <v>1116.8</v>
      </c>
      <c r="L96" s="127">
        <f t="shared" si="247"/>
        <v>1097.9411764705883</v>
      </c>
      <c r="M96" s="127">
        <f t="shared" si="247"/>
        <v>1473</v>
      </c>
      <c r="N96" s="127">
        <f t="shared" si="247"/>
        <v>2083.5</v>
      </c>
      <c r="O96" s="127">
        <f t="shared" si="247"/>
        <v>804.81481481481467</v>
      </c>
      <c r="P96" s="127">
        <f t="shared" si="247"/>
        <v>971.40000000000009</v>
      </c>
      <c r="Q96" s="118">
        <f t="shared" si="216"/>
        <v>0.16412555402223572</v>
      </c>
      <c r="R96" s="20"/>
      <c r="S96" s="127">
        <f t="shared" ref="S96:AB96" si="248">1/S90</f>
        <v>971.40000000000009</v>
      </c>
      <c r="T96" s="127">
        <f t="shared" si="248"/>
        <v>971.40000000000009</v>
      </c>
      <c r="U96" s="127">
        <f t="shared" si="248"/>
        <v>971.40000000000009</v>
      </c>
      <c r="V96" s="127">
        <f t="shared" si="248"/>
        <v>971.40000000000009</v>
      </c>
      <c r="W96" s="127">
        <f t="shared" si="248"/>
        <v>971.40000000000009</v>
      </c>
      <c r="X96" s="127">
        <f t="shared" si="248"/>
        <v>971.39999999999986</v>
      </c>
      <c r="Y96" s="127">
        <f t="shared" si="248"/>
        <v>971.39999999999986</v>
      </c>
      <c r="Z96" s="127">
        <f t="shared" si="248"/>
        <v>971.39999999999986</v>
      </c>
      <c r="AA96" s="127">
        <f t="shared" si="248"/>
        <v>971.40000000000009</v>
      </c>
      <c r="AB96" s="127">
        <f t="shared" si="248"/>
        <v>971.39999999999986</v>
      </c>
      <c r="AC96" s="138">
        <f t="shared" si="218"/>
        <v>7.4640178518841971E-2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>
        <f t="shared" ref="G97:P100" si="249">1/G91</f>
        <v>25.4</v>
      </c>
      <c r="H97" s="127">
        <f t="shared" si="249"/>
        <v>51.25</v>
      </c>
      <c r="I97" s="127">
        <f t="shared" si="249"/>
        <v>54.4</v>
      </c>
      <c r="J97" s="127">
        <f t="shared" si="249"/>
        <v>60.5</v>
      </c>
      <c r="K97" s="127">
        <f t="shared" si="249"/>
        <v>158.79999999999998</v>
      </c>
      <c r="L97" s="127">
        <f t="shared" si="249"/>
        <v>162.94117647058823</v>
      </c>
      <c r="M97" s="127">
        <f t="shared" si="249"/>
        <v>267</v>
      </c>
      <c r="N97" s="127">
        <f t="shared" si="249"/>
        <v>363</v>
      </c>
      <c r="O97" s="127">
        <f t="shared" si="249"/>
        <v>129.07407407407408</v>
      </c>
      <c r="P97" s="127">
        <f t="shared" si="249"/>
        <v>166.8</v>
      </c>
      <c r="Q97" s="118">
        <f t="shared" si="216"/>
        <v>0.23258828761463279</v>
      </c>
      <c r="R97" s="20"/>
      <c r="S97" s="127">
        <f t="shared" ref="S97:AB97" si="250">1/S91</f>
        <v>166.8</v>
      </c>
      <c r="T97" s="127">
        <f t="shared" si="250"/>
        <v>166.8</v>
      </c>
      <c r="U97" s="127">
        <f t="shared" si="250"/>
        <v>166.8</v>
      </c>
      <c r="V97" s="127">
        <f t="shared" si="250"/>
        <v>166.8</v>
      </c>
      <c r="W97" s="127">
        <f t="shared" si="250"/>
        <v>166.8</v>
      </c>
      <c r="X97" s="127">
        <f t="shared" si="250"/>
        <v>166.79999999999998</v>
      </c>
      <c r="Y97" s="127">
        <f t="shared" si="250"/>
        <v>166.79999999999998</v>
      </c>
      <c r="Z97" s="127">
        <f t="shared" si="250"/>
        <v>166.79999999999995</v>
      </c>
      <c r="AA97" s="127">
        <f t="shared" si="250"/>
        <v>166.79999999999995</v>
      </c>
      <c r="AB97" s="127">
        <f t="shared" si="250"/>
        <v>166.79999999999995</v>
      </c>
      <c r="AC97" s="138">
        <f t="shared" si="218"/>
        <v>0.10412710134481351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>
        <f t="shared" si="249"/>
        <v>19.400000000000002</v>
      </c>
      <c r="H98" s="127">
        <f t="shared" si="249"/>
        <v>31.5</v>
      </c>
      <c r="I98" s="127">
        <f t="shared" si="249"/>
        <v>33.6</v>
      </c>
      <c r="J98" s="127">
        <f t="shared" si="249"/>
        <v>41.166666666666664</v>
      </c>
      <c r="K98" s="127">
        <f t="shared" si="249"/>
        <v>119.60000000000001</v>
      </c>
      <c r="L98" s="127">
        <f t="shared" si="249"/>
        <v>130.88235294117649</v>
      </c>
      <c r="M98" s="127">
        <f t="shared" si="249"/>
        <v>222</v>
      </c>
      <c r="N98" s="127">
        <f t="shared" si="249"/>
        <v>295.5</v>
      </c>
      <c r="O98" s="127">
        <f t="shared" si="249"/>
        <v>109.44444444444444</v>
      </c>
      <c r="P98" s="127">
        <f t="shared" si="249"/>
        <v>152.80000000000001</v>
      </c>
      <c r="Q98" s="118">
        <f t="shared" si="216"/>
        <v>0.25774121215374324</v>
      </c>
      <c r="R98" s="20"/>
      <c r="S98" s="127">
        <f t="shared" ref="S98:AB98" si="251">1/S92</f>
        <v>152.80000000000001</v>
      </c>
      <c r="T98" s="127">
        <f t="shared" si="251"/>
        <v>152.80000000000001</v>
      </c>
      <c r="U98" s="127">
        <f t="shared" si="251"/>
        <v>152.80000000000001</v>
      </c>
      <c r="V98" s="127">
        <f t="shared" si="251"/>
        <v>152.79999999999998</v>
      </c>
      <c r="W98" s="127">
        <f t="shared" si="251"/>
        <v>152.79999999999998</v>
      </c>
      <c r="X98" s="127">
        <f t="shared" si="251"/>
        <v>152.79999999999998</v>
      </c>
      <c r="Y98" s="127">
        <f t="shared" si="251"/>
        <v>152.79999999999998</v>
      </c>
      <c r="Z98" s="127">
        <f t="shared" si="251"/>
        <v>152.79999999999995</v>
      </c>
      <c r="AA98" s="127">
        <f t="shared" si="251"/>
        <v>152.80000000000001</v>
      </c>
      <c r="AB98" s="127">
        <f t="shared" si="251"/>
        <v>152.79999999999998</v>
      </c>
      <c r="AC98" s="138">
        <f t="shared" si="218"/>
        <v>0.11474317567860415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>
        <f t="shared" si="249"/>
        <v>3.8000000000000003</v>
      </c>
      <c r="H99" s="127">
        <f t="shared" si="249"/>
        <v>2.5</v>
      </c>
      <c r="I99" s="127">
        <f t="shared" si="249"/>
        <v>2.5999999999999996</v>
      </c>
      <c r="J99" s="127">
        <f t="shared" si="249"/>
        <v>9.1666666666666679</v>
      </c>
      <c r="K99" s="127">
        <f t="shared" si="249"/>
        <v>9.6</v>
      </c>
      <c r="L99" s="127">
        <f t="shared" si="249"/>
        <v>13.823529411764707</v>
      </c>
      <c r="M99" s="127">
        <f t="shared" si="249"/>
        <v>28</v>
      </c>
      <c r="N99" s="127">
        <f t="shared" si="249"/>
        <v>52</v>
      </c>
      <c r="O99" s="127">
        <f t="shared" si="249"/>
        <v>41.296296296296298</v>
      </c>
      <c r="P99" s="127">
        <f t="shared" si="249"/>
        <v>70.8</v>
      </c>
      <c r="Q99" s="118">
        <f t="shared" si="216"/>
        <v>0.38400879907062846</v>
      </c>
      <c r="R99" s="20"/>
      <c r="S99" s="127">
        <f t="shared" ref="S99:AB99" si="252">1/S93</f>
        <v>70.800000000000011</v>
      </c>
      <c r="T99" s="127">
        <f t="shared" si="252"/>
        <v>70.800000000000011</v>
      </c>
      <c r="U99" s="127">
        <f t="shared" si="252"/>
        <v>70.800000000000011</v>
      </c>
      <c r="V99" s="127">
        <f t="shared" si="252"/>
        <v>70.800000000000011</v>
      </c>
      <c r="W99" s="127">
        <f t="shared" si="252"/>
        <v>70.800000000000011</v>
      </c>
      <c r="X99" s="127">
        <f t="shared" si="252"/>
        <v>70.800000000000011</v>
      </c>
      <c r="Y99" s="127">
        <f t="shared" si="252"/>
        <v>70.800000000000011</v>
      </c>
      <c r="Z99" s="127">
        <f t="shared" si="252"/>
        <v>70.800000000000011</v>
      </c>
      <c r="AA99" s="127">
        <f t="shared" si="252"/>
        <v>70.800000000000011</v>
      </c>
      <c r="AB99" s="127">
        <f t="shared" si="252"/>
        <v>70.800000000000011</v>
      </c>
      <c r="AC99" s="138">
        <f t="shared" si="218"/>
        <v>0.16642077258995069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 t="e">
        <f t="shared" si="249"/>
        <v>#DIV/0!</v>
      </c>
      <c r="H100" s="127" t="e">
        <f t="shared" si="249"/>
        <v>#DIV/0!</v>
      </c>
      <c r="I100" s="127" t="e">
        <f t="shared" si="249"/>
        <v>#DIV/0!</v>
      </c>
      <c r="J100" s="127" t="e">
        <f t="shared" si="249"/>
        <v>#DIV/0!</v>
      </c>
      <c r="K100" s="127" t="e">
        <f t="shared" si="249"/>
        <v>#DIV/0!</v>
      </c>
      <c r="L100" s="127" t="e">
        <f t="shared" si="249"/>
        <v>#DIV/0!</v>
      </c>
      <c r="M100" s="127" t="e">
        <f t="shared" si="249"/>
        <v>#DIV/0!</v>
      </c>
      <c r="N100" s="127" t="e">
        <f t="shared" si="249"/>
        <v>#DIV/0!</v>
      </c>
      <c r="O100" s="127" t="e">
        <f t="shared" si="249"/>
        <v>#DIV/0!</v>
      </c>
      <c r="P100" s="127" t="e">
        <f t="shared" si="249"/>
        <v>#DIV/0!</v>
      </c>
      <c r="Q100" s="118" t="e">
        <f t="shared" si="216"/>
        <v>#DIV/0!</v>
      </c>
      <c r="R100" s="20"/>
      <c r="S100" s="127" t="e">
        <f t="shared" ref="S100:AB100" si="253">1/S94</f>
        <v>#DIV/0!</v>
      </c>
      <c r="T100" s="127" t="e">
        <f t="shared" si="253"/>
        <v>#DIV/0!</v>
      </c>
      <c r="U100" s="127" t="e">
        <f t="shared" si="253"/>
        <v>#DIV/0!</v>
      </c>
      <c r="V100" s="127" t="e">
        <f t="shared" si="253"/>
        <v>#DIV/0!</v>
      </c>
      <c r="W100" s="127" t="e">
        <f t="shared" si="253"/>
        <v>#DIV/0!</v>
      </c>
      <c r="X100" s="127" t="e">
        <f t="shared" si="253"/>
        <v>#DIV/0!</v>
      </c>
      <c r="Y100" s="127" t="e">
        <f t="shared" si="253"/>
        <v>#DIV/0!</v>
      </c>
      <c r="Z100" s="127" t="e">
        <f t="shared" si="253"/>
        <v>#DIV/0!</v>
      </c>
      <c r="AA100" s="127" t="e">
        <f t="shared" si="253"/>
        <v>#DIV/0!</v>
      </c>
      <c r="AB100" s="127" t="e">
        <f t="shared" si="253"/>
        <v>#DIV/0!</v>
      </c>
      <c r="AC100" s="138" t="e">
        <f t="shared" si="218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54">F10-(F12+F13)</f>
        <v>0</v>
      </c>
      <c r="G103" s="163">
        <f t="shared" si="254"/>
        <v>-299</v>
      </c>
      <c r="H103" s="163">
        <f t="shared" si="254"/>
        <v>-169</v>
      </c>
      <c r="I103" s="163">
        <f t="shared" si="254"/>
        <v>-241</v>
      </c>
      <c r="J103" s="163">
        <f t="shared" si="254"/>
        <v>-339</v>
      </c>
      <c r="K103" s="163">
        <f t="shared" si="254"/>
        <v>-476</v>
      </c>
      <c r="L103" s="163">
        <f t="shared" si="254"/>
        <v>-460</v>
      </c>
      <c r="M103" s="163">
        <f t="shared" si="254"/>
        <v>-780</v>
      </c>
      <c r="N103" s="163">
        <f t="shared" si="254"/>
        <v>-811</v>
      </c>
      <c r="O103" s="163">
        <f t="shared" si="254"/>
        <v>-821</v>
      </c>
      <c r="P103" s="163">
        <f>P10-(P12+P13)</f>
        <v>-980.99</v>
      </c>
      <c r="Q103" s="118">
        <f t="shared" si="216"/>
        <v>0.1411233683591262</v>
      </c>
      <c r="R103" s="20"/>
      <c r="S103" s="163">
        <f>S10-(S12+S13)</f>
        <v>-1059.4692</v>
      </c>
      <c r="T103" s="163">
        <f t="shared" ref="T103:AB103" si="255">T10-(T12+T13)</f>
        <v>-1144.2267360000001</v>
      </c>
      <c r="U103" s="163">
        <f t="shared" si="255"/>
        <v>-1235.7648748800004</v>
      </c>
      <c r="V103" s="163">
        <f t="shared" si="255"/>
        <v>-1334.6260648704006</v>
      </c>
      <c r="W103" s="163">
        <f t="shared" si="255"/>
        <v>-1441.3961500600328</v>
      </c>
      <c r="X103" s="163">
        <f t="shared" si="255"/>
        <v>-1556.7078420648354</v>
      </c>
      <c r="Y103" s="163">
        <f t="shared" si="255"/>
        <v>-1681.2444694300225</v>
      </c>
      <c r="Z103" s="163">
        <f t="shared" si="255"/>
        <v>-1815.7440269844244</v>
      </c>
      <c r="AA103" s="163">
        <f t="shared" si="255"/>
        <v>-1961.0035491431784</v>
      </c>
      <c r="AB103" s="163">
        <f t="shared" si="255"/>
        <v>-2117.883833074633</v>
      </c>
      <c r="AC103" s="138">
        <f t="shared" si="218"/>
        <v>0.10853394701339369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56">G40/G18</f>
        <v>0.45539906103286387</v>
      </c>
      <c r="H104" s="152">
        <f t="shared" si="256"/>
        <v>0.59154929577464788</v>
      </c>
      <c r="I104" s="152">
        <f t="shared" si="256"/>
        <v>0.8704663212435233</v>
      </c>
      <c r="J104" s="152">
        <f t="shared" si="256"/>
        <v>1.1761904761904762</v>
      </c>
      <c r="K104" s="152">
        <f t="shared" si="256"/>
        <v>1.0912408759124088</v>
      </c>
      <c r="L104" s="152">
        <f t="shared" si="256"/>
        <v>1.4126984126984128</v>
      </c>
      <c r="M104" s="152">
        <f t="shared" si="256"/>
        <v>1.510204081632653</v>
      </c>
      <c r="N104" s="152">
        <f t="shared" si="256"/>
        <v>1.6601123595505618</v>
      </c>
      <c r="O104" s="152">
        <f t="shared" si="256"/>
        <v>1.2709677419354839</v>
      </c>
      <c r="P104" s="152">
        <f t="shared" si="256"/>
        <v>1.5496957403651115</v>
      </c>
      <c r="Q104" s="118">
        <f t="shared" si="216"/>
        <v>0.14576334203930164</v>
      </c>
      <c r="R104" s="20"/>
      <c r="S104" s="152">
        <f t="shared" ref="S104:AB104" si="257">S40/S18</f>
        <v>1.5496957403651115</v>
      </c>
      <c r="T104" s="152">
        <f t="shared" si="257"/>
        <v>1.5496957403651113</v>
      </c>
      <c r="U104" s="152">
        <f t="shared" si="257"/>
        <v>1.5496957403651113</v>
      </c>
      <c r="V104" s="152">
        <f t="shared" si="257"/>
        <v>1.549695740365111</v>
      </c>
      <c r="W104" s="152">
        <f t="shared" si="257"/>
        <v>1.549695740365111</v>
      </c>
      <c r="X104" s="152">
        <f t="shared" si="257"/>
        <v>1.549695740365111</v>
      </c>
      <c r="Y104" s="152">
        <f t="shared" si="257"/>
        <v>1.549695740365111</v>
      </c>
      <c r="Z104" s="152">
        <f t="shared" si="257"/>
        <v>1.5496957403651113</v>
      </c>
      <c r="AA104" s="152">
        <f t="shared" si="257"/>
        <v>1.5496957403651115</v>
      </c>
      <c r="AB104" s="152">
        <f t="shared" si="257"/>
        <v>1.5496957403651115</v>
      </c>
      <c r="AC104" s="138">
        <f t="shared" si="218"/>
        <v>6.6577289398955575E-2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58">G40/G25</f>
        <v>7.8415521422797091E-2</v>
      </c>
      <c r="H105" s="152">
        <f t="shared" si="258"/>
        <v>8.0152671755725186E-2</v>
      </c>
      <c r="I105" s="152">
        <f t="shared" si="258"/>
        <v>9.0712742980561561E-2</v>
      </c>
      <c r="J105" s="152">
        <f t="shared" si="258"/>
        <v>0.10948581560283688</v>
      </c>
      <c r="K105" s="152">
        <f t="shared" si="258"/>
        <v>0.1070916905444126</v>
      </c>
      <c r="L105" s="152">
        <f t="shared" si="258"/>
        <v>0.11920707206000536</v>
      </c>
      <c r="M105" s="152">
        <f t="shared" si="258"/>
        <v>0.15071283095723015</v>
      </c>
      <c r="N105" s="152">
        <f t="shared" si="258"/>
        <v>0.14182865370770339</v>
      </c>
      <c r="O105" s="152">
        <f t="shared" si="258"/>
        <v>0.13598711458812701</v>
      </c>
      <c r="P105" s="152">
        <f t="shared" si="258"/>
        <v>0.15729874408070826</v>
      </c>
      <c r="Q105" s="118">
        <f t="shared" si="216"/>
        <v>8.0417148999135657E-2</v>
      </c>
      <c r="R105" s="20"/>
      <c r="S105" s="152">
        <f t="shared" ref="S105:AB105" si="259">S40/S25</f>
        <v>0.15729874408070824</v>
      </c>
      <c r="T105" s="152">
        <f t="shared" si="259"/>
        <v>0.15729874408070826</v>
      </c>
      <c r="U105" s="152">
        <f t="shared" si="259"/>
        <v>0.15729874408070826</v>
      </c>
      <c r="V105" s="152">
        <f t="shared" si="259"/>
        <v>0.15729874408070824</v>
      </c>
      <c r="W105" s="152">
        <f t="shared" si="259"/>
        <v>0.15729874408070824</v>
      </c>
      <c r="X105" s="152">
        <f t="shared" si="259"/>
        <v>0.15729874408070826</v>
      </c>
      <c r="Y105" s="152">
        <f t="shared" si="259"/>
        <v>0.15729874408070824</v>
      </c>
      <c r="Z105" s="152">
        <f t="shared" si="259"/>
        <v>0.15729874408070826</v>
      </c>
      <c r="AA105" s="152">
        <f t="shared" si="259"/>
        <v>0.15729874408070826</v>
      </c>
      <c r="AB105" s="152">
        <f t="shared" si="259"/>
        <v>0.15729874408070824</v>
      </c>
      <c r="AC105" s="138">
        <f t="shared" si="218"/>
        <v>3.7317604498126489E-2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60">G25/G18</f>
        <v>5.807511737089202</v>
      </c>
      <c r="H106" s="152">
        <f t="shared" si="260"/>
        <v>7.380281690140845</v>
      </c>
      <c r="I106" s="152">
        <f t="shared" si="260"/>
        <v>9.5958549222797931</v>
      </c>
      <c r="J106" s="152">
        <f t="shared" si="260"/>
        <v>10.742857142857142</v>
      </c>
      <c r="K106" s="152">
        <f t="shared" si="260"/>
        <v>10.18978102189781</v>
      </c>
      <c r="L106" s="152">
        <f t="shared" si="260"/>
        <v>11.850793650793651</v>
      </c>
      <c r="M106" s="152">
        <f t="shared" si="260"/>
        <v>10.020408163265307</v>
      </c>
      <c r="N106" s="152">
        <f t="shared" si="260"/>
        <v>11.705056179775282</v>
      </c>
      <c r="O106" s="152">
        <f t="shared" si="260"/>
        <v>9.3462365591397845</v>
      </c>
      <c r="P106" s="152">
        <f>P25/P18</f>
        <v>9.8519269776876275</v>
      </c>
      <c r="Q106" s="118">
        <f t="shared" si="216"/>
        <v>6.0482373035915415E-2</v>
      </c>
      <c r="R106" s="20"/>
      <c r="S106" s="152">
        <f>S25/S18</f>
        <v>9.8519269776876257</v>
      </c>
      <c r="T106" s="152">
        <f t="shared" ref="T106:AB106" si="261">T25/T18</f>
        <v>9.8519269776876257</v>
      </c>
      <c r="U106" s="152">
        <f t="shared" si="261"/>
        <v>9.8519269776876239</v>
      </c>
      <c r="V106" s="152">
        <f t="shared" si="261"/>
        <v>9.8519269776876239</v>
      </c>
      <c r="W106" s="152">
        <f t="shared" si="261"/>
        <v>9.8519269776876239</v>
      </c>
      <c r="X106" s="152">
        <f t="shared" si="261"/>
        <v>9.8519269776876239</v>
      </c>
      <c r="Y106" s="152">
        <f t="shared" si="261"/>
        <v>9.8519269776876239</v>
      </c>
      <c r="Z106" s="152">
        <f t="shared" si="261"/>
        <v>9.8519269776876257</v>
      </c>
      <c r="AA106" s="152">
        <f t="shared" si="261"/>
        <v>9.8519269776876257</v>
      </c>
      <c r="AB106" s="152">
        <f t="shared" si="261"/>
        <v>9.8519269776876275</v>
      </c>
      <c r="AC106" s="138">
        <f t="shared" si="218"/>
        <v>2.8207064812117544E-2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62">E68*E42</f>
        <v>0</v>
      </c>
      <c r="F108" s="165">
        <f t="shared" si="262"/>
        <v>0</v>
      </c>
      <c r="G108" s="165">
        <f>G68*G42</f>
        <v>79.2</v>
      </c>
      <c r="H108" s="165">
        <f t="shared" ref="H108:P108" si="263">H68*H42</f>
        <v>79.2</v>
      </c>
      <c r="I108" s="165">
        <f t="shared" si="263"/>
        <v>79.2</v>
      </c>
      <c r="J108" s="165">
        <f t="shared" si="263"/>
        <v>79.2</v>
      </c>
      <c r="K108" s="165">
        <f t="shared" si="263"/>
        <v>79.2</v>
      </c>
      <c r="L108" s="165">
        <f t="shared" si="263"/>
        <v>178.20000000000002</v>
      </c>
      <c r="M108" s="165">
        <f t="shared" si="263"/>
        <v>237.60000000000002</v>
      </c>
      <c r="N108" s="165">
        <f t="shared" si="263"/>
        <v>297</v>
      </c>
      <c r="O108" s="165">
        <f t="shared" si="263"/>
        <v>304.91999999999996</v>
      </c>
      <c r="P108" s="165">
        <f t="shared" si="263"/>
        <v>360.36</v>
      </c>
      <c r="Q108" s="118">
        <f t="shared" si="216"/>
        <v>0.18334771744091327</v>
      </c>
      <c r="R108" s="20"/>
      <c r="S108" s="165">
        <f t="shared" ref="S108:AB108" si="264">S68*S42</f>
        <v>385.94556</v>
      </c>
      <c r="T108" s="165">
        <f t="shared" si="264"/>
        <v>413.34769476000008</v>
      </c>
      <c r="U108" s="165">
        <f t="shared" si="264"/>
        <v>442.69538108796013</v>
      </c>
      <c r="V108" s="165">
        <f t="shared" si="264"/>
        <v>474.12675314520533</v>
      </c>
      <c r="W108" s="165">
        <f t="shared" si="264"/>
        <v>507.78975261851491</v>
      </c>
      <c r="X108" s="165">
        <f t="shared" si="264"/>
        <v>543.84282505442957</v>
      </c>
      <c r="Y108" s="165">
        <f t="shared" si="264"/>
        <v>582.45566563329407</v>
      </c>
      <c r="Z108" s="165">
        <f t="shared" si="264"/>
        <v>623.81001789325796</v>
      </c>
      <c r="AA108" s="165">
        <f t="shared" si="264"/>
        <v>668.10052916367943</v>
      </c>
      <c r="AB108" s="165">
        <f t="shared" si="264"/>
        <v>715.53566673430066</v>
      </c>
      <c r="AC108" s="138">
        <f t="shared" si="218"/>
        <v>0.12282182998603908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65">(G108*0.17)+G108</f>
        <v>92.664000000000001</v>
      </c>
      <c r="H109" s="165">
        <f t="shared" si="265"/>
        <v>92.664000000000001</v>
      </c>
      <c r="I109" s="165">
        <f t="shared" si="265"/>
        <v>92.664000000000001</v>
      </c>
      <c r="J109" s="165">
        <f t="shared" si="265"/>
        <v>92.664000000000001</v>
      </c>
      <c r="K109" s="165">
        <f t="shared" si="265"/>
        <v>92.664000000000001</v>
      </c>
      <c r="L109" s="165">
        <f t="shared" si="265"/>
        <v>208.49400000000003</v>
      </c>
      <c r="M109" s="165">
        <f t="shared" si="265"/>
        <v>277.99200000000002</v>
      </c>
      <c r="N109" s="165">
        <f t="shared" si="265"/>
        <v>347.49</v>
      </c>
      <c r="O109" s="165">
        <f t="shared" si="265"/>
        <v>356.75639999999999</v>
      </c>
      <c r="P109" s="165">
        <f t="shared" si="265"/>
        <v>421.62120000000004</v>
      </c>
      <c r="Q109" s="118">
        <f t="shared" si="216"/>
        <v>0.18334771744091327</v>
      </c>
      <c r="R109" s="20"/>
      <c r="S109" s="165">
        <f t="shared" ref="S109:AB109" si="266">(S108*0.17)+S108</f>
        <v>451.5563052</v>
      </c>
      <c r="T109" s="165">
        <f t="shared" si="266"/>
        <v>483.61680286920011</v>
      </c>
      <c r="U109" s="165">
        <f t="shared" si="266"/>
        <v>517.95359587291341</v>
      </c>
      <c r="V109" s="165">
        <f t="shared" si="266"/>
        <v>554.7283011798902</v>
      </c>
      <c r="W109" s="165">
        <f t="shared" si="266"/>
        <v>594.11401056366242</v>
      </c>
      <c r="X109" s="165">
        <f t="shared" si="266"/>
        <v>636.29610531368257</v>
      </c>
      <c r="Y109" s="165">
        <f t="shared" si="266"/>
        <v>681.47312879095409</v>
      </c>
      <c r="Z109" s="165">
        <f t="shared" si="266"/>
        <v>729.85772093511184</v>
      </c>
      <c r="AA109" s="165">
        <f t="shared" si="266"/>
        <v>781.6776191215049</v>
      </c>
      <c r="AB109" s="165">
        <f t="shared" si="266"/>
        <v>837.17673007913174</v>
      </c>
      <c r="AC109" s="138">
        <f t="shared" si="218"/>
        <v>0.12282182998603908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67">F109/F40</f>
        <v>#DIV/0!</v>
      </c>
      <c r="G110" s="152">
        <f t="shared" si="267"/>
        <v>0.95529896907216494</v>
      </c>
      <c r="H110" s="152">
        <f t="shared" si="267"/>
        <v>0.73542857142857143</v>
      </c>
      <c r="I110" s="152">
        <f t="shared" si="267"/>
        <v>0.5515714285714286</v>
      </c>
      <c r="J110" s="152">
        <f t="shared" si="267"/>
        <v>0.37515789473684213</v>
      </c>
      <c r="K110" s="152">
        <f t="shared" si="267"/>
        <v>0.30991304347826087</v>
      </c>
      <c r="L110" s="152">
        <f t="shared" si="267"/>
        <v>0.46852584269662928</v>
      </c>
      <c r="M110" s="152">
        <f t="shared" si="267"/>
        <v>0.62610810810810813</v>
      </c>
      <c r="N110" s="152">
        <f t="shared" si="267"/>
        <v>0.58796954314720817</v>
      </c>
      <c r="O110" s="152">
        <f t="shared" si="267"/>
        <v>0.60364873096446703</v>
      </c>
      <c r="P110" s="152">
        <f t="shared" si="267"/>
        <v>0.55186020942408387</v>
      </c>
      <c r="Q110" s="118">
        <f t="shared" si="216"/>
        <v>-5.9148490956608901E-2</v>
      </c>
      <c r="R110" s="20"/>
      <c r="S110" s="152">
        <f t="shared" ref="S110:AB110" si="268">S109/S40</f>
        <v>0.54726137434554978</v>
      </c>
      <c r="T110" s="152">
        <f t="shared" si="268"/>
        <v>0.54270086289267028</v>
      </c>
      <c r="U110" s="152">
        <f t="shared" si="268"/>
        <v>0.53817835570189809</v>
      </c>
      <c r="V110" s="152">
        <f t="shared" si="268"/>
        <v>0.53369353607104886</v>
      </c>
      <c r="W110" s="152">
        <f t="shared" si="268"/>
        <v>0.52924608993712341</v>
      </c>
      <c r="X110" s="152">
        <f t="shared" si="268"/>
        <v>0.52483570585431405</v>
      </c>
      <c r="Y110" s="152">
        <f t="shared" si="268"/>
        <v>0.52046207497219477</v>
      </c>
      <c r="Z110" s="152">
        <f t="shared" si="268"/>
        <v>0.51612489101409309</v>
      </c>
      <c r="AA110" s="152">
        <f t="shared" si="268"/>
        <v>0.51182385025564237</v>
      </c>
      <c r="AB110" s="152">
        <f t="shared" si="268"/>
        <v>0.50755865150351198</v>
      </c>
      <c r="AC110" s="138">
        <f t="shared" si="218"/>
        <v>-3.2737000672173999E-2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4.4701030927835061E-2</v>
      </c>
      <c r="H111" s="152">
        <f t="shared" ref="H111:P111" si="269">1-H110</f>
        <v>0.26457142857142857</v>
      </c>
      <c r="I111" s="152">
        <f t="shared" si="269"/>
        <v>0.4484285714285714</v>
      </c>
      <c r="J111" s="152">
        <f t="shared" si="269"/>
        <v>0.62484210526315787</v>
      </c>
      <c r="K111" s="152">
        <f t="shared" si="269"/>
        <v>0.69008695652173913</v>
      </c>
      <c r="L111" s="152">
        <f t="shared" si="269"/>
        <v>0.53147415730337078</v>
      </c>
      <c r="M111" s="152">
        <f t="shared" si="269"/>
        <v>0.37389189189189187</v>
      </c>
      <c r="N111" s="152">
        <f t="shared" si="269"/>
        <v>0.41203045685279183</v>
      </c>
      <c r="O111" s="152">
        <f t="shared" si="269"/>
        <v>0.39635126903553297</v>
      </c>
      <c r="P111" s="152">
        <f t="shared" si="269"/>
        <v>0.44813979057591613</v>
      </c>
      <c r="Q111" s="118">
        <f t="shared" si="216"/>
        <v>0.29191186038621897</v>
      </c>
      <c r="R111" s="20"/>
      <c r="S111" s="152">
        <f t="shared" ref="S111:AB111" si="270">1-S110</f>
        <v>0.45273862565445022</v>
      </c>
      <c r="T111" s="152">
        <f t="shared" si="270"/>
        <v>0.45729913710732972</v>
      </c>
      <c r="U111" s="152">
        <f t="shared" si="270"/>
        <v>0.46182164429810191</v>
      </c>
      <c r="V111" s="152">
        <f t="shared" si="270"/>
        <v>0.46630646392895114</v>
      </c>
      <c r="W111" s="152">
        <f t="shared" si="270"/>
        <v>0.47075391006287659</v>
      </c>
      <c r="X111" s="152">
        <f t="shared" si="270"/>
        <v>0.47516429414568595</v>
      </c>
      <c r="Y111" s="152">
        <f t="shared" si="270"/>
        <v>0.47953792502780523</v>
      </c>
      <c r="Z111" s="152">
        <f t="shared" si="270"/>
        <v>0.48387510898590691</v>
      </c>
      <c r="AA111" s="152">
        <f t="shared" si="270"/>
        <v>0.48817614974435763</v>
      </c>
      <c r="AB111" s="152">
        <f t="shared" si="270"/>
        <v>0.49244134849648802</v>
      </c>
      <c r="AC111" s="138">
        <f t="shared" si="218"/>
        <v>0.13460332302497968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71">H31/H25</f>
        <v>0</v>
      </c>
      <c r="I113" s="152">
        <f t="shared" si="271"/>
        <v>0</v>
      </c>
      <c r="J113" s="152">
        <f t="shared" si="271"/>
        <v>0</v>
      </c>
      <c r="K113" s="152">
        <f t="shared" si="271"/>
        <v>0</v>
      </c>
      <c r="L113" s="152">
        <f t="shared" si="271"/>
        <v>0</v>
      </c>
      <c r="M113" s="152">
        <f t="shared" si="271"/>
        <v>0</v>
      </c>
      <c r="N113" s="152">
        <f t="shared" si="271"/>
        <v>0</v>
      </c>
      <c r="O113" s="152">
        <f t="shared" si="271"/>
        <v>0</v>
      </c>
      <c r="P113" s="152">
        <f t="shared" si="271"/>
        <v>0</v>
      </c>
      <c r="Q113" s="118" t="e">
        <f t="shared" si="216"/>
        <v>#DIV/0!</v>
      </c>
      <c r="R113" s="20"/>
      <c r="S113" s="152">
        <f t="shared" ref="S113:AB113" si="272">S31/S25</f>
        <v>0</v>
      </c>
      <c r="T113" s="152">
        <f t="shared" si="272"/>
        <v>0</v>
      </c>
      <c r="U113" s="152">
        <f t="shared" si="272"/>
        <v>0</v>
      </c>
      <c r="V113" s="152">
        <f t="shared" si="272"/>
        <v>0</v>
      </c>
      <c r="W113" s="152">
        <f t="shared" si="272"/>
        <v>0</v>
      </c>
      <c r="X113" s="152">
        <f t="shared" si="272"/>
        <v>0</v>
      </c>
      <c r="Y113" s="152">
        <f t="shared" si="272"/>
        <v>0</v>
      </c>
      <c r="Z113" s="152">
        <f t="shared" si="272"/>
        <v>0</v>
      </c>
      <c r="AA113" s="152">
        <f t="shared" si="272"/>
        <v>0</v>
      </c>
      <c r="AB113" s="152">
        <f t="shared" si="272"/>
        <v>0</v>
      </c>
      <c r="AC113" s="138" t="e">
        <f t="shared" si="218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73">H32/H25</f>
        <v>0</v>
      </c>
      <c r="I114" s="152">
        <f t="shared" si="273"/>
        <v>0</v>
      </c>
      <c r="J114" s="152">
        <f t="shared" si="273"/>
        <v>0</v>
      </c>
      <c r="K114" s="152">
        <f t="shared" si="273"/>
        <v>0</v>
      </c>
      <c r="L114" s="152">
        <f t="shared" si="273"/>
        <v>0</v>
      </c>
      <c r="M114" s="152">
        <f t="shared" si="273"/>
        <v>0</v>
      </c>
      <c r="N114" s="152">
        <f t="shared" si="273"/>
        <v>0</v>
      </c>
      <c r="O114" s="152">
        <f t="shared" si="273"/>
        <v>0</v>
      </c>
      <c r="P114" s="152">
        <f t="shared" si="273"/>
        <v>0</v>
      </c>
      <c r="Q114" s="118" t="e">
        <f t="shared" si="216"/>
        <v>#DIV/0!</v>
      </c>
      <c r="R114" s="20"/>
      <c r="S114" s="152">
        <f t="shared" ref="S114:AB114" si="274">S32/S25</f>
        <v>0</v>
      </c>
      <c r="T114" s="152">
        <f t="shared" si="274"/>
        <v>0</v>
      </c>
      <c r="U114" s="152">
        <f t="shared" si="274"/>
        <v>0</v>
      </c>
      <c r="V114" s="152">
        <f t="shared" si="274"/>
        <v>0</v>
      </c>
      <c r="W114" s="152">
        <f t="shared" si="274"/>
        <v>0</v>
      </c>
      <c r="X114" s="152">
        <f t="shared" si="274"/>
        <v>0</v>
      </c>
      <c r="Y114" s="152">
        <f t="shared" si="274"/>
        <v>0</v>
      </c>
      <c r="Z114" s="152">
        <f t="shared" si="274"/>
        <v>0</v>
      </c>
      <c r="AA114" s="152">
        <f t="shared" si="274"/>
        <v>0</v>
      </c>
      <c r="AB114" s="152">
        <f t="shared" si="274"/>
        <v>0</v>
      </c>
      <c r="AC114" s="138" t="e">
        <f t="shared" si="21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0.85691188358932902</v>
      </c>
      <c r="H116" s="152">
        <f t="shared" ref="H116:P116" si="275">H27/H25</f>
        <v>0.8492366412213741</v>
      </c>
      <c r="I116" s="152">
        <f t="shared" si="275"/>
        <v>0.83639308855291572</v>
      </c>
      <c r="J116" s="152">
        <f t="shared" si="275"/>
        <v>0.81471631205673756</v>
      </c>
      <c r="K116" s="152">
        <f t="shared" si="275"/>
        <v>0.82808022922636104</v>
      </c>
      <c r="L116" s="152">
        <f t="shared" si="275"/>
        <v>0.82025180819716048</v>
      </c>
      <c r="M116" s="152">
        <f t="shared" si="275"/>
        <v>0.77970128988458931</v>
      </c>
      <c r="N116" s="152">
        <f t="shared" si="275"/>
        <v>0.79889608831293502</v>
      </c>
      <c r="O116" s="152">
        <f t="shared" si="275"/>
        <v>0.80027611596870685</v>
      </c>
      <c r="P116" s="152">
        <f t="shared" si="275"/>
        <v>0.77290508544368952</v>
      </c>
      <c r="Q116" s="118">
        <f t="shared" si="216"/>
        <v>-1.1398850689156026E-2</v>
      </c>
      <c r="R116" s="20"/>
      <c r="S116" s="152">
        <f t="shared" ref="S116:AB116" si="276">S27/S25</f>
        <v>0.77290508544368952</v>
      </c>
      <c r="T116" s="152">
        <f t="shared" si="276"/>
        <v>0.77290508544368952</v>
      </c>
      <c r="U116" s="152">
        <f t="shared" si="276"/>
        <v>0.77290508544368941</v>
      </c>
      <c r="V116" s="152">
        <f t="shared" si="276"/>
        <v>0.77290508544368941</v>
      </c>
      <c r="W116" s="152">
        <f t="shared" si="276"/>
        <v>0.77290508544368952</v>
      </c>
      <c r="X116" s="152">
        <f t="shared" si="276"/>
        <v>0.77290508544368952</v>
      </c>
      <c r="Y116" s="152">
        <f t="shared" si="276"/>
        <v>0.77290508544368952</v>
      </c>
      <c r="Z116" s="152">
        <f t="shared" si="276"/>
        <v>0.77290508544368952</v>
      </c>
      <c r="AA116" s="152">
        <f t="shared" si="276"/>
        <v>0.77290508544368952</v>
      </c>
      <c r="AB116" s="152">
        <f t="shared" si="276"/>
        <v>0.77290508544368941</v>
      </c>
      <c r="AC116" s="138">
        <f t="shared" si="218"/>
        <v>-5.4157469366099553E-3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0.64834276475343577</v>
      </c>
      <c r="H117" s="152">
        <f t="shared" ref="H117:P117" si="277">H33/H25</f>
        <v>0.67239185750636132</v>
      </c>
      <c r="I117" s="152">
        <f t="shared" si="277"/>
        <v>0.65226781857451399</v>
      </c>
      <c r="J117" s="152">
        <f t="shared" si="277"/>
        <v>0.64804964539007093</v>
      </c>
      <c r="K117" s="152">
        <f t="shared" si="277"/>
        <v>0.67084527220630374</v>
      </c>
      <c r="L117" s="152">
        <f t="shared" si="277"/>
        <v>0.66541655504955799</v>
      </c>
      <c r="M117" s="152">
        <f t="shared" si="277"/>
        <v>0.63713509843856075</v>
      </c>
      <c r="N117" s="152">
        <f t="shared" si="277"/>
        <v>0.64530837532997365</v>
      </c>
      <c r="O117" s="152">
        <f t="shared" si="277"/>
        <v>0.63414634146341464</v>
      </c>
      <c r="P117" s="152">
        <f t="shared" si="277"/>
        <v>0.60572369775581636</v>
      </c>
      <c r="Q117" s="118">
        <f t="shared" si="216"/>
        <v>-7.5265963136089686E-3</v>
      </c>
      <c r="R117" s="20"/>
      <c r="S117" s="152">
        <f t="shared" ref="S117:AB117" si="278">S33/S25</f>
        <v>0.60572369775581636</v>
      </c>
      <c r="T117" s="152">
        <f t="shared" si="278"/>
        <v>0.60572369775581636</v>
      </c>
      <c r="U117" s="152">
        <f t="shared" si="278"/>
        <v>0.60572369775581636</v>
      </c>
      <c r="V117" s="152">
        <f t="shared" si="278"/>
        <v>0.60572369775581636</v>
      </c>
      <c r="W117" s="152">
        <f t="shared" si="278"/>
        <v>0.60572369775581636</v>
      </c>
      <c r="X117" s="152">
        <f t="shared" si="278"/>
        <v>0.60572369775581636</v>
      </c>
      <c r="Y117" s="152">
        <f t="shared" si="278"/>
        <v>0.60572369775581625</v>
      </c>
      <c r="Z117" s="152">
        <f t="shared" si="278"/>
        <v>0.60572369775581625</v>
      </c>
      <c r="AA117" s="152">
        <f t="shared" si="278"/>
        <v>0.60572369775581614</v>
      </c>
      <c r="AB117" s="152">
        <f t="shared" si="278"/>
        <v>0.60572369775581614</v>
      </c>
      <c r="AC117" s="138">
        <f t="shared" si="218"/>
        <v>-3.5723185940682578E-3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0.10509296685529507</v>
      </c>
      <c r="H118" s="152">
        <f t="shared" ref="H118:P118" si="279">H34/H25</f>
        <v>7.3155216284987279E-2</v>
      </c>
      <c r="I118" s="152">
        <f t="shared" si="279"/>
        <v>7.505399568034557E-2</v>
      </c>
      <c r="J118" s="152">
        <f t="shared" si="279"/>
        <v>6.8262411347517732E-2</v>
      </c>
      <c r="K118" s="152">
        <f t="shared" si="279"/>
        <v>6.3753581661891115E-2</v>
      </c>
      <c r="L118" s="152">
        <f t="shared" si="279"/>
        <v>6.1612643986070185E-2</v>
      </c>
      <c r="M118" s="152">
        <f t="shared" si="279"/>
        <v>6.6191446028513234E-2</v>
      </c>
      <c r="N118" s="152">
        <f t="shared" si="279"/>
        <v>6.0955123590112792E-2</v>
      </c>
      <c r="O118" s="152">
        <f t="shared" si="279"/>
        <v>6.9949378739070409E-2</v>
      </c>
      <c r="P118" s="152">
        <f t="shared" si="279"/>
        <v>6.9796170475602229E-2</v>
      </c>
      <c r="Q118" s="118">
        <f t="shared" si="216"/>
        <v>-4.4455576212976022E-2</v>
      </c>
      <c r="R118" s="20"/>
      <c r="S118" s="152">
        <f t="shared" ref="S118:AB118" si="280">S34/S25</f>
        <v>6.9796170475602215E-2</v>
      </c>
      <c r="T118" s="152">
        <f t="shared" si="280"/>
        <v>6.9796170475602215E-2</v>
      </c>
      <c r="U118" s="152">
        <f t="shared" si="280"/>
        <v>6.9796170475602229E-2</v>
      </c>
      <c r="V118" s="152">
        <f t="shared" si="280"/>
        <v>6.9796170475602229E-2</v>
      </c>
      <c r="W118" s="152">
        <f t="shared" si="280"/>
        <v>6.9796170475602229E-2</v>
      </c>
      <c r="X118" s="152">
        <f t="shared" si="280"/>
        <v>6.9796170475602215E-2</v>
      </c>
      <c r="Y118" s="152">
        <f t="shared" si="280"/>
        <v>6.9796170475602215E-2</v>
      </c>
      <c r="Z118" s="152">
        <f t="shared" si="280"/>
        <v>6.9796170475602215E-2</v>
      </c>
      <c r="AA118" s="152">
        <f t="shared" si="280"/>
        <v>6.9796170475602215E-2</v>
      </c>
      <c r="AB118" s="152">
        <f t="shared" si="280"/>
        <v>6.9796170475602201E-2</v>
      </c>
      <c r="AC118" s="138">
        <f t="shared" si="218"/>
        <v>-2.1309990960125647E-2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1.8308270676691729</v>
      </c>
      <c r="H121" s="25">
        <f t="shared" ref="H121:AB121" si="281">H15/H9</f>
        <v>2.1846689895470384</v>
      </c>
      <c r="I121" s="25">
        <f t="shared" si="281"/>
        <v>2.0963855421686746</v>
      </c>
      <c r="J121" s="25">
        <f t="shared" si="281"/>
        <v>2.1180904522613067</v>
      </c>
      <c r="K121" s="25">
        <f t="shared" si="281"/>
        <v>1.6723259762308997</v>
      </c>
      <c r="L121" s="25">
        <f t="shared" si="281"/>
        <v>1.936532507739938</v>
      </c>
      <c r="M121" s="25">
        <f t="shared" si="281"/>
        <v>1.7418181818181817</v>
      </c>
      <c r="N121" s="25">
        <f t="shared" si="281"/>
        <v>1.6800535475234271</v>
      </c>
      <c r="O121" s="25">
        <f t="shared" si="281"/>
        <v>1.8186813186813187</v>
      </c>
      <c r="P121" s="25">
        <f t="shared" si="281"/>
        <v>2.1629353233830844</v>
      </c>
      <c r="Q121" s="118">
        <f t="shared" si="216"/>
        <v>1.869464497410922E-2</v>
      </c>
      <c r="R121" s="20"/>
      <c r="S121" s="20">
        <f t="shared" si="281"/>
        <v>2.1629353233830848</v>
      </c>
      <c r="T121" s="20">
        <f t="shared" si="281"/>
        <v>2.1629353233830844</v>
      </c>
      <c r="U121" s="20">
        <f t="shared" si="281"/>
        <v>2.1629353233830844</v>
      </c>
      <c r="V121" s="20">
        <f t="shared" si="281"/>
        <v>2.1629353233830844</v>
      </c>
      <c r="W121" s="20">
        <f t="shared" si="281"/>
        <v>2.1629353233830839</v>
      </c>
      <c r="X121" s="20">
        <f t="shared" si="281"/>
        <v>2.1629353233830844</v>
      </c>
      <c r="Y121" s="20">
        <f t="shared" si="281"/>
        <v>2.1629353233830839</v>
      </c>
      <c r="Z121" s="20">
        <f t="shared" si="281"/>
        <v>2.1629353233830844</v>
      </c>
      <c r="AA121" s="20">
        <f t="shared" si="281"/>
        <v>2.1629353233830839</v>
      </c>
      <c r="AB121" s="20">
        <f t="shared" si="281"/>
        <v>2.1629353233830839</v>
      </c>
      <c r="AC121" s="138">
        <f t="shared" si="218"/>
        <v>8.8122024746135619E-3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7.1428571428571425E-2</v>
      </c>
      <c r="H122" s="25">
        <f t="shared" ref="H122:P122" si="282">H12/H9</f>
        <v>3.484320557491289E-2</v>
      </c>
      <c r="I122" s="25">
        <f t="shared" si="282"/>
        <v>3.9156626506024098E-2</v>
      </c>
      <c r="J122" s="25">
        <f t="shared" si="282"/>
        <v>0.13819095477386933</v>
      </c>
      <c r="K122" s="25">
        <f t="shared" si="282"/>
        <v>4.074702886247878E-2</v>
      </c>
      <c r="L122" s="25">
        <f t="shared" si="282"/>
        <v>7.275541795665634E-2</v>
      </c>
      <c r="M122" s="25">
        <f t="shared" si="282"/>
        <v>0.10181818181818182</v>
      </c>
      <c r="N122" s="25">
        <f t="shared" si="282"/>
        <v>0.13922356091030791</v>
      </c>
      <c r="O122" s="25">
        <f t="shared" si="282"/>
        <v>0.30631868131868134</v>
      </c>
      <c r="P122" s="25">
        <f t="shared" si="282"/>
        <v>0.44029850746268656</v>
      </c>
      <c r="Q122" s="118">
        <f t="shared" si="216"/>
        <v>0.22395067607304253</v>
      </c>
      <c r="R122" s="128"/>
      <c r="S122" s="20">
        <f t="shared" ref="S122:AB122" si="283">S12/S9</f>
        <v>0.44029850746268662</v>
      </c>
      <c r="T122" s="20">
        <f t="shared" si="283"/>
        <v>0.44029850746268662</v>
      </c>
      <c r="U122" s="20">
        <f t="shared" si="283"/>
        <v>0.44029850746268662</v>
      </c>
      <c r="V122" s="20">
        <f t="shared" si="283"/>
        <v>0.44029850746268662</v>
      </c>
      <c r="W122" s="20">
        <f t="shared" si="283"/>
        <v>0.44029850746268662</v>
      </c>
      <c r="X122" s="20">
        <f t="shared" si="283"/>
        <v>0.44029850746268667</v>
      </c>
      <c r="Y122" s="20">
        <f t="shared" si="283"/>
        <v>0.44029850746268667</v>
      </c>
      <c r="Z122" s="20">
        <f t="shared" si="283"/>
        <v>0.44029850746268667</v>
      </c>
      <c r="AA122" s="20">
        <f t="shared" si="283"/>
        <v>0.44029850746268673</v>
      </c>
      <c r="AB122" s="20">
        <f t="shared" si="283"/>
        <v>0.44029850746268667</v>
      </c>
      <c r="AC122" s="118">
        <f t="shared" ref="AC122" si="284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3.4361111111111109</v>
      </c>
      <c r="H123" s="25">
        <f t="shared" ref="H123:P123" si="285">H25/360</f>
        <v>4.3666666666666663</v>
      </c>
      <c r="I123" s="25">
        <f t="shared" si="285"/>
        <v>5.1444444444444448</v>
      </c>
      <c r="J123" s="25">
        <f t="shared" si="285"/>
        <v>6.2666666666666666</v>
      </c>
      <c r="K123" s="25">
        <f t="shared" si="285"/>
        <v>7.7555555555555555</v>
      </c>
      <c r="L123" s="25">
        <f t="shared" si="285"/>
        <v>10.369444444444444</v>
      </c>
      <c r="M123" s="25">
        <f t="shared" si="285"/>
        <v>8.1833333333333336</v>
      </c>
      <c r="N123" s="25">
        <f t="shared" si="285"/>
        <v>11.574999999999999</v>
      </c>
      <c r="O123" s="25">
        <f t="shared" si="285"/>
        <v>12.072222222222223</v>
      </c>
      <c r="P123" s="25">
        <f t="shared" si="285"/>
        <v>13.491666666666667</v>
      </c>
      <c r="Q123" s="118">
        <f t="shared" si="216"/>
        <v>0.16412555402223572</v>
      </c>
      <c r="R123" s="128"/>
      <c r="S123" s="25">
        <f t="shared" ref="S123:AB123" si="286">S25/360</f>
        <v>14.571000000000002</v>
      </c>
      <c r="T123" s="25">
        <f t="shared" si="286"/>
        <v>15.736680000000002</v>
      </c>
      <c r="U123" s="25">
        <f t="shared" si="286"/>
        <v>16.995614400000001</v>
      </c>
      <c r="V123" s="25">
        <f t="shared" si="286"/>
        <v>18.355263552000004</v>
      </c>
      <c r="W123" s="25">
        <f t="shared" si="286"/>
        <v>19.823684636160007</v>
      </c>
      <c r="X123" s="25">
        <f t="shared" si="286"/>
        <v>21.409579407052806</v>
      </c>
      <c r="Y123" s="25">
        <f t="shared" si="286"/>
        <v>23.122345759617033</v>
      </c>
      <c r="Z123" s="25">
        <f t="shared" si="286"/>
        <v>24.972133420386399</v>
      </c>
      <c r="AA123" s="25">
        <f t="shared" si="286"/>
        <v>26.969904094017313</v>
      </c>
      <c r="AB123" s="25">
        <f t="shared" si="286"/>
        <v>29.127496421538702</v>
      </c>
      <c r="AC123" s="118">
        <f t="shared" ref="AC123:AC134" si="287">((AB123/S123)^(1/($H$2-$H$1) ))-1</f>
        <v>8.0000000000000071E-2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2.9444444444444446</v>
      </c>
      <c r="H124" s="25">
        <f t="shared" ref="H124:P124" si="288">H27/360</f>
        <v>3.7083333333333335</v>
      </c>
      <c r="I124" s="25">
        <f t="shared" si="288"/>
        <v>4.302777777777778</v>
      </c>
      <c r="J124" s="25">
        <f t="shared" si="288"/>
        <v>5.1055555555555552</v>
      </c>
      <c r="K124" s="25">
        <f t="shared" si="288"/>
        <v>6.4222222222222225</v>
      </c>
      <c r="L124" s="25">
        <f t="shared" si="288"/>
        <v>8.5055555555555564</v>
      </c>
      <c r="M124" s="25">
        <f t="shared" si="288"/>
        <v>6.3805555555555555</v>
      </c>
      <c r="N124" s="25">
        <f t="shared" si="288"/>
        <v>9.2472222222222218</v>
      </c>
      <c r="O124" s="25">
        <f t="shared" si="288"/>
        <v>9.6611111111111114</v>
      </c>
      <c r="P124" s="25">
        <f t="shared" si="288"/>
        <v>10.427777777777777</v>
      </c>
      <c r="Q124" s="118">
        <f t="shared" si="216"/>
        <v>0.15085586064850509</v>
      </c>
      <c r="R124" s="128"/>
      <c r="S124" s="25">
        <f t="shared" ref="S124:AB124" si="289">S27/360</f>
        <v>11.262</v>
      </c>
      <c r="T124" s="25">
        <f t="shared" si="289"/>
        <v>12.16296</v>
      </c>
      <c r="U124" s="25">
        <f t="shared" si="289"/>
        <v>13.135996800000001</v>
      </c>
      <c r="V124" s="25">
        <f t="shared" si="289"/>
        <v>14.186876544</v>
      </c>
      <c r="W124" s="25">
        <f t="shared" si="289"/>
        <v>15.321826667520003</v>
      </c>
      <c r="X124" s="25">
        <f t="shared" si="289"/>
        <v>16.547572800921607</v>
      </c>
      <c r="Y124" s="25">
        <f t="shared" si="289"/>
        <v>17.871378624995334</v>
      </c>
      <c r="Z124" s="25">
        <f t="shared" si="289"/>
        <v>19.301088914994963</v>
      </c>
      <c r="AA124" s="25">
        <f t="shared" si="289"/>
        <v>20.845176028194562</v>
      </c>
      <c r="AB124" s="25">
        <f t="shared" si="289"/>
        <v>22.51279011045013</v>
      </c>
      <c r="AC124" s="118">
        <f t="shared" si="287"/>
        <v>8.0000000000000071E-2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7.7455048409405258E-2</v>
      </c>
      <c r="H126" s="25">
        <f t="shared" ref="H126:P126" si="290">H10/H7</f>
        <v>9.3053735255570119E-2</v>
      </c>
      <c r="I126" s="25">
        <f t="shared" si="290"/>
        <v>5.1643192488262914E-2</v>
      </c>
      <c r="J126" s="25">
        <f t="shared" si="290"/>
        <v>3.4313725490196081E-2</v>
      </c>
      <c r="K126" s="25">
        <f t="shared" si="290"/>
        <v>2.7552674230145867E-2</v>
      </c>
      <c r="L126" s="25">
        <f t="shared" si="290"/>
        <v>1.8855218855218854E-2</v>
      </c>
      <c r="M126" s="25">
        <f t="shared" si="290"/>
        <v>5.7655349135169766E-3</v>
      </c>
      <c r="N126" s="25">
        <f t="shared" si="290"/>
        <v>9.9667774086378731E-3</v>
      </c>
      <c r="O126" s="25">
        <f t="shared" si="290"/>
        <v>0</v>
      </c>
      <c r="P126" s="25">
        <f t="shared" si="290"/>
        <v>4.1911148365465213E-6</v>
      </c>
      <c r="Q126" s="118">
        <f t="shared" si="216"/>
        <v>-0.66432423973301069</v>
      </c>
      <c r="R126" s="128"/>
      <c r="S126" s="25">
        <f t="shared" ref="S126:AB126" si="291">S10/S7</f>
        <v>4.1911148365465213E-6</v>
      </c>
      <c r="T126" s="25">
        <f t="shared" si="291"/>
        <v>4.1911148365465213E-6</v>
      </c>
      <c r="U126" s="25">
        <f t="shared" si="291"/>
        <v>4.1911148365465213E-6</v>
      </c>
      <c r="V126" s="25">
        <f t="shared" si="291"/>
        <v>4.1911148365465213E-6</v>
      </c>
      <c r="W126" s="25">
        <f t="shared" si="291"/>
        <v>4.1911148365465213E-6</v>
      </c>
      <c r="X126" s="25">
        <f t="shared" si="291"/>
        <v>4.1911148365465222E-6</v>
      </c>
      <c r="Y126" s="25">
        <f t="shared" si="291"/>
        <v>4.1911148365465222E-6</v>
      </c>
      <c r="Z126" s="25">
        <f t="shared" si="291"/>
        <v>4.1911148365465222E-6</v>
      </c>
      <c r="AA126" s="25">
        <f t="shared" si="291"/>
        <v>4.1911148365465213E-6</v>
      </c>
      <c r="AB126" s="25">
        <f t="shared" si="291"/>
        <v>4.1911148365465213E-6</v>
      </c>
      <c r="AC126" s="118">
        <f t="shared" si="287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7.1887034659820284E-2</v>
      </c>
      <c r="H127" s="25">
        <f t="shared" ref="H127:P127" si="292">H10/(H10+H7)</f>
        <v>8.5131894484412468E-2</v>
      </c>
      <c r="I127" s="25">
        <f t="shared" si="292"/>
        <v>4.9107142857142856E-2</v>
      </c>
      <c r="J127" s="25">
        <f t="shared" si="292"/>
        <v>3.3175355450236969E-2</v>
      </c>
      <c r="K127" s="25">
        <f t="shared" si="292"/>
        <v>2.6813880126182965E-2</v>
      </c>
      <c r="L127" s="25">
        <f t="shared" si="292"/>
        <v>1.8506278916060808E-2</v>
      </c>
      <c r="M127" s="25">
        <f t="shared" si="292"/>
        <v>5.7324840764331206E-3</v>
      </c>
      <c r="N127" s="25">
        <f t="shared" si="292"/>
        <v>9.8684210526315784E-3</v>
      </c>
      <c r="O127" s="25">
        <f t="shared" si="292"/>
        <v>0</v>
      </c>
      <c r="P127" s="25">
        <f t="shared" si="292"/>
        <v>4.1910972711765661E-6</v>
      </c>
      <c r="Q127" s="118">
        <f t="shared" si="216"/>
        <v>-0.66153038634327954</v>
      </c>
      <c r="R127" s="128"/>
      <c r="S127" s="25">
        <f t="shared" ref="S127:AB127" si="293">S10/(S10+S7)</f>
        <v>4.1910972711765669E-6</v>
      </c>
      <c r="T127" s="25">
        <f t="shared" si="293"/>
        <v>4.1910972711765669E-6</v>
      </c>
      <c r="U127" s="25">
        <f t="shared" si="293"/>
        <v>4.1910972711765669E-6</v>
      </c>
      <c r="V127" s="25">
        <f t="shared" si="293"/>
        <v>4.1910972711765669E-6</v>
      </c>
      <c r="W127" s="25">
        <f t="shared" si="293"/>
        <v>4.1910972711765669E-6</v>
      </c>
      <c r="X127" s="25">
        <f t="shared" si="293"/>
        <v>4.1910972711765678E-6</v>
      </c>
      <c r="Y127" s="25">
        <f t="shared" si="293"/>
        <v>4.1910972711765669E-6</v>
      </c>
      <c r="Z127" s="25">
        <f t="shared" si="293"/>
        <v>4.1910972711765669E-6</v>
      </c>
      <c r="AA127" s="25">
        <f t="shared" si="293"/>
        <v>4.1910972711765661E-6</v>
      </c>
      <c r="AB127" s="25">
        <f t="shared" si="293"/>
        <v>4.1910972711765661E-6</v>
      </c>
      <c r="AC127" s="118">
        <f t="shared" si="287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231</v>
      </c>
      <c r="H129" s="25">
        <f t="shared" ref="H129:P129" si="294">H16</f>
        <v>391</v>
      </c>
      <c r="I129" s="25">
        <f t="shared" si="294"/>
        <v>431</v>
      </c>
      <c r="J129" s="25">
        <f t="shared" si="294"/>
        <v>526</v>
      </c>
      <c r="K129" s="25">
        <f t="shared" si="294"/>
        <v>507</v>
      </c>
      <c r="L129" s="25">
        <f t="shared" si="294"/>
        <v>756</v>
      </c>
      <c r="M129" s="25">
        <f t="shared" si="294"/>
        <v>503</v>
      </c>
      <c r="N129" s="25">
        <f t="shared" si="294"/>
        <v>658</v>
      </c>
      <c r="O129" s="25">
        <f t="shared" si="294"/>
        <v>818</v>
      </c>
      <c r="P129" s="25">
        <f t="shared" si="294"/>
        <v>1144</v>
      </c>
      <c r="Q129" s="118">
        <f t="shared" si="216"/>
        <v>0.19454237515659201</v>
      </c>
      <c r="R129" s="128"/>
      <c r="S129" s="25">
        <f t="shared" ref="S129:AB129" si="295">S16</f>
        <v>1235.52</v>
      </c>
      <c r="T129" s="25">
        <f t="shared" si="295"/>
        <v>1334.3616000000002</v>
      </c>
      <c r="U129" s="25">
        <f t="shared" si="295"/>
        <v>1441.1105280000004</v>
      </c>
      <c r="V129" s="25">
        <f t="shared" si="295"/>
        <v>1556.3993702400005</v>
      </c>
      <c r="W129" s="25">
        <f t="shared" si="295"/>
        <v>1680.9113198592006</v>
      </c>
      <c r="X129" s="25">
        <f t="shared" si="295"/>
        <v>1815.3842254479368</v>
      </c>
      <c r="Y129" s="25">
        <f t="shared" si="295"/>
        <v>1960.6149634837718</v>
      </c>
      <c r="Z129" s="25">
        <f t="shared" si="295"/>
        <v>2117.4641605624738</v>
      </c>
      <c r="AA129" s="25">
        <f t="shared" si="295"/>
        <v>2286.8612934074717</v>
      </c>
      <c r="AB129" s="25">
        <f t="shared" si="295"/>
        <v>2469.8101968800697</v>
      </c>
      <c r="AC129" s="118">
        <f t="shared" si="287"/>
        <v>8.0000000000000071E-2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96">G129*365/G25</f>
        <v>68.160873080032331</v>
      </c>
      <c r="H130" s="119">
        <f t="shared" si="296"/>
        <v>90.785623409669213</v>
      </c>
      <c r="I130" s="119">
        <f t="shared" si="296"/>
        <v>84.943304535637154</v>
      </c>
      <c r="J130" s="119">
        <f t="shared" si="296"/>
        <v>85.101950354609926</v>
      </c>
      <c r="K130" s="119">
        <f t="shared" si="296"/>
        <v>66.280444126074499</v>
      </c>
      <c r="L130" s="119">
        <f t="shared" si="296"/>
        <v>73.919099919635684</v>
      </c>
      <c r="M130" s="119">
        <f t="shared" si="296"/>
        <v>62.320095044127633</v>
      </c>
      <c r="N130" s="119">
        <f t="shared" si="296"/>
        <v>57.636189104871612</v>
      </c>
      <c r="O130" s="119">
        <f t="shared" si="296"/>
        <v>68.699953980671879</v>
      </c>
      <c r="P130" s="119">
        <f t="shared" si="296"/>
        <v>85.970763845995464</v>
      </c>
      <c r="Q130" s="118">
        <f t="shared" si="216"/>
        <v>2.6128471305574941E-2</v>
      </c>
      <c r="R130" s="128"/>
      <c r="S130" s="119">
        <f t="shared" ref="S130:AB130" si="297">S129*365/S25</f>
        <v>85.970763845995464</v>
      </c>
      <c r="T130" s="119">
        <f t="shared" si="297"/>
        <v>85.970763845995478</v>
      </c>
      <c r="U130" s="119">
        <f t="shared" si="297"/>
        <v>85.970763845995492</v>
      </c>
      <c r="V130" s="119">
        <f t="shared" si="297"/>
        <v>85.970763845995464</v>
      </c>
      <c r="W130" s="119">
        <f t="shared" si="297"/>
        <v>85.970763845995478</v>
      </c>
      <c r="X130" s="119">
        <f t="shared" si="297"/>
        <v>85.970763845995478</v>
      </c>
      <c r="Y130" s="119">
        <f t="shared" si="297"/>
        <v>85.970763845995478</v>
      </c>
      <c r="Z130" s="119">
        <f t="shared" si="297"/>
        <v>85.970763845995478</v>
      </c>
      <c r="AA130" s="119">
        <f t="shared" si="297"/>
        <v>85.970763845995478</v>
      </c>
      <c r="AB130" s="119">
        <f t="shared" si="297"/>
        <v>85.970763845995464</v>
      </c>
      <c r="AC130" s="118">
        <f t="shared" si="287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1.2828282828282827</v>
      </c>
      <c r="H131" s="133">
        <f t="shared" ref="H131:P131" si="298">H78/H29</f>
        <v>2.5883838383838382</v>
      </c>
      <c r="I131" s="133">
        <f t="shared" si="298"/>
        <v>2.7474747474747474</v>
      </c>
      <c r="J131" s="133">
        <f t="shared" si="298"/>
        <v>3.0555555555555554</v>
      </c>
      <c r="K131" s="133">
        <f t="shared" si="298"/>
        <v>8.020202020202019</v>
      </c>
      <c r="L131" s="133">
        <f t="shared" si="298"/>
        <v>8.2293523469994057</v>
      </c>
      <c r="M131" s="133">
        <f t="shared" si="298"/>
        <v>13.484848484848484</v>
      </c>
      <c r="N131" s="133">
        <f t="shared" si="298"/>
        <v>18.333333333333332</v>
      </c>
      <c r="O131" s="133">
        <f t="shared" si="298"/>
        <v>4.6563518785741005</v>
      </c>
      <c r="P131" s="133">
        <f t="shared" si="298"/>
        <v>6.0173160173160181</v>
      </c>
      <c r="Q131" s="118">
        <f t="shared" si="216"/>
        <v>0.18735774165949204</v>
      </c>
      <c r="R131" s="128"/>
      <c r="S131" s="133">
        <f t="shared" ref="S131:AB131" si="299">S78/S29</f>
        <v>5.8993294287411935</v>
      </c>
      <c r="T131" s="133">
        <f t="shared" si="299"/>
        <v>5.7836563026874437</v>
      </c>
      <c r="U131" s="133">
        <f t="shared" si="299"/>
        <v>5.670251277144553</v>
      </c>
      <c r="V131" s="133">
        <f t="shared" si="299"/>
        <v>5.5590698795534834</v>
      </c>
      <c r="W131" s="133">
        <f t="shared" si="299"/>
        <v>5.4500685093661598</v>
      </c>
      <c r="X131" s="133">
        <f t="shared" si="299"/>
        <v>5.3432044209472149</v>
      </c>
      <c r="Y131" s="133">
        <f t="shared" si="299"/>
        <v>5.2384357068109946</v>
      </c>
      <c r="Z131" s="133">
        <f t="shared" si="299"/>
        <v>5.1357212811872479</v>
      </c>
      <c r="AA131" s="133">
        <f t="shared" si="299"/>
        <v>5.0350208639090672</v>
      </c>
      <c r="AB131" s="133">
        <f t="shared" si="299"/>
        <v>4.9362949646167325</v>
      </c>
      <c r="AC131" s="118">
        <f t="shared" si="287"/>
        <v>-1.9607843137254943E-2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>
        <f>G25/G14</f>
        <v>5.8625592417061609</v>
      </c>
      <c r="H133" s="180">
        <f t="shared" ref="H133:P133" si="300">H25/H14</f>
        <v>5.6142857142857139</v>
      </c>
      <c r="I133" s="180">
        <f t="shared" si="300"/>
        <v>6.6618705035971226</v>
      </c>
      <c r="J133" s="180">
        <f t="shared" si="300"/>
        <v>6.6158357771261</v>
      </c>
      <c r="K133" s="180">
        <f t="shared" si="300"/>
        <v>7.3862433862433861</v>
      </c>
      <c r="L133" s="180">
        <f t="shared" si="300"/>
        <v>7.5110663983903416</v>
      </c>
      <c r="M133" s="180">
        <f t="shared" si="300"/>
        <v>7.2029339853300733</v>
      </c>
      <c r="N133" s="180">
        <f t="shared" si="300"/>
        <v>8.0289017341040463</v>
      </c>
      <c r="O133" s="180">
        <f t="shared" si="300"/>
        <v>7.6649029982363315</v>
      </c>
      <c r="P133" s="180">
        <f t="shared" si="300"/>
        <v>9.1641509433962263</v>
      </c>
      <c r="Q133" s="118">
        <f t="shared" si="216"/>
        <v>5.0887218550665247E-2</v>
      </c>
      <c r="R133" s="128"/>
      <c r="S133" s="20">
        <f t="shared" ref="S133" si="301">S25/S14</f>
        <v>9.1641509433962263</v>
      </c>
      <c r="T133" s="20">
        <f t="shared" ref="T133:AB133" si="302">T25/T14</f>
        <v>9.1641509433962245</v>
      </c>
      <c r="U133" s="20">
        <f t="shared" si="302"/>
        <v>9.1641509433962245</v>
      </c>
      <c r="V133" s="20">
        <f t="shared" si="302"/>
        <v>9.1641509433962263</v>
      </c>
      <c r="W133" s="20">
        <f t="shared" si="302"/>
        <v>9.1641509433962263</v>
      </c>
      <c r="X133" s="20">
        <f t="shared" si="302"/>
        <v>9.1641509433962263</v>
      </c>
      <c r="Y133" s="20">
        <f t="shared" si="302"/>
        <v>9.1641509433962263</v>
      </c>
      <c r="Z133" s="20">
        <f t="shared" si="302"/>
        <v>9.1641509433962263</v>
      </c>
      <c r="AA133" s="20">
        <f t="shared" si="302"/>
        <v>9.1641509433962263</v>
      </c>
      <c r="AB133" s="20">
        <f t="shared" si="302"/>
        <v>9.164150943396228</v>
      </c>
      <c r="AC133" s="118">
        <f t="shared" si="287"/>
        <v>0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>
        <f>G27/G14</f>
        <v>5.0236966824644549</v>
      </c>
      <c r="H134" s="180">
        <f t="shared" ref="H134:P134" si="303">H27/H14</f>
        <v>4.7678571428571432</v>
      </c>
      <c r="I134" s="180">
        <f t="shared" si="303"/>
        <v>5.5719424460431659</v>
      </c>
      <c r="J134" s="180">
        <f t="shared" si="303"/>
        <v>5.3900293255131961</v>
      </c>
      <c r="K134" s="180">
        <f t="shared" si="303"/>
        <v>6.1164021164021163</v>
      </c>
      <c r="L134" s="180">
        <f t="shared" si="303"/>
        <v>6.1609657947686118</v>
      </c>
      <c r="M134" s="180">
        <f t="shared" si="303"/>
        <v>5.6161369193154034</v>
      </c>
      <c r="N134" s="180">
        <f t="shared" si="303"/>
        <v>6.4142581888246628</v>
      </c>
      <c r="O134" s="180">
        <f t="shared" si="303"/>
        <v>6.1340388007054676</v>
      </c>
      <c r="P134" s="180">
        <f t="shared" si="303"/>
        <v>7.0830188679245287</v>
      </c>
      <c r="Q134" s="118">
        <f t="shared" si="216"/>
        <v>3.8908312055263794E-2</v>
      </c>
      <c r="R134" s="128"/>
      <c r="S134" s="20">
        <f t="shared" ref="S134:AB134" si="304">S27/S14</f>
        <v>7.0830188679245278</v>
      </c>
      <c r="T134" s="20">
        <f t="shared" si="304"/>
        <v>7.083018867924527</v>
      </c>
      <c r="U134" s="20">
        <f t="shared" si="304"/>
        <v>7.083018867924527</v>
      </c>
      <c r="V134" s="20">
        <f t="shared" si="304"/>
        <v>7.083018867924527</v>
      </c>
      <c r="W134" s="20">
        <f t="shared" si="304"/>
        <v>7.083018867924527</v>
      </c>
      <c r="X134" s="20">
        <f t="shared" si="304"/>
        <v>7.0830188679245278</v>
      </c>
      <c r="Y134" s="20">
        <f t="shared" si="304"/>
        <v>7.0830188679245278</v>
      </c>
      <c r="Z134" s="20">
        <f t="shared" si="304"/>
        <v>7.0830188679245287</v>
      </c>
      <c r="AA134" s="20">
        <f t="shared" si="304"/>
        <v>7.0830188679245278</v>
      </c>
      <c r="AB134" s="20">
        <f t="shared" si="304"/>
        <v>7.0830188679245278</v>
      </c>
      <c r="AC134" s="118">
        <f t="shared" si="287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17.095238095238095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58.507077230218393</v>
      </c>
      <c r="S138" s="133">
        <f>PV($C$1, ($AB$3-$S$3), 0, -AB52)</f>
        <v>8.1526255156861698</v>
      </c>
      <c r="T138" s="133">
        <f>PV($C$1, ($AB$3-$S$3), 0, -AE52)</f>
        <v>50.354451714532225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305">S139+T139</f>
        <v>182.71974642840456</v>
      </c>
      <c r="S139" s="133">
        <f>PV($C$1, ($AB$3-$S$3), 0, -AB54)</f>
        <v>25.460948272810466</v>
      </c>
      <c r="T139" s="133">
        <f>PV($C$1, ($AB$3-$S$3), 0, -AE54)</f>
        <v>157.25879815559409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305"/>
        <v>178.50784950738097</v>
      </c>
      <c r="S140" s="133">
        <f>PV($C$1, ($AB$3-$S$3), 0, -AB55)</f>
        <v>24.874044603487512</v>
      </c>
      <c r="T140" s="133">
        <f>PV($C$1, ($AB$3-$S$3), 0, -AE55)</f>
        <v>153.63380490389346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5"/>
        <v>7.6579944018610453E-4</v>
      </c>
      <c r="S141" s="133">
        <f>PV($C$1, ($AB$3-$S$3), 0, -AB56)</f>
        <v>1.0670975805871947E-4</v>
      </c>
      <c r="T141" s="133">
        <f>PV($C$1, ($AB$3-$S$3), 0, -AE56)</f>
        <v>6.5908968212738503E-4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5"/>
        <v>27.109300182588115</v>
      </c>
      <c r="S142" s="133">
        <f>PV($C$1, ($AB$3-$S$3), 0, -AB62)</f>
        <v>3.7775254352786707</v>
      </c>
      <c r="T142" s="133">
        <f>PV($C$1, ($AB$3-$S$3), 0, -AE62)</f>
        <v>23.331774747309442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05"/>
        <v>182.71898062896435</v>
      </c>
      <c r="S144" s="133">
        <f>PV($C$1, ($AB$3-$S$3), 0, -AB58)</f>
        <v>25.460841563052409</v>
      </c>
      <c r="T144" s="133">
        <f>PV($C$1, ($AB$3-$S$3), 0, -$AE$58)</f>
        <v>157.25813906591193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5"/>
        <v>121.14870563800157</v>
      </c>
      <c r="S145" s="133">
        <f>PV($C$1, ($AB$3-$S$3), 0, -AB59)</f>
        <v>16.881377015131363</v>
      </c>
      <c r="T145" s="133">
        <f>PV($C$1, ($AB$3-$S$3), 0, -$AE$59)</f>
        <v>104.26732862287021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5"/>
        <v>254.32122828636517</v>
      </c>
      <c r="S146" s="133">
        <f>PV($C$1, ($AB$3-$S$3), 0, -AB60)</f>
        <v>35.438203941542682</v>
      </c>
      <c r="T146" s="133">
        <f>PV($C$1, ($AB$3-$S$3), 0, -$AE$60)</f>
        <v>218.88302434482247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05"/>
        <v>133.17252264836355</v>
      </c>
      <c r="S148" s="133">
        <f>PV($C$1, ($AB$3-$S$3), 0, -AB65)</f>
        <v>18.556826926411315</v>
      </c>
      <c r="T148" s="133">
        <f>PV($C$1, ($AB$3-$S$3), 0, -AE65)</f>
        <v>114.61569572195225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05"/>
        <v>67.696670512451647</v>
      </c>
      <c r="S149" s="133">
        <f>PV($C$1, ($AB$3-$S$3), 0, -AB66)</f>
        <v>12.20759632191751</v>
      </c>
      <c r="T149" s="133">
        <f>PV($C$1, ($AB$3-$S$3), 0, -AE66)</f>
        <v>55.489074190534133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6">S151+T151</f>
        <v>916.03749428834703</v>
      </c>
      <c r="S151" s="133">
        <f>PV($C$1, ($AB$3-$S$3), 0, -AB12)</f>
        <v>127.64456887624506</v>
      </c>
      <c r="T151" s="133">
        <f>PV($C$1, ($AB$3-$S$3), 0, -AE12)</f>
        <v>788.39292541210193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33.046085652537769</v>
      </c>
      <c r="S152" s="140">
        <f>S151/P42</f>
        <v>4.6047824269929674</v>
      </c>
      <c r="T152" s="140">
        <f>T151/P42</f>
        <v>28.441303225544804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7">S155+T155</f>
        <v>123.19690417454022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101.35259852545758</v>
      </c>
      <c r="T155" s="133">
        <f>PV($C$1, ($AB$3-$S$3), 0, -AE68)</f>
        <v>21.844305649082639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5"/>
        <v>0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7" s="133">
        <f>PV($C$1, ($AB$3-$S$3), 0, -AE70)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308">S159+T159</f>
        <v>0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0</v>
      </c>
      <c r="T159" s="133">
        <f>PV($C$1, ($AB$3-$S$3), 0, -AE72)</f>
        <v>0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08"/>
        <v>0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0</v>
      </c>
      <c r="T160" s="133">
        <f>PV($C$1, ($AB$3-$S$3), 0, -AE73)</f>
        <v>0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08"/>
        <v>0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0</v>
      </c>
      <c r="T161" s="133">
        <f>PV($C$1, ($AB$3-$S$3), 0, -AE74)</f>
        <v>0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08"/>
        <v>0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0</v>
      </c>
      <c r="T162" s="133">
        <f>PV($C$1, ($AB$3-$S$3), 0, -AE75)</f>
        <v>0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0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0</v>
      </c>
      <c r="T164" s="133">
        <f>PV($C$1, ($AB$3-$S$3), 0, -AE76)</f>
        <v>0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470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555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07">
        <v>60</v>
      </c>
      <c r="H167" s="207">
        <v>200</v>
      </c>
      <c r="I167" s="22">
        <v>210</v>
      </c>
      <c r="J167" s="22">
        <v>240</v>
      </c>
      <c r="K167" s="22">
        <v>260</v>
      </c>
      <c r="L167" s="22">
        <v>150</v>
      </c>
      <c r="M167" s="22">
        <v>463</v>
      </c>
      <c r="N167" s="22">
        <v>634</v>
      </c>
      <c r="O167" s="22">
        <v>422</v>
      </c>
      <c r="P167" s="22">
        <v>300</v>
      </c>
      <c r="Q167" s="118">
        <f t="shared" ref="Q167:Q172" si="309">((P167/G167)^(1/($H$2-$H$1) ))-1</f>
        <v>0.19581317450040192</v>
      </c>
      <c r="R167" s="31">
        <f>L2-3%</f>
        <v>0.05</v>
      </c>
      <c r="S167" s="119">
        <f t="shared" ref="S167" si="310">P167*(1+$R167)</f>
        <v>315</v>
      </c>
      <c r="T167" s="119">
        <f t="shared" ref="T167:AB167" si="311">S167*(1+$R167)</f>
        <v>330.75</v>
      </c>
      <c r="U167" s="119">
        <f t="shared" si="311"/>
        <v>347.28750000000002</v>
      </c>
      <c r="V167" s="119">
        <f t="shared" si="311"/>
        <v>364.65187500000002</v>
      </c>
      <c r="W167" s="119">
        <f t="shared" si="311"/>
        <v>382.88446875000005</v>
      </c>
      <c r="X167" s="119">
        <f t="shared" si="311"/>
        <v>402.0286921875001</v>
      </c>
      <c r="Y167" s="119">
        <f t="shared" si="311"/>
        <v>422.13012679687512</v>
      </c>
      <c r="Z167" s="119">
        <f t="shared" si="311"/>
        <v>443.23663313671886</v>
      </c>
      <c r="AA167" s="119">
        <f t="shared" si="311"/>
        <v>465.39846479355481</v>
      </c>
      <c r="AB167" s="119">
        <f t="shared" si="311"/>
        <v>488.66838803323259</v>
      </c>
      <c r="AC167" s="138">
        <f t="shared" ref="AC167:AC172" si="312">((AB167/G167)^(1/($AB$3-$H$1) ))-1</f>
        <v>0.11670936340453242</v>
      </c>
      <c r="AD167" s="31">
        <v>0.08</v>
      </c>
      <c r="AE167" s="127">
        <f t="shared" ref="AE167:AE175" si="313">(AB167*(1+AC167))/($C$1-AD167)</f>
        <v>3897.8611751179296</v>
      </c>
    </row>
    <row r="168" spans="2:31" x14ac:dyDescent="0.2">
      <c r="B168" s="20" t="s">
        <v>361</v>
      </c>
      <c r="C168" s="25" t="e">
        <f t="shared" ref="C168:P168" si="314">C167/C49</f>
        <v>#DIV/0!</v>
      </c>
      <c r="D168" s="25" t="e">
        <f t="shared" si="314"/>
        <v>#DIV/0!</v>
      </c>
      <c r="E168" s="25" t="e">
        <f t="shared" si="314"/>
        <v>#DIV/0!</v>
      </c>
      <c r="F168" s="25" t="e">
        <f t="shared" si="314"/>
        <v>#DIV/0!</v>
      </c>
      <c r="G168" s="25">
        <f t="shared" si="314"/>
        <v>0.96038803556992725</v>
      </c>
      <c r="H168" s="25">
        <f t="shared" si="314"/>
        <v>2.5190839694656488</v>
      </c>
      <c r="I168" s="25">
        <f t="shared" si="314"/>
        <v>2.2451403887688985</v>
      </c>
      <c r="J168" s="25">
        <f t="shared" si="314"/>
        <v>2.1063829787234041</v>
      </c>
      <c r="K168" s="25">
        <f t="shared" si="314"/>
        <v>1.8438395415472779</v>
      </c>
      <c r="L168" s="25">
        <f t="shared" si="314"/>
        <v>0.79560675060273245</v>
      </c>
      <c r="M168" s="25">
        <f t="shared" si="314"/>
        <v>3.1118126272912425</v>
      </c>
      <c r="N168" s="25">
        <f t="shared" si="314"/>
        <v>3.012526997840173</v>
      </c>
      <c r="O168" s="25">
        <f t="shared" si="314"/>
        <v>2.6916336861481822</v>
      </c>
      <c r="P168" s="25">
        <f t="shared" si="314"/>
        <v>1.7121680049413217</v>
      </c>
      <c r="Q168" s="118">
        <f t="shared" ref="Q168" si="315">((P168/G168)^(1/($H$2-$H$1) ))-1</f>
        <v>6.6350457410797148E-2</v>
      </c>
      <c r="R168" s="128"/>
      <c r="S168" s="25">
        <f t="shared" ref="S168:AB168" si="316">S167/S49</f>
        <v>1.6978999382334772</v>
      </c>
      <c r="T168" s="25">
        <f t="shared" si="316"/>
        <v>1.6837507720815317</v>
      </c>
      <c r="U168" s="25">
        <f t="shared" si="316"/>
        <v>1.6697195156475193</v>
      </c>
      <c r="V168" s="25">
        <f t="shared" si="316"/>
        <v>1.6558051863504564</v>
      </c>
      <c r="W168" s="25">
        <f t="shared" si="316"/>
        <v>1.642006809797536</v>
      </c>
      <c r="X168" s="25">
        <f t="shared" si="316"/>
        <v>1.6283234197158898</v>
      </c>
      <c r="Y168" s="25">
        <f t="shared" si="316"/>
        <v>1.6147540578849242</v>
      </c>
      <c r="Z168" s="25">
        <f t="shared" si="316"/>
        <v>1.6012977740692163</v>
      </c>
      <c r="AA168" s="25">
        <f t="shared" si="316"/>
        <v>1.5879536259519729</v>
      </c>
      <c r="AB168" s="25">
        <f t="shared" si="316"/>
        <v>1.5747206790690396</v>
      </c>
      <c r="AC168" s="138">
        <f t="shared" ref="AC168" si="317">((AB168/G168)^(1/($AB$3-$H$1) ))-1</f>
        <v>2.6367729968933107E-2</v>
      </c>
      <c r="AD168" s="31">
        <v>0.08</v>
      </c>
      <c r="AE168" s="127">
        <f t="shared" ref="AE168" si="318">(AB168*(1+AC168))/($C$1-AD168)</f>
        <v>11.544589205080191</v>
      </c>
    </row>
    <row r="169" spans="2:31" x14ac:dyDescent="0.2">
      <c r="B169" s="20" t="s">
        <v>389</v>
      </c>
      <c r="C169" s="25" t="e">
        <f t="shared" ref="C169:P169" si="319">C167/C52</f>
        <v>#DIV/0!</v>
      </c>
      <c r="D169" s="25" t="e">
        <f t="shared" si="319"/>
        <v>#DIV/0!</v>
      </c>
      <c r="E169" s="25" t="e">
        <f t="shared" si="319"/>
        <v>#DIV/0!</v>
      </c>
      <c r="F169" s="25" t="e">
        <f t="shared" si="319"/>
        <v>#DIV/0!</v>
      </c>
      <c r="G169" s="25">
        <f t="shared" si="319"/>
        <v>12.247422680412372</v>
      </c>
      <c r="H169" s="25">
        <f t="shared" si="319"/>
        <v>31.428571428571431</v>
      </c>
      <c r="I169" s="25">
        <f t="shared" si="319"/>
        <v>24.75</v>
      </c>
      <c r="J169" s="25">
        <f t="shared" si="319"/>
        <v>19.238866396761136</v>
      </c>
      <c r="K169" s="25">
        <f t="shared" si="319"/>
        <v>17.217391304347828</v>
      </c>
      <c r="L169" s="25">
        <f t="shared" si="319"/>
        <v>6.6741573033707864</v>
      </c>
      <c r="M169" s="25">
        <f t="shared" si="319"/>
        <v>20.6472972972973</v>
      </c>
      <c r="N169" s="25">
        <f t="shared" si="319"/>
        <v>21.240609137055838</v>
      </c>
      <c r="O169" s="25">
        <f t="shared" si="319"/>
        <v>19.793299492385785</v>
      </c>
      <c r="P169" s="25">
        <f t="shared" si="319"/>
        <v>10.884816753926701</v>
      </c>
      <c r="Q169" s="118">
        <f t="shared" si="309"/>
        <v>-1.3019685592152497E-2</v>
      </c>
      <c r="R169" s="128"/>
      <c r="S169" s="119">
        <f t="shared" ref="S169:AB169" si="320">S167/S52</f>
        <v>10.794109947643978</v>
      </c>
      <c r="T169" s="119">
        <f t="shared" si="320"/>
        <v>10.704159031413612</v>
      </c>
      <c r="U169" s="119">
        <f t="shared" si="320"/>
        <v>10.614957706151833</v>
      </c>
      <c r="V169" s="119">
        <f t="shared" si="320"/>
        <v>10.526499725267234</v>
      </c>
      <c r="W169" s="119">
        <f t="shared" si="320"/>
        <v>10.438778894223342</v>
      </c>
      <c r="X169" s="119">
        <f t="shared" si="320"/>
        <v>10.351789070104815</v>
      </c>
      <c r="Y169" s="119">
        <f t="shared" si="320"/>
        <v>10.265524161187274</v>
      </c>
      <c r="Z169" s="119">
        <f t="shared" si="320"/>
        <v>10.179978126510711</v>
      </c>
      <c r="AA169" s="119">
        <f t="shared" si="320"/>
        <v>10.095144975456456</v>
      </c>
      <c r="AB169" s="119">
        <f t="shared" si="320"/>
        <v>10.011018767327652</v>
      </c>
      <c r="AC169" s="138">
        <f t="shared" si="312"/>
        <v>-1.0555951698603572E-2</v>
      </c>
      <c r="AD169" s="31">
        <v>0.08</v>
      </c>
      <c r="AE169" s="127">
        <f t="shared" si="313"/>
        <v>70.752449548328045</v>
      </c>
    </row>
    <row r="170" spans="2:31" x14ac:dyDescent="0.2">
      <c r="B170" s="20" t="s">
        <v>258</v>
      </c>
      <c r="C170" s="25" t="e">
        <f t="shared" ref="C170:P170" si="321">C167/C55</f>
        <v>#DIV/0!</v>
      </c>
      <c r="D170" s="25" t="e">
        <f t="shared" si="321"/>
        <v>#DIV/0!</v>
      </c>
      <c r="E170" s="25" t="e">
        <f t="shared" si="321"/>
        <v>#DIV/0!</v>
      </c>
      <c r="F170" s="25" t="e">
        <f t="shared" si="321"/>
        <v>#DIV/0!</v>
      </c>
      <c r="G170" s="25">
        <f t="shared" si="321"/>
        <v>1.7368421052631577</v>
      </c>
      <c r="H170" s="25">
        <f t="shared" si="321"/>
        <v>5.4696132596685079</v>
      </c>
      <c r="I170" s="25">
        <f t="shared" si="321"/>
        <v>5.1143911439114387</v>
      </c>
      <c r="J170" s="25">
        <f t="shared" si="321"/>
        <v>4.8440366972477067</v>
      </c>
      <c r="K170" s="25">
        <f t="shared" si="321"/>
        <v>4.3115577889447243</v>
      </c>
      <c r="L170" s="25">
        <f t="shared" si="321"/>
        <v>2.0553633217993079</v>
      </c>
      <c r="M170" s="25">
        <f t="shared" si="321"/>
        <v>6.0272189349112431</v>
      </c>
      <c r="N170" s="25">
        <f t="shared" si="321"/>
        <v>7.1082672706681773</v>
      </c>
      <c r="O170" s="25">
        <f t="shared" si="321"/>
        <v>5.8871867136386502</v>
      </c>
      <c r="P170" s="25">
        <f t="shared" si="321"/>
        <v>3.5675675675675675</v>
      </c>
      <c r="Q170" s="118">
        <f t="shared" si="309"/>
        <v>8.3264851808499518E-2</v>
      </c>
      <c r="R170" s="128"/>
      <c r="S170" s="119">
        <f t="shared" ref="S170:AB170" si="322">S167/S55</f>
        <v>3.5378378378378379</v>
      </c>
      <c r="T170" s="119">
        <f t="shared" si="322"/>
        <v>3.5083558558558559</v>
      </c>
      <c r="U170" s="119">
        <f t="shared" si="322"/>
        <v>3.4791195570570577</v>
      </c>
      <c r="V170" s="119">
        <f t="shared" si="322"/>
        <v>3.4501268940815821</v>
      </c>
      <c r="W170" s="119">
        <f t="shared" si="322"/>
        <v>3.4213758366309022</v>
      </c>
      <c r="X170" s="119">
        <f t="shared" si="322"/>
        <v>3.3928643713256448</v>
      </c>
      <c r="Y170" s="119">
        <f t="shared" si="322"/>
        <v>3.3645905015645976</v>
      </c>
      <c r="Z170" s="119">
        <f t="shared" si="322"/>
        <v>3.3365522473848928</v>
      </c>
      <c r="AA170" s="119">
        <f t="shared" si="322"/>
        <v>3.3087476453233515</v>
      </c>
      <c r="AB170" s="119">
        <f t="shared" si="322"/>
        <v>3.2811747482789904</v>
      </c>
      <c r="AC170" s="138">
        <f t="shared" si="312"/>
        <v>3.4047466331480924E-2</v>
      </c>
      <c r="AD170" s="31">
        <v>0.08</v>
      </c>
      <c r="AE170" s="127">
        <f t="shared" si="313"/>
        <v>24.234931678919459</v>
      </c>
    </row>
    <row r="171" spans="2:31" x14ac:dyDescent="0.2">
      <c r="B171" s="20" t="s">
        <v>259</v>
      </c>
      <c r="C171" s="25" t="e">
        <f t="shared" ref="C171:P171" si="323">C167/C64</f>
        <v>#DIV/0!</v>
      </c>
      <c r="D171" s="25" t="e">
        <f t="shared" si="323"/>
        <v>#DIV/0!</v>
      </c>
      <c r="E171" s="25" t="e">
        <f t="shared" si="323"/>
        <v>#DIV/0!</v>
      </c>
      <c r="F171" s="25" t="e">
        <f t="shared" si="323"/>
        <v>#DIV/0!</v>
      </c>
      <c r="G171" s="25">
        <f t="shared" si="323"/>
        <v>3.346478873239437</v>
      </c>
      <c r="H171" s="25">
        <f t="shared" si="323"/>
        <v>16.5</v>
      </c>
      <c r="I171" s="25">
        <f t="shared" si="323"/>
        <v>14.589473684210526</v>
      </c>
      <c r="J171" s="25">
        <f t="shared" si="323"/>
        <v>12.705882352941176</v>
      </c>
      <c r="K171" s="25">
        <f t="shared" si="323"/>
        <v>10.094117647058825</v>
      </c>
      <c r="L171" s="25">
        <f t="shared" si="323"/>
        <v>6.0860655737704921</v>
      </c>
      <c r="M171" s="25">
        <f t="shared" si="323"/>
        <v>11.619011406844105</v>
      </c>
      <c r="N171" s="25">
        <f t="shared" si="323"/>
        <v>15.14258142340169</v>
      </c>
      <c r="O171" s="25">
        <f t="shared" si="323"/>
        <v>14.248282582216808</v>
      </c>
      <c r="P171" s="25">
        <f t="shared" si="323"/>
        <v>8.477064220183486</v>
      </c>
      <c r="Q171" s="118">
        <f t="shared" si="309"/>
        <v>0.10879388115137378</v>
      </c>
      <c r="R171" s="128"/>
      <c r="S171" s="119">
        <f t="shared" ref="S171:AB171" si="324">S167/S64</f>
        <v>8.4064220183486231</v>
      </c>
      <c r="T171" s="119">
        <f t="shared" si="324"/>
        <v>8.3363685015290514</v>
      </c>
      <c r="U171" s="119">
        <f t="shared" si="324"/>
        <v>8.2668987640163092</v>
      </c>
      <c r="V171" s="119">
        <f t="shared" si="324"/>
        <v>8.1980079409828406</v>
      </c>
      <c r="W171" s="119">
        <f t="shared" si="324"/>
        <v>8.1296912081413151</v>
      </c>
      <c r="X171" s="119">
        <f t="shared" si="324"/>
        <v>8.0619437814068053</v>
      </c>
      <c r="Y171" s="119">
        <f t="shared" si="324"/>
        <v>7.9947609165617477</v>
      </c>
      <c r="Z171" s="119">
        <f t="shared" si="324"/>
        <v>7.9281379089237323</v>
      </c>
      <c r="AA171" s="119">
        <f t="shared" si="324"/>
        <v>7.862070093016035</v>
      </c>
      <c r="AB171" s="119">
        <f t="shared" si="324"/>
        <v>7.7965528422409021</v>
      </c>
      <c r="AC171" s="138">
        <f t="shared" si="312"/>
        <v>4.551999809792262E-2</v>
      </c>
      <c r="AD171" s="31">
        <v>0.08</v>
      </c>
      <c r="AE171" s="127">
        <f t="shared" si="313"/>
        <v>58.224656519929006</v>
      </c>
    </row>
    <row r="172" spans="2:31" x14ac:dyDescent="0.2">
      <c r="B172" s="20" t="s">
        <v>260</v>
      </c>
      <c r="C172" s="25" t="e">
        <f t="shared" ref="C172:P172" si="325">C167/C66</f>
        <v>#DIV/0!</v>
      </c>
      <c r="D172" s="25" t="e">
        <f t="shared" si="325"/>
        <v>#DIV/0!</v>
      </c>
      <c r="E172" s="25" t="e">
        <f t="shared" si="325"/>
        <v>#DIV/0!</v>
      </c>
      <c r="F172" s="25" t="e">
        <f t="shared" si="325"/>
        <v>#DIV/0!</v>
      </c>
      <c r="G172" s="25">
        <f t="shared" si="325"/>
        <v>5.1428571428571432</v>
      </c>
      <c r="H172" s="25">
        <f t="shared" si="325"/>
        <v>10.127877237851662</v>
      </c>
      <c r="I172" s="25">
        <f t="shared" si="325"/>
        <v>9.6473317865429227</v>
      </c>
      <c r="J172" s="25">
        <f t="shared" si="325"/>
        <v>9.0342205323193916</v>
      </c>
      <c r="K172" s="25">
        <f t="shared" si="325"/>
        <v>10.153846153846153</v>
      </c>
      <c r="L172" s="25">
        <f t="shared" si="325"/>
        <v>3.9285714285714288</v>
      </c>
      <c r="M172" s="25">
        <f t="shared" si="325"/>
        <v>18.225447316103381</v>
      </c>
      <c r="N172" s="25">
        <f t="shared" si="325"/>
        <v>19.077811550151974</v>
      </c>
      <c r="O172" s="25">
        <f t="shared" si="325"/>
        <v>14.300537897310512</v>
      </c>
      <c r="P172" s="25">
        <f t="shared" si="325"/>
        <v>7.2692307692307692</v>
      </c>
      <c r="Q172" s="118">
        <f t="shared" si="309"/>
        <v>3.9197807321384115E-2</v>
      </c>
      <c r="R172" s="128"/>
      <c r="S172" s="119">
        <f t="shared" ref="S172:AB172" si="326">S167/S66</f>
        <v>7.2086538461538456</v>
      </c>
      <c r="T172" s="119">
        <f t="shared" si="326"/>
        <v>7.1485817307692301</v>
      </c>
      <c r="U172" s="119">
        <f t="shared" si="326"/>
        <v>7.0890102163461535</v>
      </c>
      <c r="V172" s="119">
        <f t="shared" si="326"/>
        <v>7.0299351312099354</v>
      </c>
      <c r="W172" s="119">
        <f t="shared" si="326"/>
        <v>6.9713523384498526</v>
      </c>
      <c r="X172" s="119">
        <f t="shared" si="326"/>
        <v>6.9132577356294371</v>
      </c>
      <c r="Y172" s="119">
        <f t="shared" si="326"/>
        <v>6.8556472544991927</v>
      </c>
      <c r="Z172" s="119">
        <f t="shared" si="326"/>
        <v>6.7985168607116986</v>
      </c>
      <c r="AA172" s="119">
        <f t="shared" si="326"/>
        <v>6.7418625535391019</v>
      </c>
      <c r="AB172" s="119">
        <f t="shared" si="326"/>
        <v>6.6856803655929422</v>
      </c>
      <c r="AC172" s="138">
        <f t="shared" si="312"/>
        <v>1.3904154457392792E-2</v>
      </c>
      <c r="AD172" s="31">
        <v>0.08</v>
      </c>
      <c r="AE172" s="127">
        <f t="shared" si="313"/>
        <v>48.418850700349317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27">G167/G60</f>
        <v>1.3378378378378379</v>
      </c>
      <c r="H173" s="182">
        <f t="shared" si="327"/>
        <v>3.8372093023255816</v>
      </c>
      <c r="I173" s="182">
        <f t="shared" si="327"/>
        <v>3.5477815699658706</v>
      </c>
      <c r="J173" s="182">
        <f t="shared" si="327"/>
        <v>3.3230769230769233</v>
      </c>
      <c r="K173" s="182">
        <f t="shared" si="327"/>
        <v>3.225563909774436</v>
      </c>
      <c r="L173" s="182">
        <f t="shared" si="327"/>
        <v>1.4403491755577111</v>
      </c>
      <c r="M173" s="182">
        <f t="shared" si="327"/>
        <v>4.6772448979591834</v>
      </c>
      <c r="N173" s="182">
        <f t="shared" si="327"/>
        <v>5.4674216027874563</v>
      </c>
      <c r="O173" s="182">
        <f t="shared" si="327"/>
        <v>4.4326790450928382</v>
      </c>
      <c r="P173" s="182">
        <f t="shared" si="327"/>
        <v>2.5040725807665787</v>
      </c>
      <c r="Q173" s="118">
        <f t="shared" ref="Q173:Q175" si="328">((P173/G173)^(1/($H$2-$H$1) ))-1</f>
        <v>7.2134498933831503E-2</v>
      </c>
      <c r="R173" s="128"/>
      <c r="S173" s="135">
        <f t="shared" ref="S173:AB173" si="329">S167/S60</f>
        <v>2.4832053092601907</v>
      </c>
      <c r="T173" s="135">
        <f t="shared" si="329"/>
        <v>2.462511931683022</v>
      </c>
      <c r="U173" s="135">
        <f t="shared" si="329"/>
        <v>2.4419909989189974</v>
      </c>
      <c r="V173" s="135">
        <f t="shared" si="329"/>
        <v>2.4216410739280061</v>
      </c>
      <c r="W173" s="135">
        <f t="shared" si="329"/>
        <v>2.4014607316452725</v>
      </c>
      <c r="X173" s="135">
        <f t="shared" si="329"/>
        <v>2.3814485588815621</v>
      </c>
      <c r="Y173" s="135">
        <f t="shared" si="329"/>
        <v>2.3616031542242157</v>
      </c>
      <c r="Z173" s="135">
        <f t="shared" si="329"/>
        <v>2.3419231279390136</v>
      </c>
      <c r="AA173" s="135">
        <f t="shared" si="329"/>
        <v>2.3224071018728547</v>
      </c>
      <c r="AB173" s="135">
        <f t="shared" si="329"/>
        <v>2.3030537093572478</v>
      </c>
      <c r="AC173" s="138">
        <f t="shared" ref="AC173" si="330">((AB173/G173)^(1/($AB$3-$H$1) ))-1</f>
        <v>2.9001056346216636E-2</v>
      </c>
      <c r="AD173" s="31">
        <v>0.08</v>
      </c>
      <c r="AE173" s="127">
        <f t="shared" si="313"/>
        <v>16.927462141076287</v>
      </c>
    </row>
    <row r="174" spans="2:31" x14ac:dyDescent="0.2">
      <c r="B174" s="20" t="s">
        <v>371</v>
      </c>
      <c r="C174" s="161" t="e">
        <f t="shared" ref="C174:P174" si="331">C52/C167</f>
        <v>#DIV/0!</v>
      </c>
      <c r="D174" s="161" t="e">
        <f t="shared" si="331"/>
        <v>#DIV/0!</v>
      </c>
      <c r="E174" s="161" t="e">
        <f t="shared" si="331"/>
        <v>#DIV/0!</v>
      </c>
      <c r="F174" s="161" t="e">
        <f t="shared" si="331"/>
        <v>#DIV/0!</v>
      </c>
      <c r="G174" s="161">
        <f t="shared" si="331"/>
        <v>8.1649831649831653E-2</v>
      </c>
      <c r="H174" s="161">
        <f t="shared" si="331"/>
        <v>3.1818181818181815E-2</v>
      </c>
      <c r="I174" s="161">
        <f t="shared" si="331"/>
        <v>4.0404040404040401E-2</v>
      </c>
      <c r="J174" s="161">
        <f t="shared" si="331"/>
        <v>5.1978114478114477E-2</v>
      </c>
      <c r="K174" s="161">
        <f t="shared" si="331"/>
        <v>5.808080808080808E-2</v>
      </c>
      <c r="L174" s="161">
        <f t="shared" si="331"/>
        <v>0.14983164983164982</v>
      </c>
      <c r="M174" s="161">
        <f t="shared" si="331"/>
        <v>4.843248903724065E-2</v>
      </c>
      <c r="N174" s="161">
        <f t="shared" si="331"/>
        <v>4.7079629098556543E-2</v>
      </c>
      <c r="O174" s="161">
        <f t="shared" si="331"/>
        <v>5.0522147678545785E-2</v>
      </c>
      <c r="P174" s="161">
        <f t="shared" si="331"/>
        <v>9.1871091871091881E-2</v>
      </c>
      <c r="Q174" s="118">
        <f t="shared" si="328"/>
        <v>1.3191433914225392E-2</v>
      </c>
      <c r="R174" s="128"/>
      <c r="S174" s="161">
        <f t="shared" ref="S174:AB174" si="332">S52/S167</f>
        <v>9.2643117853201895E-2</v>
      </c>
      <c r="T174" s="161">
        <f t="shared" si="332"/>
        <v>9.3421631448606948E-2</v>
      </c>
      <c r="U174" s="161">
        <f t="shared" si="332"/>
        <v>9.420668717506582E-2</v>
      </c>
      <c r="V174" s="161">
        <f t="shared" si="332"/>
        <v>9.4998340008469739E-2</v>
      </c>
      <c r="W174" s="161">
        <f t="shared" si="332"/>
        <v>9.5796645386692164E-2</v>
      </c>
      <c r="X174" s="161">
        <f t="shared" si="332"/>
        <v>9.6601659213471081E-2</v>
      </c>
      <c r="Y174" s="161">
        <f t="shared" si="332"/>
        <v>9.7413437862323787E-2</v>
      </c>
      <c r="Z174" s="161">
        <f t="shared" si="332"/>
        <v>9.8232038180494585E-2</v>
      </c>
      <c r="AA174" s="161">
        <f t="shared" si="332"/>
        <v>9.9057517492935718E-2</v>
      </c>
      <c r="AB174" s="161">
        <f t="shared" si="332"/>
        <v>9.9889933606321729E-2</v>
      </c>
      <c r="AC174" s="138">
        <f t="shared" ref="AC174:AC175" si="333">((AB174/G174)^(1/($AB$3-$H$1) ))-1</f>
        <v>1.066856859336851E-2</v>
      </c>
      <c r="AD174" s="31">
        <v>0.08</v>
      </c>
      <c r="AE174" s="127">
        <f t="shared" si="313"/>
        <v>0.72111154439134129</v>
      </c>
    </row>
    <row r="175" spans="2:31" x14ac:dyDescent="0.2">
      <c r="B175" s="20" t="s">
        <v>320</v>
      </c>
      <c r="C175" s="152" t="e">
        <f t="shared" ref="C175:P175" si="334">C43/C167</f>
        <v>#DIV/0!</v>
      </c>
      <c r="D175" s="152" t="e">
        <f t="shared" si="334"/>
        <v>#DIV/0!</v>
      </c>
      <c r="E175" s="152" t="e">
        <f t="shared" si="334"/>
        <v>#DIV/0!</v>
      </c>
      <c r="F175" s="152" t="e">
        <f t="shared" si="334"/>
        <v>#DIV/0!</v>
      </c>
      <c r="G175" s="152">
        <f t="shared" si="334"/>
        <v>6.6666666666666666E-2</v>
      </c>
      <c r="H175" s="152">
        <f t="shared" si="334"/>
        <v>0.02</v>
      </c>
      <c r="I175" s="152">
        <f t="shared" si="334"/>
        <v>1.9047619047619049E-2</v>
      </c>
      <c r="J175" s="152">
        <f t="shared" si="334"/>
        <v>1.6666666666666666E-2</v>
      </c>
      <c r="K175" s="152">
        <f t="shared" si="334"/>
        <v>1.5384615384615385E-2</v>
      </c>
      <c r="L175" s="152">
        <f t="shared" si="334"/>
        <v>0.06</v>
      </c>
      <c r="M175" s="152">
        <f t="shared" si="334"/>
        <v>2.591792656587473E-2</v>
      </c>
      <c r="N175" s="152">
        <f t="shared" si="334"/>
        <v>2.365930599369085E-2</v>
      </c>
      <c r="O175" s="152">
        <f t="shared" si="334"/>
        <v>2.6066350710900472E-2</v>
      </c>
      <c r="P175" s="152">
        <f t="shared" si="334"/>
        <v>4.3333333333333335E-2</v>
      </c>
      <c r="Q175" s="118">
        <f t="shared" si="328"/>
        <v>-4.6737310451963721E-2</v>
      </c>
      <c r="R175" s="128"/>
      <c r="S175" s="152">
        <f t="shared" ref="S175:AB175" si="335">S43/S167</f>
        <v>4.3333333333333335E-2</v>
      </c>
      <c r="T175" s="152">
        <f t="shared" si="335"/>
        <v>4.3333333333333335E-2</v>
      </c>
      <c r="U175" s="152">
        <f t="shared" si="335"/>
        <v>4.3333333333333335E-2</v>
      </c>
      <c r="V175" s="152">
        <f t="shared" si="335"/>
        <v>4.3333333333333342E-2</v>
      </c>
      <c r="W175" s="152">
        <f t="shared" si="335"/>
        <v>4.3333333333333335E-2</v>
      </c>
      <c r="X175" s="152">
        <f t="shared" si="335"/>
        <v>4.3333333333333335E-2</v>
      </c>
      <c r="Y175" s="152">
        <f t="shared" si="335"/>
        <v>4.3333333333333335E-2</v>
      </c>
      <c r="Z175" s="152">
        <f t="shared" si="335"/>
        <v>4.3333333333333342E-2</v>
      </c>
      <c r="AA175" s="152">
        <f t="shared" si="335"/>
        <v>4.3333333333333342E-2</v>
      </c>
      <c r="AB175" s="152">
        <f t="shared" si="335"/>
        <v>4.3333333333333342E-2</v>
      </c>
      <c r="AC175" s="138">
        <f t="shared" si="333"/>
        <v>-2.2417689016017706E-2</v>
      </c>
      <c r="AD175" s="31">
        <v>0.08</v>
      </c>
      <c r="AE175" s="127">
        <f t="shared" si="313"/>
        <v>0.30258500101885172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8" t="s">
        <v>351</v>
      </c>
      <c r="L178" s="199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0.58934365275153255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0.15226257237878277</v>
      </c>
      <c r="N180" s="20"/>
      <c r="O180" s="20"/>
      <c r="P180" s="128">
        <f>(P167-R146)/P167</f>
        <v>0.15226257237878277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0.39093417857198481</v>
      </c>
      <c r="N181" s="20"/>
      <c r="O181" s="20"/>
      <c r="P181" s="128">
        <f>(P167-R139)/P167</f>
        <v>0.39093417857198481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0.88984638115820736</v>
      </c>
      <c r="N182" s="20"/>
      <c r="O182" s="20"/>
      <c r="P182" s="128">
        <f>(P167-R152)/P167</f>
        <v>0.88984638115820736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1</v>
      </c>
      <c r="N183" s="20"/>
      <c r="O183" s="20"/>
      <c r="P183" s="128">
        <f>(P167-R164)/P167</f>
        <v>1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5.1275848017417731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0.19502359076739464</v>
      </c>
      <c r="Q185" s="20"/>
      <c r="R185" s="20"/>
      <c r="S185" s="185">
        <f>P167-S186</f>
        <v>282.05</v>
      </c>
      <c r="T185" s="185">
        <f>S185-T186</f>
        <v>263.20249999999999</v>
      </c>
      <c r="U185" s="185">
        <f t="shared" ref="U185:W185" si="336">T185-U186</f>
        <v>243.41262499999999</v>
      </c>
      <c r="V185" s="185">
        <f t="shared" si="336"/>
        <v>222.63325624999999</v>
      </c>
      <c r="W185" s="185">
        <f t="shared" si="336"/>
        <v>200.8149190625</v>
      </c>
      <c r="X185" s="185">
        <f>W185-X186</f>
        <v>177.905665015625</v>
      </c>
      <c r="Y185" s="185">
        <f t="shared" ref="Y185:AB185" si="337">X185-Y186</f>
        <v>153.85094826640625</v>
      </c>
      <c r="Z185" s="185">
        <f t="shared" si="337"/>
        <v>128.59349567972657</v>
      </c>
      <c r="AA185" s="185">
        <f t="shared" si="337"/>
        <v>102.0731704637129</v>
      </c>
      <c r="AB185" s="185">
        <f t="shared" si="337"/>
        <v>74.226828986898539</v>
      </c>
      <c r="AC185" s="185">
        <f t="shared" ref="AC185" si="338">AB185-AC186</f>
        <v>44.988170436243458</v>
      </c>
      <c r="AD185" s="185">
        <f t="shared" ref="AD185" si="339">AC185-AD186</f>
        <v>14.287578958055622</v>
      </c>
      <c r="AE185" s="185">
        <f t="shared" ref="AE185" si="340">AD185-AE186</f>
        <v>-17.948042094041607</v>
      </c>
      <c r="AF185" s="185">
        <f t="shared" ref="AF185" si="341">AE185-AF186</f>
        <v>-51.795444198743695</v>
      </c>
      <c r="AG185" s="185">
        <f t="shared" ref="AG185" si="342">AF185-AG186</f>
        <v>-87.335216408680893</v>
      </c>
      <c r="AH185" s="185">
        <f t="shared" ref="AH185" si="343">AG185-AH186</f>
        <v>-124.65197722911495</v>
      </c>
      <c r="AI185" s="185">
        <f t="shared" ref="AI185" si="344">AH185-AI186</f>
        <v>-163.83457609057072</v>
      </c>
      <c r="AJ185" s="185">
        <f t="shared" ref="AJ185" si="345">AI185-AJ186</f>
        <v>-204.97630489509928</v>
      </c>
      <c r="AK185" s="185">
        <f t="shared" ref="AK185" si="346">AJ185-AK186</f>
        <v>-248.17512013985424</v>
      </c>
      <c r="AL185" s="185">
        <f t="shared" ref="AL185" si="347">AK185-AL186</f>
        <v>-293.53387614684698</v>
      </c>
      <c r="AM185" s="185">
        <f t="shared" ref="AM185" si="348">AL185-AM186</f>
        <v>-341.16056995418933</v>
      </c>
      <c r="AN185" s="185">
        <f t="shared" ref="AN185" si="349">AM185-AN186</f>
        <v>-391.16859845189879</v>
      </c>
      <c r="AO185" s="185">
        <f t="shared" ref="AO185" si="350">AN185-AO186</f>
        <v>-443.67702837449377</v>
      </c>
      <c r="AP185" s="185">
        <f t="shared" ref="AP185" si="351">AO185-AP186</f>
        <v>-498.81087979321848</v>
      </c>
      <c r="AQ185" s="185">
        <f t="shared" ref="AQ185" si="352">AP185-AQ186</f>
        <v>-556.70142378287937</v>
      </c>
      <c r="AR185" s="185">
        <f t="shared" ref="AR185" si="353">AQ185-AR186</f>
        <v>-617.48649497202337</v>
      </c>
      <c r="AS185" s="185">
        <f t="shared" ref="AS185" si="354">AR185-AS186</f>
        <v>-681.31081972062452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/>
      <c r="N186" s="20"/>
      <c r="O186" s="20"/>
      <c r="P186" s="181">
        <f>P167/Q137</f>
        <v>17.548746518105851</v>
      </c>
      <c r="Q186" s="20"/>
      <c r="R186" s="20"/>
      <c r="S186" s="186">
        <f>Q137*(1+$K$186)</f>
        <v>17.95</v>
      </c>
      <c r="T186" s="186">
        <f>S186*(1+$K$186)</f>
        <v>18.8475</v>
      </c>
      <c r="U186" s="186">
        <f t="shared" ref="U186:AB186" si="355">T186*(1+$K$186)</f>
        <v>19.789875000000002</v>
      </c>
      <c r="V186" s="186">
        <f t="shared" si="355"/>
        <v>20.779368750000003</v>
      </c>
      <c r="W186" s="186">
        <f t="shared" si="355"/>
        <v>21.818337187500003</v>
      </c>
      <c r="X186" s="186">
        <f t="shared" si="355"/>
        <v>22.909254046875002</v>
      </c>
      <c r="Y186" s="186">
        <f t="shared" si="355"/>
        <v>24.054716749218752</v>
      </c>
      <c r="Z186" s="186">
        <f t="shared" si="355"/>
        <v>25.25745258667969</v>
      </c>
      <c r="AA186" s="186">
        <f t="shared" si="355"/>
        <v>26.520325216013678</v>
      </c>
      <c r="AB186" s="186">
        <f t="shared" si="355"/>
        <v>27.846341476814363</v>
      </c>
      <c r="AC186" s="186">
        <f t="shared" ref="AC186" si="356">AB186*(1+$K$186)</f>
        <v>29.238658550655082</v>
      </c>
      <c r="AD186" s="186">
        <f t="shared" ref="AD186" si="357">AC186*(1+$K$186)</f>
        <v>30.700591478187835</v>
      </c>
      <c r="AE186" s="186">
        <f t="shared" ref="AE186" si="358">AD186*(1+$K$186)</f>
        <v>32.23562105209723</v>
      </c>
      <c r="AF186" s="186">
        <f t="shared" ref="AF186" si="359">AE186*(1+$K$186)</f>
        <v>33.847402104702091</v>
      </c>
      <c r="AG186" s="186">
        <f t="shared" ref="AG186" si="360">AF186*(1+$K$186)</f>
        <v>35.539772209937198</v>
      </c>
      <c r="AH186" s="186">
        <f t="shared" ref="AH186" si="361">AG186*(1+$K$186)</f>
        <v>37.316760820434062</v>
      </c>
      <c r="AI186" s="186">
        <f t="shared" ref="AI186" si="362">AH186*(1+$K$186)</f>
        <v>39.182598861455766</v>
      </c>
      <c r="AJ186" s="186">
        <f t="shared" ref="AJ186" si="363">AI186*(1+$K$186)</f>
        <v>41.141728804528555</v>
      </c>
      <c r="AK186" s="186">
        <f t="shared" ref="AK186" si="364">AJ186*(1+$K$186)</f>
        <v>43.198815244754982</v>
      </c>
      <c r="AL186" s="186">
        <f t="shared" ref="AL186" si="365">AK186*(1+$K$186)</f>
        <v>45.358756006992735</v>
      </c>
      <c r="AM186" s="186">
        <f t="shared" ref="AM186" si="366">AL186*(1+$K$186)</f>
        <v>47.62669380734237</v>
      </c>
      <c r="AN186" s="186">
        <f t="shared" ref="AN186" si="367">AM186*(1+$K$186)</f>
        <v>50.008028497709489</v>
      </c>
      <c r="AO186" s="186">
        <f t="shared" ref="AO186" si="368">AN186*(1+$K$186)</f>
        <v>52.508429922594964</v>
      </c>
      <c r="AP186" s="186">
        <f t="shared" ref="AP186" si="369">AO186*(1+$K$186)</f>
        <v>55.133851418724717</v>
      </c>
      <c r="AQ186" s="186">
        <f t="shared" ref="AQ186" si="370">AP186*(1+$K$186)</f>
        <v>57.890543989660955</v>
      </c>
      <c r="AR186" s="186">
        <f t="shared" ref="AR186" si="371">AQ186*(1+$K$186)</f>
        <v>60.785071189144006</v>
      </c>
      <c r="AS186" s="186">
        <f t="shared" ref="AS186" si="372">AR186*(1+$K$186)</f>
        <v>63.824324748601207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7"/>
      <c r="N187" s="20"/>
      <c r="O187" s="20"/>
      <c r="P187" s="181">
        <f>P167/P52</f>
        <v>10.884816753926701</v>
      </c>
      <c r="Q187" s="20"/>
      <c r="R187" s="20"/>
      <c r="S187" s="186">
        <f>P52*(1+$K$187)</f>
        <v>28.939393939393941</v>
      </c>
      <c r="T187" s="186">
        <f>S187*(1+$K$187)</f>
        <v>30.38636363636364</v>
      </c>
      <c r="U187" s="186">
        <f t="shared" ref="U187:AB187" si="373">T187*(1+$K$187)</f>
        <v>31.905681818181822</v>
      </c>
      <c r="V187" s="186">
        <f t="shared" si="373"/>
        <v>33.500965909090915</v>
      </c>
      <c r="W187" s="186">
        <f t="shared" si="373"/>
        <v>35.17601420454546</v>
      </c>
      <c r="X187" s="186">
        <f t="shared" si="373"/>
        <v>36.934814914772737</v>
      </c>
      <c r="Y187" s="186">
        <f t="shared" si="373"/>
        <v>38.781555660511373</v>
      </c>
      <c r="Z187" s="186">
        <f t="shared" si="373"/>
        <v>40.72063344353694</v>
      </c>
      <c r="AA187" s="186">
        <f t="shared" si="373"/>
        <v>42.756665115713787</v>
      </c>
      <c r="AB187" s="186">
        <f t="shared" si="373"/>
        <v>44.894498371499481</v>
      </c>
      <c r="AC187" s="186">
        <f t="shared" ref="AC187" si="374">AB187*(1+$K$187)</f>
        <v>47.139223290074455</v>
      </c>
      <c r="AD187" s="186">
        <f t="shared" ref="AD187" si="375">AC187*(1+$K$187)</f>
        <v>49.496184454578177</v>
      </c>
      <c r="AE187" s="186">
        <f t="shared" ref="AE187" si="376">AD187*(1+$K$187)</f>
        <v>51.970993677307085</v>
      </c>
      <c r="AF187" s="186">
        <f t="shared" ref="AF187" si="377">AE187*(1+$K$187)</f>
        <v>54.569543361172443</v>
      </c>
      <c r="AG187" s="186">
        <f t="shared" ref="AG187" si="378">AF187*(1+$K$187)</f>
        <v>57.298020529231067</v>
      </c>
      <c r="AH187" s="186">
        <f t="shared" ref="AH187" si="379">AG187*(1+$K$187)</f>
        <v>60.16292155569262</v>
      </c>
      <c r="AI187" s="186">
        <f t="shared" ref="AI187" si="380">AH187*(1+$K$187)</f>
        <v>63.17106763347725</v>
      </c>
      <c r="AJ187" s="186">
        <f t="shared" ref="AJ187" si="381">AI187*(1+$K$187)</f>
        <v>66.329621015151119</v>
      </c>
      <c r="AK187" s="186">
        <f t="shared" ref="AK187" si="382">AJ187*(1+$K$187)</f>
        <v>69.646102065908678</v>
      </c>
      <c r="AL187" s="186">
        <f t="shared" ref="AL187" si="383">AK187*(1+$K$187)</f>
        <v>73.12840716920411</v>
      </c>
      <c r="AM187" s="186">
        <f t="shared" ref="AM187" si="384">AL187*(1+$K$187)</f>
        <v>76.784827527664319</v>
      </c>
      <c r="AN187" s="186">
        <f t="shared" ref="AN187" si="385">AM187*(1+$K$187)</f>
        <v>80.624068904047533</v>
      </c>
      <c r="AO187" s="186">
        <f t="shared" ref="AO187" si="386">AN187*(1+$K$187)</f>
        <v>84.655272349249913</v>
      </c>
      <c r="AP187" s="186">
        <f t="shared" ref="AP187" si="387">AO187*(1+$K$187)</f>
        <v>88.888035966712408</v>
      </c>
      <c r="AQ187" s="186">
        <f t="shared" ref="AQ187" si="388">AP187*(1+$K$187)</f>
        <v>93.332437765048027</v>
      </c>
      <c r="AR187" s="186">
        <f t="shared" ref="AR187" si="389">AQ187*(1+$K$187)</f>
        <v>97.999059653300435</v>
      </c>
      <c r="AS187" s="186">
        <f t="shared" ref="AS187" si="390">AR187*(1+$K$187)</f>
        <v>102.89901263596546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271.06060606060606</v>
      </c>
      <c r="T188" s="185">
        <f>S188-T187</f>
        <v>240.67424242424244</v>
      </c>
      <c r="U188" s="185">
        <f t="shared" ref="U188:Z188" si="391">T188-U187</f>
        <v>208.76856060606062</v>
      </c>
      <c r="V188" s="185">
        <f t="shared" si="391"/>
        <v>175.2675946969697</v>
      </c>
      <c r="W188" s="185">
        <f t="shared" si="391"/>
        <v>140.09158049242424</v>
      </c>
      <c r="X188" s="185">
        <f t="shared" si="391"/>
        <v>103.1567655776515</v>
      </c>
      <c r="Y188" s="185">
        <f t="shared" si="391"/>
        <v>64.375209917140126</v>
      </c>
      <c r="Z188" s="185">
        <f t="shared" si="391"/>
        <v>23.654576473603186</v>
      </c>
      <c r="AA188" s="185">
        <f>Z188-AA187</f>
        <v>-19.102088642110601</v>
      </c>
      <c r="AB188" s="185">
        <f t="shared" ref="AB188" si="392">AA188-AB187</f>
        <v>-63.996587013610082</v>
      </c>
      <c r="AC188" s="185">
        <f t="shared" ref="AC188" si="393">AB188-AC187</f>
        <v>-111.13581030368454</v>
      </c>
      <c r="AD188" s="185">
        <f t="shared" ref="AD188" si="394">AC188-AD187</f>
        <v>-160.63199475826272</v>
      </c>
      <c r="AE188" s="185">
        <f t="shared" ref="AE188" si="395">AD188-AE187</f>
        <v>-212.60298843556981</v>
      </c>
      <c r="AF188" s="185">
        <f t="shared" ref="AF188" si="396">AE188-AF187</f>
        <v>-267.17253179674225</v>
      </c>
      <c r="AG188" s="185">
        <f t="shared" ref="AG188" si="397">AF188-AG187</f>
        <v>-324.4705523259733</v>
      </c>
      <c r="AH188" s="185">
        <f t="shared" ref="AH188" si="398">AG188-AH187</f>
        <v>-384.63347388166591</v>
      </c>
      <c r="AI188" s="185">
        <f t="shared" ref="AI188" si="399">AH188-AI187</f>
        <v>-447.80454151514317</v>
      </c>
      <c r="AJ188" s="185">
        <f t="shared" ref="AJ188" si="400">AI188-AJ187</f>
        <v>-514.13416253029425</v>
      </c>
      <c r="AK188" s="185">
        <f t="shared" ref="AK188" si="401">AJ188-AK187</f>
        <v>-583.78026459620287</v>
      </c>
      <c r="AL188" s="185">
        <f t="shared" ref="AL188" si="402">AK188-AL187</f>
        <v>-656.90867176540701</v>
      </c>
      <c r="AM188" s="185">
        <f t="shared" ref="AM188" si="403">AL188-AM187</f>
        <v>-733.69349929307134</v>
      </c>
      <c r="AN188" s="185">
        <f t="shared" ref="AN188" si="404">AM188-AN187</f>
        <v>-814.31756819711882</v>
      </c>
      <c r="AO188" s="185">
        <f t="shared" ref="AO188" si="405">AN188-AO187</f>
        <v>-898.97284054636873</v>
      </c>
      <c r="AP188" s="185">
        <f t="shared" ref="AP188" si="406">AO188-AP187</f>
        <v>-987.86087651308117</v>
      </c>
      <c r="AQ188" s="185">
        <f t="shared" ref="AQ188" si="407">AP188-AQ187</f>
        <v>-1081.1933142781293</v>
      </c>
      <c r="AR188" s="185">
        <f t="shared" ref="AR188" si="408">AQ188-AR187</f>
        <v>-1179.1923739314298</v>
      </c>
      <c r="AS188" s="185">
        <f t="shared" ref="AS188" si="409">AR188-AS187</f>
        <v>-1282.0913865673951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10">C10/C7</f>
        <v>#DIV/0!</v>
      </c>
      <c r="D190" s="25" t="e">
        <f t="shared" si="410"/>
        <v>#DIV/0!</v>
      </c>
      <c r="E190" s="25" t="e">
        <f t="shared" si="410"/>
        <v>#DIV/0!</v>
      </c>
      <c r="F190" s="25" t="e">
        <f t="shared" si="410"/>
        <v>#DIV/0!</v>
      </c>
      <c r="G190" s="25">
        <f t="shared" si="410"/>
        <v>7.7455048409405258E-2</v>
      </c>
      <c r="H190" s="25">
        <f t="shared" si="410"/>
        <v>9.3053735255570119E-2</v>
      </c>
      <c r="I190" s="25">
        <f t="shared" si="410"/>
        <v>5.1643192488262914E-2</v>
      </c>
      <c r="J190" s="25">
        <f t="shared" si="410"/>
        <v>3.4313725490196081E-2</v>
      </c>
      <c r="K190" s="25">
        <f t="shared" si="410"/>
        <v>2.7552674230145867E-2</v>
      </c>
      <c r="L190" s="25">
        <f t="shared" si="410"/>
        <v>1.8855218855218854E-2</v>
      </c>
      <c r="M190" s="25">
        <f t="shared" si="410"/>
        <v>5.7655349135169766E-3</v>
      </c>
      <c r="N190" s="25">
        <f t="shared" si="410"/>
        <v>9.9667774086378731E-3</v>
      </c>
      <c r="O190" s="25">
        <f t="shared" si="410"/>
        <v>0</v>
      </c>
      <c r="P190" s="25">
        <f t="shared" si="410"/>
        <v>4.1911148365465213E-6</v>
      </c>
      <c r="Q190" s="118">
        <f t="shared" ref="Q190:Q192" si="411">((P190/G190)^(1/($H$2-$H$1) ))-1</f>
        <v>-0.66432423973301069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2.9473684210526314</v>
      </c>
      <c r="H191" s="112">
        <f t="shared" ref="H191:P191" si="412">H10/H12</f>
        <v>7.1</v>
      </c>
      <c r="I191" s="112">
        <f t="shared" si="412"/>
        <v>3.3846153846153846</v>
      </c>
      <c r="J191" s="112">
        <f t="shared" si="412"/>
        <v>0.63636363636363635</v>
      </c>
      <c r="K191" s="112">
        <f t="shared" si="412"/>
        <v>1.4166666666666667</v>
      </c>
      <c r="L191" s="112">
        <f t="shared" si="412"/>
        <v>0.5957446808510638</v>
      </c>
      <c r="M191" s="112">
        <f t="shared" si="412"/>
        <v>0.16071428571428573</v>
      </c>
      <c r="N191" s="112">
        <f t="shared" si="412"/>
        <v>0.17307692307692307</v>
      </c>
      <c r="O191" s="112">
        <f t="shared" si="412"/>
        <v>0</v>
      </c>
      <c r="P191" s="112">
        <f t="shared" si="412"/>
        <v>2.8248587570621469E-5</v>
      </c>
      <c r="Q191" s="118">
        <f t="shared" si="411"/>
        <v>-0.72305354371146602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0.15774647887323945</v>
      </c>
      <c r="H192" s="25">
        <f t="shared" ref="H192:P192" si="413">H10/(H12+H13)</f>
        <v>0.29583333333333334</v>
      </c>
      <c r="I192" s="25">
        <f t="shared" si="413"/>
        <v>0.15438596491228071</v>
      </c>
      <c r="J192" s="25">
        <f t="shared" si="413"/>
        <v>9.3582887700534759E-2</v>
      </c>
      <c r="K192" s="25">
        <f t="shared" si="413"/>
        <v>6.6666666666666666E-2</v>
      </c>
      <c r="L192" s="25">
        <f t="shared" si="413"/>
        <v>5.737704918032787E-2</v>
      </c>
      <c r="M192" s="25">
        <f t="shared" si="413"/>
        <v>1.1406844106463879E-2</v>
      </c>
      <c r="N192" s="25">
        <f t="shared" si="413"/>
        <v>2.1712907117008445E-2</v>
      </c>
      <c r="O192" s="25">
        <f t="shared" si="413"/>
        <v>0</v>
      </c>
      <c r="P192" s="25">
        <f t="shared" si="413"/>
        <v>1.019367991845056E-5</v>
      </c>
      <c r="Q192" s="118">
        <f t="shared" si="411"/>
        <v>-0.65763788386990008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5" t="s">
        <v>337</v>
      </c>
      <c r="M195" s="196"/>
      <c r="N195" s="197"/>
      <c r="O195" s="23" t="s">
        <v>340</v>
      </c>
      <c r="P195" s="20"/>
      <c r="Q195" s="195" t="s">
        <v>338</v>
      </c>
      <c r="R195" s="196"/>
      <c r="S195" s="197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60</v>
      </c>
      <c r="E197" s="176" t="s">
        <v>384</v>
      </c>
      <c r="F197" s="22">
        <v>2</v>
      </c>
      <c r="G197" s="22">
        <v>5</v>
      </c>
      <c r="H197" s="167">
        <f>F197/G197</f>
        <v>0.4</v>
      </c>
      <c r="I197" s="167">
        <f>H197*D198</f>
        <v>4</v>
      </c>
      <c r="J197" s="177">
        <f>I197+D198</f>
        <v>14</v>
      </c>
      <c r="K197" s="20"/>
      <c r="L197" s="167" t="s">
        <v>341</v>
      </c>
      <c r="M197" s="167"/>
      <c r="N197" s="21">
        <v>42</v>
      </c>
      <c r="O197" s="173">
        <f>N197</f>
        <v>42</v>
      </c>
      <c r="P197" s="20"/>
      <c r="Q197" s="167" t="s">
        <v>341</v>
      </c>
      <c r="R197" s="167"/>
      <c r="S197" s="21">
        <v>1</v>
      </c>
      <c r="T197" s="173">
        <f>S197</f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10</v>
      </c>
      <c r="E198" s="176" t="s">
        <v>385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14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600</v>
      </c>
      <c r="E199" s="176" t="s">
        <v>398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14</v>
      </c>
      <c r="K199" s="20"/>
      <c r="L199" s="167" t="s">
        <v>343</v>
      </c>
      <c r="M199" s="167"/>
      <c r="N199" s="168">
        <f>N197*N198</f>
        <v>42</v>
      </c>
      <c r="O199" s="173">
        <f>N199</f>
        <v>42</v>
      </c>
      <c r="P199" s="20"/>
      <c r="Q199" s="167" t="s">
        <v>344</v>
      </c>
      <c r="R199" s="167"/>
      <c r="S199" s="168">
        <f>S197*S198</f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1</v>
      </c>
      <c r="H200" s="167">
        <f>F200/G200</f>
        <v>10</v>
      </c>
      <c r="I200" s="167">
        <f>H200*J199</f>
        <v>140</v>
      </c>
      <c r="J200" s="167">
        <f>I200</f>
        <v>140</v>
      </c>
      <c r="K200" s="20"/>
      <c r="L200" s="167" t="s">
        <v>345</v>
      </c>
      <c r="M200" s="167"/>
      <c r="N200" s="21">
        <v>560</v>
      </c>
      <c r="O200" s="21">
        <v>615</v>
      </c>
      <c r="P200" s="20"/>
      <c r="Q200" s="167" t="s">
        <v>345</v>
      </c>
      <c r="R200" s="167"/>
      <c r="S200" s="21">
        <v>1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555</v>
      </c>
      <c r="E201" s="176"/>
      <c r="F201" s="167"/>
      <c r="G201" s="167"/>
      <c r="H201" s="169" t="s">
        <v>387</v>
      </c>
      <c r="I201" s="167"/>
      <c r="J201" s="167">
        <f>J200</f>
        <v>140</v>
      </c>
      <c r="K201" s="20"/>
      <c r="L201" s="167" t="s">
        <v>346</v>
      </c>
      <c r="M201" s="167"/>
      <c r="N201" s="168">
        <f>N200*N198</f>
        <v>560</v>
      </c>
      <c r="O201" s="168">
        <f>O200*O198</f>
        <v>615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14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50</v>
      </c>
      <c r="J202" s="177">
        <f>I202</f>
        <v>50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1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7770</v>
      </c>
      <c r="E203" s="167"/>
      <c r="F203" s="167"/>
      <c r="G203" s="167"/>
      <c r="H203" s="169" t="s">
        <v>387</v>
      </c>
      <c r="I203" s="167"/>
      <c r="J203" s="167">
        <f>J202</f>
        <v>50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250</v>
      </c>
      <c r="J204" s="167">
        <f>I204</f>
        <v>250</v>
      </c>
      <c r="K204" s="20"/>
      <c r="L204" s="169" t="s">
        <v>347</v>
      </c>
      <c r="M204" s="169"/>
      <c r="N204" s="170">
        <f>N201/N199</f>
        <v>13.333333333333334</v>
      </c>
      <c r="O204" s="170">
        <f>O201/O199</f>
        <v>14.642857142857142</v>
      </c>
      <c r="P204" s="20"/>
      <c r="Q204" s="169" t="s">
        <v>347</v>
      </c>
      <c r="R204" s="169"/>
      <c r="S204" s="170">
        <f>S202/S199</f>
        <v>1</v>
      </c>
      <c r="T204" s="170">
        <f>T202/T199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12.95</v>
      </c>
      <c r="E205" s="176"/>
      <c r="F205" s="167"/>
      <c r="G205" s="167"/>
      <c r="H205" s="169" t="s">
        <v>387</v>
      </c>
      <c r="I205" s="167"/>
      <c r="J205" s="167">
        <f>J204</f>
        <v>250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8" t="s">
        <v>27</v>
      </c>
      <c r="E208" s="189"/>
      <c r="F208" s="189"/>
      <c r="G208" s="190"/>
      <c r="H208" s="20"/>
      <c r="I208" s="188" t="s">
        <v>393</v>
      </c>
      <c r="J208" s="189"/>
      <c r="K208" s="19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600</v>
      </c>
      <c r="H209" s="20"/>
      <c r="I209" s="20" t="s">
        <v>28</v>
      </c>
      <c r="J209" s="127"/>
      <c r="K209" s="21">
        <f>G209</f>
        <v>600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7770</v>
      </c>
      <c r="H210" s="20"/>
      <c r="I210" s="20" t="s">
        <v>29</v>
      </c>
      <c r="J210" s="20"/>
      <c r="K210" s="21">
        <f>G210</f>
        <v>7770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11.95</v>
      </c>
      <c r="H212" s="20"/>
      <c r="I212" s="23" t="s">
        <v>394</v>
      </c>
      <c r="J212" s="23"/>
      <c r="K212" s="23">
        <f>(K210-K209)/K209</f>
        <v>11.95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395</v>
      </c>
      <c r="J213" s="23"/>
      <c r="K213" s="23">
        <f>K210/K209</f>
        <v>12.95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11.95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2014-04-19T18:43:28Z</dcterms:modified>
</cp:coreProperties>
</file>
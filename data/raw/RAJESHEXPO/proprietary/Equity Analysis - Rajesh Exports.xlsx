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R43" i="18" l="1"/>
  <c r="R42" i="18"/>
  <c r="S42" i="18" l="1"/>
  <c r="K183" i="18" l="1"/>
  <c r="K182" i="18"/>
  <c r="K181" i="18"/>
  <c r="K180" i="18"/>
  <c r="AD38" i="18" l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P39" i="18"/>
  <c r="O39" i="18"/>
  <c r="N39" i="18"/>
  <c r="M39" i="18"/>
  <c r="L39" i="18"/>
  <c r="K39" i="18"/>
  <c r="J39" i="18"/>
  <c r="I39" i="18"/>
  <c r="H39" i="18"/>
  <c r="G39" i="18"/>
  <c r="AE38" i="18" l="1"/>
  <c r="AC38" i="18"/>
  <c r="K187" i="18" l="1"/>
  <c r="K186" i="18"/>
  <c r="T201" i="18" l="1"/>
  <c r="T202" i="18" s="1"/>
  <c r="D199" i="18"/>
  <c r="G209" i="18" s="1"/>
  <c r="H199" i="18"/>
  <c r="L26" i="18"/>
  <c r="L103" i="18"/>
  <c r="J103" i="18"/>
  <c r="H103" i="18"/>
  <c r="F103" i="18"/>
  <c r="G103" i="18"/>
  <c r="I103" i="18"/>
  <c r="K103" i="18"/>
  <c r="M103" i="18"/>
  <c r="N103" i="18"/>
  <c r="O103" i="18"/>
  <c r="P103" i="18"/>
  <c r="H134" i="18"/>
  <c r="I134" i="18"/>
  <c r="J134" i="18"/>
  <c r="K134" i="18"/>
  <c r="L134" i="18"/>
  <c r="M134" i="18"/>
  <c r="N134" i="18"/>
  <c r="O134" i="18"/>
  <c r="P134" i="18"/>
  <c r="H133" i="18"/>
  <c r="I133" i="18"/>
  <c r="J133" i="18"/>
  <c r="K133" i="18"/>
  <c r="L133" i="18"/>
  <c r="M133" i="18"/>
  <c r="N133" i="18"/>
  <c r="O133" i="18"/>
  <c r="P133" i="18"/>
  <c r="G213" i="18"/>
  <c r="G214" i="18" s="1"/>
  <c r="AD53" i="18"/>
  <c r="C53" i="18"/>
  <c r="D53" i="18"/>
  <c r="E53" i="18"/>
  <c r="F53" i="18"/>
  <c r="H53" i="18"/>
  <c r="I53" i="18"/>
  <c r="J53" i="18"/>
  <c r="K53" i="18"/>
  <c r="L53" i="18"/>
  <c r="M53" i="18"/>
  <c r="N53" i="18"/>
  <c r="O53" i="18"/>
  <c r="P53" i="18"/>
  <c r="G53" i="18"/>
  <c r="H204" i="18"/>
  <c r="D203" i="18"/>
  <c r="G210" i="18" s="1"/>
  <c r="K210" i="18" s="1"/>
  <c r="H202" i="18"/>
  <c r="I202" i="18" s="1"/>
  <c r="J202" i="18" s="1"/>
  <c r="J203" i="18" s="1"/>
  <c r="H200" i="18"/>
  <c r="H198" i="18"/>
  <c r="H197" i="18"/>
  <c r="I197" i="18" s="1"/>
  <c r="J197" i="18" s="1"/>
  <c r="G212" i="18" l="1"/>
  <c r="K209" i="18"/>
  <c r="K212" i="18" s="1"/>
  <c r="G215" i="18"/>
  <c r="D205" i="18"/>
  <c r="Q53" i="18"/>
  <c r="I198" i="18"/>
  <c r="J198" i="18" s="1"/>
  <c r="I204" i="18"/>
  <c r="J204" i="18" s="1"/>
  <c r="J205" i="18" s="1"/>
  <c r="H88" i="18"/>
  <c r="I88" i="18"/>
  <c r="J88" i="18"/>
  <c r="K88" i="18"/>
  <c r="L88" i="18"/>
  <c r="M88" i="18"/>
  <c r="N88" i="18"/>
  <c r="O88" i="18"/>
  <c r="P88" i="18"/>
  <c r="G88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4" i="18"/>
  <c r="G133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98" i="18"/>
  <c r="T197" i="18"/>
  <c r="O198" i="18"/>
  <c r="O201" i="18" s="1"/>
  <c r="O197" i="18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1" i="18"/>
  <c r="H97" i="18" s="1"/>
  <c r="I91" i="18"/>
  <c r="I97" i="18" s="1"/>
  <c r="J91" i="18"/>
  <c r="J97" i="18" s="1"/>
  <c r="K91" i="18"/>
  <c r="K97" i="18" s="1"/>
  <c r="L91" i="18"/>
  <c r="L97" i="18" s="1"/>
  <c r="M91" i="18"/>
  <c r="M97" i="18" s="1"/>
  <c r="N91" i="18"/>
  <c r="N97" i="18" s="1"/>
  <c r="O91" i="18"/>
  <c r="O97" i="18" s="1"/>
  <c r="P91" i="18"/>
  <c r="P97" i="18" s="1"/>
  <c r="G91" i="18"/>
  <c r="G97" i="18" s="1"/>
  <c r="H92" i="18"/>
  <c r="H98" i="18" s="1"/>
  <c r="I92" i="18"/>
  <c r="I98" i="18" s="1"/>
  <c r="J92" i="18"/>
  <c r="J98" i="18" s="1"/>
  <c r="K92" i="18"/>
  <c r="K98" i="18" s="1"/>
  <c r="L92" i="18"/>
  <c r="L98" i="18" s="1"/>
  <c r="M92" i="18"/>
  <c r="M98" i="18" s="1"/>
  <c r="N92" i="18"/>
  <c r="N98" i="18" s="1"/>
  <c r="O92" i="18"/>
  <c r="O98" i="18" s="1"/>
  <c r="P92" i="18"/>
  <c r="P98" i="18" s="1"/>
  <c r="G92" i="18"/>
  <c r="G98" i="18" s="1"/>
  <c r="H129" i="18"/>
  <c r="H130" i="18" s="1"/>
  <c r="I129" i="18"/>
  <c r="I130" i="18" s="1"/>
  <c r="J129" i="18"/>
  <c r="J130" i="18" s="1"/>
  <c r="K129" i="18"/>
  <c r="K130" i="18" s="1"/>
  <c r="L129" i="18"/>
  <c r="L130" i="18" s="1"/>
  <c r="M129" i="18"/>
  <c r="M130" i="18" s="1"/>
  <c r="N129" i="18"/>
  <c r="N130" i="18" s="1"/>
  <c r="O129" i="18"/>
  <c r="O130" i="18" s="1"/>
  <c r="P129" i="18"/>
  <c r="P130" i="18" s="1"/>
  <c r="G129" i="18"/>
  <c r="G130" i="18" s="1"/>
  <c r="K213" i="18" l="1"/>
  <c r="Q98" i="18"/>
  <c r="Q100" i="18"/>
  <c r="Q97" i="18"/>
  <c r="I199" i="18"/>
  <c r="J199" i="18" s="1"/>
  <c r="I200" i="18" s="1"/>
  <c r="J200" i="18" s="1"/>
  <c r="J201" i="18" s="1"/>
  <c r="Q133" i="18"/>
  <c r="Q134" i="18"/>
  <c r="Q88" i="18"/>
  <c r="Q94" i="18"/>
  <c r="AC14" i="18"/>
  <c r="AE14" i="18"/>
  <c r="Q91" i="18"/>
  <c r="Q130" i="18"/>
  <c r="Q129" i="18"/>
  <c r="Q92" i="18"/>
  <c r="P87" i="18"/>
  <c r="P86" i="18"/>
  <c r="E87" i="18"/>
  <c r="F87" i="18"/>
  <c r="H87" i="18"/>
  <c r="I87" i="18"/>
  <c r="J87" i="18"/>
  <c r="K87" i="18"/>
  <c r="L87" i="18"/>
  <c r="M87" i="18"/>
  <c r="N87" i="18"/>
  <c r="O87" i="18"/>
  <c r="G87" i="18"/>
  <c r="G86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3" i="18"/>
  <c r="I123" i="18"/>
  <c r="J123" i="18"/>
  <c r="K123" i="18"/>
  <c r="L123" i="18"/>
  <c r="M123" i="18"/>
  <c r="N123" i="18"/>
  <c r="O123" i="18"/>
  <c r="P123" i="18"/>
  <c r="G123" i="18"/>
  <c r="H124" i="18"/>
  <c r="I124" i="18"/>
  <c r="J124" i="18"/>
  <c r="K124" i="18"/>
  <c r="L124" i="18"/>
  <c r="M124" i="18"/>
  <c r="N124" i="18"/>
  <c r="O124" i="18"/>
  <c r="P124" i="18"/>
  <c r="G124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R167" i="18"/>
  <c r="H118" i="18"/>
  <c r="I118" i="18"/>
  <c r="J118" i="18"/>
  <c r="K118" i="18"/>
  <c r="L118" i="18"/>
  <c r="M118" i="18"/>
  <c r="N118" i="18"/>
  <c r="O118" i="18"/>
  <c r="P118" i="18"/>
  <c r="G118" i="18"/>
  <c r="H117" i="18"/>
  <c r="I117" i="18"/>
  <c r="J117" i="18"/>
  <c r="K117" i="18"/>
  <c r="L117" i="18"/>
  <c r="M117" i="18"/>
  <c r="N117" i="18"/>
  <c r="O117" i="18"/>
  <c r="P117" i="18"/>
  <c r="G117" i="18"/>
  <c r="H116" i="18"/>
  <c r="I116" i="18"/>
  <c r="J116" i="18"/>
  <c r="K116" i="18"/>
  <c r="L116" i="18"/>
  <c r="M116" i="18"/>
  <c r="N116" i="18"/>
  <c r="O116" i="18"/>
  <c r="P116" i="18"/>
  <c r="G116" i="18"/>
  <c r="B118" i="18"/>
  <c r="B117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6" i="18"/>
  <c r="H106" i="18"/>
  <c r="I106" i="18"/>
  <c r="J106" i="18"/>
  <c r="K106" i="18"/>
  <c r="L106" i="18"/>
  <c r="M106" i="18"/>
  <c r="N106" i="18"/>
  <c r="O106" i="18"/>
  <c r="P106" i="18"/>
  <c r="S202" i="18"/>
  <c r="N201" i="18"/>
  <c r="S199" i="18"/>
  <c r="T199" i="18" s="1"/>
  <c r="T204" i="18" s="1"/>
  <c r="N199" i="18"/>
  <c r="O199" i="18" s="1"/>
  <c r="O204" i="18" s="1"/>
  <c r="F114" i="18"/>
  <c r="H114" i="18"/>
  <c r="I114" i="18"/>
  <c r="J114" i="18"/>
  <c r="K114" i="18"/>
  <c r="L114" i="18"/>
  <c r="M114" i="18"/>
  <c r="N114" i="18"/>
  <c r="O114" i="18"/>
  <c r="P114" i="18"/>
  <c r="G114" i="18"/>
  <c r="F113" i="18"/>
  <c r="H113" i="18"/>
  <c r="I113" i="18"/>
  <c r="J113" i="18"/>
  <c r="K113" i="18"/>
  <c r="L113" i="18"/>
  <c r="M113" i="18"/>
  <c r="N113" i="18"/>
  <c r="O113" i="18"/>
  <c r="P113" i="18"/>
  <c r="G113" i="18"/>
  <c r="Q124" i="18" l="1"/>
  <c r="Q87" i="18"/>
  <c r="Q121" i="18"/>
  <c r="Q127" i="18"/>
  <c r="Q126" i="18"/>
  <c r="Q122" i="18"/>
  <c r="Q123" i="18"/>
  <c r="Q116" i="18"/>
  <c r="Q117" i="18"/>
  <c r="Q118" i="18"/>
  <c r="Q106" i="18"/>
  <c r="AC32" i="18"/>
  <c r="AE32" i="18"/>
  <c r="N204" i="18"/>
  <c r="S204" i="18"/>
  <c r="Q114" i="18"/>
  <c r="Q113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3" i="18"/>
  <c r="AD49" i="18"/>
  <c r="AD50" i="18"/>
  <c r="AD52" i="18"/>
  <c r="AD54" i="18"/>
  <c r="AD55" i="18"/>
  <c r="AD56" i="18"/>
  <c r="AD58" i="18"/>
  <c r="AD59" i="18"/>
  <c r="AD60" i="18"/>
  <c r="AD62" i="18"/>
  <c r="AD63" i="18"/>
  <c r="AD64" i="18"/>
  <c r="AD65" i="18"/>
  <c r="AD67" i="18"/>
  <c r="AD68" i="18"/>
  <c r="AD70" i="18"/>
  <c r="AD72" i="18"/>
  <c r="AD73" i="18"/>
  <c r="AD74" i="18"/>
  <c r="AD75" i="18"/>
  <c r="AD76" i="18"/>
  <c r="AD78" i="18"/>
  <c r="AD79" i="18"/>
  <c r="AD80" i="18"/>
  <c r="AD7" i="18"/>
  <c r="AD6" i="18"/>
  <c r="Q103" i="18" l="1"/>
  <c r="H90" i="18"/>
  <c r="H96" i="18" s="1"/>
  <c r="I90" i="18"/>
  <c r="I96" i="18" s="1"/>
  <c r="J90" i="18"/>
  <c r="J96" i="18" s="1"/>
  <c r="K90" i="18"/>
  <c r="K96" i="18" s="1"/>
  <c r="L90" i="18"/>
  <c r="L96" i="18" s="1"/>
  <c r="M90" i="18"/>
  <c r="M96" i="18" s="1"/>
  <c r="N90" i="18"/>
  <c r="N96" i="18" s="1"/>
  <c r="O90" i="18"/>
  <c r="O96" i="18" s="1"/>
  <c r="P90" i="18"/>
  <c r="P96" i="18" s="1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G93" i="18"/>
  <c r="G99" i="18" s="1"/>
  <c r="G90" i="18"/>
  <c r="G96" i="18" s="1"/>
  <c r="S29" i="18"/>
  <c r="Q29" i="18"/>
  <c r="L30" i="18"/>
  <c r="K30" i="18"/>
  <c r="J30" i="18"/>
  <c r="I30" i="18"/>
  <c r="H30" i="18"/>
  <c r="G30" i="18"/>
  <c r="Q96" i="18" l="1"/>
  <c r="Q99" i="18"/>
  <c r="T29" i="18"/>
  <c r="Q93" i="18"/>
  <c r="Q90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U29" i="18" l="1"/>
  <c r="Q104" i="18"/>
  <c r="Q105" i="18"/>
  <c r="AE67" i="18"/>
  <c r="V29" i="18" l="1"/>
  <c r="C175" i="18"/>
  <c r="D175" i="18"/>
  <c r="E175" i="18"/>
  <c r="F175" i="18"/>
  <c r="G175" i="18"/>
  <c r="H175" i="18"/>
  <c r="I175" i="18"/>
  <c r="J175" i="18"/>
  <c r="K175" i="18"/>
  <c r="L175" i="18"/>
  <c r="M175" i="18"/>
  <c r="N175" i="18"/>
  <c r="O175" i="18"/>
  <c r="P175" i="18"/>
  <c r="C9" i="15"/>
  <c r="D68" i="18"/>
  <c r="E68" i="18"/>
  <c r="E108" i="18" s="1"/>
  <c r="E109" i="18" s="1"/>
  <c r="F68" i="18"/>
  <c r="F108" i="18" s="1"/>
  <c r="F109" i="18" s="1"/>
  <c r="G68" i="18"/>
  <c r="G108" i="18" s="1"/>
  <c r="G109" i="18" s="1"/>
  <c r="H68" i="18"/>
  <c r="H108" i="18" s="1"/>
  <c r="H109" i="18" s="1"/>
  <c r="I68" i="18"/>
  <c r="I108" i="18" s="1"/>
  <c r="I109" i="18" s="1"/>
  <c r="J68" i="18"/>
  <c r="J108" i="18" s="1"/>
  <c r="J109" i="18" s="1"/>
  <c r="K68" i="18"/>
  <c r="K108" i="18" s="1"/>
  <c r="K109" i="18" s="1"/>
  <c r="L68" i="18"/>
  <c r="L108" i="18" s="1"/>
  <c r="L109" i="18" s="1"/>
  <c r="M68" i="18"/>
  <c r="M108" i="18" s="1"/>
  <c r="M109" i="18" s="1"/>
  <c r="N68" i="18"/>
  <c r="N108" i="18" s="1"/>
  <c r="N109" i="18" s="1"/>
  <c r="O68" i="18"/>
  <c r="O108" i="18" s="1"/>
  <c r="O109" i="18" s="1"/>
  <c r="P68" i="18"/>
  <c r="P108" i="18" s="1"/>
  <c r="C68" i="18"/>
  <c r="S43" i="18"/>
  <c r="Q43" i="18"/>
  <c r="S68" i="18" l="1"/>
  <c r="S108" i="18" s="1"/>
  <c r="S109" i="18" s="1"/>
  <c r="W29" i="18"/>
  <c r="Q175" i="18"/>
  <c r="N110" i="18"/>
  <c r="N111" i="18" s="1"/>
  <c r="J110" i="18"/>
  <c r="J111" i="18" s="1"/>
  <c r="L110" i="18"/>
  <c r="L111" i="18" s="1"/>
  <c r="H110" i="18"/>
  <c r="H111" i="18" s="1"/>
  <c r="M110" i="18"/>
  <c r="M111" i="18" s="1"/>
  <c r="I110" i="18"/>
  <c r="I111" i="18" s="1"/>
  <c r="F110" i="18"/>
  <c r="F111" i="18" s="1"/>
  <c r="O110" i="18"/>
  <c r="O111" i="18" s="1"/>
  <c r="K110" i="18"/>
  <c r="K111" i="18" s="1"/>
  <c r="G110" i="18"/>
  <c r="G111" i="18" s="1"/>
  <c r="P109" i="18"/>
  <c r="Q108" i="18"/>
  <c r="T43" i="18"/>
  <c r="U43" i="18" l="1"/>
  <c r="X29" i="18"/>
  <c r="P110" i="18"/>
  <c r="Q109" i="18"/>
  <c r="T68" i="18"/>
  <c r="C78" i="18"/>
  <c r="D78" i="18"/>
  <c r="E78" i="18"/>
  <c r="F78" i="18"/>
  <c r="G78" i="18"/>
  <c r="G131" i="18" s="1"/>
  <c r="H78" i="18"/>
  <c r="H131" i="18" s="1"/>
  <c r="I78" i="18"/>
  <c r="I131" i="18" s="1"/>
  <c r="J78" i="18"/>
  <c r="J131" i="18" s="1"/>
  <c r="K78" i="18"/>
  <c r="K131" i="18" s="1"/>
  <c r="L78" i="18"/>
  <c r="L131" i="18" s="1"/>
  <c r="M78" i="18"/>
  <c r="M131" i="18" s="1"/>
  <c r="N78" i="18"/>
  <c r="N131" i="18" s="1"/>
  <c r="O78" i="18"/>
  <c r="O131" i="18" s="1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P79" i="18"/>
  <c r="P78" i="18"/>
  <c r="P131" i="18" s="1"/>
  <c r="E86" i="18"/>
  <c r="F86" i="18"/>
  <c r="H86" i="18"/>
  <c r="I86" i="18"/>
  <c r="J86" i="18"/>
  <c r="K86" i="18"/>
  <c r="L86" i="18"/>
  <c r="M86" i="18"/>
  <c r="N86" i="18"/>
  <c r="O86" i="18"/>
  <c r="E84" i="18"/>
  <c r="E85" i="18"/>
  <c r="F85" i="18"/>
  <c r="G85" i="18"/>
  <c r="H85" i="18"/>
  <c r="I85" i="18"/>
  <c r="J85" i="18"/>
  <c r="K85" i="18"/>
  <c r="L85" i="18"/>
  <c r="M85" i="18"/>
  <c r="N85" i="18"/>
  <c r="O85" i="18"/>
  <c r="F84" i="18"/>
  <c r="G84" i="18"/>
  <c r="H84" i="18"/>
  <c r="I84" i="18"/>
  <c r="J84" i="18"/>
  <c r="K84" i="18"/>
  <c r="L84" i="18"/>
  <c r="M84" i="18"/>
  <c r="N84" i="18"/>
  <c r="O84" i="18"/>
  <c r="P85" i="18"/>
  <c r="G41" i="18"/>
  <c r="G28" i="18"/>
  <c r="G11" i="18"/>
  <c r="G8" i="18"/>
  <c r="G26" i="18"/>
  <c r="V43" i="18" l="1"/>
  <c r="U68" i="18"/>
  <c r="Q131" i="18"/>
  <c r="Y29" i="18"/>
  <c r="Q80" i="18"/>
  <c r="Q78" i="18"/>
  <c r="Q79" i="18"/>
  <c r="Q85" i="18"/>
  <c r="Q86" i="18"/>
  <c r="P84" i="18"/>
  <c r="Q84" i="18" s="1"/>
  <c r="C190" i="18"/>
  <c r="D190" i="18"/>
  <c r="E190" i="18"/>
  <c r="F190" i="18"/>
  <c r="C191" i="18"/>
  <c r="D191" i="18"/>
  <c r="E191" i="18"/>
  <c r="F191" i="18"/>
  <c r="C192" i="18"/>
  <c r="D192" i="18"/>
  <c r="E192" i="18"/>
  <c r="F192" i="18"/>
  <c r="H192" i="18"/>
  <c r="I192" i="18"/>
  <c r="J192" i="18"/>
  <c r="K192" i="18"/>
  <c r="L192" i="18"/>
  <c r="M192" i="18"/>
  <c r="N192" i="18"/>
  <c r="O192" i="18"/>
  <c r="P192" i="18"/>
  <c r="G192" i="18"/>
  <c r="H191" i="18"/>
  <c r="I191" i="18"/>
  <c r="J191" i="18"/>
  <c r="K191" i="18"/>
  <c r="L191" i="18"/>
  <c r="M191" i="18"/>
  <c r="N191" i="18"/>
  <c r="O191" i="18"/>
  <c r="P191" i="18"/>
  <c r="G191" i="18"/>
  <c r="H190" i="18"/>
  <c r="I190" i="18"/>
  <c r="J190" i="18"/>
  <c r="K190" i="18"/>
  <c r="L190" i="18"/>
  <c r="M190" i="18"/>
  <c r="N190" i="18"/>
  <c r="O190" i="18"/>
  <c r="P190" i="18"/>
  <c r="G190" i="18"/>
  <c r="H50" i="18"/>
  <c r="I50" i="18"/>
  <c r="J50" i="18"/>
  <c r="K50" i="18"/>
  <c r="L50" i="18"/>
  <c r="M50" i="18"/>
  <c r="N50" i="18"/>
  <c r="O50" i="18"/>
  <c r="P50" i="18"/>
  <c r="C50" i="18"/>
  <c r="D50" i="18"/>
  <c r="E50" i="18"/>
  <c r="F50" i="18"/>
  <c r="G50" i="18"/>
  <c r="G52" i="18"/>
  <c r="G174" i="18" s="1"/>
  <c r="H49" i="18"/>
  <c r="H168" i="18" s="1"/>
  <c r="I49" i="18"/>
  <c r="I168" i="18" s="1"/>
  <c r="J49" i="18"/>
  <c r="J168" i="18" s="1"/>
  <c r="K49" i="18"/>
  <c r="K168" i="18" s="1"/>
  <c r="L49" i="18"/>
  <c r="L168" i="18" s="1"/>
  <c r="M49" i="18"/>
  <c r="M168" i="18" s="1"/>
  <c r="N49" i="18"/>
  <c r="N168" i="18" s="1"/>
  <c r="O49" i="18"/>
  <c r="O168" i="18" s="1"/>
  <c r="P49" i="18"/>
  <c r="P168" i="18" s="1"/>
  <c r="C49" i="18"/>
  <c r="C168" i="18" s="1"/>
  <c r="D49" i="18"/>
  <c r="D168" i="18" s="1"/>
  <c r="E49" i="18"/>
  <c r="E168" i="18" s="1"/>
  <c r="F49" i="18"/>
  <c r="F168" i="18" s="1"/>
  <c r="G49" i="18"/>
  <c r="G168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Q42" i="18"/>
  <c r="S36" i="18"/>
  <c r="S91" i="18" s="1"/>
  <c r="S97" i="18" s="1"/>
  <c r="Q36" i="18"/>
  <c r="W43" i="18" l="1"/>
  <c r="V68" i="18"/>
  <c r="Q168" i="18"/>
  <c r="Z29" i="18"/>
  <c r="T36" i="18"/>
  <c r="T91" i="18" s="1"/>
  <c r="T97" i="18" s="1"/>
  <c r="Q192" i="18"/>
  <c r="Q50" i="18"/>
  <c r="Q49" i="18"/>
  <c r="Q191" i="18"/>
  <c r="Q190" i="18"/>
  <c r="Q31" i="18"/>
  <c r="Q34" i="18"/>
  <c r="X43" i="18" l="1"/>
  <c r="W68" i="18"/>
  <c r="AA29" i="18"/>
  <c r="U36" i="18"/>
  <c r="U91" i="18" s="1"/>
  <c r="U97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I70" i="18"/>
  <c r="I72" i="18" s="1"/>
  <c r="J70" i="18"/>
  <c r="J72" i="18" s="1"/>
  <c r="K70" i="18"/>
  <c r="K72" i="18" s="1"/>
  <c r="L70" i="18"/>
  <c r="L72" i="18" s="1"/>
  <c r="M70" i="18"/>
  <c r="M72" i="18" s="1"/>
  <c r="N70" i="18"/>
  <c r="N72" i="18" s="1"/>
  <c r="O70" i="18"/>
  <c r="O72" i="18" s="1"/>
  <c r="P70" i="18"/>
  <c r="P72" i="18" s="1"/>
  <c r="I73" i="18"/>
  <c r="J73" i="18"/>
  <c r="K73" i="18"/>
  <c r="L73" i="18"/>
  <c r="M73" i="18"/>
  <c r="N73" i="18"/>
  <c r="O73" i="18"/>
  <c r="P73" i="18"/>
  <c r="I74" i="18"/>
  <c r="J74" i="18"/>
  <c r="K74" i="18"/>
  <c r="L74" i="18"/>
  <c r="M74" i="18"/>
  <c r="N74" i="18"/>
  <c r="O74" i="18"/>
  <c r="P74" i="18"/>
  <c r="C73" i="18"/>
  <c r="D73" i="18"/>
  <c r="E73" i="18"/>
  <c r="F73" i="18"/>
  <c r="G73" i="18"/>
  <c r="C74" i="18"/>
  <c r="D74" i="18"/>
  <c r="E74" i="18"/>
  <c r="F74" i="18"/>
  <c r="G74" i="18"/>
  <c r="C75" i="18"/>
  <c r="D75" i="18"/>
  <c r="E75" i="18"/>
  <c r="F75" i="18"/>
  <c r="G75" i="18"/>
  <c r="C76" i="18"/>
  <c r="D76" i="18"/>
  <c r="E76" i="18"/>
  <c r="F76" i="18"/>
  <c r="G76" i="18"/>
  <c r="H76" i="18"/>
  <c r="H75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0" i="18"/>
  <c r="C72" i="18" s="1"/>
  <c r="D70" i="18"/>
  <c r="D72" i="18" s="1"/>
  <c r="E70" i="18"/>
  <c r="E72" i="18" s="1"/>
  <c r="F70" i="18"/>
  <c r="F72" i="18" s="1"/>
  <c r="G70" i="18"/>
  <c r="G72" i="18" s="1"/>
  <c r="H70" i="18"/>
  <c r="H72" i="18" s="1"/>
  <c r="H74" i="18"/>
  <c r="H73" i="18"/>
  <c r="Y43" i="18" l="1"/>
  <c r="X68" i="18"/>
  <c r="T23" i="18"/>
  <c r="S94" i="18"/>
  <c r="S100" i="18" s="1"/>
  <c r="AB29" i="18"/>
  <c r="AE31" i="18"/>
  <c r="AC31" i="18"/>
  <c r="AC22" i="18"/>
  <c r="AE22" i="18"/>
  <c r="V36" i="18"/>
  <c r="V91" i="18" s="1"/>
  <c r="V97" i="18" s="1"/>
  <c r="Q75" i="18"/>
  <c r="Q76" i="18"/>
  <c r="Q74" i="18"/>
  <c r="Q72" i="18"/>
  <c r="Q73" i="18"/>
  <c r="Q22" i="18"/>
  <c r="Q21" i="18"/>
  <c r="Q70" i="18"/>
  <c r="S20" i="18"/>
  <c r="S53" i="18" s="1"/>
  <c r="T21" i="18"/>
  <c r="Q68" i="18"/>
  <c r="Q167" i="18"/>
  <c r="Y68" i="18" l="1"/>
  <c r="Z43" i="18"/>
  <c r="U23" i="18"/>
  <c r="T94" i="18"/>
  <c r="T100" i="18" s="1"/>
  <c r="AE29" i="18"/>
  <c r="AC29" i="18"/>
  <c r="T20" i="18"/>
  <c r="S70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8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1" i="18" s="1"/>
  <c r="W97" i="18" s="1"/>
  <c r="O66" i="18"/>
  <c r="O172" i="18" s="1"/>
  <c r="O65" i="18"/>
  <c r="O63" i="18"/>
  <c r="O62" i="18"/>
  <c r="O60" i="18"/>
  <c r="O173" i="18" s="1"/>
  <c r="O59" i="18"/>
  <c r="O58" i="18"/>
  <c r="O56" i="18"/>
  <c r="O55" i="18"/>
  <c r="O170" i="18" s="1"/>
  <c r="O54" i="18"/>
  <c r="O52" i="18"/>
  <c r="Z68" i="18" l="1"/>
  <c r="AA43" i="18"/>
  <c r="T70" i="18"/>
  <c r="S123" i="18"/>
  <c r="S133" i="18"/>
  <c r="S124" i="18"/>
  <c r="S134" i="18"/>
  <c r="V23" i="18"/>
  <c r="U94" i="18"/>
  <c r="U100" i="18" s="1"/>
  <c r="S117" i="18"/>
  <c r="S118" i="18"/>
  <c r="S116" i="18"/>
  <c r="S106" i="18"/>
  <c r="P111" i="18"/>
  <c r="Q111" i="18" s="1"/>
  <c r="Q110" i="18"/>
  <c r="S90" i="18"/>
  <c r="S96" i="18" s="1"/>
  <c r="S114" i="18"/>
  <c r="S113" i="18"/>
  <c r="T18" i="18"/>
  <c r="O169" i="18"/>
  <c r="O174" i="18"/>
  <c r="U20" i="18"/>
  <c r="T27" i="18"/>
  <c r="X36" i="18"/>
  <c r="X91" i="18" s="1"/>
  <c r="X97" i="18" s="1"/>
  <c r="T25" i="18"/>
  <c r="T88" i="18" s="1"/>
  <c r="S84" i="18"/>
  <c r="V21" i="18"/>
  <c r="AC33" i="18"/>
  <c r="AC34" i="18"/>
  <c r="AC9" i="18"/>
  <c r="O64" i="18"/>
  <c r="O171" i="18" s="1"/>
  <c r="D60" i="18"/>
  <c r="E60" i="18"/>
  <c r="F60" i="18"/>
  <c r="G60" i="18"/>
  <c r="G173" i="18" s="1"/>
  <c r="H60" i="18"/>
  <c r="H173" i="18" s="1"/>
  <c r="I60" i="18"/>
  <c r="I173" i="18" s="1"/>
  <c r="J60" i="18"/>
  <c r="J173" i="18" s="1"/>
  <c r="K60" i="18"/>
  <c r="K173" i="18" s="1"/>
  <c r="L60" i="18"/>
  <c r="L173" i="18" s="1"/>
  <c r="M60" i="18"/>
  <c r="M173" i="18" s="1"/>
  <c r="N60" i="18"/>
  <c r="N173" i="18" s="1"/>
  <c r="P60" i="18"/>
  <c r="C60" i="18"/>
  <c r="C59" i="18"/>
  <c r="AB43" i="18" l="1"/>
  <c r="AA68" i="18"/>
  <c r="T124" i="18"/>
  <c r="T134" i="18"/>
  <c r="T123" i="18"/>
  <c r="T133" i="18"/>
  <c r="W23" i="18"/>
  <c r="V94" i="18"/>
  <c r="V100" i="18" s="1"/>
  <c r="T116" i="18"/>
  <c r="T118" i="18"/>
  <c r="T117" i="18"/>
  <c r="T106" i="18"/>
  <c r="T90" i="18"/>
  <c r="T96" i="18" s="1"/>
  <c r="T114" i="18"/>
  <c r="T113" i="18"/>
  <c r="U18" i="18"/>
  <c r="V20" i="18"/>
  <c r="U70" i="18"/>
  <c r="U27" i="18"/>
  <c r="U25" i="18"/>
  <c r="T84" i="18"/>
  <c r="Y36" i="18"/>
  <c r="Y91" i="18" s="1"/>
  <c r="Y97" i="18" s="1"/>
  <c r="W21" i="18"/>
  <c r="P173" i="18"/>
  <c r="Q173" i="18" s="1"/>
  <c r="Q60" i="18"/>
  <c r="D59" i="18"/>
  <c r="E59" i="18"/>
  <c r="F59" i="18"/>
  <c r="G59" i="18"/>
  <c r="H59" i="18"/>
  <c r="I59" i="18"/>
  <c r="J59" i="18"/>
  <c r="K59" i="18"/>
  <c r="L59" i="18"/>
  <c r="M59" i="18"/>
  <c r="N59" i="18"/>
  <c r="P59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C58" i="18"/>
  <c r="AE43" i="18" l="1"/>
  <c r="AB68" i="18"/>
  <c r="AC43" i="18"/>
  <c r="U123" i="18"/>
  <c r="U133" i="18"/>
  <c r="U124" i="18"/>
  <c r="U134" i="18"/>
  <c r="U88" i="18"/>
  <c r="X23" i="18"/>
  <c r="W94" i="18"/>
  <c r="W100" i="18" s="1"/>
  <c r="U118" i="18"/>
  <c r="U117" i="18"/>
  <c r="U116" i="18"/>
  <c r="U106" i="18"/>
  <c r="U90" i="18"/>
  <c r="U96" i="18" s="1"/>
  <c r="U114" i="18"/>
  <c r="U113" i="18"/>
  <c r="V18" i="18"/>
  <c r="W20" i="18"/>
  <c r="V70" i="18"/>
  <c r="V27" i="18"/>
  <c r="V25" i="18"/>
  <c r="V88" i="18" s="1"/>
  <c r="U84" i="18"/>
  <c r="Z36" i="18"/>
  <c r="Z91" i="18" s="1"/>
  <c r="Z97" i="18" s="1"/>
  <c r="X21" i="18"/>
  <c r="Q58" i="18"/>
  <c r="Q59" i="18"/>
  <c r="C46" i="15"/>
  <c r="S155" i="18" l="1"/>
  <c r="AE68" i="18"/>
  <c r="T155" i="18" s="1"/>
  <c r="AC68" i="18"/>
  <c r="V124" i="18"/>
  <c r="V134" i="18"/>
  <c r="V123" i="18"/>
  <c r="V133" i="18"/>
  <c r="Y23" i="18"/>
  <c r="X94" i="18"/>
  <c r="X100" i="18" s="1"/>
  <c r="V106" i="18"/>
  <c r="V118" i="18"/>
  <c r="V117" i="18"/>
  <c r="V116" i="18"/>
  <c r="V90" i="18"/>
  <c r="V96" i="18" s="1"/>
  <c r="V114" i="18"/>
  <c r="V113" i="18"/>
  <c r="W18" i="18"/>
  <c r="X20" i="18"/>
  <c r="W70" i="18"/>
  <c r="W27" i="18"/>
  <c r="W25" i="18"/>
  <c r="V84" i="18"/>
  <c r="AA36" i="18"/>
  <c r="AA91" i="18" s="1"/>
  <c r="AA97" i="18" s="1"/>
  <c r="Y21" i="18"/>
  <c r="S167" i="18"/>
  <c r="S175" i="18" s="1"/>
  <c r="C52" i="18"/>
  <c r="D52" i="18"/>
  <c r="E52" i="18"/>
  <c r="F52" i="18"/>
  <c r="H52" i="18"/>
  <c r="I52" i="18"/>
  <c r="J52" i="18"/>
  <c r="K52" i="18"/>
  <c r="L52" i="18"/>
  <c r="L174" i="18" s="1"/>
  <c r="M52" i="18"/>
  <c r="N52" i="18"/>
  <c r="N174" i="18" s="1"/>
  <c r="P52" i="18"/>
  <c r="D66" i="18"/>
  <c r="D172" i="18" s="1"/>
  <c r="E66" i="18"/>
  <c r="E172" i="18" s="1"/>
  <c r="F66" i="18"/>
  <c r="F172" i="18" s="1"/>
  <c r="G66" i="18"/>
  <c r="H66" i="18"/>
  <c r="H172" i="18" s="1"/>
  <c r="I66" i="18"/>
  <c r="I172" i="18" s="1"/>
  <c r="J66" i="18"/>
  <c r="J172" i="18" s="1"/>
  <c r="K66" i="18"/>
  <c r="K172" i="18" s="1"/>
  <c r="L66" i="18"/>
  <c r="L172" i="18" s="1"/>
  <c r="M66" i="18"/>
  <c r="M172" i="18" s="1"/>
  <c r="N66" i="18"/>
  <c r="P66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3" i="18"/>
  <c r="E63" i="18"/>
  <c r="F63" i="18"/>
  <c r="G63" i="18"/>
  <c r="H63" i="18"/>
  <c r="I63" i="18"/>
  <c r="J63" i="18"/>
  <c r="K63" i="18"/>
  <c r="L63" i="18"/>
  <c r="M63" i="18"/>
  <c r="N63" i="18"/>
  <c r="P63" i="18"/>
  <c r="D62" i="18"/>
  <c r="D64" i="18" s="1"/>
  <c r="D171" i="18" s="1"/>
  <c r="E62" i="18"/>
  <c r="E64" i="18" s="1"/>
  <c r="E171" i="18" s="1"/>
  <c r="F62" i="18"/>
  <c r="G62" i="18"/>
  <c r="H62" i="18"/>
  <c r="I62" i="18"/>
  <c r="J62" i="18"/>
  <c r="K62" i="18"/>
  <c r="L62" i="18"/>
  <c r="M62" i="18"/>
  <c r="N62" i="18"/>
  <c r="P62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5" i="18"/>
  <c r="D170" i="18" s="1"/>
  <c r="E55" i="18"/>
  <c r="E170" i="18" s="1"/>
  <c r="F55" i="18"/>
  <c r="F170" i="18" s="1"/>
  <c r="G55" i="18"/>
  <c r="H55" i="18"/>
  <c r="H170" i="18" s="1"/>
  <c r="I55" i="18"/>
  <c r="I170" i="18" s="1"/>
  <c r="J55" i="18"/>
  <c r="J170" i="18" s="1"/>
  <c r="K55" i="18"/>
  <c r="K170" i="18" s="1"/>
  <c r="L55" i="18"/>
  <c r="L170" i="18" s="1"/>
  <c r="M55" i="18"/>
  <c r="M170" i="18" s="1"/>
  <c r="N55" i="18"/>
  <c r="P55" i="18"/>
  <c r="C66" i="18"/>
  <c r="C172" i="18" s="1"/>
  <c r="C65" i="18"/>
  <c r="C63" i="18"/>
  <c r="C62" i="18"/>
  <c r="C56" i="18"/>
  <c r="C55" i="18"/>
  <c r="C170" i="18" s="1"/>
  <c r="D54" i="18"/>
  <c r="E54" i="18"/>
  <c r="F54" i="18"/>
  <c r="G54" i="18"/>
  <c r="H54" i="18"/>
  <c r="I54" i="18"/>
  <c r="J54" i="18"/>
  <c r="K54" i="18"/>
  <c r="L54" i="18"/>
  <c r="M54" i="18"/>
  <c r="N54" i="18"/>
  <c r="P54" i="18"/>
  <c r="C54" i="18"/>
  <c r="S15" i="18"/>
  <c r="S121" i="18" s="1"/>
  <c r="S16" i="18"/>
  <c r="S129" i="18" s="1"/>
  <c r="S130" i="18" s="1"/>
  <c r="S40" i="18"/>
  <c r="S92" i="18" s="1"/>
  <c r="S98" i="18" s="1"/>
  <c r="S10" i="18"/>
  <c r="S12" i="18"/>
  <c r="S13" i="18"/>
  <c r="S7" i="18"/>
  <c r="S6" i="18"/>
  <c r="P187" i="18" l="1"/>
  <c r="S187" i="18"/>
  <c r="S103" i="18"/>
  <c r="R155" i="18"/>
  <c r="P179" i="18" s="1"/>
  <c r="W123" i="18"/>
  <c r="W133" i="18"/>
  <c r="W88" i="18"/>
  <c r="W124" i="18"/>
  <c r="W134" i="18"/>
  <c r="Z23" i="18"/>
  <c r="Y94" i="18"/>
  <c r="Y100" i="18" s="1"/>
  <c r="S86" i="18"/>
  <c r="S87" i="18"/>
  <c r="S127" i="18"/>
  <c r="S126" i="18"/>
  <c r="S93" i="18"/>
  <c r="S99" i="18" s="1"/>
  <c r="S122" i="18"/>
  <c r="H174" i="18"/>
  <c r="H169" i="18"/>
  <c r="W106" i="18"/>
  <c r="W117" i="18"/>
  <c r="W116" i="18"/>
  <c r="W118" i="18"/>
  <c r="S105" i="18"/>
  <c r="S110" i="18"/>
  <c r="S111" i="18" s="1"/>
  <c r="W90" i="18"/>
  <c r="W96" i="18" s="1"/>
  <c r="W114" i="18"/>
  <c r="W113" i="18"/>
  <c r="S104" i="18"/>
  <c r="X18" i="18"/>
  <c r="D169" i="18"/>
  <c r="D173" i="18" s="1"/>
  <c r="D174" i="18"/>
  <c r="E169" i="18"/>
  <c r="E173" i="18" s="1"/>
  <c r="E174" i="18"/>
  <c r="C169" i="18"/>
  <c r="C173" i="18" s="1"/>
  <c r="C174" i="18"/>
  <c r="P169" i="18"/>
  <c r="P174" i="18"/>
  <c r="Q174" i="18" s="1"/>
  <c r="K169" i="18"/>
  <c r="K174" i="18"/>
  <c r="F169" i="18"/>
  <c r="F173" i="18" s="1"/>
  <c r="F174" i="18"/>
  <c r="J169" i="18"/>
  <c r="J174" i="18"/>
  <c r="M169" i="18"/>
  <c r="M174" i="18"/>
  <c r="I169" i="18"/>
  <c r="I174" i="18"/>
  <c r="Q137" i="18"/>
  <c r="Y20" i="18"/>
  <c r="X70" i="18"/>
  <c r="H64" i="18"/>
  <c r="H171" i="18" s="1"/>
  <c r="X27" i="18"/>
  <c r="T12" i="18"/>
  <c r="T15" i="18"/>
  <c r="T121" i="18" s="1"/>
  <c r="T13" i="18"/>
  <c r="T10" i="18"/>
  <c r="T16" i="18"/>
  <c r="T129" i="18" s="1"/>
  <c r="T130" i="18" s="1"/>
  <c r="T6" i="18"/>
  <c r="T7" i="18"/>
  <c r="X25" i="18"/>
  <c r="X88" i="18" s="1"/>
  <c r="W84" i="18"/>
  <c r="T40" i="18"/>
  <c r="T92" i="18" s="1"/>
  <c r="T98" i="18" s="1"/>
  <c r="S85" i="18"/>
  <c r="AB36" i="18"/>
  <c r="F64" i="18"/>
  <c r="F171" i="18" s="1"/>
  <c r="L64" i="18"/>
  <c r="L171" i="18" s="1"/>
  <c r="K64" i="18"/>
  <c r="K171" i="18" s="1"/>
  <c r="J64" i="18"/>
  <c r="J171" i="18" s="1"/>
  <c r="Z21" i="18"/>
  <c r="C64" i="18"/>
  <c r="C171" i="18" s="1"/>
  <c r="T167" i="18"/>
  <c r="T175" i="18" s="1"/>
  <c r="I64" i="18"/>
  <c r="I171" i="18" s="1"/>
  <c r="Q54" i="18"/>
  <c r="G170" i="18"/>
  <c r="Q55" i="18"/>
  <c r="Q56" i="18"/>
  <c r="Q63" i="18"/>
  <c r="Q65" i="18"/>
  <c r="G169" i="18"/>
  <c r="Q52" i="18"/>
  <c r="G172" i="18"/>
  <c r="Q66" i="18"/>
  <c r="G64" i="18"/>
  <c r="Q62" i="18"/>
  <c r="N170" i="18"/>
  <c r="N169" i="18"/>
  <c r="N172" i="18"/>
  <c r="P170" i="18"/>
  <c r="L169" i="18"/>
  <c r="N64" i="18"/>
  <c r="M64" i="18"/>
  <c r="M171" i="18" s="1"/>
  <c r="P172" i="18"/>
  <c r="P64" i="18"/>
  <c r="S63" i="18"/>
  <c r="C6" i="12"/>
  <c r="C26" i="15"/>
  <c r="C58" i="15"/>
  <c r="C57" i="15"/>
  <c r="C54" i="15"/>
  <c r="C53" i="15"/>
  <c r="C50" i="15"/>
  <c r="C49" i="15"/>
  <c r="C45" i="15"/>
  <c r="T187" i="18" l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AG187" i="18" s="1"/>
  <c r="AH187" i="18" s="1"/>
  <c r="AI187" i="18" s="1"/>
  <c r="AJ187" i="18" s="1"/>
  <c r="AK187" i="18" s="1"/>
  <c r="AL187" i="18" s="1"/>
  <c r="AM187" i="18" s="1"/>
  <c r="AN187" i="18" s="1"/>
  <c r="AO187" i="18" s="1"/>
  <c r="AP187" i="18" s="1"/>
  <c r="AQ187" i="18" s="1"/>
  <c r="AR187" i="18" s="1"/>
  <c r="AS187" i="18" s="1"/>
  <c r="S188" i="18"/>
  <c r="P186" i="18"/>
  <c r="S186" i="18"/>
  <c r="T103" i="18"/>
  <c r="X123" i="18"/>
  <c r="X133" i="18"/>
  <c r="X124" i="18"/>
  <c r="X134" i="18"/>
  <c r="AE36" i="18"/>
  <c r="AB91" i="18"/>
  <c r="AA23" i="18"/>
  <c r="Z94" i="18"/>
  <c r="Z100" i="18" s="1"/>
  <c r="T127" i="18"/>
  <c r="T126" i="18"/>
  <c r="T93" i="18"/>
  <c r="T99" i="18" s="1"/>
  <c r="T122" i="18"/>
  <c r="T87" i="18"/>
  <c r="X116" i="18"/>
  <c r="X117" i="18"/>
  <c r="X118" i="18"/>
  <c r="X106" i="18"/>
  <c r="X90" i="18"/>
  <c r="X96" i="18" s="1"/>
  <c r="X114" i="18"/>
  <c r="X113" i="18"/>
  <c r="T104" i="18"/>
  <c r="T105" i="18"/>
  <c r="Y18" i="18"/>
  <c r="Z20" i="18"/>
  <c r="Y70" i="18"/>
  <c r="S62" i="18"/>
  <c r="S79" i="18"/>
  <c r="S58" i="18"/>
  <c r="S60" i="18"/>
  <c r="S173" i="18" s="1"/>
  <c r="S66" i="18"/>
  <c r="S172" i="18" s="1"/>
  <c r="S76" i="18"/>
  <c r="S78" i="18"/>
  <c r="S131" i="18" s="1"/>
  <c r="S50" i="18"/>
  <c r="S49" i="18"/>
  <c r="S168" i="18" s="1"/>
  <c r="S59" i="18"/>
  <c r="S55" i="18"/>
  <c r="S56" i="18"/>
  <c r="S65" i="18"/>
  <c r="S54" i="18"/>
  <c r="S80" i="18"/>
  <c r="S52" i="18"/>
  <c r="S174" i="18" s="1"/>
  <c r="Y27" i="18"/>
  <c r="U15" i="18"/>
  <c r="U121" i="18" s="1"/>
  <c r="U13" i="18"/>
  <c r="U12" i="18"/>
  <c r="S64" i="18"/>
  <c r="U16" i="18"/>
  <c r="U129" i="18" s="1"/>
  <c r="U130" i="18" s="1"/>
  <c r="U10" i="18"/>
  <c r="U7" i="18"/>
  <c r="U6" i="18"/>
  <c r="AC36" i="18"/>
  <c r="Y25" i="18"/>
  <c r="Y88" i="18" s="1"/>
  <c r="X84" i="18"/>
  <c r="U40" i="18"/>
  <c r="U92" i="18" s="1"/>
  <c r="U98" i="18" s="1"/>
  <c r="T86" i="18"/>
  <c r="T85" i="18"/>
  <c r="T42" i="18"/>
  <c r="S73" i="18"/>
  <c r="S74" i="18"/>
  <c r="S75" i="18"/>
  <c r="S72" i="18"/>
  <c r="AA21" i="18"/>
  <c r="U167" i="18"/>
  <c r="U175" i="18" s="1"/>
  <c r="Q170" i="18"/>
  <c r="Q169" i="18"/>
  <c r="Q172" i="18"/>
  <c r="G171" i="18"/>
  <c r="Q64" i="18"/>
  <c r="N171" i="18"/>
  <c r="P171" i="18"/>
  <c r="C16" i="15"/>
  <c r="C21" i="15"/>
  <c r="C10" i="15"/>
  <c r="T188" i="18" l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AG188" i="18" s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AC91" i="18"/>
  <c r="AB97" i="18"/>
  <c r="AC97" i="18" s="1"/>
  <c r="T186" i="18"/>
  <c r="U186" i="18" s="1"/>
  <c r="V186" i="18" s="1"/>
  <c r="W186" i="18" s="1"/>
  <c r="X186" i="18" s="1"/>
  <c r="Y186" i="18" s="1"/>
  <c r="Z186" i="18" s="1"/>
  <c r="AA186" i="18" s="1"/>
  <c r="AB186" i="18" s="1"/>
  <c r="AC186" i="18" s="1"/>
  <c r="S185" i="18"/>
  <c r="U103" i="18"/>
  <c r="T108" i="18"/>
  <c r="T109" i="18" s="1"/>
  <c r="T110" i="18" s="1"/>
  <c r="T111" i="18" s="1"/>
  <c r="T53" i="18"/>
  <c r="Y123" i="18"/>
  <c r="Y133" i="18"/>
  <c r="Y124" i="18"/>
  <c r="Y134" i="18"/>
  <c r="AB23" i="18"/>
  <c r="AA94" i="18"/>
  <c r="AA100" i="18" s="1"/>
  <c r="U93" i="18"/>
  <c r="U99" i="18" s="1"/>
  <c r="U122" i="18"/>
  <c r="U127" i="18"/>
  <c r="U126" i="18"/>
  <c r="U87" i="18"/>
  <c r="Y118" i="18"/>
  <c r="Y117" i="18"/>
  <c r="Y116" i="18"/>
  <c r="Y106" i="18"/>
  <c r="T62" i="18"/>
  <c r="Y90" i="18"/>
  <c r="Y96" i="18" s="1"/>
  <c r="Y114" i="18"/>
  <c r="Y113" i="18"/>
  <c r="U104" i="18"/>
  <c r="U105" i="18"/>
  <c r="T58" i="18"/>
  <c r="Z18" i="18"/>
  <c r="AA20" i="18"/>
  <c r="Z70" i="18"/>
  <c r="T60" i="18"/>
  <c r="T173" i="18" s="1"/>
  <c r="T66" i="18"/>
  <c r="T172" i="18" s="1"/>
  <c r="T76" i="18"/>
  <c r="T78" i="18"/>
  <c r="T131" i="18" s="1"/>
  <c r="T49" i="18"/>
  <c r="T168" i="18" s="1"/>
  <c r="T50" i="18"/>
  <c r="T55" i="18"/>
  <c r="T54" i="18"/>
  <c r="T65" i="18"/>
  <c r="T80" i="18"/>
  <c r="T59" i="18"/>
  <c r="T56" i="18"/>
  <c r="T52" i="18"/>
  <c r="T174" i="18" s="1"/>
  <c r="T63" i="18"/>
  <c r="T79" i="18"/>
  <c r="Z27" i="18"/>
  <c r="V13" i="18"/>
  <c r="V12" i="18"/>
  <c r="V15" i="18"/>
  <c r="V121" i="18" s="1"/>
  <c r="V10" i="18"/>
  <c r="V16" i="18"/>
  <c r="V129" i="18" s="1"/>
  <c r="V130" i="18" s="1"/>
  <c r="V6" i="18"/>
  <c r="V7" i="18"/>
  <c r="V40" i="18"/>
  <c r="V92" i="18" s="1"/>
  <c r="V98" i="18" s="1"/>
  <c r="U86" i="18"/>
  <c r="U85" i="18"/>
  <c r="Z25" i="18"/>
  <c r="Z88" i="18" s="1"/>
  <c r="Y84" i="18"/>
  <c r="U42" i="18"/>
  <c r="T75" i="18"/>
  <c r="T74" i="18"/>
  <c r="T73" i="18"/>
  <c r="T72" i="18"/>
  <c r="AB21" i="18"/>
  <c r="AE21" i="18" s="1"/>
  <c r="S171" i="18"/>
  <c r="V167" i="18"/>
  <c r="V175" i="18" s="1"/>
  <c r="S169" i="18"/>
  <c r="S170" i="18"/>
  <c r="Q171" i="18"/>
  <c r="D31" i="8"/>
  <c r="D29" i="8"/>
  <c r="D28" i="8"/>
  <c r="D13" i="8"/>
  <c r="D30" i="8" s="1"/>
  <c r="E14" i="8"/>
  <c r="F14" i="8" s="1"/>
  <c r="G14" i="8" s="1"/>
  <c r="H14" i="8" s="1"/>
  <c r="I14" i="8" s="1"/>
  <c r="T185" i="18" l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6" i="18"/>
  <c r="AE186" i="18" s="1"/>
  <c r="AF186" i="18" s="1"/>
  <c r="AG186" i="18" s="1"/>
  <c r="AH186" i="18" s="1"/>
  <c r="AI186" i="18" s="1"/>
  <c r="AJ186" i="18" s="1"/>
  <c r="AK186" i="18" s="1"/>
  <c r="AL186" i="18" s="1"/>
  <c r="AM186" i="18" s="1"/>
  <c r="AN186" i="18" s="1"/>
  <c r="AO186" i="18" s="1"/>
  <c r="AP186" i="18" s="1"/>
  <c r="AQ186" i="18" s="1"/>
  <c r="AR186" i="18" s="1"/>
  <c r="AS186" i="18" s="1"/>
  <c r="V103" i="18"/>
  <c r="U108" i="18"/>
  <c r="U109" i="18" s="1"/>
  <c r="U110" i="18" s="1"/>
  <c r="U111" i="18" s="1"/>
  <c r="U53" i="18"/>
  <c r="Z123" i="18"/>
  <c r="Z133" i="18"/>
  <c r="Z124" i="18"/>
  <c r="Z134" i="18"/>
  <c r="AE23" i="18"/>
  <c r="AB94" i="18"/>
  <c r="AC23" i="18"/>
  <c r="V87" i="18"/>
  <c r="V126" i="18"/>
  <c r="V127" i="18"/>
  <c r="V93" i="18"/>
  <c r="V99" i="18" s="1"/>
  <c r="V122" i="18"/>
  <c r="Z118" i="18"/>
  <c r="Z117" i="18"/>
  <c r="Z116" i="18"/>
  <c r="Z106" i="18"/>
  <c r="U62" i="18"/>
  <c r="T64" i="18"/>
  <c r="T171" i="18" s="1"/>
  <c r="Z90" i="18"/>
  <c r="Z96" i="18" s="1"/>
  <c r="Z114" i="18"/>
  <c r="Z113" i="18"/>
  <c r="V105" i="18"/>
  <c r="V104" i="18"/>
  <c r="AA18" i="18"/>
  <c r="AB20" i="18"/>
  <c r="AA70" i="18"/>
  <c r="U80" i="18"/>
  <c r="U79" i="18"/>
  <c r="U58" i="18"/>
  <c r="U66" i="18"/>
  <c r="U172" i="18" s="1"/>
  <c r="U65" i="18"/>
  <c r="U60" i="18"/>
  <c r="U173" i="18" s="1"/>
  <c r="U63" i="18"/>
  <c r="U54" i="18"/>
  <c r="U76" i="18"/>
  <c r="U78" i="18"/>
  <c r="U131" i="18" s="1"/>
  <c r="U50" i="18"/>
  <c r="U49" i="18"/>
  <c r="U168" i="18" s="1"/>
  <c r="U59" i="18"/>
  <c r="U55" i="18"/>
  <c r="U56" i="18"/>
  <c r="U52" i="18"/>
  <c r="U174" i="18" s="1"/>
  <c r="AA27" i="18"/>
  <c r="W12" i="18"/>
  <c r="W15" i="18"/>
  <c r="W121" i="18" s="1"/>
  <c r="W13" i="18"/>
  <c r="W16" i="18"/>
  <c r="W129" i="18" s="1"/>
  <c r="W130" i="18" s="1"/>
  <c r="W10" i="18"/>
  <c r="W7" i="18"/>
  <c r="W6" i="18"/>
  <c r="AA25" i="18"/>
  <c r="Z84" i="18"/>
  <c r="W40" i="18"/>
  <c r="W92" i="18" s="1"/>
  <c r="W98" i="18" s="1"/>
  <c r="V85" i="18"/>
  <c r="V86" i="18"/>
  <c r="V42" i="18"/>
  <c r="U75" i="18"/>
  <c r="U73" i="18"/>
  <c r="U74" i="18"/>
  <c r="U72" i="18"/>
  <c r="AC21" i="18"/>
  <c r="W167" i="18"/>
  <c r="W175" i="18" s="1"/>
  <c r="T169" i="18"/>
  <c r="T17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D185" i="18" l="1"/>
  <c r="AE185" i="18" s="1"/>
  <c r="AF185" i="18" s="1"/>
  <c r="AG185" i="18" s="1"/>
  <c r="AH185" i="18" s="1"/>
  <c r="AI185" i="18" s="1"/>
  <c r="AJ185" i="18" s="1"/>
  <c r="AK185" i="18" s="1"/>
  <c r="AL185" i="18" s="1"/>
  <c r="AM185" i="18" s="1"/>
  <c r="AN185" i="18" s="1"/>
  <c r="AO185" i="18" s="1"/>
  <c r="AP185" i="18" s="1"/>
  <c r="AQ185" i="18" s="1"/>
  <c r="AR185" i="18" s="1"/>
  <c r="AS185" i="18" s="1"/>
  <c r="AC94" i="18"/>
  <c r="AB100" i="18"/>
  <c r="AC100" i="18" s="1"/>
  <c r="W103" i="18"/>
  <c r="V108" i="18"/>
  <c r="V109" i="18" s="1"/>
  <c r="V110" i="18" s="1"/>
  <c r="V111" i="18" s="1"/>
  <c r="V53" i="18"/>
  <c r="AA123" i="18"/>
  <c r="AA133" i="18"/>
  <c r="AA124" i="18"/>
  <c r="AA134" i="18"/>
  <c r="AE20" i="18"/>
  <c r="AA88" i="18"/>
  <c r="W127" i="18"/>
  <c r="W126" i="18"/>
  <c r="W93" i="18"/>
  <c r="W99" i="18" s="1"/>
  <c r="W122" i="18"/>
  <c r="W87" i="18"/>
  <c r="AA117" i="18"/>
  <c r="AA116" i="18"/>
  <c r="AA118" i="18"/>
  <c r="AA106" i="18"/>
  <c r="U64" i="18"/>
  <c r="U171" i="18" s="1"/>
  <c r="AA90" i="18"/>
  <c r="AA96" i="18" s="1"/>
  <c r="AA114" i="18"/>
  <c r="AA113" i="18"/>
  <c r="V65" i="18"/>
  <c r="W105" i="18"/>
  <c r="W104" i="18"/>
  <c r="AB18" i="18"/>
  <c r="V80" i="18"/>
  <c r="V56" i="18"/>
  <c r="V63" i="18"/>
  <c r="AC20" i="18"/>
  <c r="AB70" i="18"/>
  <c r="V54" i="18"/>
  <c r="V62" i="18"/>
  <c r="V59" i="18"/>
  <c r="V79" i="18"/>
  <c r="V55" i="18"/>
  <c r="V60" i="18"/>
  <c r="V173" i="18" s="1"/>
  <c r="V76" i="18"/>
  <c r="V78" i="18"/>
  <c r="V131" i="18" s="1"/>
  <c r="V49" i="18"/>
  <c r="V168" i="18" s="1"/>
  <c r="V50" i="18"/>
  <c r="V58" i="18"/>
  <c r="V66" i="18"/>
  <c r="V172" i="18" s="1"/>
  <c r="V52" i="18"/>
  <c r="V174" i="18" s="1"/>
  <c r="AB27" i="18"/>
  <c r="AB134" i="18" s="1"/>
  <c r="AC134" i="18" s="1"/>
  <c r="X15" i="18"/>
  <c r="X121" i="18" s="1"/>
  <c r="X13" i="18"/>
  <c r="X12" i="18"/>
  <c r="X10" i="18"/>
  <c r="X16" i="18"/>
  <c r="X129" i="18" s="1"/>
  <c r="X130" i="18" s="1"/>
  <c r="X6" i="18"/>
  <c r="X7" i="18"/>
  <c r="X40" i="18"/>
  <c r="X92" i="18" s="1"/>
  <c r="X98" i="18" s="1"/>
  <c r="W86" i="18"/>
  <c r="W85" i="18"/>
  <c r="AB25" i="18"/>
  <c r="AB88" i="18" s="1"/>
  <c r="AC88" i="18" s="1"/>
  <c r="AA84" i="18"/>
  <c r="W42" i="18"/>
  <c r="V75" i="18"/>
  <c r="V73" i="18"/>
  <c r="V74" i="18"/>
  <c r="V72" i="18"/>
  <c r="X167" i="18"/>
  <c r="X175" i="18" s="1"/>
  <c r="U169" i="18"/>
  <c r="U17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3" i="18" l="1"/>
  <c r="W108" i="18"/>
  <c r="W109" i="18" s="1"/>
  <c r="W110" i="18" s="1"/>
  <c r="W111" i="18" s="1"/>
  <c r="W53" i="18"/>
  <c r="AB123" i="18"/>
  <c r="AC123" i="18" s="1"/>
  <c r="AB133" i="18"/>
  <c r="AC133" i="18" s="1"/>
  <c r="X93" i="18"/>
  <c r="X99" i="18" s="1"/>
  <c r="X122" i="18"/>
  <c r="X127" i="18"/>
  <c r="X126" i="18"/>
  <c r="AE27" i="18"/>
  <c r="AB124" i="18"/>
  <c r="AC124" i="18" s="1"/>
  <c r="X87" i="18"/>
  <c r="AB116" i="18"/>
  <c r="AC116" i="18" s="1"/>
  <c r="AB118" i="18"/>
  <c r="AC118" i="18" s="1"/>
  <c r="AB117" i="18"/>
  <c r="AC117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6" i="18"/>
  <c r="AC106" i="18" s="1"/>
  <c r="V64" i="18"/>
  <c r="V171" i="18" s="1"/>
  <c r="W63" i="18"/>
  <c r="AB90" i="18"/>
  <c r="AB114" i="18"/>
  <c r="AC114" i="18" s="1"/>
  <c r="AB113" i="18"/>
  <c r="AC113" i="18" s="1"/>
  <c r="X105" i="18"/>
  <c r="X104" i="18"/>
  <c r="AE25" i="18"/>
  <c r="AE18" i="18"/>
  <c r="AC18" i="18"/>
  <c r="S157" i="18"/>
  <c r="AE70" i="18"/>
  <c r="AC7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6" i="18"/>
  <c r="W172" i="18" s="1"/>
  <c r="W65" i="18"/>
  <c r="W60" i="18"/>
  <c r="W173" i="18" s="1"/>
  <c r="W62" i="18"/>
  <c r="W59" i="18"/>
  <c r="W79" i="18"/>
  <c r="W58" i="18"/>
  <c r="W80" i="18"/>
  <c r="W76" i="18"/>
  <c r="W78" i="18"/>
  <c r="W131" i="18" s="1"/>
  <c r="W50" i="18"/>
  <c r="W49" i="18"/>
  <c r="W168" i="18" s="1"/>
  <c r="W54" i="18"/>
  <c r="W55" i="18"/>
  <c r="W56" i="18"/>
  <c r="W52" i="18"/>
  <c r="W174" i="18" s="1"/>
  <c r="AC27" i="18"/>
  <c r="Y12" i="18"/>
  <c r="Y15" i="18"/>
  <c r="Y121" i="18" s="1"/>
  <c r="Y13" i="18"/>
  <c r="Y10" i="18"/>
  <c r="Y16" i="18"/>
  <c r="Y129" i="18" s="1"/>
  <c r="Y130" i="18" s="1"/>
  <c r="Y7" i="18"/>
  <c r="Y6" i="18"/>
  <c r="AC25" i="18"/>
  <c r="AB84" i="18"/>
  <c r="AC84" i="18" s="1"/>
  <c r="Y40" i="18"/>
  <c r="Y92" i="18" s="1"/>
  <c r="Y98" i="18" s="1"/>
  <c r="X86" i="18"/>
  <c r="X85" i="18"/>
  <c r="O31" i="9"/>
  <c r="O32" i="9" s="1"/>
  <c r="X42" i="18"/>
  <c r="W75" i="18"/>
  <c r="W73" i="18"/>
  <c r="W74" i="18"/>
  <c r="W72" i="18"/>
  <c r="Y167" i="18"/>
  <c r="Y175" i="18" s="1"/>
  <c r="V169" i="18"/>
  <c r="V170" i="18"/>
  <c r="P31" i="11"/>
  <c r="N32" i="11"/>
  <c r="T19" i="9"/>
  <c r="D22" i="9"/>
  <c r="AC90" i="18" l="1"/>
  <c r="AB96" i="18"/>
  <c r="AC96" i="18" s="1"/>
  <c r="Y103" i="18"/>
  <c r="X108" i="18"/>
  <c r="X109" i="18" s="1"/>
  <c r="X110" i="18" s="1"/>
  <c r="X111" i="18" s="1"/>
  <c r="X53" i="18"/>
  <c r="Y127" i="18"/>
  <c r="Y126" i="18"/>
  <c r="Y93" i="18"/>
  <c r="Y99" i="18" s="1"/>
  <c r="Y122" i="18"/>
  <c r="Y87" i="18"/>
  <c r="W64" i="18"/>
  <c r="W171" i="18" s="1"/>
  <c r="X56" i="18"/>
  <c r="Y104" i="18"/>
  <c r="Y105" i="18"/>
  <c r="T157" i="18"/>
  <c r="R157" i="18" s="1"/>
  <c r="X58" i="18"/>
  <c r="X65" i="18"/>
  <c r="X52" i="18"/>
  <c r="X174" i="18" s="1"/>
  <c r="X60" i="18"/>
  <c r="X173" i="18" s="1"/>
  <c r="X55" i="18"/>
  <c r="X54" i="18"/>
  <c r="X76" i="18"/>
  <c r="X78" i="18"/>
  <c r="X131" i="18" s="1"/>
  <c r="X50" i="18"/>
  <c r="X49" i="18"/>
  <c r="X168" i="18" s="1"/>
  <c r="X80" i="18"/>
  <c r="X59" i="18"/>
  <c r="X66" i="18"/>
  <c r="X172" i="18" s="1"/>
  <c r="X63" i="18"/>
  <c r="X62" i="18"/>
  <c r="X79" i="18"/>
  <c r="Z13" i="18"/>
  <c r="Z12" i="18"/>
  <c r="Z15" i="18"/>
  <c r="Z121" i="18" s="1"/>
  <c r="Z10" i="18"/>
  <c r="Z16" i="18"/>
  <c r="Z129" i="18" s="1"/>
  <c r="Z130" i="18" s="1"/>
  <c r="Z6" i="18"/>
  <c r="Z7" i="18"/>
  <c r="Z40" i="18"/>
  <c r="Z92" i="18" s="1"/>
  <c r="Z98" i="18" s="1"/>
  <c r="Y86" i="18"/>
  <c r="Y85" i="18"/>
  <c r="Y42" i="18"/>
  <c r="X75" i="18"/>
  <c r="X73" i="18"/>
  <c r="X74" i="18"/>
  <c r="X72" i="18"/>
  <c r="Z167" i="18"/>
  <c r="Z175" i="18" s="1"/>
  <c r="W169" i="18"/>
  <c r="W17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3" i="18" l="1"/>
  <c r="Y108" i="18"/>
  <c r="Y109" i="18" s="1"/>
  <c r="Y110" i="18" s="1"/>
  <c r="Y111" i="18" s="1"/>
  <c r="Y53" i="18"/>
  <c r="Z93" i="18"/>
  <c r="Z99" i="18" s="1"/>
  <c r="Z122" i="18"/>
  <c r="Z126" i="18"/>
  <c r="Z127" i="18"/>
  <c r="Z87" i="18"/>
  <c r="Z104" i="18"/>
  <c r="Z105" i="18"/>
  <c r="X64" i="18"/>
  <c r="X171" i="18" s="1"/>
  <c r="Y76" i="18"/>
  <c r="Y78" i="18"/>
  <c r="Y131" i="18" s="1"/>
  <c r="Y49" i="18"/>
  <c r="Y168" i="18" s="1"/>
  <c r="Y50" i="18"/>
  <c r="Y60" i="18"/>
  <c r="Y173" i="18" s="1"/>
  <c r="Y66" i="18"/>
  <c r="Y172" i="18" s="1"/>
  <c r="Y65" i="18"/>
  <c r="Y63" i="18"/>
  <c r="Y54" i="18"/>
  <c r="Y52" i="18"/>
  <c r="Y174" i="18" s="1"/>
  <c r="Y59" i="18"/>
  <c r="Y55" i="18"/>
  <c r="Y56" i="18"/>
  <c r="Y62" i="18"/>
  <c r="Y79" i="18"/>
  <c r="Y58" i="18"/>
  <c r="Y80" i="18"/>
  <c r="AA12" i="18"/>
  <c r="AA15" i="18"/>
  <c r="AA121" i="18" s="1"/>
  <c r="AA13" i="18"/>
  <c r="AA10" i="18"/>
  <c r="AA16" i="18"/>
  <c r="AA129" i="18" s="1"/>
  <c r="AA130" i="18" s="1"/>
  <c r="AA7" i="18"/>
  <c r="AA6" i="18"/>
  <c r="AA40" i="18"/>
  <c r="AA92" i="18" s="1"/>
  <c r="AA98" i="18" s="1"/>
  <c r="Z85" i="18"/>
  <c r="Z86" i="18"/>
  <c r="Z42" i="18"/>
  <c r="Y75" i="18"/>
  <c r="Y73" i="18"/>
  <c r="Y74" i="18"/>
  <c r="Y72" i="18"/>
  <c r="AA167" i="18"/>
  <c r="AA175" i="18" s="1"/>
  <c r="X169" i="18"/>
  <c r="X170" i="18"/>
  <c r="N34" i="11"/>
  <c r="O33" i="11"/>
  <c r="D25" i="8"/>
  <c r="D23" i="8"/>
  <c r="AA103" i="18" l="1"/>
  <c r="Z108" i="18"/>
  <c r="Z109" i="18" s="1"/>
  <c r="Z110" i="18" s="1"/>
  <c r="Z111" i="18" s="1"/>
  <c r="Z53" i="18"/>
  <c r="AA87" i="18"/>
  <c r="AA126" i="18"/>
  <c r="AA127" i="18"/>
  <c r="AA93" i="18"/>
  <c r="AA99" i="18" s="1"/>
  <c r="AA122" i="18"/>
  <c r="AA104" i="18"/>
  <c r="AA105" i="18"/>
  <c r="Y64" i="18"/>
  <c r="Y171" i="18" s="1"/>
  <c r="Z76" i="18"/>
  <c r="Z78" i="18"/>
  <c r="Z131" i="18" s="1"/>
  <c r="Z50" i="18"/>
  <c r="Z49" i="18"/>
  <c r="Z168" i="18" s="1"/>
  <c r="Z54" i="18"/>
  <c r="Z65" i="18"/>
  <c r="Z55" i="18"/>
  <c r="Z60" i="18"/>
  <c r="Z173" i="18" s="1"/>
  <c r="Z63" i="18"/>
  <c r="Z62" i="18"/>
  <c r="Z80" i="18"/>
  <c r="Z66" i="18"/>
  <c r="Z172" i="18" s="1"/>
  <c r="Z52" i="18"/>
  <c r="Z174" i="18" s="1"/>
  <c r="Z59" i="18"/>
  <c r="Z79" i="18"/>
  <c r="Z58" i="18"/>
  <c r="Z56" i="18"/>
  <c r="AB15" i="18"/>
  <c r="AB13" i="18"/>
  <c r="AE13" i="18" s="1"/>
  <c r="AB12" i="18"/>
  <c r="AB122" i="18" s="1"/>
  <c r="AC122" i="18" s="1"/>
  <c r="AB10" i="18"/>
  <c r="AB16" i="18"/>
  <c r="AB6" i="18"/>
  <c r="AE6" i="18" s="1"/>
  <c r="AB7" i="18"/>
  <c r="AE7" i="18" s="1"/>
  <c r="AB40" i="18"/>
  <c r="AB92" i="18" s="1"/>
  <c r="AA86" i="18"/>
  <c r="AA85" i="18"/>
  <c r="AA42" i="18"/>
  <c r="Z75" i="18"/>
  <c r="Z73" i="18"/>
  <c r="Z74" i="18"/>
  <c r="Z72" i="18"/>
  <c r="AB167" i="18"/>
  <c r="AB175" i="18" s="1"/>
  <c r="Y169" i="18"/>
  <c r="Y170" i="18"/>
  <c r="N35" i="11"/>
  <c r="O34" i="11"/>
  <c r="D35" i="8"/>
  <c r="E5" i="8"/>
  <c r="E18" i="8" s="1"/>
  <c r="D18" i="8"/>
  <c r="D19" i="8"/>
  <c r="D21" i="8"/>
  <c r="D20" i="8"/>
  <c r="AC92" i="18" l="1"/>
  <c r="AB98" i="18"/>
  <c r="AC98" i="18" s="1"/>
  <c r="AB103" i="18"/>
  <c r="AC175" i="18"/>
  <c r="AE175" i="18" s="1"/>
  <c r="AA108" i="18"/>
  <c r="AA109" i="18" s="1"/>
  <c r="AA110" i="18" s="1"/>
  <c r="AA111" i="18" s="1"/>
  <c r="AA53" i="18"/>
  <c r="AE16" i="18"/>
  <c r="AB129" i="18"/>
  <c r="AB127" i="18"/>
  <c r="AC127" i="18" s="1"/>
  <c r="AB126" i="18"/>
  <c r="AC126" i="18" s="1"/>
  <c r="AE15" i="18"/>
  <c r="AB121" i="18"/>
  <c r="AC121" i="18" s="1"/>
  <c r="AB87" i="18"/>
  <c r="AC87" i="18" s="1"/>
  <c r="AE10" i="18"/>
  <c r="AC103" i="18"/>
  <c r="AE12" i="18"/>
  <c r="AB93" i="18"/>
  <c r="AE40" i="18"/>
  <c r="AB104" i="18"/>
  <c r="AC104" i="18" s="1"/>
  <c r="AB105" i="18"/>
  <c r="AC105" i="18" s="1"/>
  <c r="Z64" i="18"/>
  <c r="Z171" i="18" s="1"/>
  <c r="AA76" i="18"/>
  <c r="AA78" i="18"/>
  <c r="AA131" i="18" s="1"/>
  <c r="AA49" i="18"/>
  <c r="AA168" i="18" s="1"/>
  <c r="AA50" i="18"/>
  <c r="AA58" i="18"/>
  <c r="AA66" i="18"/>
  <c r="AA172" i="18" s="1"/>
  <c r="AA52" i="18"/>
  <c r="AA174" i="18" s="1"/>
  <c r="AA60" i="18"/>
  <c r="AA173" i="18" s="1"/>
  <c r="AA63" i="18"/>
  <c r="AA79" i="18"/>
  <c r="AA54" i="18"/>
  <c r="AA55" i="18"/>
  <c r="AA56" i="18"/>
  <c r="AA59" i="18"/>
  <c r="AA80" i="18"/>
  <c r="AA62" i="18"/>
  <c r="AA65" i="18"/>
  <c r="AC15" i="18"/>
  <c r="AC13" i="18"/>
  <c r="S151" i="18"/>
  <c r="AC12" i="18"/>
  <c r="AC10" i="18"/>
  <c r="AC16" i="18"/>
  <c r="AC7" i="18"/>
  <c r="AC6" i="18"/>
  <c r="AB86" i="18"/>
  <c r="AC86" i="18" s="1"/>
  <c r="AB85" i="18"/>
  <c r="AC85" i="18" s="1"/>
  <c r="AC40" i="18"/>
  <c r="AB42" i="18"/>
  <c r="AA75" i="18"/>
  <c r="AA73" i="18"/>
  <c r="AA74" i="18"/>
  <c r="AA72" i="18"/>
  <c r="AC167" i="18"/>
  <c r="AE167" i="18" s="1"/>
  <c r="Z169" i="18"/>
  <c r="Z170" i="18"/>
  <c r="N36" i="11"/>
  <c r="O35" i="11"/>
  <c r="F5" i="8"/>
  <c r="G5" i="8" s="1"/>
  <c r="H5" i="8" s="1"/>
  <c r="I5" i="8" s="1"/>
  <c r="AC93" i="18" l="1"/>
  <c r="AB99" i="18"/>
  <c r="AC99" i="18" s="1"/>
  <c r="AB108" i="18"/>
  <c r="AB109" i="18" s="1"/>
  <c r="AB110" i="18" s="1"/>
  <c r="AB111" i="18" s="1"/>
  <c r="AB53" i="18"/>
  <c r="AC129" i="18"/>
  <c r="AB130" i="18"/>
  <c r="AC130" i="18" s="1"/>
  <c r="AE42" i="18"/>
  <c r="T151" i="18"/>
  <c r="T152" i="18" s="1"/>
  <c r="AA64" i="18"/>
  <c r="AA171" i="18" s="1"/>
  <c r="AB76" i="18"/>
  <c r="AB78" i="18"/>
  <c r="AB49" i="18"/>
  <c r="AB168" i="18" s="1"/>
  <c r="AC168" i="18" s="1"/>
  <c r="AE168" i="18" s="1"/>
  <c r="AB50" i="18"/>
  <c r="AB58" i="18"/>
  <c r="AB63" i="18"/>
  <c r="AB52" i="18"/>
  <c r="AB60" i="18"/>
  <c r="AB56" i="18"/>
  <c r="AB79" i="18"/>
  <c r="AB55" i="18"/>
  <c r="AE55" i="18" s="1"/>
  <c r="AB54" i="18"/>
  <c r="AB65" i="18"/>
  <c r="AB80" i="18"/>
  <c r="AB59" i="18"/>
  <c r="AB66" i="18"/>
  <c r="AB62" i="18"/>
  <c r="S152" i="18"/>
  <c r="AB75" i="18"/>
  <c r="AB73" i="18"/>
  <c r="AC42" i="18"/>
  <c r="AB74" i="18"/>
  <c r="AB72" i="18"/>
  <c r="AA169" i="18"/>
  <c r="AA170" i="18"/>
  <c r="N37" i="11"/>
  <c r="O36" i="11"/>
  <c r="F18" i="8"/>
  <c r="G18" i="8"/>
  <c r="AE52" i="18" l="1"/>
  <c r="AB174" i="18"/>
  <c r="AE53" i="18"/>
  <c r="AC53" i="18"/>
  <c r="AE78" i="18"/>
  <c r="AB131" i="18"/>
  <c r="AC131" i="18" s="1"/>
  <c r="AC108" i="18"/>
  <c r="R151" i="18"/>
  <c r="R152" i="18"/>
  <c r="M182" i="18" s="1"/>
  <c r="AC79" i="18"/>
  <c r="AE79" i="18"/>
  <c r="AC50" i="18"/>
  <c r="AE50" i="18"/>
  <c r="S148" i="18"/>
  <c r="AE65" i="18"/>
  <c r="AB172" i="18"/>
  <c r="AC172" i="18" s="1"/>
  <c r="AE172" i="18" s="1"/>
  <c r="AE66" i="18"/>
  <c r="AC49" i="18"/>
  <c r="AE49" i="18"/>
  <c r="AC63" i="18"/>
  <c r="AE63" i="18"/>
  <c r="S142" i="18"/>
  <c r="AE62" i="18"/>
  <c r="S141" i="18"/>
  <c r="AE56" i="18"/>
  <c r="AB173" i="18"/>
  <c r="AC173" i="18" s="1"/>
  <c r="AE173" i="18" s="1"/>
  <c r="AE60" i="18"/>
  <c r="AC59" i="18"/>
  <c r="AE59" i="18"/>
  <c r="S139" i="18"/>
  <c r="AE54" i="18"/>
  <c r="S144" i="18"/>
  <c r="AE58" i="18"/>
  <c r="AC80" i="18"/>
  <c r="AE80" i="18"/>
  <c r="S164" i="18"/>
  <c r="AE76" i="18"/>
  <c r="S162" i="18"/>
  <c r="AE75" i="18"/>
  <c r="S161" i="18"/>
  <c r="AE74" i="18"/>
  <c r="S159" i="18"/>
  <c r="AE72" i="18"/>
  <c r="S160" i="18"/>
  <c r="AE73" i="18"/>
  <c r="AC65" i="18"/>
  <c r="S145" i="18"/>
  <c r="AC54" i="18"/>
  <c r="AC56" i="18"/>
  <c r="T141" i="18" s="1"/>
  <c r="AC58" i="18"/>
  <c r="S146" i="18"/>
  <c r="AC76" i="18"/>
  <c r="AC62" i="18"/>
  <c r="S149" i="18"/>
  <c r="AB64" i="18"/>
  <c r="AC60" i="18"/>
  <c r="AC66" i="18"/>
  <c r="AC78" i="18"/>
  <c r="AC74" i="18"/>
  <c r="AC73" i="18"/>
  <c r="AC72" i="18"/>
  <c r="AC75" i="18"/>
  <c r="S138" i="18"/>
  <c r="AC52" i="18"/>
  <c r="AB169" i="18"/>
  <c r="AC55" i="18"/>
  <c r="T140" i="18" s="1"/>
  <c r="AB170" i="18"/>
  <c r="S140" i="18"/>
  <c r="N38" i="11"/>
  <c r="O37" i="11"/>
  <c r="H18" i="8"/>
  <c r="AC174" i="18" l="1"/>
  <c r="AE174" i="18" s="1"/>
  <c r="T138" i="18"/>
  <c r="R138" i="18" s="1"/>
  <c r="P184" i="18" s="1"/>
  <c r="P185" i="18" s="1"/>
  <c r="P182" i="18"/>
  <c r="AC109" i="18"/>
  <c r="T149" i="18"/>
  <c r="R149" i="18" s="1"/>
  <c r="T139" i="18"/>
  <c r="R139" i="18" s="1"/>
  <c r="M181" i="18" s="1"/>
  <c r="T148" i="18"/>
  <c r="R148" i="18" s="1"/>
  <c r="T144" i="18"/>
  <c r="R144" i="18" s="1"/>
  <c r="T146" i="18"/>
  <c r="R146" i="18" s="1"/>
  <c r="T164" i="18"/>
  <c r="R164" i="18" s="1"/>
  <c r="T161" i="18"/>
  <c r="R161" i="18" s="1"/>
  <c r="AC64" i="18"/>
  <c r="AE64" i="18"/>
  <c r="T142" i="18"/>
  <c r="R142" i="18" s="1"/>
  <c r="R141" i="18"/>
  <c r="T145" i="18"/>
  <c r="R145" i="18" s="1"/>
  <c r="T159" i="18"/>
  <c r="R159" i="18" s="1"/>
  <c r="AB171" i="18"/>
  <c r="AC171" i="18" s="1"/>
  <c r="AE171" i="18" s="1"/>
  <c r="T162" i="18"/>
  <c r="R162" i="18" s="1"/>
  <c r="T160" i="18"/>
  <c r="R160" i="18" s="1"/>
  <c r="AC170" i="18"/>
  <c r="AE170" i="18" s="1"/>
  <c r="AC169" i="18"/>
  <c r="AE169" i="18" s="1"/>
  <c r="R140" i="18"/>
  <c r="N39" i="11"/>
  <c r="O38" i="11"/>
  <c r="I18" i="8"/>
  <c r="P183" i="18" l="1"/>
  <c r="M183" i="18"/>
  <c r="P181" i="18"/>
  <c r="P180" i="18"/>
  <c r="M180" i="18"/>
  <c r="AC111" i="18"/>
  <c r="AC110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6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<sst xmlns="http://schemas.openxmlformats.org/spreadsheetml/2006/main" count="620" uniqueCount="430">
  <si>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</si>
  <si>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</si>
  <si>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</si>
  <si>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</si>
  <si>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</si>
  <si>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</si>
  <si>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</si>
  <si>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</si>
  <si>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</si>
  <si>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</si>
  <si>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</si>
  <si>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</si>
  <si>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</si>
  <si>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</si>
  <si>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</si>
  <si>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</si>
  <si>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</si>
  <si>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</si>
  <si>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</si>
  <si>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</si>
  <si>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</si>
  <si>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</si>
  <si>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</si>
  <si>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</si>
  <si>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</si>
  <si>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</si>
  <si>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</si>
  <si>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</si>
  <si>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</si>
  <si>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</si>
  <si>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</si>
  <si>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</si>
  <si>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</si>
  <si>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</si>
  <si>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</si>
  <si>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</si>
  <si>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</si>
  <si>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</si>
  <si>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</si>
  <si>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</si>
  <si>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</si>
  <si>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</si>
  <si>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</si>
  <si>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</si>
  <si>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</si>
  <si>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</si>
  <si>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</si>
  <si>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</si>
  <si>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</si>
  <si>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</si>
  <si>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</si>
  <si>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</si>
  <si>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</si>
  <si>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</si>
  <si>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</si>
  <si>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</si>
  <si>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</si>
  <si>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</si>
  <si>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</si>
  <si>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</si>
  <si>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</si>
  <si>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</si>
  <si>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</si>
  <si>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</si>
  <si>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</si>
  <si>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</si>
  <si>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</si>
  <si>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</si>
  <si>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</si>
  <si>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</si>
  <si>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</si>
  <si>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</si>
  <si>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</si>
  <si>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</si>
  <si>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</si>
  <si>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</si>
  <si>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</si>
  <si>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</si>
  <si>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</si>
  <si>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</si>
  <si>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</si>
  <si>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</si>
  <si>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</si>
  <si>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</si>
  <si>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</si>
  <si>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</si>
  <si>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</si>
  <si>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</si>
  <si>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</si>
  <si>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</si>
  <si>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</si>
  <si>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</si>
  <si>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</si>
  <si>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</si>
  <si>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</si>
  <si>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</si>
  <si>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</si>
  <si>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</si>
  <si>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</si>
  <si>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</si>
  <si>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</si>
  <si>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</si>
  <si>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</si>
  <si>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</si>
  <si>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</si>
  <si>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</si>
  <si>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</si>
  <si>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</si>
  <si>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</si>
  <si>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</si>
  <si>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</si>
  <si>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</si>
  <si>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</si>
  <si>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</si>
  <si>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</si>
  <si>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</si>
  <si>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</si>
  <si>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</si>
  <si>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</si>
  <si>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</si>
  <si>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</si>
  <si>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</si>
  <si>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</si>
  <si>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</si>
  <si>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</si>
  <si>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</si>
  <si>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</si>
  <si>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</si>
  <si>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</si>
  <si>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</si>
  <si>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</si>
  <si>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</si>
  <si>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</si>
  <si>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</si>
  <si>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</si>
  <si>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</si>
  <si>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</si>
  <si>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</si>
  <si>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</si>
  <si>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</si>
  <si>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</si>
  <si>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</si>
  <si>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</si>
  <si>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</si>
  <si>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</si>
  <si>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</si>
  <si>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</si>
  <si>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</si>
  <si>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</si>
  <si>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</si>
  <si>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</si>
  <si>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</si>
  <si>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</si>
  <si>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</si>
  <si>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</si>
  <si>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</si>
  <si>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</si>
  <si>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</si>
  <si>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</si>
  <si>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</si>
  <si>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</si>
  <si>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</si>
  <si>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</si>
  <si>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</si>
  <si>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</si>
  <si>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</si>
  <si>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</si>
  <si>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</si>
  <si>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</si>
  <si>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</si>
  <si>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</si>
  <si>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</si>
  <si>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</si>
  <si>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</si>
  <si>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</si>
  <si>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</si>
  <si>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</si>
  <si>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</si>
  <si>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</si>
  <si>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</si>
  <si>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</si>
  <si>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</si>
  <si>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</si>
  <si>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</si>
  <si>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</si>
  <si>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</si>
  <si>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</si>
  <si>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</si>
  <si>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</si>
  <si>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</si>
  <si>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</si>
  <si>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</si>
  <si>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</si>
  <si>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</si>
  <si>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</si>
  <si>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</si>
  <si>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</si>
  <si>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</si>
  <si>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</si>
  <si>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</si>
  <si>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</si>
  <si>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</si>
  <si>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</si>
  <si>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</si>
  <si>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</si>
  <si>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</si>
  <si>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</si>
  <si>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</si>
  <si>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</si>
  <si>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</si>
  <si>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</si>
  <si>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</si>
  <si>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</si>
  <si>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</si>
  <si>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</si>
  <si>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</si>
  <si>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</si>
  <si>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</si>
  <si>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</si>
  <si>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</si>
  <si>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</si>
  <si>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</si>
  <si>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</si>
  <si>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</si>
  <si>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</si>
  <si>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</si>
  <si>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</si>
  <si>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</si>
  <si>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</si>
  <si>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</si>
  <si>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</si>
  <si>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</si>
  <si>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</si>
  <si>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</si>
  <si>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</si>
  <si>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</si>
  <si>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</si>
  <si>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</si>
  <si>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</si>
  <si>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</si>
  <si>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</si>
  <si>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</si>
  <si>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</si>
  <si>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</si>
  <si>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</si>
  <si>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</si>
  <si>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</si>
  <si>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</si>
  <si>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</si>
  <si>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</si>
  <si>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</si>
  <si>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</si>
  <si>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</si>
  <si>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</si>
  <si>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</si>
  <si>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</si>
  <si>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</si>
  <si>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</si>
  <si>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</si>
  <si>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</si>
  <si>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</si>
  <si>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</si>
  <si>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</si>
  <si>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</si>
  <si>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</si>
  <si>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</si>
  <si>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</si>
  <si>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</si>
  <si>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</si>
  <si>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</si>
  <si>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</si>
  <si>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</si>
  <si>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</si>
  <si>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</si>
  <si>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</si>
  <si>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</si>
  <si>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</si>
  <si>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</si>
  <si>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</si>
  <si>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</si>
  <si>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</si>
  <si>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</si>
  <si>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</si>
  <si>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</si>
  <si>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</si>
  <si>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</si>
  <si>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</si>
  <si>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</si>
  <si>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</si>
  <si>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</si>
  <si>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</si>
  <si>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</si>
  <si>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</si>
  <si>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</si>
  <si>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</si>
  <si>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</si>
  <si>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</si>
  <si>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</si>
  <si>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</si>
  <si>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</si>
  <si>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</si>
  <si>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</si>
  <si>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</si>
  <si>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</si>
  <si>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</si>
  <si>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</si>
  <si>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</si>
  <si>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</si>
  <si>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</si>
  <si>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</si>
  <si>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</si>
  <si>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</si>
  <si>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</si>
  <si>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</si>
  <si>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</si>
  <si>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</si>
  <si>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</si>
  <si>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</si>
  <si>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</si>
  <si>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</si>
  <si>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</si>
  <si>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</si>
  <si>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</si>
  <si>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</si>
  <si>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</si>
  <si>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</si>
  <si>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</si>
  <si>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</si>
  <si>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</si>
  <si>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</si>
  <si>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</si>
  <si>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</si>
  <si>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</si>
  <si>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</si>
  <si>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</si>
  <si>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</si>
  <si>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</si>
  <si>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</si>
  <si>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</si>
  <si>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</si>
  <si>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</si>
  <si>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</si>
  <si>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</si>
  <si>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</si>
  <si>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</si>
  <si>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</si>
  <si>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</si>
  <si>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</si>
  <si>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</si>
  <si>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</si>
  <si>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</si>
  <si>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</si>
  <si>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</si>
  <si>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</si>
  <si>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</si>
  <si>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</si>
  <si>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</si>
  <si>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</si>
  <si>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</si>
  <si>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</si>
  <si>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</si>
  <si>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</si>
  <si>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</si>
  <si>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</si>
  <si>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</si>
  <si>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</si>
  <si>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</si>
  <si>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</si>
  <si>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</si>
  <si>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</si>
  <si>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</si>
  <si>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</si>
  <si>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</si>
  <si>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</si>
  <si>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</si>
  <si>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</si>
  <si>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</si>
  <si>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</si>
  <si>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</si>
  <si>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</si>
  <si>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</si>
  <si>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</si>
  <si>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</si>
  <si>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</si>
  <si>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</si>
  <si>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</si>
  <si>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</si>
  <si>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</si>
  <si>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</si>
  <si>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</si>
  <si>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</si>
  <si>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</si>
  <si>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</si>
  <si>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</si>
  <si>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</si>
  <si>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</si>
  <si>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</si>
  <si>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</si>
  <si>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</si>
  <si>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</si>
  <si>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</si>
  <si>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</si>
  <si>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</si>
  <si>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</si>
  <si>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</si>
  <si>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</si>
  <si>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</si>
  <si>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</si>
  <si>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</si>
  <si>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</si>
  <si>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</si>
  <si>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</si>
  <si>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</si>
  <si>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</si>
  <si>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</si>
  <si>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</si>
  <si>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</si>
  <si>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</si>
  <si>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</si>
  <si>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</si>
  <si>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</si>
  <si>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</si>
  <si>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</si>
  <si>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</si>
  <si>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</si>
  <si>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</si>
  <si>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</si>
  <si>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</si>
  <si>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2x1</t>
  </si>
  <si>
    <t>10x2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</si>
</sst>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8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2" fontId="4" fillId="6" borderId="1" xfId="1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178" fontId="8" fillId="5" borderId="1" xfId="2" applyNumberFormat="1" applyFont="1" applyFill="1" applyBorder="1"/>
    <xf numFmtId="9" fontId="5" fillId="5" borderId="1" xfId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10464"/>
        <c:axId val="106912000"/>
      </c:lineChart>
      <c:catAx>
        <c:axId val="106910464"/>
        <c:scaling>
          <c:orientation val="minMax"/>
        </c:scaling>
        <c:delete val="0"/>
        <c:axPos val="b"/>
        <c:majorTickMark val="out"/>
        <c:minorTickMark val="none"/>
        <c:tickLblPos val="nextTo"/>
        <c:crossAx val="106912000"/>
        <c:crosses val="autoZero"/>
        <c:auto val="1"/>
        <c:lblAlgn val="ctr"/>
        <c:lblOffset val="100"/>
        <c:noMultiLvlLbl val="0"/>
      </c:catAx>
      <c:valAx>
        <c:axId val="106912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691046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7"/>
  <sheetViews>
    <sheetView tabSelected="1" zoomScale="80" zoomScaleNormal="80" workbookViewId="0">
      <pane xSplit="2" ySplit="3" topLeftCell="F26" activePane="bottomRight" state="frozen"/>
      <selection pane="topRight" activeCell="C1" sqref="C1"/>
      <selection pane="bottomLeft" activeCell="A5" sqref="A5"/>
      <selection pane="bottomRight" activeCell="T201" sqref="T201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1" t="s">
        <v>291</v>
      </c>
      <c r="AE2" s="192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3" t="s">
        <v>292</v>
      </c>
      <c r="AE3" s="194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v>106</v>
      </c>
      <c r="H6" s="147">
        <v>141</v>
      </c>
      <c r="I6" s="147">
        <v>228</v>
      </c>
      <c r="J6" s="147">
        <v>301</v>
      </c>
      <c r="K6" s="147">
        <v>764</v>
      </c>
      <c r="L6" s="147">
        <v>888</v>
      </c>
      <c r="M6" s="147">
        <v>1117</v>
      </c>
      <c r="N6" s="147">
        <v>1567</v>
      </c>
      <c r="O6" s="147">
        <v>1959</v>
      </c>
      <c r="P6" s="147">
        <v>2385</v>
      </c>
      <c r="Q6" s="118">
        <f>((P6/G6)^(1/($H$2-$H$1) ))-1</f>
        <v>0.41332649973063584</v>
      </c>
      <c r="R6" s="31">
        <f>$L$2</f>
        <v>0.12</v>
      </c>
      <c r="S6" s="154">
        <f>P6*(1+$R6)</f>
        <v>2671.2000000000003</v>
      </c>
      <c r="T6" s="154">
        <f>S6*(1+$R6)</f>
        <v>2991.7440000000006</v>
      </c>
      <c r="U6" s="154">
        <f t="shared" ref="U6:AB6" si="0">T6*(1+$R6)</f>
        <v>3350.7532800000008</v>
      </c>
      <c r="V6" s="154">
        <f t="shared" si="0"/>
        <v>3752.8436736000012</v>
      </c>
      <c r="W6" s="154">
        <f t="shared" si="0"/>
        <v>4203.1849144320022</v>
      </c>
      <c r="X6" s="154">
        <f t="shared" si="0"/>
        <v>4707.5671041638425</v>
      </c>
      <c r="Y6" s="154">
        <f t="shared" si="0"/>
        <v>5272.4751566635041</v>
      </c>
      <c r="Z6" s="154">
        <f t="shared" si="0"/>
        <v>5905.1721754631253</v>
      </c>
      <c r="AA6" s="154">
        <f t="shared" si="0"/>
        <v>6613.7928365187008</v>
      </c>
      <c r="AB6" s="154">
        <f t="shared" si="0"/>
        <v>7407.4479769009458</v>
      </c>
      <c r="AC6" s="138">
        <f>((AB6/G6)^(1/($AB$3-$H$1) ))-1</f>
        <v>0.2504655266191298</v>
      </c>
      <c r="AD6" s="31">
        <f>$L$1</f>
        <v>0.05</v>
      </c>
      <c r="AE6" s="146">
        <f t="shared" ref="AE6:AE43" si="1">(AB6*(1+AD6))/($C$1-AD6)</f>
        <v>45751.88456321173</v>
      </c>
    </row>
    <row r="7" spans="2:31" x14ac:dyDescent="0.2">
      <c r="B7" s="20" t="s">
        <v>240</v>
      </c>
      <c r="C7" s="141"/>
      <c r="D7" s="141"/>
      <c r="E7" s="147"/>
      <c r="F7" s="147"/>
      <c r="G7" s="147">
        <v>113</v>
      </c>
      <c r="H7" s="147">
        <v>148</v>
      </c>
      <c r="I7" s="147">
        <v>236</v>
      </c>
      <c r="J7" s="147">
        <v>309</v>
      </c>
      <c r="K7" s="147">
        <v>789</v>
      </c>
      <c r="L7" s="147">
        <v>914</v>
      </c>
      <c r="M7" s="147">
        <v>1144</v>
      </c>
      <c r="N7" s="147">
        <v>1596</v>
      </c>
      <c r="O7" s="147">
        <v>1988</v>
      </c>
      <c r="P7" s="147">
        <v>2414</v>
      </c>
      <c r="Q7" s="118">
        <f>((P7/G7)^(1/($H$2-$H$1) ))-1</f>
        <v>0.40520559118627886</v>
      </c>
      <c r="R7" s="31">
        <f>$L$2</f>
        <v>0.12</v>
      </c>
      <c r="S7" s="154">
        <f t="shared" ref="S7:S16" si="2">P7*(1+$R7)</f>
        <v>2703.6800000000003</v>
      </c>
      <c r="T7" s="154">
        <f t="shared" ref="T7:AB7" si="3">S7*(1+$R7)</f>
        <v>3028.1216000000004</v>
      </c>
      <c r="U7" s="154">
        <f t="shared" si="3"/>
        <v>3391.496192000001</v>
      </c>
      <c r="V7" s="154">
        <f t="shared" si="3"/>
        <v>3798.4757350400014</v>
      </c>
      <c r="W7" s="154">
        <f t="shared" si="3"/>
        <v>4254.2928232448021</v>
      </c>
      <c r="X7" s="154">
        <f t="shared" si="3"/>
        <v>4764.8079620341787</v>
      </c>
      <c r="Y7" s="154">
        <f t="shared" si="3"/>
        <v>5336.5849174782807</v>
      </c>
      <c r="Z7" s="154">
        <f t="shared" si="3"/>
        <v>5976.9751075756749</v>
      </c>
      <c r="AA7" s="154">
        <f t="shared" si="3"/>
        <v>6694.2121204847563</v>
      </c>
      <c r="AB7" s="154">
        <f t="shared" si="3"/>
        <v>7497.5175749429281</v>
      </c>
      <c r="AC7" s="138">
        <f>((AB7/G7)^(1/($AB$3-$H$1) ))-1</f>
        <v>0.24705688869958276</v>
      </c>
      <c r="AD7" s="31">
        <f>$L$1</f>
        <v>0.05</v>
      </c>
      <c r="AE7" s="146">
        <f t="shared" si="1"/>
        <v>46308.196786412213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0.23648648648648649</v>
      </c>
      <c r="I8" s="151">
        <f t="shared" ref="I8:P8" si="4">(I7-H7)/I7</f>
        <v>0.3728813559322034</v>
      </c>
      <c r="J8" s="151">
        <f t="shared" si="4"/>
        <v>0.23624595469255663</v>
      </c>
      <c r="K8" s="151">
        <f t="shared" si="4"/>
        <v>0.60836501901140683</v>
      </c>
      <c r="L8" s="151">
        <f t="shared" si="4"/>
        <v>0.13676148796498905</v>
      </c>
      <c r="M8" s="151">
        <f t="shared" si="4"/>
        <v>0.20104895104895104</v>
      </c>
      <c r="N8" s="151">
        <f t="shared" si="4"/>
        <v>0.2832080200501253</v>
      </c>
      <c r="O8" s="151">
        <f t="shared" si="4"/>
        <v>0.19718309859154928</v>
      </c>
      <c r="P8" s="151">
        <f t="shared" si="4"/>
        <v>0.17647058823529413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/>
      <c r="G9" s="147">
        <v>69</v>
      </c>
      <c r="H9" s="147">
        <v>42</v>
      </c>
      <c r="I9" s="147">
        <v>284</v>
      </c>
      <c r="J9" s="147">
        <v>3334</v>
      </c>
      <c r="K9" s="147">
        <v>4414</v>
      </c>
      <c r="L9" s="147">
        <v>4591</v>
      </c>
      <c r="M9" s="147">
        <v>5362</v>
      </c>
      <c r="N9" s="147">
        <v>6395</v>
      </c>
      <c r="O9" s="147">
        <v>6687</v>
      </c>
      <c r="P9" s="147">
        <v>8630</v>
      </c>
      <c r="Q9" s="118">
        <f t="shared" ref="Q9:Q16" si="5">((P9/G9)^(1/($H$2-$H$1) ))-1</f>
        <v>0.71008606168693245</v>
      </c>
      <c r="R9" s="31">
        <f t="shared" ref="R9:R40" si="6">$L$2</f>
        <v>0.12</v>
      </c>
      <c r="S9" s="154">
        <f t="shared" ref="S9" si="7">P9*(1+$R9)</f>
        <v>9665.6</v>
      </c>
      <c r="T9" s="154">
        <f t="shared" ref="T9" si="8">S9*(1+$R9)</f>
        <v>10825.472000000002</v>
      </c>
      <c r="U9" s="154">
        <f t="shared" ref="U9" si="9">T9*(1+$R9)</f>
        <v>12124.528640000002</v>
      </c>
      <c r="V9" s="154">
        <f t="shared" ref="V9" si="10">U9*(1+$R9)</f>
        <v>13579.472076800004</v>
      </c>
      <c r="W9" s="154">
        <f t="shared" ref="W9" si="11">V9*(1+$R9)</f>
        <v>15209.008726016007</v>
      </c>
      <c r="X9" s="154">
        <f t="shared" ref="X9" si="12">W9*(1+$R9)</f>
        <v>17034.08977313793</v>
      </c>
      <c r="Y9" s="154">
        <f t="shared" ref="Y9" si="13">X9*(1+$R9)</f>
        <v>19078.180545914482</v>
      </c>
      <c r="Z9" s="154">
        <f t="shared" ref="Z9" si="14">Y9*(1+$R9)</f>
        <v>21367.562211424221</v>
      </c>
      <c r="AA9" s="154">
        <f t="shared" ref="AA9" si="15">Z9*(1+$R9)</f>
        <v>23931.669676795129</v>
      </c>
      <c r="AB9" s="154">
        <f t="shared" ref="AB9" si="16">AA9*(1+$R9)</f>
        <v>26803.470038010546</v>
      </c>
      <c r="AC9" s="138">
        <f>((AB9/G9)^(1/($AB$3-$H$1) ))-1</f>
        <v>0.36861455487629269</v>
      </c>
      <c r="AD9" s="31">
        <f t="shared" ref="AD9:AD79" si="17">$L$1</f>
        <v>0.05</v>
      </c>
      <c r="AE9" s="146">
        <f t="shared" si="1"/>
        <v>165550.84435241809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293</v>
      </c>
      <c r="H10" s="147">
        <v>642</v>
      </c>
      <c r="I10" s="147">
        <v>1344</v>
      </c>
      <c r="J10" s="147">
        <v>3323</v>
      </c>
      <c r="K10" s="147">
        <v>970</v>
      </c>
      <c r="L10" s="147">
        <v>1950</v>
      </c>
      <c r="M10" s="147">
        <v>2086</v>
      </c>
      <c r="N10" s="147">
        <v>2530</v>
      </c>
      <c r="O10" s="147">
        <v>3256</v>
      </c>
      <c r="P10" s="147">
        <v>2728</v>
      </c>
      <c r="Q10" s="118">
        <f t="shared" si="5"/>
        <v>0.2813391118730848</v>
      </c>
      <c r="R10" s="31">
        <f t="shared" si="6"/>
        <v>0.12</v>
      </c>
      <c r="S10" s="154">
        <f t="shared" si="2"/>
        <v>3055.36</v>
      </c>
      <c r="T10" s="154">
        <f t="shared" ref="T10:AB10" si="18">S10*(1+$R10)</f>
        <v>3422.0032000000006</v>
      </c>
      <c r="U10" s="154">
        <f t="shared" si="18"/>
        <v>3832.6435840000008</v>
      </c>
      <c r="V10" s="154">
        <f t="shared" si="18"/>
        <v>4292.5608140800014</v>
      </c>
      <c r="W10" s="154">
        <f t="shared" si="18"/>
        <v>4807.6681117696016</v>
      </c>
      <c r="X10" s="154">
        <f t="shared" si="18"/>
        <v>5384.5882851819542</v>
      </c>
      <c r="Y10" s="154">
        <f t="shared" si="18"/>
        <v>6030.7388794037897</v>
      </c>
      <c r="Z10" s="154">
        <f t="shared" si="18"/>
        <v>6754.4275449322449</v>
      </c>
      <c r="AA10" s="154">
        <f t="shared" si="18"/>
        <v>7564.9588503241148</v>
      </c>
      <c r="AB10" s="154">
        <f t="shared" si="18"/>
        <v>8472.7539123630086</v>
      </c>
      <c r="AC10" s="138">
        <f t="shared" ref="AC10:AC42" si="19">((AB10/G10)^(1/($AB$3-$H$1) ))-1</f>
        <v>0.19372145209743019</v>
      </c>
      <c r="AD10" s="31">
        <f t="shared" si="17"/>
        <v>0.05</v>
      </c>
      <c r="AE10" s="146">
        <f t="shared" si="1"/>
        <v>52331.715341065646</v>
      </c>
    </row>
    <row r="11" spans="2:31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20">(H10-G10)/H10</f>
        <v>0.54361370716510904</v>
      </c>
      <c r="I11" s="148">
        <f t="shared" si="20"/>
        <v>0.5223214285714286</v>
      </c>
      <c r="J11" s="148">
        <f t="shared" si="20"/>
        <v>0.59554619319891666</v>
      </c>
      <c r="K11" s="148">
        <f t="shared" si="20"/>
        <v>-2.4257731958762885</v>
      </c>
      <c r="L11" s="148">
        <f t="shared" si="20"/>
        <v>0.50256410256410255</v>
      </c>
      <c r="M11" s="148">
        <f t="shared" si="20"/>
        <v>6.5196548418024927E-2</v>
      </c>
      <c r="N11" s="148">
        <f t="shared" si="20"/>
        <v>0.17549407114624507</v>
      </c>
      <c r="O11" s="148">
        <f t="shared" si="20"/>
        <v>0.22297297297297297</v>
      </c>
      <c r="P11" s="148">
        <f t="shared" si="20"/>
        <v>-0.19354838709677419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v>145</v>
      </c>
      <c r="H12" s="147">
        <v>585</v>
      </c>
      <c r="I12" s="147">
        <v>1210</v>
      </c>
      <c r="J12" s="147">
        <v>5764</v>
      </c>
      <c r="K12" s="147">
        <v>5000</v>
      </c>
      <c r="L12" s="147">
        <v>5537</v>
      </c>
      <c r="M12" s="147">
        <v>6653</v>
      </c>
      <c r="N12" s="147">
        <v>7800</v>
      </c>
      <c r="O12" s="147">
        <v>7854</v>
      </c>
      <c r="P12" s="147">
        <v>9845</v>
      </c>
      <c r="Q12" s="118">
        <f t="shared" si="5"/>
        <v>0.59785967025576459</v>
      </c>
      <c r="R12" s="31">
        <f t="shared" si="6"/>
        <v>0.12</v>
      </c>
      <c r="S12" s="154">
        <f t="shared" si="2"/>
        <v>11026.400000000001</v>
      </c>
      <c r="T12" s="154">
        <f t="shared" ref="T12:AB12" si="21">S12*(1+$R12)</f>
        <v>12349.568000000003</v>
      </c>
      <c r="U12" s="154">
        <f t="shared" si="21"/>
        <v>13831.516160000005</v>
      </c>
      <c r="V12" s="154">
        <f t="shared" si="21"/>
        <v>15491.298099200007</v>
      </c>
      <c r="W12" s="154">
        <f t="shared" si="21"/>
        <v>17350.253871104011</v>
      </c>
      <c r="X12" s="154">
        <f t="shared" si="21"/>
        <v>19432.284335636494</v>
      </c>
      <c r="Y12" s="154">
        <f t="shared" si="21"/>
        <v>21764.158455912875</v>
      </c>
      <c r="Z12" s="154">
        <f t="shared" si="21"/>
        <v>24375.857470622421</v>
      </c>
      <c r="AA12" s="154">
        <f t="shared" si="21"/>
        <v>27300.960367097116</v>
      </c>
      <c r="AB12" s="154">
        <f t="shared" si="21"/>
        <v>30577.075611148772</v>
      </c>
      <c r="AC12" s="138">
        <f t="shared" si="19"/>
        <v>0.32530934496997976</v>
      </c>
      <c r="AD12" s="31">
        <f t="shared" si="17"/>
        <v>0.05</v>
      </c>
      <c r="AE12" s="146">
        <f t="shared" si="1"/>
        <v>188858.40818650715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5</v>
      </c>
      <c r="H13" s="147">
        <v>5</v>
      </c>
      <c r="I13" s="147">
        <v>5</v>
      </c>
      <c r="J13" s="147">
        <v>6</v>
      </c>
      <c r="K13" s="147">
        <v>136</v>
      </c>
      <c r="L13" s="147">
        <v>385</v>
      </c>
      <c r="M13" s="147">
        <v>4.42</v>
      </c>
      <c r="N13" s="147">
        <v>3.42</v>
      </c>
      <c r="O13" s="147">
        <v>3.4</v>
      </c>
      <c r="P13" s="147">
        <v>3.42</v>
      </c>
      <c r="Q13" s="118">
        <f t="shared" si="5"/>
        <v>-4.1321693140073501E-2</v>
      </c>
      <c r="R13" s="31">
        <f t="shared" si="6"/>
        <v>0.12</v>
      </c>
      <c r="S13" s="154">
        <f t="shared" si="2"/>
        <v>3.8304000000000005</v>
      </c>
      <c r="T13" s="154">
        <f t="shared" ref="T13:AB13" si="22">S13*(1+$R13)</f>
        <v>4.2900480000000005</v>
      </c>
      <c r="U13" s="154">
        <f t="shared" si="22"/>
        <v>4.8048537600000012</v>
      </c>
      <c r="V13" s="154">
        <f t="shared" si="22"/>
        <v>5.3814362112000023</v>
      </c>
      <c r="W13" s="154">
        <f t="shared" si="22"/>
        <v>6.0272085565440028</v>
      </c>
      <c r="X13" s="154">
        <f t="shared" si="22"/>
        <v>6.7504735833292839</v>
      </c>
      <c r="Y13" s="154">
        <f t="shared" si="22"/>
        <v>7.5605304133287987</v>
      </c>
      <c r="Z13" s="154">
        <f t="shared" si="22"/>
        <v>8.467794062928256</v>
      </c>
      <c r="AA13" s="154">
        <f t="shared" si="22"/>
        <v>9.4839293504796469</v>
      </c>
      <c r="AB13" s="154">
        <f t="shared" si="22"/>
        <v>10.622000872537205</v>
      </c>
      <c r="AC13" s="138">
        <f t="shared" si="19"/>
        <v>4.0454192805866596E-2</v>
      </c>
      <c r="AD13" s="31">
        <f t="shared" si="17"/>
        <v>0.05</v>
      </c>
      <c r="AE13" s="146">
        <f t="shared" si="1"/>
        <v>65.606475977435693</v>
      </c>
    </row>
    <row r="14" spans="2:31" x14ac:dyDescent="0.2">
      <c r="B14" s="20" t="s">
        <v>373</v>
      </c>
      <c r="C14" s="141"/>
      <c r="D14" s="141"/>
      <c r="E14" s="147"/>
      <c r="F14" s="147"/>
      <c r="G14" s="147">
        <v>77</v>
      </c>
      <c r="H14" s="147">
        <v>56</v>
      </c>
      <c r="I14" s="147">
        <v>148</v>
      </c>
      <c r="J14" s="147">
        <v>96</v>
      </c>
      <c r="K14" s="147">
        <v>245</v>
      </c>
      <c r="L14" s="147">
        <v>174</v>
      </c>
      <c r="M14" s="147">
        <v>413</v>
      </c>
      <c r="N14" s="147">
        <v>377</v>
      </c>
      <c r="O14" s="147">
        <v>634</v>
      </c>
      <c r="P14" s="147">
        <v>775</v>
      </c>
      <c r="Q14" s="118">
        <f t="shared" ref="Q14" si="23">((P14/G14)^(1/($H$2-$H$1) ))-1</f>
        <v>0.29247884064071306</v>
      </c>
      <c r="R14" s="31">
        <f t="shared" si="6"/>
        <v>0.12</v>
      </c>
      <c r="S14" s="154">
        <f t="shared" ref="S14" si="24">P14*(1+$R14)</f>
        <v>868.00000000000011</v>
      </c>
      <c r="T14" s="154">
        <f t="shared" ref="T14" si="25">S14*(1+$R14)</f>
        <v>972.1600000000002</v>
      </c>
      <c r="U14" s="154">
        <f t="shared" ref="U14" si="26">T14*(1+$R14)</f>
        <v>1088.8192000000004</v>
      </c>
      <c r="V14" s="154">
        <f t="shared" ref="V14" si="27">U14*(1+$R14)</f>
        <v>1219.4775040000006</v>
      </c>
      <c r="W14" s="154">
        <f t="shared" ref="W14" si="28">V14*(1+$R14)</f>
        <v>1365.8148044800009</v>
      </c>
      <c r="X14" s="154">
        <f t="shared" ref="X14" si="29">W14*(1+$R14)</f>
        <v>1529.7125810176012</v>
      </c>
      <c r="Y14" s="154">
        <f t="shared" ref="Y14" si="30">X14*(1+$R14)</f>
        <v>1713.2780907397134</v>
      </c>
      <c r="Z14" s="154">
        <f t="shared" ref="Z14" si="31">Y14*(1+$R14)</f>
        <v>1918.8714616284792</v>
      </c>
      <c r="AA14" s="154">
        <f t="shared" ref="AA14" si="32">Z14*(1+$R14)</f>
        <v>2149.1360370238967</v>
      </c>
      <c r="AB14" s="154">
        <f t="shared" ref="AB14" si="33">AA14*(1+$R14)</f>
        <v>2407.0323614667645</v>
      </c>
      <c r="AC14" s="138">
        <f t="shared" ref="AC14" si="34">((AB14/G14)^(1/($AB$3-$H$1) ))-1</f>
        <v>0.19862614798220757</v>
      </c>
      <c r="AD14" s="31">
        <f t="shared" si="17"/>
        <v>0.05</v>
      </c>
      <c r="AE14" s="146">
        <f t="shared" ref="AE14" si="35">(AB14*(1+AD14))/($C$1-AD14)</f>
        <v>14866.964585530017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278</v>
      </c>
      <c r="H15" s="147">
        <v>169</v>
      </c>
      <c r="I15" s="147">
        <v>525</v>
      </c>
      <c r="J15" s="147">
        <v>6756</v>
      </c>
      <c r="K15" s="147">
        <v>5752</v>
      </c>
      <c r="L15" s="147">
        <v>724</v>
      </c>
      <c r="M15" s="147">
        <v>1278</v>
      </c>
      <c r="N15" s="147">
        <v>2114</v>
      </c>
      <c r="O15" s="147">
        <v>11091</v>
      </c>
      <c r="P15" s="147">
        <v>12950</v>
      </c>
      <c r="Q15" s="118">
        <f t="shared" si="5"/>
        <v>0.53235126174386971</v>
      </c>
      <c r="R15" s="31">
        <f t="shared" si="6"/>
        <v>0.12</v>
      </c>
      <c r="S15" s="154">
        <f t="shared" si="2"/>
        <v>14504.000000000002</v>
      </c>
      <c r="T15" s="154">
        <f t="shared" ref="T15:AB15" si="36">S15*(1+$R15)</f>
        <v>16244.480000000003</v>
      </c>
      <c r="U15" s="154">
        <f t="shared" si="36"/>
        <v>18193.817600000006</v>
      </c>
      <c r="V15" s="154">
        <f t="shared" si="36"/>
        <v>20377.075712000009</v>
      </c>
      <c r="W15" s="154">
        <f t="shared" si="36"/>
        <v>22822.324797440011</v>
      </c>
      <c r="X15" s="154">
        <f t="shared" si="36"/>
        <v>25561.003773132816</v>
      </c>
      <c r="Y15" s="154">
        <f t="shared" si="36"/>
        <v>28628.324225908756</v>
      </c>
      <c r="Z15" s="154">
        <f t="shared" si="36"/>
        <v>32063.723133017811</v>
      </c>
      <c r="AA15" s="154">
        <f t="shared" si="36"/>
        <v>35911.369908979948</v>
      </c>
      <c r="AB15" s="154">
        <f t="shared" si="36"/>
        <v>40220.734298057549</v>
      </c>
      <c r="AC15" s="138">
        <f t="shared" si="19"/>
        <v>0.29928832729732413</v>
      </c>
      <c r="AD15" s="31">
        <f t="shared" si="17"/>
        <v>0.05</v>
      </c>
      <c r="AE15" s="146">
        <f t="shared" si="1"/>
        <v>248422.18242917903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365</v>
      </c>
      <c r="H16" s="147">
        <v>737</v>
      </c>
      <c r="I16" s="147">
        <v>1525</v>
      </c>
      <c r="J16" s="147">
        <v>3572</v>
      </c>
      <c r="K16" s="147">
        <v>1566</v>
      </c>
      <c r="L16" s="147">
        <v>2414</v>
      </c>
      <c r="M16" s="147">
        <v>3155</v>
      </c>
      <c r="N16" s="147">
        <v>4052</v>
      </c>
      <c r="O16" s="147">
        <v>5170</v>
      </c>
      <c r="P16" s="147">
        <v>5069</v>
      </c>
      <c r="Q16" s="118">
        <f t="shared" si="5"/>
        <v>0.3395496807240046</v>
      </c>
      <c r="R16" s="31">
        <f t="shared" si="6"/>
        <v>0.12</v>
      </c>
      <c r="S16" s="154">
        <f t="shared" si="2"/>
        <v>5677.2800000000007</v>
      </c>
      <c r="T16" s="154">
        <f t="shared" ref="T16:AB16" si="37">S16*(1+$R16)</f>
        <v>6358.5536000000011</v>
      </c>
      <c r="U16" s="154">
        <f t="shared" si="37"/>
        <v>7121.5800320000017</v>
      </c>
      <c r="V16" s="154">
        <f t="shared" si="37"/>
        <v>7976.1696358400022</v>
      </c>
      <c r="W16" s="154">
        <f t="shared" si="37"/>
        <v>8933.3099921408029</v>
      </c>
      <c r="X16" s="154">
        <f t="shared" si="37"/>
        <v>10005.3071911977</v>
      </c>
      <c r="Y16" s="154">
        <f t="shared" si="37"/>
        <v>11205.944054141426</v>
      </c>
      <c r="Z16" s="154">
        <f t="shared" si="37"/>
        <v>12550.657340638398</v>
      </c>
      <c r="AA16" s="154">
        <f t="shared" si="37"/>
        <v>14056.736221515006</v>
      </c>
      <c r="AB16" s="154">
        <f t="shared" si="37"/>
        <v>15743.544568096808</v>
      </c>
      <c r="AC16" s="138">
        <f t="shared" si="19"/>
        <v>0.21910921307954423</v>
      </c>
      <c r="AD16" s="31">
        <f t="shared" si="17"/>
        <v>0.05</v>
      </c>
      <c r="AE16" s="146">
        <f t="shared" si="1"/>
        <v>97239.539979421475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/>
      <c r="G18" s="147">
        <v>35</v>
      </c>
      <c r="H18" s="147">
        <v>48</v>
      </c>
      <c r="I18" s="147">
        <v>48</v>
      </c>
      <c r="J18" s="147">
        <v>51</v>
      </c>
      <c r="K18" s="147">
        <v>56</v>
      </c>
      <c r="L18" s="147">
        <v>64</v>
      </c>
      <c r="M18" s="147">
        <v>71</v>
      </c>
      <c r="N18" s="147">
        <v>71</v>
      </c>
      <c r="O18" s="147">
        <v>71</v>
      </c>
      <c r="P18" s="147">
        <v>69</v>
      </c>
      <c r="Q18" s="118">
        <f>((P18/G18)^(1/($H$2-$H$1) ))-1</f>
        <v>7.8334374470067969E-2</v>
      </c>
      <c r="R18" s="31">
        <f t="shared" si="6"/>
        <v>0.12</v>
      </c>
      <c r="S18" s="154">
        <f t="shared" ref="S18:S34" si="38">P18*(1+$R18)</f>
        <v>77.28</v>
      </c>
      <c r="T18" s="154">
        <f t="shared" ref="T18:T34" si="39">S18*(1+$R18)</f>
        <v>86.553600000000003</v>
      </c>
      <c r="U18" s="154">
        <f t="shared" ref="U18:U34" si="40">T18*(1+$R18)</f>
        <v>96.940032000000016</v>
      </c>
      <c r="V18" s="154">
        <f t="shared" ref="V18:V34" si="41">U18*(1+$R18)</f>
        <v>108.57283584000002</v>
      </c>
      <c r="W18" s="154">
        <f t="shared" ref="W18:W36" si="42">V18*(1+$R18)</f>
        <v>121.60157614080003</v>
      </c>
      <c r="X18" s="154">
        <f t="shared" ref="X18:X36" si="43">W18*(1+$R18)</f>
        <v>136.19376527769606</v>
      </c>
      <c r="Y18" s="154">
        <f t="shared" ref="Y18:Y36" si="44">X18*(1+$R18)</f>
        <v>152.53701711101959</v>
      </c>
      <c r="Z18" s="154">
        <f t="shared" ref="Z18:Z36" si="45">Y18*(1+$R18)</f>
        <v>170.84145916434196</v>
      </c>
      <c r="AA18" s="154">
        <f t="shared" ref="AA18:AA36" si="46">Z18*(1+$R18)</f>
        <v>191.342434264063</v>
      </c>
      <c r="AB18" s="154">
        <f t="shared" ref="AB18:AB36" si="47">AA18*(1+$R18)</f>
        <v>214.30352637575058</v>
      </c>
      <c r="AC18" s="138">
        <f t="shared" si="19"/>
        <v>0.10006668980495848</v>
      </c>
      <c r="AD18" s="31">
        <f t="shared" si="17"/>
        <v>0.05</v>
      </c>
      <c r="AE18" s="146">
        <f t="shared" si="1"/>
        <v>1323.6394276149304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f t="shared" si="6"/>
        <v>0.12</v>
      </c>
      <c r="S20" s="154">
        <f t="shared" ref="S20:S22" si="48">P20*(1+$R20)</f>
        <v>0</v>
      </c>
      <c r="T20" s="154">
        <f t="shared" ref="T20:T22" si="49">S20*(1+$R20)</f>
        <v>0</v>
      </c>
      <c r="U20" s="154">
        <f t="shared" ref="U20:U22" si="50">T20*(1+$R20)</f>
        <v>0</v>
      </c>
      <c r="V20" s="154">
        <f t="shared" ref="V20:V22" si="51">U20*(1+$R20)</f>
        <v>0</v>
      </c>
      <c r="W20" s="154">
        <f t="shared" ref="W20:W22" si="52">V20*(1+$R20)</f>
        <v>0</v>
      </c>
      <c r="X20" s="154">
        <f t="shared" ref="X20:X22" si="53">W20*(1+$R20)</f>
        <v>0</v>
      </c>
      <c r="Y20" s="154">
        <f t="shared" ref="Y20:Y22" si="54">X20*(1+$R20)</f>
        <v>0</v>
      </c>
      <c r="Z20" s="154">
        <f t="shared" ref="Z20:Z22" si="55">Y20*(1+$R20)</f>
        <v>0</v>
      </c>
      <c r="AA20" s="154">
        <f t="shared" ref="AA20:AA22" si="56">Z20*(1+$R20)</f>
        <v>0</v>
      </c>
      <c r="AB20" s="154">
        <f t="shared" ref="AB20:AB22" si="57">AA20*(1+$R20)</f>
        <v>0</v>
      </c>
      <c r="AC20" s="138" t="e">
        <f t="shared" ref="AC20:AC22" si="58">((AB20/G20)^(1/($AB$3-$H$1) ))-1</f>
        <v>#DIV/0!</v>
      </c>
      <c r="AD20" s="31">
        <f t="shared" si="17"/>
        <v>0.05</v>
      </c>
      <c r="AE20" s="146">
        <f t="shared" si="1"/>
        <v>0</v>
      </c>
    </row>
    <row r="21" spans="2:31" x14ac:dyDescent="0.2">
      <c r="B21" s="20" t="s">
        <v>284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f t="shared" si="6"/>
        <v>0.12</v>
      </c>
      <c r="S21" s="154">
        <f t="shared" si="48"/>
        <v>0</v>
      </c>
      <c r="T21" s="154">
        <f t="shared" si="49"/>
        <v>0</v>
      </c>
      <c r="U21" s="154">
        <f t="shared" si="50"/>
        <v>0</v>
      </c>
      <c r="V21" s="154">
        <f t="shared" si="51"/>
        <v>0</v>
      </c>
      <c r="W21" s="154">
        <f t="shared" si="52"/>
        <v>0</v>
      </c>
      <c r="X21" s="154">
        <f t="shared" si="53"/>
        <v>0</v>
      </c>
      <c r="Y21" s="154">
        <f t="shared" si="54"/>
        <v>0</v>
      </c>
      <c r="Z21" s="154">
        <f t="shared" si="55"/>
        <v>0</v>
      </c>
      <c r="AA21" s="154">
        <f t="shared" si="56"/>
        <v>0</v>
      </c>
      <c r="AB21" s="154">
        <f t="shared" si="57"/>
        <v>0</v>
      </c>
      <c r="AC21" s="138" t="e">
        <f t="shared" si="58"/>
        <v>#DIV/0!</v>
      </c>
      <c r="AD21" s="31">
        <f t="shared" si="17"/>
        <v>0.05</v>
      </c>
      <c r="AE21" s="146">
        <f t="shared" si="1"/>
        <v>0</v>
      </c>
    </row>
    <row r="22" spans="2:31" x14ac:dyDescent="0.2">
      <c r="B22" s="20" t="s">
        <v>285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f t="shared" si="6"/>
        <v>0.12</v>
      </c>
      <c r="S22" s="154">
        <f t="shared" si="48"/>
        <v>0</v>
      </c>
      <c r="T22" s="154">
        <f t="shared" si="49"/>
        <v>0</v>
      </c>
      <c r="U22" s="154">
        <f t="shared" si="50"/>
        <v>0</v>
      </c>
      <c r="V22" s="154">
        <f t="shared" si="51"/>
        <v>0</v>
      </c>
      <c r="W22" s="154">
        <f t="shared" si="52"/>
        <v>0</v>
      </c>
      <c r="X22" s="154">
        <f t="shared" si="53"/>
        <v>0</v>
      </c>
      <c r="Y22" s="154">
        <f t="shared" si="54"/>
        <v>0</v>
      </c>
      <c r="Z22" s="154">
        <f t="shared" si="55"/>
        <v>0</v>
      </c>
      <c r="AA22" s="154">
        <f t="shared" si="56"/>
        <v>0</v>
      </c>
      <c r="AB22" s="154">
        <f t="shared" si="57"/>
        <v>0</v>
      </c>
      <c r="AC22" s="138" t="e">
        <f t="shared" si="58"/>
        <v>#DIV/0!</v>
      </c>
      <c r="AD22" s="31">
        <f t="shared" si="17"/>
        <v>0.05</v>
      </c>
      <c r="AE22" s="146">
        <f t="shared" si="1"/>
        <v>0</v>
      </c>
    </row>
    <row r="23" spans="2:31" x14ac:dyDescent="0.2">
      <c r="B23" s="20" t="s">
        <v>295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18" t="e">
        <f>((P23/G23)^(1/($H$2-$H$1) ))-1</f>
        <v>#DIV/0!</v>
      </c>
      <c r="R23" s="31">
        <f t="shared" si="6"/>
        <v>0.12</v>
      </c>
      <c r="S23" s="154">
        <f t="shared" ref="S23" si="59">P23*(1+$R23)</f>
        <v>0</v>
      </c>
      <c r="T23" s="154">
        <f t="shared" ref="T23" si="60">S23*(1+$R23)</f>
        <v>0</v>
      </c>
      <c r="U23" s="154">
        <f t="shared" ref="U23" si="61">T23*(1+$R23)</f>
        <v>0</v>
      </c>
      <c r="V23" s="154">
        <f t="shared" ref="V23" si="62">U23*(1+$R23)</f>
        <v>0</v>
      </c>
      <c r="W23" s="154">
        <f t="shared" ref="W23" si="63">V23*(1+$R23)</f>
        <v>0</v>
      </c>
      <c r="X23" s="154">
        <f t="shared" ref="X23" si="64">W23*(1+$R23)</f>
        <v>0</v>
      </c>
      <c r="Y23" s="154">
        <f t="shared" ref="Y23" si="65">X23*(1+$R23)</f>
        <v>0</v>
      </c>
      <c r="Z23" s="154">
        <f t="shared" ref="Z23" si="66">Y23*(1+$R23)</f>
        <v>0</v>
      </c>
      <c r="AA23" s="154">
        <f t="shared" ref="AA23" si="67">Z23*(1+$R23)</f>
        <v>0</v>
      </c>
      <c r="AB23" s="154">
        <f t="shared" ref="AB23" si="68">AA23*(1+$R23)</f>
        <v>0</v>
      </c>
      <c r="AC23" s="138" t="e">
        <f t="shared" ref="AC23" si="69">((AB23/G23)^(1/($AB$3-$H$1) ))-1</f>
        <v>#DIV/0!</v>
      </c>
      <c r="AD23" s="31">
        <f t="shared" si="17"/>
        <v>0.05</v>
      </c>
      <c r="AE23" s="146">
        <f t="shared" si="1"/>
        <v>0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v>3082</v>
      </c>
      <c r="H25" s="147">
        <v>4182</v>
      </c>
      <c r="I25" s="147">
        <v>5574</v>
      </c>
      <c r="J25" s="147">
        <v>6713</v>
      </c>
      <c r="K25" s="147">
        <v>8673</v>
      </c>
      <c r="L25" s="147">
        <v>12076</v>
      </c>
      <c r="M25" s="147">
        <v>18758</v>
      </c>
      <c r="N25" s="147">
        <v>20828</v>
      </c>
      <c r="O25" s="147">
        <v>25850</v>
      </c>
      <c r="P25" s="147">
        <v>31228</v>
      </c>
      <c r="Q25" s="118">
        <f>((P25/G25)^(1/($H$2-$H$1) ))-1</f>
        <v>0.29343832847743601</v>
      </c>
      <c r="R25" s="31">
        <f t="shared" si="6"/>
        <v>0.12</v>
      </c>
      <c r="S25" s="154">
        <f t="shared" si="38"/>
        <v>34975.360000000001</v>
      </c>
      <c r="T25" s="154">
        <f t="shared" si="39"/>
        <v>39172.403200000008</v>
      </c>
      <c r="U25" s="154">
        <f t="shared" si="40"/>
        <v>43873.091584000016</v>
      </c>
      <c r="V25" s="154">
        <f t="shared" si="41"/>
        <v>49137.86257408002</v>
      </c>
      <c r="W25" s="154">
        <f t="shared" si="42"/>
        <v>55034.406082969625</v>
      </c>
      <c r="X25" s="154">
        <f t="shared" si="43"/>
        <v>61638.534812925987</v>
      </c>
      <c r="Y25" s="154">
        <f t="shared" si="44"/>
        <v>69035.15899047711</v>
      </c>
      <c r="Z25" s="154">
        <f t="shared" si="45"/>
        <v>77319.378069334372</v>
      </c>
      <c r="AA25" s="154">
        <f t="shared" si="46"/>
        <v>86597.703437654505</v>
      </c>
      <c r="AB25" s="154">
        <f t="shared" si="47"/>
        <v>96989.427850173059</v>
      </c>
      <c r="AC25" s="138">
        <f t="shared" si="19"/>
        <v>0.19904755704217791</v>
      </c>
      <c r="AD25" s="31">
        <f t="shared" si="17"/>
        <v>0.05</v>
      </c>
      <c r="AE25" s="146">
        <f t="shared" si="1"/>
        <v>599052.34848636307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0.26303204208512676</v>
      </c>
      <c r="I26" s="148">
        <f t="shared" ref="I26" si="70">(I25-H25)/I25</f>
        <v>0.24973089343379978</v>
      </c>
      <c r="J26" s="148">
        <f t="shared" ref="J26" si="71">(J25-I25)/J25</f>
        <v>0.16967078802323848</v>
      </c>
      <c r="K26" s="148">
        <f t="shared" ref="K26" si="72">(K25-J25)/K25</f>
        <v>0.22598870056497175</v>
      </c>
      <c r="L26" s="148">
        <f t="shared" ref="L26" si="73">(L25-K25)/L25</f>
        <v>0.28179860881086455</v>
      </c>
      <c r="M26" s="148">
        <f t="shared" ref="M26" si="74">(M25-L25)/M25</f>
        <v>0.35622134555922808</v>
      </c>
      <c r="N26" s="148">
        <f t="shared" ref="N26" si="75">(N25-M25)/N25</f>
        <v>9.9385442673324373E-2</v>
      </c>
      <c r="O26" s="148">
        <f t="shared" ref="O26" si="76">(O25-N25)/O25</f>
        <v>0.19427466150870407</v>
      </c>
      <c r="P26" s="148">
        <f t="shared" ref="P26" si="77">(P25-O25)/P25</f>
        <v>0.17221724093762009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/>
      <c r="G27" s="147">
        <v>3044</v>
      </c>
      <c r="H27" s="147">
        <v>4094</v>
      </c>
      <c r="I27" s="147">
        <v>5461</v>
      </c>
      <c r="J27" s="147">
        <v>6499</v>
      </c>
      <c r="K27" s="147">
        <v>8291</v>
      </c>
      <c r="L27" s="147">
        <v>11834</v>
      </c>
      <c r="M27" s="147">
        <v>18454</v>
      </c>
      <c r="N27" s="147">
        <v>20390</v>
      </c>
      <c r="O27" s="147">
        <v>25047</v>
      </c>
      <c r="P27" s="147">
        <v>30437</v>
      </c>
      <c r="Q27" s="118">
        <f>((P27/G27)^(1/($H$2-$H$1) ))-1</f>
        <v>0.29153552127593274</v>
      </c>
      <c r="R27" s="31">
        <f t="shared" si="6"/>
        <v>0.12</v>
      </c>
      <c r="S27" s="154">
        <f t="shared" si="38"/>
        <v>34089.440000000002</v>
      </c>
      <c r="T27" s="154">
        <f t="shared" si="39"/>
        <v>38180.172800000008</v>
      </c>
      <c r="U27" s="154">
        <f t="shared" si="40"/>
        <v>42761.793536000012</v>
      </c>
      <c r="V27" s="154">
        <f t="shared" si="41"/>
        <v>47893.20876032002</v>
      </c>
      <c r="W27" s="154">
        <f t="shared" si="42"/>
        <v>53640.393811558424</v>
      </c>
      <c r="X27" s="154">
        <f t="shared" si="43"/>
        <v>60077.241068945441</v>
      </c>
      <c r="Y27" s="154">
        <f t="shared" si="44"/>
        <v>67286.509997218905</v>
      </c>
      <c r="Z27" s="154">
        <f t="shared" si="45"/>
        <v>75360.891196885175</v>
      </c>
      <c r="AA27" s="154">
        <f t="shared" si="46"/>
        <v>84404.198140511406</v>
      </c>
      <c r="AB27" s="154">
        <f t="shared" si="47"/>
        <v>94532.701917372789</v>
      </c>
      <c r="AC27" s="138">
        <f t="shared" si="19"/>
        <v>0.19821167960524222</v>
      </c>
      <c r="AD27" s="31">
        <f t="shared" si="17"/>
        <v>0.05</v>
      </c>
      <c r="AE27" s="146">
        <f t="shared" si="1"/>
        <v>583878.4530190673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M28" si="78">(G27-F27)/G27</f>
        <v>1</v>
      </c>
      <c r="H28" s="148">
        <f t="shared" si="78"/>
        <v>0.25647288715192967</v>
      </c>
      <c r="I28" s="148">
        <f t="shared" si="78"/>
        <v>0.25032045412928033</v>
      </c>
      <c r="J28" s="148">
        <f t="shared" si="78"/>
        <v>0.15971687951992614</v>
      </c>
      <c r="K28" s="148">
        <f t="shared" si="78"/>
        <v>0.21613798094319142</v>
      </c>
      <c r="L28" s="148">
        <f t="shared" si="78"/>
        <v>0.29939158357275647</v>
      </c>
      <c r="M28" s="148">
        <f t="shared" si="78"/>
        <v>0.35872981467432535</v>
      </c>
      <c r="N28" s="148">
        <f t="shared" ref="N28" si="79">(N27-M27)/N27</f>
        <v>9.4948504168710146E-2</v>
      </c>
      <c r="O28" s="148">
        <f t="shared" ref="O28" si="80">(O27-N27)/O27</f>
        <v>0.18593045075258513</v>
      </c>
      <c r="P28" s="148">
        <f t="shared" ref="P28" si="81">(P27-O27)/P27</f>
        <v>0.17708709794000724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324</v>
      </c>
      <c r="C29" s="149"/>
      <c r="D29" s="149"/>
      <c r="E29" s="150"/>
      <c r="F29" s="147"/>
      <c r="G29" s="147">
        <v>12</v>
      </c>
      <c r="H29" s="147">
        <v>43</v>
      </c>
      <c r="I29" s="147">
        <v>41</v>
      </c>
      <c r="J29" s="147">
        <v>108</v>
      </c>
      <c r="K29" s="147">
        <v>148</v>
      </c>
      <c r="L29" s="147">
        <v>141</v>
      </c>
      <c r="M29" s="147">
        <v>95</v>
      </c>
      <c r="N29" s="147">
        <v>167</v>
      </c>
      <c r="O29" s="147">
        <v>369</v>
      </c>
      <c r="P29" s="147">
        <v>299</v>
      </c>
      <c r="Q29" s="118">
        <f>((P29/G29)^(1/($H$2-$H$1) ))-1</f>
        <v>0.42943874383538416</v>
      </c>
      <c r="R29" s="31">
        <f t="shared" si="6"/>
        <v>0.12</v>
      </c>
      <c r="S29" s="154">
        <f t="shared" ref="S29" si="82">P29*(1+$R29)</f>
        <v>334.88000000000005</v>
      </c>
      <c r="T29" s="154">
        <f t="shared" ref="T29" si="83">S29*(1+$R29)</f>
        <v>375.06560000000007</v>
      </c>
      <c r="U29" s="154">
        <f t="shared" ref="U29" si="84">T29*(1+$R29)</f>
        <v>420.07347200000015</v>
      </c>
      <c r="V29" s="154">
        <f t="shared" ref="V29" si="85">U29*(1+$R29)</f>
        <v>470.48228864000021</v>
      </c>
      <c r="W29" s="154">
        <f t="shared" ref="W29" si="86">V29*(1+$R29)</f>
        <v>526.94016327680026</v>
      </c>
      <c r="X29" s="154">
        <f t="shared" ref="X29" si="87">W29*(1+$R29)</f>
        <v>590.17298287001631</v>
      </c>
      <c r="Y29" s="154">
        <f t="shared" ref="Y29" si="88">X29*(1+$R29)</f>
        <v>660.99374081441829</v>
      </c>
      <c r="Z29" s="154">
        <f t="shared" ref="Z29" si="89">Y29*(1+$R29)</f>
        <v>740.31298971214858</v>
      </c>
      <c r="AA29" s="154">
        <f t="shared" ref="AA29" si="90">Z29*(1+$R29)</f>
        <v>829.15054847760643</v>
      </c>
      <c r="AB29" s="154">
        <f t="shared" ref="AB29" si="91">AA29*(1+$R29)</f>
        <v>928.6486142949193</v>
      </c>
      <c r="AC29" s="138">
        <f t="shared" ref="AC29" si="92">((AB29/G29)^(1/($AB$3-$H$1) ))-1</f>
        <v>0.25719803372674188</v>
      </c>
      <c r="AD29" s="31">
        <f t="shared" si="17"/>
        <v>0.05</v>
      </c>
      <c r="AE29" s="146">
        <f t="shared" ref="AE29" si="93">(AB29*(1+AD29))/($C$1-AD29)</f>
        <v>5735.7708529980318</v>
      </c>
    </row>
    <row r="30" spans="2:31" s="123" customFormat="1" x14ac:dyDescent="0.2">
      <c r="B30" s="23"/>
      <c r="C30" s="149"/>
      <c r="D30" s="149"/>
      <c r="E30" s="150"/>
      <c r="F30" s="150"/>
      <c r="G30" s="148">
        <f t="shared" ref="G30:L30" si="94">(G29-F29)/G29</f>
        <v>1</v>
      </c>
      <c r="H30" s="148">
        <f t="shared" si="94"/>
        <v>0.72093023255813948</v>
      </c>
      <c r="I30" s="148">
        <f t="shared" si="94"/>
        <v>-4.878048780487805E-2</v>
      </c>
      <c r="J30" s="148">
        <f t="shared" si="94"/>
        <v>0.62037037037037035</v>
      </c>
      <c r="K30" s="148">
        <f t="shared" si="94"/>
        <v>0.27027027027027029</v>
      </c>
      <c r="L30" s="148">
        <f t="shared" si="94"/>
        <v>-4.9645390070921988E-2</v>
      </c>
      <c r="M30" s="148">
        <f t="shared" ref="M30" si="95">(M29-L29)/M29</f>
        <v>-0.48421052631578948</v>
      </c>
      <c r="N30" s="148">
        <f t="shared" ref="N30" si="96">(N29-M29)/N29</f>
        <v>0.43113772455089822</v>
      </c>
      <c r="O30" s="148">
        <f t="shared" ref="O30" si="97">(O29-N29)/O29</f>
        <v>0.54742547425474253</v>
      </c>
      <c r="P30" s="148">
        <f t="shared" ref="P30" si="98">(P29-O29)/P29</f>
        <v>-0.23411371237458195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 x14ac:dyDescent="0.2">
      <c r="B33" s="20" t="s">
        <v>316</v>
      </c>
      <c r="C33" s="141"/>
      <c r="D33" s="141"/>
      <c r="E33" s="147"/>
      <c r="F33" s="147"/>
      <c r="G33" s="147">
        <v>3036</v>
      </c>
      <c r="H33" s="147">
        <v>4027</v>
      </c>
      <c r="I33" s="147">
        <v>5452</v>
      </c>
      <c r="J33" s="147">
        <v>6490</v>
      </c>
      <c r="K33" s="147">
        <v>8239</v>
      </c>
      <c r="L33" s="147">
        <v>11790</v>
      </c>
      <c r="M33" s="147">
        <v>18418</v>
      </c>
      <c r="N33" s="147">
        <v>20289</v>
      </c>
      <c r="O33" s="147">
        <v>25004</v>
      </c>
      <c r="P33" s="147">
        <v>30410</v>
      </c>
      <c r="Q33" s="118">
        <f>((P33/G33)^(1/($H$2-$H$1) ))-1</f>
        <v>0.29178583198988473</v>
      </c>
      <c r="R33" s="31">
        <f t="shared" si="6"/>
        <v>0.12</v>
      </c>
      <c r="S33" s="154">
        <f t="shared" si="38"/>
        <v>34059.200000000004</v>
      </c>
      <c r="T33" s="154">
        <f t="shared" si="39"/>
        <v>38146.304000000011</v>
      </c>
      <c r="U33" s="154">
        <f t="shared" si="40"/>
        <v>42723.860480000018</v>
      </c>
      <c r="V33" s="154">
        <f t="shared" si="41"/>
        <v>47850.723737600027</v>
      </c>
      <c r="W33" s="154">
        <f t="shared" si="42"/>
        <v>53592.810586112035</v>
      </c>
      <c r="X33" s="154">
        <f t="shared" si="43"/>
        <v>60023.947856445484</v>
      </c>
      <c r="Y33" s="154">
        <f t="shared" si="44"/>
        <v>67226.821599218951</v>
      </c>
      <c r="Z33" s="154">
        <f t="shared" si="45"/>
        <v>75294.040191125227</v>
      </c>
      <c r="AA33" s="154">
        <f t="shared" si="46"/>
        <v>84329.325014060261</v>
      </c>
      <c r="AB33" s="154">
        <f t="shared" si="47"/>
        <v>94448.844015747498</v>
      </c>
      <c r="AC33" s="138">
        <f t="shared" si="19"/>
        <v>0.19832167471881856</v>
      </c>
      <c r="AD33" s="31">
        <f t="shared" si="17"/>
        <v>0.05</v>
      </c>
      <c r="AE33" s="146">
        <f t="shared" si="1"/>
        <v>583360.50715608755</v>
      </c>
    </row>
    <row r="34" spans="2:31" x14ac:dyDescent="0.2">
      <c r="B34" s="20" t="s">
        <v>308</v>
      </c>
      <c r="C34" s="141"/>
      <c r="D34" s="141"/>
      <c r="E34" s="147"/>
      <c r="F34" s="147"/>
      <c r="G34" s="147">
        <v>3</v>
      </c>
      <c r="H34" s="147">
        <v>4</v>
      </c>
      <c r="I34" s="147">
        <v>5</v>
      </c>
      <c r="J34" s="147">
        <v>4</v>
      </c>
      <c r="K34" s="147">
        <v>5</v>
      </c>
      <c r="L34" s="147">
        <v>4</v>
      </c>
      <c r="M34" s="147">
        <v>5</v>
      </c>
      <c r="N34" s="147">
        <v>5</v>
      </c>
      <c r="O34" s="147">
        <v>19</v>
      </c>
      <c r="P34" s="147">
        <v>7</v>
      </c>
      <c r="Q34" s="118">
        <f>((P34/G34)^(1/($H$2-$H$1) ))-1</f>
        <v>9.8718177026669407E-2</v>
      </c>
      <c r="R34" s="31">
        <f t="shared" si="6"/>
        <v>0.12</v>
      </c>
      <c r="S34" s="154">
        <f t="shared" si="38"/>
        <v>7.8400000000000007</v>
      </c>
      <c r="T34" s="154">
        <f t="shared" si="39"/>
        <v>8.780800000000001</v>
      </c>
      <c r="U34" s="154">
        <f t="shared" si="40"/>
        <v>9.8344960000000015</v>
      </c>
      <c r="V34" s="154">
        <f t="shared" si="41"/>
        <v>11.014635520000002</v>
      </c>
      <c r="W34" s="154">
        <f t="shared" si="42"/>
        <v>12.336391782400003</v>
      </c>
      <c r="X34" s="154">
        <f t="shared" si="43"/>
        <v>13.816758796288005</v>
      </c>
      <c r="Y34" s="154">
        <f t="shared" si="44"/>
        <v>15.474769851842566</v>
      </c>
      <c r="Z34" s="154">
        <f t="shared" si="45"/>
        <v>17.331742234063675</v>
      </c>
      <c r="AA34" s="154">
        <f t="shared" si="46"/>
        <v>19.411551302151317</v>
      </c>
      <c r="AB34" s="154">
        <f t="shared" si="47"/>
        <v>21.740937458409476</v>
      </c>
      <c r="AC34" s="138">
        <f t="shared" si="19"/>
        <v>0.1098682345976707</v>
      </c>
      <c r="AD34" s="31">
        <f t="shared" si="17"/>
        <v>0.05</v>
      </c>
      <c r="AE34" s="146">
        <f t="shared" si="1"/>
        <v>134.28226077252913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/>
      <c r="G36" s="147">
        <v>-26</v>
      </c>
      <c r="H36" s="147">
        <v>-58</v>
      </c>
      <c r="I36" s="147">
        <v>-87</v>
      </c>
      <c r="J36" s="147">
        <v>47</v>
      </c>
      <c r="K36" s="147">
        <v>46</v>
      </c>
      <c r="L36" s="147">
        <v>-528</v>
      </c>
      <c r="M36" s="147">
        <v>-319</v>
      </c>
      <c r="N36" s="147">
        <v>-380</v>
      </c>
      <c r="O36" s="147">
        <v>606</v>
      </c>
      <c r="P36" s="147">
        <v>636</v>
      </c>
      <c r="Q36" s="118">
        <f>((P36/G36)^(1/($H$2-$H$1) ))-1</f>
        <v>-2.426513789610377</v>
      </c>
      <c r="R36" s="31">
        <f t="shared" si="6"/>
        <v>0.12</v>
      </c>
      <c r="S36" s="154">
        <f t="shared" ref="S36" si="102">P36*(1+$R36)</f>
        <v>712.32</v>
      </c>
      <c r="T36" s="154">
        <f t="shared" ref="T36" si="103">S36*(1+$R36)</f>
        <v>797.79840000000013</v>
      </c>
      <c r="U36" s="154">
        <f t="shared" ref="U36" si="104">T36*(1+$R36)</f>
        <v>893.53420800000026</v>
      </c>
      <c r="V36" s="154">
        <f t="shared" ref="V36" si="105">U36*(1+$R36)</f>
        <v>1000.7583129600004</v>
      </c>
      <c r="W36" s="154">
        <f t="shared" si="42"/>
        <v>1120.8493105152006</v>
      </c>
      <c r="X36" s="154">
        <f t="shared" si="43"/>
        <v>1255.3512277770249</v>
      </c>
      <c r="Y36" s="154">
        <f t="shared" si="44"/>
        <v>1405.9933751102681</v>
      </c>
      <c r="Z36" s="154">
        <f t="shared" si="45"/>
        <v>1574.7125801235004</v>
      </c>
      <c r="AA36" s="154">
        <f t="shared" si="46"/>
        <v>1763.6780897383205</v>
      </c>
      <c r="AB36" s="154">
        <f t="shared" si="47"/>
        <v>1975.3194605069191</v>
      </c>
      <c r="AC36" s="138">
        <f t="shared" si="19"/>
        <v>-2.2559788190947163</v>
      </c>
      <c r="AD36" s="31">
        <f t="shared" si="17"/>
        <v>0.05</v>
      </c>
      <c r="AE36" s="146">
        <f t="shared" si="1"/>
        <v>12200.502550189796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106">(G36-F36)/G36</f>
        <v>1</v>
      </c>
      <c r="H37" s="148">
        <f t="shared" ref="H37" si="107">(H36-G36)/H36</f>
        <v>0.55172413793103448</v>
      </c>
      <c r="I37" s="148">
        <f t="shared" ref="I37" si="108">(I36-H36)/I36</f>
        <v>0.33333333333333331</v>
      </c>
      <c r="J37" s="148">
        <f t="shared" ref="J37" si="109">(J36-I36)/J36</f>
        <v>2.8510638297872339</v>
      </c>
      <c r="K37" s="148">
        <f t="shared" ref="K37" si="110">(K36-J36)/K36</f>
        <v>-2.1739130434782608E-2</v>
      </c>
      <c r="L37" s="148">
        <f t="shared" ref="L37" si="111">(L36-K36)/L36</f>
        <v>1.0871212121212122</v>
      </c>
      <c r="M37" s="148">
        <f t="shared" ref="M37" si="112">(M36-L36)/M36</f>
        <v>-0.65517241379310343</v>
      </c>
      <c r="N37" s="148">
        <f t="shared" ref="N37" si="113">(N36-M36)/N36</f>
        <v>0.16052631578947368</v>
      </c>
      <c r="O37" s="148">
        <f t="shared" ref="O37" si="114">(O36-N36)/O36</f>
        <v>1.6270627062706271</v>
      </c>
      <c r="P37" s="148">
        <f t="shared" ref="P37" si="115">(P36-O36)/P36</f>
        <v>4.716981132075472E-2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401</v>
      </c>
      <c r="C38" s="149"/>
      <c r="D38" s="149"/>
      <c r="E38" s="150"/>
      <c r="F38" s="150"/>
      <c r="G38" s="147">
        <v>25</v>
      </c>
      <c r="H38" s="147">
        <v>43</v>
      </c>
      <c r="I38" s="147">
        <v>70</v>
      </c>
      <c r="J38" s="147">
        <v>104</v>
      </c>
      <c r="K38" s="147">
        <v>232</v>
      </c>
      <c r="L38" s="147">
        <v>98</v>
      </c>
      <c r="M38" s="147">
        <v>207</v>
      </c>
      <c r="N38" s="147">
        <v>268</v>
      </c>
      <c r="O38" s="147">
        <v>432</v>
      </c>
      <c r="P38" s="147">
        <v>490</v>
      </c>
      <c r="Q38" s="118">
        <f>((P38/G38)^(1/($H$2-$H$1) ))-1</f>
        <v>0.3918229966506992</v>
      </c>
      <c r="R38" s="31">
        <f t="shared" si="6"/>
        <v>0.12</v>
      </c>
      <c r="S38" s="154">
        <f t="shared" ref="S38" si="116">P38*(1+$R38)</f>
        <v>548.80000000000007</v>
      </c>
      <c r="T38" s="154">
        <f t="shared" ref="T38" si="117">S38*(1+$R38)</f>
        <v>614.65600000000018</v>
      </c>
      <c r="U38" s="154">
        <f t="shared" ref="U38" si="118">T38*(1+$R38)</f>
        <v>688.41472000000022</v>
      </c>
      <c r="V38" s="154">
        <f t="shared" ref="V38" si="119">U38*(1+$R38)</f>
        <v>771.02448640000034</v>
      </c>
      <c r="W38" s="154">
        <f t="shared" ref="W38" si="120">V38*(1+$R38)</f>
        <v>863.5474247680005</v>
      </c>
      <c r="X38" s="154">
        <f t="shared" ref="X38" si="121">W38*(1+$R38)</f>
        <v>967.1731157401606</v>
      </c>
      <c r="Y38" s="154">
        <f t="shared" ref="Y38" si="122">X38*(1+$R38)</f>
        <v>1083.23388962898</v>
      </c>
      <c r="Z38" s="154">
        <f t="shared" ref="Z38" si="123">Y38*(1+$R38)</f>
        <v>1213.2219563844578</v>
      </c>
      <c r="AA38" s="154">
        <f t="shared" ref="AA38" si="124">Z38*(1+$R38)</f>
        <v>1358.808591150593</v>
      </c>
      <c r="AB38" s="154">
        <f t="shared" ref="AB38" si="125">AA38*(1+$R38)</f>
        <v>1521.8656220886642</v>
      </c>
      <c r="AC38" s="138">
        <f t="shared" ref="AC38" si="126">((AB38/G38)^(1/($AB$3-$H$1) ))-1</f>
        <v>0.24141703306280338</v>
      </c>
      <c r="AD38" s="31">
        <f t="shared" si="17"/>
        <v>0.05</v>
      </c>
      <c r="AE38" s="146">
        <f t="shared" ref="AE38" si="127">(AB38*(1+AD38))/($C$1-AD38)</f>
        <v>9399.7582540770454</v>
      </c>
    </row>
    <row r="39" spans="2:31" s="123" customFormat="1" x14ac:dyDescent="0.2">
      <c r="B39" s="23"/>
      <c r="C39" s="149"/>
      <c r="D39" s="149"/>
      <c r="E39" s="150"/>
      <c r="F39" s="150"/>
      <c r="G39" s="148">
        <f t="shared" ref="G39" si="128">(G38-F38)/G38</f>
        <v>1</v>
      </c>
      <c r="H39" s="148">
        <f t="shared" ref="H39" si="129">(H38-G38)/H38</f>
        <v>0.41860465116279072</v>
      </c>
      <c r="I39" s="148">
        <f t="shared" ref="I39" si="130">(I38-H38)/I38</f>
        <v>0.38571428571428573</v>
      </c>
      <c r="J39" s="148">
        <f t="shared" ref="J39" si="131">(J38-I38)/J38</f>
        <v>0.32692307692307693</v>
      </c>
      <c r="K39" s="148">
        <f t="shared" ref="K39" si="132">(K38-J38)/K38</f>
        <v>0.55172413793103448</v>
      </c>
      <c r="L39" s="148">
        <f t="shared" ref="L39" si="133">(L38-K38)/L38</f>
        <v>-1.3673469387755102</v>
      </c>
      <c r="M39" s="148">
        <f t="shared" ref="M39" si="134">(M38-L38)/M38</f>
        <v>0.52657004830917875</v>
      </c>
      <c r="N39" s="148">
        <f t="shared" ref="N39" si="135">(N38-M38)/N38</f>
        <v>0.22761194029850745</v>
      </c>
      <c r="O39" s="148">
        <f t="shared" ref="O39" si="136">(O38-N38)/O38</f>
        <v>0.37962962962962965</v>
      </c>
      <c r="P39" s="148">
        <f t="shared" ref="P39" si="137">(P38-O38)/P38</f>
        <v>0.11836734693877551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402</v>
      </c>
      <c r="C40" s="141"/>
      <c r="D40" s="141"/>
      <c r="E40" s="147"/>
      <c r="F40" s="147"/>
      <c r="G40" s="147">
        <v>27</v>
      </c>
      <c r="H40" s="147">
        <v>43</v>
      </c>
      <c r="I40" s="147">
        <v>65</v>
      </c>
      <c r="J40" s="147">
        <v>101</v>
      </c>
      <c r="K40" s="147">
        <v>206</v>
      </c>
      <c r="L40" s="147">
        <v>87</v>
      </c>
      <c r="M40" s="147">
        <v>193</v>
      </c>
      <c r="N40" s="147">
        <v>248</v>
      </c>
      <c r="O40" s="147">
        <v>412</v>
      </c>
      <c r="P40" s="147">
        <v>452</v>
      </c>
      <c r="Q40" s="118">
        <f>((P40/G40)^(1/($H$2-$H$1) ))-1</f>
        <v>0.36764997982194436</v>
      </c>
      <c r="R40" s="31">
        <f t="shared" si="6"/>
        <v>0.12</v>
      </c>
      <c r="S40" s="154">
        <f>P40*(1+$R40)</f>
        <v>506.24000000000007</v>
      </c>
      <c r="T40" s="154">
        <f t="shared" ref="T40:AB40" si="138">S40*(1+$R40)</f>
        <v>566.98880000000008</v>
      </c>
      <c r="U40" s="154">
        <f t="shared" si="138"/>
        <v>635.02745600000014</v>
      </c>
      <c r="V40" s="154">
        <f t="shared" si="138"/>
        <v>711.23075072000017</v>
      </c>
      <c r="W40" s="154">
        <f t="shared" si="138"/>
        <v>796.57844080640029</v>
      </c>
      <c r="X40" s="154">
        <f t="shared" si="138"/>
        <v>892.16785370316836</v>
      </c>
      <c r="Y40" s="154">
        <f t="shared" si="138"/>
        <v>999.22799614754865</v>
      </c>
      <c r="Z40" s="154">
        <f t="shared" si="138"/>
        <v>1119.1353556852546</v>
      </c>
      <c r="AA40" s="154">
        <f t="shared" si="138"/>
        <v>1253.4315983674853</v>
      </c>
      <c r="AB40" s="154">
        <f t="shared" si="138"/>
        <v>1403.8433901715837</v>
      </c>
      <c r="AC40" s="138">
        <f t="shared" si="19"/>
        <v>0.23115693464661535</v>
      </c>
      <c r="AD40" s="31">
        <f t="shared" si="17"/>
        <v>0.05</v>
      </c>
      <c r="AE40" s="146">
        <f t="shared" si="1"/>
        <v>8670.7974098833129</v>
      </c>
    </row>
    <row r="41" spans="2:31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39">(H40-G40)/H40</f>
        <v>0.37209302325581395</v>
      </c>
      <c r="I41" s="148">
        <f t="shared" si="139"/>
        <v>0.33846153846153848</v>
      </c>
      <c r="J41" s="148">
        <f t="shared" si="139"/>
        <v>0.35643564356435642</v>
      </c>
      <c r="K41" s="148">
        <f t="shared" si="139"/>
        <v>0.50970873786407767</v>
      </c>
      <c r="L41" s="148">
        <f t="shared" si="139"/>
        <v>-1.367816091954023</v>
      </c>
      <c r="M41" s="148">
        <f t="shared" si="139"/>
        <v>0.54922279792746109</v>
      </c>
      <c r="N41" s="148">
        <f t="shared" si="139"/>
        <v>0.22177419354838709</v>
      </c>
      <c r="O41" s="148">
        <f t="shared" si="139"/>
        <v>0.39805825242718446</v>
      </c>
      <c r="P41" s="148">
        <f t="shared" si="139"/>
        <v>8.8495575221238937E-2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>
        <v>1</v>
      </c>
      <c r="D42" s="142">
        <v>1</v>
      </c>
      <c r="E42" s="143">
        <v>1</v>
      </c>
      <c r="F42" s="147">
        <v>1</v>
      </c>
      <c r="G42" s="206">
        <v>0.7</v>
      </c>
      <c r="H42" s="206">
        <v>0.7</v>
      </c>
      <c r="I42" s="206">
        <v>3.69</v>
      </c>
      <c r="J42" s="206">
        <v>3.69</v>
      </c>
      <c r="K42" s="206">
        <v>25.06</v>
      </c>
      <c r="L42" s="206">
        <v>25.7</v>
      </c>
      <c r="M42" s="206">
        <v>26.58</v>
      </c>
      <c r="N42" s="206">
        <v>29.52</v>
      </c>
      <c r="O42" s="206">
        <v>29.52</v>
      </c>
      <c r="P42" s="206">
        <v>29.52</v>
      </c>
      <c r="Q42" s="118">
        <f>((P42/G42)^(1/($H$2-$H$1) ))-1</f>
        <v>0.51550575655845887</v>
      </c>
      <c r="R42" s="31">
        <f>P1</f>
        <v>0.05</v>
      </c>
      <c r="S42" s="154">
        <f t="shared" ref="S42:S43" si="140">P42*(1+$R42)</f>
        <v>30.996000000000002</v>
      </c>
      <c r="T42" s="154">
        <f t="shared" ref="T42:AB42" si="141">S42*(1+$R42)</f>
        <v>32.545800000000007</v>
      </c>
      <c r="U42" s="154">
        <f t="shared" si="141"/>
        <v>34.173090000000009</v>
      </c>
      <c r="V42" s="154">
        <f t="shared" si="141"/>
        <v>35.881744500000011</v>
      </c>
      <c r="W42" s="154">
        <f t="shared" si="141"/>
        <v>37.675831725000016</v>
      </c>
      <c r="X42" s="154">
        <f t="shared" si="141"/>
        <v>39.559623311250022</v>
      </c>
      <c r="Y42" s="154">
        <f t="shared" si="141"/>
        <v>41.537604476812525</v>
      </c>
      <c r="Z42" s="154">
        <f t="shared" si="141"/>
        <v>43.614484700653151</v>
      </c>
      <c r="AA42" s="154">
        <f t="shared" si="141"/>
        <v>45.795208935685807</v>
      </c>
      <c r="AB42" s="154">
        <f t="shared" si="141"/>
        <v>48.084969382470099</v>
      </c>
      <c r="AC42" s="138">
        <f t="shared" si="19"/>
        <v>0.24933682798078993</v>
      </c>
      <c r="AD42" s="31">
        <f t="shared" si="17"/>
        <v>0.05</v>
      </c>
      <c r="AE42" s="146">
        <f t="shared" si="1"/>
        <v>296.99539912702124</v>
      </c>
    </row>
    <row r="43" spans="2:31" x14ac:dyDescent="0.2">
      <c r="B43" s="20" t="s">
        <v>282</v>
      </c>
      <c r="C43" s="145"/>
      <c r="D43" s="145"/>
      <c r="E43" s="145"/>
      <c r="F43" s="147"/>
      <c r="G43" s="147">
        <v>5</v>
      </c>
      <c r="H43" s="147">
        <v>10</v>
      </c>
      <c r="I43" s="147">
        <v>2</v>
      </c>
      <c r="J43" s="147">
        <v>2</v>
      </c>
      <c r="K43" s="147">
        <v>0.35</v>
      </c>
      <c r="L43" s="147">
        <v>0.6</v>
      </c>
      <c r="M43" s="147">
        <v>1</v>
      </c>
      <c r="N43" s="147">
        <v>0.6</v>
      </c>
      <c r="O43" s="147">
        <v>0.6</v>
      </c>
      <c r="P43" s="147">
        <v>1</v>
      </c>
      <c r="Q43" s="118">
        <f>((P43/G43)^(1/($H$2-$H$1) ))-1</f>
        <v>-0.16374896904962655</v>
      </c>
      <c r="R43" s="31">
        <f>P1</f>
        <v>0.05</v>
      </c>
      <c r="S43" s="154">
        <f t="shared" si="140"/>
        <v>1.05</v>
      </c>
      <c r="T43" s="154">
        <f t="shared" ref="T43" si="142">S43*(1+$R43)</f>
        <v>1.1025</v>
      </c>
      <c r="U43" s="154">
        <f t="shared" ref="U43" si="143">T43*(1+$R43)</f>
        <v>1.1576250000000001</v>
      </c>
      <c r="V43" s="154">
        <f t="shared" ref="V43" si="144">U43*(1+$R43)</f>
        <v>1.2155062500000002</v>
      </c>
      <c r="W43" s="154">
        <f t="shared" ref="W43" si="145">V43*(1+$R43)</f>
        <v>1.2762815625000004</v>
      </c>
      <c r="X43" s="154">
        <f t="shared" ref="X43" si="146">W43*(1+$R43)</f>
        <v>1.3400956406250004</v>
      </c>
      <c r="Y43" s="154">
        <f t="shared" ref="Y43" si="147">X43*(1+$R43)</f>
        <v>1.4071004226562505</v>
      </c>
      <c r="Z43" s="154">
        <f t="shared" ref="Z43" si="148">Y43*(1+$R43)</f>
        <v>1.477455443789063</v>
      </c>
      <c r="AA43" s="154">
        <f t="shared" ref="AA43" si="149">Z43*(1+$R43)</f>
        <v>1.5513282159785162</v>
      </c>
      <c r="AB43" s="154">
        <f t="shared" ref="AB43" si="150">AA43*(1+$R43)</f>
        <v>1.628894626777442</v>
      </c>
      <c r="AC43" s="138">
        <f t="shared" ref="AC43" si="151">((AB43/G43)^(1/($AB$3-$H$1) ))-1</f>
        <v>-5.731983815458952E-2</v>
      </c>
      <c r="AD43" s="31">
        <f t="shared" si="17"/>
        <v>0.05</v>
      </c>
      <c r="AE43" s="146">
        <f t="shared" si="1"/>
        <v>10.060819753625379</v>
      </c>
    </row>
    <row r="44" spans="2:31" x14ac:dyDescent="0.2">
      <c r="B44" s="20" t="s">
        <v>427</v>
      </c>
      <c r="C44" s="20"/>
      <c r="D44" s="20"/>
      <c r="E44" s="127"/>
      <c r="F44" s="127"/>
      <c r="G44" s="147"/>
      <c r="H44" s="147"/>
      <c r="I44" s="147" t="s">
        <v>429</v>
      </c>
      <c r="J44" s="147"/>
      <c r="K44" s="147" t="s">
        <v>428</v>
      </c>
      <c r="L44" s="147"/>
      <c r="M44" s="147"/>
      <c r="N44" s="147"/>
      <c r="O44" s="147"/>
      <c r="P44" s="147"/>
      <c r="Q44" s="128"/>
      <c r="R44" s="128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39"/>
      <c r="AD44" s="137"/>
      <c r="AE44" s="154"/>
    </row>
    <row r="45" spans="2:31" x14ac:dyDescent="0.2">
      <c r="B45" s="20" t="s">
        <v>425</v>
      </c>
      <c r="C45" s="20"/>
      <c r="D45" s="20"/>
      <c r="E45" s="127"/>
      <c r="F45" s="127"/>
      <c r="G45" s="147"/>
      <c r="H45" s="147"/>
      <c r="I45" s="147"/>
      <c r="J45" s="147"/>
      <c r="K45" s="147" t="s">
        <v>428</v>
      </c>
      <c r="L45" s="147"/>
      <c r="M45" s="147"/>
      <c r="N45" s="147"/>
      <c r="O45" s="147"/>
      <c r="P45" s="147"/>
      <c r="Q45" s="128"/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426</v>
      </c>
      <c r="C46" s="20"/>
      <c r="D46" s="20"/>
      <c r="E46" s="127"/>
      <c r="F46" s="12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28"/>
      <c r="R46" s="128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9"/>
      <c r="AD46" s="137"/>
      <c r="AE46" s="154"/>
    </row>
    <row r="47" spans="2:31" x14ac:dyDescent="0.2">
      <c r="B47" s="20"/>
      <c r="C47" s="20"/>
      <c r="D47" s="20"/>
      <c r="E47" s="127"/>
      <c r="F47" s="127"/>
      <c r="G47" s="127"/>
      <c r="H47" s="20"/>
      <c r="I47" s="20"/>
      <c r="J47" s="20"/>
      <c r="K47" s="20"/>
      <c r="L47" s="20"/>
      <c r="M47" s="20"/>
      <c r="N47" s="20"/>
      <c r="O47" s="20"/>
      <c r="P47" s="20"/>
      <c r="Q47" s="128"/>
      <c r="R47" s="128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9"/>
      <c r="AD47" s="137"/>
      <c r="AE47" s="154"/>
    </row>
    <row r="48" spans="2:31" x14ac:dyDescent="0.2">
      <c r="B48" s="108" t="s">
        <v>243</v>
      </c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137"/>
      <c r="AE48" s="154"/>
    </row>
    <row r="49" spans="2:31" x14ac:dyDescent="0.2">
      <c r="B49" s="20" t="s">
        <v>303</v>
      </c>
      <c r="C49" s="133">
        <f t="shared" ref="C49:P49" si="152">C25/C42</f>
        <v>0</v>
      </c>
      <c r="D49" s="133">
        <f t="shared" si="152"/>
        <v>0</v>
      </c>
      <c r="E49" s="133">
        <f t="shared" si="152"/>
        <v>0</v>
      </c>
      <c r="F49" s="133">
        <f t="shared" si="152"/>
        <v>0</v>
      </c>
      <c r="G49" s="133">
        <f t="shared" si="152"/>
        <v>4402.8571428571431</v>
      </c>
      <c r="H49" s="133">
        <f t="shared" si="152"/>
        <v>5974.2857142857147</v>
      </c>
      <c r="I49" s="133">
        <f t="shared" si="152"/>
        <v>1510.5691056910568</v>
      </c>
      <c r="J49" s="133">
        <f t="shared" si="152"/>
        <v>1819.2411924119242</v>
      </c>
      <c r="K49" s="133">
        <f t="shared" si="152"/>
        <v>346.08938547486036</v>
      </c>
      <c r="L49" s="133">
        <f t="shared" si="152"/>
        <v>469.88326848249028</v>
      </c>
      <c r="M49" s="133">
        <f t="shared" si="152"/>
        <v>705.71858540255835</v>
      </c>
      <c r="N49" s="133">
        <f t="shared" si="152"/>
        <v>705.55555555555554</v>
      </c>
      <c r="O49" s="133">
        <f t="shared" si="152"/>
        <v>875.67750677506774</v>
      </c>
      <c r="P49" s="133">
        <f t="shared" si="152"/>
        <v>1057.8590785907859</v>
      </c>
      <c r="Q49" s="118">
        <f>((P49/G49)^(1/($H$2-$H$1) ))-1</f>
        <v>-0.14653024386084335</v>
      </c>
      <c r="R49" s="128"/>
      <c r="S49" s="158">
        <f t="shared" ref="S49:AB49" si="153">S25/S42</f>
        <v>1128.383017163505</v>
      </c>
      <c r="T49" s="158">
        <f t="shared" si="153"/>
        <v>1203.6085516410719</v>
      </c>
      <c r="U49" s="158">
        <f t="shared" si="153"/>
        <v>1283.8491217504768</v>
      </c>
      <c r="V49" s="158">
        <f t="shared" si="153"/>
        <v>1369.4390632005086</v>
      </c>
      <c r="W49" s="158">
        <f t="shared" si="153"/>
        <v>1460.7350007472091</v>
      </c>
      <c r="X49" s="158">
        <f t="shared" si="153"/>
        <v>1558.1173341303565</v>
      </c>
      <c r="Y49" s="158">
        <f t="shared" si="153"/>
        <v>1661.9918230723802</v>
      </c>
      <c r="Z49" s="158">
        <f t="shared" si="153"/>
        <v>1772.7912779438725</v>
      </c>
      <c r="AA49" s="158">
        <f t="shared" si="153"/>
        <v>1890.9773631401308</v>
      </c>
      <c r="AB49" s="158">
        <f t="shared" si="153"/>
        <v>2017.0425206828065</v>
      </c>
      <c r="AC49" s="138">
        <f t="shared" ref="AC49" si="154">((AB49/G49)^(1/($AB$3-$H$1) ))-1</f>
        <v>-4.0252772360749867E-2</v>
      </c>
      <c r="AD49" s="31">
        <f t="shared" si="17"/>
        <v>0.05</v>
      </c>
      <c r="AE49" s="146">
        <f t="shared" ref="AE49:AE50" si="155">(AB49*(1+AD49))/($C$1-AD49)</f>
        <v>12458.203804217337</v>
      </c>
    </row>
    <row r="50" spans="2:31" x14ac:dyDescent="0.2">
      <c r="B50" s="20" t="s">
        <v>304</v>
      </c>
      <c r="C50" s="133">
        <f t="shared" ref="C50:P50" si="156">C27/C42</f>
        <v>0</v>
      </c>
      <c r="D50" s="133">
        <f t="shared" si="156"/>
        <v>0</v>
      </c>
      <c r="E50" s="133">
        <f t="shared" si="156"/>
        <v>0</v>
      </c>
      <c r="F50" s="133">
        <f t="shared" si="156"/>
        <v>0</v>
      </c>
      <c r="G50" s="133">
        <f t="shared" si="156"/>
        <v>4348.5714285714284</v>
      </c>
      <c r="H50" s="133">
        <f t="shared" si="156"/>
        <v>5848.5714285714294</v>
      </c>
      <c r="I50" s="133">
        <f t="shared" si="156"/>
        <v>1479.9457994579946</v>
      </c>
      <c r="J50" s="133">
        <f t="shared" si="156"/>
        <v>1761.2466124661246</v>
      </c>
      <c r="K50" s="133">
        <f t="shared" si="156"/>
        <v>330.84596967278532</v>
      </c>
      <c r="L50" s="133">
        <f t="shared" si="156"/>
        <v>460.46692607003894</v>
      </c>
      <c r="M50" s="133">
        <f t="shared" si="156"/>
        <v>694.28141459744177</v>
      </c>
      <c r="N50" s="133">
        <f t="shared" si="156"/>
        <v>690.71815718157177</v>
      </c>
      <c r="O50" s="133">
        <f t="shared" si="156"/>
        <v>848.47560975609758</v>
      </c>
      <c r="P50" s="133">
        <f t="shared" si="156"/>
        <v>1031.0636856368565</v>
      </c>
      <c r="Q50" s="118">
        <f>((P50/G50)^(1/($H$2-$H$1) ))-1</f>
        <v>-0.14778580306493649</v>
      </c>
      <c r="R50" s="128"/>
      <c r="S50" s="158">
        <f t="shared" ref="S50:AB50" si="157">S27/S42</f>
        <v>1099.8012646793134</v>
      </c>
      <c r="T50" s="158">
        <f t="shared" si="157"/>
        <v>1173.1213489912677</v>
      </c>
      <c r="U50" s="158">
        <f t="shared" si="157"/>
        <v>1251.3294389240189</v>
      </c>
      <c r="V50" s="158">
        <f t="shared" si="157"/>
        <v>1334.7514015189536</v>
      </c>
      <c r="W50" s="158">
        <f t="shared" si="157"/>
        <v>1423.7348282868838</v>
      </c>
      <c r="X50" s="158">
        <f t="shared" si="157"/>
        <v>1518.6504835060093</v>
      </c>
      <c r="Y50" s="158">
        <f t="shared" si="157"/>
        <v>1619.8938490730768</v>
      </c>
      <c r="Z50" s="158">
        <f t="shared" si="157"/>
        <v>1727.8867723446153</v>
      </c>
      <c r="AA50" s="158">
        <f t="shared" si="157"/>
        <v>1843.0792238342565</v>
      </c>
      <c r="AB50" s="158">
        <f t="shared" si="157"/>
        <v>1965.9511720898738</v>
      </c>
      <c r="AC50" s="138">
        <f t="shared" ref="AC50" si="158">((AB50/G50)^(1/($AB$3-$H$1) ))-1</f>
        <v>-4.0921829270155641E-2</v>
      </c>
      <c r="AD50" s="31">
        <f t="shared" si="17"/>
        <v>0.05</v>
      </c>
      <c r="AE50" s="146">
        <f t="shared" si="155"/>
        <v>12142.639592319811</v>
      </c>
    </row>
    <row r="51" spans="2:31" x14ac:dyDescent="0.2">
      <c r="B51" s="20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28"/>
      <c r="R51" s="12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19"/>
      <c r="AD51" s="137"/>
      <c r="AE51" s="146"/>
    </row>
    <row r="52" spans="2:31" x14ac:dyDescent="0.2">
      <c r="B52" s="20" t="s">
        <v>257</v>
      </c>
      <c r="C52" s="25">
        <f t="shared" ref="C52:P52" si="159">C40/C42</f>
        <v>0</v>
      </c>
      <c r="D52" s="25">
        <f t="shared" si="159"/>
        <v>0</v>
      </c>
      <c r="E52" s="25">
        <f t="shared" si="159"/>
        <v>0</v>
      </c>
      <c r="F52" s="133">
        <f t="shared" si="159"/>
        <v>0</v>
      </c>
      <c r="G52" s="133">
        <f t="shared" si="159"/>
        <v>38.571428571428577</v>
      </c>
      <c r="H52" s="133">
        <f t="shared" si="159"/>
        <v>61.428571428571431</v>
      </c>
      <c r="I52" s="133">
        <f t="shared" si="159"/>
        <v>17.615176151761517</v>
      </c>
      <c r="J52" s="133">
        <f t="shared" si="159"/>
        <v>27.371273712737128</v>
      </c>
      <c r="K52" s="133">
        <f t="shared" si="159"/>
        <v>8.2202713487629691</v>
      </c>
      <c r="L52" s="133">
        <f t="shared" si="159"/>
        <v>3.3852140077821011</v>
      </c>
      <c r="M52" s="133">
        <f t="shared" si="159"/>
        <v>7.2610985703536501</v>
      </c>
      <c r="N52" s="133">
        <f t="shared" si="159"/>
        <v>8.4010840108401084</v>
      </c>
      <c r="O52" s="133">
        <f t="shared" si="159"/>
        <v>13.956639566395664</v>
      </c>
      <c r="P52" s="133">
        <f t="shared" si="159"/>
        <v>15.311653116531165</v>
      </c>
      <c r="Q52" s="118">
        <f>((P52/G52)^(1/($H$2-$H$1) ))-1</f>
        <v>-9.7562002715369522E-2</v>
      </c>
      <c r="R52" s="128"/>
      <c r="S52" s="158">
        <f t="shared" ref="S52:AB52" si="160">S40/S42</f>
        <v>16.332429990966578</v>
      </c>
      <c r="T52" s="158">
        <f t="shared" si="160"/>
        <v>17.421258657031014</v>
      </c>
      <c r="U52" s="158">
        <f t="shared" si="160"/>
        <v>18.582675900833081</v>
      </c>
      <c r="V52" s="158">
        <f t="shared" si="160"/>
        <v>19.82152096088862</v>
      </c>
      <c r="W52" s="158">
        <f t="shared" si="160"/>
        <v>21.142955691614528</v>
      </c>
      <c r="X52" s="158">
        <f t="shared" si="160"/>
        <v>22.552486071055494</v>
      </c>
      <c r="Y52" s="158">
        <f t="shared" si="160"/>
        <v>24.055985142459196</v>
      </c>
      <c r="Z52" s="158">
        <f t="shared" si="160"/>
        <v>25.659717485289811</v>
      </c>
      <c r="AA52" s="158">
        <f t="shared" si="160"/>
        <v>27.37036531764247</v>
      </c>
      <c r="AB52" s="158">
        <f t="shared" si="160"/>
        <v>29.195056338818635</v>
      </c>
      <c r="AC52" s="138">
        <f t="shared" ref="AC52:AC66" si="161">((AB52/G52)^(1/($AB$3-$H$1) ))-1</f>
        <v>-1.4551634856996398E-2</v>
      </c>
      <c r="AD52" s="31">
        <f t="shared" si="17"/>
        <v>0.05</v>
      </c>
      <c r="AE52" s="146">
        <f t="shared" ref="AE52:AE80" si="162">(AB52*(1+AD52))/($C$1-AD52)</f>
        <v>180.32240679858572</v>
      </c>
    </row>
    <row r="53" spans="2:31" x14ac:dyDescent="0.2">
      <c r="B53" s="20" t="s">
        <v>388</v>
      </c>
      <c r="C53" s="133">
        <f t="shared" ref="C53:F53" si="163">C20/C42</f>
        <v>0</v>
      </c>
      <c r="D53" s="133">
        <f t="shared" si="163"/>
        <v>0</v>
      </c>
      <c r="E53" s="133">
        <f t="shared" si="163"/>
        <v>0</v>
      </c>
      <c r="F53" s="133">
        <f t="shared" si="163"/>
        <v>0</v>
      </c>
      <c r="G53" s="133">
        <f>G20/G42</f>
        <v>0</v>
      </c>
      <c r="H53" s="133">
        <f t="shared" ref="H53:P53" si="164">H20/H42</f>
        <v>0</v>
      </c>
      <c r="I53" s="133">
        <f t="shared" si="164"/>
        <v>0</v>
      </c>
      <c r="J53" s="133">
        <f t="shared" si="164"/>
        <v>0</v>
      </c>
      <c r="K53" s="133">
        <f t="shared" si="164"/>
        <v>0</v>
      </c>
      <c r="L53" s="133">
        <f t="shared" si="164"/>
        <v>0</v>
      </c>
      <c r="M53" s="133">
        <f t="shared" si="164"/>
        <v>0</v>
      </c>
      <c r="N53" s="133">
        <f t="shared" si="164"/>
        <v>0</v>
      </c>
      <c r="O53" s="133">
        <f t="shared" si="164"/>
        <v>0</v>
      </c>
      <c r="P53" s="133">
        <f t="shared" si="164"/>
        <v>0</v>
      </c>
      <c r="Q53" s="118" t="e">
        <f>((P53/G53)^(1/($H$2-$H$1) ))-1</f>
        <v>#DIV/0!</v>
      </c>
      <c r="R53" s="128"/>
      <c r="S53" s="133">
        <f t="shared" ref="S53:AB53" si="165">S20/S42</f>
        <v>0</v>
      </c>
      <c r="T53" s="133">
        <f t="shared" si="165"/>
        <v>0</v>
      </c>
      <c r="U53" s="133">
        <f t="shared" si="165"/>
        <v>0</v>
      </c>
      <c r="V53" s="133">
        <f t="shared" si="165"/>
        <v>0</v>
      </c>
      <c r="W53" s="133">
        <f t="shared" si="165"/>
        <v>0</v>
      </c>
      <c r="X53" s="133">
        <f t="shared" si="165"/>
        <v>0</v>
      </c>
      <c r="Y53" s="133">
        <f t="shared" si="165"/>
        <v>0</v>
      </c>
      <c r="Z53" s="133">
        <f t="shared" si="165"/>
        <v>0</v>
      </c>
      <c r="AA53" s="133">
        <f t="shared" si="165"/>
        <v>0</v>
      </c>
      <c r="AB53" s="133">
        <f t="shared" si="165"/>
        <v>0</v>
      </c>
      <c r="AC53" s="138" t="e">
        <f t="shared" ref="AC53" si="166">((AB53/G53)^(1/($AB$3-$H$1) ))-1</f>
        <v>#DIV/0!</v>
      </c>
      <c r="AD53" s="31">
        <f t="shared" si="17"/>
        <v>0.05</v>
      </c>
      <c r="AE53" s="146">
        <f t="shared" si="162"/>
        <v>0</v>
      </c>
    </row>
    <row r="54" spans="2:31" x14ac:dyDescent="0.2">
      <c r="B54" s="20" t="s">
        <v>245</v>
      </c>
      <c r="C54" s="25">
        <f t="shared" ref="C54:P54" si="167">C7/C42</f>
        <v>0</v>
      </c>
      <c r="D54" s="25">
        <f t="shared" si="167"/>
        <v>0</v>
      </c>
      <c r="E54" s="25">
        <f t="shared" si="167"/>
        <v>0</v>
      </c>
      <c r="F54" s="133">
        <f t="shared" si="167"/>
        <v>0</v>
      </c>
      <c r="G54" s="133">
        <f t="shared" si="167"/>
        <v>161.42857142857144</v>
      </c>
      <c r="H54" s="133">
        <f t="shared" si="167"/>
        <v>211.42857142857144</v>
      </c>
      <c r="I54" s="133">
        <f t="shared" si="167"/>
        <v>63.956639566395665</v>
      </c>
      <c r="J54" s="133">
        <f t="shared" si="167"/>
        <v>83.739837398373979</v>
      </c>
      <c r="K54" s="133">
        <f t="shared" si="167"/>
        <v>31.484437350359141</v>
      </c>
      <c r="L54" s="133">
        <f t="shared" si="167"/>
        <v>35.564202334630352</v>
      </c>
      <c r="M54" s="133">
        <f t="shared" si="167"/>
        <v>43.03987960872837</v>
      </c>
      <c r="N54" s="133">
        <f t="shared" si="167"/>
        <v>54.065040650406502</v>
      </c>
      <c r="O54" s="133">
        <f t="shared" si="167"/>
        <v>67.344173441734412</v>
      </c>
      <c r="P54" s="133">
        <f t="shared" si="167"/>
        <v>81.775067750677508</v>
      </c>
      <c r="Q54" s="118">
        <f>((P54/G54)^(1/($H$2-$H$1) ))-1</f>
        <v>-7.2781092974967709E-2</v>
      </c>
      <c r="R54" s="128"/>
      <c r="S54" s="158">
        <f t="shared" ref="S54:AB54" si="168">S7/S42</f>
        <v>87.226738934056016</v>
      </c>
      <c r="T54" s="158">
        <f t="shared" si="168"/>
        <v>93.041854862993063</v>
      </c>
      <c r="U54" s="158">
        <f t="shared" si="168"/>
        <v>99.244645187192617</v>
      </c>
      <c r="V54" s="158">
        <f t="shared" si="168"/>
        <v>105.8609548663388</v>
      </c>
      <c r="W54" s="158">
        <f t="shared" si="168"/>
        <v>112.91835185742805</v>
      </c>
      <c r="X54" s="158">
        <f t="shared" si="168"/>
        <v>120.44624198125658</v>
      </c>
      <c r="Y54" s="158">
        <f t="shared" si="168"/>
        <v>128.47599144667367</v>
      </c>
      <c r="Z54" s="158">
        <f t="shared" si="168"/>
        <v>137.04105754311863</v>
      </c>
      <c r="AA54" s="158">
        <f t="shared" si="168"/>
        <v>146.17712804599321</v>
      </c>
      <c r="AB54" s="158">
        <f t="shared" si="168"/>
        <v>155.9222699157261</v>
      </c>
      <c r="AC54" s="138">
        <f t="shared" si="161"/>
        <v>-1.8249196134658696E-3</v>
      </c>
      <c r="AD54" s="31">
        <f t="shared" si="17"/>
        <v>0.05</v>
      </c>
      <c r="AE54" s="146">
        <f t="shared" si="162"/>
        <v>963.04931418536717</v>
      </c>
    </row>
    <row r="55" spans="2:31" x14ac:dyDescent="0.2">
      <c r="B55" s="20" t="s">
        <v>246</v>
      </c>
      <c r="C55" s="127">
        <f t="shared" ref="C55:P55" si="169">C6/C42</f>
        <v>0</v>
      </c>
      <c r="D55" s="127">
        <f t="shared" si="169"/>
        <v>0</v>
      </c>
      <c r="E55" s="127">
        <f t="shared" si="169"/>
        <v>0</v>
      </c>
      <c r="F55" s="144">
        <f t="shared" si="169"/>
        <v>0</v>
      </c>
      <c r="G55" s="144">
        <f t="shared" si="169"/>
        <v>151.42857142857144</v>
      </c>
      <c r="H55" s="144">
        <f t="shared" si="169"/>
        <v>201.42857142857144</v>
      </c>
      <c r="I55" s="144">
        <f t="shared" si="169"/>
        <v>61.788617886178862</v>
      </c>
      <c r="J55" s="144">
        <f t="shared" si="169"/>
        <v>81.571815718157183</v>
      </c>
      <c r="K55" s="144">
        <f t="shared" si="169"/>
        <v>30.486831604150041</v>
      </c>
      <c r="L55" s="144">
        <f t="shared" si="169"/>
        <v>34.552529182879375</v>
      </c>
      <c r="M55" s="144">
        <f t="shared" si="169"/>
        <v>42.024078254326561</v>
      </c>
      <c r="N55" s="144">
        <f t="shared" si="169"/>
        <v>53.082655826558266</v>
      </c>
      <c r="O55" s="144">
        <f t="shared" si="169"/>
        <v>66.361788617886177</v>
      </c>
      <c r="P55" s="144">
        <f t="shared" si="169"/>
        <v>80.792682926829272</v>
      </c>
      <c r="Q55" s="118">
        <f>((P55/G55)^(1/($H$2-$H$1) ))-1</f>
        <v>-6.7422546160339603E-2</v>
      </c>
      <c r="R55" s="128"/>
      <c r="S55" s="157">
        <f t="shared" ref="S55:AB55" si="170">S6/S42</f>
        <v>86.178861788617894</v>
      </c>
      <c r="T55" s="157">
        <f t="shared" si="170"/>
        <v>91.924119241192415</v>
      </c>
      <c r="U55" s="157">
        <f t="shared" si="170"/>
        <v>98.052393857271909</v>
      </c>
      <c r="V55" s="157">
        <f t="shared" si="170"/>
        <v>104.58922011442337</v>
      </c>
      <c r="W55" s="157">
        <f t="shared" si="170"/>
        <v>111.56183478871827</v>
      </c>
      <c r="X55" s="157">
        <f t="shared" si="170"/>
        <v>118.99929044129948</v>
      </c>
      <c r="Y55" s="157">
        <f t="shared" si="170"/>
        <v>126.93257647071944</v>
      </c>
      <c r="Z55" s="157">
        <f t="shared" si="170"/>
        <v>135.39474823543409</v>
      </c>
      <c r="AA55" s="157">
        <f t="shared" si="170"/>
        <v>144.42106478446306</v>
      </c>
      <c r="AB55" s="157">
        <f t="shared" si="170"/>
        <v>154.04913577009393</v>
      </c>
      <c r="AC55" s="138">
        <f t="shared" si="161"/>
        <v>9.0343821862992613E-4</v>
      </c>
      <c r="AD55" s="31">
        <f t="shared" si="17"/>
        <v>0.05</v>
      </c>
      <c r="AE55" s="146">
        <f t="shared" si="162"/>
        <v>951.47995622705082</v>
      </c>
    </row>
    <row r="56" spans="2:31" x14ac:dyDescent="0.2">
      <c r="B56" s="20" t="s">
        <v>247</v>
      </c>
      <c r="C56" s="127">
        <f t="shared" ref="C56:P56" si="171">C10/C42</f>
        <v>0</v>
      </c>
      <c r="D56" s="127">
        <f t="shared" si="171"/>
        <v>0</v>
      </c>
      <c r="E56" s="127">
        <f t="shared" si="171"/>
        <v>0</v>
      </c>
      <c r="F56" s="144">
        <f t="shared" si="171"/>
        <v>0</v>
      </c>
      <c r="G56" s="144">
        <f t="shared" si="171"/>
        <v>418.57142857142861</v>
      </c>
      <c r="H56" s="144">
        <f t="shared" si="171"/>
        <v>917.14285714285722</v>
      </c>
      <c r="I56" s="144">
        <f t="shared" si="171"/>
        <v>364.22764227642278</v>
      </c>
      <c r="J56" s="144">
        <f t="shared" si="171"/>
        <v>900.54200542005424</v>
      </c>
      <c r="K56" s="144">
        <f t="shared" si="171"/>
        <v>38.707102952913012</v>
      </c>
      <c r="L56" s="144">
        <f t="shared" si="171"/>
        <v>75.875486381322958</v>
      </c>
      <c r="M56" s="144">
        <f t="shared" si="171"/>
        <v>78.480060195635815</v>
      </c>
      <c r="N56" s="144">
        <f t="shared" si="171"/>
        <v>85.704607046070464</v>
      </c>
      <c r="O56" s="144">
        <f t="shared" si="171"/>
        <v>110.29810298102981</v>
      </c>
      <c r="P56" s="144">
        <f t="shared" si="171"/>
        <v>92.411924119241192</v>
      </c>
      <c r="Q56" s="118">
        <f>((P56/G56)^(1/($H$2-$H$1) ))-1</f>
        <v>-0.15451386025556235</v>
      </c>
      <c r="R56" s="128"/>
      <c r="S56" s="157">
        <f t="shared" ref="S56:AB56" si="172">S10/S42</f>
        <v>98.572719060523937</v>
      </c>
      <c r="T56" s="157">
        <f t="shared" si="172"/>
        <v>105.14423366455887</v>
      </c>
      <c r="U56" s="157">
        <f t="shared" si="172"/>
        <v>112.15384924219612</v>
      </c>
      <c r="V56" s="157">
        <f t="shared" si="172"/>
        <v>119.63077252500921</v>
      </c>
      <c r="W56" s="157">
        <f t="shared" si="172"/>
        <v>127.6061573600098</v>
      </c>
      <c r="X56" s="157">
        <f t="shared" si="172"/>
        <v>136.11323451734378</v>
      </c>
      <c r="Y56" s="157">
        <f t="shared" si="172"/>
        <v>145.18745015183339</v>
      </c>
      <c r="Z56" s="157">
        <f t="shared" si="172"/>
        <v>154.86661349528896</v>
      </c>
      <c r="AA56" s="157">
        <f t="shared" si="172"/>
        <v>165.19105439497491</v>
      </c>
      <c r="AB56" s="157">
        <f t="shared" si="172"/>
        <v>176.20379135463989</v>
      </c>
      <c r="AC56" s="138">
        <f t="shared" si="161"/>
        <v>-4.4515918075709759E-2</v>
      </c>
      <c r="AD56" s="31">
        <f t="shared" si="17"/>
        <v>0.05</v>
      </c>
      <c r="AE56" s="146">
        <f t="shared" si="162"/>
        <v>1088.3175348374818</v>
      </c>
    </row>
    <row r="57" spans="2:31" x14ac:dyDescent="0.2">
      <c r="B57" s="20"/>
      <c r="C57" s="127"/>
      <c r="D57" s="127"/>
      <c r="E57" s="127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28"/>
      <c r="R57" s="128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39"/>
      <c r="AD57" s="137"/>
      <c r="AE57" s="146"/>
    </row>
    <row r="58" spans="2:31" x14ac:dyDescent="0.2">
      <c r="B58" s="20" t="s">
        <v>270</v>
      </c>
      <c r="C58" s="127">
        <f t="shared" ref="C58:P58" si="173">(C7-C10)/C42</f>
        <v>0</v>
      </c>
      <c r="D58" s="127">
        <f t="shared" si="173"/>
        <v>0</v>
      </c>
      <c r="E58" s="127">
        <f t="shared" si="173"/>
        <v>0</v>
      </c>
      <c r="F58" s="144">
        <f t="shared" si="173"/>
        <v>0</v>
      </c>
      <c r="G58" s="144">
        <f t="shared" si="173"/>
        <v>-257.14285714285717</v>
      </c>
      <c r="H58" s="144">
        <f t="shared" si="173"/>
        <v>-705.71428571428578</v>
      </c>
      <c r="I58" s="144">
        <f t="shared" si="173"/>
        <v>-300.27100271002712</v>
      </c>
      <c r="J58" s="144">
        <f t="shared" si="173"/>
        <v>-816.80216802168025</v>
      </c>
      <c r="K58" s="144">
        <f t="shared" si="173"/>
        <v>-7.2226656025538709</v>
      </c>
      <c r="L58" s="144">
        <f t="shared" si="173"/>
        <v>-40.311284046692606</v>
      </c>
      <c r="M58" s="144">
        <f t="shared" si="173"/>
        <v>-35.440180586907452</v>
      </c>
      <c r="N58" s="144">
        <f t="shared" si="173"/>
        <v>-31.639566395663959</v>
      </c>
      <c r="O58" s="144">
        <f t="shared" si="173"/>
        <v>-42.953929539295395</v>
      </c>
      <c r="P58" s="144">
        <f t="shared" si="173"/>
        <v>-10.636856368563686</v>
      </c>
      <c r="Q58" s="118">
        <f>((P58/G58)^(1/($H$2-$H$1) ))-1</f>
        <v>-0.29807097126779791</v>
      </c>
      <c r="R58" s="128"/>
      <c r="S58" s="157">
        <f t="shared" ref="S58:AB58" si="174">(S7-S10)/S42</f>
        <v>-11.345980126467925</v>
      </c>
      <c r="T58" s="157">
        <f t="shared" si="174"/>
        <v>-12.102378801565797</v>
      </c>
      <c r="U58" s="157">
        <f t="shared" si="174"/>
        <v>-12.909204055003505</v>
      </c>
      <c r="V58" s="157">
        <f t="shared" si="174"/>
        <v>-13.769817658670409</v>
      </c>
      <c r="W58" s="157">
        <f t="shared" si="174"/>
        <v>-14.687805502581757</v>
      </c>
      <c r="X58" s="157">
        <f t="shared" si="174"/>
        <v>-15.666992536087207</v>
      </c>
      <c r="Y58" s="157">
        <f t="shared" si="174"/>
        <v>-16.711458705159696</v>
      </c>
      <c r="Z58" s="157">
        <f t="shared" si="174"/>
        <v>-17.82555595217034</v>
      </c>
      <c r="AA58" s="157">
        <f t="shared" si="174"/>
        <v>-19.013926348981698</v>
      </c>
      <c r="AB58" s="157">
        <f t="shared" si="174"/>
        <v>-20.281521438913789</v>
      </c>
      <c r="AC58" s="138">
        <f t="shared" si="161"/>
        <v>-0.1251300953400919</v>
      </c>
      <c r="AD58" s="31">
        <f t="shared" si="17"/>
        <v>0.05</v>
      </c>
      <c r="AE58" s="146">
        <f t="shared" si="162"/>
        <v>-125.26822065211459</v>
      </c>
    </row>
    <row r="59" spans="2:31" x14ac:dyDescent="0.2">
      <c r="B59" s="20" t="s">
        <v>271</v>
      </c>
      <c r="C59" s="127">
        <f t="shared" ref="C59:P59" si="175">(C7-C10-C9)/C42</f>
        <v>0</v>
      </c>
      <c r="D59" s="127">
        <f t="shared" si="175"/>
        <v>0</v>
      </c>
      <c r="E59" s="127">
        <f t="shared" si="175"/>
        <v>0</v>
      </c>
      <c r="F59" s="144">
        <f t="shared" si="175"/>
        <v>0</v>
      </c>
      <c r="G59" s="144">
        <f t="shared" si="175"/>
        <v>-355.71428571428572</v>
      </c>
      <c r="H59" s="144">
        <f t="shared" si="175"/>
        <v>-765.71428571428578</v>
      </c>
      <c r="I59" s="144">
        <f t="shared" si="175"/>
        <v>-377.23577235772359</v>
      </c>
      <c r="J59" s="144">
        <f t="shared" si="175"/>
        <v>-1720.3252032520325</v>
      </c>
      <c r="K59" s="144">
        <f t="shared" si="175"/>
        <v>-183.35993615323224</v>
      </c>
      <c r="L59" s="144">
        <f t="shared" si="175"/>
        <v>-218.94941634241246</v>
      </c>
      <c r="M59" s="144">
        <f t="shared" si="175"/>
        <v>-237.17080511662905</v>
      </c>
      <c r="N59" s="144">
        <f t="shared" si="175"/>
        <v>-248.27235772357724</v>
      </c>
      <c r="O59" s="144">
        <f t="shared" si="175"/>
        <v>-269.47831978319783</v>
      </c>
      <c r="P59" s="144">
        <f t="shared" si="175"/>
        <v>-302.98102981029808</v>
      </c>
      <c r="Q59" s="118">
        <f>((P59/G59)^(1/($H$2-$H$1) ))-1</f>
        <v>-1.7670637525885935E-2</v>
      </c>
      <c r="R59" s="128"/>
      <c r="S59" s="157">
        <f t="shared" ref="S59:AB59" si="176">(S7-S10-S9)/S42</f>
        <v>-323.17976513098466</v>
      </c>
      <c r="T59" s="157">
        <f t="shared" si="176"/>
        <v>-344.72508280638363</v>
      </c>
      <c r="U59" s="157">
        <f t="shared" si="176"/>
        <v>-367.70675499347584</v>
      </c>
      <c r="V59" s="157">
        <f t="shared" si="176"/>
        <v>-392.22053865970759</v>
      </c>
      <c r="W59" s="157">
        <f t="shared" si="176"/>
        <v>-418.36857457035478</v>
      </c>
      <c r="X59" s="157">
        <f t="shared" si="176"/>
        <v>-446.25981287504504</v>
      </c>
      <c r="Y59" s="157">
        <f t="shared" si="176"/>
        <v>-476.01046706671474</v>
      </c>
      <c r="Z59" s="157">
        <f t="shared" si="176"/>
        <v>-507.74449820449576</v>
      </c>
      <c r="AA59" s="157">
        <f t="shared" si="176"/>
        <v>-541.59413141812888</v>
      </c>
      <c r="AB59" s="157">
        <f t="shared" si="176"/>
        <v>-577.70040684600406</v>
      </c>
      <c r="AC59" s="138">
        <f t="shared" si="161"/>
        <v>2.585099125576118E-2</v>
      </c>
      <c r="AD59" s="31">
        <f t="shared" si="17"/>
        <v>0.05</v>
      </c>
      <c r="AE59" s="146">
        <f t="shared" si="162"/>
        <v>-3568.149571695908</v>
      </c>
    </row>
    <row r="60" spans="2:31" x14ac:dyDescent="0.2">
      <c r="B60" s="20" t="s">
        <v>276</v>
      </c>
      <c r="C60" s="127">
        <f t="shared" ref="C60:P60" si="177">(C7+C15-C10-C9)/C42</f>
        <v>0</v>
      </c>
      <c r="D60" s="127">
        <f t="shared" si="177"/>
        <v>0</v>
      </c>
      <c r="E60" s="127">
        <f t="shared" si="177"/>
        <v>0</v>
      </c>
      <c r="F60" s="144">
        <f t="shared" si="177"/>
        <v>0</v>
      </c>
      <c r="G60" s="144">
        <f t="shared" si="177"/>
        <v>41.428571428571431</v>
      </c>
      <c r="H60" s="144">
        <f t="shared" si="177"/>
        <v>-524.28571428571433</v>
      </c>
      <c r="I60" s="144">
        <f t="shared" si="177"/>
        <v>-234.95934959349594</v>
      </c>
      <c r="J60" s="144">
        <f t="shared" si="177"/>
        <v>110.56910569105692</v>
      </c>
      <c r="K60" s="144">
        <f t="shared" si="177"/>
        <v>46.169193934557065</v>
      </c>
      <c r="L60" s="144">
        <f t="shared" si="177"/>
        <v>-190.77821011673151</v>
      </c>
      <c r="M60" s="144">
        <f t="shared" si="177"/>
        <v>-189.08954100827691</v>
      </c>
      <c r="N60" s="144">
        <f t="shared" si="177"/>
        <v>-176.659891598916</v>
      </c>
      <c r="O60" s="144">
        <f t="shared" si="177"/>
        <v>106.23306233062331</v>
      </c>
      <c r="P60" s="144">
        <f t="shared" si="177"/>
        <v>135.70460704607046</v>
      </c>
      <c r="Q60" s="118">
        <f>((P60/G60)^(1/($H$2-$H$1) ))-1</f>
        <v>0.14091938544842608</v>
      </c>
      <c r="R60" s="128"/>
      <c r="S60" s="157">
        <f t="shared" ref="S60:AB60" si="178">(S7+S15-S10-S9)/S42</f>
        <v>144.75158084914179</v>
      </c>
      <c r="T60" s="157">
        <f t="shared" si="178"/>
        <v>154.40168623908457</v>
      </c>
      <c r="U60" s="157">
        <f t="shared" si="178"/>
        <v>164.69513198835702</v>
      </c>
      <c r="V60" s="157">
        <f t="shared" si="178"/>
        <v>175.67480745424737</v>
      </c>
      <c r="W60" s="157">
        <f t="shared" si="178"/>
        <v>187.38646128453058</v>
      </c>
      <c r="X60" s="157">
        <f t="shared" si="178"/>
        <v>199.87889203683258</v>
      </c>
      <c r="Y60" s="157">
        <f t="shared" si="178"/>
        <v>213.20415150595474</v>
      </c>
      <c r="Z60" s="157">
        <f t="shared" si="178"/>
        <v>227.41776160635183</v>
      </c>
      <c r="AA60" s="157">
        <f t="shared" si="178"/>
        <v>242.57894571344195</v>
      </c>
      <c r="AB60" s="157">
        <f t="shared" si="178"/>
        <v>258.75087542767159</v>
      </c>
      <c r="AC60" s="138">
        <f t="shared" si="161"/>
        <v>0.10121655072592328</v>
      </c>
      <c r="AD60" s="31">
        <f t="shared" si="17"/>
        <v>0.05</v>
      </c>
      <c r="AE60" s="146">
        <f t="shared" si="162"/>
        <v>1598.1671717591485</v>
      </c>
    </row>
    <row r="61" spans="2:31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39"/>
      <c r="AD61" s="137"/>
      <c r="AE61" s="154"/>
    </row>
    <row r="62" spans="2:31" x14ac:dyDescent="0.2">
      <c r="B62" s="20" t="s">
        <v>248</v>
      </c>
      <c r="C62" s="127">
        <f t="shared" ref="C62:P62" si="179">C12/C42</f>
        <v>0</v>
      </c>
      <c r="D62" s="127">
        <f t="shared" si="179"/>
        <v>0</v>
      </c>
      <c r="E62" s="127">
        <f t="shared" si="179"/>
        <v>0</v>
      </c>
      <c r="F62" s="144">
        <f t="shared" si="179"/>
        <v>0</v>
      </c>
      <c r="G62" s="144">
        <f t="shared" si="179"/>
        <v>207.14285714285717</v>
      </c>
      <c r="H62" s="144">
        <f t="shared" si="179"/>
        <v>835.71428571428578</v>
      </c>
      <c r="I62" s="144">
        <f t="shared" si="179"/>
        <v>327.91327913279133</v>
      </c>
      <c r="J62" s="144">
        <f t="shared" si="179"/>
        <v>1562.0596205962061</v>
      </c>
      <c r="K62" s="144">
        <f t="shared" si="179"/>
        <v>199.52114924181964</v>
      </c>
      <c r="L62" s="144">
        <f t="shared" si="179"/>
        <v>215.44747081712063</v>
      </c>
      <c r="M62" s="144">
        <f t="shared" si="179"/>
        <v>250.30097817908202</v>
      </c>
      <c r="N62" s="144">
        <f t="shared" si="179"/>
        <v>264.22764227642278</v>
      </c>
      <c r="O62" s="144">
        <f t="shared" si="179"/>
        <v>266.0569105691057</v>
      </c>
      <c r="P62" s="144">
        <f t="shared" si="179"/>
        <v>333.50271002710025</v>
      </c>
      <c r="Q62" s="118">
        <f>((P62/G62)^(1/($H$2-$H$1) ))-1</f>
        <v>5.4340878179388818E-2</v>
      </c>
      <c r="R62" s="128"/>
      <c r="S62" s="157">
        <f t="shared" ref="S62:AB62" si="180">S12/S42</f>
        <v>355.73622402890697</v>
      </c>
      <c r="T62" s="157">
        <f t="shared" si="180"/>
        <v>379.45197229750079</v>
      </c>
      <c r="U62" s="157">
        <f t="shared" si="180"/>
        <v>404.74877045066751</v>
      </c>
      <c r="V62" s="157">
        <f t="shared" si="180"/>
        <v>431.73202181404537</v>
      </c>
      <c r="W62" s="157">
        <f t="shared" si="180"/>
        <v>460.51415660164838</v>
      </c>
      <c r="X62" s="157">
        <f t="shared" si="180"/>
        <v>491.21510037509165</v>
      </c>
      <c r="Y62" s="157">
        <f t="shared" si="180"/>
        <v>523.96277373343105</v>
      </c>
      <c r="Z62" s="157">
        <f t="shared" si="180"/>
        <v>558.89362531565985</v>
      </c>
      <c r="AA62" s="157">
        <f t="shared" si="180"/>
        <v>596.153200336704</v>
      </c>
      <c r="AB62" s="157">
        <f t="shared" si="180"/>
        <v>635.8967470258176</v>
      </c>
      <c r="AC62" s="138">
        <f t="shared" si="161"/>
        <v>6.0810275730027508E-2</v>
      </c>
      <c r="AD62" s="31">
        <f t="shared" si="17"/>
        <v>0.05</v>
      </c>
      <c r="AE62" s="146">
        <f t="shared" si="162"/>
        <v>3927.597555159462</v>
      </c>
    </row>
    <row r="63" spans="2:31" x14ac:dyDescent="0.2">
      <c r="B63" s="20" t="s">
        <v>255</v>
      </c>
      <c r="C63" s="127">
        <f t="shared" ref="C63:P63" si="181">C13/C42</f>
        <v>0</v>
      </c>
      <c r="D63" s="127">
        <f t="shared" si="181"/>
        <v>0</v>
      </c>
      <c r="E63" s="127">
        <f t="shared" si="181"/>
        <v>0</v>
      </c>
      <c r="F63" s="144">
        <f t="shared" si="181"/>
        <v>0</v>
      </c>
      <c r="G63" s="144">
        <f t="shared" si="181"/>
        <v>7.1428571428571432</v>
      </c>
      <c r="H63" s="144">
        <f t="shared" si="181"/>
        <v>7.1428571428571432</v>
      </c>
      <c r="I63" s="144">
        <f t="shared" si="181"/>
        <v>1.3550135501355014</v>
      </c>
      <c r="J63" s="144">
        <f t="shared" si="181"/>
        <v>1.6260162601626016</v>
      </c>
      <c r="K63" s="144">
        <f t="shared" si="181"/>
        <v>5.4269752593774943</v>
      </c>
      <c r="L63" s="144">
        <f t="shared" si="181"/>
        <v>14.980544747081712</v>
      </c>
      <c r="M63" s="144">
        <f t="shared" si="181"/>
        <v>0.16629044394281414</v>
      </c>
      <c r="N63" s="144">
        <f t="shared" si="181"/>
        <v>0.11585365853658537</v>
      </c>
      <c r="O63" s="144">
        <f t="shared" si="181"/>
        <v>0.11517615176151762</v>
      </c>
      <c r="P63" s="144">
        <f t="shared" si="181"/>
        <v>0.11585365853658537</v>
      </c>
      <c r="Q63" s="118">
        <f>((P63/G63)^(1/($H$2-$H$1) ))-1</f>
        <v>-0.36742021420164328</v>
      </c>
      <c r="R63" s="128"/>
      <c r="S63" s="157">
        <f t="shared" ref="S63:AB63" si="182">S13/S42</f>
        <v>0.12357723577235773</v>
      </c>
      <c r="T63" s="157">
        <f t="shared" si="182"/>
        <v>0.13181571815718157</v>
      </c>
      <c r="U63" s="157">
        <f t="shared" si="182"/>
        <v>0.14060343270099368</v>
      </c>
      <c r="V63" s="157">
        <f t="shared" si="182"/>
        <v>0.14997699488105995</v>
      </c>
      <c r="W63" s="157">
        <f t="shared" si="182"/>
        <v>0.15997546120646391</v>
      </c>
      <c r="X63" s="157">
        <f t="shared" si="182"/>
        <v>0.17064049195356151</v>
      </c>
      <c r="Y63" s="157">
        <f t="shared" si="182"/>
        <v>0.18201652475046562</v>
      </c>
      <c r="Z63" s="157">
        <f t="shared" si="182"/>
        <v>0.19415095973383004</v>
      </c>
      <c r="AA63" s="157">
        <f t="shared" si="182"/>
        <v>0.20709435704941873</v>
      </c>
      <c r="AB63" s="157">
        <f t="shared" si="182"/>
        <v>0.22090064751937996</v>
      </c>
      <c r="AC63" s="138">
        <f t="shared" si="161"/>
        <v>-0.16719481127641511</v>
      </c>
      <c r="AD63" s="31">
        <f t="shared" si="17"/>
        <v>0.05</v>
      </c>
      <c r="AE63" s="146">
        <f t="shared" si="162"/>
        <v>1.3643863523255824</v>
      </c>
    </row>
    <row r="64" spans="2:31" x14ac:dyDescent="0.2">
      <c r="B64" s="20" t="s">
        <v>256</v>
      </c>
      <c r="C64" s="127">
        <f>(C62+C63)</f>
        <v>0</v>
      </c>
      <c r="D64" s="127">
        <f t="shared" ref="D64:P64" si="183">(D62+D63)</f>
        <v>0</v>
      </c>
      <c r="E64" s="127">
        <f t="shared" si="183"/>
        <v>0</v>
      </c>
      <c r="F64" s="144">
        <f t="shared" si="183"/>
        <v>0</v>
      </c>
      <c r="G64" s="144">
        <f t="shared" si="183"/>
        <v>214.28571428571431</v>
      </c>
      <c r="H64" s="144">
        <f t="shared" si="183"/>
        <v>842.85714285714289</v>
      </c>
      <c r="I64" s="144">
        <f t="shared" si="183"/>
        <v>329.26829268292681</v>
      </c>
      <c r="J64" s="144">
        <f t="shared" si="183"/>
        <v>1563.6856368563688</v>
      </c>
      <c r="K64" s="144">
        <f t="shared" si="183"/>
        <v>204.94812450119713</v>
      </c>
      <c r="L64" s="144">
        <f t="shared" si="183"/>
        <v>230.42801556420235</v>
      </c>
      <c r="M64" s="144">
        <f t="shared" si="183"/>
        <v>250.46726862302484</v>
      </c>
      <c r="N64" s="144">
        <f t="shared" si="183"/>
        <v>264.34349593495938</v>
      </c>
      <c r="O64" s="144">
        <f t="shared" ref="O64" si="184">(O62+O63)</f>
        <v>266.17208672086724</v>
      </c>
      <c r="P64" s="144">
        <f t="shared" si="183"/>
        <v>333.61856368563684</v>
      </c>
      <c r="Q64" s="118">
        <f>((P64/G64)^(1/($H$2-$H$1) ))-1</f>
        <v>5.0417352912750513E-2</v>
      </c>
      <c r="R64" s="128"/>
      <c r="S64" s="157">
        <f t="shared" ref="S64:AB64" si="185">(S62+S63)</f>
        <v>355.85980126467933</v>
      </c>
      <c r="T64" s="157">
        <f t="shared" si="185"/>
        <v>379.58378801565794</v>
      </c>
      <c r="U64" s="157">
        <f t="shared" si="185"/>
        <v>404.88937388336848</v>
      </c>
      <c r="V64" s="157">
        <f t="shared" si="185"/>
        <v>431.88199880892643</v>
      </c>
      <c r="W64" s="157">
        <f t="shared" si="185"/>
        <v>460.67413206285482</v>
      </c>
      <c r="X64" s="157">
        <f t="shared" si="185"/>
        <v>491.38574086704523</v>
      </c>
      <c r="Y64" s="157">
        <f t="shared" si="185"/>
        <v>524.1447902581815</v>
      </c>
      <c r="Z64" s="157">
        <f t="shared" si="185"/>
        <v>559.08777627539371</v>
      </c>
      <c r="AA64" s="157">
        <f t="shared" si="185"/>
        <v>596.36029469375342</v>
      </c>
      <c r="AB64" s="157">
        <f t="shared" si="185"/>
        <v>636.11764767333693</v>
      </c>
      <c r="AC64" s="138">
        <f t="shared" si="161"/>
        <v>5.8938525332292269E-2</v>
      </c>
      <c r="AD64" s="31">
        <f t="shared" si="17"/>
        <v>0.05</v>
      </c>
      <c r="AE64" s="146">
        <f t="shared" si="162"/>
        <v>3928.9619415117877</v>
      </c>
    </row>
    <row r="65" spans="2:31" x14ac:dyDescent="0.2">
      <c r="B65" s="20" t="s">
        <v>249</v>
      </c>
      <c r="C65" s="127">
        <f t="shared" ref="C65:P65" si="186">C15/C42</f>
        <v>0</v>
      </c>
      <c r="D65" s="127">
        <f t="shared" si="186"/>
        <v>0</v>
      </c>
      <c r="E65" s="127">
        <f t="shared" si="186"/>
        <v>0</v>
      </c>
      <c r="F65" s="144">
        <f t="shared" si="186"/>
        <v>0</v>
      </c>
      <c r="G65" s="144">
        <f t="shared" si="186"/>
        <v>397.14285714285717</v>
      </c>
      <c r="H65" s="144">
        <f t="shared" si="186"/>
        <v>241.42857142857144</v>
      </c>
      <c r="I65" s="144">
        <f t="shared" si="186"/>
        <v>142.27642276422765</v>
      </c>
      <c r="J65" s="144">
        <f t="shared" si="186"/>
        <v>1830.8943089430895</v>
      </c>
      <c r="K65" s="144">
        <f t="shared" si="186"/>
        <v>229.52913008778933</v>
      </c>
      <c r="L65" s="144">
        <f t="shared" si="186"/>
        <v>28.171206225680933</v>
      </c>
      <c r="M65" s="144">
        <f t="shared" si="186"/>
        <v>48.081264108352144</v>
      </c>
      <c r="N65" s="144">
        <f t="shared" si="186"/>
        <v>71.612466124661253</v>
      </c>
      <c r="O65" s="144">
        <f t="shared" si="186"/>
        <v>375.71138211382112</v>
      </c>
      <c r="P65" s="144">
        <f t="shared" si="186"/>
        <v>438.68563685636855</v>
      </c>
      <c r="Q65" s="118">
        <f>((P65/G65)^(1/($H$2-$H$1) ))-1</f>
        <v>1.1115434641215005E-2</v>
      </c>
      <c r="R65" s="128"/>
      <c r="S65" s="157">
        <f t="shared" ref="S65:AB65" si="187">S15/S42</f>
        <v>467.93134598012648</v>
      </c>
      <c r="T65" s="157">
        <f t="shared" si="187"/>
        <v>499.12676904546822</v>
      </c>
      <c r="U65" s="157">
        <f t="shared" si="187"/>
        <v>532.40188698183283</v>
      </c>
      <c r="V65" s="157">
        <f t="shared" si="187"/>
        <v>567.89534611395504</v>
      </c>
      <c r="W65" s="157">
        <f t="shared" si="187"/>
        <v>605.75503585488536</v>
      </c>
      <c r="X65" s="157">
        <f t="shared" si="187"/>
        <v>646.13870491187765</v>
      </c>
      <c r="Y65" s="157">
        <f t="shared" si="187"/>
        <v>689.21461857266956</v>
      </c>
      <c r="Z65" s="157">
        <f t="shared" si="187"/>
        <v>735.16225981084767</v>
      </c>
      <c r="AA65" s="157">
        <f t="shared" si="187"/>
        <v>784.17307713157084</v>
      </c>
      <c r="AB65" s="157">
        <f t="shared" si="187"/>
        <v>836.4512822736757</v>
      </c>
      <c r="AC65" s="138">
        <f t="shared" si="161"/>
        <v>3.9982411626548364E-2</v>
      </c>
      <c r="AD65" s="31">
        <f t="shared" si="17"/>
        <v>0.05</v>
      </c>
      <c r="AE65" s="146">
        <f t="shared" si="162"/>
        <v>5166.3167434550569</v>
      </c>
    </row>
    <row r="66" spans="2:31" x14ac:dyDescent="0.2">
      <c r="B66" s="20" t="s">
        <v>250</v>
      </c>
      <c r="C66" s="127">
        <f t="shared" ref="C66:P66" si="188">C16/C42</f>
        <v>0</v>
      </c>
      <c r="D66" s="127">
        <f t="shared" si="188"/>
        <v>0</v>
      </c>
      <c r="E66" s="127">
        <f t="shared" si="188"/>
        <v>0</v>
      </c>
      <c r="F66" s="144">
        <f t="shared" si="188"/>
        <v>0</v>
      </c>
      <c r="G66" s="144">
        <f t="shared" si="188"/>
        <v>521.42857142857144</v>
      </c>
      <c r="H66" s="144">
        <f t="shared" si="188"/>
        <v>1052.8571428571429</v>
      </c>
      <c r="I66" s="144">
        <f t="shared" si="188"/>
        <v>413.27913279132792</v>
      </c>
      <c r="J66" s="144">
        <f t="shared" si="188"/>
        <v>968.02168021680222</v>
      </c>
      <c r="K66" s="144">
        <f t="shared" si="188"/>
        <v>62.49002394253791</v>
      </c>
      <c r="L66" s="144">
        <f t="shared" si="188"/>
        <v>93.929961089494171</v>
      </c>
      <c r="M66" s="144">
        <f t="shared" si="188"/>
        <v>118.69826937547029</v>
      </c>
      <c r="N66" s="144">
        <f t="shared" si="188"/>
        <v>137.26287262872629</v>
      </c>
      <c r="O66" s="144">
        <f t="shared" si="188"/>
        <v>175.13550135501356</v>
      </c>
      <c r="P66" s="144">
        <f t="shared" si="188"/>
        <v>171.71409214092142</v>
      </c>
      <c r="Q66" s="118">
        <f>((P66/G66)^(1/($H$2-$H$1) ))-1</f>
        <v>-0.11610386504504633</v>
      </c>
      <c r="R66" s="128"/>
      <c r="S66" s="157">
        <f t="shared" ref="S66:AB66" si="189">S16/S42</f>
        <v>183.16169828364951</v>
      </c>
      <c r="T66" s="157">
        <f t="shared" si="189"/>
        <v>195.37247816922613</v>
      </c>
      <c r="U66" s="157">
        <f t="shared" si="189"/>
        <v>208.39731004717453</v>
      </c>
      <c r="V66" s="157">
        <f t="shared" si="189"/>
        <v>222.29046405031951</v>
      </c>
      <c r="W66" s="157">
        <f t="shared" si="189"/>
        <v>237.1098283203408</v>
      </c>
      <c r="X66" s="157">
        <f t="shared" si="189"/>
        <v>252.91715020836352</v>
      </c>
      <c r="Y66" s="157">
        <f t="shared" si="189"/>
        <v>269.77829355558777</v>
      </c>
      <c r="Z66" s="157">
        <f t="shared" si="189"/>
        <v>287.76351312596029</v>
      </c>
      <c r="AA66" s="157">
        <f t="shared" si="189"/>
        <v>306.9477473343577</v>
      </c>
      <c r="AB66" s="157">
        <f t="shared" si="189"/>
        <v>327.41093048998152</v>
      </c>
      <c r="AC66" s="138">
        <f t="shared" si="161"/>
        <v>-2.4194928240529268E-2</v>
      </c>
      <c r="AD66" s="137"/>
      <c r="AE66" s="146">
        <f t="shared" si="162"/>
        <v>1488.2315022271887</v>
      </c>
    </row>
    <row r="67" spans="2:31" x14ac:dyDescent="0.2">
      <c r="B67" s="20"/>
      <c r="C67" s="127"/>
      <c r="D67" s="127"/>
      <c r="E67" s="127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28"/>
      <c r="R67" s="128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39"/>
      <c r="AD67" s="31">
        <f t="shared" si="17"/>
        <v>0.05</v>
      </c>
      <c r="AE67" s="146">
        <f t="shared" si="162"/>
        <v>0</v>
      </c>
    </row>
    <row r="68" spans="2:31" x14ac:dyDescent="0.2">
      <c r="B68" s="20" t="s">
        <v>282</v>
      </c>
      <c r="C68" s="159">
        <f>C43</f>
        <v>0</v>
      </c>
      <c r="D68" s="159">
        <f t="shared" ref="D68:P68" si="190">D43</f>
        <v>0</v>
      </c>
      <c r="E68" s="159">
        <f t="shared" si="190"/>
        <v>0</v>
      </c>
      <c r="F68" s="159">
        <f t="shared" si="190"/>
        <v>0</v>
      </c>
      <c r="G68" s="159">
        <f t="shared" si="190"/>
        <v>5</v>
      </c>
      <c r="H68" s="159">
        <f t="shared" si="190"/>
        <v>10</v>
      </c>
      <c r="I68" s="159">
        <f t="shared" si="190"/>
        <v>2</v>
      </c>
      <c r="J68" s="159">
        <f t="shared" si="190"/>
        <v>2</v>
      </c>
      <c r="K68" s="159">
        <f t="shared" si="190"/>
        <v>0.35</v>
      </c>
      <c r="L68" s="159">
        <f t="shared" si="190"/>
        <v>0.6</v>
      </c>
      <c r="M68" s="159">
        <f t="shared" si="190"/>
        <v>1</v>
      </c>
      <c r="N68" s="159">
        <f t="shared" si="190"/>
        <v>0.6</v>
      </c>
      <c r="O68" s="159">
        <f t="shared" si="190"/>
        <v>0.6</v>
      </c>
      <c r="P68" s="159">
        <f t="shared" si="190"/>
        <v>1</v>
      </c>
      <c r="Q68" s="118">
        <f>((P68/G68)^(1/($H$2-$H$1) ))-1</f>
        <v>-0.16374896904962655</v>
      </c>
      <c r="R68" s="128"/>
      <c r="S68" s="159">
        <f t="shared" ref="S68:AB68" si="191">S43</f>
        <v>1.05</v>
      </c>
      <c r="T68" s="159">
        <f t="shared" si="191"/>
        <v>1.1025</v>
      </c>
      <c r="U68" s="159">
        <f t="shared" si="191"/>
        <v>1.1576250000000001</v>
      </c>
      <c r="V68" s="159">
        <f t="shared" si="191"/>
        <v>1.2155062500000002</v>
      </c>
      <c r="W68" s="159">
        <f t="shared" si="191"/>
        <v>1.2762815625000004</v>
      </c>
      <c r="X68" s="159">
        <f t="shared" si="191"/>
        <v>1.3400956406250004</v>
      </c>
      <c r="Y68" s="159">
        <f t="shared" si="191"/>
        <v>1.4071004226562505</v>
      </c>
      <c r="Z68" s="159">
        <f t="shared" si="191"/>
        <v>1.477455443789063</v>
      </c>
      <c r="AA68" s="159">
        <f t="shared" si="191"/>
        <v>1.5513282159785162</v>
      </c>
      <c r="AB68" s="159">
        <f t="shared" si="191"/>
        <v>1.628894626777442</v>
      </c>
      <c r="AC68" s="138">
        <f t="shared" ref="AC68" si="192">((AB68/G68)^(1/($AB$3-$H$1) ))-1</f>
        <v>-5.731983815458952E-2</v>
      </c>
      <c r="AD68" s="31">
        <f t="shared" si="17"/>
        <v>0.05</v>
      </c>
      <c r="AE68" s="146">
        <f t="shared" si="162"/>
        <v>10.060819753625379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39"/>
      <c r="AD69" s="137"/>
      <c r="AE69" s="154"/>
    </row>
    <row r="70" spans="2:31" x14ac:dyDescent="0.2">
      <c r="B70" s="20" t="s">
        <v>317</v>
      </c>
      <c r="C70" s="127">
        <f t="shared" ref="C70:P70" si="193">C20+C21</f>
        <v>0</v>
      </c>
      <c r="D70" s="127">
        <f t="shared" si="193"/>
        <v>0</v>
      </c>
      <c r="E70" s="127">
        <f t="shared" si="193"/>
        <v>0</v>
      </c>
      <c r="F70" s="144">
        <f t="shared" si="193"/>
        <v>0</v>
      </c>
      <c r="G70" s="144">
        <f t="shared" si="193"/>
        <v>0</v>
      </c>
      <c r="H70" s="144">
        <f t="shared" si="193"/>
        <v>0</v>
      </c>
      <c r="I70" s="144">
        <f t="shared" si="193"/>
        <v>0</v>
      </c>
      <c r="J70" s="144">
        <f t="shared" si="193"/>
        <v>0</v>
      </c>
      <c r="K70" s="144">
        <f t="shared" si="193"/>
        <v>0</v>
      </c>
      <c r="L70" s="144">
        <f t="shared" si="193"/>
        <v>0</v>
      </c>
      <c r="M70" s="144">
        <f t="shared" si="193"/>
        <v>0</v>
      </c>
      <c r="N70" s="144">
        <f t="shared" si="193"/>
        <v>0</v>
      </c>
      <c r="O70" s="144">
        <f t="shared" si="193"/>
        <v>0</v>
      </c>
      <c r="P70" s="144">
        <f t="shared" si="193"/>
        <v>0</v>
      </c>
      <c r="Q70" s="118" t="e">
        <f>((P70/G70)^(1/($H$2-$H$1) ))-1</f>
        <v>#DIV/0!</v>
      </c>
      <c r="R70" s="128"/>
      <c r="S70" s="144">
        <f t="shared" ref="S70:AB70" si="194">S20+S21</f>
        <v>0</v>
      </c>
      <c r="T70" s="144">
        <f t="shared" si="194"/>
        <v>0</v>
      </c>
      <c r="U70" s="144">
        <f t="shared" si="194"/>
        <v>0</v>
      </c>
      <c r="V70" s="144">
        <f t="shared" si="194"/>
        <v>0</v>
      </c>
      <c r="W70" s="144">
        <f t="shared" si="194"/>
        <v>0</v>
      </c>
      <c r="X70" s="144">
        <f t="shared" si="194"/>
        <v>0</v>
      </c>
      <c r="Y70" s="144">
        <f t="shared" si="194"/>
        <v>0</v>
      </c>
      <c r="Z70" s="144">
        <f t="shared" si="194"/>
        <v>0</v>
      </c>
      <c r="AA70" s="144">
        <f t="shared" si="194"/>
        <v>0</v>
      </c>
      <c r="AB70" s="144">
        <f t="shared" si="194"/>
        <v>0</v>
      </c>
      <c r="AC70" s="138" t="e">
        <f t="shared" ref="AC70:AC75" si="195">((AB70/G70)^(1/($AB$3-$H$1) ))-1</f>
        <v>#DIV/0!</v>
      </c>
      <c r="AD70" s="31">
        <f t="shared" si="17"/>
        <v>0.05</v>
      </c>
      <c r="AE70" s="146">
        <f t="shared" si="162"/>
        <v>0</v>
      </c>
    </row>
    <row r="71" spans="2:31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39"/>
      <c r="AD71" s="137"/>
      <c r="AE71" s="146"/>
    </row>
    <row r="72" spans="2:31" x14ac:dyDescent="0.2">
      <c r="B72" s="20" t="s">
        <v>318</v>
      </c>
      <c r="C72" s="127">
        <f t="shared" ref="C72:P72" si="196">C70/C42</f>
        <v>0</v>
      </c>
      <c r="D72" s="127">
        <f t="shared" si="196"/>
        <v>0</v>
      </c>
      <c r="E72" s="127">
        <f t="shared" si="196"/>
        <v>0</v>
      </c>
      <c r="F72" s="144">
        <f t="shared" si="196"/>
        <v>0</v>
      </c>
      <c r="G72" s="144">
        <f t="shared" si="196"/>
        <v>0</v>
      </c>
      <c r="H72" s="144">
        <f t="shared" si="196"/>
        <v>0</v>
      </c>
      <c r="I72" s="144">
        <f t="shared" si="196"/>
        <v>0</v>
      </c>
      <c r="J72" s="144">
        <f t="shared" si="196"/>
        <v>0</v>
      </c>
      <c r="K72" s="144">
        <f t="shared" si="196"/>
        <v>0</v>
      </c>
      <c r="L72" s="144">
        <f t="shared" si="196"/>
        <v>0</v>
      </c>
      <c r="M72" s="144">
        <f t="shared" si="196"/>
        <v>0</v>
      </c>
      <c r="N72" s="144">
        <f t="shared" si="196"/>
        <v>0</v>
      </c>
      <c r="O72" s="144">
        <f t="shared" si="196"/>
        <v>0</v>
      </c>
      <c r="P72" s="144">
        <f t="shared" si="196"/>
        <v>0</v>
      </c>
      <c r="Q72" s="118" t="e">
        <f>((P72/G72)^(1/($H$2-$H$1) ))-1</f>
        <v>#DIV/0!</v>
      </c>
      <c r="R72" s="128"/>
      <c r="S72" s="146">
        <f t="shared" ref="S72:AB72" si="197">S70/S42</f>
        <v>0</v>
      </c>
      <c r="T72" s="146">
        <f t="shared" si="197"/>
        <v>0</v>
      </c>
      <c r="U72" s="146">
        <f t="shared" si="197"/>
        <v>0</v>
      </c>
      <c r="V72" s="146">
        <f t="shared" si="197"/>
        <v>0</v>
      </c>
      <c r="W72" s="146">
        <f t="shared" si="197"/>
        <v>0</v>
      </c>
      <c r="X72" s="146">
        <f t="shared" si="197"/>
        <v>0</v>
      </c>
      <c r="Y72" s="146">
        <f t="shared" si="197"/>
        <v>0</v>
      </c>
      <c r="Z72" s="146">
        <f t="shared" si="197"/>
        <v>0</v>
      </c>
      <c r="AA72" s="146">
        <f t="shared" si="197"/>
        <v>0</v>
      </c>
      <c r="AB72" s="146">
        <f t="shared" si="197"/>
        <v>0</v>
      </c>
      <c r="AC72" s="138" t="e">
        <f t="shared" si="195"/>
        <v>#DIV/0!</v>
      </c>
      <c r="AD72" s="31">
        <f t="shared" si="17"/>
        <v>0.05</v>
      </c>
      <c r="AE72" s="146">
        <f t="shared" si="162"/>
        <v>0</v>
      </c>
    </row>
    <row r="73" spans="2:31" x14ac:dyDescent="0.2">
      <c r="B73" s="20" t="s">
        <v>287</v>
      </c>
      <c r="C73" s="127">
        <f t="shared" ref="C73:P73" si="198">C20/C42</f>
        <v>0</v>
      </c>
      <c r="D73" s="127">
        <f t="shared" si="198"/>
        <v>0</v>
      </c>
      <c r="E73" s="127">
        <f t="shared" si="198"/>
        <v>0</v>
      </c>
      <c r="F73" s="144">
        <f t="shared" si="198"/>
        <v>0</v>
      </c>
      <c r="G73" s="144">
        <f t="shared" si="198"/>
        <v>0</v>
      </c>
      <c r="H73" s="144">
        <f t="shared" si="198"/>
        <v>0</v>
      </c>
      <c r="I73" s="144">
        <f t="shared" si="198"/>
        <v>0</v>
      </c>
      <c r="J73" s="144">
        <f t="shared" si="198"/>
        <v>0</v>
      </c>
      <c r="K73" s="144">
        <f t="shared" si="198"/>
        <v>0</v>
      </c>
      <c r="L73" s="144">
        <f t="shared" si="198"/>
        <v>0</v>
      </c>
      <c r="M73" s="144">
        <f t="shared" si="198"/>
        <v>0</v>
      </c>
      <c r="N73" s="144">
        <f t="shared" si="198"/>
        <v>0</v>
      </c>
      <c r="O73" s="144">
        <f t="shared" si="198"/>
        <v>0</v>
      </c>
      <c r="P73" s="144">
        <f t="shared" si="198"/>
        <v>0</v>
      </c>
      <c r="Q73" s="118" t="e">
        <f>((P73/G73)^(1/($H$2-$H$1) ))-1</f>
        <v>#DIV/0!</v>
      </c>
      <c r="R73" s="128"/>
      <c r="S73" s="146">
        <f t="shared" ref="S73:AB73" si="199">S20/S42</f>
        <v>0</v>
      </c>
      <c r="T73" s="146">
        <f t="shared" si="199"/>
        <v>0</v>
      </c>
      <c r="U73" s="146">
        <f t="shared" si="199"/>
        <v>0</v>
      </c>
      <c r="V73" s="146">
        <f t="shared" si="199"/>
        <v>0</v>
      </c>
      <c r="W73" s="146">
        <f t="shared" si="199"/>
        <v>0</v>
      </c>
      <c r="X73" s="146">
        <f t="shared" si="199"/>
        <v>0</v>
      </c>
      <c r="Y73" s="146">
        <f t="shared" si="199"/>
        <v>0</v>
      </c>
      <c r="Z73" s="146">
        <f t="shared" si="199"/>
        <v>0</v>
      </c>
      <c r="AA73" s="146">
        <f t="shared" si="199"/>
        <v>0</v>
      </c>
      <c r="AB73" s="146">
        <f t="shared" si="199"/>
        <v>0</v>
      </c>
      <c r="AC73" s="138" t="e">
        <f t="shared" si="195"/>
        <v>#DIV/0!</v>
      </c>
      <c r="AD73" s="31">
        <f t="shared" si="17"/>
        <v>0.05</v>
      </c>
      <c r="AE73" s="146">
        <f t="shared" si="162"/>
        <v>0</v>
      </c>
    </row>
    <row r="74" spans="2:31" x14ac:dyDescent="0.2">
      <c r="B74" s="20" t="s">
        <v>288</v>
      </c>
      <c r="C74" s="127">
        <f t="shared" ref="C74:P74" si="200">C21/C42</f>
        <v>0</v>
      </c>
      <c r="D74" s="127">
        <f t="shared" si="200"/>
        <v>0</v>
      </c>
      <c r="E74" s="127">
        <f t="shared" si="200"/>
        <v>0</v>
      </c>
      <c r="F74" s="144">
        <f t="shared" si="200"/>
        <v>0</v>
      </c>
      <c r="G74" s="144">
        <f t="shared" si="200"/>
        <v>0</v>
      </c>
      <c r="H74" s="144">
        <f t="shared" si="200"/>
        <v>0</v>
      </c>
      <c r="I74" s="144">
        <f t="shared" si="200"/>
        <v>0</v>
      </c>
      <c r="J74" s="144">
        <f t="shared" si="200"/>
        <v>0</v>
      </c>
      <c r="K74" s="144">
        <f t="shared" si="200"/>
        <v>0</v>
      </c>
      <c r="L74" s="144">
        <f t="shared" si="200"/>
        <v>0</v>
      </c>
      <c r="M74" s="144">
        <f t="shared" si="200"/>
        <v>0</v>
      </c>
      <c r="N74" s="144">
        <f t="shared" si="200"/>
        <v>0</v>
      </c>
      <c r="O74" s="144">
        <f t="shared" si="200"/>
        <v>0</v>
      </c>
      <c r="P74" s="144">
        <f t="shared" si="200"/>
        <v>0</v>
      </c>
      <c r="Q74" s="118" t="e">
        <f>((P74/G74)^(1/($H$2-$H$1) ))-1</f>
        <v>#DIV/0!</v>
      </c>
      <c r="R74" s="128"/>
      <c r="S74" s="146">
        <f t="shared" ref="S74:AB74" si="201">S21/S42</f>
        <v>0</v>
      </c>
      <c r="T74" s="146">
        <f t="shared" si="201"/>
        <v>0</v>
      </c>
      <c r="U74" s="146">
        <f t="shared" si="201"/>
        <v>0</v>
      </c>
      <c r="V74" s="146">
        <f t="shared" si="201"/>
        <v>0</v>
      </c>
      <c r="W74" s="146">
        <f t="shared" si="201"/>
        <v>0</v>
      </c>
      <c r="X74" s="146">
        <f t="shared" si="201"/>
        <v>0</v>
      </c>
      <c r="Y74" s="146">
        <f t="shared" si="201"/>
        <v>0</v>
      </c>
      <c r="Z74" s="146">
        <f t="shared" si="201"/>
        <v>0</v>
      </c>
      <c r="AA74" s="146">
        <f t="shared" si="201"/>
        <v>0</v>
      </c>
      <c r="AB74" s="146">
        <f t="shared" si="201"/>
        <v>0</v>
      </c>
      <c r="AC74" s="138" t="e">
        <f t="shared" si="195"/>
        <v>#DIV/0!</v>
      </c>
      <c r="AD74" s="31">
        <f t="shared" si="17"/>
        <v>0.05</v>
      </c>
      <c r="AE74" s="146">
        <f t="shared" si="162"/>
        <v>0</v>
      </c>
    </row>
    <row r="75" spans="2:31" x14ac:dyDescent="0.2">
      <c r="B75" s="20" t="s">
        <v>289</v>
      </c>
      <c r="C75" s="127">
        <f t="shared" ref="C75:P75" si="202">C22/C42</f>
        <v>0</v>
      </c>
      <c r="D75" s="127">
        <f t="shared" si="202"/>
        <v>0</v>
      </c>
      <c r="E75" s="127">
        <f t="shared" si="202"/>
        <v>0</v>
      </c>
      <c r="F75" s="144">
        <f t="shared" si="202"/>
        <v>0</v>
      </c>
      <c r="G75" s="144">
        <f t="shared" si="202"/>
        <v>0</v>
      </c>
      <c r="H75" s="144">
        <f t="shared" si="202"/>
        <v>0</v>
      </c>
      <c r="I75" s="144">
        <f t="shared" si="202"/>
        <v>0</v>
      </c>
      <c r="J75" s="144">
        <f t="shared" si="202"/>
        <v>0</v>
      </c>
      <c r="K75" s="144">
        <f t="shared" si="202"/>
        <v>0</v>
      </c>
      <c r="L75" s="144">
        <f t="shared" si="202"/>
        <v>0</v>
      </c>
      <c r="M75" s="144">
        <f t="shared" si="202"/>
        <v>0</v>
      </c>
      <c r="N75" s="144">
        <f t="shared" si="202"/>
        <v>0</v>
      </c>
      <c r="O75" s="144">
        <f t="shared" si="202"/>
        <v>0</v>
      </c>
      <c r="P75" s="144">
        <f t="shared" si="202"/>
        <v>0</v>
      </c>
      <c r="Q75" s="118" t="e">
        <f>((P75/G75)^(1/($H$2-$H$1) ))-1</f>
        <v>#DIV/0!</v>
      </c>
      <c r="R75" s="128"/>
      <c r="S75" s="146">
        <f t="shared" ref="S75:AB75" si="203">S22/S42</f>
        <v>0</v>
      </c>
      <c r="T75" s="146">
        <f t="shared" si="203"/>
        <v>0</v>
      </c>
      <c r="U75" s="146">
        <f t="shared" si="203"/>
        <v>0</v>
      </c>
      <c r="V75" s="146">
        <f t="shared" si="203"/>
        <v>0</v>
      </c>
      <c r="W75" s="146">
        <f t="shared" si="203"/>
        <v>0</v>
      </c>
      <c r="X75" s="146">
        <f t="shared" si="203"/>
        <v>0</v>
      </c>
      <c r="Y75" s="146">
        <f t="shared" si="203"/>
        <v>0</v>
      </c>
      <c r="Z75" s="146">
        <f t="shared" si="203"/>
        <v>0</v>
      </c>
      <c r="AA75" s="146">
        <f t="shared" si="203"/>
        <v>0</v>
      </c>
      <c r="AB75" s="146">
        <f t="shared" si="203"/>
        <v>0</v>
      </c>
      <c r="AC75" s="138" t="e">
        <f t="shared" si="195"/>
        <v>#DIV/0!</v>
      </c>
      <c r="AD75" s="31">
        <f t="shared" si="17"/>
        <v>0.05</v>
      </c>
      <c r="AE75" s="146">
        <f t="shared" si="162"/>
        <v>0</v>
      </c>
    </row>
    <row r="76" spans="2:31" x14ac:dyDescent="0.2">
      <c r="B76" s="20" t="s">
        <v>296</v>
      </c>
      <c r="C76" s="127">
        <f t="shared" ref="C76:P76" si="204">C23/C42</f>
        <v>0</v>
      </c>
      <c r="D76" s="127">
        <f t="shared" si="204"/>
        <v>0</v>
      </c>
      <c r="E76" s="127">
        <f t="shared" si="204"/>
        <v>0</v>
      </c>
      <c r="F76" s="144">
        <f t="shared" si="204"/>
        <v>0</v>
      </c>
      <c r="G76" s="144">
        <f t="shared" si="204"/>
        <v>0</v>
      </c>
      <c r="H76" s="144">
        <f t="shared" si="204"/>
        <v>0</v>
      </c>
      <c r="I76" s="144">
        <f t="shared" si="204"/>
        <v>0</v>
      </c>
      <c r="J76" s="144">
        <f t="shared" si="204"/>
        <v>0</v>
      </c>
      <c r="K76" s="144">
        <f t="shared" si="204"/>
        <v>0</v>
      </c>
      <c r="L76" s="144">
        <f t="shared" si="204"/>
        <v>0</v>
      </c>
      <c r="M76" s="144">
        <f t="shared" si="204"/>
        <v>0</v>
      </c>
      <c r="N76" s="144">
        <f t="shared" si="204"/>
        <v>0</v>
      </c>
      <c r="O76" s="144">
        <f t="shared" si="204"/>
        <v>0</v>
      </c>
      <c r="P76" s="144">
        <f t="shared" si="204"/>
        <v>0</v>
      </c>
      <c r="Q76" s="118" t="e">
        <f>((P76/G76)^(1/($H$2-$H$1) ))-1</f>
        <v>#DIV/0!</v>
      </c>
      <c r="R76" s="128"/>
      <c r="S76" s="146">
        <f t="shared" ref="S76:AB76" si="205">S23/S42</f>
        <v>0</v>
      </c>
      <c r="T76" s="146">
        <f t="shared" si="205"/>
        <v>0</v>
      </c>
      <c r="U76" s="146">
        <f t="shared" si="205"/>
        <v>0</v>
      </c>
      <c r="V76" s="146">
        <f t="shared" si="205"/>
        <v>0</v>
      </c>
      <c r="W76" s="146">
        <f t="shared" si="205"/>
        <v>0</v>
      </c>
      <c r="X76" s="146">
        <f t="shared" si="205"/>
        <v>0</v>
      </c>
      <c r="Y76" s="146">
        <f t="shared" si="205"/>
        <v>0</v>
      </c>
      <c r="Z76" s="146">
        <f t="shared" si="205"/>
        <v>0</v>
      </c>
      <c r="AA76" s="146">
        <f t="shared" si="205"/>
        <v>0</v>
      </c>
      <c r="AB76" s="146">
        <f t="shared" si="205"/>
        <v>0</v>
      </c>
      <c r="AC76" s="138" t="e">
        <f t="shared" ref="AC76" si="206">((AB76/G76)^(1/($AB$3-$H$1) ))-1</f>
        <v>#DIV/0!</v>
      </c>
      <c r="AD76" s="31">
        <f t="shared" si="17"/>
        <v>0.05</v>
      </c>
      <c r="AE76" s="146">
        <f t="shared" si="162"/>
        <v>0</v>
      </c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137"/>
      <c r="AE77" s="154"/>
    </row>
    <row r="78" spans="2:31" x14ac:dyDescent="0.2">
      <c r="B78" s="20" t="s">
        <v>311</v>
      </c>
      <c r="C78" s="144">
        <f t="shared" ref="C78:P78" si="207">C36/C42</f>
        <v>0</v>
      </c>
      <c r="D78" s="144">
        <f t="shared" si="207"/>
        <v>0</v>
      </c>
      <c r="E78" s="144">
        <f t="shared" si="207"/>
        <v>0</v>
      </c>
      <c r="F78" s="144">
        <f t="shared" si="207"/>
        <v>0</v>
      </c>
      <c r="G78" s="144">
        <f t="shared" si="207"/>
        <v>-37.142857142857146</v>
      </c>
      <c r="H78" s="144">
        <f t="shared" si="207"/>
        <v>-82.857142857142861</v>
      </c>
      <c r="I78" s="144">
        <f t="shared" si="207"/>
        <v>-23.577235772357724</v>
      </c>
      <c r="J78" s="144">
        <f t="shared" si="207"/>
        <v>12.737127371273713</v>
      </c>
      <c r="K78" s="144">
        <f t="shared" si="207"/>
        <v>1.8355945730247407</v>
      </c>
      <c r="L78" s="144">
        <f t="shared" si="207"/>
        <v>-20.544747081712064</v>
      </c>
      <c r="M78" s="144">
        <f t="shared" si="207"/>
        <v>-12.001504890895411</v>
      </c>
      <c r="N78" s="144">
        <f t="shared" si="207"/>
        <v>-12.872628726287264</v>
      </c>
      <c r="O78" s="144">
        <f t="shared" si="207"/>
        <v>20.528455284552845</v>
      </c>
      <c r="P78" s="144">
        <f t="shared" si="207"/>
        <v>21.544715447154474</v>
      </c>
      <c r="Q78" s="118">
        <f>((P78/G78)^(1/($H$2-$H$1) ))-1</f>
        <v>-1.9412790307374532</v>
      </c>
      <c r="R78" s="128"/>
      <c r="S78" s="144">
        <f t="shared" ref="S78:AB78" si="208">S36/S42</f>
        <v>22.981029810298104</v>
      </c>
      <c r="T78" s="144">
        <f t="shared" si="208"/>
        <v>24.513098464317974</v>
      </c>
      <c r="U78" s="144">
        <f t="shared" si="208"/>
        <v>26.147305028605842</v>
      </c>
      <c r="V78" s="144">
        <f t="shared" si="208"/>
        <v>27.890458697179564</v>
      </c>
      <c r="W78" s="144">
        <f t="shared" si="208"/>
        <v>29.749822610324873</v>
      </c>
      <c r="X78" s="144">
        <f t="shared" si="208"/>
        <v>31.733144117679863</v>
      </c>
      <c r="Y78" s="144">
        <f t="shared" si="208"/>
        <v>33.848687058858523</v>
      </c>
      <c r="Z78" s="144">
        <f t="shared" si="208"/>
        <v>36.105266196115764</v>
      </c>
      <c r="AA78" s="144">
        <f t="shared" si="208"/>
        <v>38.512283942523489</v>
      </c>
      <c r="AB78" s="144">
        <f t="shared" si="208"/>
        <v>41.079769538691721</v>
      </c>
      <c r="AC78" s="138">
        <f t="shared" ref="AC78:AC80" si="209">((AB78/G78)^(1/($AB$3-$H$1) ))-1</f>
        <v>-2.0053164134484542</v>
      </c>
      <c r="AD78" s="31">
        <f t="shared" si="17"/>
        <v>0.05</v>
      </c>
      <c r="AE78" s="146">
        <f t="shared" si="162"/>
        <v>253.72798832721358</v>
      </c>
    </row>
    <row r="79" spans="2:31" x14ac:dyDescent="0.2">
      <c r="B79" s="20" t="s">
        <v>312</v>
      </c>
      <c r="C79" s="144">
        <f t="shared" ref="C79:P79" si="210">C40/C42</f>
        <v>0</v>
      </c>
      <c r="D79" s="144">
        <f t="shared" si="210"/>
        <v>0</v>
      </c>
      <c r="E79" s="144">
        <f t="shared" si="210"/>
        <v>0</v>
      </c>
      <c r="F79" s="144">
        <f t="shared" si="210"/>
        <v>0</v>
      </c>
      <c r="G79" s="144">
        <f t="shared" si="210"/>
        <v>38.571428571428577</v>
      </c>
      <c r="H79" s="144">
        <f t="shared" si="210"/>
        <v>61.428571428571431</v>
      </c>
      <c r="I79" s="144">
        <f t="shared" si="210"/>
        <v>17.615176151761517</v>
      </c>
      <c r="J79" s="144">
        <f t="shared" si="210"/>
        <v>27.371273712737128</v>
      </c>
      <c r="K79" s="144">
        <f t="shared" si="210"/>
        <v>8.2202713487629691</v>
      </c>
      <c r="L79" s="144">
        <f t="shared" si="210"/>
        <v>3.3852140077821011</v>
      </c>
      <c r="M79" s="144">
        <f t="shared" si="210"/>
        <v>7.2610985703536501</v>
      </c>
      <c r="N79" s="144">
        <f t="shared" si="210"/>
        <v>8.4010840108401084</v>
      </c>
      <c r="O79" s="144">
        <f t="shared" si="210"/>
        <v>13.956639566395664</v>
      </c>
      <c r="P79" s="144">
        <f t="shared" si="210"/>
        <v>15.311653116531165</v>
      </c>
      <c r="Q79" s="118">
        <f>((P79/G79)^(1/($H$2-$H$1) ))-1</f>
        <v>-9.7562002715369522E-2</v>
      </c>
      <c r="R79" s="128"/>
      <c r="S79" s="144">
        <f t="shared" ref="S79:AB79" si="211">S40/S42</f>
        <v>16.332429990966578</v>
      </c>
      <c r="T79" s="144">
        <f t="shared" si="211"/>
        <v>17.421258657031014</v>
      </c>
      <c r="U79" s="144">
        <f t="shared" si="211"/>
        <v>18.582675900833081</v>
      </c>
      <c r="V79" s="144">
        <f t="shared" si="211"/>
        <v>19.82152096088862</v>
      </c>
      <c r="W79" s="144">
        <f t="shared" si="211"/>
        <v>21.142955691614528</v>
      </c>
      <c r="X79" s="144">
        <f t="shared" si="211"/>
        <v>22.552486071055494</v>
      </c>
      <c r="Y79" s="144">
        <f t="shared" si="211"/>
        <v>24.055985142459196</v>
      </c>
      <c r="Z79" s="144">
        <f t="shared" si="211"/>
        <v>25.659717485289811</v>
      </c>
      <c r="AA79" s="144">
        <f t="shared" si="211"/>
        <v>27.37036531764247</v>
      </c>
      <c r="AB79" s="144">
        <f t="shared" si="211"/>
        <v>29.195056338818635</v>
      </c>
      <c r="AC79" s="138">
        <f t="shared" si="209"/>
        <v>-1.4551634856996398E-2</v>
      </c>
      <c r="AD79" s="31">
        <f t="shared" si="17"/>
        <v>0.05</v>
      </c>
      <c r="AE79" s="146">
        <f t="shared" si="162"/>
        <v>180.32240679858572</v>
      </c>
    </row>
    <row r="80" spans="2:31" x14ac:dyDescent="0.2">
      <c r="B80" s="20" t="s">
        <v>313</v>
      </c>
      <c r="C80" s="144">
        <f t="shared" ref="C80:P80" si="212">C6/C42</f>
        <v>0</v>
      </c>
      <c r="D80" s="144">
        <f t="shared" si="212"/>
        <v>0</v>
      </c>
      <c r="E80" s="144">
        <f t="shared" si="212"/>
        <v>0</v>
      </c>
      <c r="F80" s="144">
        <f t="shared" si="212"/>
        <v>0</v>
      </c>
      <c r="G80" s="144">
        <f t="shared" si="212"/>
        <v>151.42857142857144</v>
      </c>
      <c r="H80" s="144">
        <f t="shared" si="212"/>
        <v>201.42857142857144</v>
      </c>
      <c r="I80" s="144">
        <f t="shared" si="212"/>
        <v>61.788617886178862</v>
      </c>
      <c r="J80" s="144">
        <f t="shared" si="212"/>
        <v>81.571815718157183</v>
      </c>
      <c r="K80" s="144">
        <f t="shared" si="212"/>
        <v>30.486831604150041</v>
      </c>
      <c r="L80" s="144">
        <f t="shared" si="212"/>
        <v>34.552529182879375</v>
      </c>
      <c r="M80" s="144">
        <f t="shared" si="212"/>
        <v>42.024078254326561</v>
      </c>
      <c r="N80" s="144">
        <f t="shared" si="212"/>
        <v>53.082655826558266</v>
      </c>
      <c r="O80" s="144">
        <f t="shared" si="212"/>
        <v>66.361788617886177</v>
      </c>
      <c r="P80" s="144">
        <f t="shared" si="212"/>
        <v>80.792682926829272</v>
      </c>
      <c r="Q80" s="118">
        <f>((P80/G80)^(1/($H$2-$H$1) ))-1</f>
        <v>-6.7422546160339603E-2</v>
      </c>
      <c r="R80" s="128"/>
      <c r="S80" s="144">
        <f t="shared" ref="S80:AB80" si="213">S6/S42</f>
        <v>86.178861788617894</v>
      </c>
      <c r="T80" s="144">
        <f t="shared" si="213"/>
        <v>91.924119241192415</v>
      </c>
      <c r="U80" s="144">
        <f t="shared" si="213"/>
        <v>98.052393857271909</v>
      </c>
      <c r="V80" s="144">
        <f t="shared" si="213"/>
        <v>104.58922011442337</v>
      </c>
      <c r="W80" s="144">
        <f t="shared" si="213"/>
        <v>111.56183478871827</v>
      </c>
      <c r="X80" s="144">
        <f t="shared" si="213"/>
        <v>118.99929044129948</v>
      </c>
      <c r="Y80" s="144">
        <f t="shared" si="213"/>
        <v>126.93257647071944</v>
      </c>
      <c r="Z80" s="144">
        <f t="shared" si="213"/>
        <v>135.39474823543409</v>
      </c>
      <c r="AA80" s="144">
        <f t="shared" si="213"/>
        <v>144.42106478446306</v>
      </c>
      <c r="AB80" s="144">
        <f t="shared" si="213"/>
        <v>154.04913577009393</v>
      </c>
      <c r="AC80" s="138">
        <f t="shared" si="209"/>
        <v>9.0343821862992613E-4</v>
      </c>
      <c r="AD80" s="31">
        <f t="shared" ref="AD80" si="214">$L$1</f>
        <v>0.05</v>
      </c>
      <c r="AE80" s="146">
        <f t="shared" si="162"/>
        <v>951.47995622705082</v>
      </c>
    </row>
    <row r="81" spans="2:31" x14ac:dyDescent="0.2">
      <c r="B81" s="20"/>
      <c r="C81" s="127"/>
      <c r="D81" s="127"/>
      <c r="E81" s="12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28"/>
      <c r="R81" s="128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39"/>
      <c r="AD81" s="20"/>
      <c r="AE81" s="154"/>
    </row>
    <row r="82" spans="2:31" x14ac:dyDescent="0.2">
      <c r="B82" s="20"/>
      <c r="C82" s="127"/>
      <c r="D82" s="127"/>
      <c r="E82" s="127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28"/>
      <c r="R82" s="128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39"/>
      <c r="AD82" s="20"/>
      <c r="AE82" s="154"/>
    </row>
    <row r="83" spans="2:31" x14ac:dyDescent="0.2">
      <c r="B83" s="108" t="s">
        <v>310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2:31" x14ac:dyDescent="0.2">
      <c r="B84" s="20" t="s">
        <v>309</v>
      </c>
      <c r="C84" s="152"/>
      <c r="D84" s="152"/>
      <c r="E84" s="152" t="e">
        <f t="shared" ref="E84:P84" si="215">E36/E25</f>
        <v>#DIV/0!</v>
      </c>
      <c r="F84" s="152" t="e">
        <f t="shared" si="215"/>
        <v>#DIV/0!</v>
      </c>
      <c r="G84" s="152">
        <f t="shared" si="215"/>
        <v>-8.4360804672290717E-3</v>
      </c>
      <c r="H84" s="152">
        <f t="shared" si="215"/>
        <v>-1.3868962219033954E-2</v>
      </c>
      <c r="I84" s="152">
        <f t="shared" si="215"/>
        <v>-1.5608180839612486E-2</v>
      </c>
      <c r="J84" s="152">
        <f t="shared" si="215"/>
        <v>7.0013406822583045E-3</v>
      </c>
      <c r="K84" s="152">
        <f t="shared" si="215"/>
        <v>5.3038164418309696E-3</v>
      </c>
      <c r="L84" s="152">
        <f t="shared" si="215"/>
        <v>-4.3723087114938719E-2</v>
      </c>
      <c r="M84" s="152">
        <f t="shared" si="215"/>
        <v>-1.7006077406973026E-2</v>
      </c>
      <c r="N84" s="152">
        <f t="shared" si="215"/>
        <v>-1.8244670635682733E-2</v>
      </c>
      <c r="O84" s="152">
        <f t="shared" si="215"/>
        <v>2.3442940038684721E-2</v>
      </c>
      <c r="P84" s="152">
        <f t="shared" si="215"/>
        <v>2.0366337901882924E-2</v>
      </c>
      <c r="Q84" s="118">
        <f t="shared" ref="Q84:Q134" si="216">((P84/G84)^(1/($H$2-$H$1) ))-1</f>
        <v>-2.1028850453887431</v>
      </c>
      <c r="R84" s="152"/>
      <c r="S84" s="152">
        <f t="shared" ref="S84:AB84" si="217">S36/S25</f>
        <v>2.0366337901882928E-2</v>
      </c>
      <c r="T84" s="152">
        <f t="shared" si="217"/>
        <v>2.0366337901882924E-2</v>
      </c>
      <c r="U84" s="152">
        <f t="shared" si="217"/>
        <v>2.0366337901882924E-2</v>
      </c>
      <c r="V84" s="152">
        <f t="shared" si="217"/>
        <v>2.0366337901882924E-2</v>
      </c>
      <c r="W84" s="152">
        <f t="shared" si="217"/>
        <v>2.0366337901882928E-2</v>
      </c>
      <c r="X84" s="152">
        <f t="shared" si="217"/>
        <v>2.0366337901882928E-2</v>
      </c>
      <c r="Y84" s="152">
        <f t="shared" si="217"/>
        <v>2.0366337901882931E-2</v>
      </c>
      <c r="Z84" s="152">
        <f t="shared" si="217"/>
        <v>2.0366337901882931E-2</v>
      </c>
      <c r="AA84" s="152">
        <f t="shared" si="217"/>
        <v>2.0366337901882928E-2</v>
      </c>
      <c r="AB84" s="152">
        <f t="shared" si="217"/>
        <v>2.0366337901882928E-2</v>
      </c>
      <c r="AC84" s="138">
        <f t="shared" ref="AC84:AC121" si="218">((AB84/G84)^(1/($AB$3-$H$1) ))-1</f>
        <v>-2.0474804036905567</v>
      </c>
      <c r="AD84" s="146"/>
      <c r="AE84" s="146"/>
    </row>
    <row r="85" spans="2:31" x14ac:dyDescent="0.2">
      <c r="B85" s="20" t="s">
        <v>266</v>
      </c>
      <c r="C85" s="152"/>
      <c r="D85" s="152"/>
      <c r="E85" s="152" t="e">
        <f t="shared" ref="E85:P85" si="219">E40/E25</f>
        <v>#DIV/0!</v>
      </c>
      <c r="F85" s="152" t="e">
        <f t="shared" si="219"/>
        <v>#DIV/0!</v>
      </c>
      <c r="G85" s="152">
        <f t="shared" si="219"/>
        <v>8.7605451005840357E-3</v>
      </c>
      <c r="H85" s="152">
        <f t="shared" si="219"/>
        <v>1.0282161645145864E-2</v>
      </c>
      <c r="I85" s="152">
        <f t="shared" si="219"/>
        <v>1.1661284535342662E-2</v>
      </c>
      <c r="J85" s="152">
        <f t="shared" si="219"/>
        <v>1.5045434232086995E-2</v>
      </c>
      <c r="K85" s="152">
        <f t="shared" si="219"/>
        <v>2.3751873630808256E-2</v>
      </c>
      <c r="L85" s="152">
        <f t="shared" si="219"/>
        <v>7.2043723087114936E-3</v>
      </c>
      <c r="M85" s="152">
        <f t="shared" si="219"/>
        <v>1.0288943384156094E-2</v>
      </c>
      <c r="N85" s="152">
        <f t="shared" si="219"/>
        <v>1.1907048204340312E-2</v>
      </c>
      <c r="O85" s="152">
        <f t="shared" si="219"/>
        <v>1.5938104448742746E-2</v>
      </c>
      <c r="P85" s="152">
        <f t="shared" si="219"/>
        <v>1.4474189829640067E-2</v>
      </c>
      <c r="Q85" s="118">
        <f t="shared" si="216"/>
        <v>5.7375484946287525E-2</v>
      </c>
      <c r="R85" s="152"/>
      <c r="S85" s="152">
        <f t="shared" ref="S85:AB85" si="220">S40/S25</f>
        <v>1.4474189829640069E-2</v>
      </c>
      <c r="T85" s="152">
        <f t="shared" si="220"/>
        <v>1.4474189829640065E-2</v>
      </c>
      <c r="U85" s="152">
        <f t="shared" si="220"/>
        <v>1.4474189829640065E-2</v>
      </c>
      <c r="V85" s="152">
        <f t="shared" si="220"/>
        <v>1.4474189829640065E-2</v>
      </c>
      <c r="W85" s="152">
        <f t="shared" si="220"/>
        <v>1.4474189829640065E-2</v>
      </c>
      <c r="X85" s="152">
        <f t="shared" si="220"/>
        <v>1.4474189829640063E-2</v>
      </c>
      <c r="Y85" s="152">
        <f t="shared" si="220"/>
        <v>1.4474189829640065E-2</v>
      </c>
      <c r="Z85" s="152">
        <f t="shared" si="220"/>
        <v>1.4474189829640063E-2</v>
      </c>
      <c r="AA85" s="152">
        <f t="shared" si="220"/>
        <v>1.4474189829640065E-2</v>
      </c>
      <c r="AB85" s="152">
        <f t="shared" si="220"/>
        <v>1.4474189829640063E-2</v>
      </c>
      <c r="AC85" s="138">
        <f t="shared" si="218"/>
        <v>2.6779069283661583E-2</v>
      </c>
      <c r="AD85" s="146"/>
      <c r="AE85" s="146"/>
    </row>
    <row r="86" spans="2:31" x14ac:dyDescent="0.2">
      <c r="B86" s="20" t="s">
        <v>359</v>
      </c>
      <c r="C86" s="152"/>
      <c r="D86" s="152"/>
      <c r="E86" s="152" t="e">
        <f t="shared" ref="E86:O86" si="221">E40/E7</f>
        <v>#DIV/0!</v>
      </c>
      <c r="F86" s="152" t="e">
        <f t="shared" si="221"/>
        <v>#DIV/0!</v>
      </c>
      <c r="G86" s="152">
        <f>G40/G7</f>
        <v>0.23893805309734514</v>
      </c>
      <c r="H86" s="152">
        <f t="shared" si="221"/>
        <v>0.29054054054054052</v>
      </c>
      <c r="I86" s="152">
        <f t="shared" si="221"/>
        <v>0.27542372881355931</v>
      </c>
      <c r="J86" s="152">
        <f t="shared" si="221"/>
        <v>0.32686084142394822</v>
      </c>
      <c r="K86" s="152">
        <f t="shared" si="221"/>
        <v>0.26108998732572875</v>
      </c>
      <c r="L86" s="152">
        <f t="shared" si="221"/>
        <v>9.5185995623632391E-2</v>
      </c>
      <c r="M86" s="152">
        <f t="shared" si="221"/>
        <v>0.1687062937062937</v>
      </c>
      <c r="N86" s="152">
        <f t="shared" si="221"/>
        <v>0.15538847117794485</v>
      </c>
      <c r="O86" s="152">
        <f t="shared" si="221"/>
        <v>0.20724346076458752</v>
      </c>
      <c r="P86" s="152">
        <f t="shared" ref="P86" si="222">P40/P7</f>
        <v>0.18724109362054681</v>
      </c>
      <c r="Q86" s="118">
        <f t="shared" si="216"/>
        <v>-2.6726061723558847E-2</v>
      </c>
      <c r="R86" s="20"/>
      <c r="S86" s="152">
        <f t="shared" ref="S86" si="223">S40/S7</f>
        <v>0.18724109362054681</v>
      </c>
      <c r="T86" s="152">
        <f t="shared" ref="T86:AB86" si="224">T40/T7</f>
        <v>0.18724109362054681</v>
      </c>
      <c r="U86" s="152">
        <f t="shared" si="224"/>
        <v>0.18724109362054681</v>
      </c>
      <c r="V86" s="152">
        <f t="shared" si="224"/>
        <v>0.18724109362054678</v>
      </c>
      <c r="W86" s="152">
        <f t="shared" si="224"/>
        <v>0.18724109362054678</v>
      </c>
      <c r="X86" s="152">
        <f t="shared" si="224"/>
        <v>0.18724109362054678</v>
      </c>
      <c r="Y86" s="152">
        <f t="shared" si="224"/>
        <v>0.18724109362054678</v>
      </c>
      <c r="Z86" s="152">
        <f t="shared" si="224"/>
        <v>0.18724109362054678</v>
      </c>
      <c r="AA86" s="152">
        <f t="shared" si="224"/>
        <v>0.18724109362054681</v>
      </c>
      <c r="AB86" s="152">
        <f t="shared" si="224"/>
        <v>0.18724109362054678</v>
      </c>
      <c r="AC86" s="138">
        <f t="shared" si="218"/>
        <v>-1.2749982937464543E-2</v>
      </c>
      <c r="AD86" s="146"/>
      <c r="AE86" s="146"/>
    </row>
    <row r="87" spans="2:31" x14ac:dyDescent="0.2">
      <c r="B87" s="20" t="s">
        <v>360</v>
      </c>
      <c r="C87" s="152"/>
      <c r="D87" s="152"/>
      <c r="E87" s="152" t="e">
        <f t="shared" ref="E87:F87" si="225">(E40)/(E7+E10)</f>
        <v>#DIV/0!</v>
      </c>
      <c r="F87" s="152" t="e">
        <f t="shared" si="225"/>
        <v>#DIV/0!</v>
      </c>
      <c r="G87" s="152">
        <f>(G40)/(G7+G10)</f>
        <v>6.6502463054187194E-2</v>
      </c>
      <c r="H87" s="152">
        <f t="shared" ref="H87:O87" si="226">(H40)/(H7+H10)</f>
        <v>5.4430379746835442E-2</v>
      </c>
      <c r="I87" s="152">
        <f t="shared" si="226"/>
        <v>4.1139240506329111E-2</v>
      </c>
      <c r="J87" s="152">
        <f t="shared" si="226"/>
        <v>2.7808370044052864E-2</v>
      </c>
      <c r="K87" s="152">
        <f t="shared" si="226"/>
        <v>0.11711199545196134</v>
      </c>
      <c r="L87" s="152">
        <f t="shared" si="226"/>
        <v>3.0377094972067038E-2</v>
      </c>
      <c r="M87" s="152">
        <f t="shared" si="226"/>
        <v>5.9752321981424147E-2</v>
      </c>
      <c r="N87" s="152">
        <f t="shared" si="226"/>
        <v>6.0106640814348036E-2</v>
      </c>
      <c r="O87" s="152">
        <f t="shared" si="226"/>
        <v>7.8565980167810828E-2</v>
      </c>
      <c r="P87" s="152">
        <f t="shared" ref="P87" si="227">(P40)/(P7+P10)</f>
        <v>8.7903539478802029E-2</v>
      </c>
      <c r="Q87" s="118">
        <f t="shared" si="216"/>
        <v>3.1485628307039493E-2</v>
      </c>
      <c r="R87" s="20"/>
      <c r="S87" s="152">
        <f t="shared" ref="S87:AB87" si="228">(S40)/(S7+S10)</f>
        <v>8.7903539478802015E-2</v>
      </c>
      <c r="T87" s="152">
        <f t="shared" si="228"/>
        <v>8.7903539478802015E-2</v>
      </c>
      <c r="U87" s="152">
        <f t="shared" si="228"/>
        <v>8.7903539478802015E-2</v>
      </c>
      <c r="V87" s="152">
        <f t="shared" si="228"/>
        <v>8.7903539478802015E-2</v>
      </c>
      <c r="W87" s="152">
        <f t="shared" si="228"/>
        <v>8.7903539478802015E-2</v>
      </c>
      <c r="X87" s="152">
        <f t="shared" si="228"/>
        <v>8.7903539478802015E-2</v>
      </c>
      <c r="Y87" s="152">
        <f t="shared" si="228"/>
        <v>8.7903539478802015E-2</v>
      </c>
      <c r="Z87" s="152">
        <f t="shared" si="228"/>
        <v>8.7903539478802001E-2</v>
      </c>
      <c r="AA87" s="152">
        <f t="shared" si="228"/>
        <v>8.7903539478802015E-2</v>
      </c>
      <c r="AB87" s="152">
        <f t="shared" si="228"/>
        <v>8.7903539478802015E-2</v>
      </c>
      <c r="AC87" s="138">
        <f t="shared" si="218"/>
        <v>1.4792611187288918E-2</v>
      </c>
      <c r="AD87" s="146"/>
      <c r="AE87" s="146"/>
    </row>
    <row r="88" spans="2:31" x14ac:dyDescent="0.2">
      <c r="B88" s="20" t="s">
        <v>376</v>
      </c>
      <c r="C88" s="152"/>
      <c r="D88" s="152"/>
      <c r="E88" s="152"/>
      <c r="F88" s="152"/>
      <c r="G88" s="152">
        <f>G20/G25</f>
        <v>0</v>
      </c>
      <c r="H88" s="152">
        <f t="shared" ref="H88:P88" si="229">H20/H25</f>
        <v>0</v>
      </c>
      <c r="I88" s="152">
        <f t="shared" si="229"/>
        <v>0</v>
      </c>
      <c r="J88" s="152">
        <f t="shared" si="229"/>
        <v>0</v>
      </c>
      <c r="K88" s="152">
        <f t="shared" si="229"/>
        <v>0</v>
      </c>
      <c r="L88" s="152">
        <f t="shared" si="229"/>
        <v>0</v>
      </c>
      <c r="M88" s="152">
        <f t="shared" si="229"/>
        <v>0</v>
      </c>
      <c r="N88" s="152">
        <f t="shared" si="229"/>
        <v>0</v>
      </c>
      <c r="O88" s="152">
        <f t="shared" si="229"/>
        <v>0</v>
      </c>
      <c r="P88" s="152">
        <f t="shared" si="229"/>
        <v>0</v>
      </c>
      <c r="Q88" s="118" t="e">
        <f t="shared" si="216"/>
        <v>#DIV/0!</v>
      </c>
      <c r="R88" s="20"/>
      <c r="S88" s="152">
        <f t="shared" ref="S88:AB88" si="230">S20/S25</f>
        <v>0</v>
      </c>
      <c r="T88" s="152">
        <f t="shared" si="230"/>
        <v>0</v>
      </c>
      <c r="U88" s="152">
        <f t="shared" si="230"/>
        <v>0</v>
      </c>
      <c r="V88" s="152">
        <f t="shared" si="230"/>
        <v>0</v>
      </c>
      <c r="W88" s="152">
        <f t="shared" si="230"/>
        <v>0</v>
      </c>
      <c r="X88" s="152">
        <f t="shared" si="230"/>
        <v>0</v>
      </c>
      <c r="Y88" s="152">
        <f t="shared" si="230"/>
        <v>0</v>
      </c>
      <c r="Z88" s="152">
        <f t="shared" si="230"/>
        <v>0</v>
      </c>
      <c r="AA88" s="152">
        <f t="shared" si="230"/>
        <v>0</v>
      </c>
      <c r="AB88" s="152">
        <f t="shared" si="230"/>
        <v>0</v>
      </c>
      <c r="AC88" s="138" t="e">
        <f t="shared" si="218"/>
        <v>#DIV/0!</v>
      </c>
      <c r="AD88" s="146"/>
      <c r="AE88" s="146"/>
    </row>
    <row r="89" spans="2:31" x14ac:dyDescent="0.2">
      <c r="B89" s="20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20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3"/>
      <c r="AD89" s="146"/>
      <c r="AE89" s="146"/>
    </row>
    <row r="90" spans="2:31" x14ac:dyDescent="0.2">
      <c r="B90" s="20" t="s">
        <v>323</v>
      </c>
      <c r="C90" s="152"/>
      <c r="D90" s="152"/>
      <c r="E90" s="152"/>
      <c r="F90" s="152"/>
      <c r="G90" s="152">
        <f>G29/G25</f>
        <v>3.8935756002595719E-3</v>
      </c>
      <c r="H90" s="152">
        <f t="shared" ref="H90:P90" si="231">H29/H25</f>
        <v>1.0282161645145864E-2</v>
      </c>
      <c r="I90" s="152">
        <f t="shared" si="231"/>
        <v>7.3555794761392176E-3</v>
      </c>
      <c r="J90" s="152">
        <f t="shared" si="231"/>
        <v>1.608818709965738E-2</v>
      </c>
      <c r="K90" s="152">
        <f t="shared" si="231"/>
        <v>1.7064452899803989E-2</v>
      </c>
      <c r="L90" s="152">
        <f t="shared" si="231"/>
        <v>1.1676051672739317E-2</v>
      </c>
      <c r="M90" s="152">
        <f t="shared" si="231"/>
        <v>5.0645058108540354E-3</v>
      </c>
      <c r="N90" s="152">
        <f t="shared" si="231"/>
        <v>8.0180526214710963E-3</v>
      </c>
      <c r="O90" s="152">
        <f t="shared" si="231"/>
        <v>1.4274661508704063E-2</v>
      </c>
      <c r="P90" s="152">
        <f t="shared" si="231"/>
        <v>9.5747406173946458E-3</v>
      </c>
      <c r="Q90" s="118">
        <f t="shared" si="216"/>
        <v>0.10514642435100896</v>
      </c>
      <c r="R90" s="20"/>
      <c r="S90" s="152">
        <f t="shared" ref="S90:AB90" si="232">S29/S25</f>
        <v>9.5747406173946475E-3</v>
      </c>
      <c r="T90" s="152">
        <f t="shared" si="232"/>
        <v>9.5747406173946458E-3</v>
      </c>
      <c r="U90" s="152">
        <f t="shared" si="232"/>
        <v>9.5747406173946458E-3</v>
      </c>
      <c r="V90" s="152">
        <f t="shared" si="232"/>
        <v>9.5747406173946458E-3</v>
      </c>
      <c r="W90" s="152">
        <f t="shared" si="232"/>
        <v>9.5747406173946458E-3</v>
      </c>
      <c r="X90" s="152">
        <f t="shared" si="232"/>
        <v>9.5747406173946458E-3</v>
      </c>
      <c r="Y90" s="152">
        <f t="shared" si="232"/>
        <v>9.5747406173946458E-3</v>
      </c>
      <c r="Z90" s="152">
        <f t="shared" si="232"/>
        <v>9.5747406173946458E-3</v>
      </c>
      <c r="AA90" s="152">
        <f t="shared" si="232"/>
        <v>9.5747406173946441E-3</v>
      </c>
      <c r="AB90" s="152">
        <f t="shared" si="232"/>
        <v>9.5747406173946441E-3</v>
      </c>
      <c r="AC90" s="138">
        <f t="shared" si="218"/>
        <v>4.849722293585268E-2</v>
      </c>
      <c r="AD90" s="146"/>
      <c r="AE90" s="146"/>
    </row>
    <row r="91" spans="2:31" x14ac:dyDescent="0.2">
      <c r="B91" s="20" t="s">
        <v>369</v>
      </c>
      <c r="C91" s="152"/>
      <c r="D91" s="152"/>
      <c r="E91" s="152"/>
      <c r="F91" s="152"/>
      <c r="G91" s="152">
        <f>G29/G36</f>
        <v>-0.46153846153846156</v>
      </c>
      <c r="H91" s="152">
        <f t="shared" ref="H91:P91" si="233">H29/H36</f>
        <v>-0.74137931034482762</v>
      </c>
      <c r="I91" s="152">
        <f t="shared" si="233"/>
        <v>-0.47126436781609193</v>
      </c>
      <c r="J91" s="152">
        <f t="shared" si="233"/>
        <v>2.2978723404255321</v>
      </c>
      <c r="K91" s="152">
        <f t="shared" si="233"/>
        <v>3.2173913043478262</v>
      </c>
      <c r="L91" s="152">
        <f t="shared" si="233"/>
        <v>-0.26704545454545453</v>
      </c>
      <c r="M91" s="152">
        <f t="shared" si="233"/>
        <v>-0.29780564263322884</v>
      </c>
      <c r="N91" s="152">
        <f t="shared" si="233"/>
        <v>-0.43947368421052629</v>
      </c>
      <c r="O91" s="152">
        <f t="shared" si="233"/>
        <v>0.6089108910891089</v>
      </c>
      <c r="P91" s="152">
        <f t="shared" si="233"/>
        <v>0.47012578616352202</v>
      </c>
      <c r="Q91" s="118">
        <f t="shared" ref="Q91" si="234">((P91/G91)^(1/($H$2-$H$1) ))-1</f>
        <v>-2.0020504212761985</v>
      </c>
      <c r="R91" s="20"/>
      <c r="S91" s="152">
        <f t="shared" ref="S91:AB91" si="235">S29/S36</f>
        <v>0.47012578616352207</v>
      </c>
      <c r="T91" s="152">
        <f t="shared" si="235"/>
        <v>0.47012578616352202</v>
      </c>
      <c r="U91" s="152">
        <f t="shared" si="235"/>
        <v>0.47012578616352202</v>
      </c>
      <c r="V91" s="152">
        <f t="shared" si="235"/>
        <v>0.47012578616352207</v>
      </c>
      <c r="W91" s="152">
        <f t="shared" si="235"/>
        <v>0.47012578616352196</v>
      </c>
      <c r="X91" s="152">
        <f t="shared" si="235"/>
        <v>0.47012578616352196</v>
      </c>
      <c r="Y91" s="152">
        <f t="shared" si="235"/>
        <v>0.47012578616352185</v>
      </c>
      <c r="Z91" s="152">
        <f t="shared" si="235"/>
        <v>0.47012578616352191</v>
      </c>
      <c r="AA91" s="152">
        <f t="shared" si="235"/>
        <v>0.47012578616352191</v>
      </c>
      <c r="AB91" s="152">
        <f t="shared" si="235"/>
        <v>0.47012578616352191</v>
      </c>
      <c r="AC91" s="138">
        <f t="shared" ref="AC91" si="236">((AB91/G91)^(1/($AB$3-$H$1) ))-1</f>
        <v>-2.0009707286567977</v>
      </c>
      <c r="AD91" s="146"/>
      <c r="AE91" s="146"/>
    </row>
    <row r="92" spans="2:31" ht="12" customHeight="1" x14ac:dyDescent="0.2">
      <c r="B92" s="20" t="s">
        <v>368</v>
      </c>
      <c r="C92" s="152"/>
      <c r="D92" s="152"/>
      <c r="E92" s="152"/>
      <c r="F92" s="152"/>
      <c r="G92" s="171">
        <f t="shared" ref="G92:P92" si="237">G29/G40</f>
        <v>0.44444444444444442</v>
      </c>
      <c r="H92" s="171">
        <f t="shared" si="237"/>
        <v>1</v>
      </c>
      <c r="I92" s="171">
        <f t="shared" si="237"/>
        <v>0.63076923076923075</v>
      </c>
      <c r="J92" s="171">
        <f t="shared" si="237"/>
        <v>1.0693069306930694</v>
      </c>
      <c r="K92" s="171">
        <f t="shared" si="237"/>
        <v>0.71844660194174759</v>
      </c>
      <c r="L92" s="171">
        <f t="shared" si="237"/>
        <v>1.6206896551724137</v>
      </c>
      <c r="M92" s="171">
        <f t="shared" si="237"/>
        <v>0.49222797927461137</v>
      </c>
      <c r="N92" s="171">
        <f t="shared" si="237"/>
        <v>0.67338709677419351</v>
      </c>
      <c r="O92" s="171">
        <f t="shared" si="237"/>
        <v>0.89563106796116509</v>
      </c>
      <c r="P92" s="171">
        <f t="shared" si="237"/>
        <v>0.66150442477876104</v>
      </c>
      <c r="Q92" s="118">
        <f t="shared" ref="Q92" si="238">((P92/G92)^(1/($H$2-$H$1) ))-1</f>
        <v>4.5178784722011978E-2</v>
      </c>
      <c r="R92" s="20"/>
      <c r="S92" s="171">
        <f t="shared" ref="S92:AB92" si="239">S29/S40</f>
        <v>0.66150442477876104</v>
      </c>
      <c r="T92" s="171">
        <f t="shared" si="239"/>
        <v>0.66150442477876115</v>
      </c>
      <c r="U92" s="171">
        <f t="shared" si="239"/>
        <v>0.66150442477876115</v>
      </c>
      <c r="V92" s="171">
        <f t="shared" si="239"/>
        <v>0.66150442477876115</v>
      </c>
      <c r="W92" s="171">
        <f t="shared" si="239"/>
        <v>0.66150442477876115</v>
      </c>
      <c r="X92" s="171">
        <f t="shared" si="239"/>
        <v>0.66150442477876115</v>
      </c>
      <c r="Y92" s="171">
        <f t="shared" si="239"/>
        <v>0.66150442477876115</v>
      </c>
      <c r="Z92" s="171">
        <f t="shared" si="239"/>
        <v>0.66150442477876115</v>
      </c>
      <c r="AA92" s="171">
        <f t="shared" si="239"/>
        <v>0.66150442477876104</v>
      </c>
      <c r="AB92" s="171">
        <f t="shared" si="239"/>
        <v>0.66150442477876104</v>
      </c>
      <c r="AC92" s="138">
        <f t="shared" ref="AC92" si="240">((AB92/G92)^(1/($AB$3-$H$1) ))-1</f>
        <v>2.1151730008815761E-2</v>
      </c>
      <c r="AD92" s="146"/>
      <c r="AE92" s="146"/>
    </row>
    <row r="93" spans="2:31" ht="12" customHeight="1" x14ac:dyDescent="0.2">
      <c r="B93" s="20" t="s">
        <v>325</v>
      </c>
      <c r="C93" s="152"/>
      <c r="D93" s="152"/>
      <c r="E93" s="152"/>
      <c r="F93" s="152"/>
      <c r="G93" s="171">
        <f t="shared" ref="G93:P93" si="241">G29/G12</f>
        <v>8.2758620689655171E-2</v>
      </c>
      <c r="H93" s="171">
        <f t="shared" si="241"/>
        <v>7.3504273504273507E-2</v>
      </c>
      <c r="I93" s="171">
        <f t="shared" si="241"/>
        <v>3.3884297520661154E-2</v>
      </c>
      <c r="J93" s="171">
        <f t="shared" si="241"/>
        <v>1.8736988202637056E-2</v>
      </c>
      <c r="K93" s="171">
        <f t="shared" si="241"/>
        <v>2.9600000000000001E-2</v>
      </c>
      <c r="L93" s="171">
        <f t="shared" si="241"/>
        <v>2.5465053277948346E-2</v>
      </c>
      <c r="M93" s="171">
        <f t="shared" si="241"/>
        <v>1.4279272508642717E-2</v>
      </c>
      <c r="N93" s="171">
        <f t="shared" si="241"/>
        <v>2.1410256410256411E-2</v>
      </c>
      <c r="O93" s="171">
        <f t="shared" si="241"/>
        <v>4.6982429335370515E-2</v>
      </c>
      <c r="P93" s="171">
        <f t="shared" si="241"/>
        <v>3.037074657186389E-2</v>
      </c>
      <c r="Q93" s="118">
        <f t="shared" si="216"/>
        <v>-0.10540407869072854</v>
      </c>
      <c r="R93" s="20"/>
      <c r="S93" s="152">
        <f t="shared" ref="S93:AB93" si="242">S29/S12</f>
        <v>3.037074657186389E-2</v>
      </c>
      <c r="T93" s="152">
        <f t="shared" si="242"/>
        <v>3.037074657186389E-2</v>
      </c>
      <c r="U93" s="152">
        <f t="shared" si="242"/>
        <v>3.037074657186389E-2</v>
      </c>
      <c r="V93" s="152">
        <f t="shared" si="242"/>
        <v>3.037074657186389E-2</v>
      </c>
      <c r="W93" s="152">
        <f t="shared" si="242"/>
        <v>3.0370746571863887E-2</v>
      </c>
      <c r="X93" s="152">
        <f t="shared" si="242"/>
        <v>3.0370746571863883E-2</v>
      </c>
      <c r="Y93" s="152">
        <f t="shared" si="242"/>
        <v>3.0370746571863883E-2</v>
      </c>
      <c r="Z93" s="152">
        <f t="shared" si="242"/>
        <v>3.0370746571863887E-2</v>
      </c>
      <c r="AA93" s="152">
        <f t="shared" si="242"/>
        <v>3.0370746571863883E-2</v>
      </c>
      <c r="AB93" s="152">
        <f t="shared" si="242"/>
        <v>3.0370746571863883E-2</v>
      </c>
      <c r="AC93" s="138">
        <f t="shared" si="218"/>
        <v>-5.1392764641511324E-2</v>
      </c>
      <c r="AD93" s="146"/>
      <c r="AE93" s="146"/>
    </row>
    <row r="94" spans="2:31" ht="12" customHeight="1" x14ac:dyDescent="0.2">
      <c r="B94" s="20" t="s">
        <v>370</v>
      </c>
      <c r="C94" s="152"/>
      <c r="D94" s="152"/>
      <c r="E94" s="152"/>
      <c r="F94" s="152"/>
      <c r="G94" s="171" t="e">
        <f>G29/G23</f>
        <v>#DIV/0!</v>
      </c>
      <c r="H94" s="171" t="e">
        <f t="shared" ref="H94:P94" si="243">H29/H23</f>
        <v>#DIV/0!</v>
      </c>
      <c r="I94" s="171" t="e">
        <f t="shared" si="243"/>
        <v>#DIV/0!</v>
      </c>
      <c r="J94" s="171" t="e">
        <f t="shared" si="243"/>
        <v>#DIV/0!</v>
      </c>
      <c r="K94" s="171" t="e">
        <f t="shared" si="243"/>
        <v>#DIV/0!</v>
      </c>
      <c r="L94" s="171" t="e">
        <f t="shared" si="243"/>
        <v>#DIV/0!</v>
      </c>
      <c r="M94" s="171" t="e">
        <f t="shared" si="243"/>
        <v>#DIV/0!</v>
      </c>
      <c r="N94" s="171" t="e">
        <f t="shared" si="243"/>
        <v>#DIV/0!</v>
      </c>
      <c r="O94" s="171" t="e">
        <f t="shared" si="243"/>
        <v>#DIV/0!</v>
      </c>
      <c r="P94" s="171" t="e">
        <f t="shared" si="243"/>
        <v>#DIV/0!</v>
      </c>
      <c r="Q94" s="118" t="e">
        <f t="shared" ref="Q94" si="244">((P94/G94)^(1/($H$2-$H$1) ))-1</f>
        <v>#DIV/0!</v>
      </c>
      <c r="R94" s="20"/>
      <c r="S94" s="171" t="e">
        <f t="shared" ref="S94:AB94" si="245">S29/S23</f>
        <v>#DIV/0!</v>
      </c>
      <c r="T94" s="171" t="e">
        <f t="shared" si="245"/>
        <v>#DIV/0!</v>
      </c>
      <c r="U94" s="171" t="e">
        <f t="shared" si="245"/>
        <v>#DIV/0!</v>
      </c>
      <c r="V94" s="171" t="e">
        <f t="shared" si="245"/>
        <v>#DIV/0!</v>
      </c>
      <c r="W94" s="171" t="e">
        <f t="shared" si="245"/>
        <v>#DIV/0!</v>
      </c>
      <c r="X94" s="171" t="e">
        <f t="shared" si="245"/>
        <v>#DIV/0!</v>
      </c>
      <c r="Y94" s="171" t="e">
        <f t="shared" si="245"/>
        <v>#DIV/0!</v>
      </c>
      <c r="Z94" s="171" t="e">
        <f t="shared" si="245"/>
        <v>#DIV/0!</v>
      </c>
      <c r="AA94" s="171" t="e">
        <f t="shared" si="245"/>
        <v>#DIV/0!</v>
      </c>
      <c r="AB94" s="171" t="e">
        <f t="shared" si="245"/>
        <v>#DIV/0!</v>
      </c>
      <c r="AC94" s="138" t="e">
        <f t="shared" ref="AC94" si="246">((AB94/G94)^(1/($AB$3-$H$1) ))-1</f>
        <v>#DIV/0!</v>
      </c>
      <c r="AD94" s="146"/>
      <c r="AE94" s="146"/>
    </row>
    <row r="95" spans="2:31" ht="12" customHeight="1" x14ac:dyDescent="0.2">
      <c r="B95" s="20"/>
      <c r="C95" s="152"/>
      <c r="D95" s="152"/>
      <c r="E95" s="152"/>
      <c r="F95" s="152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46"/>
      <c r="AE95" s="146"/>
    </row>
    <row r="96" spans="2:31" ht="12" customHeight="1" x14ac:dyDescent="0.2">
      <c r="B96" s="20" t="s">
        <v>403</v>
      </c>
      <c r="C96" s="152"/>
      <c r="D96" s="152"/>
      <c r="E96" s="152"/>
      <c r="F96" s="152"/>
      <c r="G96" s="127">
        <f>1/G90</f>
        <v>256.83333333333331</v>
      </c>
      <c r="H96" s="127">
        <f t="shared" ref="H96:P96" si="247">1/H90</f>
        <v>97.255813953488371</v>
      </c>
      <c r="I96" s="127">
        <f t="shared" si="247"/>
        <v>135.95121951219514</v>
      </c>
      <c r="J96" s="127">
        <f t="shared" si="247"/>
        <v>62.157407407407412</v>
      </c>
      <c r="K96" s="127">
        <f t="shared" si="247"/>
        <v>58.601351351351354</v>
      </c>
      <c r="L96" s="127">
        <f t="shared" si="247"/>
        <v>85.645390070921991</v>
      </c>
      <c r="M96" s="127">
        <f t="shared" si="247"/>
        <v>197.45263157894738</v>
      </c>
      <c r="N96" s="127">
        <f t="shared" si="247"/>
        <v>124.7185628742515</v>
      </c>
      <c r="O96" s="127">
        <f t="shared" si="247"/>
        <v>70.054200542005418</v>
      </c>
      <c r="P96" s="127">
        <f t="shared" si="247"/>
        <v>104.44147157190635</v>
      </c>
      <c r="Q96" s="118">
        <f t="shared" si="216"/>
        <v>-9.5142527753963146E-2</v>
      </c>
      <c r="R96" s="20"/>
      <c r="S96" s="127">
        <f t="shared" ref="S96:AB96" si="248">1/S90</f>
        <v>104.44147157190633</v>
      </c>
      <c r="T96" s="127">
        <f t="shared" si="248"/>
        <v>104.44147157190635</v>
      </c>
      <c r="U96" s="127">
        <f t="shared" si="248"/>
        <v>104.44147157190635</v>
      </c>
      <c r="V96" s="127">
        <f t="shared" si="248"/>
        <v>104.44147157190635</v>
      </c>
      <c r="W96" s="127">
        <f t="shared" si="248"/>
        <v>104.44147157190635</v>
      </c>
      <c r="X96" s="127">
        <f t="shared" si="248"/>
        <v>104.44147157190635</v>
      </c>
      <c r="Y96" s="127">
        <f t="shared" si="248"/>
        <v>104.44147157190635</v>
      </c>
      <c r="Z96" s="127">
        <f t="shared" si="248"/>
        <v>104.44147157190635</v>
      </c>
      <c r="AA96" s="127">
        <f t="shared" si="248"/>
        <v>104.44147157190638</v>
      </c>
      <c r="AB96" s="127">
        <f t="shared" si="248"/>
        <v>104.44147157190638</v>
      </c>
      <c r="AC96" s="138">
        <f t="shared" si="218"/>
        <v>-4.625403088818647E-2</v>
      </c>
      <c r="AD96" s="146"/>
      <c r="AE96" s="146"/>
    </row>
    <row r="97" spans="2:31" ht="12" customHeight="1" x14ac:dyDescent="0.2">
      <c r="B97" s="20" t="s">
        <v>404</v>
      </c>
      <c r="C97" s="152"/>
      <c r="D97" s="152"/>
      <c r="E97" s="152"/>
      <c r="F97" s="152"/>
      <c r="G97" s="127">
        <f t="shared" ref="G97:P100" si="249">1/G91</f>
        <v>-2.1666666666666665</v>
      </c>
      <c r="H97" s="127">
        <f t="shared" si="249"/>
        <v>-1.3488372093023255</v>
      </c>
      <c r="I97" s="127">
        <f t="shared" si="249"/>
        <v>-2.1219512195121952</v>
      </c>
      <c r="J97" s="127">
        <f t="shared" si="249"/>
        <v>0.43518518518518512</v>
      </c>
      <c r="K97" s="127">
        <f t="shared" si="249"/>
        <v>0.3108108108108108</v>
      </c>
      <c r="L97" s="127">
        <f t="shared" si="249"/>
        <v>-3.7446808510638299</v>
      </c>
      <c r="M97" s="127">
        <f t="shared" si="249"/>
        <v>-3.3578947368421055</v>
      </c>
      <c r="N97" s="127">
        <f t="shared" si="249"/>
        <v>-2.2754491017964074</v>
      </c>
      <c r="O97" s="127">
        <f t="shared" si="249"/>
        <v>1.6422764227642277</v>
      </c>
      <c r="P97" s="127">
        <f t="shared" si="249"/>
        <v>2.1270903010033444</v>
      </c>
      <c r="Q97" s="118">
        <f t="shared" si="216"/>
        <v>-1.9979537743484137</v>
      </c>
      <c r="R97" s="20"/>
      <c r="S97" s="127">
        <f t="shared" ref="S97:AB97" si="250">1/S91</f>
        <v>2.1270903010033444</v>
      </c>
      <c r="T97" s="127">
        <f t="shared" si="250"/>
        <v>2.1270903010033444</v>
      </c>
      <c r="U97" s="127">
        <f t="shared" si="250"/>
        <v>2.1270903010033444</v>
      </c>
      <c r="V97" s="127">
        <f t="shared" si="250"/>
        <v>2.1270903010033444</v>
      </c>
      <c r="W97" s="127">
        <f t="shared" si="250"/>
        <v>2.1270903010033448</v>
      </c>
      <c r="X97" s="127">
        <f t="shared" si="250"/>
        <v>2.1270903010033448</v>
      </c>
      <c r="Y97" s="127">
        <f t="shared" si="250"/>
        <v>2.1270903010033453</v>
      </c>
      <c r="Z97" s="127">
        <f t="shared" si="250"/>
        <v>2.1270903010033448</v>
      </c>
      <c r="AA97" s="127">
        <f t="shared" si="250"/>
        <v>2.1270903010033448</v>
      </c>
      <c r="AB97" s="127">
        <f t="shared" si="250"/>
        <v>2.1270903010033448</v>
      </c>
      <c r="AC97" s="138">
        <f t="shared" si="218"/>
        <v>-1.9990302127434836</v>
      </c>
      <c r="AD97" s="146"/>
      <c r="AE97" s="146"/>
    </row>
    <row r="98" spans="2:31" ht="12" customHeight="1" x14ac:dyDescent="0.2">
      <c r="B98" s="20" t="s">
        <v>405</v>
      </c>
      <c r="C98" s="152"/>
      <c r="D98" s="152"/>
      <c r="E98" s="152"/>
      <c r="F98" s="152"/>
      <c r="G98" s="127">
        <f t="shared" si="249"/>
        <v>2.25</v>
      </c>
      <c r="H98" s="127">
        <f t="shared" si="249"/>
        <v>1</v>
      </c>
      <c r="I98" s="127">
        <f t="shared" si="249"/>
        <v>1.5853658536585367</v>
      </c>
      <c r="J98" s="127">
        <f t="shared" si="249"/>
        <v>0.93518518518518512</v>
      </c>
      <c r="K98" s="127">
        <f t="shared" si="249"/>
        <v>1.3918918918918919</v>
      </c>
      <c r="L98" s="127">
        <f t="shared" si="249"/>
        <v>0.61702127659574468</v>
      </c>
      <c r="M98" s="127">
        <f t="shared" si="249"/>
        <v>2.0315789473684212</v>
      </c>
      <c r="N98" s="127">
        <f t="shared" si="249"/>
        <v>1.4850299401197606</v>
      </c>
      <c r="O98" s="127">
        <f t="shared" si="249"/>
        <v>1.116531165311653</v>
      </c>
      <c r="P98" s="127">
        <f t="shared" si="249"/>
        <v>1.5117056856187292</v>
      </c>
      <c r="Q98" s="118">
        <f t="shared" si="216"/>
        <v>-4.3225891476574851E-2</v>
      </c>
      <c r="R98" s="20"/>
      <c r="S98" s="127">
        <f t="shared" ref="S98:AB98" si="251">1/S92</f>
        <v>1.5117056856187292</v>
      </c>
      <c r="T98" s="127">
        <f t="shared" si="251"/>
        <v>1.511705685618729</v>
      </c>
      <c r="U98" s="127">
        <f t="shared" si="251"/>
        <v>1.511705685618729</v>
      </c>
      <c r="V98" s="127">
        <f t="shared" si="251"/>
        <v>1.511705685618729</v>
      </c>
      <c r="W98" s="127">
        <f t="shared" si="251"/>
        <v>1.511705685618729</v>
      </c>
      <c r="X98" s="127">
        <f t="shared" si="251"/>
        <v>1.511705685618729</v>
      </c>
      <c r="Y98" s="127">
        <f t="shared" si="251"/>
        <v>1.511705685618729</v>
      </c>
      <c r="Z98" s="127">
        <f t="shared" si="251"/>
        <v>1.511705685618729</v>
      </c>
      <c r="AA98" s="127">
        <f t="shared" si="251"/>
        <v>1.5117056856187292</v>
      </c>
      <c r="AB98" s="127">
        <f t="shared" si="251"/>
        <v>1.5117056856187292</v>
      </c>
      <c r="AC98" s="138">
        <f t="shared" si="218"/>
        <v>-2.0713601502328371E-2</v>
      </c>
      <c r="AD98" s="146"/>
      <c r="AE98" s="146"/>
    </row>
    <row r="99" spans="2:31" ht="12" customHeight="1" x14ac:dyDescent="0.2">
      <c r="B99" s="20" t="s">
        <v>406</v>
      </c>
      <c r="C99" s="152"/>
      <c r="D99" s="152"/>
      <c r="E99" s="152"/>
      <c r="F99" s="152"/>
      <c r="G99" s="127">
        <f t="shared" si="249"/>
        <v>12.083333333333334</v>
      </c>
      <c r="H99" s="127">
        <f t="shared" si="249"/>
        <v>13.604651162790697</v>
      </c>
      <c r="I99" s="127">
        <f t="shared" si="249"/>
        <v>29.512195121951223</v>
      </c>
      <c r="J99" s="127">
        <f t="shared" si="249"/>
        <v>53.370370370370374</v>
      </c>
      <c r="K99" s="127">
        <f t="shared" si="249"/>
        <v>33.783783783783782</v>
      </c>
      <c r="L99" s="127">
        <f t="shared" si="249"/>
        <v>39.269503546099294</v>
      </c>
      <c r="M99" s="127">
        <f t="shared" si="249"/>
        <v>70.031578947368416</v>
      </c>
      <c r="N99" s="127">
        <f t="shared" si="249"/>
        <v>46.706586826347305</v>
      </c>
      <c r="O99" s="127">
        <f t="shared" si="249"/>
        <v>21.284552845528452</v>
      </c>
      <c r="P99" s="127">
        <f t="shared" si="249"/>
        <v>32.926421404682273</v>
      </c>
      <c r="Q99" s="118">
        <f t="shared" si="216"/>
        <v>0.11782311564361492</v>
      </c>
      <c r="R99" s="20"/>
      <c r="S99" s="127">
        <f t="shared" ref="S99:AB99" si="252">1/S93</f>
        <v>32.926421404682273</v>
      </c>
      <c r="T99" s="127">
        <f t="shared" si="252"/>
        <v>32.926421404682273</v>
      </c>
      <c r="U99" s="127">
        <f t="shared" si="252"/>
        <v>32.926421404682273</v>
      </c>
      <c r="V99" s="127">
        <f t="shared" si="252"/>
        <v>32.926421404682273</v>
      </c>
      <c r="W99" s="127">
        <f t="shared" si="252"/>
        <v>32.92642140468228</v>
      </c>
      <c r="X99" s="127">
        <f t="shared" si="252"/>
        <v>32.92642140468228</v>
      </c>
      <c r="Y99" s="127">
        <f t="shared" si="252"/>
        <v>32.92642140468228</v>
      </c>
      <c r="Z99" s="127">
        <f t="shared" si="252"/>
        <v>32.92642140468228</v>
      </c>
      <c r="AA99" s="127">
        <f t="shared" si="252"/>
        <v>32.92642140468228</v>
      </c>
      <c r="AB99" s="127">
        <f t="shared" si="252"/>
        <v>32.92642140468228</v>
      </c>
      <c r="AC99" s="138">
        <f t="shared" si="218"/>
        <v>5.4177074268350278E-2</v>
      </c>
      <c r="AD99" s="146"/>
      <c r="AE99" s="146"/>
    </row>
    <row r="100" spans="2:31" ht="12" customHeight="1" x14ac:dyDescent="0.2">
      <c r="B100" s="20" t="s">
        <v>407</v>
      </c>
      <c r="C100" s="152"/>
      <c r="D100" s="152"/>
      <c r="E100" s="152"/>
      <c r="F100" s="152"/>
      <c r="G100" s="127" t="e">
        <f t="shared" si="249"/>
        <v>#DIV/0!</v>
      </c>
      <c r="H100" s="127" t="e">
        <f t="shared" si="249"/>
        <v>#DIV/0!</v>
      </c>
      <c r="I100" s="127" t="e">
        <f t="shared" si="249"/>
        <v>#DIV/0!</v>
      </c>
      <c r="J100" s="127" t="e">
        <f t="shared" si="249"/>
        <v>#DIV/0!</v>
      </c>
      <c r="K100" s="127" t="e">
        <f t="shared" si="249"/>
        <v>#DIV/0!</v>
      </c>
      <c r="L100" s="127" t="e">
        <f t="shared" si="249"/>
        <v>#DIV/0!</v>
      </c>
      <c r="M100" s="127" t="e">
        <f t="shared" si="249"/>
        <v>#DIV/0!</v>
      </c>
      <c r="N100" s="127" t="e">
        <f t="shared" si="249"/>
        <v>#DIV/0!</v>
      </c>
      <c r="O100" s="127" t="e">
        <f t="shared" si="249"/>
        <v>#DIV/0!</v>
      </c>
      <c r="P100" s="127" t="e">
        <f t="shared" si="249"/>
        <v>#DIV/0!</v>
      </c>
      <c r="Q100" s="118" t="e">
        <f t="shared" si="216"/>
        <v>#DIV/0!</v>
      </c>
      <c r="R100" s="20"/>
      <c r="S100" s="127" t="e">
        <f t="shared" ref="S100:AB100" si="253">1/S94</f>
        <v>#DIV/0!</v>
      </c>
      <c r="T100" s="127" t="e">
        <f t="shared" si="253"/>
        <v>#DIV/0!</v>
      </c>
      <c r="U100" s="127" t="e">
        <f t="shared" si="253"/>
        <v>#DIV/0!</v>
      </c>
      <c r="V100" s="127" t="e">
        <f t="shared" si="253"/>
        <v>#DIV/0!</v>
      </c>
      <c r="W100" s="127" t="e">
        <f t="shared" si="253"/>
        <v>#DIV/0!</v>
      </c>
      <c r="X100" s="127" t="e">
        <f t="shared" si="253"/>
        <v>#DIV/0!</v>
      </c>
      <c r="Y100" s="127" t="e">
        <f t="shared" si="253"/>
        <v>#DIV/0!</v>
      </c>
      <c r="Z100" s="127" t="e">
        <f t="shared" si="253"/>
        <v>#DIV/0!</v>
      </c>
      <c r="AA100" s="127" t="e">
        <f t="shared" si="253"/>
        <v>#DIV/0!</v>
      </c>
      <c r="AB100" s="127" t="e">
        <f t="shared" si="253"/>
        <v>#DIV/0!</v>
      </c>
      <c r="AC100" s="138" t="e">
        <f t="shared" si="218"/>
        <v>#DIV/0!</v>
      </c>
      <c r="AD100" s="146"/>
      <c r="AE100" s="146"/>
    </row>
    <row r="101" spans="2:31" ht="12" customHeight="1" x14ac:dyDescent="0.2">
      <c r="B101" s="20"/>
      <c r="C101" s="152"/>
      <c r="D101" s="152"/>
      <c r="E101" s="152"/>
      <c r="F101" s="152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20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46"/>
      <c r="AE101" s="146"/>
    </row>
    <row r="102" spans="2:31" ht="12" customHeight="1" x14ac:dyDescent="0.2">
      <c r="B102" s="20"/>
      <c r="C102" s="152"/>
      <c r="D102" s="152"/>
      <c r="E102" s="152"/>
      <c r="F102" s="152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20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46"/>
      <c r="AE102" s="146"/>
    </row>
    <row r="103" spans="2:31" x14ac:dyDescent="0.2">
      <c r="B103" s="20" t="s">
        <v>326</v>
      </c>
      <c r="C103" s="152"/>
      <c r="D103" s="152"/>
      <c r="E103" s="152"/>
      <c r="F103" s="163">
        <f t="shared" ref="F103:O103" si="254">F10-(F12+F13)</f>
        <v>0</v>
      </c>
      <c r="G103" s="163">
        <f t="shared" si="254"/>
        <v>143</v>
      </c>
      <c r="H103" s="163">
        <f t="shared" si="254"/>
        <v>52</v>
      </c>
      <c r="I103" s="163">
        <f t="shared" si="254"/>
        <v>129</v>
      </c>
      <c r="J103" s="163">
        <f t="shared" si="254"/>
        <v>-2447</v>
      </c>
      <c r="K103" s="163">
        <f t="shared" si="254"/>
        <v>-4166</v>
      </c>
      <c r="L103" s="163">
        <f t="shared" si="254"/>
        <v>-3972</v>
      </c>
      <c r="M103" s="163">
        <f t="shared" si="254"/>
        <v>-4571.42</v>
      </c>
      <c r="N103" s="163">
        <f t="shared" si="254"/>
        <v>-5273.42</v>
      </c>
      <c r="O103" s="163">
        <f t="shared" si="254"/>
        <v>-4601.3999999999996</v>
      </c>
      <c r="P103" s="163">
        <f>P10-(P12+P13)</f>
        <v>-7120.42</v>
      </c>
      <c r="Q103" s="118">
        <f t="shared" si="216"/>
        <v>-2.5437408522145275</v>
      </c>
      <c r="R103" s="20"/>
      <c r="S103" s="163">
        <f>S10-(S12+S13)</f>
        <v>-7974.8704000000016</v>
      </c>
      <c r="T103" s="163">
        <f t="shared" ref="T103:AB103" si="255">T10-(T12+T13)</f>
        <v>-8931.8548480000027</v>
      </c>
      <c r="U103" s="163">
        <f t="shared" si="255"/>
        <v>-10003.677429760004</v>
      </c>
      <c r="V103" s="163">
        <f t="shared" si="255"/>
        <v>-11204.118721331206</v>
      </c>
      <c r="W103" s="163">
        <f t="shared" si="255"/>
        <v>-12548.612967890953</v>
      </c>
      <c r="X103" s="163">
        <f t="shared" si="255"/>
        <v>-14054.446524037867</v>
      </c>
      <c r="Y103" s="163">
        <f t="shared" si="255"/>
        <v>-15740.980106922412</v>
      </c>
      <c r="Z103" s="163">
        <f t="shared" si="255"/>
        <v>-17629.897719753106</v>
      </c>
      <c r="AA103" s="163">
        <f t="shared" si="255"/>
        <v>-19745.485446123483</v>
      </c>
      <c r="AB103" s="163">
        <f t="shared" si="255"/>
        <v>-22114.943699658299</v>
      </c>
      <c r="AC103" s="138">
        <f t="shared" si="218"/>
        <v>-2.3038539195294088</v>
      </c>
      <c r="AD103" s="146"/>
      <c r="AE103" s="146"/>
    </row>
    <row r="104" spans="2:31" ht="12" customHeight="1" x14ac:dyDescent="0.2">
      <c r="B104" s="20" t="s">
        <v>321</v>
      </c>
      <c r="C104" s="20"/>
      <c r="D104" s="20"/>
      <c r="E104" s="20"/>
      <c r="F104" s="20"/>
      <c r="G104" s="152">
        <f t="shared" ref="G104:P104" si="256">G40/G18</f>
        <v>0.77142857142857146</v>
      </c>
      <c r="H104" s="152">
        <f t="shared" si="256"/>
        <v>0.89583333333333337</v>
      </c>
      <c r="I104" s="152">
        <f t="shared" si="256"/>
        <v>1.3541666666666667</v>
      </c>
      <c r="J104" s="152">
        <f t="shared" si="256"/>
        <v>1.9803921568627452</v>
      </c>
      <c r="K104" s="152">
        <f t="shared" si="256"/>
        <v>3.6785714285714284</v>
      </c>
      <c r="L104" s="152">
        <f t="shared" si="256"/>
        <v>1.359375</v>
      </c>
      <c r="M104" s="152">
        <f t="shared" si="256"/>
        <v>2.7183098591549295</v>
      </c>
      <c r="N104" s="152">
        <f t="shared" si="256"/>
        <v>3.492957746478873</v>
      </c>
      <c r="O104" s="152">
        <f t="shared" si="256"/>
        <v>5.802816901408451</v>
      </c>
      <c r="P104" s="152">
        <f t="shared" si="256"/>
        <v>6.5507246376811592</v>
      </c>
      <c r="Q104" s="118">
        <f t="shared" si="216"/>
        <v>0.26829860217899171</v>
      </c>
      <c r="R104" s="20"/>
      <c r="S104" s="152">
        <f t="shared" ref="S104:AB104" si="257">S40/S18</f>
        <v>6.5507246376811601</v>
      </c>
      <c r="T104" s="152">
        <f t="shared" si="257"/>
        <v>6.5507246376811601</v>
      </c>
      <c r="U104" s="152">
        <f t="shared" si="257"/>
        <v>6.5507246376811601</v>
      </c>
      <c r="V104" s="152">
        <f t="shared" si="257"/>
        <v>6.5507246376811592</v>
      </c>
      <c r="W104" s="152">
        <f t="shared" si="257"/>
        <v>6.5507246376811601</v>
      </c>
      <c r="X104" s="152">
        <f t="shared" si="257"/>
        <v>6.5507246376811592</v>
      </c>
      <c r="Y104" s="152">
        <f t="shared" si="257"/>
        <v>6.5507246376811592</v>
      </c>
      <c r="Z104" s="152">
        <f t="shared" si="257"/>
        <v>6.5507246376811592</v>
      </c>
      <c r="AA104" s="152">
        <f t="shared" si="257"/>
        <v>6.5507246376811601</v>
      </c>
      <c r="AB104" s="152">
        <f t="shared" si="257"/>
        <v>6.5507246376811601</v>
      </c>
      <c r="AC104" s="138">
        <f t="shared" si="218"/>
        <v>0.11916572518426061</v>
      </c>
      <c r="AD104" s="20"/>
      <c r="AE104" s="20"/>
    </row>
    <row r="105" spans="2:31" x14ac:dyDescent="0.2">
      <c r="B105" s="20" t="s">
        <v>322</v>
      </c>
      <c r="C105" s="20"/>
      <c r="D105" s="20"/>
      <c r="E105" s="20"/>
      <c r="F105" s="20"/>
      <c r="G105" s="152">
        <f t="shared" ref="G105:P105" si="258">G40/G25</f>
        <v>8.7605451005840357E-3</v>
      </c>
      <c r="H105" s="152">
        <f t="shared" si="258"/>
        <v>1.0282161645145864E-2</v>
      </c>
      <c r="I105" s="152">
        <f t="shared" si="258"/>
        <v>1.1661284535342662E-2</v>
      </c>
      <c r="J105" s="152">
        <f t="shared" si="258"/>
        <v>1.5045434232086995E-2</v>
      </c>
      <c r="K105" s="152">
        <f t="shared" si="258"/>
        <v>2.3751873630808256E-2</v>
      </c>
      <c r="L105" s="152">
        <f t="shared" si="258"/>
        <v>7.2043723087114936E-3</v>
      </c>
      <c r="M105" s="152">
        <f t="shared" si="258"/>
        <v>1.0288943384156094E-2</v>
      </c>
      <c r="N105" s="152">
        <f t="shared" si="258"/>
        <v>1.1907048204340312E-2</v>
      </c>
      <c r="O105" s="152">
        <f t="shared" si="258"/>
        <v>1.5938104448742746E-2</v>
      </c>
      <c r="P105" s="152">
        <f t="shared" si="258"/>
        <v>1.4474189829640067E-2</v>
      </c>
      <c r="Q105" s="118">
        <f t="shared" si="216"/>
        <v>5.7375484946287525E-2</v>
      </c>
      <c r="R105" s="20"/>
      <c r="S105" s="152">
        <f t="shared" ref="S105:AB105" si="259">S40/S25</f>
        <v>1.4474189829640069E-2</v>
      </c>
      <c r="T105" s="152">
        <f t="shared" si="259"/>
        <v>1.4474189829640065E-2</v>
      </c>
      <c r="U105" s="152">
        <f t="shared" si="259"/>
        <v>1.4474189829640065E-2</v>
      </c>
      <c r="V105" s="152">
        <f t="shared" si="259"/>
        <v>1.4474189829640065E-2</v>
      </c>
      <c r="W105" s="152">
        <f t="shared" si="259"/>
        <v>1.4474189829640065E-2</v>
      </c>
      <c r="X105" s="152">
        <f t="shared" si="259"/>
        <v>1.4474189829640063E-2</v>
      </c>
      <c r="Y105" s="152">
        <f t="shared" si="259"/>
        <v>1.4474189829640065E-2</v>
      </c>
      <c r="Z105" s="152">
        <f t="shared" si="259"/>
        <v>1.4474189829640063E-2</v>
      </c>
      <c r="AA105" s="152">
        <f t="shared" si="259"/>
        <v>1.4474189829640065E-2</v>
      </c>
      <c r="AB105" s="152">
        <f t="shared" si="259"/>
        <v>1.4474189829640063E-2</v>
      </c>
      <c r="AC105" s="138">
        <f t="shared" si="218"/>
        <v>2.6779069283661583E-2</v>
      </c>
      <c r="AD105" s="20"/>
      <c r="AE105" s="20"/>
    </row>
    <row r="106" spans="2:31" x14ac:dyDescent="0.2">
      <c r="B106" s="20" t="s">
        <v>348</v>
      </c>
      <c r="C106" s="20"/>
      <c r="D106" s="20"/>
      <c r="E106" s="152"/>
      <c r="F106" s="152"/>
      <c r="G106" s="152">
        <f t="shared" ref="G106:O106" si="260">G25/G18</f>
        <v>88.057142857142864</v>
      </c>
      <c r="H106" s="152">
        <f t="shared" si="260"/>
        <v>87.125</v>
      </c>
      <c r="I106" s="152">
        <f t="shared" si="260"/>
        <v>116.125</v>
      </c>
      <c r="J106" s="152">
        <f t="shared" si="260"/>
        <v>131.62745098039215</v>
      </c>
      <c r="K106" s="152">
        <f t="shared" si="260"/>
        <v>154.875</v>
      </c>
      <c r="L106" s="152">
        <f t="shared" si="260"/>
        <v>188.6875</v>
      </c>
      <c r="M106" s="152">
        <f t="shared" si="260"/>
        <v>264.19718309859155</v>
      </c>
      <c r="N106" s="152">
        <f t="shared" si="260"/>
        <v>293.35211267605632</v>
      </c>
      <c r="O106" s="152">
        <f t="shared" si="260"/>
        <v>364.08450704225351</v>
      </c>
      <c r="P106" s="152">
        <f>P25/P18</f>
        <v>452.57971014492756</v>
      </c>
      <c r="Q106" s="118">
        <f t="shared" si="216"/>
        <v>0.19947797186107308</v>
      </c>
      <c r="R106" s="20"/>
      <c r="S106" s="152">
        <f>S25/S18</f>
        <v>452.57971014492756</v>
      </c>
      <c r="T106" s="152">
        <f t="shared" ref="T106:AB106" si="261">T25/T18</f>
        <v>452.57971014492762</v>
      </c>
      <c r="U106" s="152">
        <f t="shared" si="261"/>
        <v>452.57971014492762</v>
      </c>
      <c r="V106" s="152">
        <f t="shared" si="261"/>
        <v>452.57971014492762</v>
      </c>
      <c r="W106" s="152">
        <f t="shared" si="261"/>
        <v>452.57971014492762</v>
      </c>
      <c r="X106" s="152">
        <f t="shared" si="261"/>
        <v>452.57971014492762</v>
      </c>
      <c r="Y106" s="152">
        <f t="shared" si="261"/>
        <v>452.57971014492762</v>
      </c>
      <c r="Z106" s="152">
        <f t="shared" si="261"/>
        <v>452.57971014492762</v>
      </c>
      <c r="AA106" s="152">
        <f t="shared" si="261"/>
        <v>452.57971014492767</v>
      </c>
      <c r="AB106" s="152">
        <f t="shared" si="261"/>
        <v>452.57971014492767</v>
      </c>
      <c r="AC106" s="138">
        <f t="shared" si="218"/>
        <v>8.9977151525939547E-2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28"/>
      <c r="R107" s="20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28"/>
      <c r="AD107" s="20"/>
      <c r="AE107" s="20"/>
    </row>
    <row r="108" spans="2:31" x14ac:dyDescent="0.2">
      <c r="B108" s="20" t="s">
        <v>334</v>
      </c>
      <c r="C108" s="20"/>
      <c r="D108" s="20"/>
      <c r="E108" s="165">
        <f t="shared" ref="E108:F108" si="262">E68*E42</f>
        <v>0</v>
      </c>
      <c r="F108" s="165">
        <f t="shared" si="262"/>
        <v>0</v>
      </c>
      <c r="G108" s="165">
        <f>G68*G42</f>
        <v>3.5</v>
      </c>
      <c r="H108" s="165">
        <f t="shared" ref="H108:P108" si="263">H68*H42</f>
        <v>7</v>
      </c>
      <c r="I108" s="165">
        <f t="shared" si="263"/>
        <v>7.38</v>
      </c>
      <c r="J108" s="165">
        <f t="shared" si="263"/>
        <v>7.38</v>
      </c>
      <c r="K108" s="165">
        <f t="shared" si="263"/>
        <v>8.770999999999999</v>
      </c>
      <c r="L108" s="165">
        <f t="shared" si="263"/>
        <v>15.419999999999998</v>
      </c>
      <c r="M108" s="165">
        <f t="shared" si="263"/>
        <v>26.58</v>
      </c>
      <c r="N108" s="165">
        <f t="shared" si="263"/>
        <v>17.712</v>
      </c>
      <c r="O108" s="165">
        <f t="shared" si="263"/>
        <v>17.712</v>
      </c>
      <c r="P108" s="165">
        <f t="shared" si="263"/>
        <v>29.52</v>
      </c>
      <c r="Q108" s="118">
        <f t="shared" si="216"/>
        <v>0.267343251333237</v>
      </c>
      <c r="R108" s="20"/>
      <c r="S108" s="165">
        <f t="shared" ref="S108:AB108" si="264">S68*S42</f>
        <v>32.545800000000007</v>
      </c>
      <c r="T108" s="165">
        <f t="shared" si="264"/>
        <v>35.881744500000011</v>
      </c>
      <c r="U108" s="165">
        <f t="shared" si="264"/>
        <v>39.559623311250014</v>
      </c>
      <c r="V108" s="165">
        <f t="shared" si="264"/>
        <v>43.614484700653144</v>
      </c>
      <c r="W108" s="165">
        <f t="shared" si="264"/>
        <v>48.084969382470106</v>
      </c>
      <c r="X108" s="165">
        <f t="shared" si="264"/>
        <v>53.013678744173298</v>
      </c>
      <c r="Y108" s="165">
        <f t="shared" si="264"/>
        <v>58.447580815451069</v>
      </c>
      <c r="Z108" s="165">
        <f t="shared" si="264"/>
        <v>64.438457849034805</v>
      </c>
      <c r="AA108" s="165">
        <f t="shared" si="264"/>
        <v>71.043399778560868</v>
      </c>
      <c r="AB108" s="165">
        <f t="shared" si="264"/>
        <v>78.325348255863361</v>
      </c>
      <c r="AC108" s="138">
        <f t="shared" si="218"/>
        <v>0.17772504320036298</v>
      </c>
      <c r="AD108" s="20"/>
      <c r="AE108" s="20"/>
    </row>
    <row r="109" spans="2:31" x14ac:dyDescent="0.2">
      <c r="B109" s="20" t="s">
        <v>335</v>
      </c>
      <c r="C109" s="20"/>
      <c r="D109" s="20"/>
      <c r="E109" s="165">
        <f>(E108*0.17)+E108</f>
        <v>0</v>
      </c>
      <c r="F109" s="165">
        <f>(F108*0.17)+F108</f>
        <v>0</v>
      </c>
      <c r="G109" s="165">
        <f t="shared" ref="G109:P109" si="265">(G108*0.17)+G108</f>
        <v>4.0949999999999998</v>
      </c>
      <c r="H109" s="165">
        <f t="shared" si="265"/>
        <v>8.19</v>
      </c>
      <c r="I109" s="165">
        <f t="shared" si="265"/>
        <v>8.6346000000000007</v>
      </c>
      <c r="J109" s="165">
        <f t="shared" si="265"/>
        <v>8.6346000000000007</v>
      </c>
      <c r="K109" s="165">
        <f t="shared" si="265"/>
        <v>10.26207</v>
      </c>
      <c r="L109" s="165">
        <f t="shared" si="265"/>
        <v>18.041399999999999</v>
      </c>
      <c r="M109" s="165">
        <f t="shared" si="265"/>
        <v>31.098599999999998</v>
      </c>
      <c r="N109" s="165">
        <f t="shared" si="265"/>
        <v>20.723040000000001</v>
      </c>
      <c r="O109" s="165">
        <f t="shared" si="265"/>
        <v>20.723040000000001</v>
      </c>
      <c r="P109" s="165">
        <f t="shared" si="265"/>
        <v>34.538400000000003</v>
      </c>
      <c r="Q109" s="118">
        <f t="shared" si="216"/>
        <v>0.267343251333237</v>
      </c>
      <c r="R109" s="20"/>
      <c r="S109" s="165">
        <f t="shared" ref="S109:AB109" si="266">(S108*0.17)+S108</f>
        <v>38.078586000000008</v>
      </c>
      <c r="T109" s="165">
        <f t="shared" si="266"/>
        <v>41.981641065000012</v>
      </c>
      <c r="U109" s="165">
        <f t="shared" si="266"/>
        <v>46.284759274162518</v>
      </c>
      <c r="V109" s="165">
        <f t="shared" si="266"/>
        <v>51.028947099764181</v>
      </c>
      <c r="W109" s="165">
        <f t="shared" si="266"/>
        <v>56.259414177490029</v>
      </c>
      <c r="X109" s="165">
        <f t="shared" si="266"/>
        <v>62.026004130682757</v>
      </c>
      <c r="Y109" s="165">
        <f t="shared" si="266"/>
        <v>68.383669554077755</v>
      </c>
      <c r="Z109" s="165">
        <f t="shared" si="266"/>
        <v>75.392995683370728</v>
      </c>
      <c r="AA109" s="165">
        <f t="shared" si="266"/>
        <v>83.120777740916211</v>
      </c>
      <c r="AB109" s="165">
        <f t="shared" si="266"/>
        <v>91.640657459360128</v>
      </c>
      <c r="AC109" s="138">
        <f t="shared" si="218"/>
        <v>0.17772504320036298</v>
      </c>
      <c r="AD109" s="20"/>
      <c r="AE109" s="20"/>
    </row>
    <row r="110" spans="2:31" x14ac:dyDescent="0.2">
      <c r="B110" s="20" t="s">
        <v>336</v>
      </c>
      <c r="C110" s="20"/>
      <c r="D110" s="20"/>
      <c r="E110" s="20"/>
      <c r="F110" s="152" t="e">
        <f t="shared" ref="F110:P110" si="267">F109/F40</f>
        <v>#DIV/0!</v>
      </c>
      <c r="G110" s="152">
        <f t="shared" si="267"/>
        <v>0.15166666666666664</v>
      </c>
      <c r="H110" s="152">
        <f t="shared" si="267"/>
        <v>0.19046511627906976</v>
      </c>
      <c r="I110" s="152">
        <f t="shared" si="267"/>
        <v>0.13284000000000001</v>
      </c>
      <c r="J110" s="152">
        <f t="shared" si="267"/>
        <v>8.54910891089109E-2</v>
      </c>
      <c r="K110" s="152">
        <f t="shared" si="267"/>
        <v>4.9815873786407762E-2</v>
      </c>
      <c r="L110" s="152">
        <f t="shared" si="267"/>
        <v>0.20737241379310345</v>
      </c>
      <c r="M110" s="152">
        <f t="shared" si="267"/>
        <v>0.16113264248704662</v>
      </c>
      <c r="N110" s="152">
        <f t="shared" si="267"/>
        <v>8.3560645161290331E-2</v>
      </c>
      <c r="O110" s="152">
        <f t="shared" si="267"/>
        <v>5.029864077669903E-2</v>
      </c>
      <c r="P110" s="152">
        <f t="shared" si="267"/>
        <v>7.6412389380530979E-2</v>
      </c>
      <c r="Q110" s="118">
        <f t="shared" si="216"/>
        <v>-7.3342397520282487E-2</v>
      </c>
      <c r="R110" s="20"/>
      <c r="S110" s="152">
        <f t="shared" ref="S110:AB110" si="268">S109/S40</f>
        <v>7.5218445796460184E-2</v>
      </c>
      <c r="T110" s="152">
        <f t="shared" si="268"/>
        <v>7.4043157580890501E-2</v>
      </c>
      <c r="U110" s="152">
        <f t="shared" si="268"/>
        <v>7.2886233243689091E-2</v>
      </c>
      <c r="V110" s="152">
        <f t="shared" si="268"/>
        <v>7.1747385849256454E-2</v>
      </c>
      <c r="W110" s="152">
        <f t="shared" si="268"/>
        <v>7.062633294536183E-2</v>
      </c>
      <c r="X110" s="152">
        <f t="shared" si="268"/>
        <v>6.9522796493090552E-2</v>
      </c>
      <c r="Y110" s="152">
        <f t="shared" si="268"/>
        <v>6.8436502797886017E-2</v>
      </c>
      <c r="Z110" s="152">
        <f t="shared" si="268"/>
        <v>6.7367182441669046E-2</v>
      </c>
      <c r="AA110" s="152">
        <f t="shared" si="268"/>
        <v>6.6314570216017943E-2</v>
      </c>
      <c r="AB110" s="152">
        <f t="shared" si="268"/>
        <v>6.5278405056392666E-2</v>
      </c>
      <c r="AC110" s="138">
        <f t="shared" si="218"/>
        <v>-4.3399740473857085E-2</v>
      </c>
      <c r="AD110" s="20"/>
      <c r="AE110" s="20"/>
    </row>
    <row r="111" spans="2:31" x14ac:dyDescent="0.2">
      <c r="B111" s="20" t="s">
        <v>329</v>
      </c>
      <c r="C111" s="20"/>
      <c r="D111" s="20"/>
      <c r="E111" s="20"/>
      <c r="F111" s="152" t="e">
        <f>1-F110</f>
        <v>#DIV/0!</v>
      </c>
      <c r="G111" s="152">
        <f>1-G110</f>
        <v>0.84833333333333338</v>
      </c>
      <c r="H111" s="152">
        <f t="shared" ref="H111:P111" si="269">1-H110</f>
        <v>0.80953488372093019</v>
      </c>
      <c r="I111" s="152">
        <f t="shared" si="269"/>
        <v>0.86715999999999993</v>
      </c>
      <c r="J111" s="152">
        <f t="shared" si="269"/>
        <v>0.9145089108910891</v>
      </c>
      <c r="K111" s="152">
        <f t="shared" si="269"/>
        <v>0.95018412621359227</v>
      </c>
      <c r="L111" s="152">
        <f t="shared" si="269"/>
        <v>0.79262758620689655</v>
      </c>
      <c r="M111" s="152">
        <f t="shared" si="269"/>
        <v>0.83886735751295338</v>
      </c>
      <c r="N111" s="152">
        <f t="shared" si="269"/>
        <v>0.91643935483870964</v>
      </c>
      <c r="O111" s="152">
        <f t="shared" si="269"/>
        <v>0.94970135922330101</v>
      </c>
      <c r="P111" s="152">
        <f t="shared" si="269"/>
        <v>0.92358761061946903</v>
      </c>
      <c r="Q111" s="118">
        <f t="shared" si="216"/>
        <v>9.4882891847809514E-3</v>
      </c>
      <c r="R111" s="20"/>
      <c r="S111" s="152">
        <f t="shared" ref="S111:AB111" si="270">1-S110</f>
        <v>0.9247815542035398</v>
      </c>
      <c r="T111" s="152">
        <f t="shared" si="270"/>
        <v>0.92595684241910947</v>
      </c>
      <c r="U111" s="152">
        <f t="shared" si="270"/>
        <v>0.92711376675631096</v>
      </c>
      <c r="V111" s="152">
        <f t="shared" si="270"/>
        <v>0.92825261415074356</v>
      </c>
      <c r="W111" s="152">
        <f t="shared" si="270"/>
        <v>0.9293736670546382</v>
      </c>
      <c r="X111" s="152">
        <f t="shared" si="270"/>
        <v>0.93047720350690943</v>
      </c>
      <c r="Y111" s="152">
        <f t="shared" si="270"/>
        <v>0.93156349720211395</v>
      </c>
      <c r="Z111" s="152">
        <f t="shared" si="270"/>
        <v>0.93263281755833094</v>
      </c>
      <c r="AA111" s="152">
        <f t="shared" si="270"/>
        <v>0.93368542978398206</v>
      </c>
      <c r="AB111" s="152">
        <f t="shared" si="270"/>
        <v>0.93472159494360729</v>
      </c>
      <c r="AC111" s="138">
        <f t="shared" si="218"/>
        <v>5.1169992038904155E-3</v>
      </c>
      <c r="AD111" s="20"/>
      <c r="AE111" s="20"/>
    </row>
    <row r="112" spans="2:31" x14ac:dyDescent="0.2">
      <c r="B112" s="20"/>
      <c r="C112" s="20"/>
      <c r="D112" s="20"/>
      <c r="E112" s="20"/>
      <c r="F112" s="20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28"/>
      <c r="R112" s="20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28"/>
      <c r="AD112" s="20"/>
      <c r="AE112" s="20"/>
    </row>
    <row r="113" spans="2:31" x14ac:dyDescent="0.2">
      <c r="B113" s="20" t="s">
        <v>333</v>
      </c>
      <c r="C113" s="152"/>
      <c r="D113" s="152"/>
      <c r="E113" s="152"/>
      <c r="F113" s="152" t="e">
        <f>F31/F25</f>
        <v>#DIV/0!</v>
      </c>
      <c r="G113" s="152">
        <f>G31/G25</f>
        <v>0</v>
      </c>
      <c r="H113" s="152">
        <f t="shared" ref="H113:P113" si="271">H31/H25</f>
        <v>0</v>
      </c>
      <c r="I113" s="152">
        <f t="shared" si="271"/>
        <v>0</v>
      </c>
      <c r="J113" s="152">
        <f t="shared" si="271"/>
        <v>0</v>
      </c>
      <c r="K113" s="152">
        <f t="shared" si="271"/>
        <v>0</v>
      </c>
      <c r="L113" s="152">
        <f t="shared" si="271"/>
        <v>0</v>
      </c>
      <c r="M113" s="152">
        <f t="shared" si="271"/>
        <v>0</v>
      </c>
      <c r="N113" s="152">
        <f t="shared" si="271"/>
        <v>0</v>
      </c>
      <c r="O113" s="152">
        <f t="shared" si="271"/>
        <v>0</v>
      </c>
      <c r="P113" s="152">
        <f t="shared" si="271"/>
        <v>0</v>
      </c>
      <c r="Q113" s="118" t="e">
        <f t="shared" si="216"/>
        <v>#DIV/0!</v>
      </c>
      <c r="R113" s="20"/>
      <c r="S113" s="152">
        <f t="shared" ref="S113:AB113" si="272">S31/S25</f>
        <v>0</v>
      </c>
      <c r="T113" s="152">
        <f t="shared" si="272"/>
        <v>0</v>
      </c>
      <c r="U113" s="152">
        <f t="shared" si="272"/>
        <v>0</v>
      </c>
      <c r="V113" s="152">
        <f t="shared" si="272"/>
        <v>0</v>
      </c>
      <c r="W113" s="152">
        <f t="shared" si="272"/>
        <v>0</v>
      </c>
      <c r="X113" s="152">
        <f t="shared" si="272"/>
        <v>0</v>
      </c>
      <c r="Y113" s="152">
        <f t="shared" si="272"/>
        <v>0</v>
      </c>
      <c r="Z113" s="152">
        <f t="shared" si="272"/>
        <v>0</v>
      </c>
      <c r="AA113" s="152">
        <f t="shared" si="272"/>
        <v>0</v>
      </c>
      <c r="AB113" s="152">
        <f t="shared" si="272"/>
        <v>0</v>
      </c>
      <c r="AC113" s="138" t="e">
        <f t="shared" si="218"/>
        <v>#DIV/0!</v>
      </c>
      <c r="AD113" s="20"/>
      <c r="AE113" s="20"/>
    </row>
    <row r="114" spans="2:31" x14ac:dyDescent="0.2">
      <c r="B114" s="20" t="s">
        <v>330</v>
      </c>
      <c r="C114" s="152"/>
      <c r="D114" s="152"/>
      <c r="E114" s="152"/>
      <c r="F114" s="152" t="e">
        <f>F32/F25</f>
        <v>#DIV/0!</v>
      </c>
      <c r="G114" s="152">
        <f>G32/G25</f>
        <v>0</v>
      </c>
      <c r="H114" s="152">
        <f t="shared" ref="H114:P114" si="273">H32/H25</f>
        <v>0</v>
      </c>
      <c r="I114" s="152">
        <f t="shared" si="273"/>
        <v>0</v>
      </c>
      <c r="J114" s="152">
        <f t="shared" si="273"/>
        <v>0</v>
      </c>
      <c r="K114" s="152">
        <f t="shared" si="273"/>
        <v>0</v>
      </c>
      <c r="L114" s="152">
        <f t="shared" si="273"/>
        <v>0</v>
      </c>
      <c r="M114" s="152">
        <f t="shared" si="273"/>
        <v>0</v>
      </c>
      <c r="N114" s="152">
        <f t="shared" si="273"/>
        <v>0</v>
      </c>
      <c r="O114" s="152">
        <f t="shared" si="273"/>
        <v>0</v>
      </c>
      <c r="P114" s="152">
        <f t="shared" si="273"/>
        <v>0</v>
      </c>
      <c r="Q114" s="118" t="e">
        <f t="shared" si="216"/>
        <v>#DIV/0!</v>
      </c>
      <c r="R114" s="20"/>
      <c r="S114" s="152">
        <f t="shared" ref="S114:AB114" si="274">S32/S25</f>
        <v>0</v>
      </c>
      <c r="T114" s="152">
        <f t="shared" si="274"/>
        <v>0</v>
      </c>
      <c r="U114" s="152">
        <f t="shared" si="274"/>
        <v>0</v>
      </c>
      <c r="V114" s="152">
        <f t="shared" si="274"/>
        <v>0</v>
      </c>
      <c r="W114" s="152">
        <f t="shared" si="274"/>
        <v>0</v>
      </c>
      <c r="X114" s="152">
        <f t="shared" si="274"/>
        <v>0</v>
      </c>
      <c r="Y114" s="152">
        <f t="shared" si="274"/>
        <v>0</v>
      </c>
      <c r="Z114" s="152">
        <f t="shared" si="274"/>
        <v>0</v>
      </c>
      <c r="AA114" s="152">
        <f t="shared" si="274"/>
        <v>0</v>
      </c>
      <c r="AB114" s="152">
        <f t="shared" si="274"/>
        <v>0</v>
      </c>
      <c r="AC114" s="138" t="e">
        <f t="shared" si="218"/>
        <v>#DIV/0!</v>
      </c>
      <c r="AD114" s="20"/>
      <c r="AE114" s="20"/>
    </row>
    <row r="115" spans="2:31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28"/>
      <c r="R115" s="20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28"/>
      <c r="AD115" s="20"/>
      <c r="AE115" s="20"/>
    </row>
    <row r="116" spans="2:31" x14ac:dyDescent="0.2">
      <c r="B116" s="20" t="s">
        <v>354</v>
      </c>
      <c r="C116" s="20"/>
      <c r="D116" s="20"/>
      <c r="E116" s="20"/>
      <c r="F116" s="20"/>
      <c r="G116" s="152">
        <f>G27/G25</f>
        <v>0.98767034393251141</v>
      </c>
      <c r="H116" s="152">
        <f t="shared" ref="H116:P116" si="275">H27/H25</f>
        <v>0.9789574366331899</v>
      </c>
      <c r="I116" s="152">
        <f t="shared" si="275"/>
        <v>0.97972730534625041</v>
      </c>
      <c r="J116" s="152">
        <f t="shared" si="275"/>
        <v>0.96812155519141962</v>
      </c>
      <c r="K116" s="152">
        <f t="shared" si="275"/>
        <v>0.95595526346131676</v>
      </c>
      <c r="L116" s="152">
        <f t="shared" si="275"/>
        <v>0.97996025173898638</v>
      </c>
      <c r="M116" s="152">
        <f t="shared" si="275"/>
        <v>0.98379358140526707</v>
      </c>
      <c r="N116" s="152">
        <f t="shared" si="275"/>
        <v>0.97897061647781836</v>
      </c>
      <c r="O116" s="152">
        <f t="shared" si="275"/>
        <v>0.96893617021276601</v>
      </c>
      <c r="P116" s="152">
        <f t="shared" si="275"/>
        <v>0.97467016779812987</v>
      </c>
      <c r="Q116" s="118">
        <f t="shared" si="216"/>
        <v>-1.471123253122486E-3</v>
      </c>
      <c r="R116" s="20"/>
      <c r="S116" s="152">
        <f t="shared" ref="S116:AB116" si="276">S27/S25</f>
        <v>0.97467016779812998</v>
      </c>
      <c r="T116" s="152">
        <f t="shared" si="276"/>
        <v>0.97467016779812987</v>
      </c>
      <c r="U116" s="152">
        <f t="shared" si="276"/>
        <v>0.97467016779812976</v>
      </c>
      <c r="V116" s="152">
        <f t="shared" si="276"/>
        <v>0.97467016779812987</v>
      </c>
      <c r="W116" s="152">
        <f t="shared" si="276"/>
        <v>0.97467016779812987</v>
      </c>
      <c r="X116" s="152">
        <f t="shared" si="276"/>
        <v>0.97467016779812987</v>
      </c>
      <c r="Y116" s="152">
        <f t="shared" si="276"/>
        <v>0.97467016779812998</v>
      </c>
      <c r="Z116" s="152">
        <f t="shared" si="276"/>
        <v>0.97467016779812987</v>
      </c>
      <c r="AA116" s="152">
        <f t="shared" si="276"/>
        <v>0.97467016779812987</v>
      </c>
      <c r="AB116" s="152">
        <f t="shared" si="276"/>
        <v>0.97467016779812987</v>
      </c>
      <c r="AC116" s="138">
        <f t="shared" si="218"/>
        <v>-6.9711783492354407E-4</v>
      </c>
      <c r="AD116" s="20"/>
      <c r="AE116" s="20"/>
    </row>
    <row r="117" spans="2:31" x14ac:dyDescent="0.2">
      <c r="B117" s="20" t="str">
        <f>B33</f>
        <v>Top Expenses ( Raw material )</v>
      </c>
      <c r="C117" s="20"/>
      <c r="D117" s="20"/>
      <c r="E117" s="20"/>
      <c r="F117" s="20"/>
      <c r="G117" s="152">
        <f>G33/G25</f>
        <v>0.9850746268656716</v>
      </c>
      <c r="H117" s="152">
        <f t="shared" ref="H117:P117" si="277">H33/H25</f>
        <v>0.96293639406982301</v>
      </c>
      <c r="I117" s="152">
        <f t="shared" si="277"/>
        <v>0.97811266594904911</v>
      </c>
      <c r="J117" s="152">
        <f t="shared" si="277"/>
        <v>0.96678087293311488</v>
      </c>
      <c r="K117" s="152">
        <f t="shared" si="277"/>
        <v>0.94995964487489915</v>
      </c>
      <c r="L117" s="152">
        <f t="shared" si="277"/>
        <v>0.97631666114607485</v>
      </c>
      <c r="M117" s="152">
        <f t="shared" si="277"/>
        <v>0.98187440025589079</v>
      </c>
      <c r="N117" s="152">
        <f t="shared" si="277"/>
        <v>0.97412137507201846</v>
      </c>
      <c r="O117" s="152">
        <f t="shared" si="277"/>
        <v>0.96727272727272728</v>
      </c>
      <c r="P117" s="152">
        <f t="shared" si="277"/>
        <v>0.97380555911361599</v>
      </c>
      <c r="Q117" s="118">
        <f t="shared" si="216"/>
        <v>-1.2775997518925664E-3</v>
      </c>
      <c r="R117" s="20"/>
      <c r="S117" s="152">
        <f t="shared" ref="S117:AB117" si="278">S33/S25</f>
        <v>0.9738055591136161</v>
      </c>
      <c r="T117" s="152">
        <f t="shared" si="278"/>
        <v>0.9738055591136161</v>
      </c>
      <c r="U117" s="152">
        <f t="shared" si="278"/>
        <v>0.97380555911361599</v>
      </c>
      <c r="V117" s="152">
        <f t="shared" si="278"/>
        <v>0.9738055591136161</v>
      </c>
      <c r="W117" s="152">
        <f t="shared" si="278"/>
        <v>0.97380555911361621</v>
      </c>
      <c r="X117" s="152">
        <f t="shared" si="278"/>
        <v>0.9738055591136161</v>
      </c>
      <c r="Y117" s="152">
        <f t="shared" si="278"/>
        <v>0.97380555911361621</v>
      </c>
      <c r="Z117" s="152">
        <f t="shared" si="278"/>
        <v>0.9738055591136161</v>
      </c>
      <c r="AA117" s="152">
        <f t="shared" si="278"/>
        <v>0.9738055591136161</v>
      </c>
      <c r="AB117" s="152">
        <f t="shared" si="278"/>
        <v>0.97380555911361599</v>
      </c>
      <c r="AC117" s="138">
        <f t="shared" si="218"/>
        <v>-6.053824296593513E-4</v>
      </c>
      <c r="AD117" s="20"/>
      <c r="AE117" s="20"/>
    </row>
    <row r="118" spans="2:31" x14ac:dyDescent="0.2">
      <c r="B118" s="20" t="str">
        <f>B34</f>
        <v>2nd highest Expenses Comp. ( Empl )</v>
      </c>
      <c r="C118" s="20"/>
      <c r="D118" s="20"/>
      <c r="E118" s="20"/>
      <c r="F118" s="20"/>
      <c r="G118" s="152">
        <f>G34/G25</f>
        <v>9.7339390006489297E-4</v>
      </c>
      <c r="H118" s="152">
        <f t="shared" ref="H118:P118" si="279">H34/H25</f>
        <v>9.5648015303682454E-4</v>
      </c>
      <c r="I118" s="152">
        <f t="shared" si="279"/>
        <v>8.9702188733405098E-4</v>
      </c>
      <c r="J118" s="152">
        <f t="shared" si="279"/>
        <v>5.9585878146879191E-4</v>
      </c>
      <c r="K118" s="152">
        <f t="shared" si="279"/>
        <v>5.7650178715554017E-4</v>
      </c>
      <c r="L118" s="152">
        <f t="shared" si="279"/>
        <v>3.3123550844650548E-4</v>
      </c>
      <c r="M118" s="152">
        <f t="shared" si="279"/>
        <v>2.6655293741337032E-4</v>
      </c>
      <c r="N118" s="152">
        <f t="shared" si="279"/>
        <v>2.4006145573266755E-4</v>
      </c>
      <c r="O118" s="152">
        <f t="shared" si="279"/>
        <v>7.3500967117988392E-4</v>
      </c>
      <c r="P118" s="152">
        <f t="shared" si="279"/>
        <v>2.2415780709619573E-4</v>
      </c>
      <c r="Q118" s="118">
        <f t="shared" si="216"/>
        <v>-0.15054459664882536</v>
      </c>
      <c r="R118" s="20"/>
      <c r="S118" s="152">
        <f t="shared" ref="S118:AB118" si="280">S34/S25</f>
        <v>2.2415780709619573E-4</v>
      </c>
      <c r="T118" s="152">
        <f t="shared" si="280"/>
        <v>2.2415780709619571E-4</v>
      </c>
      <c r="U118" s="152">
        <f t="shared" si="280"/>
        <v>2.2415780709619568E-4</v>
      </c>
      <c r="V118" s="152">
        <f t="shared" si="280"/>
        <v>2.2415780709619568E-4</v>
      </c>
      <c r="W118" s="152">
        <f t="shared" si="280"/>
        <v>2.2415780709619568E-4</v>
      </c>
      <c r="X118" s="152">
        <f t="shared" si="280"/>
        <v>2.2415780709619568E-4</v>
      </c>
      <c r="Y118" s="152">
        <f t="shared" si="280"/>
        <v>2.2415780709619568E-4</v>
      </c>
      <c r="Z118" s="152">
        <f t="shared" si="280"/>
        <v>2.2415780709619565E-4</v>
      </c>
      <c r="AA118" s="152">
        <f t="shared" si="280"/>
        <v>2.2415780709619565E-4</v>
      </c>
      <c r="AB118" s="152">
        <f t="shared" si="280"/>
        <v>2.2415780709619562E-4</v>
      </c>
      <c r="AC118" s="138">
        <f t="shared" si="218"/>
        <v>-7.4375133764081558E-2</v>
      </c>
      <c r="AD118" s="20"/>
      <c r="AE118" s="20"/>
    </row>
    <row r="119" spans="2:3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8"/>
      <c r="R119" s="128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39"/>
      <c r="AD119" s="20"/>
      <c r="AE119" s="20"/>
    </row>
    <row r="120" spans="2:31" x14ac:dyDescent="0.2">
      <c r="B120" s="108" t="s">
        <v>362</v>
      </c>
      <c r="C120" s="20"/>
      <c r="D120" s="20"/>
      <c r="E120" s="20"/>
      <c r="F120" s="20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118"/>
      <c r="R120" s="128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138"/>
      <c r="AD120" s="20"/>
      <c r="AE120" s="20"/>
    </row>
    <row r="121" spans="2:31" x14ac:dyDescent="0.2">
      <c r="B121" s="20" t="s">
        <v>365</v>
      </c>
      <c r="C121" s="20"/>
      <c r="D121" s="20"/>
      <c r="E121" s="20"/>
      <c r="F121" s="20"/>
      <c r="G121" s="25">
        <f>G15/G9</f>
        <v>4.0289855072463769</v>
      </c>
      <c r="H121" s="25">
        <f t="shared" ref="H121:AB121" si="281">H15/H9</f>
        <v>4.0238095238095237</v>
      </c>
      <c r="I121" s="25">
        <f t="shared" si="281"/>
        <v>1.8485915492957747</v>
      </c>
      <c r="J121" s="25">
        <f t="shared" si="281"/>
        <v>2.0263947210557887</v>
      </c>
      <c r="K121" s="25">
        <f t="shared" si="281"/>
        <v>1.3031264159492524</v>
      </c>
      <c r="L121" s="25">
        <f t="shared" si="281"/>
        <v>0.15769984752777172</v>
      </c>
      <c r="M121" s="25">
        <f t="shared" si="281"/>
        <v>0.23834390152928012</v>
      </c>
      <c r="N121" s="25">
        <f t="shared" si="281"/>
        <v>0.33057075840500388</v>
      </c>
      <c r="O121" s="25">
        <f t="shared" si="281"/>
        <v>1.6585912965455361</v>
      </c>
      <c r="P121" s="25">
        <f t="shared" si="281"/>
        <v>1.5005793742757823</v>
      </c>
      <c r="Q121" s="118">
        <f t="shared" si="216"/>
        <v>-0.10393324869728171</v>
      </c>
      <c r="R121" s="20"/>
      <c r="S121" s="20">
        <f t="shared" si="281"/>
        <v>1.5005793742757823</v>
      </c>
      <c r="T121" s="20">
        <f t="shared" si="281"/>
        <v>1.5005793742757823</v>
      </c>
      <c r="U121" s="20">
        <f t="shared" si="281"/>
        <v>1.5005793742757823</v>
      </c>
      <c r="V121" s="20">
        <f t="shared" si="281"/>
        <v>1.5005793742757823</v>
      </c>
      <c r="W121" s="20">
        <f t="shared" si="281"/>
        <v>1.5005793742757823</v>
      </c>
      <c r="X121" s="20">
        <f t="shared" si="281"/>
        <v>1.5005793742757823</v>
      </c>
      <c r="Y121" s="20">
        <f t="shared" si="281"/>
        <v>1.5005793742757823</v>
      </c>
      <c r="Z121" s="20">
        <f t="shared" si="281"/>
        <v>1.5005793742757825</v>
      </c>
      <c r="AA121" s="20">
        <f t="shared" si="281"/>
        <v>1.5005793742757823</v>
      </c>
      <c r="AB121" s="20">
        <f t="shared" si="281"/>
        <v>1.5005793742757825</v>
      </c>
      <c r="AC121" s="138">
        <f t="shared" si="218"/>
        <v>-5.0654311202495417E-2</v>
      </c>
      <c r="AD121" s="20"/>
      <c r="AE121" s="20"/>
    </row>
    <row r="122" spans="2:31" x14ac:dyDescent="0.2">
      <c r="B122" s="20" t="s">
        <v>355</v>
      </c>
      <c r="C122" s="20"/>
      <c r="D122" s="20"/>
      <c r="E122" s="20"/>
      <c r="F122" s="20"/>
      <c r="G122" s="25">
        <f>G12/G9</f>
        <v>2.1014492753623188</v>
      </c>
      <c r="H122" s="25">
        <f t="shared" ref="H122:P122" si="282">H12/H9</f>
        <v>13.928571428571429</v>
      </c>
      <c r="I122" s="25">
        <f t="shared" si="282"/>
        <v>4.26056338028169</v>
      </c>
      <c r="J122" s="25">
        <f t="shared" si="282"/>
        <v>1.7288542291541691</v>
      </c>
      <c r="K122" s="25">
        <f t="shared" si="282"/>
        <v>1.1327594019030358</v>
      </c>
      <c r="L122" s="25">
        <f t="shared" si="282"/>
        <v>1.206055325637116</v>
      </c>
      <c r="M122" s="25">
        <f t="shared" si="282"/>
        <v>1.2407683700111898</v>
      </c>
      <c r="N122" s="25">
        <f t="shared" si="282"/>
        <v>1.2197028928850664</v>
      </c>
      <c r="O122" s="25">
        <f t="shared" si="282"/>
        <v>1.1745177209510991</v>
      </c>
      <c r="P122" s="25">
        <f t="shared" si="282"/>
        <v>1.1407879490150636</v>
      </c>
      <c r="Q122" s="118">
        <f t="shared" si="216"/>
        <v>-6.5626165808556514E-2</v>
      </c>
      <c r="R122" s="128"/>
      <c r="S122" s="20">
        <f t="shared" ref="S122:AB122" si="283">S12/S9</f>
        <v>1.1407879490150639</v>
      </c>
      <c r="T122" s="20">
        <f t="shared" si="283"/>
        <v>1.1407879490150639</v>
      </c>
      <c r="U122" s="20">
        <f t="shared" si="283"/>
        <v>1.1407879490150639</v>
      </c>
      <c r="V122" s="20">
        <f t="shared" si="283"/>
        <v>1.1407879490150639</v>
      </c>
      <c r="W122" s="20">
        <f t="shared" si="283"/>
        <v>1.1407879490150639</v>
      </c>
      <c r="X122" s="20">
        <f t="shared" si="283"/>
        <v>1.1407879490150639</v>
      </c>
      <c r="Y122" s="20">
        <f t="shared" si="283"/>
        <v>1.1407879490150641</v>
      </c>
      <c r="Z122" s="20">
        <f t="shared" si="283"/>
        <v>1.1407879490150639</v>
      </c>
      <c r="AA122" s="20">
        <f t="shared" si="283"/>
        <v>1.1407879490150641</v>
      </c>
      <c r="AB122" s="20">
        <f t="shared" si="283"/>
        <v>1.1407879490150641</v>
      </c>
      <c r="AC122" s="118">
        <f t="shared" ref="AC122" si="284">((AB122/S122)^(1/($H$2-$H$1) ))-1</f>
        <v>0</v>
      </c>
      <c r="AD122" s="20"/>
      <c r="AE122" s="20"/>
    </row>
    <row r="123" spans="2:31" x14ac:dyDescent="0.2">
      <c r="B123" s="20" t="s">
        <v>357</v>
      </c>
      <c r="C123" s="20"/>
      <c r="D123" s="20"/>
      <c r="E123" s="20"/>
      <c r="F123" s="20"/>
      <c r="G123" s="25">
        <f>G25/360</f>
        <v>8.5611111111111118</v>
      </c>
      <c r="H123" s="25">
        <f t="shared" ref="H123:P123" si="285">H25/360</f>
        <v>11.616666666666667</v>
      </c>
      <c r="I123" s="25">
        <f t="shared" si="285"/>
        <v>15.483333333333333</v>
      </c>
      <c r="J123" s="25">
        <f t="shared" si="285"/>
        <v>18.647222222222222</v>
      </c>
      <c r="K123" s="25">
        <f t="shared" si="285"/>
        <v>24.091666666666665</v>
      </c>
      <c r="L123" s="25">
        <f t="shared" si="285"/>
        <v>33.544444444444444</v>
      </c>
      <c r="M123" s="25">
        <f t="shared" si="285"/>
        <v>52.105555555555554</v>
      </c>
      <c r="N123" s="25">
        <f t="shared" si="285"/>
        <v>57.855555555555554</v>
      </c>
      <c r="O123" s="25">
        <f t="shared" si="285"/>
        <v>71.805555555555557</v>
      </c>
      <c r="P123" s="25">
        <f t="shared" si="285"/>
        <v>86.74444444444444</v>
      </c>
      <c r="Q123" s="118">
        <f t="shared" si="216"/>
        <v>0.29343832847743601</v>
      </c>
      <c r="R123" s="128"/>
      <c r="S123" s="25">
        <f t="shared" ref="S123:AB123" si="286">S25/360</f>
        <v>97.153777777777776</v>
      </c>
      <c r="T123" s="25">
        <f t="shared" si="286"/>
        <v>108.81223111111113</v>
      </c>
      <c r="U123" s="25">
        <f t="shared" si="286"/>
        <v>121.86969884444449</v>
      </c>
      <c r="V123" s="25">
        <f t="shared" si="286"/>
        <v>136.49406270577782</v>
      </c>
      <c r="W123" s="25">
        <f t="shared" si="286"/>
        <v>152.87335023047117</v>
      </c>
      <c r="X123" s="25">
        <f t="shared" si="286"/>
        <v>171.21815225812773</v>
      </c>
      <c r="Y123" s="25">
        <f t="shared" si="286"/>
        <v>191.76433052910309</v>
      </c>
      <c r="Z123" s="25">
        <f t="shared" si="286"/>
        <v>214.77605019259548</v>
      </c>
      <c r="AA123" s="25">
        <f t="shared" si="286"/>
        <v>240.54917621570695</v>
      </c>
      <c r="AB123" s="25">
        <f t="shared" si="286"/>
        <v>269.41507736159184</v>
      </c>
      <c r="AC123" s="118">
        <f t="shared" ref="AC123:AC134" si="287">((AB123/S123)^(1/($H$2-$H$1) ))-1</f>
        <v>0.12000000000000011</v>
      </c>
      <c r="AD123" s="20"/>
      <c r="AE123" s="20"/>
    </row>
    <row r="124" spans="2:31" x14ac:dyDescent="0.2">
      <c r="B124" s="20" t="s">
        <v>356</v>
      </c>
      <c r="C124" s="20"/>
      <c r="D124" s="20"/>
      <c r="E124" s="20"/>
      <c r="F124" s="20"/>
      <c r="G124" s="25">
        <f>G27/360</f>
        <v>8.4555555555555557</v>
      </c>
      <c r="H124" s="25">
        <f t="shared" ref="H124:P124" si="288">H27/360</f>
        <v>11.372222222222222</v>
      </c>
      <c r="I124" s="25">
        <f t="shared" si="288"/>
        <v>15.169444444444444</v>
      </c>
      <c r="J124" s="25">
        <f t="shared" si="288"/>
        <v>18.052777777777777</v>
      </c>
      <c r="K124" s="25">
        <f t="shared" si="288"/>
        <v>23.030555555555555</v>
      </c>
      <c r="L124" s="25">
        <f t="shared" si="288"/>
        <v>32.87222222222222</v>
      </c>
      <c r="M124" s="25">
        <f t="shared" si="288"/>
        <v>51.261111111111113</v>
      </c>
      <c r="N124" s="25">
        <f t="shared" si="288"/>
        <v>56.638888888888886</v>
      </c>
      <c r="O124" s="25">
        <f t="shared" si="288"/>
        <v>69.575000000000003</v>
      </c>
      <c r="P124" s="25">
        <f t="shared" si="288"/>
        <v>84.547222222222217</v>
      </c>
      <c r="Q124" s="118">
        <f t="shared" si="216"/>
        <v>0.29153552127593274</v>
      </c>
      <c r="R124" s="128"/>
      <c r="S124" s="25">
        <f t="shared" ref="S124:AB124" si="289">S27/360</f>
        <v>94.692888888888902</v>
      </c>
      <c r="T124" s="25">
        <f t="shared" si="289"/>
        <v>106.05603555555558</v>
      </c>
      <c r="U124" s="25">
        <f t="shared" si="289"/>
        <v>118.78275982222226</v>
      </c>
      <c r="V124" s="25">
        <f t="shared" si="289"/>
        <v>133.03669100088894</v>
      </c>
      <c r="W124" s="25">
        <f t="shared" si="289"/>
        <v>149.00109392099563</v>
      </c>
      <c r="X124" s="25">
        <f t="shared" si="289"/>
        <v>166.88122519151511</v>
      </c>
      <c r="Y124" s="25">
        <f t="shared" si="289"/>
        <v>186.90697221449696</v>
      </c>
      <c r="Z124" s="25">
        <f t="shared" si="289"/>
        <v>209.33580888023658</v>
      </c>
      <c r="AA124" s="25">
        <f t="shared" si="289"/>
        <v>234.456105945865</v>
      </c>
      <c r="AB124" s="25">
        <f t="shared" si="289"/>
        <v>262.59083865936884</v>
      </c>
      <c r="AC124" s="118">
        <f t="shared" si="287"/>
        <v>0.12000000000000011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12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128"/>
      <c r="AD125" s="20"/>
      <c r="AE125" s="20"/>
    </row>
    <row r="126" spans="2:31" x14ac:dyDescent="0.2">
      <c r="B126" s="20" t="s">
        <v>366</v>
      </c>
      <c r="C126" s="20"/>
      <c r="D126" s="20"/>
      <c r="E126" s="20"/>
      <c r="F126" s="20"/>
      <c r="G126" s="25">
        <f>G10/G7</f>
        <v>2.5929203539823007</v>
      </c>
      <c r="H126" s="25">
        <f t="shared" ref="H126:P126" si="290">H10/H7</f>
        <v>4.3378378378378377</v>
      </c>
      <c r="I126" s="25">
        <f t="shared" si="290"/>
        <v>5.6949152542372881</v>
      </c>
      <c r="J126" s="25">
        <f t="shared" si="290"/>
        <v>10.754045307443366</v>
      </c>
      <c r="K126" s="25">
        <f t="shared" si="290"/>
        <v>1.229404309252218</v>
      </c>
      <c r="L126" s="25">
        <f t="shared" si="290"/>
        <v>2.1334792122538295</v>
      </c>
      <c r="M126" s="25">
        <f t="shared" si="290"/>
        <v>1.8234265734265733</v>
      </c>
      <c r="N126" s="25">
        <f t="shared" si="290"/>
        <v>1.5852130325814537</v>
      </c>
      <c r="O126" s="25">
        <f t="shared" si="290"/>
        <v>1.6378269617706238</v>
      </c>
      <c r="P126" s="25">
        <f t="shared" si="290"/>
        <v>1.1300745650372825</v>
      </c>
      <c r="Q126" s="118">
        <f t="shared" si="216"/>
        <v>-8.8148296655029323E-2</v>
      </c>
      <c r="R126" s="128"/>
      <c r="S126" s="25">
        <f t="shared" ref="S126:AB126" si="291">S10/S7</f>
        <v>1.1300745650372825</v>
      </c>
      <c r="T126" s="25">
        <f t="shared" si="291"/>
        <v>1.1300745650372825</v>
      </c>
      <c r="U126" s="25">
        <f t="shared" si="291"/>
        <v>1.1300745650372825</v>
      </c>
      <c r="V126" s="25">
        <f t="shared" si="291"/>
        <v>1.1300745650372825</v>
      </c>
      <c r="W126" s="25">
        <f t="shared" si="291"/>
        <v>1.1300745650372823</v>
      </c>
      <c r="X126" s="25">
        <f t="shared" si="291"/>
        <v>1.1300745650372823</v>
      </c>
      <c r="Y126" s="25">
        <f t="shared" si="291"/>
        <v>1.1300745650372823</v>
      </c>
      <c r="Z126" s="25">
        <f t="shared" si="291"/>
        <v>1.1300745650372823</v>
      </c>
      <c r="AA126" s="25">
        <f t="shared" si="291"/>
        <v>1.1300745650372823</v>
      </c>
      <c r="AB126" s="25">
        <f t="shared" si="291"/>
        <v>1.1300745650372823</v>
      </c>
      <c r="AC126" s="118">
        <f t="shared" si="287"/>
        <v>0</v>
      </c>
      <c r="AD126" s="20"/>
      <c r="AE126" s="20"/>
    </row>
    <row r="127" spans="2:31" x14ac:dyDescent="0.2">
      <c r="B127" s="20" t="s">
        <v>358</v>
      </c>
      <c r="C127" s="20"/>
      <c r="D127" s="20"/>
      <c r="E127" s="20"/>
      <c r="F127" s="20"/>
      <c r="G127" s="25">
        <f>G10/(G10+G7)</f>
        <v>0.72167487684729059</v>
      </c>
      <c r="H127" s="25">
        <f t="shared" ref="H127:P127" si="292">H10/(H10+H7)</f>
        <v>0.81265822784810127</v>
      </c>
      <c r="I127" s="25">
        <f t="shared" si="292"/>
        <v>0.85063291139240504</v>
      </c>
      <c r="J127" s="25">
        <f t="shared" si="292"/>
        <v>0.91492290748898675</v>
      </c>
      <c r="K127" s="25">
        <f t="shared" si="292"/>
        <v>0.55144968732234223</v>
      </c>
      <c r="L127" s="25">
        <f t="shared" si="292"/>
        <v>0.68086592178770955</v>
      </c>
      <c r="M127" s="25">
        <f t="shared" si="292"/>
        <v>0.6458204334365325</v>
      </c>
      <c r="N127" s="25">
        <f t="shared" si="292"/>
        <v>0.61318468250121183</v>
      </c>
      <c r="O127" s="25">
        <f t="shared" si="292"/>
        <v>0.62090007627765065</v>
      </c>
      <c r="P127" s="25">
        <f t="shared" si="292"/>
        <v>0.53053286658887588</v>
      </c>
      <c r="Q127" s="118">
        <f t="shared" si="216"/>
        <v>-3.3610281589106727E-2</v>
      </c>
      <c r="R127" s="128"/>
      <c r="S127" s="25">
        <f t="shared" ref="S127:AB127" si="293">S10/(S10+S7)</f>
        <v>0.53053286658887588</v>
      </c>
      <c r="T127" s="25">
        <f t="shared" si="293"/>
        <v>0.53053286658887588</v>
      </c>
      <c r="U127" s="25">
        <f t="shared" si="293"/>
        <v>0.53053286658887588</v>
      </c>
      <c r="V127" s="25">
        <f t="shared" si="293"/>
        <v>0.53053286658887588</v>
      </c>
      <c r="W127" s="25">
        <f t="shared" si="293"/>
        <v>0.53053286658887588</v>
      </c>
      <c r="X127" s="25">
        <f t="shared" si="293"/>
        <v>0.53053286658887588</v>
      </c>
      <c r="Y127" s="25">
        <f t="shared" si="293"/>
        <v>0.53053286658887588</v>
      </c>
      <c r="Z127" s="25">
        <f t="shared" si="293"/>
        <v>0.53053286658887588</v>
      </c>
      <c r="AA127" s="25">
        <f t="shared" si="293"/>
        <v>0.53053286658887588</v>
      </c>
      <c r="AB127" s="25">
        <f t="shared" si="293"/>
        <v>0.53053286658887588</v>
      </c>
      <c r="AC127" s="118">
        <f t="shared" si="287"/>
        <v>0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128"/>
      <c r="R128" s="12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137"/>
      <c r="AD128" s="20"/>
      <c r="AE128" s="20"/>
    </row>
    <row r="129" spans="2:31" x14ac:dyDescent="0.2">
      <c r="B129" s="20" t="s">
        <v>363</v>
      </c>
      <c r="C129" s="20"/>
      <c r="D129" s="20"/>
      <c r="E129" s="20"/>
      <c r="F129" s="20"/>
      <c r="G129" s="25">
        <f>G16</f>
        <v>365</v>
      </c>
      <c r="H129" s="25">
        <f t="shared" ref="H129:P129" si="294">H16</f>
        <v>737</v>
      </c>
      <c r="I129" s="25">
        <f t="shared" si="294"/>
        <v>1525</v>
      </c>
      <c r="J129" s="25">
        <f t="shared" si="294"/>
        <v>3572</v>
      </c>
      <c r="K129" s="25">
        <f t="shared" si="294"/>
        <v>1566</v>
      </c>
      <c r="L129" s="25">
        <f t="shared" si="294"/>
        <v>2414</v>
      </c>
      <c r="M129" s="25">
        <f t="shared" si="294"/>
        <v>3155</v>
      </c>
      <c r="N129" s="25">
        <f t="shared" si="294"/>
        <v>4052</v>
      </c>
      <c r="O129" s="25">
        <f t="shared" si="294"/>
        <v>5170</v>
      </c>
      <c r="P129" s="25">
        <f t="shared" si="294"/>
        <v>5069</v>
      </c>
      <c r="Q129" s="118">
        <f t="shared" si="216"/>
        <v>0.3395496807240046</v>
      </c>
      <c r="R129" s="128"/>
      <c r="S129" s="25">
        <f t="shared" ref="S129:AB129" si="295">S16</f>
        <v>5677.2800000000007</v>
      </c>
      <c r="T129" s="25">
        <f t="shared" si="295"/>
        <v>6358.5536000000011</v>
      </c>
      <c r="U129" s="25">
        <f t="shared" si="295"/>
        <v>7121.5800320000017</v>
      </c>
      <c r="V129" s="25">
        <f t="shared" si="295"/>
        <v>7976.1696358400022</v>
      </c>
      <c r="W129" s="25">
        <f t="shared" si="295"/>
        <v>8933.3099921408029</v>
      </c>
      <c r="X129" s="25">
        <f t="shared" si="295"/>
        <v>10005.3071911977</v>
      </c>
      <c r="Y129" s="25">
        <f t="shared" si="295"/>
        <v>11205.944054141426</v>
      </c>
      <c r="Z129" s="25">
        <f t="shared" si="295"/>
        <v>12550.657340638398</v>
      </c>
      <c r="AA129" s="25">
        <f t="shared" si="295"/>
        <v>14056.736221515006</v>
      </c>
      <c r="AB129" s="25">
        <f t="shared" si="295"/>
        <v>15743.544568096808</v>
      </c>
      <c r="AC129" s="118">
        <f t="shared" si="287"/>
        <v>0.12000000000000011</v>
      </c>
      <c r="AD129" s="20"/>
      <c r="AE129" s="20"/>
    </row>
    <row r="130" spans="2:31" x14ac:dyDescent="0.2">
      <c r="B130" s="20" t="s">
        <v>364</v>
      </c>
      <c r="C130" s="20"/>
      <c r="D130" s="20"/>
      <c r="E130" s="20"/>
      <c r="F130" s="20"/>
      <c r="G130" s="119">
        <f t="shared" ref="G130:P130" si="296">G129*365/G25</f>
        <v>43.226800778715123</v>
      </c>
      <c r="H130" s="119">
        <f t="shared" si="296"/>
        <v>64.324485891917746</v>
      </c>
      <c r="I130" s="119">
        <f t="shared" si="296"/>
        <v>99.860961607463224</v>
      </c>
      <c r="J130" s="119">
        <f t="shared" si="296"/>
        <v>194.21719052584538</v>
      </c>
      <c r="K130" s="119">
        <f t="shared" si="296"/>
        <v>65.90453130404704</v>
      </c>
      <c r="L130" s="119">
        <f t="shared" si="296"/>
        <v>72.96372971182511</v>
      </c>
      <c r="M130" s="119">
        <f t="shared" si="296"/>
        <v>61.391139780360376</v>
      </c>
      <c r="N130" s="119">
        <f t="shared" si="296"/>
        <v>71.009218359900132</v>
      </c>
      <c r="O130" s="119">
        <f t="shared" si="296"/>
        <v>73</v>
      </c>
      <c r="P130" s="119">
        <f t="shared" si="296"/>
        <v>59.247630331753555</v>
      </c>
      <c r="Q130" s="118">
        <f t="shared" si="216"/>
        <v>3.5650213258214158E-2</v>
      </c>
      <c r="R130" s="128"/>
      <c r="S130" s="119">
        <f t="shared" ref="S130:AB130" si="297">S129*365/S25</f>
        <v>59.247630331753555</v>
      </c>
      <c r="T130" s="119">
        <f t="shared" si="297"/>
        <v>59.247630331753548</v>
      </c>
      <c r="U130" s="119">
        <f t="shared" si="297"/>
        <v>59.247630331753548</v>
      </c>
      <c r="V130" s="119">
        <f t="shared" si="297"/>
        <v>59.247630331753548</v>
      </c>
      <c r="W130" s="119">
        <f t="shared" si="297"/>
        <v>59.247630331753548</v>
      </c>
      <c r="X130" s="119">
        <f t="shared" si="297"/>
        <v>59.247630331753548</v>
      </c>
      <c r="Y130" s="119">
        <f t="shared" si="297"/>
        <v>59.247630331753555</v>
      </c>
      <c r="Z130" s="119">
        <f t="shared" si="297"/>
        <v>59.247630331753548</v>
      </c>
      <c r="AA130" s="119">
        <f t="shared" si="297"/>
        <v>59.247630331753548</v>
      </c>
      <c r="AB130" s="119">
        <f t="shared" si="297"/>
        <v>59.247630331753541</v>
      </c>
      <c r="AC130" s="118">
        <f t="shared" si="287"/>
        <v>0</v>
      </c>
      <c r="AD130" s="20"/>
      <c r="AE130" s="20"/>
    </row>
    <row r="131" spans="2:31" x14ac:dyDescent="0.2">
      <c r="B131" s="20" t="s">
        <v>367</v>
      </c>
      <c r="C131" s="20"/>
      <c r="D131" s="20"/>
      <c r="E131" s="20"/>
      <c r="F131" s="20"/>
      <c r="G131" s="133">
        <f>G78/G29</f>
        <v>-3.0952380952380953</v>
      </c>
      <c r="H131" s="133">
        <f t="shared" ref="H131:P131" si="298">H78/H29</f>
        <v>-1.9269102990033224</v>
      </c>
      <c r="I131" s="133">
        <f t="shared" si="298"/>
        <v>-0.57505453103311521</v>
      </c>
      <c r="J131" s="133">
        <f t="shared" si="298"/>
        <v>0.11793636454883068</v>
      </c>
      <c r="K131" s="133">
        <f t="shared" si="298"/>
        <v>1.2402666033950951E-2</v>
      </c>
      <c r="L131" s="133">
        <f t="shared" si="298"/>
        <v>-0.14570742611143309</v>
      </c>
      <c r="M131" s="133">
        <f t="shared" si="298"/>
        <v>-0.12633163043047801</v>
      </c>
      <c r="N131" s="133">
        <f t="shared" si="298"/>
        <v>-7.7081609139444687E-2</v>
      </c>
      <c r="O131" s="133">
        <f t="shared" si="298"/>
        <v>5.5632670147839687E-2</v>
      </c>
      <c r="P131" s="133">
        <f t="shared" si="298"/>
        <v>7.2055904505533355E-2</v>
      </c>
      <c r="Q131" s="118">
        <f t="shared" si="216"/>
        <v>-1.6584955352559354</v>
      </c>
      <c r="R131" s="128"/>
      <c r="S131" s="133">
        <f t="shared" ref="S131:AB131" si="299">S78/S29</f>
        <v>6.8624670957650805E-2</v>
      </c>
      <c r="T131" s="133">
        <f t="shared" si="299"/>
        <v>6.5356829483476944E-2</v>
      </c>
      <c r="U131" s="133">
        <f t="shared" si="299"/>
        <v>6.2244599508073276E-2</v>
      </c>
      <c r="V131" s="133">
        <f t="shared" si="299"/>
        <v>5.9280570960069778E-2</v>
      </c>
      <c r="W131" s="133">
        <f t="shared" si="299"/>
        <v>5.6457686628637892E-2</v>
      </c>
      <c r="X131" s="133">
        <f t="shared" si="299"/>
        <v>5.3769225360607513E-2</v>
      </c>
      <c r="Y131" s="133">
        <f t="shared" si="299"/>
        <v>5.1208786057721445E-2</v>
      </c>
      <c r="Z131" s="133">
        <f t="shared" si="299"/>
        <v>4.8770272435925181E-2</v>
      </c>
      <c r="AA131" s="133">
        <f t="shared" si="299"/>
        <v>4.6447878510404945E-2</v>
      </c>
      <c r="AB131" s="133">
        <f t="shared" si="299"/>
        <v>4.4236074771814231E-2</v>
      </c>
      <c r="AC131" s="118">
        <f t="shared" si="287"/>
        <v>-4.7619047619047672E-2</v>
      </c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28"/>
      <c r="R132" s="128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374</v>
      </c>
      <c r="C133" s="20"/>
      <c r="D133" s="20"/>
      <c r="E133" s="20"/>
      <c r="F133" s="20"/>
      <c r="G133" s="180">
        <f>G25/G14</f>
        <v>40.025974025974023</v>
      </c>
      <c r="H133" s="180">
        <f t="shared" ref="H133:P133" si="300">H25/H14</f>
        <v>74.678571428571431</v>
      </c>
      <c r="I133" s="180">
        <f t="shared" si="300"/>
        <v>37.662162162162161</v>
      </c>
      <c r="J133" s="180">
        <f t="shared" si="300"/>
        <v>69.927083333333329</v>
      </c>
      <c r="K133" s="180">
        <f t="shared" si="300"/>
        <v>35.4</v>
      </c>
      <c r="L133" s="180">
        <f t="shared" si="300"/>
        <v>69.402298850574709</v>
      </c>
      <c r="M133" s="180">
        <f t="shared" si="300"/>
        <v>45.418886198547213</v>
      </c>
      <c r="N133" s="180">
        <f t="shared" si="300"/>
        <v>55.246684350132625</v>
      </c>
      <c r="O133" s="180">
        <f t="shared" si="300"/>
        <v>40.772870662460569</v>
      </c>
      <c r="P133" s="180">
        <f t="shared" si="300"/>
        <v>40.294193548387099</v>
      </c>
      <c r="Q133" s="118">
        <f t="shared" si="216"/>
        <v>7.4236251035819656E-4</v>
      </c>
      <c r="R133" s="128"/>
      <c r="S133" s="20">
        <f t="shared" ref="S133" si="301">S25/S14</f>
        <v>40.294193548387092</v>
      </c>
      <c r="T133" s="20">
        <f t="shared" ref="T133:AB133" si="302">T25/T14</f>
        <v>40.294193548387099</v>
      </c>
      <c r="U133" s="20">
        <f t="shared" si="302"/>
        <v>40.294193548387099</v>
      </c>
      <c r="V133" s="20">
        <f t="shared" si="302"/>
        <v>40.294193548387092</v>
      </c>
      <c r="W133" s="20">
        <f t="shared" si="302"/>
        <v>40.294193548387085</v>
      </c>
      <c r="X133" s="20">
        <f t="shared" si="302"/>
        <v>40.294193548387085</v>
      </c>
      <c r="Y133" s="20">
        <f t="shared" si="302"/>
        <v>40.294193548387085</v>
      </c>
      <c r="Z133" s="20">
        <f t="shared" si="302"/>
        <v>40.294193548387092</v>
      </c>
      <c r="AA133" s="20">
        <f t="shared" si="302"/>
        <v>40.294193548387092</v>
      </c>
      <c r="AB133" s="20">
        <f t="shared" si="302"/>
        <v>40.294193548387092</v>
      </c>
      <c r="AC133" s="118">
        <f t="shared" si="287"/>
        <v>0</v>
      </c>
      <c r="AD133" s="20"/>
      <c r="AE133" s="20"/>
    </row>
    <row r="134" spans="2:31" x14ac:dyDescent="0.2">
      <c r="B134" s="20" t="s">
        <v>375</v>
      </c>
      <c r="C134" s="20"/>
      <c r="D134" s="20"/>
      <c r="E134" s="20"/>
      <c r="F134" s="20"/>
      <c r="G134" s="180">
        <f>G27/G14</f>
        <v>39.532467532467535</v>
      </c>
      <c r="H134" s="180">
        <f t="shared" ref="H134:P134" si="303">H27/H14</f>
        <v>73.107142857142861</v>
      </c>
      <c r="I134" s="180">
        <f t="shared" si="303"/>
        <v>36.898648648648646</v>
      </c>
      <c r="J134" s="180">
        <f t="shared" si="303"/>
        <v>67.697916666666671</v>
      </c>
      <c r="K134" s="180">
        <f t="shared" si="303"/>
        <v>33.840816326530614</v>
      </c>
      <c r="L134" s="180">
        <f t="shared" si="303"/>
        <v>68.011494252873561</v>
      </c>
      <c r="M134" s="180">
        <f t="shared" si="303"/>
        <v>44.682808716707022</v>
      </c>
      <c r="N134" s="180">
        <f t="shared" si="303"/>
        <v>54.084880636604773</v>
      </c>
      <c r="O134" s="180">
        <f t="shared" si="303"/>
        <v>39.506309148264982</v>
      </c>
      <c r="P134" s="180">
        <f t="shared" si="303"/>
        <v>39.273548387096774</v>
      </c>
      <c r="Q134" s="118">
        <f t="shared" si="216"/>
        <v>-7.298528495155443E-4</v>
      </c>
      <c r="R134" s="128"/>
      <c r="S134" s="20">
        <f t="shared" ref="S134:AB134" si="304">S27/S14</f>
        <v>39.273548387096774</v>
      </c>
      <c r="T134" s="20">
        <f t="shared" si="304"/>
        <v>39.273548387096774</v>
      </c>
      <c r="U134" s="20">
        <f t="shared" si="304"/>
        <v>39.273548387096774</v>
      </c>
      <c r="V134" s="20">
        <f t="shared" si="304"/>
        <v>39.273548387096767</v>
      </c>
      <c r="W134" s="20">
        <f t="shared" si="304"/>
        <v>39.273548387096767</v>
      </c>
      <c r="X134" s="20">
        <f t="shared" si="304"/>
        <v>39.273548387096767</v>
      </c>
      <c r="Y134" s="20">
        <f t="shared" si="304"/>
        <v>39.273548387096767</v>
      </c>
      <c r="Z134" s="20">
        <f t="shared" si="304"/>
        <v>39.273548387096767</v>
      </c>
      <c r="AA134" s="20">
        <f t="shared" si="304"/>
        <v>39.273548387096774</v>
      </c>
      <c r="AB134" s="20">
        <f t="shared" si="304"/>
        <v>39.273548387096774</v>
      </c>
      <c r="AC134" s="118">
        <f t="shared" si="287"/>
        <v>0</v>
      </c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8"/>
      <c r="R135" s="128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37"/>
      <c r="AD135" s="20"/>
      <c r="AE135" s="20"/>
    </row>
    <row r="136" spans="2:31" x14ac:dyDescent="0.2">
      <c r="B136" s="108" t="s">
        <v>244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3"/>
      <c r="R136" s="23"/>
      <c r="S136" s="122" t="s">
        <v>66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3" t="s">
        <v>280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5"/>
      <c r="Q137" s="160">
        <f>AVERAGE(G52:P52)</f>
        <v>20.152241048516434</v>
      </c>
      <c r="R137" s="23"/>
      <c r="S137" s="134"/>
      <c r="T137" s="20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 t="s">
        <v>25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>S138+T138</f>
        <v>34.993046259358621</v>
      </c>
      <c r="S138" s="133">
        <f>PV($C$1, ($AB$3-$S$3), 0, -AB52)</f>
        <v>4.8760802164680044</v>
      </c>
      <c r="T138" s="133">
        <f>PV($C$1, ($AB$3-$S$3), 0, -AE52)</f>
        <v>30.116966042890621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272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:R157" si="305">S139+T139</f>
        <v>186.88764086303479</v>
      </c>
      <c r="S139" s="133">
        <f>PV($C$1, ($AB$3-$S$3), 0, -AB54)</f>
        <v>26.041720448127798</v>
      </c>
      <c r="T139" s="133">
        <f>PV($C$1, ($AB$3-$S$3), 0, -AE54)</f>
        <v>160.845920414907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273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 t="shared" si="305"/>
        <v>184.64251178887241</v>
      </c>
      <c r="S140" s="133">
        <f>PV($C$1, ($AB$3-$S$3), 0, -AB55)</f>
        <v>25.728874593531398</v>
      </c>
      <c r="T140" s="133">
        <f>PV($C$1, ($AB$3-$S$3), 0, -AE55)</f>
        <v>158.91363719534101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 t="shared" si="305"/>
        <v>211.19696945913788</v>
      </c>
      <c r="S141" s="133">
        <f>PV($C$1, ($AB$3-$S$3), 0, -AB56)</f>
        <v>29.42908590824052</v>
      </c>
      <c r="T141" s="133">
        <f>PV($C$1, ($AB$3-$S$3), 0, -AE56)</f>
        <v>181.76788355089735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si="305"/>
        <v>762.18261155616324</v>
      </c>
      <c r="S142" s="133">
        <f>PV($C$1, ($AB$3-$S$3), 0, -AB62)</f>
        <v>106.20577374143257</v>
      </c>
      <c r="T142" s="133">
        <f>PV($C$1, ($AB$3-$S$3), 0, -AE62)</f>
        <v>655.97683781473063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/>
      <c r="S143" s="133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 t="s">
        <v>270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>
        <f t="shared" si="305"/>
        <v>-24.309328596103065</v>
      </c>
      <c r="S144" s="133">
        <f>PV($C$1, ($AB$3-$S$3), 0, -AB58)</f>
        <v>-3.3873654601127217</v>
      </c>
      <c r="T144" s="133">
        <f>PV($C$1, ($AB$3-$S$3), 0, -$AE$58)</f>
        <v>-20.921963135990342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271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305"/>
        <v>-692.42877376925549</v>
      </c>
      <c r="S145" s="133">
        <f>PV($C$1, ($AB$3-$S$3), 0, -AB59)</f>
        <v>-96.485976672765105</v>
      </c>
      <c r="T145" s="133">
        <f>PV($C$1, ($AB$3-$S$3), 0, -$AE$59)</f>
        <v>-595.94279709649038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276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305"/>
        <v>310.13748521015663</v>
      </c>
      <c r="S146" s="133">
        <f>PV($C$1, ($AB$3-$S$3), 0, -AB60)</f>
        <v>43.215879086661161</v>
      </c>
      <c r="T146" s="133">
        <f>PV($C$1, ($AB$3-$S$3), 0, -$AE$60)</f>
        <v>266.92160612349545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/>
      <c r="S147" s="133"/>
      <c r="T147" s="20"/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249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305"/>
        <v>1002.5662589794123</v>
      </c>
      <c r="S148" s="133">
        <f>PV($C$1, ($AB$3-$S$3), 0, -AB65)</f>
        <v>139.70185575942628</v>
      </c>
      <c r="T148" s="133">
        <f>PV($C$1, ($AB$3-$S$3), 0, -AE65)</f>
        <v>862.864403219986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250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305"/>
        <v>303.24374248870777</v>
      </c>
      <c r="S149" s="133">
        <f>PV($C$1, ($AB$3-$S$3), 0, -AB66)</f>
        <v>54.683297825832547</v>
      </c>
      <c r="T149" s="133">
        <f>PV($C$1, ($AB$3-$S$3), 0, -AE66)</f>
        <v>248.56044466287523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33"/>
      <c r="T150" s="133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 t="s">
        <v>293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 t="shared" ref="R151" si="306">S151+T151</f>
        <v>36649.527540529205</v>
      </c>
      <c r="S151" s="133">
        <f>PV($C$1, ($AB$3-$S$3), 0, -AB12)</f>
        <v>5106.9013785983316</v>
      </c>
      <c r="T151" s="133">
        <f>PV($C$1, ($AB$3-$S$3), 0, -AE12)</f>
        <v>31542.626161930875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1241.5151605870326</v>
      </c>
      <c r="S152" s="140">
        <f>S151/P42</f>
        <v>172.99801418016028</v>
      </c>
      <c r="T152" s="140">
        <f>T151/P42</f>
        <v>1068.5171464068724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/>
      <c r="S153" s="140"/>
      <c r="T153" s="14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297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/>
      <c r="S154" s="133"/>
      <c r="T154" s="133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282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>
        <f t="shared" ref="R155" si="307">S155+T155</f>
        <v>9.4766849365030925</v>
      </c>
      <c r="S155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7.7963537327275052</v>
      </c>
      <c r="T155" s="133">
        <f>PV($C$1, ($AB$3-$S$3), 0, -AE68)</f>
        <v>1.6803312037755875</v>
      </c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/>
      <c r="S156" s="133"/>
      <c r="T156" s="133"/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20" t="s">
        <v>290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>
        <f t="shared" si="305"/>
        <v>0</v>
      </c>
      <c r="S157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0</v>
      </c>
      <c r="T157" s="133">
        <f>PV($C$1, ($AB$3-$S$3), 0, -AE70)</f>
        <v>0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/>
      <c r="S158" s="133"/>
      <c r="T158" s="133"/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0" t="s">
        <v>286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>
        <f t="shared" ref="R159:R162" si="308">S159+T159</f>
        <v>0</v>
      </c>
      <c r="S159" s="133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0</v>
      </c>
      <c r="T159" s="133">
        <f>PV($C$1, ($AB$3-$S$3), 0, -AE72)</f>
        <v>0</v>
      </c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 t="s">
        <v>287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>
        <f t="shared" si="308"/>
        <v>0</v>
      </c>
      <c r="S160" s="133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0</v>
      </c>
      <c r="T160" s="133">
        <f>PV($C$1, ($AB$3-$S$3), 0, -AE73)</f>
        <v>0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 t="s">
        <v>288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>
        <f t="shared" si="308"/>
        <v>0</v>
      </c>
      <c r="S161" s="133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0</v>
      </c>
      <c r="T161" s="133">
        <f>PV($C$1, ($AB$3-$S$3), 0, -AE74)</f>
        <v>0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 t="s">
        <v>289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>
        <f t="shared" si="308"/>
        <v>0</v>
      </c>
      <c r="S162" s="133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0</v>
      </c>
      <c r="T162" s="133">
        <f>PV($C$1, ($AB$3-$S$3), 0, -AE75)</f>
        <v>0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/>
      <c r="S163" s="133"/>
      <c r="T163" s="133"/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 t="s">
        <v>298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>
        <f>S164+T164</f>
        <v>0</v>
      </c>
      <c r="S164" s="133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0</v>
      </c>
      <c r="T164" s="133">
        <f>PV($C$1, ($AB$3-$S$3), 0, -AE76)</f>
        <v>0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183">
        <v>41729</v>
      </c>
      <c r="P165" s="20">
        <v>115</v>
      </c>
      <c r="Q165" s="20"/>
      <c r="R165" s="20"/>
      <c r="S165" s="121"/>
      <c r="T165" s="20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 x14ac:dyDescent="0.2">
      <c r="B166" s="108" t="s">
        <v>251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3" t="s">
        <v>390</v>
      </c>
      <c r="P166" s="20">
        <v>110</v>
      </c>
      <c r="Q166" s="20" t="s">
        <v>392</v>
      </c>
      <c r="R166" s="23" t="s">
        <v>391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204</v>
      </c>
      <c r="C167" s="22">
        <v>0</v>
      </c>
      <c r="D167" s="22">
        <v>0</v>
      </c>
      <c r="E167" s="22">
        <v>0</v>
      </c>
      <c r="F167" s="22">
        <v>0</v>
      </c>
      <c r="G167" s="22">
        <v>135</v>
      </c>
      <c r="H167" s="22">
        <v>495</v>
      </c>
      <c r="I167" s="22">
        <v>188</v>
      </c>
      <c r="J167" s="22">
        <v>345</v>
      </c>
      <c r="K167" s="22">
        <v>67</v>
      </c>
      <c r="L167" s="22">
        <v>22</v>
      </c>
      <c r="M167" s="22">
        <v>100</v>
      </c>
      <c r="N167" s="22">
        <v>97</v>
      </c>
      <c r="O167" s="22">
        <v>109</v>
      </c>
      <c r="P167" s="22">
        <v>70</v>
      </c>
      <c r="Q167" s="118">
        <f t="shared" ref="Q167:Q172" si="309">((P167/G167)^(1/($H$2-$H$1) ))-1</f>
        <v>-7.0376398233555015E-2</v>
      </c>
      <c r="R167" s="31">
        <f>L2-3%</f>
        <v>0.09</v>
      </c>
      <c r="S167" s="119">
        <f t="shared" ref="S167" si="310">P167*(1+$R167)</f>
        <v>76.300000000000011</v>
      </c>
      <c r="T167" s="119">
        <f t="shared" ref="T167:AB167" si="311">S167*(1+$R167)</f>
        <v>83.167000000000016</v>
      </c>
      <c r="U167" s="119">
        <f t="shared" si="311"/>
        <v>90.652030000000025</v>
      </c>
      <c r="V167" s="119">
        <f t="shared" si="311"/>
        <v>98.810712700000039</v>
      </c>
      <c r="W167" s="119">
        <f t="shared" si="311"/>
        <v>107.70367684300005</v>
      </c>
      <c r="X167" s="119">
        <f t="shared" si="311"/>
        <v>117.39700775887006</v>
      </c>
      <c r="Y167" s="119">
        <f t="shared" si="311"/>
        <v>127.96273845716837</v>
      </c>
      <c r="Z167" s="119">
        <f t="shared" si="311"/>
        <v>139.47938491831354</v>
      </c>
      <c r="AA167" s="119">
        <f t="shared" si="311"/>
        <v>152.03252956096176</v>
      </c>
      <c r="AB167" s="119">
        <f t="shared" si="311"/>
        <v>165.71545722144833</v>
      </c>
      <c r="AC167" s="138">
        <f t="shared" ref="AC167:AC172" si="312">((AB167/G167)^(1/($AB$3-$H$1) ))-1</f>
        <v>1.0847753017852124E-2</v>
      </c>
      <c r="AD167" s="31">
        <v>0.08</v>
      </c>
      <c r="AE167" s="127">
        <f t="shared" ref="AE167:AE175" si="313">(AB167*(1+AC167))/($C$1-AD167)</f>
        <v>1196.5221255187644</v>
      </c>
    </row>
    <row r="168" spans="2:31" x14ac:dyDescent="0.2">
      <c r="B168" s="20" t="s">
        <v>361</v>
      </c>
      <c r="C168" s="25" t="e">
        <f t="shared" ref="C168:P168" si="314">C167/C49</f>
        <v>#DIV/0!</v>
      </c>
      <c r="D168" s="25" t="e">
        <f t="shared" si="314"/>
        <v>#DIV/0!</v>
      </c>
      <c r="E168" s="25" t="e">
        <f t="shared" si="314"/>
        <v>#DIV/0!</v>
      </c>
      <c r="F168" s="25" t="e">
        <f t="shared" si="314"/>
        <v>#DIV/0!</v>
      </c>
      <c r="G168" s="25">
        <f t="shared" si="314"/>
        <v>3.0661907852044125E-2</v>
      </c>
      <c r="H168" s="25">
        <f t="shared" si="314"/>
        <v>8.2855093256814921E-2</v>
      </c>
      <c r="I168" s="25">
        <f t="shared" si="314"/>
        <v>0.12445640473627557</v>
      </c>
      <c r="J168" s="25">
        <f t="shared" si="314"/>
        <v>0.18963950543721136</v>
      </c>
      <c r="K168" s="25">
        <f t="shared" si="314"/>
        <v>0.19359160613397899</v>
      </c>
      <c r="L168" s="25">
        <f t="shared" si="314"/>
        <v>4.6820139118913549E-2</v>
      </c>
      <c r="M168" s="25">
        <f t="shared" si="314"/>
        <v>0.14169954152894765</v>
      </c>
      <c r="N168" s="25">
        <f t="shared" si="314"/>
        <v>0.13748031496062993</v>
      </c>
      <c r="O168" s="25">
        <f t="shared" si="314"/>
        <v>0.12447504835589943</v>
      </c>
      <c r="P168" s="25">
        <f t="shared" si="314"/>
        <v>6.617138465479698E-2</v>
      </c>
      <c r="Q168" s="118">
        <f t="shared" ref="Q168" si="315">((P168/G168)^(1/($H$2-$H$1) ))-1</f>
        <v>8.922852283809779E-2</v>
      </c>
      <c r="R168" s="128"/>
      <c r="S168" s="25">
        <f t="shared" ref="S168:AB168" si="316">S167/S49</f>
        <v>6.7618883694120668E-2</v>
      </c>
      <c r="T168" s="25">
        <f t="shared" si="316"/>
        <v>6.9098046774929561E-2</v>
      </c>
      <c r="U168" s="25">
        <f t="shared" si="316"/>
        <v>7.060956654813115E-2</v>
      </c>
      <c r="V168" s="25">
        <f t="shared" si="316"/>
        <v>7.2154150816371526E-2</v>
      </c>
      <c r="W168" s="25">
        <f t="shared" si="316"/>
        <v>7.3732522865479669E-2</v>
      </c>
      <c r="X168" s="25">
        <f t="shared" si="316"/>
        <v>7.5345421803162033E-2</v>
      </c>
      <c r="Y168" s="25">
        <f t="shared" si="316"/>
        <v>7.6993602905106207E-2</v>
      </c>
      <c r="Z168" s="25">
        <f t="shared" si="316"/>
        <v>7.8677837968655406E-2</v>
      </c>
      <c r="AA168" s="25">
        <f t="shared" si="316"/>
        <v>8.0398915674219737E-2</v>
      </c>
      <c r="AB168" s="25">
        <f t="shared" si="316"/>
        <v>8.2157641954593283E-2</v>
      </c>
      <c r="AC168" s="138">
        <f t="shared" ref="AC168" si="317">((AB168/G168)^(1/($AB$3-$H$1) ))-1</f>
        <v>5.3243733252866132E-2</v>
      </c>
      <c r="AD168" s="31">
        <v>0.08</v>
      </c>
      <c r="AE168" s="127">
        <f t="shared" ref="AE168" si="318">(AB168*(1+AC168))/($C$1-AD168)</f>
        <v>0.61808586805362953</v>
      </c>
    </row>
    <row r="169" spans="2:31" x14ac:dyDescent="0.2">
      <c r="B169" s="20" t="s">
        <v>389</v>
      </c>
      <c r="C169" s="25" t="e">
        <f t="shared" ref="C169:P169" si="319">C167/C52</f>
        <v>#DIV/0!</v>
      </c>
      <c r="D169" s="25" t="e">
        <f t="shared" si="319"/>
        <v>#DIV/0!</v>
      </c>
      <c r="E169" s="25" t="e">
        <f t="shared" si="319"/>
        <v>#DIV/0!</v>
      </c>
      <c r="F169" s="25" t="e">
        <f t="shared" si="319"/>
        <v>#DIV/0!</v>
      </c>
      <c r="G169" s="25">
        <f t="shared" si="319"/>
        <v>3.4999999999999996</v>
      </c>
      <c r="H169" s="25">
        <f t="shared" si="319"/>
        <v>8.0581395348837201</v>
      </c>
      <c r="I169" s="25">
        <f t="shared" si="319"/>
        <v>10.672615384615385</v>
      </c>
      <c r="J169" s="25">
        <f t="shared" si="319"/>
        <v>12.604455445544554</v>
      </c>
      <c r="K169" s="25">
        <f t="shared" si="319"/>
        <v>8.1505825242718437</v>
      </c>
      <c r="L169" s="25">
        <f t="shared" si="319"/>
        <v>6.4988505747126437</v>
      </c>
      <c r="M169" s="25">
        <f t="shared" si="319"/>
        <v>13.7720207253886</v>
      </c>
      <c r="N169" s="25">
        <f t="shared" si="319"/>
        <v>11.546129032258065</v>
      </c>
      <c r="O169" s="25">
        <f t="shared" si="319"/>
        <v>7.8099029126213591</v>
      </c>
      <c r="P169" s="25">
        <f t="shared" si="319"/>
        <v>4.5716814159292039</v>
      </c>
      <c r="Q169" s="118">
        <f t="shared" si="309"/>
        <v>3.0124623036279496E-2</v>
      </c>
      <c r="R169" s="128"/>
      <c r="S169" s="119">
        <f t="shared" ref="S169:AB169" si="320">S167/S52</f>
        <v>4.6716869469026552</v>
      </c>
      <c r="T169" s="119">
        <f t="shared" si="320"/>
        <v>4.7738800988661518</v>
      </c>
      <c r="U169" s="119">
        <f t="shared" si="320"/>
        <v>4.8783087260288491</v>
      </c>
      <c r="V169" s="119">
        <f t="shared" si="320"/>
        <v>4.9850217294107306</v>
      </c>
      <c r="W169" s="119">
        <f t="shared" si="320"/>
        <v>5.0940690797415913</v>
      </c>
      <c r="X169" s="119">
        <f t="shared" si="320"/>
        <v>5.205501840860939</v>
      </c>
      <c r="Y169" s="119">
        <f t="shared" si="320"/>
        <v>5.3193721936297713</v>
      </c>
      <c r="Z169" s="119">
        <f t="shared" si="320"/>
        <v>5.435733460365423</v>
      </c>
      <c r="AA169" s="119">
        <f t="shared" si="320"/>
        <v>5.5546401298109158</v>
      </c>
      <c r="AB169" s="119">
        <f t="shared" si="320"/>
        <v>5.6761478826505298</v>
      </c>
      <c r="AC169" s="138">
        <f t="shared" si="312"/>
        <v>2.5774448234193059E-2</v>
      </c>
      <c r="AD169" s="31">
        <v>0.08</v>
      </c>
      <c r="AE169" s="127">
        <f t="shared" si="313"/>
        <v>41.588910445868073</v>
      </c>
    </row>
    <row r="170" spans="2:31" x14ac:dyDescent="0.2">
      <c r="B170" s="20" t="s">
        <v>258</v>
      </c>
      <c r="C170" s="25" t="e">
        <f t="shared" ref="C170:P170" si="321">C167/C55</f>
        <v>#DIV/0!</v>
      </c>
      <c r="D170" s="25" t="e">
        <f t="shared" si="321"/>
        <v>#DIV/0!</v>
      </c>
      <c r="E170" s="25" t="e">
        <f t="shared" si="321"/>
        <v>#DIV/0!</v>
      </c>
      <c r="F170" s="25" t="e">
        <f t="shared" si="321"/>
        <v>#DIV/0!</v>
      </c>
      <c r="G170" s="25">
        <f t="shared" si="321"/>
        <v>0.89150943396226401</v>
      </c>
      <c r="H170" s="25">
        <f t="shared" si="321"/>
        <v>2.457446808510638</v>
      </c>
      <c r="I170" s="25">
        <f t="shared" si="321"/>
        <v>3.0426315789473684</v>
      </c>
      <c r="J170" s="25">
        <f t="shared" si="321"/>
        <v>4.2294019933554816</v>
      </c>
      <c r="K170" s="25">
        <f t="shared" si="321"/>
        <v>2.1976701570680626</v>
      </c>
      <c r="L170" s="25">
        <f t="shared" si="321"/>
        <v>0.6367117117117117</v>
      </c>
      <c r="M170" s="25">
        <f t="shared" si="321"/>
        <v>2.37958818263205</v>
      </c>
      <c r="N170" s="25">
        <f t="shared" si="321"/>
        <v>1.8273388640714741</v>
      </c>
      <c r="O170" s="25">
        <f t="shared" si="321"/>
        <v>1.6425114854517611</v>
      </c>
      <c r="P170" s="25">
        <f t="shared" si="321"/>
        <v>0.8664150943396226</v>
      </c>
      <c r="Q170" s="118">
        <f t="shared" si="309"/>
        <v>-3.1674066974852755E-3</v>
      </c>
      <c r="R170" s="128"/>
      <c r="S170" s="119">
        <f t="shared" ref="S170:AB170" si="322">S167/S55</f>
        <v>0.88536792452830193</v>
      </c>
      <c r="T170" s="119">
        <f t="shared" si="322"/>
        <v>0.90473534787735865</v>
      </c>
      <c r="U170" s="119">
        <f t="shared" si="322"/>
        <v>0.9245264336121759</v>
      </c>
      <c r="V170" s="119">
        <f t="shared" si="322"/>
        <v>0.94475044934744234</v>
      </c>
      <c r="W170" s="119">
        <f t="shared" si="322"/>
        <v>0.96541686542691774</v>
      </c>
      <c r="X170" s="119">
        <f t="shared" si="322"/>
        <v>0.98653535935813164</v>
      </c>
      <c r="Y170" s="119">
        <f t="shared" si="322"/>
        <v>1.0081158203440908</v>
      </c>
      <c r="Z170" s="119">
        <f t="shared" si="322"/>
        <v>1.0301683539141178</v>
      </c>
      <c r="AA170" s="119">
        <f t="shared" si="322"/>
        <v>1.0527032866559889</v>
      </c>
      <c r="AB170" s="119">
        <f t="shared" si="322"/>
        <v>1.0757311710515889</v>
      </c>
      <c r="AC170" s="138">
        <f t="shared" si="312"/>
        <v>9.9353388344041171E-3</v>
      </c>
      <c r="AD170" s="31">
        <v>0.08</v>
      </c>
      <c r="AE170" s="127">
        <f t="shared" si="313"/>
        <v>7.7601351766479763</v>
      </c>
    </row>
    <row r="171" spans="2:31" x14ac:dyDescent="0.2">
      <c r="B171" s="20" t="s">
        <v>259</v>
      </c>
      <c r="C171" s="25" t="e">
        <f t="shared" ref="C171:P171" si="323">C167/C64</f>
        <v>#DIV/0!</v>
      </c>
      <c r="D171" s="25" t="e">
        <f t="shared" si="323"/>
        <v>#DIV/0!</v>
      </c>
      <c r="E171" s="25" t="e">
        <f t="shared" si="323"/>
        <v>#DIV/0!</v>
      </c>
      <c r="F171" s="25" t="e">
        <f t="shared" si="323"/>
        <v>#DIV/0!</v>
      </c>
      <c r="G171" s="25">
        <f t="shared" si="323"/>
        <v>0.62999999999999989</v>
      </c>
      <c r="H171" s="25">
        <f t="shared" si="323"/>
        <v>0.58728813559322035</v>
      </c>
      <c r="I171" s="25">
        <f t="shared" si="323"/>
        <v>0.57096296296296301</v>
      </c>
      <c r="J171" s="25">
        <f t="shared" si="323"/>
        <v>0.220632582322357</v>
      </c>
      <c r="K171" s="25">
        <f t="shared" si="323"/>
        <v>0.32691199376947039</v>
      </c>
      <c r="L171" s="25">
        <f t="shared" si="323"/>
        <v>9.5474501857480576E-2</v>
      </c>
      <c r="M171" s="25">
        <f t="shared" si="323"/>
        <v>0.3992537649720162</v>
      </c>
      <c r="N171" s="25">
        <f t="shared" si="323"/>
        <v>0.36694680024912152</v>
      </c>
      <c r="O171" s="25">
        <f t="shared" si="323"/>
        <v>0.40950950696159027</v>
      </c>
      <c r="P171" s="25">
        <f t="shared" si="323"/>
        <v>0.20982045851009604</v>
      </c>
      <c r="Q171" s="118">
        <f t="shared" si="309"/>
        <v>-0.11499595928356576</v>
      </c>
      <c r="R171" s="128"/>
      <c r="S171" s="119">
        <f t="shared" ref="S171:AB171" si="324">S167/S64</f>
        <v>0.2144102810400044</v>
      </c>
      <c r="T171" s="119">
        <f t="shared" si="324"/>
        <v>0.21910050593775451</v>
      </c>
      <c r="U171" s="119">
        <f t="shared" si="324"/>
        <v>0.2238933295051429</v>
      </c>
      <c r="V171" s="119">
        <f t="shared" si="324"/>
        <v>0.22879099608806791</v>
      </c>
      <c r="W171" s="119">
        <f t="shared" si="324"/>
        <v>0.23379579912749443</v>
      </c>
      <c r="X171" s="119">
        <f t="shared" si="324"/>
        <v>0.23891008223340834</v>
      </c>
      <c r="Y171" s="119">
        <f t="shared" si="324"/>
        <v>0.24413624028226419</v>
      </c>
      <c r="Z171" s="119">
        <f t="shared" si="324"/>
        <v>0.24947672053843872</v>
      </c>
      <c r="AA171" s="119">
        <f t="shared" si="324"/>
        <v>0.25493402380021701</v>
      </c>
      <c r="AB171" s="119">
        <f t="shared" si="324"/>
        <v>0.26051070557084677</v>
      </c>
      <c r="AC171" s="138">
        <f t="shared" si="312"/>
        <v>-4.5414130437221867E-2</v>
      </c>
      <c r="AD171" s="31">
        <v>0.08</v>
      </c>
      <c r="AE171" s="127">
        <f t="shared" si="313"/>
        <v>1.7762845600554256</v>
      </c>
    </row>
    <row r="172" spans="2:31" x14ac:dyDescent="0.2">
      <c r="B172" s="20" t="s">
        <v>260</v>
      </c>
      <c r="C172" s="25" t="e">
        <f t="shared" ref="C172:P172" si="325">C167/C66</f>
        <v>#DIV/0!</v>
      </c>
      <c r="D172" s="25" t="e">
        <f t="shared" si="325"/>
        <v>#DIV/0!</v>
      </c>
      <c r="E172" s="25" t="e">
        <f t="shared" si="325"/>
        <v>#DIV/0!</v>
      </c>
      <c r="F172" s="25" t="e">
        <f t="shared" si="325"/>
        <v>#DIV/0!</v>
      </c>
      <c r="G172" s="25">
        <f t="shared" si="325"/>
        <v>0.25890410958904109</v>
      </c>
      <c r="H172" s="25">
        <f t="shared" si="325"/>
        <v>0.47014925373134325</v>
      </c>
      <c r="I172" s="25">
        <f t="shared" si="325"/>
        <v>0.45489836065573769</v>
      </c>
      <c r="J172" s="25">
        <f t="shared" si="325"/>
        <v>0.35639697648376256</v>
      </c>
      <c r="K172" s="25">
        <f t="shared" si="325"/>
        <v>1.0721711366538953</v>
      </c>
      <c r="L172" s="25">
        <f t="shared" si="325"/>
        <v>0.23421706710853354</v>
      </c>
      <c r="M172" s="25">
        <f t="shared" si="325"/>
        <v>0.84247226624405702</v>
      </c>
      <c r="N172" s="25">
        <f t="shared" si="325"/>
        <v>0.70667324777887464</v>
      </c>
      <c r="O172" s="25">
        <f t="shared" si="325"/>
        <v>0.6223752417794971</v>
      </c>
      <c r="P172" s="25">
        <f t="shared" si="325"/>
        <v>0.40765436969816526</v>
      </c>
      <c r="Q172" s="118">
        <f t="shared" si="309"/>
        <v>5.1733982085827135E-2</v>
      </c>
      <c r="R172" s="128"/>
      <c r="S172" s="119">
        <f t="shared" ref="S172:AB172" si="326">S167/S66</f>
        <v>0.41657180903531271</v>
      </c>
      <c r="T172" s="119">
        <f t="shared" si="326"/>
        <v>0.42568431735796025</v>
      </c>
      <c r="U172" s="119">
        <f t="shared" si="326"/>
        <v>0.4349961618001657</v>
      </c>
      <c r="V172" s="119">
        <f t="shared" si="326"/>
        <v>0.44451170283954433</v>
      </c>
      <c r="W172" s="119">
        <f t="shared" si="326"/>
        <v>0.45423539633915944</v>
      </c>
      <c r="X172" s="119">
        <f t="shared" si="326"/>
        <v>0.46417179563407857</v>
      </c>
      <c r="Y172" s="119">
        <f t="shared" si="326"/>
        <v>0.47432555366357404</v>
      </c>
      <c r="Z172" s="119">
        <f t="shared" si="326"/>
        <v>0.48470142514996478</v>
      </c>
      <c r="AA172" s="119">
        <f t="shared" si="326"/>
        <v>0.49530426882512013</v>
      </c>
      <c r="AB172" s="119">
        <f t="shared" si="326"/>
        <v>0.5061390497056697</v>
      </c>
      <c r="AC172" s="138">
        <f t="shared" si="312"/>
        <v>3.5911558847707248E-2</v>
      </c>
      <c r="AD172" s="31">
        <v>0.08</v>
      </c>
      <c r="AE172" s="127">
        <f t="shared" si="313"/>
        <v>3.7451092283878387</v>
      </c>
    </row>
    <row r="173" spans="2:31" x14ac:dyDescent="0.2">
      <c r="B173" s="20" t="s">
        <v>281</v>
      </c>
      <c r="C173" s="25" t="e">
        <f>C169/C119</f>
        <v>#DIV/0!</v>
      </c>
      <c r="D173" s="25" t="e">
        <f>D169/D119</f>
        <v>#DIV/0!</v>
      </c>
      <c r="E173" s="25" t="e">
        <f>E169/E119</f>
        <v>#DIV/0!</v>
      </c>
      <c r="F173" s="25" t="e">
        <f>F169/F119</f>
        <v>#DIV/0!</v>
      </c>
      <c r="G173" s="182">
        <f t="shared" ref="G173:P173" si="327">G167/G60</f>
        <v>3.2586206896551722</v>
      </c>
      <c r="H173" s="182">
        <f t="shared" si="327"/>
        <v>-0.9441416893732969</v>
      </c>
      <c r="I173" s="182">
        <f t="shared" si="327"/>
        <v>-0.80013840830449823</v>
      </c>
      <c r="J173" s="182">
        <f t="shared" si="327"/>
        <v>3.120220588235294</v>
      </c>
      <c r="K173" s="182">
        <f t="shared" si="327"/>
        <v>1.4511840968020744</v>
      </c>
      <c r="L173" s="182">
        <f t="shared" si="327"/>
        <v>-0.11531715276361411</v>
      </c>
      <c r="M173" s="182">
        <f t="shared" si="327"/>
        <v>-0.52884998010346196</v>
      </c>
      <c r="N173" s="182">
        <f t="shared" si="327"/>
        <v>-0.54907766059443908</v>
      </c>
      <c r="O173" s="182">
        <f t="shared" si="327"/>
        <v>1.0260459183673469</v>
      </c>
      <c r="P173" s="182">
        <f t="shared" si="327"/>
        <v>0.51582626060908632</v>
      </c>
      <c r="Q173" s="118">
        <f t="shared" ref="Q173:Q175" si="328">((P173/G173)^(1/($H$2-$H$1) ))-1</f>
        <v>-0.1851978206145859</v>
      </c>
      <c r="R173" s="128"/>
      <c r="S173" s="135">
        <f t="shared" ref="S173:AB173" si="329">S167/S60</f>
        <v>0.5271099600599104</v>
      </c>
      <c r="T173" s="135">
        <f t="shared" si="329"/>
        <v>0.53864049043622098</v>
      </c>
      <c r="U173" s="135">
        <f t="shared" si="329"/>
        <v>0.55042325116451285</v>
      </c>
      <c r="V173" s="135">
        <f t="shared" si="329"/>
        <v>0.56246375978373697</v>
      </c>
      <c r="W173" s="135">
        <f t="shared" si="329"/>
        <v>0.57476765452900613</v>
      </c>
      <c r="X173" s="135">
        <f t="shared" si="329"/>
        <v>0.58734069697182822</v>
      </c>
      <c r="Y173" s="135">
        <f t="shared" si="329"/>
        <v>0.60018877471808707</v>
      </c>
      <c r="Z173" s="135">
        <f t="shared" si="329"/>
        <v>0.61331790416504495</v>
      </c>
      <c r="AA173" s="135">
        <f t="shared" si="329"/>
        <v>0.62673423331865541</v>
      </c>
      <c r="AB173" s="135">
        <f t="shared" si="329"/>
        <v>0.6404440446725006</v>
      </c>
      <c r="AC173" s="138">
        <f t="shared" ref="AC173" si="330">((AB173/G173)^(1/($AB$3-$H$1) ))-1</f>
        <v>-8.206269479740369E-2</v>
      </c>
      <c r="AD173" s="31">
        <v>0.08</v>
      </c>
      <c r="AE173" s="127">
        <f t="shared" si="313"/>
        <v>4.1991962892837593</v>
      </c>
    </row>
    <row r="174" spans="2:31" x14ac:dyDescent="0.2">
      <c r="B174" s="20" t="s">
        <v>371</v>
      </c>
      <c r="C174" s="161" t="e">
        <f t="shared" ref="C174:P174" si="331">C52/C167</f>
        <v>#DIV/0!</v>
      </c>
      <c r="D174" s="161" t="e">
        <f t="shared" si="331"/>
        <v>#DIV/0!</v>
      </c>
      <c r="E174" s="161" t="e">
        <f t="shared" si="331"/>
        <v>#DIV/0!</v>
      </c>
      <c r="F174" s="161" t="e">
        <f t="shared" si="331"/>
        <v>#DIV/0!</v>
      </c>
      <c r="G174" s="161">
        <f t="shared" si="331"/>
        <v>0.28571428571428575</v>
      </c>
      <c r="H174" s="161">
        <f t="shared" si="331"/>
        <v>0.1240981240981241</v>
      </c>
      <c r="I174" s="161">
        <f t="shared" si="331"/>
        <v>9.3697745488093176E-2</v>
      </c>
      <c r="J174" s="161">
        <f t="shared" si="331"/>
        <v>7.9337025254310523E-2</v>
      </c>
      <c r="K174" s="161">
        <f t="shared" si="331"/>
        <v>0.12269061714571596</v>
      </c>
      <c r="L174" s="161">
        <f t="shared" si="331"/>
        <v>0.15387336399009552</v>
      </c>
      <c r="M174" s="161">
        <f t="shared" si="331"/>
        <v>7.2610985703536496E-2</v>
      </c>
      <c r="N174" s="161">
        <f t="shared" si="331"/>
        <v>8.6609113513815547E-2</v>
      </c>
      <c r="O174" s="161">
        <f t="shared" si="331"/>
        <v>0.12804256482931803</v>
      </c>
      <c r="P174" s="161">
        <f t="shared" si="331"/>
        <v>0.21873790166473092</v>
      </c>
      <c r="Q174" s="118">
        <f t="shared" si="328"/>
        <v>-2.9243668545158696E-2</v>
      </c>
      <c r="R174" s="128"/>
      <c r="S174" s="161">
        <f t="shared" ref="S174:AB174" si="332">S52/S167</f>
        <v>0.21405543893796297</v>
      </c>
      <c r="T174" s="161">
        <f t="shared" si="332"/>
        <v>0.20947321241635516</v>
      </c>
      <c r="U174" s="161">
        <f t="shared" si="332"/>
        <v>0.20498907637074509</v>
      </c>
      <c r="V174" s="161">
        <f t="shared" si="332"/>
        <v>0.20060093100501047</v>
      </c>
      <c r="W174" s="161">
        <f t="shared" si="332"/>
        <v>0.1963067214727931</v>
      </c>
      <c r="X174" s="161">
        <f t="shared" si="332"/>
        <v>0.19210443691527151</v>
      </c>
      <c r="Y174" s="161">
        <f t="shared" si="332"/>
        <v>0.18799210951953177</v>
      </c>
      <c r="Z174" s="161">
        <f t="shared" si="332"/>
        <v>0.1839678135970953</v>
      </c>
      <c r="AA174" s="161">
        <f t="shared" si="332"/>
        <v>0.1800296646821728</v>
      </c>
      <c r="AB174" s="161">
        <f t="shared" si="332"/>
        <v>0.17617581864922108</v>
      </c>
      <c r="AC174" s="138">
        <f t="shared" ref="AC174:AC175" si="333">((AB174/G174)^(1/($AB$3-$H$1) ))-1</f>
        <v>-2.5126818355206804E-2</v>
      </c>
      <c r="AD174" s="31">
        <v>0.08</v>
      </c>
      <c r="AE174" s="127">
        <f t="shared" si="313"/>
        <v>1.2267791489674444</v>
      </c>
    </row>
    <row r="175" spans="2:31" x14ac:dyDescent="0.2">
      <c r="B175" s="20" t="s">
        <v>320</v>
      </c>
      <c r="C175" s="152" t="e">
        <f t="shared" ref="C175:P175" si="334">C43/C167</f>
        <v>#DIV/0!</v>
      </c>
      <c r="D175" s="152" t="e">
        <f t="shared" si="334"/>
        <v>#DIV/0!</v>
      </c>
      <c r="E175" s="152" t="e">
        <f t="shared" si="334"/>
        <v>#DIV/0!</v>
      </c>
      <c r="F175" s="152" t="e">
        <f t="shared" si="334"/>
        <v>#DIV/0!</v>
      </c>
      <c r="G175" s="152">
        <f t="shared" si="334"/>
        <v>3.7037037037037035E-2</v>
      </c>
      <c r="H175" s="152">
        <f t="shared" si="334"/>
        <v>2.0202020202020204E-2</v>
      </c>
      <c r="I175" s="152">
        <f t="shared" si="334"/>
        <v>1.0638297872340425E-2</v>
      </c>
      <c r="J175" s="152">
        <f t="shared" si="334"/>
        <v>5.7971014492753624E-3</v>
      </c>
      <c r="K175" s="152">
        <f t="shared" si="334"/>
        <v>5.2238805970149247E-3</v>
      </c>
      <c r="L175" s="152">
        <f t="shared" si="334"/>
        <v>2.7272727272727271E-2</v>
      </c>
      <c r="M175" s="152">
        <f t="shared" si="334"/>
        <v>0.01</v>
      </c>
      <c r="N175" s="152">
        <f t="shared" si="334"/>
        <v>6.1855670103092781E-3</v>
      </c>
      <c r="O175" s="152">
        <f t="shared" si="334"/>
        <v>5.5045871559633022E-3</v>
      </c>
      <c r="P175" s="152">
        <f t="shared" si="334"/>
        <v>1.4285714285714285E-2</v>
      </c>
      <c r="Q175" s="118">
        <f t="shared" si="328"/>
        <v>-0.10044126530205078</v>
      </c>
      <c r="R175" s="128"/>
      <c r="S175" s="152">
        <f t="shared" ref="S175:AB175" si="335">S43/S167</f>
        <v>1.3761467889908256E-2</v>
      </c>
      <c r="T175" s="152">
        <f t="shared" si="335"/>
        <v>1.3256459893948318E-2</v>
      </c>
      <c r="U175" s="152">
        <f t="shared" si="335"/>
        <v>1.2769984301509848E-2</v>
      </c>
      <c r="V175" s="152">
        <f t="shared" si="335"/>
        <v>1.2301361024390221E-2</v>
      </c>
      <c r="W175" s="152">
        <f t="shared" si="335"/>
        <v>1.1849934931752047E-2</v>
      </c>
      <c r="X175" s="152">
        <f t="shared" si="335"/>
        <v>1.1415074934256558E-2</v>
      </c>
      <c r="Y175" s="152">
        <f t="shared" si="335"/>
        <v>1.0996173101806776E-2</v>
      </c>
      <c r="Z175" s="152">
        <f t="shared" si="335"/>
        <v>1.0592643813667077E-2</v>
      </c>
      <c r="AA175" s="152">
        <f t="shared" si="335"/>
        <v>1.0203922939771038E-2</v>
      </c>
      <c r="AB175" s="152">
        <f t="shared" si="335"/>
        <v>9.8294670520730175E-3</v>
      </c>
      <c r="AC175" s="138">
        <f t="shared" si="333"/>
        <v>-6.7436061433514216E-2</v>
      </c>
      <c r="AD175" s="31">
        <v>0.08</v>
      </c>
      <c r="AE175" s="127">
        <f t="shared" si="313"/>
        <v>6.5475760772076549E-2</v>
      </c>
    </row>
    <row r="176" spans="2:31" x14ac:dyDescent="0.2">
      <c r="B176" s="20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28"/>
      <c r="R176" s="128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7"/>
      <c r="AD176" s="20"/>
      <c r="AE176" s="127"/>
    </row>
    <row r="177" spans="2:45" x14ac:dyDescent="0.2">
      <c r="B177" s="20"/>
      <c r="C177" s="129"/>
      <c r="D177" s="129"/>
      <c r="E177" s="129"/>
      <c r="F177" s="129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28"/>
      <c r="R177" s="128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7"/>
      <c r="AD177" s="20"/>
      <c r="AE177" s="20"/>
    </row>
    <row r="178" spans="2:45" x14ac:dyDescent="0.2">
      <c r="B178" s="108" t="s">
        <v>301</v>
      </c>
      <c r="C178" s="20"/>
      <c r="D178" s="20"/>
      <c r="E178" s="20"/>
      <c r="F178" s="20"/>
      <c r="G178" s="20"/>
      <c r="H178" s="20"/>
      <c r="I178" s="20"/>
      <c r="J178" s="20"/>
      <c r="K178" s="198" t="s">
        <v>351</v>
      </c>
      <c r="L178" s="199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37"/>
      <c r="AD178" s="20"/>
      <c r="AE178" s="20"/>
    </row>
    <row r="179" spans="2:45" x14ac:dyDescent="0.2">
      <c r="B179" s="20" t="s">
        <v>299</v>
      </c>
      <c r="C179" s="20" t="s">
        <v>314</v>
      </c>
      <c r="D179" s="20"/>
      <c r="E179" s="20"/>
      <c r="F179" s="20"/>
      <c r="G179" s="20"/>
      <c r="H179" s="20"/>
      <c r="I179" s="20"/>
      <c r="J179" s="20"/>
      <c r="K179" s="20" t="s">
        <v>352</v>
      </c>
      <c r="L179" s="22">
        <v>1</v>
      </c>
      <c r="M179" s="20"/>
      <c r="N179" s="20"/>
      <c r="O179" s="20"/>
      <c r="P179" s="128">
        <f>(P167-R155)/P167</f>
        <v>0.86461878662138447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7"/>
      <c r="AD179" s="20"/>
      <c r="AE179" s="20"/>
    </row>
    <row r="180" spans="2:45" x14ac:dyDescent="0.2">
      <c r="B180" s="20" t="s">
        <v>349</v>
      </c>
      <c r="C180" s="20" t="s">
        <v>314</v>
      </c>
      <c r="D180" s="20"/>
      <c r="E180" s="20"/>
      <c r="F180" s="20"/>
      <c r="G180" s="20"/>
      <c r="H180" s="20"/>
      <c r="I180" s="20"/>
      <c r="J180" s="20"/>
      <c r="K180" s="172">
        <f>$L$179</f>
        <v>1</v>
      </c>
      <c r="L180" s="20"/>
      <c r="M180" s="128">
        <f>(P167-(K180*R146))/P167</f>
        <v>-3.4305355030022375</v>
      </c>
      <c r="N180" s="20"/>
      <c r="O180" s="20"/>
      <c r="P180" s="128">
        <f>(P167-R146)/P167</f>
        <v>-3.4305355030022375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45" x14ac:dyDescent="0.2">
      <c r="B181" s="20" t="s">
        <v>350</v>
      </c>
      <c r="C181" s="20" t="s">
        <v>314</v>
      </c>
      <c r="D181" s="20"/>
      <c r="E181" s="20"/>
      <c r="F181" s="20"/>
      <c r="G181" s="20"/>
      <c r="H181" s="20"/>
      <c r="I181" s="20"/>
      <c r="J181" s="20"/>
      <c r="K181" s="172">
        <f>$L$179</f>
        <v>1</v>
      </c>
      <c r="L181" s="20"/>
      <c r="M181" s="128">
        <f>(P167-(K181*R139))/P167</f>
        <v>-1.6698234409004971</v>
      </c>
      <c r="N181" s="20"/>
      <c r="O181" s="20"/>
      <c r="P181" s="128">
        <f>(P167-R139)/P167</f>
        <v>-1.6698234409004971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45" x14ac:dyDescent="0.2">
      <c r="B182" s="20" t="s">
        <v>353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172">
        <f>$L$179</f>
        <v>1</v>
      </c>
      <c r="L182" s="20"/>
      <c r="M182" s="128">
        <f>(P167-(K182*R152))/P167</f>
        <v>-16.735930865529038</v>
      </c>
      <c r="N182" s="20"/>
      <c r="O182" s="20"/>
      <c r="P182" s="128">
        <f>(P167-R152)/P167</f>
        <v>-16.735930865529038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45" x14ac:dyDescent="0.2">
      <c r="B183" s="20" t="s">
        <v>400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$L$179</f>
        <v>1</v>
      </c>
      <c r="L183" s="20"/>
      <c r="M183" s="128">
        <f>(P167-(K183*R164))/P167</f>
        <v>1</v>
      </c>
      <c r="N183" s="20"/>
      <c r="O183" s="20"/>
      <c r="P183" s="128">
        <f>(P167-R164)/P167</f>
        <v>1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45" x14ac:dyDescent="0.2">
      <c r="B184" s="20" t="s">
        <v>300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5">
        <f>P167/R138</f>
        <v>2.0003974355699037</v>
      </c>
      <c r="Q184" s="20"/>
      <c r="R184" s="20"/>
      <c r="S184" s="115" t="s">
        <v>11</v>
      </c>
      <c r="T184" s="115" t="s">
        <v>12</v>
      </c>
      <c r="U184" s="115" t="s">
        <v>13</v>
      </c>
      <c r="V184" s="115" t="s">
        <v>14</v>
      </c>
      <c r="W184" s="115" t="s">
        <v>15</v>
      </c>
      <c r="X184" s="115" t="s">
        <v>234</v>
      </c>
      <c r="Y184" s="115" t="s">
        <v>235</v>
      </c>
      <c r="Z184" s="115" t="s">
        <v>236</v>
      </c>
      <c r="AA184" s="115" t="s">
        <v>237</v>
      </c>
      <c r="AB184" s="115" t="s">
        <v>238</v>
      </c>
      <c r="AC184" s="115" t="s">
        <v>408</v>
      </c>
      <c r="AD184" s="115" t="s">
        <v>409</v>
      </c>
      <c r="AE184" s="115" t="s">
        <v>410</v>
      </c>
      <c r="AF184" s="115" t="s">
        <v>411</v>
      </c>
      <c r="AG184" s="115" t="s">
        <v>412</v>
      </c>
      <c r="AH184" s="115" t="s">
        <v>413</v>
      </c>
      <c r="AI184" s="115" t="s">
        <v>414</v>
      </c>
      <c r="AJ184" s="115" t="s">
        <v>415</v>
      </c>
      <c r="AK184" s="115" t="s">
        <v>416</v>
      </c>
      <c r="AL184" s="115" t="s">
        <v>417</v>
      </c>
      <c r="AM184" s="115" t="s">
        <v>418</v>
      </c>
      <c r="AN184" s="115" t="s">
        <v>419</v>
      </c>
      <c r="AO184" s="115" t="s">
        <v>420</v>
      </c>
      <c r="AP184" s="115" t="s">
        <v>421</v>
      </c>
      <c r="AQ184" s="115" t="s">
        <v>422</v>
      </c>
      <c r="AR184" s="115" t="s">
        <v>423</v>
      </c>
      <c r="AS184" s="115" t="s">
        <v>424</v>
      </c>
    </row>
    <row r="185" spans="2:45" x14ac:dyDescent="0.2">
      <c r="B185" s="20" t="s">
        <v>371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52">
        <f>1/P184</f>
        <v>0.49990066084798035</v>
      </c>
      <c r="Q185" s="20"/>
      <c r="R185" s="20"/>
      <c r="S185" s="185">
        <f>P167-S186</f>
        <v>48.840146899057743</v>
      </c>
      <c r="T185" s="185">
        <f>S185-T186</f>
        <v>26.622301143068373</v>
      </c>
      <c r="U185" s="185">
        <f t="shared" ref="U185:W185" si="336">T185-U186</f>
        <v>3.2935630992795346</v>
      </c>
      <c r="V185" s="185">
        <f t="shared" si="336"/>
        <v>-21.201611846698746</v>
      </c>
      <c r="W185" s="185">
        <f t="shared" si="336"/>
        <v>-46.921545539975938</v>
      </c>
      <c r="X185" s="185">
        <f>W185-X186</f>
        <v>-73.927475917916993</v>
      </c>
      <c r="Y185" s="185">
        <f t="shared" ref="Y185:AB185" si="337">X185-Y186</f>
        <v>-102.2837028147551</v>
      </c>
      <c r="Z185" s="185">
        <f t="shared" si="337"/>
        <v>-132.05774105643513</v>
      </c>
      <c r="AA185" s="185">
        <f t="shared" si="337"/>
        <v>-163.32048121019915</v>
      </c>
      <c r="AB185" s="185">
        <f t="shared" si="337"/>
        <v>-196.14635837165139</v>
      </c>
      <c r="AC185" s="185">
        <f t="shared" ref="AC185" si="338">AB185-AC186</f>
        <v>-230.61352939117623</v>
      </c>
      <c r="AD185" s="185">
        <f t="shared" ref="AD185" si="339">AC185-AD186</f>
        <v>-266.8040589616773</v>
      </c>
      <c r="AE185" s="185">
        <f t="shared" ref="AE185" si="340">AD185-AE186</f>
        <v>-304.80411501070341</v>
      </c>
      <c r="AF185" s="185">
        <f t="shared" ref="AF185" si="341">AE185-AF186</f>
        <v>-344.70417386218088</v>
      </c>
      <c r="AG185" s="185">
        <f t="shared" ref="AG185" si="342">AF185-AG186</f>
        <v>-386.59923565623222</v>
      </c>
      <c r="AH185" s="185">
        <f t="shared" ref="AH185" si="343">AG185-AH186</f>
        <v>-430.58905053998615</v>
      </c>
      <c r="AI185" s="185">
        <f t="shared" ref="AI185" si="344">AH185-AI186</f>
        <v>-476.77835616792777</v>
      </c>
      <c r="AJ185" s="185">
        <f t="shared" ref="AJ185" si="345">AI185-AJ186</f>
        <v>-525.27712707726641</v>
      </c>
      <c r="AK185" s="185">
        <f t="shared" ref="AK185" si="346">AJ185-AK186</f>
        <v>-576.200836532072</v>
      </c>
      <c r="AL185" s="185">
        <f t="shared" ref="AL185" si="347">AK185-AL186</f>
        <v>-629.67073145961785</v>
      </c>
      <c r="AM185" s="185">
        <f t="shared" ref="AM185" si="348">AL185-AM186</f>
        <v>-685.81412113354099</v>
      </c>
      <c r="AN185" s="185">
        <f t="shared" ref="AN185" si="349">AM185-AN186</f>
        <v>-744.7646802911604</v>
      </c>
      <c r="AO185" s="185">
        <f t="shared" ref="AO185" si="350">AN185-AO186</f>
        <v>-806.66276740666069</v>
      </c>
      <c r="AP185" s="185">
        <f t="shared" ref="AP185" si="351">AO185-AP186</f>
        <v>-871.65575887793602</v>
      </c>
      <c r="AQ185" s="185">
        <f t="shared" ref="AQ185" si="352">AP185-AQ186</f>
        <v>-939.89839992277518</v>
      </c>
      <c r="AR185" s="185">
        <f t="shared" ref="AR185" si="353">AQ185-AR186</f>
        <v>-1011.5531730198562</v>
      </c>
      <c r="AS185" s="185">
        <f t="shared" ref="AS185" si="354">AR185-AS186</f>
        <v>-1086.7906847717913</v>
      </c>
    </row>
    <row r="186" spans="2:45" x14ac:dyDescent="0.2">
      <c r="B186" s="20" t="s">
        <v>397</v>
      </c>
      <c r="C186" s="20"/>
      <c r="D186" s="20"/>
      <c r="E186" s="20"/>
      <c r="F186" s="20"/>
      <c r="G186" s="20"/>
      <c r="H186" s="20"/>
      <c r="I186" s="20"/>
      <c r="J186" s="20"/>
      <c r="K186" s="184">
        <f>P1</f>
        <v>0.05</v>
      </c>
      <c r="L186" s="20"/>
      <c r="M186" s="187"/>
      <c r="N186" s="20"/>
      <c r="O186" s="20"/>
      <c r="P186" s="181">
        <f>P167/Q137</f>
        <v>3.4735590861321728</v>
      </c>
      <c r="Q186" s="20"/>
      <c r="R186" s="20"/>
      <c r="S186" s="186">
        <f>Q137*(1+$K$186)</f>
        <v>21.159853100942257</v>
      </c>
      <c r="T186" s="186">
        <f>S186*(1+$K$186)</f>
        <v>22.217845755989369</v>
      </c>
      <c r="U186" s="186">
        <f t="shared" ref="U186:AB186" si="355">T186*(1+$K$186)</f>
        <v>23.328738043788839</v>
      </c>
      <c r="V186" s="186">
        <f t="shared" si="355"/>
        <v>24.495174945978281</v>
      </c>
      <c r="W186" s="186">
        <f t="shared" si="355"/>
        <v>25.719933693277195</v>
      </c>
      <c r="X186" s="186">
        <f t="shared" si="355"/>
        <v>27.005930377941056</v>
      </c>
      <c r="Y186" s="186">
        <f t="shared" si="355"/>
        <v>28.356226896838109</v>
      </c>
      <c r="Z186" s="186">
        <f t="shared" si="355"/>
        <v>29.774038241680017</v>
      </c>
      <c r="AA186" s="186">
        <f t="shared" si="355"/>
        <v>31.262740153764021</v>
      </c>
      <c r="AB186" s="186">
        <f t="shared" si="355"/>
        <v>32.825877161452226</v>
      </c>
      <c r="AC186" s="186">
        <f t="shared" ref="AC186" si="356">AB186*(1+$K$186)</f>
        <v>34.467171019524841</v>
      </c>
      <c r="AD186" s="186">
        <f t="shared" ref="AD186" si="357">AC186*(1+$K$186)</f>
        <v>36.190529570501084</v>
      </c>
      <c r="AE186" s="186">
        <f t="shared" ref="AE186" si="358">AD186*(1+$K$186)</f>
        <v>38.000056049026142</v>
      </c>
      <c r="AF186" s="186">
        <f t="shared" ref="AF186" si="359">AE186*(1+$K$186)</f>
        <v>39.900058851477453</v>
      </c>
      <c r="AG186" s="186">
        <f t="shared" ref="AG186" si="360">AF186*(1+$K$186)</f>
        <v>41.89506179405133</v>
      </c>
      <c r="AH186" s="186">
        <f t="shared" ref="AH186" si="361">AG186*(1+$K$186)</f>
        <v>43.989814883753901</v>
      </c>
      <c r="AI186" s="186">
        <f t="shared" ref="AI186" si="362">AH186*(1+$K$186)</f>
        <v>46.1893056279416</v>
      </c>
      <c r="AJ186" s="186">
        <f t="shared" ref="AJ186" si="363">AI186*(1+$K$186)</f>
        <v>48.498770909338681</v>
      </c>
      <c r="AK186" s="186">
        <f t="shared" ref="AK186" si="364">AJ186*(1+$K$186)</f>
        <v>50.923709454805618</v>
      </c>
      <c r="AL186" s="186">
        <f t="shared" ref="AL186" si="365">AK186*(1+$K$186)</f>
        <v>53.469894927545901</v>
      </c>
      <c r="AM186" s="186">
        <f t="shared" ref="AM186" si="366">AL186*(1+$K$186)</f>
        <v>56.143389673923195</v>
      </c>
      <c r="AN186" s="186">
        <f t="shared" ref="AN186" si="367">AM186*(1+$K$186)</f>
        <v>58.950559157619359</v>
      </c>
      <c r="AO186" s="186">
        <f t="shared" ref="AO186" si="368">AN186*(1+$K$186)</f>
        <v>61.898087115500331</v>
      </c>
      <c r="AP186" s="186">
        <f t="shared" ref="AP186" si="369">AO186*(1+$K$186)</f>
        <v>64.992991471275346</v>
      </c>
      <c r="AQ186" s="186">
        <f t="shared" ref="AQ186" si="370">AP186*(1+$K$186)</f>
        <v>68.242641044839118</v>
      </c>
      <c r="AR186" s="186">
        <f t="shared" ref="AR186" si="371">AQ186*(1+$K$186)</f>
        <v>71.654773097081076</v>
      </c>
      <c r="AS186" s="186">
        <f t="shared" ref="AS186" si="372">AR186*(1+$K$186)</f>
        <v>75.237511751935131</v>
      </c>
    </row>
    <row r="187" spans="2:45" x14ac:dyDescent="0.2">
      <c r="B187" s="20" t="s">
        <v>396</v>
      </c>
      <c r="C187" s="20"/>
      <c r="D187" s="20"/>
      <c r="E187" s="20"/>
      <c r="F187" s="20"/>
      <c r="G187" s="20"/>
      <c r="H187" s="20"/>
      <c r="I187" s="20"/>
      <c r="J187" s="20"/>
      <c r="K187" s="184">
        <f>P1</f>
        <v>0.05</v>
      </c>
      <c r="L187" s="20"/>
      <c r="M187" s="187"/>
      <c r="N187" s="20"/>
      <c r="O187" s="20"/>
      <c r="P187" s="181">
        <f>P167/P52</f>
        <v>4.5716814159292039</v>
      </c>
      <c r="Q187" s="20"/>
      <c r="R187" s="20"/>
      <c r="S187" s="186">
        <f>P52*(1+$K$187)</f>
        <v>16.077235772357724</v>
      </c>
      <c r="T187" s="186">
        <f>S187*(1+$K$187)</f>
        <v>16.881097560975611</v>
      </c>
      <c r="U187" s="186">
        <f t="shared" ref="U187:AB187" si="373">T187*(1+$K$187)</f>
        <v>17.725152439024392</v>
      </c>
      <c r="V187" s="186">
        <f t="shared" si="373"/>
        <v>18.611410060975611</v>
      </c>
      <c r="W187" s="186">
        <f t="shared" si="373"/>
        <v>19.541980564024392</v>
      </c>
      <c r="X187" s="186">
        <f t="shared" si="373"/>
        <v>20.519079592225612</v>
      </c>
      <c r="Y187" s="186">
        <f t="shared" si="373"/>
        <v>21.545033571836893</v>
      </c>
      <c r="Z187" s="186">
        <f t="shared" si="373"/>
        <v>22.622285250428739</v>
      </c>
      <c r="AA187" s="186">
        <f t="shared" si="373"/>
        <v>23.753399512950178</v>
      </c>
      <c r="AB187" s="186">
        <f t="shared" si="373"/>
        <v>24.941069488597687</v>
      </c>
      <c r="AC187" s="186">
        <f t="shared" ref="AC187" si="374">AB187*(1+$K$187)</f>
        <v>26.188122963027574</v>
      </c>
      <c r="AD187" s="186">
        <f t="shared" ref="AD187" si="375">AC187*(1+$K$187)</f>
        <v>27.497529111178952</v>
      </c>
      <c r="AE187" s="186">
        <f t="shared" ref="AE187" si="376">AD187*(1+$K$187)</f>
        <v>28.8724055667379</v>
      </c>
      <c r="AF187" s="186">
        <f t="shared" ref="AF187" si="377">AE187*(1+$K$187)</f>
        <v>30.316025845074797</v>
      </c>
      <c r="AG187" s="186">
        <f t="shared" ref="AG187" si="378">AF187*(1+$K$187)</f>
        <v>31.831827137328538</v>
      </c>
      <c r="AH187" s="186">
        <f t="shared" ref="AH187" si="379">AG187*(1+$K$187)</f>
        <v>33.423418494194969</v>
      </c>
      <c r="AI187" s="186">
        <f t="shared" ref="AI187" si="380">AH187*(1+$K$187)</f>
        <v>35.094589418904718</v>
      </c>
      <c r="AJ187" s="186">
        <f t="shared" ref="AJ187" si="381">AI187*(1+$K$187)</f>
        <v>36.849318889849954</v>
      </c>
      <c r="AK187" s="186">
        <f t="shared" ref="AK187" si="382">AJ187*(1+$K$187)</f>
        <v>38.691784834342457</v>
      </c>
      <c r="AL187" s="186">
        <f t="shared" ref="AL187" si="383">AK187*(1+$K$187)</f>
        <v>40.626374076059584</v>
      </c>
      <c r="AM187" s="186">
        <f t="shared" ref="AM187" si="384">AL187*(1+$K$187)</f>
        <v>42.657692779862565</v>
      </c>
      <c r="AN187" s="186">
        <f t="shared" ref="AN187" si="385">AM187*(1+$K$187)</f>
        <v>44.790577418855698</v>
      </c>
      <c r="AO187" s="186">
        <f t="shared" ref="AO187" si="386">AN187*(1+$K$187)</f>
        <v>47.030106289798482</v>
      </c>
      <c r="AP187" s="186">
        <f t="shared" ref="AP187" si="387">AO187*(1+$K$187)</f>
        <v>49.381611604288409</v>
      </c>
      <c r="AQ187" s="186">
        <f t="shared" ref="AQ187" si="388">AP187*(1+$K$187)</f>
        <v>51.850692184502833</v>
      </c>
      <c r="AR187" s="186">
        <f t="shared" ref="AR187" si="389">AQ187*(1+$K$187)</f>
        <v>54.44322679372798</v>
      </c>
      <c r="AS187" s="186">
        <f t="shared" ref="AS187" si="390">AR187*(1+$K$187)</f>
        <v>57.165388133414382</v>
      </c>
    </row>
    <row r="188" spans="2:45" x14ac:dyDescent="0.2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85">
        <f>P167-S187</f>
        <v>53.922764227642276</v>
      </c>
      <c r="T188" s="185">
        <f>S188-T187</f>
        <v>37.041666666666664</v>
      </c>
      <c r="U188" s="185">
        <f t="shared" ref="U188:Z188" si="391">T188-U187</f>
        <v>19.316514227642273</v>
      </c>
      <c r="V188" s="185">
        <f t="shared" si="391"/>
        <v>0.70510416666666131</v>
      </c>
      <c r="W188" s="185">
        <f t="shared" si="391"/>
        <v>-18.836876397357731</v>
      </c>
      <c r="X188" s="185">
        <f t="shared" si="391"/>
        <v>-39.355955989583343</v>
      </c>
      <c r="Y188" s="185">
        <f t="shared" si="391"/>
        <v>-60.900989561420232</v>
      </c>
      <c r="Z188" s="185">
        <f t="shared" si="391"/>
        <v>-83.523274811848978</v>
      </c>
      <c r="AA188" s="185">
        <f>Z188-AA187</f>
        <v>-107.27667432479916</v>
      </c>
      <c r="AB188" s="185">
        <f t="shared" ref="AB188" si="392">AA188-AB187</f>
        <v>-132.21774381339685</v>
      </c>
      <c r="AC188" s="185">
        <f t="shared" ref="AC188" si="393">AB188-AC187</f>
        <v>-158.40586677642443</v>
      </c>
      <c r="AD188" s="185">
        <f t="shared" ref="AD188" si="394">AC188-AD187</f>
        <v>-185.90339588760338</v>
      </c>
      <c r="AE188" s="185">
        <f t="shared" ref="AE188" si="395">AD188-AE187</f>
        <v>-214.77580145434129</v>
      </c>
      <c r="AF188" s="185">
        <f t="shared" ref="AF188" si="396">AE188-AF187</f>
        <v>-245.09182729941608</v>
      </c>
      <c r="AG188" s="185">
        <f t="shared" ref="AG188" si="397">AF188-AG187</f>
        <v>-276.92365443674464</v>
      </c>
      <c r="AH188" s="185">
        <f t="shared" ref="AH188" si="398">AG188-AH187</f>
        <v>-310.34707293093959</v>
      </c>
      <c r="AI188" s="185">
        <f t="shared" ref="AI188" si="399">AH188-AI187</f>
        <v>-345.44166234984431</v>
      </c>
      <c r="AJ188" s="185">
        <f t="shared" ref="AJ188" si="400">AI188-AJ187</f>
        <v>-382.29098123969425</v>
      </c>
      <c r="AK188" s="185">
        <f t="shared" ref="AK188" si="401">AJ188-AK187</f>
        <v>-420.9827660740367</v>
      </c>
      <c r="AL188" s="185">
        <f t="shared" ref="AL188" si="402">AK188-AL187</f>
        <v>-461.60914015009627</v>
      </c>
      <c r="AM188" s="185">
        <f t="shared" ref="AM188" si="403">AL188-AM187</f>
        <v>-504.26683292995881</v>
      </c>
      <c r="AN188" s="185">
        <f t="shared" ref="AN188" si="404">AM188-AN187</f>
        <v>-549.05741034881453</v>
      </c>
      <c r="AO188" s="185">
        <f t="shared" ref="AO188" si="405">AN188-AO187</f>
        <v>-596.08751663861301</v>
      </c>
      <c r="AP188" s="185">
        <f t="shared" ref="AP188" si="406">AO188-AP187</f>
        <v>-645.46912824290143</v>
      </c>
      <c r="AQ188" s="185">
        <f t="shared" ref="AQ188" si="407">AP188-AQ187</f>
        <v>-697.31982042740424</v>
      </c>
      <c r="AR188" s="185">
        <f t="shared" ref="AR188" si="408">AQ188-AR187</f>
        <v>-751.76304722113218</v>
      </c>
      <c r="AS188" s="185">
        <f t="shared" ref="AS188" si="409">AR188-AS187</f>
        <v>-808.92843535454654</v>
      </c>
    </row>
    <row r="189" spans="2:45" x14ac:dyDescent="0.2">
      <c r="B189" s="108" t="s">
        <v>302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45" x14ac:dyDescent="0.2">
      <c r="B190" s="20" t="s">
        <v>305</v>
      </c>
      <c r="C190" s="25" t="e">
        <f t="shared" ref="C190:P190" si="410">C10/C7</f>
        <v>#DIV/0!</v>
      </c>
      <c r="D190" s="25" t="e">
        <f t="shared" si="410"/>
        <v>#DIV/0!</v>
      </c>
      <c r="E190" s="25" t="e">
        <f t="shared" si="410"/>
        <v>#DIV/0!</v>
      </c>
      <c r="F190" s="25" t="e">
        <f t="shared" si="410"/>
        <v>#DIV/0!</v>
      </c>
      <c r="G190" s="25">
        <f t="shared" si="410"/>
        <v>2.5929203539823007</v>
      </c>
      <c r="H190" s="25">
        <f t="shared" si="410"/>
        <v>4.3378378378378377</v>
      </c>
      <c r="I190" s="25">
        <f t="shared" si="410"/>
        <v>5.6949152542372881</v>
      </c>
      <c r="J190" s="25">
        <f t="shared" si="410"/>
        <v>10.754045307443366</v>
      </c>
      <c r="K190" s="25">
        <f t="shared" si="410"/>
        <v>1.229404309252218</v>
      </c>
      <c r="L190" s="25">
        <f t="shared" si="410"/>
        <v>2.1334792122538295</v>
      </c>
      <c r="M190" s="25">
        <f t="shared" si="410"/>
        <v>1.8234265734265733</v>
      </c>
      <c r="N190" s="25">
        <f t="shared" si="410"/>
        <v>1.5852130325814537</v>
      </c>
      <c r="O190" s="25">
        <f t="shared" si="410"/>
        <v>1.6378269617706238</v>
      </c>
      <c r="P190" s="25">
        <f t="shared" si="410"/>
        <v>1.1300745650372825</v>
      </c>
      <c r="Q190" s="118">
        <f t="shared" ref="Q190:Q192" si="411">((P190/G190)^(1/($H$2-$H$1) ))-1</f>
        <v>-8.8148296655029323E-2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 x14ac:dyDescent="0.2">
      <c r="B191" s="20" t="s">
        <v>306</v>
      </c>
      <c r="C191" s="112" t="e">
        <f>C10/C12</f>
        <v>#DIV/0!</v>
      </c>
      <c r="D191" s="112" t="e">
        <f>D10/D12</f>
        <v>#DIV/0!</v>
      </c>
      <c r="E191" s="112" t="e">
        <f>E10/E12</f>
        <v>#DIV/0!</v>
      </c>
      <c r="F191" s="112" t="e">
        <f>F10/F12</f>
        <v>#DIV/0!</v>
      </c>
      <c r="G191" s="112">
        <f>G10/G12</f>
        <v>2.0206896551724136</v>
      </c>
      <c r="H191" s="112">
        <f t="shared" ref="H191:P191" si="412">H10/H12</f>
        <v>1.0974358974358975</v>
      </c>
      <c r="I191" s="112">
        <f t="shared" si="412"/>
        <v>1.1107438016528925</v>
      </c>
      <c r="J191" s="112">
        <f t="shared" si="412"/>
        <v>0.57650936849410128</v>
      </c>
      <c r="K191" s="112">
        <f t="shared" si="412"/>
        <v>0.19400000000000001</v>
      </c>
      <c r="L191" s="112">
        <f t="shared" si="412"/>
        <v>0.35217626873758351</v>
      </c>
      <c r="M191" s="112">
        <f t="shared" si="412"/>
        <v>0.3135427626634601</v>
      </c>
      <c r="N191" s="112">
        <f t="shared" si="412"/>
        <v>0.32435897435897437</v>
      </c>
      <c r="O191" s="112">
        <f t="shared" si="412"/>
        <v>0.41456582633053224</v>
      </c>
      <c r="P191" s="112">
        <f t="shared" si="412"/>
        <v>0.27709497206703909</v>
      </c>
      <c r="Q191" s="118">
        <f t="shared" si="411"/>
        <v>-0.1980903356375564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 t="s">
        <v>307</v>
      </c>
      <c r="C192" s="25" t="e">
        <f>C10/(C12+C13)</f>
        <v>#DIV/0!</v>
      </c>
      <c r="D192" s="25" t="e">
        <f>D10/(D12+D13)</f>
        <v>#DIV/0!</v>
      </c>
      <c r="E192" s="25" t="e">
        <f>E10/(E12+E13)</f>
        <v>#DIV/0!</v>
      </c>
      <c r="F192" s="25" t="e">
        <f>F10/(F12+F13)</f>
        <v>#DIV/0!</v>
      </c>
      <c r="G192" s="25">
        <f>G10/(G12+G13)</f>
        <v>1.9533333333333334</v>
      </c>
      <c r="H192" s="25">
        <f t="shared" ref="H192:P192" si="413">H10/(H12+H13)</f>
        <v>1.0881355932203389</v>
      </c>
      <c r="I192" s="25">
        <f t="shared" si="413"/>
        <v>1.1061728395061727</v>
      </c>
      <c r="J192" s="25">
        <f t="shared" si="413"/>
        <v>0.57590987868284227</v>
      </c>
      <c r="K192" s="25">
        <f t="shared" si="413"/>
        <v>0.18886292834890966</v>
      </c>
      <c r="L192" s="25">
        <f t="shared" si="413"/>
        <v>0.3292806484295846</v>
      </c>
      <c r="M192" s="25">
        <f t="shared" si="413"/>
        <v>0.31333459508338063</v>
      </c>
      <c r="N192" s="25">
        <f t="shared" si="413"/>
        <v>0.3242168177542667</v>
      </c>
      <c r="O192" s="25">
        <f t="shared" si="413"/>
        <v>0.41438643826202054</v>
      </c>
      <c r="P192" s="25">
        <f t="shared" si="413"/>
        <v>0.27699874700713412</v>
      </c>
      <c r="Q192" s="118">
        <f t="shared" si="411"/>
        <v>-0.19509503779621473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174" t="s">
        <v>377</v>
      </c>
      <c r="D195" s="175"/>
      <c r="E195" s="175"/>
      <c r="F195" s="175"/>
      <c r="G195" s="175"/>
      <c r="H195" s="175"/>
      <c r="I195" s="175"/>
      <c r="J195" s="175"/>
      <c r="K195" s="20"/>
      <c r="L195" s="195" t="s">
        <v>337</v>
      </c>
      <c r="M195" s="196"/>
      <c r="N195" s="197"/>
      <c r="O195" s="23" t="s">
        <v>340</v>
      </c>
      <c r="P195" s="20"/>
      <c r="Q195" s="195" t="s">
        <v>338</v>
      </c>
      <c r="R195" s="196"/>
      <c r="S195" s="197"/>
      <c r="T195" s="23" t="s">
        <v>340</v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166" t="s">
        <v>339</v>
      </c>
      <c r="D196" s="166" t="s">
        <v>0</v>
      </c>
      <c r="E196" s="166" t="s">
        <v>378</v>
      </c>
      <c r="F196" s="166" t="s">
        <v>379</v>
      </c>
      <c r="G196" s="166" t="s">
        <v>380</v>
      </c>
      <c r="H196" s="166" t="s">
        <v>381</v>
      </c>
      <c r="I196" s="166" t="s">
        <v>382</v>
      </c>
      <c r="J196" s="166" t="s">
        <v>383</v>
      </c>
      <c r="K196" s="20"/>
      <c r="L196" s="166" t="s">
        <v>339</v>
      </c>
      <c r="M196" s="166"/>
      <c r="N196" s="166" t="s">
        <v>0</v>
      </c>
      <c r="O196" s="166" t="s">
        <v>372</v>
      </c>
      <c r="P196" s="20"/>
      <c r="Q196" s="166" t="s">
        <v>339</v>
      </c>
      <c r="R196" s="166"/>
      <c r="S196" s="166" t="s">
        <v>0</v>
      </c>
      <c r="T196" s="166" t="s">
        <v>372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67" t="s">
        <v>341</v>
      </c>
      <c r="D197" s="21">
        <v>135</v>
      </c>
      <c r="E197" s="176" t="s">
        <v>384</v>
      </c>
      <c r="F197" s="22">
        <v>2</v>
      </c>
      <c r="G197" s="22">
        <v>1</v>
      </c>
      <c r="H197" s="167">
        <f>F197/G197</f>
        <v>2</v>
      </c>
      <c r="I197" s="167">
        <f>H197*D198</f>
        <v>4</v>
      </c>
      <c r="J197" s="177">
        <f>I197+D198</f>
        <v>6</v>
      </c>
      <c r="K197" s="20"/>
      <c r="L197" s="167" t="s">
        <v>341</v>
      </c>
      <c r="M197" s="167"/>
      <c r="N197" s="21">
        <v>5</v>
      </c>
      <c r="O197" s="173">
        <f>N197</f>
        <v>5</v>
      </c>
      <c r="P197" s="20"/>
      <c r="Q197" s="167" t="s">
        <v>341</v>
      </c>
      <c r="R197" s="167"/>
      <c r="S197" s="21">
        <v>135</v>
      </c>
      <c r="T197" s="173">
        <f>S197</f>
        <v>135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7" t="s">
        <v>342</v>
      </c>
      <c r="D198" s="21">
        <v>2</v>
      </c>
      <c r="E198" s="176" t="s">
        <v>385</v>
      </c>
      <c r="F198" s="22">
        <v>0</v>
      </c>
      <c r="G198" s="22">
        <v>1</v>
      </c>
      <c r="H198" s="167">
        <f>F198/G198</f>
        <v>0</v>
      </c>
      <c r="I198" s="167">
        <f>H198*J197</f>
        <v>0</v>
      </c>
      <c r="J198" s="167">
        <f>I198+J197</f>
        <v>6</v>
      </c>
      <c r="K198" s="20"/>
      <c r="L198" s="167" t="s">
        <v>342</v>
      </c>
      <c r="M198" s="167"/>
      <c r="N198" s="21">
        <v>1</v>
      </c>
      <c r="O198" s="173">
        <f>N198</f>
        <v>1</v>
      </c>
      <c r="P198" s="20"/>
      <c r="Q198" s="167" t="s">
        <v>342</v>
      </c>
      <c r="R198" s="167"/>
      <c r="S198" s="21">
        <v>2</v>
      </c>
      <c r="T198" s="173">
        <f>S198</f>
        <v>2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7" t="s">
        <v>344</v>
      </c>
      <c r="D199" s="168">
        <f>D197*D198</f>
        <v>270</v>
      </c>
      <c r="E199" s="176" t="s">
        <v>398</v>
      </c>
      <c r="F199" s="22">
        <v>0</v>
      </c>
      <c r="G199" s="22">
        <v>1</v>
      </c>
      <c r="H199" s="167">
        <f>F199/G199</f>
        <v>0</v>
      </c>
      <c r="I199" s="167">
        <f>H199*J198</f>
        <v>0</v>
      </c>
      <c r="J199" s="167">
        <f>I199+J198</f>
        <v>6</v>
      </c>
      <c r="K199" s="20"/>
      <c r="L199" s="167" t="s">
        <v>343</v>
      </c>
      <c r="M199" s="167"/>
      <c r="N199" s="168">
        <f>N197*N198</f>
        <v>5</v>
      </c>
      <c r="O199" s="173">
        <f>N199</f>
        <v>5</v>
      </c>
      <c r="P199" s="20"/>
      <c r="Q199" s="167" t="s">
        <v>344</v>
      </c>
      <c r="R199" s="167"/>
      <c r="S199" s="168">
        <f>S197*S198</f>
        <v>270</v>
      </c>
      <c r="T199" s="173">
        <f>S199</f>
        <v>270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/>
      <c r="D200" s="168"/>
      <c r="E200" s="176" t="s">
        <v>386</v>
      </c>
      <c r="F200" s="22">
        <v>10</v>
      </c>
      <c r="G200" s="22">
        <v>1</v>
      </c>
      <c r="H200" s="167">
        <f>F200/G200</f>
        <v>10</v>
      </c>
      <c r="I200" s="167">
        <f>H200*J199</f>
        <v>60</v>
      </c>
      <c r="J200" s="167">
        <f>I200</f>
        <v>60</v>
      </c>
      <c r="K200" s="20"/>
      <c r="L200" s="167" t="s">
        <v>345</v>
      </c>
      <c r="M200" s="167"/>
      <c r="N200" s="21">
        <v>110</v>
      </c>
      <c r="O200" s="21">
        <v>170</v>
      </c>
      <c r="P200" s="20"/>
      <c r="Q200" s="167" t="s">
        <v>345</v>
      </c>
      <c r="R200" s="167"/>
      <c r="S200" s="21">
        <v>100</v>
      </c>
      <c r="T200" s="21">
        <v>150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 t="s">
        <v>345</v>
      </c>
      <c r="D201" s="21">
        <v>100</v>
      </c>
      <c r="E201" s="176"/>
      <c r="F201" s="167"/>
      <c r="G201" s="167"/>
      <c r="H201" s="169" t="s">
        <v>387</v>
      </c>
      <c r="I201" s="167"/>
      <c r="J201" s="167">
        <f>J200</f>
        <v>60</v>
      </c>
      <c r="K201" s="20"/>
      <c r="L201" s="167" t="s">
        <v>346</v>
      </c>
      <c r="M201" s="167"/>
      <c r="N201" s="168">
        <f>N200*N198</f>
        <v>110</v>
      </c>
      <c r="O201" s="168">
        <f>O200*O198</f>
        <v>170</v>
      </c>
      <c r="P201" s="20"/>
      <c r="Q201" s="167" t="s">
        <v>342</v>
      </c>
      <c r="R201" s="167"/>
      <c r="S201" s="21">
        <v>60</v>
      </c>
      <c r="T201" s="127">
        <f>S201</f>
        <v>60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7" t="s">
        <v>342</v>
      </c>
      <c r="D202" s="21">
        <v>60</v>
      </c>
      <c r="E202" s="176" t="s">
        <v>386</v>
      </c>
      <c r="F202" s="22">
        <v>10</v>
      </c>
      <c r="G202" s="22">
        <v>2</v>
      </c>
      <c r="H202" s="167">
        <f>F202/G202</f>
        <v>5</v>
      </c>
      <c r="I202" s="177">
        <f>H202*D198</f>
        <v>10</v>
      </c>
      <c r="J202" s="177">
        <f>I202</f>
        <v>10</v>
      </c>
      <c r="K202" s="20"/>
      <c r="L202" s="167"/>
      <c r="M202" s="167"/>
      <c r="N202" s="168"/>
      <c r="O202" s="168"/>
      <c r="P202" s="20"/>
      <c r="Q202" s="167" t="s">
        <v>344</v>
      </c>
      <c r="R202" s="167"/>
      <c r="S202" s="168">
        <f>S201*S200</f>
        <v>6000</v>
      </c>
      <c r="T202" s="168">
        <f>T201*T200</f>
        <v>9000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7" t="s">
        <v>344</v>
      </c>
      <c r="D203" s="168">
        <f>D202*D201</f>
        <v>6000</v>
      </c>
      <c r="E203" s="167"/>
      <c r="F203" s="167"/>
      <c r="G203" s="167"/>
      <c r="H203" s="169" t="s">
        <v>387</v>
      </c>
      <c r="I203" s="167"/>
      <c r="J203" s="167">
        <f>J202</f>
        <v>10</v>
      </c>
      <c r="K203" s="20"/>
      <c r="L203" s="167"/>
      <c r="M203" s="167"/>
      <c r="N203" s="168"/>
      <c r="O203" s="168"/>
      <c r="P203" s="20"/>
      <c r="Q203" s="167"/>
      <c r="R203" s="167"/>
      <c r="S203" s="168"/>
      <c r="T203" s="168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7"/>
      <c r="D204" s="168"/>
      <c r="E204" s="176" t="s">
        <v>386</v>
      </c>
      <c r="F204" s="22">
        <v>10</v>
      </c>
      <c r="G204" s="22">
        <v>2</v>
      </c>
      <c r="H204" s="167">
        <f>F204/G204</f>
        <v>5</v>
      </c>
      <c r="I204" s="167">
        <f>H204*J203</f>
        <v>50</v>
      </c>
      <c r="J204" s="167">
        <f>I204</f>
        <v>50</v>
      </c>
      <c r="K204" s="20"/>
      <c r="L204" s="169" t="s">
        <v>347</v>
      </c>
      <c r="M204" s="169"/>
      <c r="N204" s="170">
        <f>N201/N199</f>
        <v>22</v>
      </c>
      <c r="O204" s="170">
        <f>O201/O199</f>
        <v>34</v>
      </c>
      <c r="P204" s="20"/>
      <c r="Q204" s="169" t="s">
        <v>347</v>
      </c>
      <c r="R204" s="169"/>
      <c r="S204" s="170">
        <f>S202/S199</f>
        <v>22.222222222222221</v>
      </c>
      <c r="T204" s="170">
        <f>T202/T199</f>
        <v>33.333333333333336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9" t="s">
        <v>347</v>
      </c>
      <c r="D205" s="170">
        <f>D203/D199</f>
        <v>22.222222222222221</v>
      </c>
      <c r="E205" s="176"/>
      <c r="F205" s="167"/>
      <c r="G205" s="167"/>
      <c r="H205" s="169" t="s">
        <v>387</v>
      </c>
      <c r="I205" s="167"/>
      <c r="J205" s="167">
        <f>J204</f>
        <v>50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20"/>
      <c r="D207" s="137"/>
      <c r="E207" s="178"/>
      <c r="F207" s="178"/>
      <c r="G207" s="179"/>
      <c r="H207" s="20"/>
      <c r="I207" s="137"/>
      <c r="J207" s="178"/>
      <c r="K207" s="179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ht="14.25" x14ac:dyDescent="0.2">
      <c r="B208" s="20"/>
      <c r="C208" s="20"/>
      <c r="D208" s="188" t="s">
        <v>27</v>
      </c>
      <c r="E208" s="189"/>
      <c r="F208" s="189"/>
      <c r="G208" s="190"/>
      <c r="H208" s="20"/>
      <c r="I208" s="188" t="s">
        <v>393</v>
      </c>
      <c r="J208" s="189"/>
      <c r="K208" s="19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/>
      <c r="C209" s="20"/>
      <c r="D209" s="20" t="s">
        <v>28</v>
      </c>
      <c r="E209" s="127"/>
      <c r="F209" s="127"/>
      <c r="G209" s="21">
        <f>D199</f>
        <v>270</v>
      </c>
      <c r="H209" s="20"/>
      <c r="I209" s="20" t="s">
        <v>28</v>
      </c>
      <c r="J209" s="127"/>
      <c r="K209" s="21">
        <f>G209</f>
        <v>270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20" t="s">
        <v>29</v>
      </c>
      <c r="E210" s="127"/>
      <c r="F210" s="127"/>
      <c r="G210" s="21">
        <f>D203</f>
        <v>6000</v>
      </c>
      <c r="H210" s="20"/>
      <c r="I210" s="20" t="s">
        <v>29</v>
      </c>
      <c r="J210" s="20"/>
      <c r="K210" s="21">
        <f>G210</f>
        <v>6000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30</v>
      </c>
      <c r="E211" s="20"/>
      <c r="F211" s="20"/>
      <c r="G211" s="22">
        <v>1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3" t="s">
        <v>31</v>
      </c>
      <c r="E212" s="3"/>
      <c r="F212" s="3"/>
      <c r="G212" s="3">
        <f>((G210/G209)^(1/G211))-1</f>
        <v>21.222222222222221</v>
      </c>
      <c r="H212" s="20"/>
      <c r="I212" s="23" t="s">
        <v>394</v>
      </c>
      <c r="J212" s="23"/>
      <c r="K212" s="207">
        <f>(K210-K209)/K209</f>
        <v>21.222222222222221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3" t="s">
        <v>32</v>
      </c>
      <c r="E213" s="165"/>
      <c r="F213" s="165"/>
      <c r="G213" s="24">
        <f>G211*12</f>
        <v>12</v>
      </c>
      <c r="H213" s="20"/>
      <c r="I213" s="23" t="s">
        <v>395</v>
      </c>
      <c r="J213" s="23"/>
      <c r="K213" s="23">
        <f>K210/K209</f>
        <v>22.222222222222221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0" t="s">
        <v>30</v>
      </c>
      <c r="E214" s="25"/>
      <c r="F214" s="25"/>
      <c r="G214" s="25">
        <f>G213/12</f>
        <v>1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3" t="s">
        <v>33</v>
      </c>
      <c r="E215" s="3"/>
      <c r="F215" s="3"/>
      <c r="G215" s="3">
        <f>((G210/G209)^(1/G214))-1</f>
        <v>21.222222222222221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C217" s="20"/>
      <c r="D217" s="20"/>
      <c r="E217" s="20"/>
      <c r="F217" s="20"/>
      <c r="G217" s="20"/>
      <c r="H217" s="20"/>
      <c r="I217" s="20"/>
      <c r="J217" s="20"/>
      <c r="K217" s="20"/>
    </row>
  </sheetData>
  <mergeCells count="7">
    <mergeCell ref="D208:G208"/>
    <mergeCell ref="I208:K208"/>
    <mergeCell ref="AD2:AE2"/>
    <mergeCell ref="AD3:AE3"/>
    <mergeCell ref="L195:N195"/>
    <mergeCell ref="Q195:S195"/>
    <mergeCell ref="K178:L178"/>
  </mergeCells>
  <pageMargins left="0.7" right="0.7" top="0.75" bottom="0.75" header="0.3" footer="0.3"/>
  <pageSetup orientation="portrait" r:id="rId1"/>
  <ignoredErrors>
    <ignoredError sqref="C169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0" t="s">
        <v>27</v>
      </c>
      <c r="K5" s="200"/>
      <c r="M5" s="200" t="s">
        <v>65</v>
      </c>
      <c r="N5" s="200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0" t="s">
        <v>36</v>
      </c>
      <c r="K14" s="200"/>
      <c r="L14" s="200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0" t="s">
        <v>27</v>
      </c>
      <c r="S5" s="200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0" t="s">
        <v>36</v>
      </c>
      <c r="S14" s="200"/>
      <c r="T14" s="200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0" t="s">
        <v>27</v>
      </c>
      <c r="C2" s="200"/>
      <c r="E2" s="200" t="s">
        <v>65</v>
      </c>
      <c r="F2" s="200"/>
      <c r="H2" s="204" t="s">
        <v>36</v>
      </c>
      <c r="I2" s="205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1" t="s">
        <v>68</v>
      </c>
      <c r="E10" s="202"/>
      <c r="F10" s="202"/>
      <c r="G10" s="202"/>
      <c r="H10" s="203"/>
      <c r="I10" s="201" t="s">
        <v>72</v>
      </c>
      <c r="J10" s="202"/>
      <c r="K10" s="202"/>
      <c r="L10" s="203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2014-04-14T11:37:26Z</dcterms:modified>
</cp:coreProperties>
</file>
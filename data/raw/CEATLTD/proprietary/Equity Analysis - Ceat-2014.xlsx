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42" i="18" l="1"/>
  <c r="Q40" i="18"/>
  <c r="Q38" i="18"/>
  <c r="Q36" i="18"/>
  <c r="Q29" i="18"/>
  <c r="Q27" i="18"/>
  <c r="Q25" i="18"/>
  <c r="L12" i="18"/>
  <c r="Q18" i="18"/>
  <c r="Q16" i="18"/>
  <c r="Q15" i="18"/>
  <c r="Q14" i="18"/>
  <c r="Q13" i="18"/>
  <c r="Q12" i="18"/>
  <c r="Q10" i="18"/>
  <c r="Q9" i="18"/>
  <c r="Q7" i="18"/>
  <c r="Q6" i="18"/>
  <c r="F115" i="18" l="1"/>
  <c r="F180" i="18" l="1"/>
  <c r="E180" i="18"/>
  <c r="D180" i="18"/>
  <c r="C180" i="18"/>
  <c r="Q191" i="18" l="1"/>
  <c r="Q197" i="18"/>
  <c r="Q196" i="18"/>
  <c r="Q195" i="18"/>
  <c r="Q179" i="18"/>
  <c r="Q50" i="18"/>
  <c r="Q172" i="18" s="1"/>
  <c r="Q51" i="18"/>
  <c r="Q52" i="18"/>
  <c r="Q91" i="18" s="1"/>
  <c r="Q54" i="18"/>
  <c r="Q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111" i="18" s="1"/>
  <c r="Q112" i="18" s="1"/>
  <c r="Q72" i="18"/>
  <c r="Q74" i="18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95" i="18"/>
  <c r="Q101" i="18" s="1"/>
  <c r="Q96" i="18"/>
  <c r="Q102" i="18" s="1"/>
  <c r="Q97" i="18"/>
  <c r="Q103" i="18" s="1"/>
  <c r="Q100" i="18"/>
  <c r="Q106" i="18"/>
  <c r="Q107" i="18"/>
  <c r="Q108" i="18"/>
  <c r="Q109" i="18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73" i="18"/>
  <c r="T192" i="18"/>
  <c r="T193" i="18" s="1"/>
  <c r="Q66" i="18"/>
  <c r="Q175" i="18" s="1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P91" i="18" s="1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H192" i="18" l="1"/>
  <c r="Q180" i="18"/>
  <c r="Q181" i="18" s="1"/>
  <c r="R52" i="18"/>
  <c r="R91" i="18"/>
  <c r="S44" i="18"/>
  <c r="S42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K218" i="18" s="1"/>
  <c r="Y38" i="18"/>
  <c r="D210" i="18"/>
  <c r="R55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K217" i="18" l="1"/>
  <c r="R103" i="18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P192" i="18" s="1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R141" i="18" l="1"/>
  <c r="T191" i="18" s="1"/>
  <c r="T190" i="18" s="1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81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91" i="18" l="1"/>
  <c r="G181" i="18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<sst xmlns="http://schemas.openxmlformats.org/spreadsheetml/2006/main" count="647" uniqueCount="456">
  <si>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</si>
  <si>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</si>
  <si>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</si>
  <si>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</si>
  <si>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</si>
  <si>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</si>
  <si>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</si>
  <si>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</si>
  <si>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</si>
  <si>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</si>
  <si>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</si>
  <si>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</si>
  <si>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</si>
  <si>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</si>
  <si>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</si>
  <si>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</si>
  <si>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</si>
  <si>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</si>
  <si>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</si>
  <si>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</si>
  <si>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</si>
  <si>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</si>
  <si>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</si>
  <si>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</si>
  <si>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</si>
  <si>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</si>
  <si>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</si>
  <si>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</si>
  <si>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</si>
  <si>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</si>
  <si>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</si>
  <si>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</si>
  <si>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</si>
  <si>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</si>
  <si>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</si>
  <si>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</si>
  <si>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</si>
  <si>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</si>
  <si>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</si>
  <si>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</si>
  <si>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</si>
  <si>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</si>
  <si>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</si>
  <si>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</si>
  <si>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</si>
  <si>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</si>
  <si>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</si>
  <si>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</si>
  <si>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</si>
  <si>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</si>
  <si>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</si>
  <si>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</si>
  <si>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</si>
  <si>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</si>
  <si>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</si>
  <si>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</si>
  <si>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</si>
  <si>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</si>
  <si>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</si>
  <si>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</si>
  <si>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</si>
  <si>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</si>
  <si>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</si>
  <si>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</si>
  <si>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</si>
  <si>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</si>
  <si>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</si>
  <si>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</si>
  <si>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</si>
  <si>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</si>
  <si>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</si>
  <si>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</si>
  <si>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</si>
  <si>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</si>
  <si>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</si>
  <si>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</si>
  <si>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</si>
  <si>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</si>
  <si>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</si>
  <si>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</si>
  <si>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</si>
  <si>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</si>
  <si>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</si>
  <si>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</si>
  <si>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</si>
  <si>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</si>
  <si>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</si>
  <si>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</si>
  <si>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</si>
  <si>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</si>
  <si>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</si>
  <si>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</si>
  <si>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</si>
  <si>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</si>
  <si>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</si>
  <si>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</si>
  <si>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</si>
  <si>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</si>
  <si>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</si>
  <si>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</si>
  <si>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</si>
  <si>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</si>
  <si>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</si>
  <si>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</si>
  <si>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</si>
  <si>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</si>
  <si>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</si>
  <si>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</si>
  <si>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</si>
  <si>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</si>
  <si>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</si>
  <si>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</si>
  <si>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</si>
  <si>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</si>
  <si>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</si>
  <si>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</si>
  <si>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</si>
  <si>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</si>
  <si>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</si>
  <si>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</si>
  <si>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</si>
  <si>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</si>
  <si>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</si>
  <si>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</si>
  <si>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</si>
  <si>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</si>
  <si>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</si>
  <si>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</si>
  <si>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</si>
  <si>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</si>
  <si>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</si>
  <si>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</si>
  <si>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</si>
  <si>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</si>
  <si>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</si>
  <si>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</si>
  <si>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</si>
  <si>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</si>
  <si>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</si>
  <si>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</si>
  <si>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</si>
  <si>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</si>
  <si>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</si>
  <si>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</si>
  <si>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</si>
  <si>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</si>
  <si>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</si>
  <si>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</si>
  <si>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</si>
  <si>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</si>
  <si>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</si>
  <si>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</si>
  <si>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</si>
  <si>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</si>
  <si>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</si>
  <si>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</si>
  <si>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</si>
  <si>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</si>
  <si>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</si>
  <si>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</si>
  <si>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</si>
  <si>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</si>
  <si>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</si>
  <si>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</si>
  <si>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</si>
  <si>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</si>
  <si>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</si>
  <si>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</si>
  <si>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</si>
  <si>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</si>
  <si>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</si>
  <si>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</si>
  <si>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</si>
  <si>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</si>
  <si>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</si>
  <si>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</si>
  <si>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</si>
  <si>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</si>
  <si>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</si>
  <si>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</si>
  <si>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</si>
  <si>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</si>
  <si>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</si>
  <si>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</si>
  <si>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</si>
  <si>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</si>
  <si>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</si>
  <si>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</si>
  <si>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</si>
  <si>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</si>
  <si>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</si>
  <si>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</si>
  <si>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</si>
  <si>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</si>
  <si>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</si>
  <si>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</si>
  <si>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</si>
  <si>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</si>
  <si>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</si>
  <si>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</si>
  <si>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</si>
  <si>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</si>
  <si>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</si>
  <si>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</si>
  <si>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</si>
  <si>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</si>
  <si>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</si>
  <si>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</si>
  <si>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</si>
  <si>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</si>
  <si>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</si>
  <si>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</si>
  <si>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</si>
  <si>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</si>
  <si>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</si>
  <si>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</si>
  <si>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</si>
  <si>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</si>
  <si>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</si>
  <si>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</si>
  <si>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</si>
  <si>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</si>
  <si>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</si>
  <si>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</si>
  <si>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</si>
  <si>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</si>
  <si>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</si>
  <si>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</si>
  <si>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</si>
  <si>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</si>
  <si>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</si>
  <si>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</si>
  <si>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</si>
  <si>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</si>
  <si>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</si>
  <si>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</si>
  <si>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</si>
  <si>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</si>
  <si>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</si>
  <si>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</si>
  <si>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</si>
  <si>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</si>
  <si>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</si>
  <si>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</si>
  <si>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</si>
  <si>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</si>
  <si>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</si>
  <si>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</si>
  <si>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</si>
  <si>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</si>
  <si>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</si>
  <si>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</si>
  <si>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</si>
  <si>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</si>
  <si>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</si>
  <si>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</si>
  <si>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</si>
  <si>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</si>
  <si>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</si>
  <si>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</si>
  <si>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</si>
  <si>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</si>
  <si>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</si>
  <si>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</si>
  <si>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</si>
  <si>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</si>
  <si>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</si>
  <si>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</si>
  <si>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</si>
  <si>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</si>
  <si>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</si>
  <si>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</si>
  <si>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</si>
  <si>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</si>
  <si>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</si>
  <si>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</si>
  <si>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</si>
  <si>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</si>
  <si>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</si>
  <si>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</si>
  <si>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</si>
  <si>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</si>
  <si>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</si>
  <si>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</si>
  <si>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</si>
  <si>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</si>
  <si>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</si>
  <si>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</si>
  <si>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</si>
  <si>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</si>
  <si>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</si>
  <si>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</si>
  <si>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</si>
  <si>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</si>
  <si>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</si>
  <si>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</si>
  <si>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</si>
  <si>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</si>
  <si>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</si>
  <si>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</si>
  <si>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</si>
  <si>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</si>
  <si>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</si>
  <si>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</si>
  <si>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</si>
  <si>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</si>
  <si>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</si>
  <si>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</si>
  <si>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</si>
  <si>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</si>
  <si>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</si>
  <si>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</si>
  <si>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</si>
  <si>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</si>
  <si>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</si>
  <si>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</si>
  <si>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</si>
  <si>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</si>
  <si>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</si>
  <si>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</si>
  <si>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</si>
  <si>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</si>
  <si>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</si>
  <si>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</si>
  <si>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</si>
  <si>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</si>
  <si>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</si>
  <si>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</si>
  <si>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</si>
  <si>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</si>
  <si>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</si>
  <si>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</si>
  <si>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</si>
  <si>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</si>
  <si>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</si>
  <si>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</si>
  <si>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</si>
  <si>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</si>
  <si>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</si>
  <si>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</si>
  <si>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</si>
  <si>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</si>
  <si>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</si>
  <si>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</si>
  <si>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</si>
  <si>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</si>
  <si>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</si>
  <si>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</si>
  <si>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</si>
  <si>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</si>
  <si>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</si>
  <si>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</si>
  <si>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</si>
  <si>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</si>
  <si>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</si>
  <si>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</si>
  <si>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</si>
  <si>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</si>
  <si>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</si>
  <si>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</si>
  <si>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</si>
  <si>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</si>
  <si>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</si>
  <si>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</si>
  <si>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</si>
  <si>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</si>
  <si>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</si>
  <si>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</si>
  <si>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</si>
  <si>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</si>
  <si>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</si>
  <si>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</si>
  <si>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</si>
  <si>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</si>
  <si>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</si>
  <si>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</si>
  <si>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</si>
  <si>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</si>
  <si>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</si>
  <si>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</si>
  <si>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</si>
  <si>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</si>
  <si>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</si>
  <si>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</si>
  <si>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</si>
  <si>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</si>
  <si>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</si>
  <si>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</si>
  <si>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</si>
  <si>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</si>
  <si>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</si>
  <si>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</si>
  <si>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</si>
  <si>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</si>
  <si>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</si>
  <si>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</si>
  <si>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</si>
  <si>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</si>
  <si>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</si>
  <si>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</si>
  <si>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</si>
  <si>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</si>
  <si>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</si>
  <si>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</si>
  <si>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</si>
  <si>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</si>
  <si>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</si>
  <si>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</si>
  <si>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</si>
  <si>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</si>
  <si>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</si>
  <si>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</si>
  <si>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</si>
  <si>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</si>
  <si>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</si>
  <si>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</si>
  <si>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</si>
  <si>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</si>
  <si>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</si>
  <si>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</si>
  <si>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</si>
  <si>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</si>
  <si>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</si>
  <si>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</si>
  <si>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</si>
  <si>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</si>
  <si>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</si>
  <si>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</si>
  <si>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</si>
  <si>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</si>
  <si>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</si>
  <si>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</si>
  <si>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</si>
  <si>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</si>
  <si>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</si>
  <si>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</si>
  <si>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</si>
  <si>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</si>
  <si>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</si>
  <si>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</si>
  <si>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</si>
  <si>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</si>
  <si>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</si>
  <si>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</si>
  <si>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</si>
  <si>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</si>
  <si>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</si>
  <si>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</si>
  <si>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</si>
  <si>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</si>
  <si>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</si>
  <si>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</si>
  <si>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</si>
  <si>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</si>
  <si>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</si>
  <si>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3x10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</si>
</sst>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81920"/>
        <c:axId val="33283456"/>
      </c:lineChart>
      <c:catAx>
        <c:axId val="33281920"/>
        <c:scaling>
          <c:orientation val="minMax"/>
        </c:scaling>
        <c:delete val="0"/>
        <c:axPos val="b"/>
        <c:majorTickMark val="out"/>
        <c:minorTickMark val="none"/>
        <c:tickLblPos val="nextTo"/>
        <c:crossAx val="33283456"/>
        <c:crosses val="autoZero"/>
        <c:auto val="1"/>
        <c:lblAlgn val="ctr"/>
        <c:lblOffset val="100"/>
        <c:noMultiLvlLbl val="0"/>
      </c:catAx>
      <c:valAx>
        <c:axId val="33283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2819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166" activePane="bottomRight" state="frozen"/>
      <selection pane="topRight" activeCell="C1" sqref="C1"/>
      <selection pane="bottomLeft" activeCell="A5" sqref="A5"/>
      <selection pane="bottomRight" activeCell="Q171" sqref="Q17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291</v>
      </c>
      <c r="AF2" s="202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3" t="s">
        <v>292</v>
      </c>
      <c r="AF3" s="204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3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299</v>
      </c>
      <c r="H6" s="147">
        <v>262</v>
      </c>
      <c r="I6" s="147">
        <v>303</v>
      </c>
      <c r="J6" s="147">
        <v>333</v>
      </c>
      <c r="K6" s="147">
        <v>465</v>
      </c>
      <c r="L6" s="147">
        <v>449</v>
      </c>
      <c r="M6" s="147">
        <v>595</v>
      </c>
      <c r="N6" s="147">
        <v>613</v>
      </c>
      <c r="O6" s="147">
        <v>640</v>
      </c>
      <c r="P6" s="147">
        <v>747</v>
      </c>
      <c r="Q6" s="193">
        <f>P6</f>
        <v>747</v>
      </c>
      <c r="R6" s="118">
        <f>((Q6/G6)^(1/($H$2-$H$1) ))-1</f>
        <v>0.10709086729823114</v>
      </c>
      <c r="S6" s="31">
        <f>$L$2</f>
        <v>0.12</v>
      </c>
      <c r="T6" s="154">
        <f>Q6*(1+$S6)</f>
        <v>836.6400000000001</v>
      </c>
      <c r="U6" s="154">
        <f>T6*(1+$S6)</f>
        <v>937.0368000000002</v>
      </c>
      <c r="V6" s="154">
        <f t="shared" ref="V6:AC6" si="0">U6*(1+$S6)</f>
        <v>1049.4812160000004</v>
      </c>
      <c r="W6" s="154">
        <f t="shared" si="0"/>
        <v>1175.4189619200006</v>
      </c>
      <c r="X6" s="154">
        <f t="shared" si="0"/>
        <v>1316.4692373504008</v>
      </c>
      <c r="Y6" s="154">
        <f t="shared" si="0"/>
        <v>1474.4455458324489</v>
      </c>
      <c r="Z6" s="154">
        <f t="shared" si="0"/>
        <v>1651.379011332343</v>
      </c>
      <c r="AA6" s="154">
        <f t="shared" si="0"/>
        <v>1849.5444926922244</v>
      </c>
      <c r="AB6" s="154">
        <f t="shared" si="0"/>
        <v>2071.4898318152914</v>
      </c>
      <c r="AC6" s="154">
        <f t="shared" si="0"/>
        <v>2320.0686116331267</v>
      </c>
      <c r="AD6" s="138">
        <f>((AC6/G6)^(1/($AC$3-$H$1) ))-1</f>
        <v>0.1078768359322908</v>
      </c>
      <c r="AE6" s="31">
        <f>$L$1</f>
        <v>0.05</v>
      </c>
      <c r="AF6" s="146">
        <f t="shared" ref="AF6:AF44" si="1">(AC6*(1+AE6))/($C$1-AE6)</f>
        <v>14329.835542439903</v>
      </c>
    </row>
    <row r="7" spans="2:32" x14ac:dyDescent="0.2">
      <c r="B7" s="20" t="s">
        <v>240</v>
      </c>
      <c r="C7" s="141"/>
      <c r="D7" s="141"/>
      <c r="E7" s="147"/>
      <c r="F7" s="147"/>
      <c r="G7" s="147">
        <v>624</v>
      </c>
      <c r="H7" s="147">
        <v>630</v>
      </c>
      <c r="I7" s="147">
        <v>350</v>
      </c>
      <c r="J7" s="147">
        <v>378</v>
      </c>
      <c r="K7" s="147">
        <v>513</v>
      </c>
      <c r="L7" s="147">
        <v>488</v>
      </c>
      <c r="M7" s="147">
        <v>630</v>
      </c>
      <c r="N7" s="147">
        <v>653</v>
      </c>
      <c r="O7" s="147">
        <v>678</v>
      </c>
      <c r="P7" s="147">
        <v>785</v>
      </c>
      <c r="Q7" s="193">
        <f>P7</f>
        <v>785</v>
      </c>
      <c r="R7" s="118">
        <f>((Q7/G7)^(1/($H$2-$H$1) ))-1</f>
        <v>2.5831707472875332E-2</v>
      </c>
      <c r="S7" s="31">
        <f>$L$2</f>
        <v>0.12</v>
      </c>
      <c r="T7" s="154">
        <f t="shared" ref="T7:T44" si="2">Q7*(1+$S7)</f>
        <v>879.2</v>
      </c>
      <c r="U7" s="154">
        <f t="shared" ref="U7:AC7" si="3">T7*(1+$S7)</f>
        <v>984.70400000000018</v>
      </c>
      <c r="V7" s="154">
        <f t="shared" si="3"/>
        <v>1102.8684800000003</v>
      </c>
      <c r="W7" s="154">
        <f t="shared" si="3"/>
        <v>1235.2126976000004</v>
      </c>
      <c r="X7" s="154">
        <f t="shared" si="3"/>
        <v>1383.4382213120007</v>
      </c>
      <c r="Y7" s="154">
        <f t="shared" si="3"/>
        <v>1549.450807869441</v>
      </c>
      <c r="Z7" s="154">
        <f t="shared" si="3"/>
        <v>1735.384904813774</v>
      </c>
      <c r="AA7" s="154">
        <f t="shared" si="3"/>
        <v>1943.6310933914272</v>
      </c>
      <c r="AB7" s="154">
        <f t="shared" si="3"/>
        <v>2176.8668245983986</v>
      </c>
      <c r="AC7" s="154">
        <f t="shared" si="3"/>
        <v>2438.0908435502065</v>
      </c>
      <c r="AD7" s="138">
        <f>((AC7/G7)^(1/($AC$3-$H$1) ))-1</f>
        <v>7.0516251465804203E-2</v>
      </c>
      <c r="AE7" s="31">
        <f>$L$1</f>
        <v>0.05</v>
      </c>
      <c r="AF7" s="146">
        <f t="shared" si="1"/>
        <v>15058.79638663363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9.5238095238095247E-3</v>
      </c>
      <c r="I8" s="151">
        <f t="shared" ref="I8:Q8" si="4">(I7-H7)/I7</f>
        <v>-0.8</v>
      </c>
      <c r="J8" s="151">
        <f t="shared" si="4"/>
        <v>7.407407407407407E-2</v>
      </c>
      <c r="K8" s="151">
        <f t="shared" si="4"/>
        <v>0.26315789473684209</v>
      </c>
      <c r="L8" s="151">
        <f t="shared" si="4"/>
        <v>-5.1229508196721313E-2</v>
      </c>
      <c r="M8" s="151">
        <f t="shared" si="4"/>
        <v>0.2253968253968254</v>
      </c>
      <c r="N8" s="151">
        <f t="shared" si="4"/>
        <v>3.5222052067381319E-2</v>
      </c>
      <c r="O8" s="151">
        <f t="shared" si="4"/>
        <v>3.687315634218289E-2</v>
      </c>
      <c r="P8" s="151">
        <f t="shared" si="4"/>
        <v>0.13630573248407643</v>
      </c>
      <c r="Q8" s="19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592</v>
      </c>
      <c r="H9" s="147">
        <v>598</v>
      </c>
      <c r="I9" s="147">
        <v>613</v>
      </c>
      <c r="J9" s="147">
        <v>638</v>
      </c>
      <c r="K9" s="147">
        <v>706</v>
      </c>
      <c r="L9" s="147">
        <v>701</v>
      </c>
      <c r="M9" s="147">
        <v>1020</v>
      </c>
      <c r="N9" s="147">
        <v>1107</v>
      </c>
      <c r="O9" s="147">
        <v>1264</v>
      </c>
      <c r="P9" s="147">
        <v>1449</v>
      </c>
      <c r="Q9" s="193">
        <f>P9</f>
        <v>1449</v>
      </c>
      <c r="R9" s="118">
        <f>((Q9/G9)^(1/($H$2-$H$1) ))-1</f>
        <v>0.10457211547021683</v>
      </c>
      <c r="S9" s="31">
        <f t="shared" ref="S9:S40" si="5">$L$2</f>
        <v>0.12</v>
      </c>
      <c r="T9" s="154">
        <f t="shared" si="2"/>
        <v>1622.88</v>
      </c>
      <c r="U9" s="154">
        <f t="shared" ref="U9" si="6">T9*(1+$S9)</f>
        <v>1817.6256000000003</v>
      </c>
      <c r="V9" s="154">
        <f t="shared" ref="V9" si="7">U9*(1+$S9)</f>
        <v>2035.7406720000006</v>
      </c>
      <c r="W9" s="154">
        <f t="shared" ref="W9" si="8">V9*(1+$S9)</f>
        <v>2280.0295526400009</v>
      </c>
      <c r="X9" s="154">
        <f t="shared" ref="X9" si="9">W9*(1+$S9)</f>
        <v>2553.6330989568014</v>
      </c>
      <c r="Y9" s="154">
        <f t="shared" ref="Y9" si="10">X9*(1+$S9)</f>
        <v>2860.0690708316179</v>
      </c>
      <c r="Z9" s="154">
        <f t="shared" ref="Z9" si="11">Y9*(1+$S9)</f>
        <v>3203.2773593314123</v>
      </c>
      <c r="AA9" s="154">
        <f t="shared" ref="AA9" si="12">Z9*(1+$S9)</f>
        <v>3587.6706424511822</v>
      </c>
      <c r="AB9" s="154">
        <f t="shared" ref="AB9" si="13">AA9*(1+$S9)</f>
        <v>4018.1911195453245</v>
      </c>
      <c r="AC9" s="154">
        <f t="shared" ref="AC9" si="14">AB9*(1+$S9)</f>
        <v>4500.3740538907641</v>
      </c>
      <c r="AD9" s="138">
        <f>((AC9/G9)^(1/($AC$3-$H$1) ))-1</f>
        <v>0.10674188245593164</v>
      </c>
      <c r="AE9" s="31">
        <f t="shared" ref="AE9:AE81" si="15">$L$1</f>
        <v>0.05</v>
      </c>
      <c r="AF9" s="146">
        <f t="shared" si="1"/>
        <v>27796.427979913547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470</v>
      </c>
      <c r="H10" s="147">
        <v>450</v>
      </c>
      <c r="I10" s="147">
        <v>417</v>
      </c>
      <c r="J10" s="147">
        <v>377</v>
      </c>
      <c r="K10" s="147">
        <v>330</v>
      </c>
      <c r="L10" s="147">
        <v>461</v>
      </c>
      <c r="M10" s="147">
        <v>445</v>
      </c>
      <c r="N10" s="147">
        <v>1050</v>
      </c>
      <c r="O10" s="147">
        <v>1095</v>
      </c>
      <c r="P10" s="147">
        <v>828</v>
      </c>
      <c r="Q10" s="193">
        <f>P10</f>
        <v>828</v>
      </c>
      <c r="R10" s="118">
        <f>((Q10/G10)^(1/($H$2-$H$1) ))-1</f>
        <v>6.4941694884786072E-2</v>
      </c>
      <c r="S10" s="31">
        <f t="shared" si="5"/>
        <v>0.12</v>
      </c>
      <c r="T10" s="154">
        <f t="shared" si="2"/>
        <v>927.36000000000013</v>
      </c>
      <c r="U10" s="154">
        <f t="shared" ref="U10:AC10" si="16">T10*(1+$S10)</f>
        <v>1038.6432000000002</v>
      </c>
      <c r="V10" s="154">
        <f t="shared" si="16"/>
        <v>1163.2803840000004</v>
      </c>
      <c r="W10" s="154">
        <f t="shared" si="16"/>
        <v>1302.8740300800005</v>
      </c>
      <c r="X10" s="154">
        <f t="shared" si="16"/>
        <v>1459.2189136896006</v>
      </c>
      <c r="Y10" s="154">
        <f t="shared" si="16"/>
        <v>1634.3251833323529</v>
      </c>
      <c r="Z10" s="154">
        <f t="shared" si="16"/>
        <v>1830.4442053322355</v>
      </c>
      <c r="AA10" s="154">
        <f t="shared" si="16"/>
        <v>2050.097509972104</v>
      </c>
      <c r="AB10" s="154">
        <f t="shared" si="16"/>
        <v>2296.1092111687567</v>
      </c>
      <c r="AC10" s="154">
        <f t="shared" si="16"/>
        <v>2571.6423165090077</v>
      </c>
      <c r="AD10" s="138">
        <f t="shared" ref="AD10:AD42" si="17">((AC10/G10)^(1/($AC$3-$H$1) ))-1</f>
        <v>8.8693513253565337E-2</v>
      </c>
      <c r="AE10" s="31">
        <f t="shared" si="15"/>
        <v>0.05</v>
      </c>
      <c r="AF10" s="146">
        <f t="shared" si="1"/>
        <v>15883.67313137917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-4.4444444444444446E-2</v>
      </c>
      <c r="I11" s="148">
        <f t="shared" si="18"/>
        <v>-7.9136690647482008E-2</v>
      </c>
      <c r="J11" s="148">
        <f t="shared" si="18"/>
        <v>-0.10610079575596817</v>
      </c>
      <c r="K11" s="148">
        <f t="shared" si="18"/>
        <v>-0.14242424242424243</v>
      </c>
      <c r="L11" s="148">
        <f t="shared" si="18"/>
        <v>0.2841648590021692</v>
      </c>
      <c r="M11" s="148">
        <f t="shared" si="18"/>
        <v>-3.5955056179775284E-2</v>
      </c>
      <c r="N11" s="148">
        <f t="shared" si="18"/>
        <v>0.57619047619047614</v>
      </c>
      <c r="O11" s="148">
        <f t="shared" si="18"/>
        <v>4.1095890410958902E-2</v>
      </c>
      <c r="P11" s="148">
        <f t="shared" si="18"/>
        <v>-0.32246376811594202</v>
      </c>
      <c r="Q11" s="19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40</v>
      </c>
      <c r="H12" s="147">
        <v>30</v>
      </c>
      <c r="I12" s="147">
        <v>38</v>
      </c>
      <c r="J12" s="147">
        <v>40</v>
      </c>
      <c r="K12" s="147">
        <v>42</v>
      </c>
      <c r="L12" s="147">
        <f>43+92</f>
        <v>135</v>
      </c>
      <c r="M12" s="147">
        <v>140</v>
      </c>
      <c r="N12" s="147">
        <v>49</v>
      </c>
      <c r="O12" s="147">
        <v>36</v>
      </c>
      <c r="P12" s="147">
        <v>112</v>
      </c>
      <c r="Q12" s="193">
        <f>P12</f>
        <v>112</v>
      </c>
      <c r="R12" s="118">
        <f>((Q12/G12)^(1/($H$2-$H$1) ))-1</f>
        <v>0.12120293435923335</v>
      </c>
      <c r="S12" s="31">
        <f t="shared" si="5"/>
        <v>0.12</v>
      </c>
      <c r="T12" s="154">
        <f t="shared" si="2"/>
        <v>125.44000000000001</v>
      </c>
      <c r="U12" s="154">
        <f t="shared" ref="U12:AC12" si="19">T12*(1+$S12)</f>
        <v>140.49280000000002</v>
      </c>
      <c r="V12" s="154">
        <f t="shared" si="19"/>
        <v>157.35193600000002</v>
      </c>
      <c r="W12" s="154">
        <f t="shared" si="19"/>
        <v>176.23416832000004</v>
      </c>
      <c r="X12" s="154">
        <f t="shared" si="19"/>
        <v>197.38226851840005</v>
      </c>
      <c r="Y12" s="154">
        <f t="shared" si="19"/>
        <v>221.06814074060807</v>
      </c>
      <c r="Z12" s="154">
        <f t="shared" si="19"/>
        <v>247.59631762948106</v>
      </c>
      <c r="AA12" s="154">
        <f t="shared" si="19"/>
        <v>277.3078757450188</v>
      </c>
      <c r="AB12" s="154">
        <f t="shared" si="19"/>
        <v>310.58482083442107</v>
      </c>
      <c r="AC12" s="154">
        <f t="shared" si="19"/>
        <v>347.85499933455162</v>
      </c>
      <c r="AD12" s="138">
        <f t="shared" si="17"/>
        <v>0.114209643340204</v>
      </c>
      <c r="AE12" s="31">
        <f t="shared" si="15"/>
        <v>0.05</v>
      </c>
      <c r="AF12" s="146">
        <f t="shared" si="1"/>
        <v>2148.516172360466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191</v>
      </c>
      <c r="H13" s="147">
        <v>191</v>
      </c>
      <c r="I13" s="147">
        <v>128</v>
      </c>
      <c r="J13" s="147">
        <v>128</v>
      </c>
      <c r="K13" s="147">
        <v>10</v>
      </c>
      <c r="L13" s="147">
        <v>43</v>
      </c>
      <c r="M13" s="147">
        <v>43</v>
      </c>
      <c r="N13" s="147">
        <v>43</v>
      </c>
      <c r="O13" s="147">
        <v>31</v>
      </c>
      <c r="P13" s="147">
        <v>0.5</v>
      </c>
      <c r="Q13" s="193">
        <f>P13</f>
        <v>0.5</v>
      </c>
      <c r="R13" s="118">
        <f>((Q13/G13)^(1/($H$2-$H$1) ))-1</f>
        <v>-0.48345986609264702</v>
      </c>
      <c r="S13" s="31">
        <f t="shared" si="5"/>
        <v>0.12</v>
      </c>
      <c r="T13" s="154">
        <f t="shared" si="2"/>
        <v>0.56000000000000005</v>
      </c>
      <c r="U13" s="154">
        <f t="shared" ref="U13:AC13" si="20">T13*(1+$S13)</f>
        <v>0.62720000000000009</v>
      </c>
      <c r="V13" s="154">
        <f t="shared" si="20"/>
        <v>0.7024640000000002</v>
      </c>
      <c r="W13" s="154">
        <f t="shared" si="20"/>
        <v>0.78675968000000029</v>
      </c>
      <c r="X13" s="154">
        <f t="shared" si="20"/>
        <v>0.88117084160000037</v>
      </c>
      <c r="Y13" s="154">
        <f t="shared" si="20"/>
        <v>0.98691134259200053</v>
      </c>
      <c r="Z13" s="154">
        <f t="shared" si="20"/>
        <v>1.1053407037030407</v>
      </c>
      <c r="AA13" s="154">
        <f t="shared" si="20"/>
        <v>1.2379815881474057</v>
      </c>
      <c r="AB13" s="154">
        <f t="shared" si="20"/>
        <v>1.3865393787250946</v>
      </c>
      <c r="AC13" s="154">
        <f t="shared" si="20"/>
        <v>1.552924104172106</v>
      </c>
      <c r="AD13" s="138">
        <f t="shared" si="17"/>
        <v>-0.21384923170385761</v>
      </c>
      <c r="AE13" s="31">
        <f t="shared" si="15"/>
        <v>0.05</v>
      </c>
      <c r="AF13" s="146">
        <f t="shared" si="1"/>
        <v>9.5915900551806565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172</v>
      </c>
      <c r="H14" s="147">
        <v>168</v>
      </c>
      <c r="I14" s="147">
        <v>183</v>
      </c>
      <c r="J14" s="147">
        <v>221</v>
      </c>
      <c r="K14" s="147">
        <v>341</v>
      </c>
      <c r="L14" s="147">
        <v>219</v>
      </c>
      <c r="M14" s="147">
        <v>417</v>
      </c>
      <c r="N14" s="147">
        <v>586</v>
      </c>
      <c r="O14" s="147">
        <v>602</v>
      </c>
      <c r="P14" s="147">
        <v>558</v>
      </c>
      <c r="Q14" s="193">
        <f>P14</f>
        <v>558</v>
      </c>
      <c r="R14" s="118">
        <f>((Q14/G14)^(1/($H$2-$H$1) ))-1</f>
        <v>0.13969732255049538</v>
      </c>
      <c r="S14" s="31">
        <f t="shared" si="5"/>
        <v>0.12</v>
      </c>
      <c r="T14" s="154">
        <f t="shared" si="2"/>
        <v>624.96</v>
      </c>
      <c r="U14" s="154">
        <f t="shared" ref="U14" si="21">T14*(1+$S14)</f>
        <v>699.9552000000001</v>
      </c>
      <c r="V14" s="154">
        <f t="shared" ref="V14" si="22">U14*(1+$S14)</f>
        <v>783.94982400000015</v>
      </c>
      <c r="W14" s="154">
        <f t="shared" ref="W14" si="23">V14*(1+$S14)</f>
        <v>878.02380288000029</v>
      </c>
      <c r="X14" s="154">
        <f t="shared" ref="X14" si="24">W14*(1+$S14)</f>
        <v>983.3866592256004</v>
      </c>
      <c r="Y14" s="154">
        <f t="shared" ref="Y14" si="25">X14*(1+$S14)</f>
        <v>1101.3930583326726</v>
      </c>
      <c r="Z14" s="154">
        <f t="shared" ref="Z14" si="26">Y14*(1+$S14)</f>
        <v>1233.5602253325935</v>
      </c>
      <c r="AA14" s="154">
        <f t="shared" ref="AA14" si="27">Z14*(1+$S14)</f>
        <v>1381.5874523725049</v>
      </c>
      <c r="AB14" s="154">
        <f t="shared" ref="AB14" si="28">AA14*(1+$S14)</f>
        <v>1547.3779466572057</v>
      </c>
      <c r="AC14" s="154">
        <f t="shared" ref="AC14" si="29">AB14*(1+$S14)</f>
        <v>1733.0633002560705</v>
      </c>
      <c r="AD14" s="138">
        <f t="shared" ref="AD14" si="30">((AC14/G14)^(1/($AC$3-$H$1) ))-1</f>
        <v>0.12244300796594154</v>
      </c>
      <c r="AE14" s="31">
        <f t="shared" si="15"/>
        <v>0.05</v>
      </c>
      <c r="AF14" s="146">
        <f t="shared" ref="AF14" si="31">(AC14*(1+AE14))/($C$1-AE14)</f>
        <v>10704.214501581613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445</v>
      </c>
      <c r="H15" s="147">
        <v>427</v>
      </c>
      <c r="I15" s="147">
        <v>467</v>
      </c>
      <c r="J15" s="147">
        <v>519</v>
      </c>
      <c r="K15" s="147">
        <v>686</v>
      </c>
      <c r="L15" s="147">
        <v>582</v>
      </c>
      <c r="M15" s="147">
        <v>845</v>
      </c>
      <c r="N15" s="147">
        <v>1125</v>
      </c>
      <c r="O15" s="147">
        <v>1275</v>
      </c>
      <c r="P15" s="147">
        <v>1333</v>
      </c>
      <c r="Q15" s="193">
        <f>P15</f>
        <v>1333</v>
      </c>
      <c r="R15" s="118">
        <f>((Q15/G15)^(1/($H$2-$H$1) ))-1</f>
        <v>0.1296427684949264</v>
      </c>
      <c r="S15" s="31">
        <f t="shared" si="5"/>
        <v>0.12</v>
      </c>
      <c r="T15" s="154">
        <f t="shared" si="2"/>
        <v>1492.96</v>
      </c>
      <c r="U15" s="154">
        <f t="shared" ref="U15:AC15" si="32">T15*(1+$S15)</f>
        <v>1672.1152000000002</v>
      </c>
      <c r="V15" s="154">
        <f t="shared" si="32"/>
        <v>1872.7690240000004</v>
      </c>
      <c r="W15" s="154">
        <f t="shared" si="32"/>
        <v>2097.5013068800008</v>
      </c>
      <c r="X15" s="154">
        <f t="shared" si="32"/>
        <v>2349.2014637056013</v>
      </c>
      <c r="Y15" s="154">
        <f t="shared" si="32"/>
        <v>2631.1056393502736</v>
      </c>
      <c r="Z15" s="154">
        <f t="shared" si="32"/>
        <v>2946.8383160723065</v>
      </c>
      <c r="AA15" s="154">
        <f t="shared" si="32"/>
        <v>3300.4589140009834</v>
      </c>
      <c r="AB15" s="154">
        <f t="shared" si="32"/>
        <v>3696.5139836811018</v>
      </c>
      <c r="AC15" s="154">
        <f t="shared" si="32"/>
        <v>4140.0956617228339</v>
      </c>
      <c r="AD15" s="138">
        <f t="shared" si="17"/>
        <v>0.11797609721564517</v>
      </c>
      <c r="AE15" s="31">
        <f t="shared" si="15"/>
        <v>0.05</v>
      </c>
      <c r="AF15" s="146">
        <f t="shared" si="1"/>
        <v>25571.179087111628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395</v>
      </c>
      <c r="H16" s="147">
        <v>345</v>
      </c>
      <c r="I16" s="147">
        <v>-87</v>
      </c>
      <c r="J16" s="147">
        <v>-82</v>
      </c>
      <c r="K16" s="147">
        <v>44</v>
      </c>
      <c r="L16" s="147">
        <v>112</v>
      </c>
      <c r="M16" s="147">
        <v>7</v>
      </c>
      <c r="N16" s="147">
        <v>120</v>
      </c>
      <c r="O16" s="147">
        <v>138</v>
      </c>
      <c r="P16" s="147">
        <v>13</v>
      </c>
      <c r="Q16" s="193">
        <f>P16</f>
        <v>13</v>
      </c>
      <c r="R16" s="118">
        <f>((Q16/G16)^(1/($H$2-$H$1) ))-1</f>
        <v>-0.31567769588366579</v>
      </c>
      <c r="S16" s="31">
        <f t="shared" si="5"/>
        <v>0.12</v>
      </c>
      <c r="T16" s="154">
        <f t="shared" si="2"/>
        <v>14.560000000000002</v>
      </c>
      <c r="U16" s="154">
        <f t="shared" ref="U16:AC16" si="33">T16*(1+$S16)</f>
        <v>16.307200000000005</v>
      </c>
      <c r="V16" s="154">
        <f t="shared" si="33"/>
        <v>18.264064000000008</v>
      </c>
      <c r="W16" s="154">
        <f t="shared" si="33"/>
        <v>20.455751680000013</v>
      </c>
      <c r="X16" s="154">
        <f t="shared" si="33"/>
        <v>22.910441881600018</v>
      </c>
      <c r="Y16" s="154">
        <f t="shared" si="33"/>
        <v>25.659694907392023</v>
      </c>
      <c r="Z16" s="154">
        <f t="shared" si="33"/>
        <v>28.738858296279069</v>
      </c>
      <c r="AA16" s="154">
        <f t="shared" si="33"/>
        <v>32.18752129183256</v>
      </c>
      <c r="AB16" s="154">
        <f t="shared" si="33"/>
        <v>36.050023846852469</v>
      </c>
      <c r="AC16" s="154">
        <f t="shared" si="33"/>
        <v>40.376026708474768</v>
      </c>
      <c r="AD16" s="138">
        <f t="shared" si="17"/>
        <v>-0.10777102214971956</v>
      </c>
      <c r="AE16" s="31">
        <f t="shared" si="15"/>
        <v>0.05</v>
      </c>
      <c r="AF16" s="146">
        <f t="shared" si="1"/>
        <v>249.38134143469713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498</v>
      </c>
      <c r="H18" s="147">
        <v>529</v>
      </c>
      <c r="I18" s="147">
        <v>721</v>
      </c>
      <c r="J18" s="147">
        <v>700</v>
      </c>
      <c r="K18" s="147">
        <v>786</v>
      </c>
      <c r="L18" s="147">
        <v>775</v>
      </c>
      <c r="M18" s="147">
        <v>800</v>
      </c>
      <c r="N18" s="147">
        <v>1413</v>
      </c>
      <c r="O18" s="147">
        <v>1586</v>
      </c>
      <c r="P18" s="147">
        <v>1572</v>
      </c>
      <c r="Q18" s="193">
        <f>P18</f>
        <v>1572</v>
      </c>
      <c r="R18" s="118">
        <f>((Q18/G18)^(1/($H$2-$H$1) ))-1</f>
        <v>0.13623782923422323</v>
      </c>
      <c r="S18" s="31">
        <f t="shared" si="5"/>
        <v>0.12</v>
      </c>
      <c r="T18" s="154">
        <f t="shared" si="2"/>
        <v>1760.64</v>
      </c>
      <c r="U18" s="154">
        <f t="shared" ref="U18:U34" si="34">T18*(1+$S18)</f>
        <v>1971.9168000000002</v>
      </c>
      <c r="V18" s="154">
        <f t="shared" ref="V18:V34" si="35">U18*(1+$S18)</f>
        <v>2208.5468160000005</v>
      </c>
      <c r="W18" s="154">
        <f t="shared" ref="W18:W34" si="36">V18*(1+$S18)</f>
        <v>2473.572433920001</v>
      </c>
      <c r="X18" s="154">
        <f t="shared" ref="X18:X36" si="37">W18*(1+$S18)</f>
        <v>2770.4011259904014</v>
      </c>
      <c r="Y18" s="154">
        <f t="shared" ref="Y18:Y36" si="38">X18*(1+$S18)</f>
        <v>3102.8492611092497</v>
      </c>
      <c r="Z18" s="154">
        <f t="shared" ref="Z18:Z36" si="39">Y18*(1+$S18)</f>
        <v>3475.1911724423599</v>
      </c>
      <c r="AA18" s="154">
        <f t="shared" ref="AA18:AA36" si="40">Z18*(1+$S18)</f>
        <v>3892.2141131354433</v>
      </c>
      <c r="AB18" s="154">
        <f t="shared" ref="AB18:AB36" si="41">AA18*(1+$S18)</f>
        <v>4359.2798067116973</v>
      </c>
      <c r="AC18" s="154">
        <f t="shared" ref="AC18:AC36" si="42">AB18*(1+$S18)</f>
        <v>4882.3933835171019</v>
      </c>
      <c r="AD18" s="138">
        <f t="shared" si="17"/>
        <v>0.12090852269109842</v>
      </c>
      <c r="AE18" s="31">
        <f t="shared" si="15"/>
        <v>0.05</v>
      </c>
      <c r="AF18" s="146">
        <f t="shared" si="1"/>
        <v>30155.959133487984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93"/>
      <c r="R20" s="118" t="e">
        <f>((Q20/G20)^(1/($H$2-$H$1) ))-1</f>
        <v>#DIV/0!</v>
      </c>
      <c r="S20" s="31">
        <f t="shared" si="5"/>
        <v>0.12</v>
      </c>
      <c r="T20" s="154">
        <f t="shared" si="2"/>
        <v>0</v>
      </c>
      <c r="U20" s="154">
        <f t="shared" ref="U20:U22" si="43">T20*(1+$S20)</f>
        <v>0</v>
      </c>
      <c r="V20" s="154">
        <f t="shared" ref="V20:V22" si="44">U20*(1+$S20)</f>
        <v>0</v>
      </c>
      <c r="W20" s="154">
        <f t="shared" ref="W20:W22" si="45">V20*(1+$S20)</f>
        <v>0</v>
      </c>
      <c r="X20" s="154">
        <f t="shared" ref="X20:X22" si="46">W20*(1+$S20)</f>
        <v>0</v>
      </c>
      <c r="Y20" s="154">
        <f t="shared" ref="Y20:Y22" si="47">X20*(1+$S20)</f>
        <v>0</v>
      </c>
      <c r="Z20" s="154">
        <f t="shared" ref="Z20:Z22" si="48">Y20*(1+$S20)</f>
        <v>0</v>
      </c>
      <c r="AA20" s="154">
        <f t="shared" ref="AA20:AA22" si="49">Z20*(1+$S20)</f>
        <v>0</v>
      </c>
      <c r="AB20" s="154">
        <f t="shared" ref="AB20:AB22" si="50">AA20*(1+$S20)</f>
        <v>0</v>
      </c>
      <c r="AC20" s="154">
        <f t="shared" ref="AC20:AC22" si="51">AB20*(1+$S20)</f>
        <v>0</v>
      </c>
      <c r="AD20" s="138" t="e">
        <f t="shared" ref="AD20:AD22" si="52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93"/>
      <c r="R21" s="118" t="e">
        <f>((Q21/G21)^(1/($H$2-$H$1) ))-1</f>
        <v>#DIV/0!</v>
      </c>
      <c r="S21" s="31">
        <f t="shared" si="5"/>
        <v>0.12</v>
      </c>
      <c r="T21" s="154">
        <f t="shared" si="2"/>
        <v>0</v>
      </c>
      <c r="U21" s="154">
        <f t="shared" si="43"/>
        <v>0</v>
      </c>
      <c r="V21" s="154">
        <f t="shared" si="44"/>
        <v>0</v>
      </c>
      <c r="W21" s="154">
        <f t="shared" si="45"/>
        <v>0</v>
      </c>
      <c r="X21" s="154">
        <f t="shared" si="46"/>
        <v>0</v>
      </c>
      <c r="Y21" s="154">
        <f t="shared" si="47"/>
        <v>0</v>
      </c>
      <c r="Z21" s="154">
        <f t="shared" si="48"/>
        <v>0</v>
      </c>
      <c r="AA21" s="154">
        <f t="shared" si="49"/>
        <v>0</v>
      </c>
      <c r="AB21" s="154">
        <f t="shared" si="50"/>
        <v>0</v>
      </c>
      <c r="AC21" s="154">
        <f t="shared" si="51"/>
        <v>0</v>
      </c>
      <c r="AD21" s="138" t="e">
        <f t="shared" si="52"/>
        <v>#DIV/0!</v>
      </c>
      <c r="AE21" s="31">
        <f t="shared" si="15"/>
        <v>0.05</v>
      </c>
      <c r="AF21" s="146">
        <f t="shared" si="1"/>
        <v>0</v>
      </c>
    </row>
    <row r="22" spans="2:32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93"/>
      <c r="R22" s="118" t="e">
        <f>((Q22/G22)^(1/($H$2-$H$1) ))-1</f>
        <v>#DIV/0!</v>
      </c>
      <c r="S22" s="31">
        <f t="shared" si="5"/>
        <v>0.12</v>
      </c>
      <c r="T22" s="154">
        <f t="shared" si="2"/>
        <v>0</v>
      </c>
      <c r="U22" s="154">
        <f t="shared" si="43"/>
        <v>0</v>
      </c>
      <c r="V22" s="154">
        <f t="shared" si="44"/>
        <v>0</v>
      </c>
      <c r="W22" s="154">
        <f t="shared" si="45"/>
        <v>0</v>
      </c>
      <c r="X22" s="154">
        <f t="shared" si="46"/>
        <v>0</v>
      </c>
      <c r="Y22" s="154">
        <f t="shared" si="47"/>
        <v>0</v>
      </c>
      <c r="Z22" s="154">
        <f t="shared" si="48"/>
        <v>0</v>
      </c>
      <c r="AA22" s="154">
        <f t="shared" si="49"/>
        <v>0</v>
      </c>
      <c r="AB22" s="154">
        <f t="shared" si="50"/>
        <v>0</v>
      </c>
      <c r="AC22" s="154">
        <f t="shared" si="51"/>
        <v>0</v>
      </c>
      <c r="AD22" s="138" t="e">
        <f t="shared" si="52"/>
        <v>#DIV/0!</v>
      </c>
      <c r="AE22" s="31">
        <f t="shared" si="15"/>
        <v>0.05</v>
      </c>
      <c r="AF22" s="146">
        <f t="shared" si="1"/>
        <v>0</v>
      </c>
    </row>
    <row r="23" spans="2:32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93"/>
      <c r="R23" s="118" t="e">
        <f>((Q23/G23)^(1/($H$2-$H$1) ))-1</f>
        <v>#DIV/0!</v>
      </c>
      <c r="S23" s="31">
        <f t="shared" si="5"/>
        <v>0.12</v>
      </c>
      <c r="T23" s="154">
        <f t="shared" si="2"/>
        <v>0</v>
      </c>
      <c r="U23" s="154">
        <f t="shared" ref="U23" si="53">T23*(1+$S23)</f>
        <v>0</v>
      </c>
      <c r="V23" s="154">
        <f t="shared" ref="V23" si="54">U23*(1+$S23)</f>
        <v>0</v>
      </c>
      <c r="W23" s="154">
        <f t="shared" ref="W23" si="55">V23*(1+$S23)</f>
        <v>0</v>
      </c>
      <c r="X23" s="154">
        <f t="shared" ref="X23" si="56">W23*(1+$S23)</f>
        <v>0</v>
      </c>
      <c r="Y23" s="154">
        <f t="shared" ref="Y23" si="57">X23*(1+$S23)</f>
        <v>0</v>
      </c>
      <c r="Z23" s="154">
        <f t="shared" ref="Z23" si="58">Y23*(1+$S23)</f>
        <v>0</v>
      </c>
      <c r="AA23" s="154">
        <f t="shared" ref="AA23" si="59">Z23*(1+$S23)</f>
        <v>0</v>
      </c>
      <c r="AB23" s="154">
        <f t="shared" ref="AB23" si="60">AA23*(1+$S23)</f>
        <v>0</v>
      </c>
      <c r="AC23" s="154">
        <f t="shared" ref="AC23" si="61">AB23*(1+$S23)</f>
        <v>0</v>
      </c>
      <c r="AD23" s="138" t="e">
        <f t="shared" ref="AD23" si="62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1430</v>
      </c>
      <c r="H25" s="147">
        <v>1523</v>
      </c>
      <c r="I25" s="147">
        <v>1787</v>
      </c>
      <c r="J25" s="147">
        <v>2150</v>
      </c>
      <c r="K25" s="147">
        <v>2439</v>
      </c>
      <c r="L25" s="147">
        <v>2569</v>
      </c>
      <c r="M25" s="147">
        <v>2911</v>
      </c>
      <c r="N25" s="147">
        <v>3790</v>
      </c>
      <c r="O25" s="147">
        <v>4636</v>
      </c>
      <c r="P25" s="147">
        <v>5080</v>
      </c>
      <c r="Q25" s="193">
        <f>P25</f>
        <v>5080</v>
      </c>
      <c r="R25" s="118">
        <f>((Q25/G25)^(1/($H$2-$H$1) ))-1</f>
        <v>0.15125026095414329</v>
      </c>
      <c r="S25" s="31">
        <f t="shared" si="5"/>
        <v>0.12</v>
      </c>
      <c r="T25" s="154">
        <f t="shared" si="2"/>
        <v>5689.6</v>
      </c>
      <c r="U25" s="154">
        <f t="shared" si="34"/>
        <v>6372.3520000000008</v>
      </c>
      <c r="V25" s="154">
        <f t="shared" si="35"/>
        <v>7137.0342400000018</v>
      </c>
      <c r="W25" s="154">
        <f t="shared" si="36"/>
        <v>7993.478348800003</v>
      </c>
      <c r="X25" s="154">
        <f t="shared" si="37"/>
        <v>8952.6957506560047</v>
      </c>
      <c r="Y25" s="154">
        <f t="shared" si="38"/>
        <v>10027.019240734726</v>
      </c>
      <c r="Z25" s="154">
        <f t="shared" si="39"/>
        <v>11230.261549622894</v>
      </c>
      <c r="AA25" s="154">
        <f t="shared" si="40"/>
        <v>12577.892935577642</v>
      </c>
      <c r="AB25" s="154">
        <f t="shared" si="41"/>
        <v>14087.24008784696</v>
      </c>
      <c r="AC25" s="154">
        <f t="shared" si="42"/>
        <v>15777.708898388597</v>
      </c>
      <c r="AD25" s="138">
        <f t="shared" si="17"/>
        <v>0.12754892455457556</v>
      </c>
      <c r="AE25" s="31">
        <f t="shared" si="15"/>
        <v>0.05</v>
      </c>
      <c r="AF25" s="146">
        <f t="shared" si="1"/>
        <v>97450.554960635476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6.106369008535785E-2</v>
      </c>
      <c r="I26" s="148">
        <f t="shared" ref="I26" si="63">(I25-H25)/I25</f>
        <v>0.14773363178511473</v>
      </c>
      <c r="J26" s="148">
        <f t="shared" ref="J26" si="64">(J25-I25)/J25</f>
        <v>0.16883720930232557</v>
      </c>
      <c r="K26" s="148">
        <f t="shared" ref="K26" si="65">(K25-J25)/K25</f>
        <v>0.11849118491184912</v>
      </c>
      <c r="L26" s="148">
        <f t="shared" ref="L26" si="66">(L25-K25)/L25</f>
        <v>5.0603347606072401E-2</v>
      </c>
      <c r="M26" s="148">
        <f t="shared" ref="M26" si="67">(M25-L25)/M25</f>
        <v>0.11748540020611474</v>
      </c>
      <c r="N26" s="148">
        <f t="shared" ref="N26" si="68">(N25-M25)/N25</f>
        <v>0.23192612137203167</v>
      </c>
      <c r="O26" s="148">
        <f t="shared" ref="O26" si="69">(O25-N25)/O25</f>
        <v>0.18248490077653148</v>
      </c>
      <c r="P26" s="148">
        <f t="shared" ref="P26:Q26" si="70">(P25-O25)/P25</f>
        <v>8.7401574803149612E-2</v>
      </c>
      <c r="Q26" s="195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1359</v>
      </c>
      <c r="H27" s="147">
        <v>1471</v>
      </c>
      <c r="I27" s="147">
        <v>1691</v>
      </c>
      <c r="J27" s="147">
        <v>1993</v>
      </c>
      <c r="K27" s="147">
        <v>2158</v>
      </c>
      <c r="L27" s="147">
        <v>2503</v>
      </c>
      <c r="M27" s="147">
        <v>2566</v>
      </c>
      <c r="N27" s="147">
        <v>3632</v>
      </c>
      <c r="O27" s="147">
        <v>4343</v>
      </c>
      <c r="P27" s="147">
        <v>4635</v>
      </c>
      <c r="Q27" s="193">
        <f>P27</f>
        <v>4635</v>
      </c>
      <c r="R27" s="118">
        <f>((Q27/G27)^(1/($H$2-$H$1) ))-1</f>
        <v>0.14604946996787249</v>
      </c>
      <c r="S27" s="31">
        <f t="shared" si="5"/>
        <v>0.12</v>
      </c>
      <c r="T27" s="154">
        <f t="shared" si="2"/>
        <v>5191.2000000000007</v>
      </c>
      <c r="U27" s="154">
        <f t="shared" si="34"/>
        <v>5814.1440000000011</v>
      </c>
      <c r="V27" s="154">
        <f t="shared" si="35"/>
        <v>6511.8412800000015</v>
      </c>
      <c r="W27" s="154">
        <f t="shared" si="36"/>
        <v>7293.2622336000022</v>
      </c>
      <c r="X27" s="154">
        <f t="shared" si="37"/>
        <v>8168.4537016320037</v>
      </c>
      <c r="Y27" s="154">
        <f t="shared" si="38"/>
        <v>9148.6681458278454</v>
      </c>
      <c r="Z27" s="154">
        <f t="shared" si="39"/>
        <v>10246.508323327187</v>
      </c>
      <c r="AA27" s="154">
        <f t="shared" si="40"/>
        <v>11476.08932212645</v>
      </c>
      <c r="AB27" s="154">
        <f t="shared" si="41"/>
        <v>12853.220040781625</v>
      </c>
      <c r="AC27" s="154">
        <f t="shared" si="42"/>
        <v>14395.606445675421</v>
      </c>
      <c r="AD27" s="138">
        <f t="shared" si="17"/>
        <v>0.1252538963593266</v>
      </c>
      <c r="AE27" s="31">
        <f t="shared" si="15"/>
        <v>0.05</v>
      </c>
      <c r="AF27" s="146">
        <f t="shared" si="1"/>
        <v>88914.039811524679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7.613868116927261E-2</v>
      </c>
      <c r="I28" s="148">
        <f t="shared" si="71"/>
        <v>0.13010053222945003</v>
      </c>
      <c r="J28" s="148">
        <f t="shared" si="71"/>
        <v>0.15153035624686403</v>
      </c>
      <c r="K28" s="148">
        <f t="shared" si="71"/>
        <v>7.6459684893419838E-2</v>
      </c>
      <c r="L28" s="148">
        <f t="shared" si="71"/>
        <v>0.13783459848182181</v>
      </c>
      <c r="M28" s="148">
        <f t="shared" si="71"/>
        <v>2.4551831644583008E-2</v>
      </c>
      <c r="N28" s="148">
        <f t="shared" ref="N28" si="72">(N27-M27)/N27</f>
        <v>0.29350220264317178</v>
      </c>
      <c r="O28" s="148">
        <f t="shared" ref="O28" si="73">(O27-N27)/O27</f>
        <v>0.16371172000921022</v>
      </c>
      <c r="P28" s="148">
        <f t="shared" ref="P28:Q28" si="74">(P27-O27)/P27</f>
        <v>6.2998921251348441E-2</v>
      </c>
      <c r="Q28" s="19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87</v>
      </c>
      <c r="H29" s="147">
        <v>73</v>
      </c>
      <c r="I29" s="147">
        <v>73</v>
      </c>
      <c r="J29" s="147">
        <v>70</v>
      </c>
      <c r="K29" s="147">
        <v>66</v>
      </c>
      <c r="L29" s="147">
        <v>80</v>
      </c>
      <c r="M29" s="147">
        <v>75</v>
      </c>
      <c r="N29" s="147">
        <v>80</v>
      </c>
      <c r="O29" s="147">
        <v>196</v>
      </c>
      <c r="P29" s="147">
        <v>198</v>
      </c>
      <c r="Q29" s="193">
        <f>P29</f>
        <v>198</v>
      </c>
      <c r="R29" s="118">
        <f>((Q29/G29)^(1/($H$2-$H$1) ))-1</f>
        <v>9.5677849574252738E-2</v>
      </c>
      <c r="S29" s="31">
        <f t="shared" si="5"/>
        <v>0.12</v>
      </c>
      <c r="T29" s="154">
        <f t="shared" si="2"/>
        <v>221.76000000000002</v>
      </c>
      <c r="U29" s="154">
        <f t="shared" ref="U29" si="75">T29*(1+$S29)</f>
        <v>248.37120000000004</v>
      </c>
      <c r="V29" s="154">
        <f t="shared" ref="V29" si="76">U29*(1+$S29)</f>
        <v>278.17574400000007</v>
      </c>
      <c r="W29" s="154">
        <f t="shared" ref="W29" si="77">V29*(1+$S29)</f>
        <v>311.55683328000009</v>
      </c>
      <c r="X29" s="154">
        <f t="shared" ref="X29" si="78">W29*(1+$S29)</f>
        <v>348.94365327360015</v>
      </c>
      <c r="Y29" s="154">
        <f t="shared" ref="Y29" si="79">X29*(1+$S29)</f>
        <v>390.81689166643218</v>
      </c>
      <c r="Z29" s="154">
        <f t="shared" ref="Z29" si="80">Y29*(1+$S29)</f>
        <v>437.71491866640406</v>
      </c>
      <c r="AA29" s="154">
        <f t="shared" ref="AA29" si="81">Z29*(1+$S29)</f>
        <v>490.24070890637262</v>
      </c>
      <c r="AB29" s="154">
        <f t="shared" ref="AB29" si="82">AA29*(1+$S29)</f>
        <v>549.06959397513742</v>
      </c>
      <c r="AC29" s="154">
        <f t="shared" ref="AC29" si="83">AB29*(1+$S29)</f>
        <v>614.95794525215399</v>
      </c>
      <c r="AD29" s="138">
        <f t="shared" ref="AD29" si="84">((AC29/G29)^(1/($AC$3-$H$1) ))-1</f>
        <v>0.10272268329388323</v>
      </c>
      <c r="AE29" s="31">
        <f t="shared" si="15"/>
        <v>0.05</v>
      </c>
      <c r="AF29" s="146">
        <f t="shared" ref="AF29" si="85">(AC29*(1+AE29))/($C$1-AE29)</f>
        <v>3798.2696618515397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-0.19178082191780821</v>
      </c>
      <c r="I30" s="148">
        <f t="shared" si="86"/>
        <v>0</v>
      </c>
      <c r="J30" s="148">
        <f t="shared" si="86"/>
        <v>-4.2857142857142858E-2</v>
      </c>
      <c r="K30" s="148">
        <f t="shared" si="86"/>
        <v>-6.0606060606060608E-2</v>
      </c>
      <c r="L30" s="148">
        <f t="shared" si="86"/>
        <v>0.17499999999999999</v>
      </c>
      <c r="M30" s="148">
        <f t="shared" ref="M30" si="87">(M29-L29)/M29</f>
        <v>-6.6666666666666666E-2</v>
      </c>
      <c r="N30" s="148">
        <f t="shared" ref="N30" si="88">(N29-M29)/N29</f>
        <v>6.25E-2</v>
      </c>
      <c r="O30" s="148">
        <f t="shared" ref="O30" si="89">(O29-N29)/O29</f>
        <v>0.59183673469387754</v>
      </c>
      <c r="P30" s="148">
        <f t="shared" ref="P30:Q30" si="90">(P29-O29)/P29</f>
        <v>1.0101010101010102E-2</v>
      </c>
      <c r="Q30" s="19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93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93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93"/>
      <c r="R33" s="118" t="e">
        <f>((Q33/G33)^(1/($H$2-$H$1) ))-1</f>
        <v>#DIV/0!</v>
      </c>
      <c r="S33" s="31">
        <f t="shared" si="5"/>
        <v>0.12</v>
      </c>
      <c r="T33" s="154">
        <f t="shared" si="2"/>
        <v>0</v>
      </c>
      <c r="U33" s="154">
        <f t="shared" si="34"/>
        <v>0</v>
      </c>
      <c r="V33" s="154">
        <f t="shared" si="35"/>
        <v>0</v>
      </c>
      <c r="W33" s="154">
        <f t="shared" si="36"/>
        <v>0</v>
      </c>
      <c r="X33" s="154">
        <f t="shared" si="37"/>
        <v>0</v>
      </c>
      <c r="Y33" s="154">
        <f t="shared" si="38"/>
        <v>0</v>
      </c>
      <c r="Z33" s="154">
        <f t="shared" si="39"/>
        <v>0</v>
      </c>
      <c r="AA33" s="154">
        <f t="shared" si="40"/>
        <v>0</v>
      </c>
      <c r="AB33" s="154">
        <f t="shared" si="41"/>
        <v>0</v>
      </c>
      <c r="AC33" s="154">
        <f t="shared" si="42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93"/>
      <c r="R34" s="118" t="e">
        <f>((Q34/G34)^(1/($H$2-$H$1) ))-1</f>
        <v>#DIV/0!</v>
      </c>
      <c r="S34" s="31">
        <f t="shared" si="5"/>
        <v>0.12</v>
      </c>
      <c r="T34" s="154">
        <f t="shared" si="2"/>
        <v>0</v>
      </c>
      <c r="U34" s="154">
        <f t="shared" si="34"/>
        <v>0</v>
      </c>
      <c r="V34" s="154">
        <f t="shared" si="35"/>
        <v>0</v>
      </c>
      <c r="W34" s="154">
        <f t="shared" si="36"/>
        <v>0</v>
      </c>
      <c r="X34" s="154">
        <f t="shared" si="37"/>
        <v>0</v>
      </c>
      <c r="Y34" s="154">
        <f t="shared" si="38"/>
        <v>0</v>
      </c>
      <c r="Z34" s="154">
        <f t="shared" si="39"/>
        <v>0</v>
      </c>
      <c r="AA34" s="154">
        <f t="shared" si="40"/>
        <v>0</v>
      </c>
      <c r="AB34" s="154">
        <f t="shared" si="41"/>
        <v>0</v>
      </c>
      <c r="AC34" s="154">
        <f t="shared" si="42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42</v>
      </c>
      <c r="H36" s="147">
        <v>20</v>
      </c>
      <c r="I36" s="147">
        <v>84</v>
      </c>
      <c r="J36" s="147">
        <v>148</v>
      </c>
      <c r="K36" s="147">
        <v>203</v>
      </c>
      <c r="L36" s="147">
        <v>35</v>
      </c>
      <c r="M36" s="147">
        <v>324</v>
      </c>
      <c r="N36" s="147">
        <v>113</v>
      </c>
      <c r="O36" s="147">
        <v>282</v>
      </c>
      <c r="P36" s="147">
        <v>454</v>
      </c>
      <c r="Q36" s="193">
        <f>P36</f>
        <v>454</v>
      </c>
      <c r="R36" s="118">
        <f>((Q36/G36)^(1/($H$2-$H$1) ))-1</f>
        <v>0.30276894016758527</v>
      </c>
      <c r="S36" s="31">
        <f t="shared" si="5"/>
        <v>0.12</v>
      </c>
      <c r="T36" s="154">
        <f t="shared" si="2"/>
        <v>508.48000000000008</v>
      </c>
      <c r="U36" s="154">
        <f t="shared" ref="U36" si="94">T36*(1+$S36)</f>
        <v>569.49760000000015</v>
      </c>
      <c r="V36" s="154">
        <f t="shared" ref="V36" si="95">U36*(1+$S36)</f>
        <v>637.83731200000022</v>
      </c>
      <c r="W36" s="154">
        <f t="shared" ref="W36" si="96">V36*(1+$S36)</f>
        <v>714.37778944000036</v>
      </c>
      <c r="X36" s="154">
        <f t="shared" si="37"/>
        <v>800.10312417280045</v>
      </c>
      <c r="Y36" s="154">
        <f t="shared" si="38"/>
        <v>896.11549907353663</v>
      </c>
      <c r="Z36" s="154">
        <f t="shared" si="39"/>
        <v>1003.6493589623611</v>
      </c>
      <c r="AA36" s="154">
        <f t="shared" si="40"/>
        <v>1124.0872820378445</v>
      </c>
      <c r="AB36" s="154">
        <f t="shared" si="41"/>
        <v>1258.977755882386</v>
      </c>
      <c r="AC36" s="154">
        <f t="shared" si="42"/>
        <v>1410.0550865882724</v>
      </c>
      <c r="AD36" s="138">
        <f t="shared" si="17"/>
        <v>0.1920633600577788</v>
      </c>
      <c r="AE36" s="31">
        <f t="shared" si="15"/>
        <v>0.05</v>
      </c>
      <c r="AF36" s="146">
        <f t="shared" si="1"/>
        <v>8709.1637701040363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-1.1000000000000001</v>
      </c>
      <c r="I37" s="148">
        <f t="shared" ref="I37" si="99">(I36-H36)/I36</f>
        <v>0.76190476190476186</v>
      </c>
      <c r="J37" s="148">
        <f t="shared" ref="J37" si="100">(J36-I36)/J36</f>
        <v>0.43243243243243246</v>
      </c>
      <c r="K37" s="148">
        <f t="shared" ref="K37" si="101">(K36-J36)/K36</f>
        <v>0.27093596059113301</v>
      </c>
      <c r="L37" s="148">
        <f t="shared" ref="L37" si="102">(L36-K36)/L36</f>
        <v>-4.8</v>
      </c>
      <c r="M37" s="148">
        <f t="shared" ref="M37" si="103">(M36-L36)/M36</f>
        <v>0.89197530864197527</v>
      </c>
      <c r="N37" s="148">
        <f t="shared" ref="N37" si="104">(N36-M36)/N36</f>
        <v>-1.8672566371681416</v>
      </c>
      <c r="O37" s="148">
        <f t="shared" ref="O37" si="105">(O36-N36)/O36</f>
        <v>0.599290780141844</v>
      </c>
      <c r="P37" s="148">
        <f t="shared" ref="P37:Q37" si="106">(P36-O36)/P36</f>
        <v>0.3788546255506608</v>
      </c>
      <c r="Q37" s="19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-38</v>
      </c>
      <c r="H38" s="147">
        <v>-42</v>
      </c>
      <c r="I38" s="147">
        <v>0.14000000000000001</v>
      </c>
      <c r="J38" s="147">
        <v>55</v>
      </c>
      <c r="K38" s="147">
        <v>182</v>
      </c>
      <c r="L38" s="147">
        <v>-40</v>
      </c>
      <c r="M38" s="147">
        <v>242</v>
      </c>
      <c r="N38" s="147">
        <v>42</v>
      </c>
      <c r="O38" s="147">
        <v>24</v>
      </c>
      <c r="P38" s="147">
        <v>167</v>
      </c>
      <c r="Q38" s="193">
        <f>P38</f>
        <v>167</v>
      </c>
      <c r="R38" s="118">
        <f>((Q38/G38)^(1/($H$2-$H$1) ))-1</f>
        <v>-2.1787914741316357</v>
      </c>
      <c r="S38" s="31">
        <f t="shared" si="5"/>
        <v>0.12</v>
      </c>
      <c r="T38" s="154">
        <f t="shared" si="2"/>
        <v>187.04000000000002</v>
      </c>
      <c r="U38" s="154">
        <f t="shared" ref="U38" si="107">T38*(1+$S38)</f>
        <v>209.48480000000004</v>
      </c>
      <c r="V38" s="154">
        <f t="shared" ref="V38" si="108">U38*(1+$S38)</f>
        <v>234.62297600000005</v>
      </c>
      <c r="W38" s="154">
        <f t="shared" ref="W38" si="109">V38*(1+$S38)</f>
        <v>262.77773312000011</v>
      </c>
      <c r="X38" s="154">
        <f t="shared" ref="X38" si="110">W38*(1+$S38)</f>
        <v>294.31106109440015</v>
      </c>
      <c r="Y38" s="154">
        <f t="shared" ref="Y38" si="111">X38*(1+$S38)</f>
        <v>329.62838842572819</v>
      </c>
      <c r="Z38" s="154">
        <f t="shared" ref="Z38" si="112">Y38*(1+$S38)</f>
        <v>369.18379503681558</v>
      </c>
      <c r="AA38" s="154">
        <f t="shared" ref="AA38" si="113">Z38*(1+$S38)</f>
        <v>413.48585044123348</v>
      </c>
      <c r="AB38" s="154">
        <f t="shared" ref="AB38" si="114">AA38*(1+$S38)</f>
        <v>463.10415249418156</v>
      </c>
      <c r="AC38" s="154">
        <f t="shared" ref="AC38" si="115">AB38*(1+$S38)</f>
        <v>518.67665079348342</v>
      </c>
      <c r="AD38" s="138" t="e">
        <f t="shared" ref="AD38" si="116">((AC38/G38)^(1/($AC$3-$H$1) ))-1</f>
        <v>#NUM!</v>
      </c>
      <c r="AE38" s="31">
        <f t="shared" si="15"/>
        <v>0.05</v>
      </c>
      <c r="AF38" s="146">
        <f t="shared" ref="AF38" si="117">(AC38*(1+AE38))/($C$1-AE38)</f>
        <v>3203.5910784303392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9.5238095238095233E-2</v>
      </c>
      <c r="I39" s="148">
        <f t="shared" ref="I39" si="120">(I38-H38)/I38</f>
        <v>301</v>
      </c>
      <c r="J39" s="148">
        <f t="shared" ref="J39" si="121">(J38-I38)/J38</f>
        <v>0.99745454545454548</v>
      </c>
      <c r="K39" s="148">
        <f t="shared" ref="K39" si="122">(K38-J38)/K38</f>
        <v>0.69780219780219777</v>
      </c>
      <c r="L39" s="148">
        <f t="shared" ref="L39" si="123">(L38-K38)/L38</f>
        <v>5.55</v>
      </c>
      <c r="M39" s="148">
        <f t="shared" ref="M39" si="124">(M38-L38)/M38</f>
        <v>1.165289256198347</v>
      </c>
      <c r="N39" s="148">
        <f t="shared" ref="N39" si="125">(N38-M38)/N38</f>
        <v>-4.7619047619047619</v>
      </c>
      <c r="O39" s="148">
        <f t="shared" ref="O39" si="126">(O38-N38)/O38</f>
        <v>-0.75</v>
      </c>
      <c r="P39" s="148">
        <f t="shared" ref="P39:Q39" si="127">(P38-O38)/P38</f>
        <v>0.85628742514970058</v>
      </c>
      <c r="Q39" s="19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14</v>
      </c>
      <c r="H40" s="147">
        <v>-2</v>
      </c>
      <c r="I40" s="147">
        <v>0.5</v>
      </c>
      <c r="J40" s="147">
        <v>39</v>
      </c>
      <c r="K40" s="147">
        <v>148</v>
      </c>
      <c r="L40" s="147">
        <v>-16</v>
      </c>
      <c r="M40" s="147">
        <v>164</v>
      </c>
      <c r="N40" s="147">
        <v>28</v>
      </c>
      <c r="O40" s="147">
        <v>18</v>
      </c>
      <c r="P40" s="147">
        <v>120</v>
      </c>
      <c r="Q40" s="193">
        <f>P40</f>
        <v>120</v>
      </c>
      <c r="R40" s="118">
        <f>((Q40/G40)^(1/($H$2-$H$1) ))-1</f>
        <v>0.26961656148932622</v>
      </c>
      <c r="S40" s="31">
        <f t="shared" si="5"/>
        <v>0.12</v>
      </c>
      <c r="T40" s="154">
        <f t="shared" si="2"/>
        <v>134.4</v>
      </c>
      <c r="U40" s="154">
        <f t="shared" ref="U40:AC40" si="128">T40*(1+$S40)</f>
        <v>150.52800000000002</v>
      </c>
      <c r="V40" s="154">
        <f t="shared" si="128"/>
        <v>168.59136000000004</v>
      </c>
      <c r="W40" s="154">
        <f t="shared" si="128"/>
        <v>188.82232320000006</v>
      </c>
      <c r="X40" s="154">
        <f t="shared" si="128"/>
        <v>211.48100198400007</v>
      </c>
      <c r="Y40" s="154">
        <f t="shared" si="128"/>
        <v>236.8587222220801</v>
      </c>
      <c r="Z40" s="154">
        <f t="shared" si="128"/>
        <v>265.28176888872974</v>
      </c>
      <c r="AA40" s="154">
        <f t="shared" si="128"/>
        <v>297.11558115537736</v>
      </c>
      <c r="AB40" s="154">
        <f t="shared" si="128"/>
        <v>332.76945089402267</v>
      </c>
      <c r="AC40" s="154">
        <f t="shared" si="128"/>
        <v>372.70178500130544</v>
      </c>
      <c r="AD40" s="138">
        <f t="shared" si="17"/>
        <v>0.1783157204823167</v>
      </c>
      <c r="AE40" s="31">
        <f t="shared" si="15"/>
        <v>0.05</v>
      </c>
      <c r="AF40" s="146">
        <f t="shared" si="1"/>
        <v>2301.9816132433575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8</v>
      </c>
      <c r="I41" s="148">
        <f t="shared" si="129"/>
        <v>5</v>
      </c>
      <c r="J41" s="148">
        <f t="shared" si="129"/>
        <v>0.98717948717948723</v>
      </c>
      <c r="K41" s="148">
        <f t="shared" si="129"/>
        <v>0.73648648648648651</v>
      </c>
      <c r="L41" s="148">
        <f t="shared" si="129"/>
        <v>10.25</v>
      </c>
      <c r="M41" s="148">
        <f t="shared" si="129"/>
        <v>1.0975609756097562</v>
      </c>
      <c r="N41" s="148">
        <f t="shared" si="129"/>
        <v>-4.8571428571428568</v>
      </c>
      <c r="O41" s="148">
        <f t="shared" si="129"/>
        <v>-0.55555555555555558</v>
      </c>
      <c r="P41" s="148">
        <f t="shared" si="129"/>
        <v>0.85</v>
      </c>
      <c r="Q41" s="19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3.52</v>
      </c>
      <c r="H42" s="145">
        <v>3.52</v>
      </c>
      <c r="I42" s="145">
        <v>4.5599999999999996</v>
      </c>
      <c r="J42" s="145">
        <v>4.5599999999999996</v>
      </c>
      <c r="K42" s="145">
        <v>3.42</v>
      </c>
      <c r="L42" s="145">
        <v>3.42</v>
      </c>
      <c r="M42" s="145">
        <v>3.42</v>
      </c>
      <c r="N42" s="145">
        <v>3.42</v>
      </c>
      <c r="O42" s="145">
        <v>3.42</v>
      </c>
      <c r="P42" s="145">
        <v>3.42</v>
      </c>
      <c r="Q42" s="196">
        <f>P42</f>
        <v>3.42</v>
      </c>
      <c r="R42" s="118">
        <f>((Q42/G42)^(1/($H$2-$H$1) ))-1</f>
        <v>-3.1971491473646863E-3</v>
      </c>
      <c r="S42" s="31">
        <f>P1</f>
        <v>0.05</v>
      </c>
      <c r="T42" s="154">
        <f t="shared" si="2"/>
        <v>3.5910000000000002</v>
      </c>
      <c r="U42" s="154">
        <f t="shared" ref="U42:AC42" si="130">T42*(1+$S42)</f>
        <v>3.7705500000000005</v>
      </c>
      <c r="V42" s="154">
        <f t="shared" si="130"/>
        <v>3.9590775000000007</v>
      </c>
      <c r="W42" s="154">
        <f t="shared" si="130"/>
        <v>4.1570313750000008</v>
      </c>
      <c r="X42" s="154">
        <f t="shared" si="130"/>
        <v>4.3648829437500014</v>
      </c>
      <c r="Y42" s="154">
        <f t="shared" si="130"/>
        <v>4.5831270909375013</v>
      </c>
      <c r="Z42" s="154">
        <f t="shared" si="130"/>
        <v>4.8122834454843764</v>
      </c>
      <c r="AA42" s="154">
        <f t="shared" si="130"/>
        <v>5.0528976177585951</v>
      </c>
      <c r="AB42" s="154">
        <f t="shared" si="130"/>
        <v>5.3055424986465249</v>
      </c>
      <c r="AC42" s="154">
        <f t="shared" si="130"/>
        <v>5.5708196235788519</v>
      </c>
      <c r="AD42" s="138">
        <f t="shared" si="17"/>
        <v>2.321953192377646E-2</v>
      </c>
      <c r="AE42" s="31">
        <f t="shared" si="15"/>
        <v>0.05</v>
      </c>
      <c r="AF42" s="146">
        <f t="shared" si="1"/>
        <v>34.4080035573988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0.71590909090909094</v>
      </c>
      <c r="H43" s="148">
        <f t="shared" ref="H43" si="131">(H42-G42)/H42</f>
        <v>0</v>
      </c>
      <c r="I43" s="148">
        <f t="shared" ref="I43" si="132">(I42-H42)/I42</f>
        <v>0.22807017543859642</v>
      </c>
      <c r="J43" s="148">
        <f t="shared" ref="J43" si="133">(J42-I42)/J42</f>
        <v>0</v>
      </c>
      <c r="K43" s="148">
        <f t="shared" ref="K43" si="134">(K42-J42)/K42</f>
        <v>-0.33333333333333326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</v>
      </c>
      <c r="O43" s="148">
        <f t="shared" ref="O43" si="138">(O42-N42)/O42</f>
        <v>0</v>
      </c>
      <c r="P43" s="148">
        <f t="shared" ref="P43:Q43" si="139">(P42-O42)/P42</f>
        <v>0</v>
      </c>
      <c r="Q43" s="19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1</v>
      </c>
      <c r="H44" s="145">
        <v>0</v>
      </c>
      <c r="I44" s="145">
        <v>0</v>
      </c>
      <c r="J44" s="145">
        <v>1.8</v>
      </c>
      <c r="K44" s="145">
        <v>4</v>
      </c>
      <c r="L44" s="145">
        <v>0</v>
      </c>
      <c r="M44" s="145">
        <v>4</v>
      </c>
      <c r="N44" s="145">
        <v>2</v>
      </c>
      <c r="O44" s="145">
        <v>1</v>
      </c>
      <c r="P44" s="145">
        <v>4</v>
      </c>
      <c r="Q44" s="196">
        <v>10</v>
      </c>
      <c r="R44" s="118">
        <f>((Q44/G44)^(1/($H$2-$H$1) ))-1</f>
        <v>0.29154966501488389</v>
      </c>
      <c r="S44" s="31">
        <f>P1</f>
        <v>0.05</v>
      </c>
      <c r="T44" s="154">
        <f t="shared" si="2"/>
        <v>10.5</v>
      </c>
      <c r="U44" s="154">
        <f t="shared" ref="U44" si="140">T44*(1+$S44)</f>
        <v>11.025</v>
      </c>
      <c r="V44" s="154">
        <f t="shared" ref="V44" si="141">U44*(1+$S44)</f>
        <v>11.576250000000002</v>
      </c>
      <c r="W44" s="154">
        <f t="shared" ref="W44" si="142">V44*(1+$S44)</f>
        <v>12.155062500000001</v>
      </c>
      <c r="X44" s="154">
        <f t="shared" ref="X44" si="143">W44*(1+$S44)</f>
        <v>12.762815625000002</v>
      </c>
      <c r="Y44" s="154">
        <f t="shared" ref="Y44" si="144">X44*(1+$S44)</f>
        <v>13.400956406250003</v>
      </c>
      <c r="Z44" s="154">
        <f t="shared" ref="Z44" si="145">Y44*(1+$S44)</f>
        <v>14.071004226562504</v>
      </c>
      <c r="AA44" s="154">
        <f t="shared" ref="AA44" si="146">Z44*(1+$S44)</f>
        <v>14.774554437890631</v>
      </c>
      <c r="AB44" s="154">
        <f t="shared" ref="AB44" si="147">AA44*(1+$S44)</f>
        <v>15.513282159785163</v>
      </c>
      <c r="AC44" s="154">
        <f t="shared" ref="AC44" si="148">AB44*(1+$S44)</f>
        <v>16.288946267774421</v>
      </c>
      <c r="AD44" s="138">
        <f t="shared" ref="AD44" si="149">((AC44/G44)^(1/($AC$3-$H$1) ))-1</f>
        <v>0.14972678597303091</v>
      </c>
      <c r="AE44" s="31">
        <f t="shared" si="15"/>
        <v>0.05</v>
      </c>
      <c r="AF44" s="146">
        <f t="shared" si="1"/>
        <v>100.6081975362538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 t="s">
        <v>455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406.25</v>
      </c>
      <c r="H50" s="133">
        <f t="shared" si="150"/>
        <v>432.67045454545456</v>
      </c>
      <c r="I50" s="133">
        <f t="shared" si="150"/>
        <v>391.88596491228071</v>
      </c>
      <c r="J50" s="133">
        <f t="shared" si="150"/>
        <v>471.49122807017545</v>
      </c>
      <c r="K50" s="133">
        <f t="shared" si="150"/>
        <v>713.15789473684208</v>
      </c>
      <c r="L50" s="133">
        <f t="shared" si="150"/>
        <v>751.16959064327489</v>
      </c>
      <c r="M50" s="133">
        <f t="shared" si="150"/>
        <v>851.16959064327489</v>
      </c>
      <c r="N50" s="133">
        <f t="shared" si="150"/>
        <v>1108.187134502924</v>
      </c>
      <c r="O50" s="133">
        <f t="shared" si="150"/>
        <v>1355.5555555555557</v>
      </c>
      <c r="P50" s="133">
        <f t="shared" si="150"/>
        <v>1485.3801169590643</v>
      </c>
      <c r="Q50" s="133">
        <f t="shared" ref="Q50" si="151">Q25/Q42</f>
        <v>1485.3801169590643</v>
      </c>
      <c r="R50" s="118">
        <f>((P50/G50)^(1/($H$2-$H$1) ))-1</f>
        <v>0.15494278529540551</v>
      </c>
      <c r="S50" s="128"/>
      <c r="T50" s="158">
        <f t="shared" ref="T50:AC50" si="152">T25/T42</f>
        <v>1584.4054580896686</v>
      </c>
      <c r="U50" s="158">
        <f t="shared" si="152"/>
        <v>1690.0324886289798</v>
      </c>
      <c r="V50" s="158">
        <f t="shared" si="152"/>
        <v>1802.7013212042452</v>
      </c>
      <c r="W50" s="158">
        <f t="shared" si="152"/>
        <v>1922.8814092845287</v>
      </c>
      <c r="X50" s="158">
        <f t="shared" si="152"/>
        <v>2051.0735032368307</v>
      </c>
      <c r="Y50" s="158">
        <f t="shared" si="152"/>
        <v>2187.8117367859527</v>
      </c>
      <c r="Z50" s="158">
        <f t="shared" si="152"/>
        <v>2333.665852571683</v>
      </c>
      <c r="AA50" s="158">
        <f t="shared" si="152"/>
        <v>2489.243576076462</v>
      </c>
      <c r="AB50" s="158">
        <f t="shared" si="152"/>
        <v>2655.1931478148931</v>
      </c>
      <c r="AC50" s="158">
        <f t="shared" si="152"/>
        <v>2832.206024335886</v>
      </c>
      <c r="AD50" s="138">
        <f t="shared" ref="AD50" si="153">((AC50/G50)^(1/($AC$3-$H$1) ))-1</f>
        <v>0.10196188537825046</v>
      </c>
      <c r="AE50" s="31">
        <f t="shared" si="15"/>
        <v>0.05</v>
      </c>
      <c r="AF50" s="146">
        <f t="shared" ref="AF50:AF51" si="154">(AC50*(1+AE50))/($C$1-AE50)</f>
        <v>17493.037209133417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386.07954545454544</v>
      </c>
      <c r="H51" s="133">
        <f t="shared" si="155"/>
        <v>417.89772727272725</v>
      </c>
      <c r="I51" s="133">
        <f t="shared" si="155"/>
        <v>370.83333333333337</v>
      </c>
      <c r="J51" s="133">
        <f t="shared" si="155"/>
        <v>437.06140350877195</v>
      </c>
      <c r="K51" s="133">
        <f t="shared" si="155"/>
        <v>630.9941520467836</v>
      </c>
      <c r="L51" s="133">
        <f t="shared" si="155"/>
        <v>731.87134502923982</v>
      </c>
      <c r="M51" s="133">
        <f t="shared" si="155"/>
        <v>750.29239766081878</v>
      </c>
      <c r="N51" s="133">
        <f t="shared" si="155"/>
        <v>1061.9883040935672</v>
      </c>
      <c r="O51" s="133">
        <f t="shared" si="155"/>
        <v>1269.8830409356726</v>
      </c>
      <c r="P51" s="133">
        <f t="shared" si="155"/>
        <v>1355.2631578947369</v>
      </c>
      <c r="Q51" s="133">
        <f t="shared" ref="Q51" si="156">Q27/Q42</f>
        <v>1355.2631578947369</v>
      </c>
      <c r="R51" s="118">
        <f>((P51/G51)^(1/($H$2-$H$1) ))-1</f>
        <v>0.14972531327290661</v>
      </c>
      <c r="S51" s="128"/>
      <c r="T51" s="158">
        <f t="shared" ref="T51:AC51" si="157">T27/T42</f>
        <v>1445.6140350877195</v>
      </c>
      <c r="U51" s="158">
        <f t="shared" si="157"/>
        <v>1541.9883040935674</v>
      </c>
      <c r="V51" s="158">
        <f t="shared" si="157"/>
        <v>1644.7875243664719</v>
      </c>
      <c r="W51" s="158">
        <f t="shared" si="157"/>
        <v>1754.4400259909035</v>
      </c>
      <c r="X51" s="158">
        <f t="shared" si="157"/>
        <v>1871.402694390297</v>
      </c>
      <c r="Y51" s="158">
        <f t="shared" si="157"/>
        <v>1996.1628740163171</v>
      </c>
      <c r="Z51" s="158">
        <f t="shared" si="157"/>
        <v>2129.2403989507384</v>
      </c>
      <c r="AA51" s="158">
        <f t="shared" si="157"/>
        <v>2271.1897588807878</v>
      </c>
      <c r="AB51" s="158">
        <f t="shared" si="157"/>
        <v>2422.6024094728405</v>
      </c>
      <c r="AC51" s="158">
        <f t="shared" si="157"/>
        <v>2584.1092367710294</v>
      </c>
      <c r="AD51" s="138">
        <f t="shared" ref="AD51" si="158">((AC51/G51)^(1/($AC$3-$H$1) ))-1</f>
        <v>9.9718937385521844E-2</v>
      </c>
      <c r="AE51" s="31">
        <f t="shared" si="15"/>
        <v>0.05</v>
      </c>
      <c r="AF51" s="146">
        <f t="shared" si="154"/>
        <v>15960.674697703418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-52</v>
      </c>
      <c r="H52" s="133">
        <f t="shared" ref="H52:P52" si="159">H38-H40</f>
        <v>-40</v>
      </c>
      <c r="I52" s="133">
        <f t="shared" si="159"/>
        <v>-0.36</v>
      </c>
      <c r="J52" s="133">
        <f t="shared" si="159"/>
        <v>16</v>
      </c>
      <c r="K52" s="133">
        <f t="shared" si="159"/>
        <v>34</v>
      </c>
      <c r="L52" s="133">
        <f t="shared" si="159"/>
        <v>-24</v>
      </c>
      <c r="M52" s="133">
        <f t="shared" si="159"/>
        <v>78</v>
      </c>
      <c r="N52" s="133">
        <f t="shared" si="159"/>
        <v>14</v>
      </c>
      <c r="O52" s="133">
        <f t="shared" si="159"/>
        <v>6</v>
      </c>
      <c r="P52" s="133">
        <f t="shared" si="159"/>
        <v>47</v>
      </c>
      <c r="Q52" s="133">
        <f t="shared" ref="Q52" si="160">Q38-Q40</f>
        <v>47</v>
      </c>
      <c r="R52" s="118">
        <f>((P52/G52)^(1/($H$2-$H$1) ))-1</f>
        <v>-1.9888299516052088</v>
      </c>
      <c r="S52" s="128"/>
      <c r="T52" s="133">
        <f t="shared" ref="T52:AC52" si="161">T38-T40</f>
        <v>52.640000000000015</v>
      </c>
      <c r="U52" s="133">
        <f t="shared" si="161"/>
        <v>58.956800000000015</v>
      </c>
      <c r="V52" s="133">
        <f t="shared" si="161"/>
        <v>66.031616000000014</v>
      </c>
      <c r="W52" s="133">
        <f t="shared" si="161"/>
        <v>73.955409920000051</v>
      </c>
      <c r="X52" s="133">
        <f t="shared" si="161"/>
        <v>82.830059110400072</v>
      </c>
      <c r="Y52" s="133">
        <f t="shared" si="161"/>
        <v>92.769666203648086</v>
      </c>
      <c r="Z52" s="133">
        <f t="shared" si="161"/>
        <v>103.90202614808584</v>
      </c>
      <c r="AA52" s="133">
        <f t="shared" si="161"/>
        <v>116.37026928585612</v>
      </c>
      <c r="AB52" s="133">
        <f t="shared" si="161"/>
        <v>130.33470160015889</v>
      </c>
      <c r="AC52" s="133">
        <f t="shared" si="161"/>
        <v>145.97486579217798</v>
      </c>
      <c r="AD52" s="138" t="e">
        <f t="shared" ref="AD52" si="162">((AC52/G52)^(1/($AC$3-$H$1) ))-1</f>
        <v>#NUM!</v>
      </c>
      <c r="AE52" s="31">
        <f t="shared" si="15"/>
        <v>0.05</v>
      </c>
      <c r="AF52" s="146">
        <f t="shared" ref="AF52" si="163">(AC52*(1+AE52))/($C$1-AE52)</f>
        <v>901.60946518698165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3.9772727272727271</v>
      </c>
      <c r="H54" s="133">
        <f t="shared" si="164"/>
        <v>-0.56818181818181823</v>
      </c>
      <c r="I54" s="133">
        <f t="shared" si="164"/>
        <v>0.10964912280701755</v>
      </c>
      <c r="J54" s="133">
        <f t="shared" si="164"/>
        <v>8.5526315789473699</v>
      </c>
      <c r="K54" s="133">
        <f t="shared" si="164"/>
        <v>43.274853801169591</v>
      </c>
      <c r="L54" s="133">
        <f t="shared" si="164"/>
        <v>-4.6783625730994149</v>
      </c>
      <c r="M54" s="133">
        <f t="shared" si="164"/>
        <v>47.953216374269005</v>
      </c>
      <c r="N54" s="133">
        <f t="shared" si="164"/>
        <v>8.1871345029239766</v>
      </c>
      <c r="O54" s="133">
        <f t="shared" si="164"/>
        <v>5.2631578947368425</v>
      </c>
      <c r="P54" s="133">
        <f t="shared" si="164"/>
        <v>35.087719298245617</v>
      </c>
      <c r="Q54" s="133">
        <f t="shared" ref="Q54" si="165">Q40/Q42</f>
        <v>35.087719298245617</v>
      </c>
      <c r="R54" s="118">
        <f>((P54/G54)^(1/($H$2-$H$1) ))-1</f>
        <v>0.27368873434033048</v>
      </c>
      <c r="S54" s="128"/>
      <c r="T54" s="158">
        <f t="shared" ref="T54:AC54" si="166">T40/T42</f>
        <v>37.42690058479532</v>
      </c>
      <c r="U54" s="158">
        <f t="shared" si="166"/>
        <v>39.922027290448341</v>
      </c>
      <c r="V54" s="158">
        <f t="shared" si="166"/>
        <v>42.583495776478237</v>
      </c>
      <c r="W54" s="158">
        <f t="shared" si="166"/>
        <v>45.42239549491012</v>
      </c>
      <c r="X54" s="158">
        <f t="shared" si="166"/>
        <v>48.450555194570789</v>
      </c>
      <c r="Y54" s="158">
        <f t="shared" si="166"/>
        <v>51.680592207542183</v>
      </c>
      <c r="Z54" s="158">
        <f t="shared" si="166"/>
        <v>55.125965021378335</v>
      </c>
      <c r="AA54" s="158">
        <f t="shared" si="166"/>
        <v>58.801029356136901</v>
      </c>
      <c r="AB54" s="158">
        <f t="shared" si="166"/>
        <v>62.721097979879367</v>
      </c>
      <c r="AC54" s="158">
        <f t="shared" si="166"/>
        <v>66.902504511871328</v>
      </c>
      <c r="AD54" s="138">
        <f t="shared" ref="AD54:AD68" si="167">((AC54/G54)^(1/($AC$3-$H$1) ))-1</f>
        <v>0.15157664970188822</v>
      </c>
      <c r="AE54" s="31">
        <f t="shared" si="15"/>
        <v>0.05</v>
      </c>
      <c r="AF54" s="146">
        <f t="shared" ref="AF54:AF82" si="168">(AC54*(1+AE54))/($C$1-AE54)</f>
        <v>413.22135139685236</v>
      </c>
    </row>
    <row r="55" spans="2:32" x14ac:dyDescent="0.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0</v>
      </c>
      <c r="H55" s="133">
        <f t="shared" ref="H55:P55" si="170">H20/H42</f>
        <v>0</v>
      </c>
      <c r="I55" s="133">
        <f t="shared" si="170"/>
        <v>0</v>
      </c>
      <c r="J55" s="133">
        <f t="shared" si="170"/>
        <v>0</v>
      </c>
      <c r="K55" s="133">
        <f t="shared" si="170"/>
        <v>0</v>
      </c>
      <c r="L55" s="133">
        <f t="shared" si="170"/>
        <v>0</v>
      </c>
      <c r="M55" s="133">
        <f t="shared" si="170"/>
        <v>0</v>
      </c>
      <c r="N55" s="133">
        <f t="shared" si="170"/>
        <v>0</v>
      </c>
      <c r="O55" s="133">
        <f t="shared" si="170"/>
        <v>0</v>
      </c>
      <c r="P55" s="133">
        <f t="shared" si="170"/>
        <v>0</v>
      </c>
      <c r="Q55" s="133">
        <f t="shared" ref="Q55" si="171">Q20/Q42</f>
        <v>0</v>
      </c>
      <c r="R55" s="118" t="e">
        <f>((P55/G55)^(1/($H$2-$H$1) ))-1</f>
        <v>#DIV/0!</v>
      </c>
      <c r="S55" s="128"/>
      <c r="T55" s="133">
        <f t="shared" ref="T55:AC55" si="172">T20/T42</f>
        <v>0</v>
      </c>
      <c r="U55" s="133">
        <f t="shared" si="172"/>
        <v>0</v>
      </c>
      <c r="V55" s="133">
        <f t="shared" si="172"/>
        <v>0</v>
      </c>
      <c r="W55" s="133">
        <f t="shared" si="172"/>
        <v>0</v>
      </c>
      <c r="X55" s="133">
        <f t="shared" si="172"/>
        <v>0</v>
      </c>
      <c r="Y55" s="133">
        <f t="shared" si="172"/>
        <v>0</v>
      </c>
      <c r="Z55" s="133">
        <f t="shared" si="172"/>
        <v>0</v>
      </c>
      <c r="AA55" s="133">
        <f t="shared" si="172"/>
        <v>0</v>
      </c>
      <c r="AB55" s="133">
        <f t="shared" si="172"/>
        <v>0</v>
      </c>
      <c r="AC55" s="133">
        <f t="shared" si="172"/>
        <v>0</v>
      </c>
      <c r="AD55" s="138" t="e">
        <f t="shared" ref="AD55" si="173">((AC55/G55)^(1/($AC$3-$H$1) ))-1</f>
        <v>#DIV/0!</v>
      </c>
      <c r="AE55" s="31">
        <f t="shared" si="15"/>
        <v>0.05</v>
      </c>
      <c r="AF55" s="146">
        <f t="shared" si="168"/>
        <v>0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177.27272727272728</v>
      </c>
      <c r="H56" s="133">
        <f t="shared" si="174"/>
        <v>178.97727272727272</v>
      </c>
      <c r="I56" s="133">
        <f t="shared" si="174"/>
        <v>76.754385964912288</v>
      </c>
      <c r="J56" s="133">
        <f t="shared" si="174"/>
        <v>82.894736842105274</v>
      </c>
      <c r="K56" s="133">
        <f t="shared" si="174"/>
        <v>150</v>
      </c>
      <c r="L56" s="133">
        <f t="shared" si="174"/>
        <v>142.69005847953215</v>
      </c>
      <c r="M56" s="133">
        <f t="shared" si="174"/>
        <v>184.21052631578948</v>
      </c>
      <c r="N56" s="133">
        <f t="shared" si="174"/>
        <v>190.93567251461988</v>
      </c>
      <c r="O56" s="133">
        <f t="shared" si="174"/>
        <v>198.24561403508773</v>
      </c>
      <c r="P56" s="133">
        <f t="shared" si="174"/>
        <v>229.53216374269007</v>
      </c>
      <c r="Q56" s="133">
        <f t="shared" ref="Q56" si="175">Q7/Q42</f>
        <v>229.53216374269007</v>
      </c>
      <c r="R56" s="118">
        <f>((P56/G56)^(1/($H$2-$H$1) ))-1</f>
        <v>2.9121963882235757E-2</v>
      </c>
      <c r="S56" s="128"/>
      <c r="T56" s="158">
        <f t="shared" ref="T56:AC56" si="176">T7/T42</f>
        <v>244.83430799220272</v>
      </c>
      <c r="U56" s="158">
        <f t="shared" si="176"/>
        <v>261.15659519168292</v>
      </c>
      <c r="V56" s="158">
        <f t="shared" si="176"/>
        <v>278.56703487112844</v>
      </c>
      <c r="W56" s="158">
        <f t="shared" si="176"/>
        <v>297.13817052920371</v>
      </c>
      <c r="X56" s="158">
        <f t="shared" si="176"/>
        <v>316.94738189781731</v>
      </c>
      <c r="Y56" s="158">
        <f t="shared" si="176"/>
        <v>338.07720735767185</v>
      </c>
      <c r="Z56" s="158">
        <f t="shared" si="176"/>
        <v>360.61568784818331</v>
      </c>
      <c r="AA56" s="158">
        <f t="shared" si="176"/>
        <v>384.65673370472894</v>
      </c>
      <c r="AB56" s="158">
        <f t="shared" si="176"/>
        <v>410.30051595171091</v>
      </c>
      <c r="AC56" s="158">
        <f t="shared" si="176"/>
        <v>437.65388368182494</v>
      </c>
      <c r="AD56" s="138">
        <f t="shared" si="167"/>
        <v>4.6223433062408503E-2</v>
      </c>
      <c r="AE56" s="31">
        <f t="shared" si="15"/>
        <v>0.05</v>
      </c>
      <c r="AF56" s="146">
        <f t="shared" si="168"/>
        <v>2703.1563403877426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84.943181818181813</v>
      </c>
      <c r="H57" s="144">
        <f t="shared" si="177"/>
        <v>74.431818181818187</v>
      </c>
      <c r="I57" s="144">
        <f t="shared" si="177"/>
        <v>66.447368421052644</v>
      </c>
      <c r="J57" s="144">
        <f t="shared" si="177"/>
        <v>73.026315789473685</v>
      </c>
      <c r="K57" s="144">
        <f t="shared" si="177"/>
        <v>135.96491228070175</v>
      </c>
      <c r="L57" s="144">
        <f t="shared" si="177"/>
        <v>131.28654970760235</v>
      </c>
      <c r="M57" s="144">
        <f t="shared" si="177"/>
        <v>173.9766081871345</v>
      </c>
      <c r="N57" s="144">
        <f t="shared" si="177"/>
        <v>179.23976608187135</v>
      </c>
      <c r="O57" s="144">
        <f t="shared" si="177"/>
        <v>187.13450292397661</v>
      </c>
      <c r="P57" s="144">
        <f t="shared" si="177"/>
        <v>218.42105263157896</v>
      </c>
      <c r="Q57" s="144">
        <f t="shared" ref="Q57" si="178">Q6/Q42</f>
        <v>218.42105263157896</v>
      </c>
      <c r="R57" s="118">
        <f>((P57/G57)^(1/($H$2-$H$1) ))-1</f>
        <v>0.1106417546370968</v>
      </c>
      <c r="S57" s="128"/>
      <c r="T57" s="157">
        <f t="shared" ref="T57:AC57" si="179">T6/T42</f>
        <v>232.98245614035091</v>
      </c>
      <c r="U57" s="157">
        <f t="shared" si="179"/>
        <v>248.51461988304095</v>
      </c>
      <c r="V57" s="157">
        <f t="shared" si="179"/>
        <v>265.08226120857705</v>
      </c>
      <c r="W57" s="157">
        <f t="shared" si="179"/>
        <v>282.75441195581556</v>
      </c>
      <c r="X57" s="157">
        <f t="shared" si="179"/>
        <v>301.60470608620324</v>
      </c>
      <c r="Y57" s="157">
        <f t="shared" si="179"/>
        <v>321.71168649195016</v>
      </c>
      <c r="Z57" s="157">
        <f t="shared" si="179"/>
        <v>343.15913225808021</v>
      </c>
      <c r="AA57" s="157">
        <f t="shared" si="179"/>
        <v>366.03640774195225</v>
      </c>
      <c r="AB57" s="157">
        <f t="shared" si="179"/>
        <v>390.43883492474907</v>
      </c>
      <c r="AC57" s="157">
        <f t="shared" si="179"/>
        <v>416.46809058639906</v>
      </c>
      <c r="AD57" s="138">
        <f t="shared" si="167"/>
        <v>8.2736207985932619E-2</v>
      </c>
      <c r="AE57" s="31">
        <f t="shared" si="15"/>
        <v>0.05</v>
      </c>
      <c r="AF57" s="146">
        <f t="shared" si="168"/>
        <v>2572.3029124454065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133.52272727272728</v>
      </c>
      <c r="H58" s="144">
        <f t="shared" si="180"/>
        <v>127.84090909090909</v>
      </c>
      <c r="I58" s="144">
        <f t="shared" si="180"/>
        <v>91.447368421052644</v>
      </c>
      <c r="J58" s="144">
        <f t="shared" si="180"/>
        <v>82.675438596491233</v>
      </c>
      <c r="K58" s="144">
        <f t="shared" si="180"/>
        <v>96.491228070175438</v>
      </c>
      <c r="L58" s="144">
        <f t="shared" si="180"/>
        <v>134.79532163742689</v>
      </c>
      <c r="M58" s="144">
        <f t="shared" si="180"/>
        <v>130.11695906432749</v>
      </c>
      <c r="N58" s="144">
        <f t="shared" si="180"/>
        <v>307.01754385964915</v>
      </c>
      <c r="O58" s="144">
        <f t="shared" si="180"/>
        <v>320.17543859649123</v>
      </c>
      <c r="P58" s="144">
        <f t="shared" si="180"/>
        <v>242.10526315789474</v>
      </c>
      <c r="Q58" s="144">
        <f t="shared" ref="Q58" si="181">Q10/Q42</f>
        <v>242.10526315789474</v>
      </c>
      <c r="R58" s="118">
        <f>((P58/G58)^(1/($H$2-$H$1) ))-1</f>
        <v>6.8357392812296691E-2</v>
      </c>
      <c r="S58" s="128"/>
      <c r="T58" s="157">
        <f t="shared" ref="T58:AC58" si="182">T10/T42</f>
        <v>258.24561403508773</v>
      </c>
      <c r="U58" s="157">
        <f t="shared" si="182"/>
        <v>275.46198830409361</v>
      </c>
      <c r="V58" s="157">
        <f t="shared" si="182"/>
        <v>293.82612085769983</v>
      </c>
      <c r="W58" s="157">
        <f t="shared" si="182"/>
        <v>313.41452891487984</v>
      </c>
      <c r="X58" s="157">
        <f t="shared" si="182"/>
        <v>334.3088308425385</v>
      </c>
      <c r="Y58" s="157">
        <f t="shared" si="182"/>
        <v>356.5960862320411</v>
      </c>
      <c r="Z58" s="157">
        <f t="shared" si="182"/>
        <v>380.36915864751057</v>
      </c>
      <c r="AA58" s="157">
        <f t="shared" si="182"/>
        <v>405.72710255734467</v>
      </c>
      <c r="AB58" s="157">
        <f t="shared" si="182"/>
        <v>432.77557606116767</v>
      </c>
      <c r="AC58" s="157">
        <f t="shared" si="182"/>
        <v>461.62728113191218</v>
      </c>
      <c r="AD58" s="138">
        <f t="shared" si="167"/>
        <v>6.3988205157391453E-2</v>
      </c>
      <c r="AE58" s="31">
        <f t="shared" si="15"/>
        <v>0.05</v>
      </c>
      <c r="AF58" s="146">
        <f t="shared" si="168"/>
        <v>2851.2273246382815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43.75</v>
      </c>
      <c r="H60" s="144">
        <f t="shared" si="183"/>
        <v>51.136363636363633</v>
      </c>
      <c r="I60" s="144">
        <f t="shared" si="183"/>
        <v>-14.692982456140353</v>
      </c>
      <c r="J60" s="144">
        <f t="shared" si="183"/>
        <v>0.2192982456140351</v>
      </c>
      <c r="K60" s="144">
        <f t="shared" si="183"/>
        <v>53.508771929824562</v>
      </c>
      <c r="L60" s="144">
        <f t="shared" si="183"/>
        <v>7.8947368421052637</v>
      </c>
      <c r="M60" s="144">
        <f t="shared" si="183"/>
        <v>54.093567251461991</v>
      </c>
      <c r="N60" s="144">
        <f t="shared" si="183"/>
        <v>-116.08187134502924</v>
      </c>
      <c r="O60" s="144">
        <f t="shared" si="183"/>
        <v>-121.92982456140351</v>
      </c>
      <c r="P60" s="144">
        <f t="shared" si="183"/>
        <v>-12.573099415204679</v>
      </c>
      <c r="Q60" s="144">
        <f t="shared" ref="Q60" si="184">(Q7-Q10)/Q42</f>
        <v>-12.573099415204679</v>
      </c>
      <c r="R60" s="118">
        <f>((P60/G60)^(1/($H$2-$H$1) ))-1</f>
        <v>-1.8706214557748739</v>
      </c>
      <c r="S60" s="128"/>
      <c r="T60" s="157">
        <f t="shared" ref="T60:AC60" si="185">(T7-T10)/T42</f>
        <v>-13.411306042885013</v>
      </c>
      <c r="U60" s="157">
        <f t="shared" si="185"/>
        <v>-14.305393112410663</v>
      </c>
      <c r="V60" s="157">
        <f t="shared" si="185"/>
        <v>-15.259085986571376</v>
      </c>
      <c r="W60" s="157">
        <f t="shared" si="185"/>
        <v>-16.276358385676136</v>
      </c>
      <c r="X60" s="157">
        <f t="shared" si="185"/>
        <v>-17.361448944721186</v>
      </c>
      <c r="Y60" s="157">
        <f t="shared" si="185"/>
        <v>-18.518878874369271</v>
      </c>
      <c r="Z60" s="157">
        <f t="shared" si="185"/>
        <v>-19.753470799327225</v>
      </c>
      <c r="AA60" s="157">
        <f t="shared" si="185"/>
        <v>-21.070368852615722</v>
      </c>
      <c r="AB60" s="157">
        <f t="shared" si="185"/>
        <v>-22.475060109456773</v>
      </c>
      <c r="AC60" s="157">
        <f t="shared" si="185"/>
        <v>-23.973397450087248</v>
      </c>
      <c r="AD60" s="138" t="e">
        <f t="shared" si="167"/>
        <v>#NUM!</v>
      </c>
      <c r="AE60" s="31">
        <f t="shared" si="15"/>
        <v>0.05</v>
      </c>
      <c r="AF60" s="146">
        <f t="shared" si="168"/>
        <v>-148.07098425053891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-124.43181818181819</v>
      </c>
      <c r="H61" s="144">
        <f t="shared" si="186"/>
        <v>-118.75</v>
      </c>
      <c r="I61" s="144">
        <f t="shared" si="186"/>
        <v>-149.12280701754386</v>
      </c>
      <c r="J61" s="144">
        <f t="shared" si="186"/>
        <v>-139.69298245614036</v>
      </c>
      <c r="K61" s="144">
        <f t="shared" si="186"/>
        <v>-152.92397660818713</v>
      </c>
      <c r="L61" s="144">
        <f t="shared" si="186"/>
        <v>-197.07602339181287</v>
      </c>
      <c r="M61" s="144">
        <f t="shared" si="186"/>
        <v>-244.15204678362574</v>
      </c>
      <c r="N61" s="144">
        <f t="shared" si="186"/>
        <v>-439.76608187134502</v>
      </c>
      <c r="O61" s="144">
        <f t="shared" si="186"/>
        <v>-491.5204678362573</v>
      </c>
      <c r="P61" s="144">
        <f t="shared" si="186"/>
        <v>-436.25730994152048</v>
      </c>
      <c r="Q61" s="144">
        <f t="shared" ref="Q61" si="187">(Q7-Q10-Q9)/Q42</f>
        <v>-436.25730994152048</v>
      </c>
      <c r="R61" s="118">
        <f>((P61/G61)^(1/($H$2-$H$1) ))-1</f>
        <v>0.14956778698329609</v>
      </c>
      <c r="S61" s="128"/>
      <c r="T61" s="157">
        <f t="shared" ref="T61:AC61" si="188">(T7-T10-T9)/T42</f>
        <v>-465.34113060428854</v>
      </c>
      <c r="U61" s="157">
        <f t="shared" si="188"/>
        <v>-496.36387264457443</v>
      </c>
      <c r="V61" s="157">
        <f t="shared" si="188"/>
        <v>-529.45479748754599</v>
      </c>
      <c r="W61" s="157">
        <f t="shared" si="188"/>
        <v>-564.75178398671585</v>
      </c>
      <c r="X61" s="157">
        <f t="shared" si="188"/>
        <v>-602.40190291916349</v>
      </c>
      <c r="Y61" s="157">
        <f t="shared" si="188"/>
        <v>-642.56202978044132</v>
      </c>
      <c r="Z61" s="157">
        <f t="shared" si="188"/>
        <v>-685.39949843247075</v>
      </c>
      <c r="AA61" s="157">
        <f t="shared" si="188"/>
        <v>-731.09279832796892</v>
      </c>
      <c r="AB61" s="157">
        <f t="shared" si="188"/>
        <v>-779.8323182165002</v>
      </c>
      <c r="AC61" s="157">
        <f t="shared" si="188"/>
        <v>-831.82113943093361</v>
      </c>
      <c r="AD61" s="138">
        <f t="shared" si="167"/>
        <v>9.9651131165841456E-2</v>
      </c>
      <c r="AE61" s="31">
        <f t="shared" si="15"/>
        <v>0.05</v>
      </c>
      <c r="AF61" s="146">
        <f t="shared" si="168"/>
        <v>-5137.7188023675317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1.9886363636363635</v>
      </c>
      <c r="H62" s="144">
        <f t="shared" si="189"/>
        <v>2.5568181818181817</v>
      </c>
      <c r="I62" s="144">
        <f t="shared" si="189"/>
        <v>-46.71052631578948</v>
      </c>
      <c r="J62" s="144">
        <f t="shared" si="189"/>
        <v>-25.877192982456144</v>
      </c>
      <c r="K62" s="144">
        <f t="shared" si="189"/>
        <v>47.66081871345029</v>
      </c>
      <c r="L62" s="144">
        <f t="shared" si="189"/>
        <v>-26.900584795321638</v>
      </c>
      <c r="M62" s="144">
        <f t="shared" si="189"/>
        <v>2.9239766081871346</v>
      </c>
      <c r="N62" s="144">
        <f t="shared" si="189"/>
        <v>-110.81871345029241</v>
      </c>
      <c r="O62" s="144">
        <f t="shared" si="189"/>
        <v>-118.71345029239767</v>
      </c>
      <c r="P62" s="144">
        <f t="shared" si="189"/>
        <v>-46.491228070175438</v>
      </c>
      <c r="Q62" s="144">
        <f t="shared" ref="Q62" si="190">(Q7+Q15-Q10-Q9)/Q42</f>
        <v>-46.491228070175438</v>
      </c>
      <c r="R62" s="118">
        <f>((P62/G62)^(1/($H$2-$H$1) ))-1</f>
        <v>-2.419353675911962</v>
      </c>
      <c r="S62" s="128"/>
      <c r="T62" s="157">
        <f t="shared" ref="T62:AC62" si="191">(T7+T15-T10-T9)/T42</f>
        <v>-49.590643274853903</v>
      </c>
      <c r="U62" s="157">
        <f t="shared" si="191"/>
        <v>-52.896686159844087</v>
      </c>
      <c r="V62" s="157">
        <f t="shared" si="191"/>
        <v>-56.423131903833706</v>
      </c>
      <c r="W62" s="157">
        <f t="shared" si="191"/>
        <v>-60.184674030755936</v>
      </c>
      <c r="X62" s="157">
        <f t="shared" si="191"/>
        <v>-64.196985632806332</v>
      </c>
      <c r="Y62" s="157">
        <f t="shared" si="191"/>
        <v>-68.476784674993368</v>
      </c>
      <c r="Z62" s="157">
        <f t="shared" si="191"/>
        <v>-73.041903653326358</v>
      </c>
      <c r="AA62" s="157">
        <f t="shared" si="191"/>
        <v>-77.911363896881554</v>
      </c>
      <c r="AB62" s="157">
        <f t="shared" si="191"/>
        <v>-83.10545482334031</v>
      </c>
      <c r="AC62" s="157">
        <f t="shared" si="191"/>
        <v>-88.645818478229728</v>
      </c>
      <c r="AD62" s="138" t="e">
        <f t="shared" si="167"/>
        <v>#NUM!</v>
      </c>
      <c r="AE62" s="31">
        <f t="shared" si="15"/>
        <v>0.05</v>
      </c>
      <c r="AF62" s="146">
        <f t="shared" si="168"/>
        <v>-547.51829060083082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11.363636363636363</v>
      </c>
      <c r="H64" s="144">
        <f t="shared" si="192"/>
        <v>8.5227272727272734</v>
      </c>
      <c r="I64" s="144">
        <f t="shared" si="192"/>
        <v>8.3333333333333339</v>
      </c>
      <c r="J64" s="144">
        <f t="shared" si="192"/>
        <v>8.7719298245614041</v>
      </c>
      <c r="K64" s="144">
        <f t="shared" si="192"/>
        <v>12.280701754385966</v>
      </c>
      <c r="L64" s="144">
        <f t="shared" si="192"/>
        <v>39.473684210526315</v>
      </c>
      <c r="M64" s="144">
        <f t="shared" si="192"/>
        <v>40.935672514619881</v>
      </c>
      <c r="N64" s="144">
        <f t="shared" si="192"/>
        <v>14.327485380116959</v>
      </c>
      <c r="O64" s="144">
        <f t="shared" si="192"/>
        <v>10.526315789473685</v>
      </c>
      <c r="P64" s="144">
        <f t="shared" si="192"/>
        <v>32.748538011695906</v>
      </c>
      <c r="Q64" s="144">
        <f t="shared" ref="Q64" si="193">Q12/Q42</f>
        <v>32.748538011695906</v>
      </c>
      <c r="R64" s="118">
        <f>((P64/G64)^(1/($H$2-$H$1) ))-1</f>
        <v>0.12479908479413959</v>
      </c>
      <c r="S64" s="128"/>
      <c r="T64" s="157">
        <f t="shared" ref="T64:AC64" si="194">T12/T42</f>
        <v>34.931773879142298</v>
      </c>
      <c r="U64" s="157">
        <f t="shared" si="194"/>
        <v>37.260558804418451</v>
      </c>
      <c r="V64" s="157">
        <f t="shared" si="194"/>
        <v>39.744596058046348</v>
      </c>
      <c r="W64" s="157">
        <f t="shared" si="194"/>
        <v>42.394235795249443</v>
      </c>
      <c r="X64" s="157">
        <f t="shared" si="194"/>
        <v>45.220518181599402</v>
      </c>
      <c r="Y64" s="157">
        <f t="shared" si="194"/>
        <v>48.235219393706032</v>
      </c>
      <c r="Z64" s="157">
        <f t="shared" si="194"/>
        <v>51.450900686619775</v>
      </c>
      <c r="AA64" s="157">
        <f t="shared" si="194"/>
        <v>54.880960732394428</v>
      </c>
      <c r="AB64" s="157">
        <f t="shared" si="194"/>
        <v>58.539691447887392</v>
      </c>
      <c r="AC64" s="157">
        <f t="shared" si="194"/>
        <v>62.442337544413213</v>
      </c>
      <c r="AD64" s="138">
        <f t="shared" si="167"/>
        <v>8.8925307402366593E-2</v>
      </c>
      <c r="AE64" s="31">
        <f t="shared" si="15"/>
        <v>0.05</v>
      </c>
      <c r="AF64" s="146">
        <f t="shared" si="168"/>
        <v>385.67326130372874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54.261363636363633</v>
      </c>
      <c r="H65" s="144">
        <f t="shared" si="195"/>
        <v>54.261363636363633</v>
      </c>
      <c r="I65" s="144">
        <f t="shared" si="195"/>
        <v>28.070175438596493</v>
      </c>
      <c r="J65" s="144">
        <f t="shared" si="195"/>
        <v>28.070175438596493</v>
      </c>
      <c r="K65" s="144">
        <f t="shared" si="195"/>
        <v>2.9239766081871346</v>
      </c>
      <c r="L65" s="144">
        <f t="shared" si="195"/>
        <v>12.573099415204679</v>
      </c>
      <c r="M65" s="144">
        <f t="shared" si="195"/>
        <v>12.573099415204679</v>
      </c>
      <c r="N65" s="144">
        <f t="shared" si="195"/>
        <v>12.573099415204679</v>
      </c>
      <c r="O65" s="144">
        <f t="shared" si="195"/>
        <v>9.064327485380117</v>
      </c>
      <c r="P65" s="144">
        <f t="shared" si="195"/>
        <v>0.14619883040935672</v>
      </c>
      <c r="Q65" s="144">
        <f t="shared" ref="Q65" si="196">Q13/Q42</f>
        <v>0.14619883040935672</v>
      </c>
      <c r="R65" s="118">
        <f>((P65/G65)^(1/($H$2-$H$1) ))-1</f>
        <v>-0.48180311335835357</v>
      </c>
      <c r="S65" s="128"/>
      <c r="T65" s="157">
        <f t="shared" ref="T65:AC65" si="197">T13/T42</f>
        <v>0.15594541910331386</v>
      </c>
      <c r="U65" s="157">
        <f t="shared" si="197"/>
        <v>0.16634178037686809</v>
      </c>
      <c r="V65" s="157">
        <f t="shared" si="197"/>
        <v>0.17743123240199266</v>
      </c>
      <c r="W65" s="157">
        <f t="shared" si="197"/>
        <v>0.18925998122879217</v>
      </c>
      <c r="X65" s="157">
        <f t="shared" si="197"/>
        <v>0.20187731331071165</v>
      </c>
      <c r="Y65" s="157">
        <f t="shared" si="197"/>
        <v>0.21533580086475912</v>
      </c>
      <c r="Z65" s="157">
        <f t="shared" si="197"/>
        <v>0.22969152092240974</v>
      </c>
      <c r="AA65" s="157">
        <f t="shared" si="197"/>
        <v>0.24500428898390375</v>
      </c>
      <c r="AB65" s="157">
        <f t="shared" si="197"/>
        <v>0.26133790824949737</v>
      </c>
      <c r="AC65" s="157">
        <f t="shared" si="197"/>
        <v>0.2787604354661305</v>
      </c>
      <c r="AD65" s="138">
        <f t="shared" si="167"/>
        <v>-0.2316890522817876</v>
      </c>
      <c r="AE65" s="31">
        <f t="shared" si="15"/>
        <v>0.05</v>
      </c>
      <c r="AF65" s="146">
        <f t="shared" si="168"/>
        <v>1.721755630820218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65.625</v>
      </c>
      <c r="H66" s="144">
        <f t="shared" si="198"/>
        <v>62.784090909090907</v>
      </c>
      <c r="I66" s="144">
        <f t="shared" si="198"/>
        <v>36.403508771929829</v>
      </c>
      <c r="J66" s="144">
        <f t="shared" si="198"/>
        <v>36.842105263157897</v>
      </c>
      <c r="K66" s="144">
        <f t="shared" si="198"/>
        <v>15.2046783625731</v>
      </c>
      <c r="L66" s="144">
        <f t="shared" si="198"/>
        <v>52.046783625730995</v>
      </c>
      <c r="M66" s="144">
        <f t="shared" si="198"/>
        <v>53.508771929824562</v>
      </c>
      <c r="N66" s="144">
        <f t="shared" si="198"/>
        <v>26.900584795321638</v>
      </c>
      <c r="O66" s="144">
        <f t="shared" ref="O66" si="199">(O64+O65)</f>
        <v>19.590643274853804</v>
      </c>
      <c r="P66" s="144">
        <f t="shared" si="198"/>
        <v>32.89473684210526</v>
      </c>
      <c r="Q66" s="144">
        <f t="shared" ref="Q66" si="200">(Q64+Q65)</f>
        <v>32.89473684210526</v>
      </c>
      <c r="R66" s="118">
        <f>((P66/G66)^(1/($H$2-$H$1) ))-1</f>
        <v>-7.386774245823946E-2</v>
      </c>
      <c r="S66" s="128"/>
      <c r="T66" s="157">
        <f t="shared" ref="T66:AC66" si="201">(T64+T65)</f>
        <v>35.087719298245609</v>
      </c>
      <c r="U66" s="157">
        <f t="shared" si="201"/>
        <v>37.42690058479532</v>
      </c>
      <c r="V66" s="157">
        <f t="shared" si="201"/>
        <v>39.922027290448341</v>
      </c>
      <c r="W66" s="157">
        <f t="shared" si="201"/>
        <v>42.583495776478237</v>
      </c>
      <c r="X66" s="157">
        <f t="shared" si="201"/>
        <v>45.422395494910113</v>
      </c>
      <c r="Y66" s="157">
        <f t="shared" si="201"/>
        <v>48.450555194570789</v>
      </c>
      <c r="Z66" s="157">
        <f t="shared" si="201"/>
        <v>51.680592207542183</v>
      </c>
      <c r="AA66" s="157">
        <f t="shared" si="201"/>
        <v>55.125965021378335</v>
      </c>
      <c r="AB66" s="157">
        <f t="shared" si="201"/>
        <v>58.801029356136887</v>
      </c>
      <c r="AC66" s="157">
        <f t="shared" si="201"/>
        <v>62.721097979879346</v>
      </c>
      <c r="AD66" s="138">
        <f t="shared" si="167"/>
        <v>-2.2603834254685262E-3</v>
      </c>
      <c r="AE66" s="31">
        <f t="shared" si="15"/>
        <v>0.05</v>
      </c>
      <c r="AF66" s="146">
        <f t="shared" si="168"/>
        <v>387.39501693454901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126.42045454545455</v>
      </c>
      <c r="H67" s="144">
        <f t="shared" si="202"/>
        <v>121.30681818181819</v>
      </c>
      <c r="I67" s="144">
        <f t="shared" si="202"/>
        <v>102.4122807017544</v>
      </c>
      <c r="J67" s="144">
        <f t="shared" si="202"/>
        <v>113.81578947368422</v>
      </c>
      <c r="K67" s="144">
        <f t="shared" si="202"/>
        <v>200.58479532163744</v>
      </c>
      <c r="L67" s="144">
        <f t="shared" si="202"/>
        <v>170.17543859649123</v>
      </c>
      <c r="M67" s="144">
        <f t="shared" si="202"/>
        <v>247.07602339181287</v>
      </c>
      <c r="N67" s="144">
        <f t="shared" si="202"/>
        <v>328.94736842105266</v>
      </c>
      <c r="O67" s="144">
        <f t="shared" si="202"/>
        <v>372.80701754385967</v>
      </c>
      <c r="P67" s="144">
        <f t="shared" si="202"/>
        <v>389.76608187134502</v>
      </c>
      <c r="Q67" s="144">
        <f t="shared" ref="Q67" si="203">Q15/Q42</f>
        <v>389.76608187134502</v>
      </c>
      <c r="R67" s="118">
        <f>((P67/G67)^(1/($H$2-$H$1) ))-1</f>
        <v>0.13326598888502761</v>
      </c>
      <c r="S67" s="128"/>
      <c r="T67" s="157">
        <f t="shared" ref="T67:AC67" si="204">T15/T42</f>
        <v>415.75048732943469</v>
      </c>
      <c r="U67" s="157">
        <f t="shared" si="204"/>
        <v>443.46718648473035</v>
      </c>
      <c r="V67" s="157">
        <f t="shared" si="204"/>
        <v>473.03166558371237</v>
      </c>
      <c r="W67" s="157">
        <f t="shared" si="204"/>
        <v>504.56710995595995</v>
      </c>
      <c r="X67" s="157">
        <f t="shared" si="204"/>
        <v>538.20491728635727</v>
      </c>
      <c r="Y67" s="157">
        <f t="shared" si="204"/>
        <v>574.08524510544783</v>
      </c>
      <c r="Z67" s="157">
        <f t="shared" si="204"/>
        <v>612.35759477914439</v>
      </c>
      <c r="AA67" s="157">
        <f t="shared" si="204"/>
        <v>653.18143443108738</v>
      </c>
      <c r="AB67" s="157">
        <f t="shared" si="204"/>
        <v>696.72686339315987</v>
      </c>
      <c r="AC67" s="157">
        <f t="shared" si="204"/>
        <v>743.17532095270383</v>
      </c>
      <c r="AD67" s="138">
        <f t="shared" si="167"/>
        <v>9.2606290571598748E-2</v>
      </c>
      <c r="AE67" s="31">
        <f t="shared" si="15"/>
        <v>0.05</v>
      </c>
      <c r="AF67" s="146">
        <f t="shared" si="168"/>
        <v>4590.2005117667013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112.21590909090909</v>
      </c>
      <c r="H68" s="144">
        <f t="shared" si="205"/>
        <v>98.01136363636364</v>
      </c>
      <c r="I68" s="144">
        <f t="shared" si="205"/>
        <v>-19.078947368421055</v>
      </c>
      <c r="J68" s="144">
        <f t="shared" si="205"/>
        <v>-17.98245614035088</v>
      </c>
      <c r="K68" s="144">
        <f t="shared" si="205"/>
        <v>12.865497076023392</v>
      </c>
      <c r="L68" s="144">
        <f t="shared" si="205"/>
        <v>32.748538011695906</v>
      </c>
      <c r="M68" s="144">
        <f t="shared" si="205"/>
        <v>2.0467836257309941</v>
      </c>
      <c r="N68" s="144">
        <f t="shared" si="205"/>
        <v>35.087719298245617</v>
      </c>
      <c r="O68" s="144">
        <f t="shared" si="205"/>
        <v>40.350877192982459</v>
      </c>
      <c r="P68" s="144">
        <f t="shared" si="205"/>
        <v>3.801169590643275</v>
      </c>
      <c r="Q68" s="144">
        <f t="shared" ref="Q68" si="206">Q16/Q42</f>
        <v>3.801169590643275</v>
      </c>
      <c r="R68" s="118">
        <f>((P68/G68)^(1/($H$2-$H$1) ))-1</f>
        <v>-0.31348279799662959</v>
      </c>
      <c r="S68" s="128"/>
      <c r="T68" s="157">
        <f t="shared" ref="T68:AC68" si="207">T16/T42</f>
        <v>4.0545808966861605</v>
      </c>
      <c r="U68" s="157">
        <f t="shared" si="207"/>
        <v>4.3248862897985711</v>
      </c>
      <c r="V68" s="157">
        <f t="shared" si="207"/>
        <v>4.6132120424518099</v>
      </c>
      <c r="W68" s="157">
        <f t="shared" si="207"/>
        <v>4.9207595119485976</v>
      </c>
      <c r="X68" s="157">
        <f t="shared" si="207"/>
        <v>5.2488101460785046</v>
      </c>
      <c r="Y68" s="157">
        <f t="shared" si="207"/>
        <v>5.5987308224837387</v>
      </c>
      <c r="Z68" s="157">
        <f t="shared" si="207"/>
        <v>5.9719795439826555</v>
      </c>
      <c r="AA68" s="157">
        <f t="shared" si="207"/>
        <v>6.3701115135814996</v>
      </c>
      <c r="AB68" s="157">
        <f t="shared" si="207"/>
        <v>6.7947856144869334</v>
      </c>
      <c r="AC68" s="157">
        <f t="shared" si="207"/>
        <v>7.2477713221193953</v>
      </c>
      <c r="AD68" s="138">
        <f t="shared" si="167"/>
        <v>-0.12801803521793409</v>
      </c>
      <c r="AE68" s="137"/>
      <c r="AF68" s="146">
        <f t="shared" si="168"/>
        <v>32.944415100542706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1</v>
      </c>
      <c r="H70" s="159">
        <f t="shared" si="208"/>
        <v>0</v>
      </c>
      <c r="I70" s="159">
        <f t="shared" si="208"/>
        <v>0</v>
      </c>
      <c r="J70" s="159">
        <f t="shared" si="208"/>
        <v>1.8</v>
      </c>
      <c r="K70" s="159">
        <f t="shared" si="208"/>
        <v>4</v>
      </c>
      <c r="L70" s="159">
        <f t="shared" si="208"/>
        <v>0</v>
      </c>
      <c r="M70" s="159">
        <f t="shared" si="208"/>
        <v>4</v>
      </c>
      <c r="N70" s="159">
        <f t="shared" si="208"/>
        <v>2</v>
      </c>
      <c r="O70" s="159">
        <f t="shared" si="208"/>
        <v>1</v>
      </c>
      <c r="P70" s="159">
        <f t="shared" si="208"/>
        <v>4</v>
      </c>
      <c r="Q70" s="159">
        <f t="shared" ref="Q70" si="209">Q44</f>
        <v>10</v>
      </c>
      <c r="R70" s="118">
        <f>((P70/G70)^(1/($H$2-$H$1) ))-1</f>
        <v>0.16652903957611653</v>
      </c>
      <c r="S70" s="128"/>
      <c r="T70" s="159">
        <f t="shared" ref="T70:AC70" si="210">T44</f>
        <v>10.5</v>
      </c>
      <c r="U70" s="159">
        <f t="shared" si="210"/>
        <v>11.025</v>
      </c>
      <c r="V70" s="159">
        <f t="shared" si="210"/>
        <v>11.576250000000002</v>
      </c>
      <c r="W70" s="159">
        <f t="shared" si="210"/>
        <v>12.155062500000001</v>
      </c>
      <c r="X70" s="159">
        <f t="shared" si="210"/>
        <v>12.762815625000002</v>
      </c>
      <c r="Y70" s="159">
        <f t="shared" si="210"/>
        <v>13.400956406250003</v>
      </c>
      <c r="Z70" s="159">
        <f t="shared" si="210"/>
        <v>14.071004226562504</v>
      </c>
      <c r="AA70" s="159">
        <f t="shared" si="210"/>
        <v>14.774554437890631</v>
      </c>
      <c r="AB70" s="159">
        <f t="shared" si="210"/>
        <v>15.513282159785163</v>
      </c>
      <c r="AC70" s="159">
        <f t="shared" si="210"/>
        <v>16.288946267774421</v>
      </c>
      <c r="AD70" s="138">
        <f t="shared" ref="AD70" si="211">((AC70/G70)^(1/($AC$3-$H$1) ))-1</f>
        <v>0.14972678597303091</v>
      </c>
      <c r="AE70" s="31">
        <f t="shared" si="15"/>
        <v>0.05</v>
      </c>
      <c r="AF70" s="146">
        <f t="shared" si="168"/>
        <v>100.6081975362538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0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0</v>
      </c>
      <c r="O72" s="144">
        <f t="shared" si="212"/>
        <v>0</v>
      </c>
      <c r="P72" s="144">
        <f t="shared" si="212"/>
        <v>0</v>
      </c>
      <c r="Q72" s="144">
        <f t="shared" ref="Q72" si="213">Q20+Q21</f>
        <v>0</v>
      </c>
      <c r="R72" s="118" t="e">
        <f>((P72/G72)^(1/($H$2-$H$1) ))-1</f>
        <v>#DIV/0!</v>
      </c>
      <c r="S72" s="128"/>
      <c r="T72" s="144">
        <f t="shared" ref="T72:AC72" si="214">T20+T21</f>
        <v>0</v>
      </c>
      <c r="U72" s="144">
        <f t="shared" si="214"/>
        <v>0</v>
      </c>
      <c r="V72" s="144">
        <f t="shared" si="214"/>
        <v>0</v>
      </c>
      <c r="W72" s="144">
        <f t="shared" si="214"/>
        <v>0</v>
      </c>
      <c r="X72" s="144">
        <f t="shared" si="214"/>
        <v>0</v>
      </c>
      <c r="Y72" s="144">
        <f t="shared" si="214"/>
        <v>0</v>
      </c>
      <c r="Z72" s="144">
        <f t="shared" si="214"/>
        <v>0</v>
      </c>
      <c r="AA72" s="144">
        <f t="shared" si="214"/>
        <v>0</v>
      </c>
      <c r="AB72" s="144">
        <f t="shared" si="214"/>
        <v>0</v>
      </c>
      <c r="AC72" s="144">
        <f t="shared" si="214"/>
        <v>0</v>
      </c>
      <c r="AD72" s="138" t="e">
        <f t="shared" ref="AD72:AD77" si="215">((AC72/G72)^(1/($AC$3-$H$1) ))-1</f>
        <v>#DIV/0!</v>
      </c>
      <c r="AE72" s="31">
        <f t="shared" si="15"/>
        <v>0.05</v>
      </c>
      <c r="AF72" s="146">
        <f t="shared" si="168"/>
        <v>0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0</v>
      </c>
      <c r="H74" s="144">
        <f t="shared" si="216"/>
        <v>0</v>
      </c>
      <c r="I74" s="144">
        <f t="shared" si="216"/>
        <v>0</v>
      </c>
      <c r="J74" s="144">
        <f t="shared" si="216"/>
        <v>0</v>
      </c>
      <c r="K74" s="144">
        <f t="shared" si="216"/>
        <v>0</v>
      </c>
      <c r="L74" s="144">
        <f t="shared" si="216"/>
        <v>0</v>
      </c>
      <c r="M74" s="144">
        <f t="shared" si="216"/>
        <v>0</v>
      </c>
      <c r="N74" s="144">
        <f t="shared" si="216"/>
        <v>0</v>
      </c>
      <c r="O74" s="144">
        <f t="shared" si="216"/>
        <v>0</v>
      </c>
      <c r="P74" s="144">
        <f t="shared" si="216"/>
        <v>0</v>
      </c>
      <c r="Q74" s="144">
        <f t="shared" ref="Q74" si="217">Q72/Q42</f>
        <v>0</v>
      </c>
      <c r="R74" s="118" t="e">
        <f>((P74/G74)^(1/($H$2-$H$1) ))-1</f>
        <v>#DIV/0!</v>
      </c>
      <c r="S74" s="128"/>
      <c r="T74" s="146">
        <f t="shared" ref="T74:AC74" si="218">T72/T42</f>
        <v>0</v>
      </c>
      <c r="U74" s="146">
        <f t="shared" si="218"/>
        <v>0</v>
      </c>
      <c r="V74" s="146">
        <f t="shared" si="218"/>
        <v>0</v>
      </c>
      <c r="W74" s="146">
        <f t="shared" si="218"/>
        <v>0</v>
      </c>
      <c r="X74" s="146">
        <f t="shared" si="218"/>
        <v>0</v>
      </c>
      <c r="Y74" s="146">
        <f t="shared" si="218"/>
        <v>0</v>
      </c>
      <c r="Z74" s="146">
        <f t="shared" si="218"/>
        <v>0</v>
      </c>
      <c r="AA74" s="146">
        <f t="shared" si="218"/>
        <v>0</v>
      </c>
      <c r="AB74" s="146">
        <f t="shared" si="218"/>
        <v>0</v>
      </c>
      <c r="AC74" s="146">
        <f t="shared" si="218"/>
        <v>0</v>
      </c>
      <c r="AD74" s="138" t="e">
        <f t="shared" si="215"/>
        <v>#DIV/0!</v>
      </c>
      <c r="AE74" s="31">
        <f t="shared" si="15"/>
        <v>0.05</v>
      </c>
      <c r="AF74" s="146">
        <f t="shared" si="168"/>
        <v>0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0</v>
      </c>
      <c r="H75" s="144">
        <f t="shared" si="219"/>
        <v>0</v>
      </c>
      <c r="I75" s="144">
        <f t="shared" si="219"/>
        <v>0</v>
      </c>
      <c r="J75" s="144">
        <f t="shared" si="219"/>
        <v>0</v>
      </c>
      <c r="K75" s="144">
        <f t="shared" si="219"/>
        <v>0</v>
      </c>
      <c r="L75" s="144">
        <f t="shared" si="219"/>
        <v>0</v>
      </c>
      <c r="M75" s="144">
        <f t="shared" si="219"/>
        <v>0</v>
      </c>
      <c r="N75" s="144">
        <f t="shared" si="219"/>
        <v>0</v>
      </c>
      <c r="O75" s="144">
        <f t="shared" si="219"/>
        <v>0</v>
      </c>
      <c r="P75" s="144">
        <f t="shared" si="219"/>
        <v>0</v>
      </c>
      <c r="Q75" s="144">
        <f t="shared" ref="Q75" si="220">Q20/Q42</f>
        <v>0</v>
      </c>
      <c r="R75" s="118" t="e">
        <f>((P75/G75)^(1/($H$2-$H$1) ))-1</f>
        <v>#DIV/0!</v>
      </c>
      <c r="S75" s="128"/>
      <c r="T75" s="146">
        <f t="shared" ref="T75:AC75" si="221">T20/T42</f>
        <v>0</v>
      </c>
      <c r="U75" s="146">
        <f t="shared" si="221"/>
        <v>0</v>
      </c>
      <c r="V75" s="146">
        <f t="shared" si="221"/>
        <v>0</v>
      </c>
      <c r="W75" s="146">
        <f t="shared" si="221"/>
        <v>0</v>
      </c>
      <c r="X75" s="146">
        <f t="shared" si="221"/>
        <v>0</v>
      </c>
      <c r="Y75" s="146">
        <f t="shared" si="221"/>
        <v>0</v>
      </c>
      <c r="Z75" s="146">
        <f t="shared" si="221"/>
        <v>0</v>
      </c>
      <c r="AA75" s="146">
        <f t="shared" si="221"/>
        <v>0</v>
      </c>
      <c r="AB75" s="146">
        <f t="shared" si="221"/>
        <v>0</v>
      </c>
      <c r="AC75" s="146">
        <f t="shared" si="221"/>
        <v>0</v>
      </c>
      <c r="AD75" s="138" t="e">
        <f t="shared" si="215"/>
        <v>#DIV/0!</v>
      </c>
      <c r="AE75" s="31">
        <f t="shared" si="15"/>
        <v>0.05</v>
      </c>
      <c r="AF75" s="146">
        <f t="shared" si="168"/>
        <v>0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0</v>
      </c>
      <c r="H76" s="144">
        <f t="shared" si="222"/>
        <v>0</v>
      </c>
      <c r="I76" s="144">
        <f t="shared" si="222"/>
        <v>0</v>
      </c>
      <c r="J76" s="144">
        <f t="shared" si="222"/>
        <v>0</v>
      </c>
      <c r="K76" s="144">
        <f t="shared" si="222"/>
        <v>0</v>
      </c>
      <c r="L76" s="144">
        <f t="shared" si="222"/>
        <v>0</v>
      </c>
      <c r="M76" s="144">
        <f t="shared" si="222"/>
        <v>0</v>
      </c>
      <c r="N76" s="144">
        <f t="shared" si="222"/>
        <v>0</v>
      </c>
      <c r="O76" s="144">
        <f t="shared" si="222"/>
        <v>0</v>
      </c>
      <c r="P76" s="144">
        <f t="shared" si="222"/>
        <v>0</v>
      </c>
      <c r="Q76" s="144">
        <f t="shared" ref="Q76" si="223">Q21/Q42</f>
        <v>0</v>
      </c>
      <c r="R76" s="118" t="e">
        <f>((P76/G76)^(1/($H$2-$H$1) ))-1</f>
        <v>#DIV/0!</v>
      </c>
      <c r="S76" s="128"/>
      <c r="T76" s="146">
        <f t="shared" ref="T76:AC76" si="224">T21/T42</f>
        <v>0</v>
      </c>
      <c r="U76" s="146">
        <f t="shared" si="224"/>
        <v>0</v>
      </c>
      <c r="V76" s="146">
        <f t="shared" si="224"/>
        <v>0</v>
      </c>
      <c r="W76" s="146">
        <f t="shared" si="224"/>
        <v>0</v>
      </c>
      <c r="X76" s="146">
        <f t="shared" si="224"/>
        <v>0</v>
      </c>
      <c r="Y76" s="146">
        <f t="shared" si="224"/>
        <v>0</v>
      </c>
      <c r="Z76" s="146">
        <f t="shared" si="224"/>
        <v>0</v>
      </c>
      <c r="AA76" s="146">
        <f t="shared" si="224"/>
        <v>0</v>
      </c>
      <c r="AB76" s="146">
        <f t="shared" si="224"/>
        <v>0</v>
      </c>
      <c r="AC76" s="146">
        <f t="shared" si="224"/>
        <v>0</v>
      </c>
      <c r="AD76" s="138" t="e">
        <f t="shared" si="215"/>
        <v>#DIV/0!</v>
      </c>
      <c r="AE76" s="31">
        <f t="shared" si="15"/>
        <v>0.05</v>
      </c>
      <c r="AF76" s="146">
        <f t="shared" si="168"/>
        <v>0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0</v>
      </c>
      <c r="H77" s="144">
        <f t="shared" si="225"/>
        <v>0</v>
      </c>
      <c r="I77" s="144">
        <f t="shared" si="225"/>
        <v>0</v>
      </c>
      <c r="J77" s="144">
        <f t="shared" si="225"/>
        <v>0</v>
      </c>
      <c r="K77" s="144">
        <f t="shared" si="225"/>
        <v>0</v>
      </c>
      <c r="L77" s="144">
        <f t="shared" si="225"/>
        <v>0</v>
      </c>
      <c r="M77" s="144">
        <f t="shared" si="225"/>
        <v>0</v>
      </c>
      <c r="N77" s="144">
        <f t="shared" si="225"/>
        <v>0</v>
      </c>
      <c r="O77" s="144">
        <f t="shared" si="225"/>
        <v>0</v>
      </c>
      <c r="P77" s="144">
        <f t="shared" si="225"/>
        <v>0</v>
      </c>
      <c r="Q77" s="144">
        <f t="shared" ref="Q77" si="226">Q22/Q42</f>
        <v>0</v>
      </c>
      <c r="R77" s="118" t="e">
        <f>((P77/G77)^(1/($H$2-$H$1) ))-1</f>
        <v>#DIV/0!</v>
      </c>
      <c r="S77" s="128"/>
      <c r="T77" s="146">
        <f t="shared" ref="T77:AC77" si="227">T22/T42</f>
        <v>0</v>
      </c>
      <c r="U77" s="146">
        <f t="shared" si="227"/>
        <v>0</v>
      </c>
      <c r="V77" s="146">
        <f t="shared" si="227"/>
        <v>0</v>
      </c>
      <c r="W77" s="146">
        <f t="shared" si="227"/>
        <v>0</v>
      </c>
      <c r="X77" s="146">
        <f t="shared" si="227"/>
        <v>0</v>
      </c>
      <c r="Y77" s="146">
        <f t="shared" si="227"/>
        <v>0</v>
      </c>
      <c r="Z77" s="146">
        <f t="shared" si="227"/>
        <v>0</v>
      </c>
      <c r="AA77" s="146">
        <f t="shared" si="227"/>
        <v>0</v>
      </c>
      <c r="AB77" s="146">
        <f t="shared" si="227"/>
        <v>0</v>
      </c>
      <c r="AC77" s="146">
        <f t="shared" si="227"/>
        <v>0</v>
      </c>
      <c r="AD77" s="138" t="e">
        <f t="shared" si="215"/>
        <v>#DIV/0!</v>
      </c>
      <c r="AE77" s="31">
        <f t="shared" si="15"/>
        <v>0.05</v>
      </c>
      <c r="AF77" s="146">
        <f t="shared" si="168"/>
        <v>0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</v>
      </c>
      <c r="H78" s="144">
        <f t="shared" si="228"/>
        <v>0</v>
      </c>
      <c r="I78" s="144">
        <f t="shared" si="228"/>
        <v>0</v>
      </c>
      <c r="J78" s="144">
        <f t="shared" si="228"/>
        <v>0</v>
      </c>
      <c r="K78" s="144">
        <f t="shared" si="228"/>
        <v>0</v>
      </c>
      <c r="L78" s="144">
        <f t="shared" si="228"/>
        <v>0</v>
      </c>
      <c r="M78" s="144">
        <f t="shared" si="228"/>
        <v>0</v>
      </c>
      <c r="N78" s="144">
        <f t="shared" si="228"/>
        <v>0</v>
      </c>
      <c r="O78" s="144">
        <f t="shared" si="228"/>
        <v>0</v>
      </c>
      <c r="P78" s="144">
        <f t="shared" si="228"/>
        <v>0</v>
      </c>
      <c r="Q78" s="144">
        <f t="shared" ref="Q78" si="229">Q23/Q42</f>
        <v>0</v>
      </c>
      <c r="R78" s="118" t="e">
        <f>((P78/G78)^(1/($H$2-$H$1) ))-1</f>
        <v>#DIV/0!</v>
      </c>
      <c r="S78" s="128"/>
      <c r="T78" s="146">
        <f t="shared" ref="T78:AC78" si="230">T23/T42</f>
        <v>0</v>
      </c>
      <c r="U78" s="146">
        <f t="shared" si="230"/>
        <v>0</v>
      </c>
      <c r="V78" s="146">
        <f t="shared" si="230"/>
        <v>0</v>
      </c>
      <c r="W78" s="146">
        <f t="shared" si="230"/>
        <v>0</v>
      </c>
      <c r="X78" s="146">
        <f t="shared" si="230"/>
        <v>0</v>
      </c>
      <c r="Y78" s="146">
        <f t="shared" si="230"/>
        <v>0</v>
      </c>
      <c r="Z78" s="146">
        <f t="shared" si="230"/>
        <v>0</v>
      </c>
      <c r="AA78" s="146">
        <f t="shared" si="230"/>
        <v>0</v>
      </c>
      <c r="AB78" s="146">
        <f t="shared" si="230"/>
        <v>0</v>
      </c>
      <c r="AC78" s="146">
        <f t="shared" si="230"/>
        <v>0</v>
      </c>
      <c r="AD78" s="138" t="e">
        <f t="shared" ref="AD78" si="231">((AC78/G78)^(1/($AC$3-$H$1) ))-1</f>
        <v>#DIV/0!</v>
      </c>
      <c r="AE78" s="31">
        <f t="shared" si="15"/>
        <v>0.05</v>
      </c>
      <c r="AF78" s="146">
        <f t="shared" si="168"/>
        <v>0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11.931818181818182</v>
      </c>
      <c r="H80" s="144">
        <f t="shared" si="232"/>
        <v>5.6818181818181817</v>
      </c>
      <c r="I80" s="144">
        <f t="shared" si="232"/>
        <v>18.421052631578949</v>
      </c>
      <c r="J80" s="144">
        <f t="shared" si="232"/>
        <v>32.456140350877199</v>
      </c>
      <c r="K80" s="144">
        <f t="shared" si="232"/>
        <v>59.356725146198833</v>
      </c>
      <c r="L80" s="144">
        <f t="shared" si="232"/>
        <v>10.23391812865497</v>
      </c>
      <c r="M80" s="144">
        <f t="shared" si="232"/>
        <v>94.736842105263165</v>
      </c>
      <c r="N80" s="144">
        <f t="shared" si="232"/>
        <v>33.040935672514621</v>
      </c>
      <c r="O80" s="144">
        <f t="shared" si="232"/>
        <v>82.456140350877192</v>
      </c>
      <c r="P80" s="144">
        <f t="shared" si="232"/>
        <v>132.7485380116959</v>
      </c>
      <c r="Q80" s="144">
        <f t="shared" ref="Q80" si="233">Q36/Q42</f>
        <v>132.7485380116959</v>
      </c>
      <c r="R80" s="118">
        <f>((P80/G80)^(1/($H$2-$H$1) ))-1</f>
        <v>0.30694744608047175</v>
      </c>
      <c r="S80" s="128"/>
      <c r="T80" s="144">
        <f t="shared" ref="T80:AC80" si="234">T36/T42</f>
        <v>141.59844054580898</v>
      </c>
      <c r="U80" s="144">
        <f t="shared" si="234"/>
        <v>151.03833658219625</v>
      </c>
      <c r="V80" s="144">
        <f t="shared" si="234"/>
        <v>161.10755902100934</v>
      </c>
      <c r="W80" s="144">
        <f t="shared" si="234"/>
        <v>171.84806295574333</v>
      </c>
      <c r="X80" s="144">
        <f t="shared" si="234"/>
        <v>183.30460048612619</v>
      </c>
      <c r="Y80" s="144">
        <f t="shared" si="234"/>
        <v>195.5249071852013</v>
      </c>
      <c r="Z80" s="144">
        <f t="shared" si="234"/>
        <v>208.55990099754808</v>
      </c>
      <c r="AA80" s="144">
        <f t="shared" si="234"/>
        <v>222.46389439738462</v>
      </c>
      <c r="AB80" s="144">
        <f t="shared" si="234"/>
        <v>237.29482069054365</v>
      </c>
      <c r="AC80" s="144">
        <f t="shared" si="234"/>
        <v>253.11447540324653</v>
      </c>
      <c r="AD80" s="138">
        <f t="shared" ref="AD80:AD82" si="235">((AC80/G80)^(1/($AC$3-$H$1) ))-1</f>
        <v>0.16501231931778659</v>
      </c>
      <c r="AE80" s="31">
        <f t="shared" si="15"/>
        <v>0.05</v>
      </c>
      <c r="AF80" s="146">
        <f t="shared" si="168"/>
        <v>1563.3541127847582</v>
      </c>
    </row>
    <row r="81" spans="2:32" x14ac:dyDescent="0.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3.9772727272727271</v>
      </c>
      <c r="H81" s="144">
        <f t="shared" si="236"/>
        <v>-0.56818181818181823</v>
      </c>
      <c r="I81" s="144">
        <f t="shared" si="236"/>
        <v>0.10964912280701755</v>
      </c>
      <c r="J81" s="144">
        <f t="shared" si="236"/>
        <v>8.5526315789473699</v>
      </c>
      <c r="K81" s="144">
        <f t="shared" si="236"/>
        <v>43.274853801169591</v>
      </c>
      <c r="L81" s="144">
        <f t="shared" si="236"/>
        <v>-4.6783625730994149</v>
      </c>
      <c r="M81" s="144">
        <f t="shared" si="236"/>
        <v>47.953216374269005</v>
      </c>
      <c r="N81" s="144">
        <f t="shared" si="236"/>
        <v>8.1871345029239766</v>
      </c>
      <c r="O81" s="144">
        <f t="shared" si="236"/>
        <v>5.2631578947368425</v>
      </c>
      <c r="P81" s="144">
        <f t="shared" si="236"/>
        <v>35.087719298245617</v>
      </c>
      <c r="Q81" s="144">
        <f t="shared" ref="Q81" si="237">Q40/Q42</f>
        <v>35.087719298245617</v>
      </c>
      <c r="R81" s="118">
        <f>((P81/G81)^(1/($H$2-$H$1) ))-1</f>
        <v>0.27368873434033048</v>
      </c>
      <c r="S81" s="128"/>
      <c r="T81" s="144">
        <f t="shared" ref="T81:AC81" si="238">T40/T42</f>
        <v>37.42690058479532</v>
      </c>
      <c r="U81" s="144">
        <f t="shared" si="238"/>
        <v>39.922027290448341</v>
      </c>
      <c r="V81" s="144">
        <f t="shared" si="238"/>
        <v>42.583495776478237</v>
      </c>
      <c r="W81" s="144">
        <f t="shared" si="238"/>
        <v>45.42239549491012</v>
      </c>
      <c r="X81" s="144">
        <f t="shared" si="238"/>
        <v>48.450555194570789</v>
      </c>
      <c r="Y81" s="144">
        <f t="shared" si="238"/>
        <v>51.680592207542183</v>
      </c>
      <c r="Z81" s="144">
        <f t="shared" si="238"/>
        <v>55.125965021378335</v>
      </c>
      <c r="AA81" s="144">
        <f t="shared" si="238"/>
        <v>58.801029356136901</v>
      </c>
      <c r="AB81" s="144">
        <f t="shared" si="238"/>
        <v>62.721097979879367</v>
      </c>
      <c r="AC81" s="144">
        <f t="shared" si="238"/>
        <v>66.902504511871328</v>
      </c>
      <c r="AD81" s="138">
        <f t="shared" si="235"/>
        <v>0.15157664970188822</v>
      </c>
      <c r="AE81" s="31">
        <f t="shared" si="15"/>
        <v>0.05</v>
      </c>
      <c r="AF81" s="146">
        <f t="shared" si="168"/>
        <v>413.22135139685236</v>
      </c>
    </row>
    <row r="82" spans="2:32" x14ac:dyDescent="0.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84.943181818181813</v>
      </c>
      <c r="H82" s="144">
        <f t="shared" si="239"/>
        <v>74.431818181818187</v>
      </c>
      <c r="I82" s="144">
        <f t="shared" si="239"/>
        <v>66.447368421052644</v>
      </c>
      <c r="J82" s="144">
        <f t="shared" si="239"/>
        <v>73.026315789473685</v>
      </c>
      <c r="K82" s="144">
        <f t="shared" si="239"/>
        <v>135.96491228070175</v>
      </c>
      <c r="L82" s="144">
        <f t="shared" si="239"/>
        <v>131.28654970760235</v>
      </c>
      <c r="M82" s="144">
        <f t="shared" si="239"/>
        <v>173.9766081871345</v>
      </c>
      <c r="N82" s="144">
        <f t="shared" si="239"/>
        <v>179.23976608187135</v>
      </c>
      <c r="O82" s="144">
        <f t="shared" si="239"/>
        <v>187.13450292397661</v>
      </c>
      <c r="P82" s="144">
        <f t="shared" si="239"/>
        <v>218.42105263157896</v>
      </c>
      <c r="Q82" s="144">
        <f t="shared" ref="Q82" si="240">Q6/Q42</f>
        <v>218.42105263157896</v>
      </c>
      <c r="R82" s="118">
        <f>((P82/G82)^(1/($H$2-$H$1) ))-1</f>
        <v>0.1106417546370968</v>
      </c>
      <c r="S82" s="128"/>
      <c r="T82" s="144">
        <f t="shared" ref="T82:AC82" si="241">T6/T42</f>
        <v>232.98245614035091</v>
      </c>
      <c r="U82" s="144">
        <f t="shared" si="241"/>
        <v>248.51461988304095</v>
      </c>
      <c r="V82" s="144">
        <f t="shared" si="241"/>
        <v>265.08226120857705</v>
      </c>
      <c r="W82" s="144">
        <f t="shared" si="241"/>
        <v>282.75441195581556</v>
      </c>
      <c r="X82" s="144">
        <f t="shared" si="241"/>
        <v>301.60470608620324</v>
      </c>
      <c r="Y82" s="144">
        <f t="shared" si="241"/>
        <v>321.71168649195016</v>
      </c>
      <c r="Z82" s="144">
        <f t="shared" si="241"/>
        <v>343.15913225808021</v>
      </c>
      <c r="AA82" s="144">
        <f t="shared" si="241"/>
        <v>366.03640774195225</v>
      </c>
      <c r="AB82" s="144">
        <f t="shared" si="241"/>
        <v>390.43883492474907</v>
      </c>
      <c r="AC82" s="144">
        <f t="shared" si="241"/>
        <v>416.46809058639906</v>
      </c>
      <c r="AD82" s="138">
        <f t="shared" si="235"/>
        <v>8.2736207985932619E-2</v>
      </c>
      <c r="AE82" s="31">
        <f t="shared" ref="AE82" si="242">$L$1</f>
        <v>0.05</v>
      </c>
      <c r="AF82" s="146">
        <f t="shared" si="168"/>
        <v>2572.3029124454065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2.937062937062937E-2</v>
      </c>
      <c r="H86" s="152">
        <f t="shared" si="243"/>
        <v>1.3131976362442548E-2</v>
      </c>
      <c r="I86" s="152">
        <f t="shared" si="243"/>
        <v>4.7006155567991044E-2</v>
      </c>
      <c r="J86" s="152">
        <f t="shared" si="243"/>
        <v>6.8837209302325578E-2</v>
      </c>
      <c r="K86" s="152">
        <f t="shared" si="243"/>
        <v>8.323083230832308E-2</v>
      </c>
      <c r="L86" s="152">
        <f t="shared" si="243"/>
        <v>1.3623978201634877E-2</v>
      </c>
      <c r="M86" s="152">
        <f t="shared" si="243"/>
        <v>0.11130195809000344</v>
      </c>
      <c r="N86" s="152">
        <f t="shared" si="243"/>
        <v>2.9815303430079154E-2</v>
      </c>
      <c r="O86" s="152">
        <f t="shared" si="243"/>
        <v>6.082830025884383E-2</v>
      </c>
      <c r="P86" s="152">
        <f t="shared" si="243"/>
        <v>8.9370078740157483E-2</v>
      </c>
      <c r="Q86" s="152">
        <f t="shared" ref="Q86" si="244">Q36/Q25</f>
        <v>8.9370078740157483E-2</v>
      </c>
      <c r="R86" s="118">
        <f t="shared" ref="R86:R138" si="245">((P86/G86)^(1/($H$2-$H$1) ))-1</f>
        <v>0.13161228653087553</v>
      </c>
      <c r="S86" s="152"/>
      <c r="T86" s="152">
        <f t="shared" ref="T86:AC86" si="246">T36/T25</f>
        <v>8.9370078740157483E-2</v>
      </c>
      <c r="U86" s="152">
        <f t="shared" si="246"/>
        <v>8.9370078740157496E-2</v>
      </c>
      <c r="V86" s="152">
        <f t="shared" si="246"/>
        <v>8.9370078740157496E-2</v>
      </c>
      <c r="W86" s="152">
        <f t="shared" si="246"/>
        <v>8.9370078740157496E-2</v>
      </c>
      <c r="X86" s="152">
        <f t="shared" si="246"/>
        <v>8.9370078740157483E-2</v>
      </c>
      <c r="Y86" s="152">
        <f t="shared" si="246"/>
        <v>8.9370078740157496E-2</v>
      </c>
      <c r="Z86" s="152">
        <f t="shared" si="246"/>
        <v>8.9370078740157496E-2</v>
      </c>
      <c r="AA86" s="152">
        <f t="shared" si="246"/>
        <v>8.9370078740157496E-2</v>
      </c>
      <c r="AB86" s="152">
        <f t="shared" si="246"/>
        <v>8.9370078740157496E-2</v>
      </c>
      <c r="AC86" s="152">
        <f t="shared" si="246"/>
        <v>8.9370078740157483E-2</v>
      </c>
      <c r="AD86" s="138">
        <f t="shared" ref="AD86:AD125" si="247">((AC86/G86)^(1/($AC$3-$H$1) ))-1</f>
        <v>5.7216528789372667E-2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9.7902097902097911E-3</v>
      </c>
      <c r="H87" s="152">
        <f t="shared" si="248"/>
        <v>-1.3131976362442547E-3</v>
      </c>
      <c r="I87" s="152">
        <f t="shared" si="248"/>
        <v>2.7979854504756578E-4</v>
      </c>
      <c r="J87" s="152">
        <f t="shared" si="248"/>
        <v>1.8139534883720929E-2</v>
      </c>
      <c r="K87" s="152">
        <f t="shared" si="248"/>
        <v>6.0680606806068058E-2</v>
      </c>
      <c r="L87" s="152">
        <f t="shared" si="248"/>
        <v>-6.2281043207473722E-3</v>
      </c>
      <c r="M87" s="152">
        <f t="shared" si="248"/>
        <v>5.6338028169014086E-2</v>
      </c>
      <c r="N87" s="152">
        <f t="shared" si="248"/>
        <v>7.3878627968337728E-3</v>
      </c>
      <c r="O87" s="152">
        <f t="shared" si="248"/>
        <v>3.8826574633304572E-3</v>
      </c>
      <c r="P87" s="152">
        <f t="shared" si="248"/>
        <v>2.3622047244094488E-2</v>
      </c>
      <c r="Q87" s="152">
        <f t="shared" ref="Q87" si="249">Q40/Q25</f>
        <v>2.3622047244094488E-2</v>
      </c>
      <c r="R87" s="118">
        <f t="shared" si="245"/>
        <v>0.10281543861460873</v>
      </c>
      <c r="S87" s="152"/>
      <c r="T87" s="152">
        <f t="shared" ref="T87:AC87" si="250">T40/T25</f>
        <v>2.3622047244094488E-2</v>
      </c>
      <c r="U87" s="152">
        <f t="shared" si="250"/>
        <v>2.3622047244094488E-2</v>
      </c>
      <c r="V87" s="152">
        <f t="shared" si="250"/>
        <v>2.3622047244094488E-2</v>
      </c>
      <c r="W87" s="152">
        <f t="shared" si="250"/>
        <v>2.3622047244094488E-2</v>
      </c>
      <c r="X87" s="152">
        <f t="shared" si="250"/>
        <v>2.3622047244094484E-2</v>
      </c>
      <c r="Y87" s="152">
        <f t="shared" si="250"/>
        <v>2.3622047244094484E-2</v>
      </c>
      <c r="Z87" s="152">
        <f t="shared" si="250"/>
        <v>2.3622047244094484E-2</v>
      </c>
      <c r="AA87" s="152">
        <f t="shared" si="250"/>
        <v>2.3622047244094488E-2</v>
      </c>
      <c r="AB87" s="152">
        <f t="shared" si="250"/>
        <v>2.3622047244094488E-2</v>
      </c>
      <c r="AC87" s="152">
        <f t="shared" si="250"/>
        <v>2.3622047244094488E-2</v>
      </c>
      <c r="AD87" s="138">
        <f t="shared" si="247"/>
        <v>4.502402939880934E-2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2.2435897435897436E-2</v>
      </c>
      <c r="H88" s="152">
        <f t="shared" si="251"/>
        <v>-3.1746031746031746E-3</v>
      </c>
      <c r="I88" s="152">
        <f t="shared" si="251"/>
        <v>1.4285714285714286E-3</v>
      </c>
      <c r="J88" s="152">
        <f t="shared" si="251"/>
        <v>0.10317460317460317</v>
      </c>
      <c r="K88" s="152">
        <f t="shared" si="251"/>
        <v>0.28849902534113059</v>
      </c>
      <c r="L88" s="152">
        <f t="shared" si="251"/>
        <v>-3.2786885245901641E-2</v>
      </c>
      <c r="M88" s="152">
        <f t="shared" si="251"/>
        <v>0.26031746031746034</v>
      </c>
      <c r="N88" s="152">
        <f t="shared" si="251"/>
        <v>4.2879019908116385E-2</v>
      </c>
      <c r="O88" s="152">
        <f t="shared" si="251"/>
        <v>2.6548672566371681E-2</v>
      </c>
      <c r="P88" s="152">
        <f t="shared" ref="P88:Q88" si="252">P40/P7</f>
        <v>0.15286624203821655</v>
      </c>
      <c r="Q88" s="152">
        <f t="shared" si="252"/>
        <v>0.15286624203821655</v>
      </c>
      <c r="R88" s="118">
        <f t="shared" si="245"/>
        <v>0.23764605075135781</v>
      </c>
      <c r="S88" s="20"/>
      <c r="T88" s="152">
        <f t="shared" ref="T88" si="253">T40/T7</f>
        <v>0.15286624203821655</v>
      </c>
      <c r="U88" s="152">
        <f t="shared" ref="U88:AC88" si="254">U40/U7</f>
        <v>0.15286624203821655</v>
      </c>
      <c r="V88" s="152">
        <f t="shared" si="254"/>
        <v>0.15286624203821655</v>
      </c>
      <c r="W88" s="152">
        <f t="shared" si="254"/>
        <v>0.15286624203821655</v>
      </c>
      <c r="X88" s="152">
        <f t="shared" si="254"/>
        <v>0.15286624203821653</v>
      </c>
      <c r="Y88" s="152">
        <f t="shared" si="254"/>
        <v>0.15286624203821653</v>
      </c>
      <c r="Z88" s="152">
        <f t="shared" si="254"/>
        <v>0.15286624203821653</v>
      </c>
      <c r="AA88" s="152">
        <f t="shared" si="254"/>
        <v>0.15286624203821653</v>
      </c>
      <c r="AB88" s="152">
        <f t="shared" si="254"/>
        <v>0.15286624203821653</v>
      </c>
      <c r="AC88" s="152">
        <f t="shared" si="254"/>
        <v>0.15286624203821655</v>
      </c>
      <c r="AD88" s="138">
        <f t="shared" si="247"/>
        <v>0.10069858245394059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1.2797074954296161E-2</v>
      </c>
      <c r="H89" s="152">
        <f t="shared" ref="H89:O89" si="256">(H40)/(H7+H10)</f>
        <v>-1.8518518518518519E-3</v>
      </c>
      <c r="I89" s="152">
        <f t="shared" si="256"/>
        <v>6.5189048239895696E-4</v>
      </c>
      <c r="J89" s="152">
        <f t="shared" si="256"/>
        <v>5.1655629139072845E-2</v>
      </c>
      <c r="K89" s="152">
        <f t="shared" si="256"/>
        <v>0.17556346381969157</v>
      </c>
      <c r="L89" s="152">
        <f t="shared" si="256"/>
        <v>-1.6859852476290831E-2</v>
      </c>
      <c r="M89" s="152">
        <f t="shared" si="256"/>
        <v>0.15255813953488373</v>
      </c>
      <c r="N89" s="152">
        <f t="shared" si="256"/>
        <v>1.6441573693482089E-2</v>
      </c>
      <c r="O89" s="152">
        <f t="shared" si="256"/>
        <v>1.015228426395939E-2</v>
      </c>
      <c r="P89" s="152">
        <f t="shared" ref="P89:Q89" si="257">(P40)/(P7+P10)</f>
        <v>7.4395536267823928E-2</v>
      </c>
      <c r="Q89" s="152">
        <f t="shared" si="257"/>
        <v>7.4395536267823928E-2</v>
      </c>
      <c r="R89" s="118">
        <f t="shared" si="245"/>
        <v>0.21601057466945939</v>
      </c>
      <c r="S89" s="20"/>
      <c r="T89" s="152">
        <f t="shared" ref="T89:AC89" si="258">(T40)/(T7+T10)</f>
        <v>7.4395536267823928E-2</v>
      </c>
      <c r="U89" s="152">
        <f t="shared" si="258"/>
        <v>7.4395536267823928E-2</v>
      </c>
      <c r="V89" s="152">
        <f t="shared" si="258"/>
        <v>7.4395536267823928E-2</v>
      </c>
      <c r="W89" s="152">
        <f t="shared" si="258"/>
        <v>7.4395536267823928E-2</v>
      </c>
      <c r="X89" s="152">
        <f t="shared" si="258"/>
        <v>7.4395536267823928E-2</v>
      </c>
      <c r="Y89" s="152">
        <f t="shared" si="258"/>
        <v>7.4395536267823928E-2</v>
      </c>
      <c r="Z89" s="152">
        <f t="shared" si="258"/>
        <v>7.4395536267823914E-2</v>
      </c>
      <c r="AA89" s="152">
        <f t="shared" si="258"/>
        <v>7.4395536267823928E-2</v>
      </c>
      <c r="AB89" s="152">
        <f t="shared" si="258"/>
        <v>7.4395536267823928E-2</v>
      </c>
      <c r="AC89" s="152">
        <f t="shared" si="258"/>
        <v>7.4395536267823928E-2</v>
      </c>
      <c r="AD89" s="138">
        <f t="shared" si="247"/>
        <v>9.199791272967528E-2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59">H20/H25</f>
        <v>0</v>
      </c>
      <c r="I90" s="152">
        <f t="shared" si="259"/>
        <v>0</v>
      </c>
      <c r="J90" s="152">
        <f t="shared" si="259"/>
        <v>0</v>
      </c>
      <c r="K90" s="152">
        <f t="shared" si="259"/>
        <v>0</v>
      </c>
      <c r="L90" s="152">
        <f t="shared" si="259"/>
        <v>0</v>
      </c>
      <c r="M90" s="152">
        <f t="shared" si="259"/>
        <v>0</v>
      </c>
      <c r="N90" s="152">
        <f t="shared" si="259"/>
        <v>0</v>
      </c>
      <c r="O90" s="152">
        <f t="shared" si="259"/>
        <v>0</v>
      </c>
      <c r="P90" s="152">
        <f t="shared" si="259"/>
        <v>0</v>
      </c>
      <c r="Q90" s="152">
        <f t="shared" ref="Q90" si="260">Q20/Q25</f>
        <v>0</v>
      </c>
      <c r="R90" s="118" t="e">
        <f t="shared" si="245"/>
        <v>#DIV/0!</v>
      </c>
      <c r="S90" s="20"/>
      <c r="T90" s="152">
        <f t="shared" ref="T90:AC90" si="261">T20/T25</f>
        <v>0</v>
      </c>
      <c r="U90" s="152">
        <f t="shared" si="261"/>
        <v>0</v>
      </c>
      <c r="V90" s="152">
        <f t="shared" si="261"/>
        <v>0</v>
      </c>
      <c r="W90" s="152">
        <f t="shared" si="261"/>
        <v>0</v>
      </c>
      <c r="X90" s="152">
        <f t="shared" si="261"/>
        <v>0</v>
      </c>
      <c r="Y90" s="152">
        <f t="shared" si="261"/>
        <v>0</v>
      </c>
      <c r="Z90" s="152">
        <f t="shared" si="261"/>
        <v>0</v>
      </c>
      <c r="AA90" s="152">
        <f t="shared" si="261"/>
        <v>0</v>
      </c>
      <c r="AB90" s="152">
        <f t="shared" si="261"/>
        <v>0</v>
      </c>
      <c r="AC90" s="152">
        <f t="shared" si="261"/>
        <v>0</v>
      </c>
      <c r="AD90" s="138" t="e">
        <f t="shared" si="247"/>
        <v>#DIV/0!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-3.6363636363636362E-2</v>
      </c>
      <c r="H91" s="152">
        <f t="shared" ref="H91:P91" si="262">H52/H25</f>
        <v>-2.6263952724885097E-2</v>
      </c>
      <c r="I91" s="152">
        <f t="shared" si="262"/>
        <v>-2.0145495243424733E-4</v>
      </c>
      <c r="J91" s="152">
        <f t="shared" si="262"/>
        <v>7.4418604651162795E-3</v>
      </c>
      <c r="K91" s="152">
        <f t="shared" si="262"/>
        <v>1.3940139401394014E-2</v>
      </c>
      <c r="L91" s="152">
        <f t="shared" si="262"/>
        <v>-9.3421564811210587E-3</v>
      </c>
      <c r="M91" s="152">
        <f t="shared" si="262"/>
        <v>2.679491583648231E-2</v>
      </c>
      <c r="N91" s="152">
        <f t="shared" si="262"/>
        <v>3.6939313984168864E-3</v>
      </c>
      <c r="O91" s="152">
        <f t="shared" si="262"/>
        <v>1.2942191544434857E-3</v>
      </c>
      <c r="P91" s="152">
        <f t="shared" si="262"/>
        <v>9.2519685039370077E-3</v>
      </c>
      <c r="Q91" s="152">
        <f t="shared" ref="Q91" si="263">Q52/Q25</f>
        <v>9.2519685039370077E-3</v>
      </c>
      <c r="R91" s="118">
        <f t="shared" si="245"/>
        <v>-1.8589183300472634</v>
      </c>
      <c r="S91" s="20"/>
      <c r="T91" s="152">
        <f t="shared" ref="T91:AC91" si="264">T52/T25</f>
        <v>9.2519685039370095E-3</v>
      </c>
      <c r="U91" s="152">
        <f t="shared" si="264"/>
        <v>9.2519685039370095E-3</v>
      </c>
      <c r="V91" s="152">
        <f t="shared" si="264"/>
        <v>9.2519685039370077E-3</v>
      </c>
      <c r="W91" s="152">
        <f t="shared" si="264"/>
        <v>9.2519685039370112E-3</v>
      </c>
      <c r="X91" s="152">
        <f t="shared" si="264"/>
        <v>9.2519685039370112E-3</v>
      </c>
      <c r="Y91" s="152">
        <f t="shared" si="264"/>
        <v>9.2519685039370112E-3</v>
      </c>
      <c r="Z91" s="152">
        <f t="shared" si="264"/>
        <v>9.2519685039370095E-3</v>
      </c>
      <c r="AA91" s="152">
        <f t="shared" si="264"/>
        <v>9.2519685039370077E-3</v>
      </c>
      <c r="AB91" s="152">
        <f t="shared" si="264"/>
        <v>9.2519685039370095E-3</v>
      </c>
      <c r="AC91" s="152">
        <f t="shared" si="264"/>
        <v>9.2519685039370095E-3</v>
      </c>
      <c r="AD91" s="138" t="e">
        <f t="shared" si="247"/>
        <v>#NUM!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6.0839160839160841E-2</v>
      </c>
      <c r="H93" s="152">
        <f t="shared" ref="H93:P93" si="265">H29/H25</f>
        <v>4.7931713722915298E-2</v>
      </c>
      <c r="I93" s="152">
        <f t="shared" si="265"/>
        <v>4.0850587576944597E-2</v>
      </c>
      <c r="J93" s="152">
        <f t="shared" si="265"/>
        <v>3.255813953488372E-2</v>
      </c>
      <c r="K93" s="152">
        <f t="shared" si="265"/>
        <v>2.7060270602706028E-2</v>
      </c>
      <c r="L93" s="152">
        <f t="shared" si="265"/>
        <v>3.1140521603736863E-2</v>
      </c>
      <c r="M93" s="152">
        <f t="shared" si="265"/>
        <v>2.5764342150463759E-2</v>
      </c>
      <c r="N93" s="152">
        <f t="shared" si="265"/>
        <v>2.1108179419525065E-2</v>
      </c>
      <c r="O93" s="152">
        <f t="shared" si="265"/>
        <v>4.2277825711820538E-2</v>
      </c>
      <c r="P93" s="152">
        <f t="shared" si="265"/>
        <v>3.8976377952755908E-2</v>
      </c>
      <c r="Q93" s="152">
        <f t="shared" ref="Q93" si="266">Q29/Q25</f>
        <v>3.8976377952755908E-2</v>
      </c>
      <c r="R93" s="118">
        <f t="shared" si="245"/>
        <v>-4.8271356163544055E-2</v>
      </c>
      <c r="S93" s="20"/>
      <c r="T93" s="152">
        <f t="shared" ref="T93:AC93" si="267">T29/T25</f>
        <v>3.8976377952755908E-2</v>
      </c>
      <c r="U93" s="152">
        <f t="shared" si="267"/>
        <v>3.8976377952755908E-2</v>
      </c>
      <c r="V93" s="152">
        <f t="shared" si="267"/>
        <v>3.8976377952755908E-2</v>
      </c>
      <c r="W93" s="152">
        <f t="shared" si="267"/>
        <v>3.8976377952755902E-2</v>
      </c>
      <c r="X93" s="152">
        <f t="shared" si="267"/>
        <v>3.8976377952755902E-2</v>
      </c>
      <c r="Y93" s="152">
        <f t="shared" si="267"/>
        <v>3.8976377952755902E-2</v>
      </c>
      <c r="Z93" s="152">
        <f t="shared" si="267"/>
        <v>3.8976377952755902E-2</v>
      </c>
      <c r="AA93" s="152">
        <f t="shared" si="267"/>
        <v>3.8976377952755902E-2</v>
      </c>
      <c r="AB93" s="152">
        <f t="shared" si="267"/>
        <v>3.8976377952755908E-2</v>
      </c>
      <c r="AC93" s="152">
        <f t="shared" si="267"/>
        <v>3.8976377952755908E-2</v>
      </c>
      <c r="AD93" s="138">
        <f t="shared" si="247"/>
        <v>-2.2017883854130615E-2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2.0714285714285716</v>
      </c>
      <c r="H94" s="152">
        <f t="shared" ref="H94:P94" si="268">H29/H36</f>
        <v>3.65</v>
      </c>
      <c r="I94" s="152">
        <f t="shared" si="268"/>
        <v>0.86904761904761907</v>
      </c>
      <c r="J94" s="152">
        <f t="shared" si="268"/>
        <v>0.47297297297297297</v>
      </c>
      <c r="K94" s="152">
        <f t="shared" si="268"/>
        <v>0.3251231527093596</v>
      </c>
      <c r="L94" s="152">
        <f t="shared" si="268"/>
        <v>2.2857142857142856</v>
      </c>
      <c r="M94" s="152">
        <f t="shared" si="268"/>
        <v>0.23148148148148148</v>
      </c>
      <c r="N94" s="152">
        <f t="shared" si="268"/>
        <v>0.70796460176991149</v>
      </c>
      <c r="O94" s="152">
        <f t="shared" si="268"/>
        <v>0.69503546099290781</v>
      </c>
      <c r="P94" s="152">
        <f t="shared" si="268"/>
        <v>0.43612334801762115</v>
      </c>
      <c r="Q94" s="152">
        <f t="shared" ref="Q94" si="269">Q29/Q36</f>
        <v>0.43612334801762115</v>
      </c>
      <c r="R94" s="118">
        <f t="shared" ref="R94" si="270">((P94/G94)^(1/($H$2-$H$1) ))-1</f>
        <v>-0.15896225662755881</v>
      </c>
      <c r="S94" s="20"/>
      <c r="T94" s="152">
        <f t="shared" ref="T94:AC94" si="271">T29/T36</f>
        <v>0.43612334801762109</v>
      </c>
      <c r="U94" s="152">
        <f t="shared" si="271"/>
        <v>0.43612334801762109</v>
      </c>
      <c r="V94" s="152">
        <f t="shared" si="271"/>
        <v>0.43612334801762109</v>
      </c>
      <c r="W94" s="152">
        <f t="shared" si="271"/>
        <v>0.43612334801762104</v>
      </c>
      <c r="X94" s="152">
        <f t="shared" si="271"/>
        <v>0.43612334801762109</v>
      </c>
      <c r="Y94" s="152">
        <f t="shared" si="271"/>
        <v>0.43612334801762104</v>
      </c>
      <c r="Z94" s="152">
        <f t="shared" si="271"/>
        <v>0.43612334801762104</v>
      </c>
      <c r="AA94" s="152">
        <f t="shared" si="271"/>
        <v>0.43612334801762109</v>
      </c>
      <c r="AB94" s="152">
        <f t="shared" si="271"/>
        <v>0.43612334801762109</v>
      </c>
      <c r="AC94" s="152">
        <f t="shared" si="271"/>
        <v>0.43612334801762109</v>
      </c>
      <c r="AD94" s="138">
        <f t="shared" ref="AD94" si="272">((AC94/G94)^(1/($AC$3-$H$1) ))-1</f>
        <v>-7.494624846079101E-2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3">G29/G40</f>
        <v>6.2142857142857144</v>
      </c>
      <c r="H95" s="171">
        <f t="shared" si="273"/>
        <v>-36.5</v>
      </c>
      <c r="I95" s="171">
        <f t="shared" si="273"/>
        <v>146</v>
      </c>
      <c r="J95" s="171">
        <f t="shared" si="273"/>
        <v>1.7948717948717949</v>
      </c>
      <c r="K95" s="171">
        <f t="shared" si="273"/>
        <v>0.44594594594594594</v>
      </c>
      <c r="L95" s="171">
        <f t="shared" si="273"/>
        <v>-5</v>
      </c>
      <c r="M95" s="171">
        <f t="shared" si="273"/>
        <v>0.45731707317073172</v>
      </c>
      <c r="N95" s="171">
        <f t="shared" si="273"/>
        <v>2.8571428571428572</v>
      </c>
      <c r="O95" s="171">
        <f t="shared" si="273"/>
        <v>10.888888888888889</v>
      </c>
      <c r="P95" s="171">
        <f t="shared" si="273"/>
        <v>1.65</v>
      </c>
      <c r="Q95" s="171">
        <f t="shared" ref="Q95" si="274">Q29/Q40</f>
        <v>1.65</v>
      </c>
      <c r="R95" s="118">
        <f t="shared" ref="R95" si="275">((P95/G95)^(1/($H$2-$H$1) ))-1</f>
        <v>-0.13700097902868758</v>
      </c>
      <c r="S95" s="20"/>
      <c r="T95" s="171">
        <f t="shared" ref="T95:AC95" si="276">T29/T40</f>
        <v>1.6500000000000001</v>
      </c>
      <c r="U95" s="171">
        <f t="shared" si="276"/>
        <v>1.6500000000000001</v>
      </c>
      <c r="V95" s="171">
        <f t="shared" si="276"/>
        <v>1.6500000000000001</v>
      </c>
      <c r="W95" s="171">
        <f t="shared" si="276"/>
        <v>1.65</v>
      </c>
      <c r="X95" s="171">
        <f t="shared" si="276"/>
        <v>1.6500000000000001</v>
      </c>
      <c r="Y95" s="171">
        <f t="shared" si="276"/>
        <v>1.6500000000000001</v>
      </c>
      <c r="Z95" s="171">
        <f t="shared" si="276"/>
        <v>1.65</v>
      </c>
      <c r="AA95" s="171">
        <f t="shared" si="276"/>
        <v>1.65</v>
      </c>
      <c r="AB95" s="171">
        <f t="shared" si="276"/>
        <v>1.6500000000000001</v>
      </c>
      <c r="AC95" s="171">
        <f t="shared" si="276"/>
        <v>1.6500000000000001</v>
      </c>
      <c r="AD95" s="138">
        <f t="shared" ref="AD95" si="277">((AC95/G95)^(1/($AC$3-$H$1) ))-1</f>
        <v>-6.4153465726054626E-2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8">G29/G12</f>
        <v>2.1749999999999998</v>
      </c>
      <c r="H96" s="171">
        <f t="shared" si="278"/>
        <v>2.4333333333333331</v>
      </c>
      <c r="I96" s="171">
        <f t="shared" si="278"/>
        <v>1.9210526315789473</v>
      </c>
      <c r="J96" s="171">
        <f t="shared" si="278"/>
        <v>1.75</v>
      </c>
      <c r="K96" s="171">
        <f t="shared" si="278"/>
        <v>1.5714285714285714</v>
      </c>
      <c r="L96" s="171">
        <f t="shared" si="278"/>
        <v>0.59259259259259256</v>
      </c>
      <c r="M96" s="171">
        <f t="shared" si="278"/>
        <v>0.5357142857142857</v>
      </c>
      <c r="N96" s="171">
        <f t="shared" si="278"/>
        <v>1.6326530612244898</v>
      </c>
      <c r="O96" s="171">
        <f t="shared" si="278"/>
        <v>5.4444444444444446</v>
      </c>
      <c r="P96" s="171">
        <f t="shared" si="278"/>
        <v>1.7678571428571428</v>
      </c>
      <c r="Q96" s="171">
        <f t="shared" ref="Q96" si="279">Q29/Q12</f>
        <v>1.7678571428571428</v>
      </c>
      <c r="R96" s="118">
        <f t="shared" si="245"/>
        <v>-2.2765802695270509E-2</v>
      </c>
      <c r="S96" s="20"/>
      <c r="T96" s="152">
        <f t="shared" ref="T96:AC96" si="280">T29/T12</f>
        <v>1.7678571428571428</v>
      </c>
      <c r="U96" s="152">
        <f t="shared" si="280"/>
        <v>1.767857142857143</v>
      </c>
      <c r="V96" s="152">
        <f t="shared" si="280"/>
        <v>1.767857142857143</v>
      </c>
      <c r="W96" s="152">
        <f t="shared" si="280"/>
        <v>1.767857142857143</v>
      </c>
      <c r="X96" s="152">
        <f t="shared" si="280"/>
        <v>1.7678571428571432</v>
      </c>
      <c r="Y96" s="152">
        <f t="shared" si="280"/>
        <v>1.767857142857143</v>
      </c>
      <c r="Z96" s="152">
        <f t="shared" si="280"/>
        <v>1.767857142857143</v>
      </c>
      <c r="AA96" s="152">
        <f t="shared" si="280"/>
        <v>1.7678571428571432</v>
      </c>
      <c r="AB96" s="152">
        <f t="shared" si="280"/>
        <v>1.7678571428571435</v>
      </c>
      <c r="AC96" s="152">
        <f t="shared" si="280"/>
        <v>1.7678571428571435</v>
      </c>
      <c r="AD96" s="138">
        <f t="shared" si="247"/>
        <v>-1.0309514116109253E-2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 t="e">
        <f t="shared" si="281"/>
        <v>#DIV/0!</v>
      </c>
      <c r="O97" s="171" t="e">
        <f t="shared" si="281"/>
        <v>#DIV/0!</v>
      </c>
      <c r="P97" s="171" t="e">
        <f t="shared" si="281"/>
        <v>#DIV/0!</v>
      </c>
      <c r="Q97" s="171" t="e">
        <f t="shared" ref="Q97" si="282">Q29/Q23</f>
        <v>#DIV/0!</v>
      </c>
      <c r="R97" s="118" t="e">
        <f t="shared" ref="R97" si="283">((P97/G97)^(1/($H$2-$H$1) ))-1</f>
        <v>#DIV/0!</v>
      </c>
      <c r="S97" s="20"/>
      <c r="T97" s="171" t="e">
        <f t="shared" ref="T97:AC97" si="284">T29/T23</f>
        <v>#DIV/0!</v>
      </c>
      <c r="U97" s="171" t="e">
        <f t="shared" si="284"/>
        <v>#DIV/0!</v>
      </c>
      <c r="V97" s="171" t="e">
        <f t="shared" si="284"/>
        <v>#DIV/0!</v>
      </c>
      <c r="W97" s="171" t="e">
        <f t="shared" si="284"/>
        <v>#DIV/0!</v>
      </c>
      <c r="X97" s="171" t="e">
        <f t="shared" si="284"/>
        <v>#DIV/0!</v>
      </c>
      <c r="Y97" s="171" t="e">
        <f t="shared" si="284"/>
        <v>#DIV/0!</v>
      </c>
      <c r="Z97" s="171" t="e">
        <f t="shared" si="284"/>
        <v>#DIV/0!</v>
      </c>
      <c r="AA97" s="171" t="e">
        <f t="shared" si="284"/>
        <v>#DIV/0!</v>
      </c>
      <c r="AB97" s="171" t="e">
        <f t="shared" si="284"/>
        <v>#DIV/0!</v>
      </c>
      <c r="AC97" s="171" t="e">
        <f t="shared" si="284"/>
        <v>#DIV/0!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16.436781609195403</v>
      </c>
      <c r="H99" s="127">
        <f t="shared" ref="H99:P99" si="286">1/H93</f>
        <v>20.863013698630137</v>
      </c>
      <c r="I99" s="127">
        <f t="shared" si="286"/>
        <v>24.479452054794521</v>
      </c>
      <c r="J99" s="127">
        <f t="shared" si="286"/>
        <v>30.714285714285715</v>
      </c>
      <c r="K99" s="127">
        <f t="shared" si="286"/>
        <v>36.954545454545453</v>
      </c>
      <c r="L99" s="127">
        <f t="shared" si="286"/>
        <v>32.112499999999997</v>
      </c>
      <c r="M99" s="127">
        <f t="shared" si="286"/>
        <v>38.813333333333333</v>
      </c>
      <c r="N99" s="127">
        <f t="shared" si="286"/>
        <v>47.375</v>
      </c>
      <c r="O99" s="127">
        <f t="shared" si="286"/>
        <v>23.653061224489793</v>
      </c>
      <c r="P99" s="127">
        <f t="shared" si="286"/>
        <v>25.656565656565654</v>
      </c>
      <c r="Q99" s="127">
        <f t="shared" ref="Q99" si="287">1/Q93</f>
        <v>25.656565656565654</v>
      </c>
      <c r="R99" s="118">
        <f t="shared" si="245"/>
        <v>5.0719663084805688E-2</v>
      </c>
      <c r="S99" s="20"/>
      <c r="T99" s="127">
        <f t="shared" ref="T99:AC99" si="288">1/T93</f>
        <v>25.656565656565654</v>
      </c>
      <c r="U99" s="127">
        <f t="shared" si="288"/>
        <v>25.656565656565654</v>
      </c>
      <c r="V99" s="127">
        <f t="shared" si="288"/>
        <v>25.656565656565654</v>
      </c>
      <c r="W99" s="127">
        <f t="shared" si="288"/>
        <v>25.656565656565657</v>
      </c>
      <c r="X99" s="127">
        <f t="shared" si="288"/>
        <v>25.656565656565657</v>
      </c>
      <c r="Y99" s="127">
        <f t="shared" si="288"/>
        <v>25.656565656565657</v>
      </c>
      <c r="Z99" s="127">
        <f t="shared" si="288"/>
        <v>25.656565656565657</v>
      </c>
      <c r="AA99" s="127">
        <f t="shared" si="288"/>
        <v>25.656565656565657</v>
      </c>
      <c r="AB99" s="127">
        <f t="shared" si="288"/>
        <v>25.656565656565654</v>
      </c>
      <c r="AC99" s="127">
        <f t="shared" si="288"/>
        <v>25.656565656565654</v>
      </c>
      <c r="AD99" s="138">
        <f t="shared" si="247"/>
        <v>2.2513585361765953E-2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89">1/G94</f>
        <v>0.48275862068965514</v>
      </c>
      <c r="H100" s="127">
        <f t="shared" si="289"/>
        <v>0.27397260273972601</v>
      </c>
      <c r="I100" s="127">
        <f t="shared" si="289"/>
        <v>1.1506849315068493</v>
      </c>
      <c r="J100" s="127">
        <f t="shared" si="289"/>
        <v>2.1142857142857143</v>
      </c>
      <c r="K100" s="127">
        <f t="shared" si="289"/>
        <v>3.0757575757575757</v>
      </c>
      <c r="L100" s="127">
        <f t="shared" si="289"/>
        <v>0.4375</v>
      </c>
      <c r="M100" s="127">
        <f t="shared" si="289"/>
        <v>4.32</v>
      </c>
      <c r="N100" s="127">
        <f t="shared" si="289"/>
        <v>1.4125000000000001</v>
      </c>
      <c r="O100" s="127">
        <f t="shared" si="289"/>
        <v>1.4387755102040816</v>
      </c>
      <c r="P100" s="127">
        <f t="shared" si="289"/>
        <v>2.2929292929292928</v>
      </c>
      <c r="Q100" s="127">
        <f t="shared" ref="Q100" si="290">1/Q94</f>
        <v>2.2929292929292928</v>
      </c>
      <c r="R100" s="118">
        <f t="shared" si="245"/>
        <v>0.18900728044634829</v>
      </c>
      <c r="S100" s="20"/>
      <c r="T100" s="127">
        <f t="shared" ref="T100:AC100" si="291">1/T94</f>
        <v>2.2929292929292933</v>
      </c>
      <c r="U100" s="127">
        <f t="shared" si="291"/>
        <v>2.2929292929292933</v>
      </c>
      <c r="V100" s="127">
        <f t="shared" si="291"/>
        <v>2.2929292929292933</v>
      </c>
      <c r="W100" s="127">
        <f t="shared" si="291"/>
        <v>2.2929292929292937</v>
      </c>
      <c r="X100" s="127">
        <f t="shared" si="291"/>
        <v>2.2929292929292933</v>
      </c>
      <c r="Y100" s="127">
        <f t="shared" si="291"/>
        <v>2.2929292929292937</v>
      </c>
      <c r="Z100" s="127">
        <f t="shared" si="291"/>
        <v>2.2929292929292937</v>
      </c>
      <c r="AA100" s="127">
        <f t="shared" si="291"/>
        <v>2.2929292929292933</v>
      </c>
      <c r="AB100" s="127">
        <f t="shared" si="291"/>
        <v>2.2929292929292933</v>
      </c>
      <c r="AC100" s="127">
        <f t="shared" si="291"/>
        <v>2.2929292929292933</v>
      </c>
      <c r="AD100" s="138">
        <f t="shared" si="247"/>
        <v>8.1018263356142262E-2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89"/>
        <v>0.16091954022988506</v>
      </c>
      <c r="H101" s="127">
        <f t="shared" si="289"/>
        <v>-2.7397260273972601E-2</v>
      </c>
      <c r="I101" s="127">
        <f t="shared" si="289"/>
        <v>6.8493150684931503E-3</v>
      </c>
      <c r="J101" s="127">
        <f t="shared" si="289"/>
        <v>0.55714285714285716</v>
      </c>
      <c r="K101" s="127">
        <f t="shared" si="289"/>
        <v>2.2424242424242427</v>
      </c>
      <c r="L101" s="127">
        <f t="shared" si="289"/>
        <v>-0.2</v>
      </c>
      <c r="M101" s="127">
        <f t="shared" si="289"/>
        <v>2.1866666666666665</v>
      </c>
      <c r="N101" s="127">
        <f t="shared" si="289"/>
        <v>0.35</v>
      </c>
      <c r="O101" s="127">
        <f t="shared" si="289"/>
        <v>9.1836734693877542E-2</v>
      </c>
      <c r="P101" s="127">
        <f t="shared" si="289"/>
        <v>0.60606060606060608</v>
      </c>
      <c r="Q101" s="127">
        <f t="shared" ref="Q101" si="292">1/Q95</f>
        <v>0.60606060606060608</v>
      </c>
      <c r="R101" s="118">
        <f t="shared" si="245"/>
        <v>0.15874986610586395</v>
      </c>
      <c r="S101" s="20"/>
      <c r="T101" s="127">
        <f t="shared" ref="T101:AC101" si="293">1/T95</f>
        <v>0.60606060606060597</v>
      </c>
      <c r="U101" s="127">
        <f t="shared" si="293"/>
        <v>0.60606060606060597</v>
      </c>
      <c r="V101" s="127">
        <f t="shared" si="293"/>
        <v>0.60606060606060597</v>
      </c>
      <c r="W101" s="127">
        <f t="shared" si="293"/>
        <v>0.60606060606060608</v>
      </c>
      <c r="X101" s="127">
        <f t="shared" si="293"/>
        <v>0.60606060606060597</v>
      </c>
      <c r="Y101" s="127">
        <f t="shared" si="293"/>
        <v>0.60606060606060597</v>
      </c>
      <c r="Z101" s="127">
        <f t="shared" si="293"/>
        <v>0.60606060606060608</v>
      </c>
      <c r="AA101" s="127">
        <f t="shared" si="293"/>
        <v>0.60606060606060608</v>
      </c>
      <c r="AB101" s="127">
        <f t="shared" si="293"/>
        <v>0.60606060606060597</v>
      </c>
      <c r="AC101" s="127">
        <f t="shared" si="293"/>
        <v>0.60606060606060597</v>
      </c>
      <c r="AD101" s="138">
        <f t="shared" si="247"/>
        <v>6.8551267089776102E-2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89"/>
        <v>0.45977011494252878</v>
      </c>
      <c r="H102" s="127">
        <f t="shared" si="289"/>
        <v>0.41095890410958907</v>
      </c>
      <c r="I102" s="127">
        <f t="shared" si="289"/>
        <v>0.52054794520547942</v>
      </c>
      <c r="J102" s="127">
        <f t="shared" si="289"/>
        <v>0.5714285714285714</v>
      </c>
      <c r="K102" s="127">
        <f t="shared" si="289"/>
        <v>0.63636363636363635</v>
      </c>
      <c r="L102" s="127">
        <f t="shared" si="289"/>
        <v>1.6875</v>
      </c>
      <c r="M102" s="127">
        <f t="shared" si="289"/>
        <v>1.8666666666666667</v>
      </c>
      <c r="N102" s="127">
        <f t="shared" si="289"/>
        <v>0.61249999999999993</v>
      </c>
      <c r="O102" s="127">
        <f t="shared" si="289"/>
        <v>0.18367346938775508</v>
      </c>
      <c r="P102" s="127">
        <f t="shared" si="289"/>
        <v>0.56565656565656564</v>
      </c>
      <c r="Q102" s="127">
        <f t="shared" ref="Q102" si="294">1/Q96</f>
        <v>0.56565656565656564</v>
      </c>
      <c r="R102" s="118">
        <f t="shared" si="245"/>
        <v>2.3296158441916903E-2</v>
      </c>
      <c r="S102" s="20"/>
      <c r="T102" s="127">
        <f t="shared" ref="T102:AC102" si="295">1/T96</f>
        <v>0.56565656565656564</v>
      </c>
      <c r="U102" s="127">
        <f t="shared" si="295"/>
        <v>0.56565656565656564</v>
      </c>
      <c r="V102" s="127">
        <f t="shared" si="295"/>
        <v>0.56565656565656564</v>
      </c>
      <c r="W102" s="127">
        <f t="shared" si="295"/>
        <v>0.56565656565656564</v>
      </c>
      <c r="X102" s="127">
        <f t="shared" si="295"/>
        <v>0.56565656565656552</v>
      </c>
      <c r="Y102" s="127">
        <f t="shared" si="295"/>
        <v>0.56565656565656564</v>
      </c>
      <c r="Z102" s="127">
        <f t="shared" si="295"/>
        <v>0.56565656565656564</v>
      </c>
      <c r="AA102" s="127">
        <f t="shared" si="295"/>
        <v>0.56565656565656552</v>
      </c>
      <c r="AB102" s="127">
        <f t="shared" si="295"/>
        <v>0.56565656565656541</v>
      </c>
      <c r="AC102" s="127">
        <f t="shared" si="295"/>
        <v>0.56565656565656541</v>
      </c>
      <c r="AD102" s="138">
        <f t="shared" si="247"/>
        <v>1.0416907369683148E-2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 t="e">
        <f t="shared" ref="Q103" si="296">1/Q97</f>
        <v>#DIV/0!</v>
      </c>
      <c r="R103" s="118" t="e">
        <f t="shared" si="245"/>
        <v>#DIV/0!</v>
      </c>
      <c r="S103" s="20"/>
      <c r="T103" s="127" t="e">
        <f t="shared" ref="T103:AC103" si="297">1/T97</f>
        <v>#DIV/0!</v>
      </c>
      <c r="U103" s="127" t="e">
        <f t="shared" si="297"/>
        <v>#DIV/0!</v>
      </c>
      <c r="V103" s="127" t="e">
        <f t="shared" si="297"/>
        <v>#DIV/0!</v>
      </c>
      <c r="W103" s="127" t="e">
        <f t="shared" si="297"/>
        <v>#DIV/0!</v>
      </c>
      <c r="X103" s="127" t="e">
        <f t="shared" si="297"/>
        <v>#DIV/0!</v>
      </c>
      <c r="Y103" s="127" t="e">
        <f t="shared" si="297"/>
        <v>#DIV/0!</v>
      </c>
      <c r="Z103" s="127" t="e">
        <f t="shared" si="297"/>
        <v>#DIV/0!</v>
      </c>
      <c r="AA103" s="127" t="e">
        <f t="shared" si="297"/>
        <v>#DIV/0!</v>
      </c>
      <c r="AB103" s="127" t="e">
        <f t="shared" si="297"/>
        <v>#DIV/0!</v>
      </c>
      <c r="AC103" s="127" t="e">
        <f t="shared" si="297"/>
        <v>#DIV/0!</v>
      </c>
      <c r="AD103" s="138" t="e">
        <f t="shared" si="247"/>
        <v>#DIV/0!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239</v>
      </c>
      <c r="H106" s="163">
        <f t="shared" si="298"/>
        <v>229</v>
      </c>
      <c r="I106" s="163">
        <f t="shared" si="298"/>
        <v>251</v>
      </c>
      <c r="J106" s="163">
        <f t="shared" si="298"/>
        <v>209</v>
      </c>
      <c r="K106" s="163">
        <f t="shared" si="298"/>
        <v>278</v>
      </c>
      <c r="L106" s="163">
        <f t="shared" si="298"/>
        <v>283</v>
      </c>
      <c r="M106" s="163">
        <f t="shared" si="298"/>
        <v>262</v>
      </c>
      <c r="N106" s="163">
        <f t="shared" si="298"/>
        <v>958</v>
      </c>
      <c r="O106" s="163">
        <f t="shared" si="298"/>
        <v>1028</v>
      </c>
      <c r="P106" s="163">
        <f>P10-(P12+P13)</f>
        <v>715.5</v>
      </c>
      <c r="Q106" s="163">
        <f>Q10-(Q12+Q13)</f>
        <v>715.5</v>
      </c>
      <c r="R106" s="118">
        <f t="shared" si="245"/>
        <v>0.12956809016110182</v>
      </c>
      <c r="S106" s="20"/>
      <c r="T106" s="163">
        <f>T10-(T12+T13)</f>
        <v>801.36000000000013</v>
      </c>
      <c r="U106" s="163">
        <f t="shared" ref="U106:AC106" si="299">U10-(U12+U13)</f>
        <v>897.5232000000002</v>
      </c>
      <c r="V106" s="163">
        <f t="shared" si="299"/>
        <v>1005.2259840000004</v>
      </c>
      <c r="W106" s="163">
        <f t="shared" si="299"/>
        <v>1125.8531020800006</v>
      </c>
      <c r="X106" s="163">
        <f t="shared" si="299"/>
        <v>1260.9554743296005</v>
      </c>
      <c r="Y106" s="163">
        <f t="shared" si="299"/>
        <v>1412.2701312491529</v>
      </c>
      <c r="Z106" s="163">
        <f t="shared" si="299"/>
        <v>1581.7425469990515</v>
      </c>
      <c r="AA106" s="163">
        <f t="shared" si="299"/>
        <v>1771.5516526389379</v>
      </c>
      <c r="AB106" s="163">
        <f t="shared" si="299"/>
        <v>1984.1378509556105</v>
      </c>
      <c r="AC106" s="163">
        <f t="shared" si="299"/>
        <v>2222.2343930702841</v>
      </c>
      <c r="AD106" s="138">
        <f t="shared" si="247"/>
        <v>0.11794283842749786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0">G40/G18</f>
        <v>2.8112449799196786E-2</v>
      </c>
      <c r="H107" s="152">
        <f t="shared" si="300"/>
        <v>-3.780718336483932E-3</v>
      </c>
      <c r="I107" s="152">
        <f t="shared" si="300"/>
        <v>6.9348127600554787E-4</v>
      </c>
      <c r="J107" s="152">
        <f t="shared" si="300"/>
        <v>5.5714285714285716E-2</v>
      </c>
      <c r="K107" s="152">
        <f t="shared" si="300"/>
        <v>0.18829516539440203</v>
      </c>
      <c r="L107" s="152">
        <f t="shared" si="300"/>
        <v>-2.0645161290322581E-2</v>
      </c>
      <c r="M107" s="152">
        <f t="shared" si="300"/>
        <v>0.20499999999999999</v>
      </c>
      <c r="N107" s="152">
        <f t="shared" si="300"/>
        <v>1.9815994338287332E-2</v>
      </c>
      <c r="O107" s="152">
        <f t="shared" si="300"/>
        <v>1.1349306431273645E-2</v>
      </c>
      <c r="P107" s="152">
        <f t="shared" si="300"/>
        <v>7.6335877862595422E-2</v>
      </c>
      <c r="Q107" s="152">
        <f t="shared" ref="Q107" si="301">Q40/Q18</f>
        <v>7.6335877862595422E-2</v>
      </c>
      <c r="R107" s="118">
        <f t="shared" si="245"/>
        <v>0.11738628025172759</v>
      </c>
      <c r="S107" s="20"/>
      <c r="T107" s="152">
        <f t="shared" ref="T107:AC107" si="302">T40/T18</f>
        <v>7.6335877862595422E-2</v>
      </c>
      <c r="U107" s="152">
        <f t="shared" si="302"/>
        <v>7.6335877862595422E-2</v>
      </c>
      <c r="V107" s="152">
        <f t="shared" si="302"/>
        <v>7.6335877862595422E-2</v>
      </c>
      <c r="W107" s="152">
        <f t="shared" si="302"/>
        <v>7.6335877862595408E-2</v>
      </c>
      <c r="X107" s="152">
        <f t="shared" si="302"/>
        <v>7.6335877862595408E-2</v>
      </c>
      <c r="Y107" s="152">
        <f t="shared" si="302"/>
        <v>7.6335877862595408E-2</v>
      </c>
      <c r="Z107" s="152">
        <f t="shared" si="302"/>
        <v>7.6335877862595408E-2</v>
      </c>
      <c r="AA107" s="152">
        <f t="shared" si="302"/>
        <v>7.6335877862595422E-2</v>
      </c>
      <c r="AB107" s="152">
        <f t="shared" si="302"/>
        <v>7.6335877862595408E-2</v>
      </c>
      <c r="AC107" s="152">
        <f t="shared" si="302"/>
        <v>7.6335877862595408E-2</v>
      </c>
      <c r="AD107" s="138">
        <f t="shared" si="247"/>
        <v>5.1214882061378253E-2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3">G40/G25</f>
        <v>9.7902097902097911E-3</v>
      </c>
      <c r="H108" s="152">
        <f t="shared" si="303"/>
        <v>-1.3131976362442547E-3</v>
      </c>
      <c r="I108" s="152">
        <f t="shared" si="303"/>
        <v>2.7979854504756578E-4</v>
      </c>
      <c r="J108" s="152">
        <f t="shared" si="303"/>
        <v>1.8139534883720929E-2</v>
      </c>
      <c r="K108" s="152">
        <f t="shared" si="303"/>
        <v>6.0680606806068058E-2</v>
      </c>
      <c r="L108" s="152">
        <f t="shared" si="303"/>
        <v>-6.2281043207473722E-3</v>
      </c>
      <c r="M108" s="152">
        <f t="shared" si="303"/>
        <v>5.6338028169014086E-2</v>
      </c>
      <c r="N108" s="152">
        <f t="shared" si="303"/>
        <v>7.3878627968337728E-3</v>
      </c>
      <c r="O108" s="152">
        <f t="shared" si="303"/>
        <v>3.8826574633304572E-3</v>
      </c>
      <c r="P108" s="152">
        <f t="shared" si="303"/>
        <v>2.3622047244094488E-2</v>
      </c>
      <c r="Q108" s="152">
        <f t="shared" ref="Q108" si="304">Q40/Q25</f>
        <v>2.3622047244094488E-2</v>
      </c>
      <c r="R108" s="118">
        <f t="shared" si="245"/>
        <v>0.10281543861460873</v>
      </c>
      <c r="S108" s="20"/>
      <c r="T108" s="152">
        <f t="shared" ref="T108:AC108" si="305">T40/T25</f>
        <v>2.3622047244094488E-2</v>
      </c>
      <c r="U108" s="152">
        <f t="shared" si="305"/>
        <v>2.3622047244094488E-2</v>
      </c>
      <c r="V108" s="152">
        <f t="shared" si="305"/>
        <v>2.3622047244094488E-2</v>
      </c>
      <c r="W108" s="152">
        <f t="shared" si="305"/>
        <v>2.3622047244094488E-2</v>
      </c>
      <c r="X108" s="152">
        <f t="shared" si="305"/>
        <v>2.3622047244094484E-2</v>
      </c>
      <c r="Y108" s="152">
        <f t="shared" si="305"/>
        <v>2.3622047244094484E-2</v>
      </c>
      <c r="Z108" s="152">
        <f t="shared" si="305"/>
        <v>2.3622047244094484E-2</v>
      </c>
      <c r="AA108" s="152">
        <f t="shared" si="305"/>
        <v>2.3622047244094488E-2</v>
      </c>
      <c r="AB108" s="152">
        <f t="shared" si="305"/>
        <v>2.3622047244094488E-2</v>
      </c>
      <c r="AC108" s="152">
        <f t="shared" si="305"/>
        <v>2.3622047244094488E-2</v>
      </c>
      <c r="AD108" s="138">
        <f t="shared" si="247"/>
        <v>4.502402939880934E-2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6">G25/G18</f>
        <v>2.8714859437751006</v>
      </c>
      <c r="H109" s="152">
        <f t="shared" si="306"/>
        <v>2.8790170132325144</v>
      </c>
      <c r="I109" s="152">
        <f t="shared" si="306"/>
        <v>2.4785020804438278</v>
      </c>
      <c r="J109" s="152">
        <f t="shared" si="306"/>
        <v>3.0714285714285716</v>
      </c>
      <c r="K109" s="152">
        <f t="shared" si="306"/>
        <v>3.1030534351145036</v>
      </c>
      <c r="L109" s="152">
        <f t="shared" si="306"/>
        <v>3.3148387096774194</v>
      </c>
      <c r="M109" s="152">
        <f t="shared" si="306"/>
        <v>3.6387499999999999</v>
      </c>
      <c r="N109" s="152">
        <f t="shared" si="306"/>
        <v>2.6822363765038926</v>
      </c>
      <c r="O109" s="152">
        <f t="shared" si="306"/>
        <v>2.9230769230769229</v>
      </c>
      <c r="P109" s="152">
        <f>P25/P18</f>
        <v>3.2315521628498729</v>
      </c>
      <c r="Q109" s="152">
        <f>Q25/Q18</f>
        <v>3.2315521628498729</v>
      </c>
      <c r="R109" s="118">
        <f t="shared" si="245"/>
        <v>1.3212402662247102E-2</v>
      </c>
      <c r="S109" s="20"/>
      <c r="T109" s="152">
        <f>T25/T18</f>
        <v>3.2315521628498729</v>
      </c>
      <c r="U109" s="152">
        <f t="shared" ref="U109:AC109" si="307">U25/U18</f>
        <v>3.2315521628498729</v>
      </c>
      <c r="V109" s="152">
        <f t="shared" si="307"/>
        <v>3.2315521628498729</v>
      </c>
      <c r="W109" s="152">
        <f t="shared" si="307"/>
        <v>3.2315521628498725</v>
      </c>
      <c r="X109" s="152">
        <f t="shared" si="307"/>
        <v>3.2315521628498729</v>
      </c>
      <c r="Y109" s="152">
        <f t="shared" si="307"/>
        <v>3.2315521628498729</v>
      </c>
      <c r="Z109" s="152">
        <f t="shared" si="307"/>
        <v>3.2315521628498729</v>
      </c>
      <c r="AA109" s="152">
        <f t="shared" si="307"/>
        <v>3.2315521628498729</v>
      </c>
      <c r="AB109" s="152">
        <f t="shared" si="307"/>
        <v>3.2315521628498725</v>
      </c>
      <c r="AC109" s="152">
        <f t="shared" si="307"/>
        <v>3.2315521628498725</v>
      </c>
      <c r="AD109" s="138">
        <f t="shared" si="247"/>
        <v>5.924124698003741E-3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3.52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8.2080000000000002</v>
      </c>
      <c r="K111" s="165">
        <f t="shared" si="309"/>
        <v>13.68</v>
      </c>
      <c r="L111" s="165">
        <f t="shared" si="309"/>
        <v>0</v>
      </c>
      <c r="M111" s="165">
        <f t="shared" si="309"/>
        <v>13.68</v>
      </c>
      <c r="N111" s="165">
        <f t="shared" si="309"/>
        <v>6.84</v>
      </c>
      <c r="O111" s="165">
        <f t="shared" si="309"/>
        <v>3.42</v>
      </c>
      <c r="P111" s="165">
        <f t="shared" si="309"/>
        <v>13.68</v>
      </c>
      <c r="Q111" s="165">
        <f t="shared" ref="Q111" si="310">Q70*Q42</f>
        <v>34.200000000000003</v>
      </c>
      <c r="R111" s="118">
        <f t="shared" si="245"/>
        <v>0.16279947225185953</v>
      </c>
      <c r="S111" s="20"/>
      <c r="T111" s="165">
        <f t="shared" ref="T111:AC111" si="311">T70*T42</f>
        <v>37.705500000000001</v>
      </c>
      <c r="U111" s="165">
        <f t="shared" si="311"/>
        <v>41.570313750000004</v>
      </c>
      <c r="V111" s="165">
        <f t="shared" si="311"/>
        <v>45.831270909375014</v>
      </c>
      <c r="W111" s="165">
        <f t="shared" si="311"/>
        <v>50.528976177585953</v>
      </c>
      <c r="X111" s="165">
        <f t="shared" si="311"/>
        <v>55.70819623578852</v>
      </c>
      <c r="Y111" s="165">
        <f t="shared" si="311"/>
        <v>61.418286349956851</v>
      </c>
      <c r="Z111" s="165">
        <f t="shared" si="311"/>
        <v>67.713660700827432</v>
      </c>
      <c r="AA111" s="165">
        <f t="shared" si="311"/>
        <v>74.654310922662248</v>
      </c>
      <c r="AB111" s="165">
        <f t="shared" si="311"/>
        <v>82.306377792235139</v>
      </c>
      <c r="AC111" s="165">
        <f t="shared" si="311"/>
        <v>90.742781515939242</v>
      </c>
      <c r="AD111" s="138">
        <f t="shared" si="247"/>
        <v>0.17642290378355274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4.1184000000000003</v>
      </c>
      <c r="H112" s="165">
        <f t="shared" si="312"/>
        <v>0</v>
      </c>
      <c r="I112" s="165">
        <f t="shared" si="312"/>
        <v>0</v>
      </c>
      <c r="J112" s="165">
        <f t="shared" si="312"/>
        <v>9.6033600000000003</v>
      </c>
      <c r="K112" s="165">
        <f t="shared" si="312"/>
        <v>16.005600000000001</v>
      </c>
      <c r="L112" s="165">
        <f t="shared" si="312"/>
        <v>0</v>
      </c>
      <c r="M112" s="165">
        <f t="shared" si="312"/>
        <v>16.005600000000001</v>
      </c>
      <c r="N112" s="165">
        <f t="shared" si="312"/>
        <v>8.0028000000000006</v>
      </c>
      <c r="O112" s="165">
        <f t="shared" si="312"/>
        <v>4.0014000000000003</v>
      </c>
      <c r="P112" s="165">
        <f t="shared" si="312"/>
        <v>16.005600000000001</v>
      </c>
      <c r="Q112" s="165">
        <f t="shared" ref="Q112" si="313">(Q111*0.17)+Q111</f>
        <v>40.014000000000003</v>
      </c>
      <c r="R112" s="118">
        <f t="shared" si="245"/>
        <v>0.16279947225185953</v>
      </c>
      <c r="S112" s="20"/>
      <c r="T112" s="165">
        <f t="shared" ref="T112:AC112" si="314">(T111*0.17)+T111</f>
        <v>44.115435000000005</v>
      </c>
      <c r="U112" s="165">
        <f t="shared" si="314"/>
        <v>48.637267087500007</v>
      </c>
      <c r="V112" s="165">
        <f t="shared" si="314"/>
        <v>53.622586963968764</v>
      </c>
      <c r="W112" s="165">
        <f t="shared" si="314"/>
        <v>59.11890212777557</v>
      </c>
      <c r="X112" s="165">
        <f t="shared" si="314"/>
        <v>65.178589595872566</v>
      </c>
      <c r="Y112" s="165">
        <f t="shared" si="314"/>
        <v>71.859395029449516</v>
      </c>
      <c r="Z112" s="165">
        <f t="shared" si="314"/>
        <v>79.224983019968093</v>
      </c>
      <c r="AA112" s="165">
        <f t="shared" si="314"/>
        <v>87.345543779514827</v>
      </c>
      <c r="AB112" s="165">
        <f t="shared" si="314"/>
        <v>96.29846201691511</v>
      </c>
      <c r="AC112" s="165">
        <f t="shared" si="314"/>
        <v>106.16905437364892</v>
      </c>
      <c r="AD112" s="138">
        <f t="shared" si="247"/>
        <v>0.17642290378355274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0.29417142857142858</v>
      </c>
      <c r="H113" s="152">
        <f t="shared" si="315"/>
        <v>0</v>
      </c>
      <c r="I113" s="152">
        <f t="shared" si="315"/>
        <v>0</v>
      </c>
      <c r="J113" s="152">
        <f t="shared" si="315"/>
        <v>0.24624000000000001</v>
      </c>
      <c r="K113" s="152">
        <f t="shared" si="315"/>
        <v>0.10814594594594595</v>
      </c>
      <c r="L113" s="152">
        <f t="shared" si="315"/>
        <v>0</v>
      </c>
      <c r="M113" s="152">
        <f t="shared" si="315"/>
        <v>9.7595121951219513E-2</v>
      </c>
      <c r="N113" s="152">
        <f t="shared" si="315"/>
        <v>0.28581428571428574</v>
      </c>
      <c r="O113" s="152">
        <f t="shared" si="315"/>
        <v>0.22230000000000003</v>
      </c>
      <c r="P113" s="152">
        <f t="shared" si="315"/>
        <v>0.13338</v>
      </c>
      <c r="Q113" s="152">
        <f t="shared" ref="Q113" si="316">Q112/Q40</f>
        <v>0.33345000000000002</v>
      </c>
      <c r="R113" s="118">
        <f t="shared" si="245"/>
        <v>-8.4133345828574124E-2</v>
      </c>
      <c r="S113" s="20"/>
      <c r="T113" s="152">
        <f t="shared" ref="T113:AC113" si="317">T112/T40</f>
        <v>0.32823984375000004</v>
      </c>
      <c r="U113" s="152">
        <f t="shared" si="317"/>
        <v>0.32311109619140627</v>
      </c>
      <c r="V113" s="152">
        <f t="shared" si="317"/>
        <v>0.31806248531341552</v>
      </c>
      <c r="W113" s="152">
        <f t="shared" si="317"/>
        <v>0.31309275898039346</v>
      </c>
      <c r="X113" s="152">
        <f t="shared" si="317"/>
        <v>0.30820068462132477</v>
      </c>
      <c r="Y113" s="152">
        <f t="shared" si="317"/>
        <v>0.30338504892411661</v>
      </c>
      <c r="Z113" s="152">
        <f t="shared" si="317"/>
        <v>0.29864465753467723</v>
      </c>
      <c r="AA113" s="152">
        <f t="shared" si="317"/>
        <v>0.2939783347606979</v>
      </c>
      <c r="AB113" s="152">
        <f t="shared" si="317"/>
        <v>0.28938492328006199</v>
      </c>
      <c r="AC113" s="152">
        <f t="shared" si="317"/>
        <v>0.28486328385381104</v>
      </c>
      <c r="AD113" s="138">
        <f t="shared" si="247"/>
        <v>-1.6063748160716207E-3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0.70582857142857147</v>
      </c>
      <c r="H114" s="152">
        <f t="shared" ref="H114:P114" si="318">1-H113</f>
        <v>1</v>
      </c>
      <c r="I114" s="152">
        <f t="shared" si="318"/>
        <v>1</v>
      </c>
      <c r="J114" s="152">
        <f t="shared" si="318"/>
        <v>0.75375999999999999</v>
      </c>
      <c r="K114" s="152">
        <f t="shared" si="318"/>
        <v>0.89185405405405405</v>
      </c>
      <c r="L114" s="152">
        <f t="shared" si="318"/>
        <v>1</v>
      </c>
      <c r="M114" s="152">
        <f t="shared" si="318"/>
        <v>0.90240487804878045</v>
      </c>
      <c r="N114" s="152">
        <f t="shared" si="318"/>
        <v>0.7141857142857142</v>
      </c>
      <c r="O114" s="152">
        <f t="shared" si="318"/>
        <v>0.77769999999999995</v>
      </c>
      <c r="P114" s="152">
        <f t="shared" si="318"/>
        <v>0.86661999999999995</v>
      </c>
      <c r="Q114" s="152">
        <f t="shared" ref="Q114" si="319">1-Q113</f>
        <v>0.66654999999999998</v>
      </c>
      <c r="R114" s="118">
        <f t="shared" si="245"/>
        <v>2.3065111893360024E-2</v>
      </c>
      <c r="S114" s="20"/>
      <c r="T114" s="152">
        <f t="shared" ref="T114:AC114" si="320">1-T113</f>
        <v>0.67176015624999996</v>
      </c>
      <c r="U114" s="152">
        <f t="shared" si="320"/>
        <v>0.67688890380859368</v>
      </c>
      <c r="V114" s="152">
        <f t="shared" si="320"/>
        <v>0.68193751468658448</v>
      </c>
      <c r="W114" s="152">
        <f t="shared" si="320"/>
        <v>0.68690724101960654</v>
      </c>
      <c r="X114" s="152">
        <f t="shared" si="320"/>
        <v>0.69179931537867523</v>
      </c>
      <c r="Y114" s="152">
        <f t="shared" si="320"/>
        <v>0.69661495107588345</v>
      </c>
      <c r="Z114" s="152">
        <f t="shared" si="320"/>
        <v>0.70135534246532272</v>
      </c>
      <c r="AA114" s="152">
        <f t="shared" si="320"/>
        <v>0.7060216652393021</v>
      </c>
      <c r="AB114" s="152">
        <f t="shared" si="320"/>
        <v>0.71061507671993795</v>
      </c>
      <c r="AC114" s="152">
        <f t="shared" si="320"/>
        <v>0.71513671614618901</v>
      </c>
      <c r="AD114" s="138">
        <f t="shared" si="247"/>
        <v>6.5528182707219607E-4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1">F112/F20</f>
        <v>#DIV/0!</v>
      </c>
      <c r="G115" s="152" t="e">
        <f t="shared" si="321"/>
        <v>#DIV/0!</v>
      </c>
      <c r="H115" s="152" t="e">
        <f t="shared" si="321"/>
        <v>#DIV/0!</v>
      </c>
      <c r="I115" s="152" t="e">
        <f t="shared" si="321"/>
        <v>#DIV/0!</v>
      </c>
      <c r="J115" s="152" t="e">
        <f t="shared" si="321"/>
        <v>#DIV/0!</v>
      </c>
      <c r="K115" s="152" t="e">
        <f t="shared" si="321"/>
        <v>#DIV/0!</v>
      </c>
      <c r="L115" s="152" t="e">
        <f t="shared" si="321"/>
        <v>#DIV/0!</v>
      </c>
      <c r="M115" s="152" t="e">
        <f t="shared" si="321"/>
        <v>#DIV/0!</v>
      </c>
      <c r="N115" s="152" t="e">
        <f t="shared" si="321"/>
        <v>#DIV/0!</v>
      </c>
      <c r="O115" s="152" t="e">
        <f t="shared" si="321"/>
        <v>#DIV/0!</v>
      </c>
      <c r="P115" s="152" t="e">
        <f t="shared" si="321"/>
        <v>#DIV/0!</v>
      </c>
      <c r="Q115" s="152" t="e">
        <f>Q112/Q20</f>
        <v>#DIV/0!</v>
      </c>
      <c r="R115" s="118" t="e">
        <f t="shared" si="245"/>
        <v>#DIV/0!</v>
      </c>
      <c r="S115" s="20"/>
      <c r="T115" s="152" t="e">
        <f>T112/T20</f>
        <v>#DIV/0!</v>
      </c>
      <c r="U115" s="152" t="e">
        <f t="shared" ref="U115:AC115" si="322">U112/U20</f>
        <v>#DIV/0!</v>
      </c>
      <c r="V115" s="152" t="e">
        <f t="shared" si="322"/>
        <v>#DIV/0!</v>
      </c>
      <c r="W115" s="152" t="e">
        <f t="shared" si="322"/>
        <v>#DIV/0!</v>
      </c>
      <c r="X115" s="152" t="e">
        <f t="shared" si="322"/>
        <v>#DIV/0!</v>
      </c>
      <c r="Y115" s="152" t="e">
        <f t="shared" si="322"/>
        <v>#DIV/0!</v>
      </c>
      <c r="Z115" s="152" t="e">
        <f t="shared" si="322"/>
        <v>#DIV/0!</v>
      </c>
      <c r="AA115" s="152" t="e">
        <f t="shared" si="322"/>
        <v>#DIV/0!</v>
      </c>
      <c r="AB115" s="152" t="e">
        <f t="shared" si="322"/>
        <v>#DIV/0!</v>
      </c>
      <c r="AC115" s="152" t="e">
        <f t="shared" si="322"/>
        <v>#DIV/0!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0.95034965034965035</v>
      </c>
      <c r="H120" s="152">
        <f t="shared" ref="H120:P120" si="329">H27/H25</f>
        <v>0.96585686145764937</v>
      </c>
      <c r="I120" s="152">
        <f t="shared" si="329"/>
        <v>0.9462786793508674</v>
      </c>
      <c r="J120" s="152">
        <f t="shared" si="329"/>
        <v>0.92697674418604648</v>
      </c>
      <c r="K120" s="152">
        <f t="shared" si="329"/>
        <v>0.88478884788847889</v>
      </c>
      <c r="L120" s="152">
        <f t="shared" si="329"/>
        <v>0.97430906967691711</v>
      </c>
      <c r="M120" s="152">
        <f t="shared" si="329"/>
        <v>0.88148402610786669</v>
      </c>
      <c r="N120" s="152">
        <f t="shared" si="329"/>
        <v>0.95831134564643794</v>
      </c>
      <c r="O120" s="152">
        <f t="shared" si="329"/>
        <v>0.93679896462467649</v>
      </c>
      <c r="P120" s="152">
        <f t="shared" si="329"/>
        <v>0.91240157480314965</v>
      </c>
      <c r="Q120" s="152">
        <f t="shared" ref="Q120" si="330">Q27/Q25</f>
        <v>0.91240157480314965</v>
      </c>
      <c r="R120" s="118">
        <f t="shared" si="245"/>
        <v>-4.517515576465847E-3</v>
      </c>
      <c r="S120" s="20"/>
      <c r="T120" s="152">
        <f t="shared" ref="T120:AC120" si="331">T27/T25</f>
        <v>0.91240157480314965</v>
      </c>
      <c r="U120" s="152">
        <f t="shared" si="331"/>
        <v>0.91240157480314965</v>
      </c>
      <c r="V120" s="152">
        <f t="shared" si="331"/>
        <v>0.91240157480314954</v>
      </c>
      <c r="W120" s="152">
        <f t="shared" si="331"/>
        <v>0.91240157480314954</v>
      </c>
      <c r="X120" s="152">
        <f t="shared" si="331"/>
        <v>0.91240157480314954</v>
      </c>
      <c r="Y120" s="152">
        <f t="shared" si="331"/>
        <v>0.91240157480314965</v>
      </c>
      <c r="Z120" s="152">
        <f t="shared" si="331"/>
        <v>0.91240157480314954</v>
      </c>
      <c r="AA120" s="152">
        <f t="shared" si="331"/>
        <v>0.91240157480314954</v>
      </c>
      <c r="AB120" s="152">
        <f t="shared" si="331"/>
        <v>0.91240157480314954</v>
      </c>
      <c r="AC120" s="152">
        <f t="shared" si="331"/>
        <v>0.91240157480314954</v>
      </c>
      <c r="AD120" s="138">
        <f t="shared" si="247"/>
        <v>-2.0354134044833216E-3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>
        <f t="shared" ref="H121:P121" si="332">H33/H25</f>
        <v>0</v>
      </c>
      <c r="I121" s="152">
        <f t="shared" si="332"/>
        <v>0</v>
      </c>
      <c r="J121" s="152">
        <f t="shared" si="332"/>
        <v>0</v>
      </c>
      <c r="K121" s="152">
        <f t="shared" si="332"/>
        <v>0</v>
      </c>
      <c r="L121" s="152">
        <f t="shared" si="332"/>
        <v>0</v>
      </c>
      <c r="M121" s="152">
        <f t="shared" si="332"/>
        <v>0</v>
      </c>
      <c r="N121" s="152">
        <f t="shared" si="332"/>
        <v>0</v>
      </c>
      <c r="O121" s="152">
        <f t="shared" si="332"/>
        <v>0</v>
      </c>
      <c r="P121" s="152">
        <f t="shared" si="332"/>
        <v>0</v>
      </c>
      <c r="Q121" s="152">
        <f t="shared" ref="Q121" si="333">Q33/Q25</f>
        <v>0</v>
      </c>
      <c r="R121" s="118" t="e">
        <f t="shared" si="245"/>
        <v>#DIV/0!</v>
      </c>
      <c r="S121" s="20"/>
      <c r="T121" s="152">
        <f t="shared" ref="T121:AC121" si="334">T33/T25</f>
        <v>0</v>
      </c>
      <c r="U121" s="152">
        <f t="shared" si="334"/>
        <v>0</v>
      </c>
      <c r="V121" s="152">
        <f t="shared" si="334"/>
        <v>0</v>
      </c>
      <c r="W121" s="152">
        <f t="shared" si="334"/>
        <v>0</v>
      </c>
      <c r="X121" s="152">
        <f t="shared" si="334"/>
        <v>0</v>
      </c>
      <c r="Y121" s="152">
        <f t="shared" si="334"/>
        <v>0</v>
      </c>
      <c r="Z121" s="152">
        <f t="shared" si="334"/>
        <v>0</v>
      </c>
      <c r="AA121" s="152">
        <f t="shared" si="334"/>
        <v>0</v>
      </c>
      <c r="AB121" s="152">
        <f t="shared" si="334"/>
        <v>0</v>
      </c>
      <c r="AC121" s="152">
        <f t="shared" si="334"/>
        <v>0</v>
      </c>
      <c r="AD121" s="138" t="e">
        <f t="shared" si="247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>
        <f t="shared" ref="H122:P122" si="335">H34/H25</f>
        <v>0</v>
      </c>
      <c r="I122" s="152">
        <f t="shared" si="335"/>
        <v>0</v>
      </c>
      <c r="J122" s="152">
        <f t="shared" si="335"/>
        <v>0</v>
      </c>
      <c r="K122" s="152">
        <f t="shared" si="335"/>
        <v>0</v>
      </c>
      <c r="L122" s="152">
        <f t="shared" si="335"/>
        <v>0</v>
      </c>
      <c r="M122" s="152">
        <f t="shared" si="335"/>
        <v>0</v>
      </c>
      <c r="N122" s="152">
        <f t="shared" si="335"/>
        <v>0</v>
      </c>
      <c r="O122" s="152">
        <f t="shared" si="335"/>
        <v>0</v>
      </c>
      <c r="P122" s="152">
        <f t="shared" si="335"/>
        <v>0</v>
      </c>
      <c r="Q122" s="152">
        <f t="shared" ref="Q122" si="336">Q34/Q25</f>
        <v>0</v>
      </c>
      <c r="R122" s="118" t="e">
        <f t="shared" si="245"/>
        <v>#DIV/0!</v>
      </c>
      <c r="S122" s="20"/>
      <c r="T122" s="152">
        <f t="shared" ref="T122:AC122" si="337">T34/T25</f>
        <v>0</v>
      </c>
      <c r="U122" s="152">
        <f t="shared" si="337"/>
        <v>0</v>
      </c>
      <c r="V122" s="152">
        <f t="shared" si="337"/>
        <v>0</v>
      </c>
      <c r="W122" s="152">
        <f t="shared" si="337"/>
        <v>0</v>
      </c>
      <c r="X122" s="152">
        <f t="shared" si="337"/>
        <v>0</v>
      </c>
      <c r="Y122" s="152">
        <f t="shared" si="337"/>
        <v>0</v>
      </c>
      <c r="Z122" s="152">
        <f t="shared" si="337"/>
        <v>0</v>
      </c>
      <c r="AA122" s="152">
        <f t="shared" si="337"/>
        <v>0</v>
      </c>
      <c r="AB122" s="152">
        <f t="shared" si="337"/>
        <v>0</v>
      </c>
      <c r="AC122" s="152">
        <f t="shared" si="337"/>
        <v>0</v>
      </c>
      <c r="AD122" s="138" t="e">
        <f t="shared" si="247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0.75168918918918914</v>
      </c>
      <c r="H125" s="25">
        <f t="shared" ref="H125:AC125" si="338">H15/H9</f>
        <v>0.71404682274247488</v>
      </c>
      <c r="I125" s="25">
        <f t="shared" si="338"/>
        <v>0.76182707993474719</v>
      </c>
      <c r="J125" s="25">
        <f t="shared" si="338"/>
        <v>0.81347962382445138</v>
      </c>
      <c r="K125" s="25">
        <f t="shared" si="338"/>
        <v>0.97167138810198306</v>
      </c>
      <c r="L125" s="25">
        <f t="shared" si="338"/>
        <v>0.83024251069900146</v>
      </c>
      <c r="M125" s="25">
        <f t="shared" si="338"/>
        <v>0.82843137254901966</v>
      </c>
      <c r="N125" s="25">
        <f t="shared" si="338"/>
        <v>1.0162601626016261</v>
      </c>
      <c r="O125" s="25">
        <f t="shared" si="338"/>
        <v>1.0087025316455696</v>
      </c>
      <c r="P125" s="25">
        <f t="shared" si="338"/>
        <v>0.91994478951000691</v>
      </c>
      <c r="Q125" s="25">
        <f t="shared" ref="Q125" si="339">Q15/Q9</f>
        <v>0.91994478951000691</v>
      </c>
      <c r="R125" s="118">
        <f t="shared" si="245"/>
        <v>2.2697162705431095E-2</v>
      </c>
      <c r="S125" s="20"/>
      <c r="T125" s="20">
        <f t="shared" si="338"/>
        <v>0.91994478951000691</v>
      </c>
      <c r="U125" s="20">
        <f t="shared" si="338"/>
        <v>0.9199447895100068</v>
      </c>
      <c r="V125" s="20">
        <f t="shared" si="338"/>
        <v>0.9199447895100068</v>
      </c>
      <c r="W125" s="20">
        <f t="shared" si="338"/>
        <v>0.91994478951000691</v>
      </c>
      <c r="X125" s="20">
        <f t="shared" si="338"/>
        <v>0.91994478951000691</v>
      </c>
      <c r="Y125" s="20">
        <f t="shared" si="338"/>
        <v>0.9199447895100068</v>
      </c>
      <c r="Z125" s="20">
        <f t="shared" si="338"/>
        <v>0.9199447895100068</v>
      </c>
      <c r="AA125" s="20">
        <f t="shared" si="338"/>
        <v>0.91994478951000669</v>
      </c>
      <c r="AB125" s="20">
        <f t="shared" si="338"/>
        <v>0.91994478951000669</v>
      </c>
      <c r="AC125" s="20">
        <f t="shared" si="338"/>
        <v>0.91994478951000658</v>
      </c>
      <c r="AD125" s="138">
        <f t="shared" si="247"/>
        <v>1.0150708975415368E-2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6.7567567567567571E-2</v>
      </c>
      <c r="H126" s="25">
        <f t="shared" ref="H126:P126" si="340">H12/H9</f>
        <v>5.016722408026756E-2</v>
      </c>
      <c r="I126" s="25">
        <f t="shared" si="340"/>
        <v>6.1990212071778142E-2</v>
      </c>
      <c r="J126" s="25">
        <f t="shared" si="340"/>
        <v>6.2695924764890276E-2</v>
      </c>
      <c r="K126" s="25">
        <f t="shared" si="340"/>
        <v>5.9490084985835696E-2</v>
      </c>
      <c r="L126" s="25">
        <f t="shared" si="340"/>
        <v>0.19258202567760344</v>
      </c>
      <c r="M126" s="25">
        <f t="shared" si="340"/>
        <v>0.13725490196078433</v>
      </c>
      <c r="N126" s="25">
        <f t="shared" si="340"/>
        <v>4.4263775971093045E-2</v>
      </c>
      <c r="O126" s="25">
        <f t="shared" si="340"/>
        <v>2.8481012658227847E-2</v>
      </c>
      <c r="P126" s="25">
        <f t="shared" si="340"/>
        <v>7.7294685990338161E-2</v>
      </c>
      <c r="Q126" s="25">
        <f t="shared" ref="Q126" si="341">Q12/Q9</f>
        <v>7.7294685990338161E-2</v>
      </c>
      <c r="R126" s="118">
        <f t="shared" si="245"/>
        <v>1.5056345037224528E-2</v>
      </c>
      <c r="S126" s="128"/>
      <c r="T126" s="20">
        <f t="shared" ref="T126:AC126" si="342">T12/T9</f>
        <v>7.7294685990338161E-2</v>
      </c>
      <c r="U126" s="20">
        <f t="shared" si="342"/>
        <v>7.7294685990338161E-2</v>
      </c>
      <c r="V126" s="20">
        <f t="shared" si="342"/>
        <v>7.7294685990338147E-2</v>
      </c>
      <c r="W126" s="20">
        <f t="shared" si="342"/>
        <v>7.7294685990338147E-2</v>
      </c>
      <c r="X126" s="20">
        <f t="shared" si="342"/>
        <v>7.7294685990338147E-2</v>
      </c>
      <c r="Y126" s="20">
        <f t="shared" si="342"/>
        <v>7.7294685990338133E-2</v>
      </c>
      <c r="Z126" s="20">
        <f t="shared" si="342"/>
        <v>7.7294685990338133E-2</v>
      </c>
      <c r="AA126" s="20">
        <f t="shared" si="342"/>
        <v>7.7294685990338133E-2</v>
      </c>
      <c r="AB126" s="20">
        <f t="shared" si="342"/>
        <v>7.7294685990338133E-2</v>
      </c>
      <c r="AC126" s="20">
        <f t="shared" si="342"/>
        <v>7.7294685990338119E-2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3.9722222222222223</v>
      </c>
      <c r="H127" s="25">
        <f t="shared" ref="H127:P127" si="344">H25/360</f>
        <v>4.2305555555555552</v>
      </c>
      <c r="I127" s="25">
        <f t="shared" si="344"/>
        <v>4.9638888888888886</v>
      </c>
      <c r="J127" s="25">
        <f t="shared" si="344"/>
        <v>5.9722222222222223</v>
      </c>
      <c r="K127" s="25">
        <f t="shared" si="344"/>
        <v>6.7750000000000004</v>
      </c>
      <c r="L127" s="25">
        <f t="shared" si="344"/>
        <v>7.1361111111111111</v>
      </c>
      <c r="M127" s="25">
        <f t="shared" si="344"/>
        <v>8.0861111111111104</v>
      </c>
      <c r="N127" s="25">
        <f t="shared" si="344"/>
        <v>10.527777777777779</v>
      </c>
      <c r="O127" s="25">
        <f t="shared" si="344"/>
        <v>12.877777777777778</v>
      </c>
      <c r="P127" s="25">
        <f t="shared" si="344"/>
        <v>14.111111111111111</v>
      </c>
      <c r="Q127" s="25">
        <f t="shared" ref="Q127" si="345">Q25/360</f>
        <v>14.111111111111111</v>
      </c>
      <c r="R127" s="118">
        <f t="shared" si="245"/>
        <v>0.15125026095414329</v>
      </c>
      <c r="S127" s="128"/>
      <c r="T127" s="25">
        <f t="shared" ref="T127:AC127" si="346">T25/360</f>
        <v>15.804444444444446</v>
      </c>
      <c r="U127" s="25">
        <f t="shared" si="346"/>
        <v>17.70097777777778</v>
      </c>
      <c r="V127" s="25">
        <f t="shared" si="346"/>
        <v>19.825095111111118</v>
      </c>
      <c r="W127" s="25">
        <f t="shared" si="346"/>
        <v>22.204106524444452</v>
      </c>
      <c r="X127" s="25">
        <f t="shared" si="346"/>
        <v>24.868599307377792</v>
      </c>
      <c r="Y127" s="25">
        <f t="shared" si="346"/>
        <v>27.852831224263127</v>
      </c>
      <c r="Z127" s="25">
        <f t="shared" si="346"/>
        <v>31.195170971174704</v>
      </c>
      <c r="AA127" s="25">
        <f t="shared" si="346"/>
        <v>34.938591487715669</v>
      </c>
      <c r="AB127" s="25">
        <f t="shared" si="346"/>
        <v>39.131222466241553</v>
      </c>
      <c r="AC127" s="25">
        <f t="shared" si="346"/>
        <v>43.826969162190544</v>
      </c>
      <c r="AD127" s="118">
        <f t="shared" ref="AD127:AD138" si="347">((AC127/T127)^(1/($H$2-$H$1) ))-1</f>
        <v>0.12000000000000011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3.7749999999999999</v>
      </c>
      <c r="H128" s="25">
        <f t="shared" ref="H128:P128" si="348">H27/360</f>
        <v>4.0861111111111112</v>
      </c>
      <c r="I128" s="25">
        <f t="shared" si="348"/>
        <v>4.697222222222222</v>
      </c>
      <c r="J128" s="25">
        <f t="shared" si="348"/>
        <v>5.5361111111111114</v>
      </c>
      <c r="K128" s="25">
        <f t="shared" si="348"/>
        <v>5.9944444444444445</v>
      </c>
      <c r="L128" s="25">
        <f t="shared" si="348"/>
        <v>6.9527777777777775</v>
      </c>
      <c r="M128" s="25">
        <f t="shared" si="348"/>
        <v>7.1277777777777782</v>
      </c>
      <c r="N128" s="25">
        <f t="shared" si="348"/>
        <v>10.088888888888889</v>
      </c>
      <c r="O128" s="25">
        <f t="shared" si="348"/>
        <v>12.063888888888888</v>
      </c>
      <c r="P128" s="25">
        <f t="shared" si="348"/>
        <v>12.875</v>
      </c>
      <c r="Q128" s="25">
        <f t="shared" ref="Q128" si="349">Q27/360</f>
        <v>12.875</v>
      </c>
      <c r="R128" s="118">
        <f t="shared" si="245"/>
        <v>0.14604946996787249</v>
      </c>
      <c r="S128" s="128"/>
      <c r="T128" s="25">
        <f t="shared" ref="T128:AC128" si="350">T27/360</f>
        <v>14.420000000000002</v>
      </c>
      <c r="U128" s="25">
        <f t="shared" si="350"/>
        <v>16.150400000000005</v>
      </c>
      <c r="V128" s="25">
        <f t="shared" si="350"/>
        <v>18.088448000000003</v>
      </c>
      <c r="W128" s="25">
        <f t="shared" si="350"/>
        <v>20.259061760000005</v>
      </c>
      <c r="X128" s="25">
        <f t="shared" si="350"/>
        <v>22.690149171200009</v>
      </c>
      <c r="Y128" s="25">
        <f t="shared" si="350"/>
        <v>25.412967071744013</v>
      </c>
      <c r="Z128" s="25">
        <f t="shared" si="350"/>
        <v>28.462523120353296</v>
      </c>
      <c r="AA128" s="25">
        <f t="shared" si="350"/>
        <v>31.878025894795694</v>
      </c>
      <c r="AB128" s="25">
        <f t="shared" si="350"/>
        <v>35.703389002171178</v>
      </c>
      <c r="AC128" s="25">
        <f t="shared" si="350"/>
        <v>39.987795682431724</v>
      </c>
      <c r="AD128" s="118">
        <f t="shared" si="347"/>
        <v>0.12000000000000011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0.75320512820512819</v>
      </c>
      <c r="H130" s="25">
        <f t="shared" ref="H130:P130" si="351">H10/H7</f>
        <v>0.7142857142857143</v>
      </c>
      <c r="I130" s="25">
        <f t="shared" si="351"/>
        <v>1.1914285714285715</v>
      </c>
      <c r="J130" s="25">
        <f t="shared" si="351"/>
        <v>0.99735449735449733</v>
      </c>
      <c r="K130" s="25">
        <f t="shared" si="351"/>
        <v>0.64327485380116955</v>
      </c>
      <c r="L130" s="25">
        <f t="shared" si="351"/>
        <v>0.94467213114754101</v>
      </c>
      <c r="M130" s="25">
        <f t="shared" si="351"/>
        <v>0.70634920634920639</v>
      </c>
      <c r="N130" s="25">
        <f t="shared" si="351"/>
        <v>1.6079632465543645</v>
      </c>
      <c r="O130" s="25">
        <f t="shared" si="351"/>
        <v>1.6150442477876106</v>
      </c>
      <c r="P130" s="25">
        <f t="shared" si="351"/>
        <v>1.0547770700636943</v>
      </c>
      <c r="Q130" s="25">
        <f t="shared" ref="Q130" si="352">Q10/Q7</f>
        <v>1.0547770700636943</v>
      </c>
      <c r="R130" s="118">
        <f t="shared" si="245"/>
        <v>3.8125149697563643E-2</v>
      </c>
      <c r="S130" s="128"/>
      <c r="T130" s="25">
        <f t="shared" ref="T130:AC130" si="353">T10/T7</f>
        <v>1.0547770700636943</v>
      </c>
      <c r="U130" s="25">
        <f t="shared" si="353"/>
        <v>1.0547770700636943</v>
      </c>
      <c r="V130" s="25">
        <f t="shared" si="353"/>
        <v>1.0547770700636943</v>
      </c>
      <c r="W130" s="25">
        <f t="shared" si="353"/>
        <v>1.0547770700636943</v>
      </c>
      <c r="X130" s="25">
        <f t="shared" si="353"/>
        <v>1.0547770700636943</v>
      </c>
      <c r="Y130" s="25">
        <f t="shared" si="353"/>
        <v>1.0547770700636943</v>
      </c>
      <c r="Z130" s="25">
        <f t="shared" si="353"/>
        <v>1.0547770700636943</v>
      </c>
      <c r="AA130" s="25">
        <f t="shared" si="353"/>
        <v>1.0547770700636943</v>
      </c>
      <c r="AB130" s="25">
        <f t="shared" si="353"/>
        <v>1.0547770700636943</v>
      </c>
      <c r="AC130" s="25">
        <f t="shared" si="353"/>
        <v>1.0547770700636943</v>
      </c>
      <c r="AD130" s="118">
        <f t="shared" si="347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0.42961608775137111</v>
      </c>
      <c r="H131" s="25">
        <f t="shared" ref="H131:P131" si="354">H10/(H10+H7)</f>
        <v>0.41666666666666669</v>
      </c>
      <c r="I131" s="25">
        <f t="shared" si="354"/>
        <v>0.54367666232073009</v>
      </c>
      <c r="J131" s="25">
        <f t="shared" si="354"/>
        <v>0.49933774834437084</v>
      </c>
      <c r="K131" s="25">
        <f t="shared" si="354"/>
        <v>0.3914590747330961</v>
      </c>
      <c r="L131" s="25">
        <f t="shared" si="354"/>
        <v>0.48577449947312962</v>
      </c>
      <c r="M131" s="25">
        <f t="shared" si="354"/>
        <v>0.413953488372093</v>
      </c>
      <c r="N131" s="25">
        <f t="shared" si="354"/>
        <v>0.6165590135055784</v>
      </c>
      <c r="O131" s="25">
        <f t="shared" si="354"/>
        <v>0.61759729272419628</v>
      </c>
      <c r="P131" s="25">
        <f t="shared" si="354"/>
        <v>0.51332920024798512</v>
      </c>
      <c r="Q131" s="25">
        <f t="shared" ref="Q131" si="355">Q10/(Q10+Q7)</f>
        <v>0.51332920024798512</v>
      </c>
      <c r="R131" s="118">
        <f t="shared" si="245"/>
        <v>1.9977528386395216E-2</v>
      </c>
      <c r="S131" s="128"/>
      <c r="T131" s="25">
        <f t="shared" ref="T131:AC131" si="356">T10/(T10+T7)</f>
        <v>0.51332920024798512</v>
      </c>
      <c r="U131" s="25">
        <f t="shared" si="356"/>
        <v>0.51332920024798512</v>
      </c>
      <c r="V131" s="25">
        <f t="shared" si="356"/>
        <v>0.51332920024798512</v>
      </c>
      <c r="W131" s="25">
        <f t="shared" si="356"/>
        <v>0.51332920024798512</v>
      </c>
      <c r="X131" s="25">
        <f t="shared" si="356"/>
        <v>0.51332920024798512</v>
      </c>
      <c r="Y131" s="25">
        <f t="shared" si="356"/>
        <v>0.51332920024798512</v>
      </c>
      <c r="Z131" s="25">
        <f t="shared" si="356"/>
        <v>0.51332920024798512</v>
      </c>
      <c r="AA131" s="25">
        <f t="shared" si="356"/>
        <v>0.51332920024798512</v>
      </c>
      <c r="AB131" s="25">
        <f t="shared" si="356"/>
        <v>0.51332920024798512</v>
      </c>
      <c r="AC131" s="25">
        <f t="shared" si="356"/>
        <v>0.51332920024798512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395</v>
      </c>
      <c r="H133" s="25">
        <f t="shared" ref="H133:P133" si="357">H16</f>
        <v>345</v>
      </c>
      <c r="I133" s="25">
        <f t="shared" si="357"/>
        <v>-87</v>
      </c>
      <c r="J133" s="25">
        <f t="shared" si="357"/>
        <v>-82</v>
      </c>
      <c r="K133" s="25">
        <f t="shared" si="357"/>
        <v>44</v>
      </c>
      <c r="L133" s="25">
        <f t="shared" si="357"/>
        <v>112</v>
      </c>
      <c r="M133" s="25">
        <f t="shared" si="357"/>
        <v>7</v>
      </c>
      <c r="N133" s="25">
        <f t="shared" si="357"/>
        <v>120</v>
      </c>
      <c r="O133" s="25">
        <f t="shared" si="357"/>
        <v>138</v>
      </c>
      <c r="P133" s="25">
        <f t="shared" si="357"/>
        <v>13</v>
      </c>
      <c r="Q133" s="25">
        <f t="shared" ref="Q133" si="358">Q16</f>
        <v>13</v>
      </c>
      <c r="R133" s="118">
        <f t="shared" si="245"/>
        <v>-0.31567769588366579</v>
      </c>
      <c r="S133" s="128"/>
      <c r="T133" s="25">
        <f t="shared" ref="T133:AC133" si="359">T16</f>
        <v>14.560000000000002</v>
      </c>
      <c r="U133" s="25">
        <f t="shared" si="359"/>
        <v>16.307200000000005</v>
      </c>
      <c r="V133" s="25">
        <f t="shared" si="359"/>
        <v>18.264064000000008</v>
      </c>
      <c r="W133" s="25">
        <f t="shared" si="359"/>
        <v>20.455751680000013</v>
      </c>
      <c r="X133" s="25">
        <f t="shared" si="359"/>
        <v>22.910441881600018</v>
      </c>
      <c r="Y133" s="25">
        <f t="shared" si="359"/>
        <v>25.659694907392023</v>
      </c>
      <c r="Z133" s="25">
        <f t="shared" si="359"/>
        <v>28.738858296279069</v>
      </c>
      <c r="AA133" s="25">
        <f t="shared" si="359"/>
        <v>32.18752129183256</v>
      </c>
      <c r="AB133" s="25">
        <f t="shared" si="359"/>
        <v>36.050023846852469</v>
      </c>
      <c r="AC133" s="25">
        <f t="shared" si="359"/>
        <v>40.376026708474768</v>
      </c>
      <c r="AD133" s="118">
        <f t="shared" si="347"/>
        <v>0.12000000000000011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0">G133*365/G25</f>
        <v>100.82167832167832</v>
      </c>
      <c r="H134" s="119">
        <f t="shared" si="360"/>
        <v>82.682206172028884</v>
      </c>
      <c r="I134" s="119">
        <f t="shared" si="360"/>
        <v>-17.7700055959709</v>
      </c>
      <c r="J134" s="119">
        <f t="shared" si="360"/>
        <v>-13.92093023255814</v>
      </c>
      <c r="K134" s="119">
        <f t="shared" si="360"/>
        <v>6.5846658466584662</v>
      </c>
      <c r="L134" s="119">
        <f t="shared" si="360"/>
        <v>15.912806539509537</v>
      </c>
      <c r="M134" s="119">
        <f t="shared" si="360"/>
        <v>0.87770525592579873</v>
      </c>
      <c r="N134" s="119">
        <f t="shared" si="360"/>
        <v>11.556728232189974</v>
      </c>
      <c r="O134" s="119">
        <f t="shared" si="360"/>
        <v>10.864969801553062</v>
      </c>
      <c r="P134" s="119">
        <f t="shared" si="360"/>
        <v>0.93405511811023623</v>
      </c>
      <c r="Q134" s="119">
        <f t="shared" ref="Q134" si="361">Q133*365/Q25</f>
        <v>0.93405511811023623</v>
      </c>
      <c r="R134" s="118">
        <f t="shared" si="245"/>
        <v>-0.40558336677450513</v>
      </c>
      <c r="S134" s="128"/>
      <c r="T134" s="119">
        <f t="shared" ref="T134:AC134" si="362">T133*365/T25</f>
        <v>0.93405511811023623</v>
      </c>
      <c r="U134" s="119">
        <f t="shared" si="362"/>
        <v>0.93405511811023634</v>
      </c>
      <c r="V134" s="119">
        <f t="shared" si="362"/>
        <v>0.93405511811023645</v>
      </c>
      <c r="W134" s="119">
        <f t="shared" si="362"/>
        <v>0.93405511811023645</v>
      </c>
      <c r="X134" s="119">
        <f t="shared" si="362"/>
        <v>0.93405511811023645</v>
      </c>
      <c r="Y134" s="119">
        <f t="shared" si="362"/>
        <v>0.93405511811023656</v>
      </c>
      <c r="Z134" s="119">
        <f t="shared" si="362"/>
        <v>0.93405511811023656</v>
      </c>
      <c r="AA134" s="119">
        <f t="shared" si="362"/>
        <v>0.93405511811023656</v>
      </c>
      <c r="AB134" s="119">
        <f t="shared" si="362"/>
        <v>0.93405511811023645</v>
      </c>
      <c r="AC134" s="119">
        <f t="shared" si="362"/>
        <v>0.93405511811023656</v>
      </c>
      <c r="AD134" s="118">
        <f t="shared" si="347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0.13714733542319749</v>
      </c>
      <c r="H135" s="133">
        <f t="shared" ref="H135:P135" si="363">H80/H29</f>
        <v>7.783312577833125E-2</v>
      </c>
      <c r="I135" s="133">
        <f t="shared" si="363"/>
        <v>0.25234318673395822</v>
      </c>
      <c r="J135" s="133">
        <f t="shared" si="363"/>
        <v>0.46365914786967427</v>
      </c>
      <c r="K135" s="133">
        <f t="shared" si="363"/>
        <v>0.899344320396952</v>
      </c>
      <c r="L135" s="133">
        <f t="shared" si="363"/>
        <v>0.12792397660818713</v>
      </c>
      <c r="M135" s="133">
        <f t="shared" si="363"/>
        <v>1.2631578947368423</v>
      </c>
      <c r="N135" s="133">
        <f t="shared" si="363"/>
        <v>0.41301169590643277</v>
      </c>
      <c r="O135" s="133">
        <f t="shared" si="363"/>
        <v>0.42069459362692446</v>
      </c>
      <c r="P135" s="133">
        <f t="shared" si="363"/>
        <v>0.67044716167523177</v>
      </c>
      <c r="Q135" s="133">
        <f t="shared" ref="Q135" si="364">Q80/Q29</f>
        <v>0.67044716167523177</v>
      </c>
      <c r="R135" s="118">
        <f t="shared" si="245"/>
        <v>0.19282090679145525</v>
      </c>
      <c r="S135" s="128"/>
      <c r="T135" s="133">
        <f t="shared" ref="T135:AC135" si="365">T80/T29</f>
        <v>0.6385211063573637</v>
      </c>
      <c r="U135" s="133">
        <f t="shared" si="365"/>
        <v>0.60811533938796536</v>
      </c>
      <c r="V135" s="133">
        <f t="shared" si="365"/>
        <v>0.5791574660837765</v>
      </c>
      <c r="W135" s="133">
        <f t="shared" si="365"/>
        <v>0.55157853912740629</v>
      </c>
      <c r="X135" s="133">
        <f t="shared" si="365"/>
        <v>0.52531289440705342</v>
      </c>
      <c r="Y135" s="133">
        <f t="shared" si="365"/>
        <v>0.50029799467338432</v>
      </c>
      <c r="Z135" s="133">
        <f t="shared" si="365"/>
        <v>0.47647428064131842</v>
      </c>
      <c r="AA135" s="133">
        <f t="shared" si="365"/>
        <v>0.45378502918220798</v>
      </c>
      <c r="AB135" s="133">
        <f t="shared" si="365"/>
        <v>0.43217621826876951</v>
      </c>
      <c r="AC135" s="133">
        <f t="shared" si="365"/>
        <v>0.41159639835120898</v>
      </c>
      <c r="AD135" s="118">
        <f t="shared" si="347"/>
        <v>-4.7619047619047672E-2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8.3139534883720927</v>
      </c>
      <c r="H137" s="180">
        <f t="shared" ref="H137:P137" si="366">H25/H14</f>
        <v>9.0654761904761898</v>
      </c>
      <c r="I137" s="180">
        <f t="shared" si="366"/>
        <v>9.7650273224043715</v>
      </c>
      <c r="J137" s="180">
        <f t="shared" si="366"/>
        <v>9.7285067873303159</v>
      </c>
      <c r="K137" s="180">
        <f t="shared" si="366"/>
        <v>7.1524926686217007</v>
      </c>
      <c r="L137" s="180">
        <f t="shared" si="366"/>
        <v>11.730593607305936</v>
      </c>
      <c r="M137" s="180">
        <f t="shared" si="366"/>
        <v>6.9808153477218227</v>
      </c>
      <c r="N137" s="180">
        <f t="shared" si="366"/>
        <v>6.4675767918088738</v>
      </c>
      <c r="O137" s="180">
        <f t="shared" si="366"/>
        <v>7.7009966777408634</v>
      </c>
      <c r="P137" s="180">
        <f t="shared" si="366"/>
        <v>9.1039426523297493</v>
      </c>
      <c r="Q137" s="180">
        <f t="shared" ref="Q137" si="367">Q25/Q14</f>
        <v>9.1039426523297493</v>
      </c>
      <c r="R137" s="118">
        <f t="shared" si="245"/>
        <v>1.013684789378444E-2</v>
      </c>
      <c r="S137" s="128"/>
      <c r="T137" s="20">
        <f t="shared" ref="T137" si="368">T25/T14</f>
        <v>9.1039426523297493</v>
      </c>
      <c r="U137" s="20">
        <f t="shared" ref="U137:AC137" si="369">U25/U14</f>
        <v>9.1039426523297493</v>
      </c>
      <c r="V137" s="20">
        <f t="shared" si="369"/>
        <v>9.1039426523297493</v>
      </c>
      <c r="W137" s="20">
        <f t="shared" si="369"/>
        <v>9.1039426523297493</v>
      </c>
      <c r="X137" s="20">
        <f t="shared" si="369"/>
        <v>9.1039426523297511</v>
      </c>
      <c r="Y137" s="20">
        <f t="shared" si="369"/>
        <v>9.1039426523297493</v>
      </c>
      <c r="Z137" s="20">
        <f t="shared" si="369"/>
        <v>9.1039426523297493</v>
      </c>
      <c r="AA137" s="20">
        <f t="shared" si="369"/>
        <v>9.1039426523297475</v>
      </c>
      <c r="AB137" s="20">
        <f t="shared" si="369"/>
        <v>9.1039426523297475</v>
      </c>
      <c r="AC137" s="20">
        <f t="shared" si="369"/>
        <v>9.1039426523297475</v>
      </c>
      <c r="AD137" s="118">
        <f t="shared" si="347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7.9011627906976747</v>
      </c>
      <c r="H138" s="180">
        <f t="shared" ref="H138:P138" si="370">H27/H14</f>
        <v>8.7559523809523814</v>
      </c>
      <c r="I138" s="180">
        <f t="shared" si="370"/>
        <v>9.2404371584699447</v>
      </c>
      <c r="J138" s="180">
        <f t="shared" si="370"/>
        <v>9.0180995475113122</v>
      </c>
      <c r="K138" s="180">
        <f t="shared" si="370"/>
        <v>6.3284457478005862</v>
      </c>
      <c r="L138" s="180">
        <f t="shared" si="370"/>
        <v>11.429223744292237</v>
      </c>
      <c r="M138" s="180">
        <f t="shared" si="370"/>
        <v>6.1534772182254196</v>
      </c>
      <c r="N138" s="180">
        <f t="shared" si="370"/>
        <v>6.197952218430034</v>
      </c>
      <c r="O138" s="180">
        <f t="shared" si="370"/>
        <v>7.2142857142857144</v>
      </c>
      <c r="P138" s="180">
        <f t="shared" si="370"/>
        <v>8.306451612903226</v>
      </c>
      <c r="Q138" s="180">
        <f t="shared" ref="Q138" si="371">Q27/Q14</f>
        <v>8.306451612903226</v>
      </c>
      <c r="R138" s="118">
        <f t="shared" si="245"/>
        <v>5.5735389490623177E-3</v>
      </c>
      <c r="S138" s="128"/>
      <c r="T138" s="20">
        <f t="shared" ref="T138:AC138" si="372">T27/T14</f>
        <v>8.306451612903226</v>
      </c>
      <c r="U138" s="20">
        <f t="shared" si="372"/>
        <v>8.306451612903226</v>
      </c>
      <c r="V138" s="20">
        <f t="shared" si="372"/>
        <v>8.306451612903226</v>
      </c>
      <c r="W138" s="20">
        <f t="shared" si="372"/>
        <v>8.306451612903226</v>
      </c>
      <c r="X138" s="20">
        <f t="shared" si="372"/>
        <v>8.306451612903226</v>
      </c>
      <c r="Y138" s="20">
        <f t="shared" si="372"/>
        <v>8.306451612903226</v>
      </c>
      <c r="Z138" s="20">
        <f t="shared" si="372"/>
        <v>8.3064516129032242</v>
      </c>
      <c r="AA138" s="20">
        <f t="shared" si="372"/>
        <v>8.3064516129032242</v>
      </c>
      <c r="AB138" s="20">
        <f t="shared" si="372"/>
        <v>8.3064516129032242</v>
      </c>
      <c r="AC138" s="20">
        <f t="shared" si="372"/>
        <v>8.3064516129032242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16.567891837030597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80.189002140682121</v>
      </c>
      <c r="T142" s="133">
        <f>PV($C$1, ($AC$3-$T$3), 0, -AC54)</f>
        <v>11.173877347472096</v>
      </c>
      <c r="U142" s="133">
        <f>PV($C$1, ($AC$3-$T$3), 0, -AF54)</f>
        <v>69.01512479321002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524.56972233696217</v>
      </c>
      <c r="T143" s="133">
        <f>PV($C$1, ($AC$3-$T$3), 0, -AC56)</f>
        <v>73.09578098137996</v>
      </c>
      <c r="U143" s="133">
        <f>PV($C$1, ($AC$3-$T$3), 0, -AF56)</f>
        <v>451.47394135558221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499.17653832574626</v>
      </c>
      <c r="T144" s="133">
        <f>PV($C$1, ($AC$3-$T$3), 0, -AC57)</f>
        <v>69.557386488013805</v>
      </c>
      <c r="U144" s="133">
        <f>PV($C$1, ($AC$3-$T$3), 0, -AF57)</f>
        <v>429.61915183773243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553.30411477070663</v>
      </c>
      <c r="T145" s="133">
        <f>PV($C$1, ($AC$3-$T$3), 0, -AC58)</f>
        <v>77.099753697557475</v>
      </c>
      <c r="U145" s="133">
        <f>PV($C$1, ($AC$3-$T$3), 0, -AF58)</f>
        <v>476.20436107314913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74.843068664636604</v>
      </c>
      <c r="T146" s="133">
        <f>PV($C$1, ($AC$3-$T$3), 0, -AC64)</f>
        <v>10.428952190973952</v>
      </c>
      <c r="U146" s="133">
        <f>PV($C$1, ($AC$3-$T$3), 0, -AF64)</f>
        <v>64.414116473662659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-28.73439243374445</v>
      </c>
      <c r="T148" s="133">
        <f>PV($C$1, ($AC$3-$T$3), 0, -AC60)</f>
        <v>-4.0039727161775049</v>
      </c>
      <c r="U148" s="133">
        <f>PV($C$1, ($AC$3-$T$3), 0, -$AF$60)</f>
        <v>-24.730419717566946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-997.01659328248115</v>
      </c>
      <c r="T149" s="133">
        <f>PV($C$1, ($AC$3-$T$3), 0, -AC61)</f>
        <v>-138.92854168690309</v>
      </c>
      <c r="U149" s="133">
        <f>PV($C$1, ($AC$3-$T$3), 0, -$AF$61)</f>
        <v>-858.08805159557801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-106.25042783640407</v>
      </c>
      <c r="T150" s="133">
        <f>PV($C$1, ($AC$3-$T$3), 0, -AC62)</f>
        <v>-14.805387485400564</v>
      </c>
      <c r="U150" s="133">
        <f>PV($C$1, ($AC$3-$T$3), 0, -$AF$62)</f>
        <v>-91.445040351003513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890.76616544607703</v>
      </c>
      <c r="T152" s="133">
        <f>PV($C$1, ($AC$3-$T$3), 0, -AC67)</f>
        <v>124.12315420150252</v>
      </c>
      <c r="U152" s="133">
        <f>PV($C$1, ($AC$3-$T$3), 0, -AF67)</f>
        <v>766.6430112445745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6.7127914670798292</v>
      </c>
      <c r="T153" s="133">
        <f>PV($C$1, ($AC$3-$T$3), 0, -AC68)</f>
        <v>1.2105033793094773</v>
      </c>
      <c r="U153" s="133">
        <f>PV($C$1, ($AC$3-$T$3), 0, -AF68)</f>
        <v>5.5022880877703519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416.93723560581702</v>
      </c>
      <c r="T155" s="133">
        <f>PV($C$1, ($AC$3-$T$3), 0, -AC12)</f>
        <v>58.097811518843358</v>
      </c>
      <c r="U155" s="133">
        <f>PV($C$1, ($AC$3-$T$3), 0, -AF12)</f>
        <v>358.83942408697368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121.91147239936171</v>
      </c>
      <c r="T156" s="140">
        <f>T155/P42</f>
        <v>16.987664186796305</v>
      </c>
      <c r="U156" s="140">
        <f>U155/P42</f>
        <v>104.9238082125654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94.766849365030922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77.963537327275048</v>
      </c>
      <c r="U159" s="133">
        <f>PV($C$1, ($AC$3-$T$3), 0, -AF70)</f>
        <v>16.803312037755877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0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1" s="133">
        <f>PV($C$1, ($AC$3-$T$3), 0, -AF72)</f>
        <v>0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0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3" s="133">
        <f>PV($C$1, ($AC$3-$T$3), 0, -AF74)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0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4" s="133">
        <f>PV($C$1, ($AC$3-$T$3), 0, -AF75)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0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5" s="133">
        <f>PV($C$1, ($AC$3-$T$3), 0, -AF76)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0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6" s="133">
        <f>PV($C$1, ($AC$3-$T$3), 0, -AF77)</f>
        <v>0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330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640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31</v>
      </c>
      <c r="L171" s="22">
        <v>31</v>
      </c>
      <c r="M171" s="22">
        <v>145</v>
      </c>
      <c r="N171" s="22">
        <v>93</v>
      </c>
      <c r="O171" s="22">
        <v>83</v>
      </c>
      <c r="P171" s="22">
        <v>87</v>
      </c>
      <c r="Q171" s="22">
        <v>100</v>
      </c>
      <c r="R171" s="118" t="e">
        <f t="shared" ref="R171:R176" si="377">((P171/G171)^(1/($H$2-$H$1) ))-1</f>
        <v>#DIV/0!</v>
      </c>
      <c r="S171" s="31">
        <f>L2-3%</f>
        <v>0.09</v>
      </c>
      <c r="T171" s="119">
        <f t="shared" ref="T171" si="378">P171*(1+$S171)</f>
        <v>94.830000000000013</v>
      </c>
      <c r="U171" s="119">
        <f t="shared" ref="U171:AC171" si="379">T171*(1+$S171)</f>
        <v>103.36470000000003</v>
      </c>
      <c r="V171" s="119">
        <f t="shared" si="379"/>
        <v>112.66752300000005</v>
      </c>
      <c r="W171" s="119">
        <f t="shared" si="379"/>
        <v>122.80760007000006</v>
      </c>
      <c r="X171" s="119">
        <f t="shared" si="379"/>
        <v>133.86028407630008</v>
      </c>
      <c r="Y171" s="119">
        <f t="shared" si="379"/>
        <v>145.9077096431671</v>
      </c>
      <c r="Z171" s="119">
        <f t="shared" si="379"/>
        <v>159.03940351105214</v>
      </c>
      <c r="AA171" s="119">
        <f t="shared" si="379"/>
        <v>173.35294982704684</v>
      </c>
      <c r="AB171" s="119">
        <f t="shared" si="379"/>
        <v>188.95471531148107</v>
      </c>
      <c r="AC171" s="119">
        <f t="shared" si="379"/>
        <v>205.96063968951438</v>
      </c>
      <c r="AD171" s="138" t="e">
        <f t="shared" ref="AD171:AD176" si="380">((AC171/G171)^(1/($AC$3-$H$1) ))-1</f>
        <v>#DIV/0!</v>
      </c>
      <c r="AE171" s="31">
        <v>0.08</v>
      </c>
      <c r="AF171" s="127" t="e">
        <f t="shared" ref="AF171:AF179" si="381">(AC171*(1+AD171))/($C$1-AE171)</f>
        <v>#DIV/0!</v>
      </c>
    </row>
    <row r="172" spans="2:32" x14ac:dyDescent="0.2">
      <c r="B172" s="20" t="s">
        <v>361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</v>
      </c>
      <c r="H172" s="25">
        <f t="shared" si="382"/>
        <v>0</v>
      </c>
      <c r="I172" s="25">
        <f t="shared" si="382"/>
        <v>0</v>
      </c>
      <c r="J172" s="25">
        <f t="shared" si="382"/>
        <v>0</v>
      </c>
      <c r="K172" s="25">
        <f t="shared" si="382"/>
        <v>4.3468634686346867E-2</v>
      </c>
      <c r="L172" s="25">
        <f t="shared" si="382"/>
        <v>4.1268976255352273E-2</v>
      </c>
      <c r="M172" s="25">
        <f t="shared" si="382"/>
        <v>0.17035383029886636</v>
      </c>
      <c r="N172" s="25">
        <f t="shared" si="382"/>
        <v>8.392084432717678E-2</v>
      </c>
      <c r="O172" s="25">
        <f t="shared" si="382"/>
        <v>6.1229508196721308E-2</v>
      </c>
      <c r="P172" s="25">
        <f t="shared" si="382"/>
        <v>5.8570866141732285E-2</v>
      </c>
      <c r="Q172" s="25">
        <f t="shared" ref="Q172" si="383">Q171/Q50</f>
        <v>6.7322834645669294E-2</v>
      </c>
      <c r="R172" s="118" t="e">
        <f t="shared" ref="R172" si="384">((P172/G172)^(1/($H$2-$H$1) ))-1</f>
        <v>#DIV/0!</v>
      </c>
      <c r="S172" s="128"/>
      <c r="T172" s="25">
        <f t="shared" ref="T172:AC172" si="385">T171/T50</f>
        <v>5.9852103838582686E-2</v>
      </c>
      <c r="U172" s="25">
        <f t="shared" si="385"/>
        <v>6.116136861005169E-2</v>
      </c>
      <c r="V172" s="25">
        <f t="shared" si="385"/>
        <v>6.2499273548396579E-2</v>
      </c>
      <c r="W172" s="25">
        <f t="shared" si="385"/>
        <v>6.3866445157267748E-2</v>
      </c>
      <c r="X172" s="25">
        <f t="shared" si="385"/>
        <v>6.5263523645082977E-2</v>
      </c>
      <c r="Y172" s="25">
        <f t="shared" si="385"/>
        <v>6.6691163224819175E-2</v>
      </c>
      <c r="Z172" s="25">
        <f t="shared" si="385"/>
        <v>6.8150032420362092E-2</v>
      </c>
      <c r="AA172" s="25">
        <f t="shared" si="385"/>
        <v>6.964081437955752E-2</v>
      </c>
      <c r="AB172" s="25">
        <f t="shared" si="385"/>
        <v>7.1164207194110332E-2</v>
      </c>
      <c r="AC172" s="25">
        <f t="shared" si="385"/>
        <v>7.2720924226481493E-2</v>
      </c>
      <c r="AD172" s="138" t="e">
        <f t="shared" ref="AD172" si="386">((AC172/G172)^(1/($AC$3-$H$1) ))-1</f>
        <v>#DIV/0!</v>
      </c>
      <c r="AE172" s="31">
        <v>0.08</v>
      </c>
      <c r="AF172" s="127" t="e">
        <f t="shared" ref="AF172" si="387">(AC172*(1+AD172))/($C$1-AE172)</f>
        <v>#DIV/0!</v>
      </c>
    </row>
    <row r="173" spans="2:32" x14ac:dyDescent="0.2">
      <c r="B173" s="20" t="s">
        <v>389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0</v>
      </c>
      <c r="H173" s="25">
        <f t="shared" si="388"/>
        <v>0</v>
      </c>
      <c r="I173" s="25">
        <f t="shared" si="388"/>
        <v>0</v>
      </c>
      <c r="J173" s="25">
        <f t="shared" si="388"/>
        <v>0</v>
      </c>
      <c r="K173" s="25">
        <f t="shared" si="388"/>
        <v>0.71635135135135131</v>
      </c>
      <c r="L173" s="25">
        <f t="shared" si="388"/>
        <v>-6.6262500000000006</v>
      </c>
      <c r="M173" s="25">
        <f t="shared" si="388"/>
        <v>3.0237804878048782</v>
      </c>
      <c r="N173" s="25">
        <f t="shared" si="388"/>
        <v>11.359285714285715</v>
      </c>
      <c r="O173" s="25">
        <f t="shared" si="388"/>
        <v>15.77</v>
      </c>
      <c r="P173" s="25">
        <f t="shared" si="388"/>
        <v>2.4794999999999998</v>
      </c>
      <c r="Q173" s="25">
        <f t="shared" ref="Q173" si="389">Q171/Q54</f>
        <v>2.8499999999999996</v>
      </c>
      <c r="R173" s="118" t="e">
        <f t="shared" si="377"/>
        <v>#DIV/0!</v>
      </c>
      <c r="S173" s="128"/>
      <c r="T173" s="119">
        <f t="shared" ref="T173:AC173" si="390">T171/T54</f>
        <v>2.5337390625000005</v>
      </c>
      <c r="U173" s="119">
        <f t="shared" si="390"/>
        <v>2.5891646044921885</v>
      </c>
      <c r="V173" s="119">
        <f t="shared" si="390"/>
        <v>2.645802580215455</v>
      </c>
      <c r="W173" s="119">
        <f t="shared" si="390"/>
        <v>2.7036795116576684</v>
      </c>
      <c r="X173" s="119">
        <f t="shared" si="390"/>
        <v>2.7628225009751803</v>
      </c>
      <c r="Y173" s="119">
        <f t="shared" si="390"/>
        <v>2.8232592431840122</v>
      </c>
      <c r="Z173" s="119">
        <f t="shared" si="390"/>
        <v>2.8850180391286622</v>
      </c>
      <c r="AA173" s="119">
        <f t="shared" si="390"/>
        <v>2.9481278087346015</v>
      </c>
      <c r="AB173" s="119">
        <f t="shared" si="390"/>
        <v>3.0126181045506706</v>
      </c>
      <c r="AC173" s="119">
        <f t="shared" si="390"/>
        <v>3.0785191255877167</v>
      </c>
      <c r="AD173" s="138" t="e">
        <f t="shared" si="380"/>
        <v>#DIV/0!</v>
      </c>
      <c r="AE173" s="31">
        <v>0.08</v>
      </c>
      <c r="AF173" s="127" t="e">
        <f t="shared" si="381"/>
        <v>#DIV/0!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</v>
      </c>
      <c r="H174" s="25">
        <f t="shared" si="391"/>
        <v>0</v>
      </c>
      <c r="I174" s="25">
        <f t="shared" si="391"/>
        <v>0</v>
      </c>
      <c r="J174" s="25">
        <f t="shared" si="391"/>
        <v>0</v>
      </c>
      <c r="K174" s="25">
        <f t="shared" si="391"/>
        <v>0.22800000000000001</v>
      </c>
      <c r="L174" s="25">
        <f t="shared" si="391"/>
        <v>0.23612472160356346</v>
      </c>
      <c r="M174" s="25">
        <f t="shared" si="391"/>
        <v>0.83344537815126052</v>
      </c>
      <c r="N174" s="25">
        <f t="shared" si="391"/>
        <v>0.51885807504078296</v>
      </c>
      <c r="O174" s="25">
        <f t="shared" si="391"/>
        <v>0.44353124999999999</v>
      </c>
      <c r="P174" s="25">
        <f t="shared" si="391"/>
        <v>0.39831325301204817</v>
      </c>
      <c r="Q174" s="25">
        <f t="shared" ref="Q174" si="392">Q171/Q57</f>
        <v>0.45783132530120479</v>
      </c>
      <c r="R174" s="118" t="e">
        <f t="shared" si="377"/>
        <v>#DIV/0!</v>
      </c>
      <c r="S174" s="128"/>
      <c r="T174" s="119">
        <f t="shared" ref="T174:AC174" si="393">T171/T57</f>
        <v>0.40702635542168675</v>
      </c>
      <c r="U174" s="119">
        <f t="shared" si="393"/>
        <v>0.41593005694653623</v>
      </c>
      <c r="V174" s="119">
        <f t="shared" si="393"/>
        <v>0.42502852694224169</v>
      </c>
      <c r="W174" s="119">
        <f t="shared" si="393"/>
        <v>0.43432602596910325</v>
      </c>
      <c r="X174" s="119">
        <f t="shared" si="393"/>
        <v>0.44382690778717743</v>
      </c>
      <c r="Y174" s="119">
        <f t="shared" si="393"/>
        <v>0.4535356213950219</v>
      </c>
      <c r="Z174" s="119">
        <f t="shared" si="393"/>
        <v>0.46345671311303799</v>
      </c>
      <c r="AA174" s="119">
        <f t="shared" si="393"/>
        <v>0.47359482871238567</v>
      </c>
      <c r="AB174" s="119">
        <f t="shared" si="393"/>
        <v>0.48395471559046915</v>
      </c>
      <c r="AC174" s="119">
        <f t="shared" si="393"/>
        <v>0.49454122499401065</v>
      </c>
      <c r="AD174" s="138" t="e">
        <f t="shared" si="380"/>
        <v>#DIV/0!</v>
      </c>
      <c r="AE174" s="31">
        <v>0.08</v>
      </c>
      <c r="AF174" s="127" t="e">
        <f t="shared" si="381"/>
        <v>#DIV/0!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</v>
      </c>
      <c r="H175" s="25">
        <f t="shared" si="394"/>
        <v>0</v>
      </c>
      <c r="I175" s="25">
        <f t="shared" si="394"/>
        <v>0</v>
      </c>
      <c r="J175" s="25">
        <f t="shared" si="394"/>
        <v>0</v>
      </c>
      <c r="K175" s="25">
        <f t="shared" si="394"/>
        <v>2.038846153846154</v>
      </c>
      <c r="L175" s="25">
        <f t="shared" si="394"/>
        <v>0.59561797752808987</v>
      </c>
      <c r="M175" s="25">
        <f t="shared" si="394"/>
        <v>2.7098360655737705</v>
      </c>
      <c r="N175" s="25">
        <f t="shared" si="394"/>
        <v>3.4571739130434782</v>
      </c>
      <c r="O175" s="25">
        <f t="shared" si="394"/>
        <v>4.2367164179104471</v>
      </c>
      <c r="P175" s="25">
        <f t="shared" si="394"/>
        <v>2.6448</v>
      </c>
      <c r="Q175" s="25">
        <f t="shared" ref="Q175" si="395">Q171/Q66</f>
        <v>3.0400000000000005</v>
      </c>
      <c r="R175" s="118" t="e">
        <f t="shared" si="377"/>
        <v>#DIV/0!</v>
      </c>
      <c r="S175" s="128"/>
      <c r="T175" s="119">
        <f t="shared" ref="T175:AC175" si="396">T171/T66</f>
        <v>2.7026550000000009</v>
      </c>
      <c r="U175" s="119">
        <f t="shared" si="396"/>
        <v>2.7617755781250009</v>
      </c>
      <c r="V175" s="119">
        <f t="shared" si="396"/>
        <v>2.8221894188964858</v>
      </c>
      <c r="W175" s="119">
        <f t="shared" si="396"/>
        <v>2.883924812434846</v>
      </c>
      <c r="X175" s="119">
        <f t="shared" si="396"/>
        <v>2.9470106677068588</v>
      </c>
      <c r="Y175" s="119">
        <f t="shared" si="396"/>
        <v>3.0114765260629466</v>
      </c>
      <c r="Z175" s="119">
        <f t="shared" si="396"/>
        <v>3.0773525750705732</v>
      </c>
      <c r="AA175" s="119">
        <f t="shared" si="396"/>
        <v>3.1446696626502417</v>
      </c>
      <c r="AB175" s="119">
        <f t="shared" si="396"/>
        <v>3.2134593115207162</v>
      </c>
      <c r="AC175" s="119">
        <f t="shared" si="396"/>
        <v>3.2837537339602321</v>
      </c>
      <c r="AD175" s="138" t="e">
        <f t="shared" si="380"/>
        <v>#DIV/0!</v>
      </c>
      <c r="AE175" s="31">
        <v>0.08</v>
      </c>
      <c r="AF175" s="127" t="e">
        <f t="shared" si="381"/>
        <v>#DIV/0!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</v>
      </c>
      <c r="H176" s="25">
        <f t="shared" si="397"/>
        <v>0</v>
      </c>
      <c r="I176" s="25">
        <f t="shared" si="397"/>
        <v>0</v>
      </c>
      <c r="J176" s="25">
        <f t="shared" si="397"/>
        <v>0</v>
      </c>
      <c r="K176" s="25">
        <f t="shared" si="397"/>
        <v>2.4095454545454547</v>
      </c>
      <c r="L176" s="25">
        <f t="shared" si="397"/>
        <v>0.94660714285714287</v>
      </c>
      <c r="M176" s="25">
        <f t="shared" si="397"/>
        <v>70.842857142857142</v>
      </c>
      <c r="N176" s="25">
        <f t="shared" si="397"/>
        <v>2.6504999999999996</v>
      </c>
      <c r="O176" s="25">
        <f t="shared" si="397"/>
        <v>2.0569565217391301</v>
      </c>
      <c r="P176" s="25">
        <f t="shared" si="397"/>
        <v>22.887692307692308</v>
      </c>
      <c r="Q176" s="25">
        <f t="shared" ref="Q176" si="398">Q171/Q68</f>
        <v>26.307692307692307</v>
      </c>
      <c r="R176" s="118" t="e">
        <f t="shared" si="377"/>
        <v>#DIV/0!</v>
      </c>
      <c r="S176" s="128"/>
      <c r="T176" s="119">
        <f t="shared" ref="T176:AC176" si="399">T171/T68</f>
        <v>23.388360576923077</v>
      </c>
      <c r="U176" s="119">
        <f t="shared" si="399"/>
        <v>23.899980964543271</v>
      </c>
      <c r="V176" s="119">
        <f t="shared" si="399"/>
        <v>24.422793048142655</v>
      </c>
      <c r="W176" s="119">
        <f t="shared" si="399"/>
        <v>24.957041646070778</v>
      </c>
      <c r="X176" s="119">
        <f t="shared" si="399"/>
        <v>25.502976932078575</v>
      </c>
      <c r="Y176" s="119">
        <f t="shared" si="399"/>
        <v>26.060854552467795</v>
      </c>
      <c r="Z176" s="119">
        <f t="shared" si="399"/>
        <v>26.630935745803026</v>
      </c>
      <c r="AA176" s="119">
        <f t="shared" si="399"/>
        <v>27.213487465242466</v>
      </c>
      <c r="AB176" s="119">
        <f t="shared" si="399"/>
        <v>27.808782503544641</v>
      </c>
      <c r="AC176" s="119">
        <f t="shared" si="399"/>
        <v>28.417099620809687</v>
      </c>
      <c r="AD176" s="138" t="e">
        <f t="shared" si="380"/>
        <v>#DIV/0!</v>
      </c>
      <c r="AE176" s="31">
        <v>0.08</v>
      </c>
      <c r="AF176" s="127" t="e">
        <f t="shared" si="381"/>
        <v>#DIV/0!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0</v>
      </c>
      <c r="H177" s="182">
        <f t="shared" si="400"/>
        <v>0</v>
      </c>
      <c r="I177" s="182">
        <f t="shared" si="400"/>
        <v>0</v>
      </c>
      <c r="J177" s="182">
        <f t="shared" si="400"/>
        <v>0</v>
      </c>
      <c r="K177" s="182">
        <f t="shared" si="400"/>
        <v>0.6504294478527608</v>
      </c>
      <c r="L177" s="182">
        <f t="shared" si="400"/>
        <v>-1.152391304347826</v>
      </c>
      <c r="M177" s="182">
        <f t="shared" si="400"/>
        <v>49.589999999999996</v>
      </c>
      <c r="N177" s="182">
        <f t="shared" si="400"/>
        <v>-0.83920844327176769</v>
      </c>
      <c r="O177" s="182">
        <f t="shared" si="400"/>
        <v>-0.69916256157635459</v>
      </c>
      <c r="P177" s="182">
        <f t="shared" si="400"/>
        <v>-1.8713207547169812</v>
      </c>
      <c r="Q177" s="182">
        <f t="shared" ref="Q177" si="401">Q171/Q62</f>
        <v>-2.1509433962264151</v>
      </c>
      <c r="R177" s="118" t="e">
        <f t="shared" ref="R177:R180" si="402">((P177/G177)^(1/($H$2-$H$1) ))-1</f>
        <v>#DIV/0!</v>
      </c>
      <c r="S177" s="128"/>
      <c r="T177" s="135">
        <f t="shared" ref="T177:AC177" si="403">T171/T62</f>
        <v>-1.9122558962264113</v>
      </c>
      <c r="U177" s="135">
        <f t="shared" si="403"/>
        <v>-1.9540864939563671</v>
      </c>
      <c r="V177" s="135">
        <f t="shared" si="403"/>
        <v>-1.9968321360116625</v>
      </c>
      <c r="W177" s="135">
        <f t="shared" si="403"/>
        <v>-2.0405128389869187</v>
      </c>
      <c r="X177" s="135">
        <f t="shared" si="403"/>
        <v>-2.0851490573397573</v>
      </c>
      <c r="Y177" s="135">
        <f t="shared" si="403"/>
        <v>-2.1307616929690663</v>
      </c>
      <c r="Z177" s="135">
        <f t="shared" si="403"/>
        <v>-2.1773721050027621</v>
      </c>
      <c r="AA177" s="135">
        <f t="shared" si="403"/>
        <v>-2.2250021197996945</v>
      </c>
      <c r="AB177" s="135">
        <f t="shared" si="403"/>
        <v>-2.2736740411703131</v>
      </c>
      <c r="AC177" s="135">
        <f t="shared" si="403"/>
        <v>-2.3234106608209122</v>
      </c>
      <c r="AD177" s="138" t="e">
        <f t="shared" ref="AD177" si="404">((AC177/G177)^(1/($AC$3-$H$1) ))-1</f>
        <v>#DIV/0!</v>
      </c>
      <c r="AE177" s="31">
        <v>0.08</v>
      </c>
      <c r="AF177" s="127" t="e">
        <f t="shared" si="381"/>
        <v>#DIV/0!</v>
      </c>
    </row>
    <row r="178" spans="2:46" x14ac:dyDescent="0.2">
      <c r="B178" s="20" t="s">
        <v>371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 t="e">
        <f t="shared" si="405"/>
        <v>#DIV/0!</v>
      </c>
      <c r="H178" s="161" t="e">
        <f t="shared" si="405"/>
        <v>#DIV/0!</v>
      </c>
      <c r="I178" s="161" t="e">
        <f t="shared" si="405"/>
        <v>#DIV/0!</v>
      </c>
      <c r="J178" s="161" t="e">
        <f t="shared" si="405"/>
        <v>#DIV/0!</v>
      </c>
      <c r="K178" s="161">
        <f t="shared" si="405"/>
        <v>1.3959630258441804</v>
      </c>
      <c r="L178" s="161">
        <f t="shared" si="405"/>
        <v>-0.15091492171288434</v>
      </c>
      <c r="M178" s="161">
        <f t="shared" si="405"/>
        <v>0.33071183706392415</v>
      </c>
      <c r="N178" s="161">
        <f t="shared" si="405"/>
        <v>8.803370433251588E-2</v>
      </c>
      <c r="O178" s="161">
        <f t="shared" si="405"/>
        <v>6.3411540900443888E-2</v>
      </c>
      <c r="P178" s="161">
        <f t="shared" si="405"/>
        <v>0.40330711837063926</v>
      </c>
      <c r="Q178" s="161">
        <f t="shared" ref="Q178" si="406">Q54/Q171</f>
        <v>0.35087719298245618</v>
      </c>
      <c r="R178" s="118" t="e">
        <f t="shared" si="402"/>
        <v>#DIV/0!</v>
      </c>
      <c r="S178" s="128"/>
      <c r="T178" s="161">
        <f t="shared" ref="T178:AC178" si="407">T54/T171</f>
        <v>0.39467363265628297</v>
      </c>
      <c r="U178" s="161">
        <f t="shared" si="407"/>
        <v>0.38622496162082731</v>
      </c>
      <c r="V178" s="161">
        <f t="shared" si="407"/>
        <v>0.37795714898674238</v>
      </c>
      <c r="W178" s="161">
        <f t="shared" si="407"/>
        <v>0.36986632316745427</v>
      </c>
      <c r="X178" s="161">
        <f t="shared" si="407"/>
        <v>0.3619486954543894</v>
      </c>
      <c r="Y178" s="161">
        <f t="shared" si="407"/>
        <v>0.35420055824282759</v>
      </c>
      <c r="Z178" s="161">
        <f t="shared" si="407"/>
        <v>0.34661828329573341</v>
      </c>
      <c r="AA178" s="161">
        <f t="shared" si="407"/>
        <v>0.33919832004475448</v>
      </c>
      <c r="AB178" s="161">
        <f t="shared" si="407"/>
        <v>0.33193719392758853</v>
      </c>
      <c r="AC178" s="161">
        <f t="shared" si="407"/>
        <v>0.32483150476094286</v>
      </c>
      <c r="AD178" s="138" t="e">
        <f t="shared" ref="AD178:AD180" si="408">((AC178/G178)^(1/($AC$3-$H$1) ))-1</f>
        <v>#DIV/0!</v>
      </c>
      <c r="AE178" s="31">
        <v>0.08</v>
      </c>
      <c r="AF178" s="127" t="e">
        <f t="shared" si="381"/>
        <v>#DIV/0!</v>
      </c>
    </row>
    <row r="179" spans="2:46" x14ac:dyDescent="0.2">
      <c r="B179" s="20" t="s">
        <v>320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 t="e">
        <f t="shared" si="409"/>
        <v>#DIV/0!</v>
      </c>
      <c r="H179" s="152" t="e">
        <f t="shared" si="409"/>
        <v>#DIV/0!</v>
      </c>
      <c r="I179" s="152" t="e">
        <f t="shared" si="409"/>
        <v>#DIV/0!</v>
      </c>
      <c r="J179" s="152" t="e">
        <f t="shared" si="409"/>
        <v>#DIV/0!</v>
      </c>
      <c r="K179" s="152">
        <f t="shared" si="409"/>
        <v>0.12903225806451613</v>
      </c>
      <c r="L179" s="152">
        <f t="shared" si="409"/>
        <v>0</v>
      </c>
      <c r="M179" s="152">
        <f t="shared" si="409"/>
        <v>2.7586206896551724E-2</v>
      </c>
      <c r="N179" s="152">
        <f t="shared" si="409"/>
        <v>2.1505376344086023E-2</v>
      </c>
      <c r="O179" s="152">
        <f t="shared" si="409"/>
        <v>1.2048192771084338E-2</v>
      </c>
      <c r="P179" s="152">
        <f t="shared" si="409"/>
        <v>4.5977011494252873E-2</v>
      </c>
      <c r="Q179" s="152">
        <f t="shared" ref="Q179" si="410">Q44/Q171</f>
        <v>0.1</v>
      </c>
      <c r="R179" s="118" t="e">
        <f t="shared" si="402"/>
        <v>#DIV/0!</v>
      </c>
      <c r="S179" s="128"/>
      <c r="T179" s="152">
        <f t="shared" ref="T179:AC179" si="411">T44/T171</f>
        <v>0.11072445428661815</v>
      </c>
      <c r="U179" s="152">
        <f t="shared" si="411"/>
        <v>0.10666117156050371</v>
      </c>
      <c r="V179" s="152">
        <f t="shared" si="411"/>
        <v>0.10274700012709072</v>
      </c>
      <c r="W179" s="152">
        <f t="shared" si="411"/>
        <v>9.8976468012335089E-2</v>
      </c>
      <c r="X179" s="152">
        <f t="shared" si="411"/>
        <v>9.5344304048579673E-2</v>
      </c>
      <c r="Y179" s="152">
        <f t="shared" si="411"/>
        <v>9.1845430505512526E-2</v>
      </c>
      <c r="Z179" s="152">
        <f t="shared" si="411"/>
        <v>8.8474955991548768E-2</v>
      </c>
      <c r="AA179" s="152">
        <f t="shared" si="411"/>
        <v>8.5228168615712113E-2</v>
      </c>
      <c r="AB179" s="152">
        <f t="shared" si="411"/>
        <v>8.2100529400456632E-2</v>
      </c>
      <c r="AC179" s="152">
        <f t="shared" si="411"/>
        <v>7.9087665936219673E-2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447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0</v>
      </c>
      <c r="H180" s="181">
        <f t="shared" si="412"/>
        <v>0</v>
      </c>
      <c r="I180" s="181">
        <f t="shared" si="412"/>
        <v>0</v>
      </c>
      <c r="J180" s="181">
        <f t="shared" si="412"/>
        <v>0</v>
      </c>
      <c r="K180" s="181">
        <f t="shared" si="412"/>
        <v>5.969594594594594E-2</v>
      </c>
      <c r="L180" s="181">
        <f t="shared" si="412"/>
        <v>-0.55218750000000005</v>
      </c>
      <c r="M180" s="181">
        <f t="shared" si="412"/>
        <v>0.2519817073170732</v>
      </c>
      <c r="N180" s="181">
        <f t="shared" si="412"/>
        <v>0.94660714285714287</v>
      </c>
      <c r="O180" s="181">
        <f t="shared" si="412"/>
        <v>1.3141666666666667</v>
      </c>
      <c r="P180" s="181">
        <f>(P173)/($L$2*100)</f>
        <v>0.20662499999999998</v>
      </c>
      <c r="Q180" s="181">
        <f>(Q173)/($L$2*100)</f>
        <v>0.23749999999999996</v>
      </c>
      <c r="R180" s="118" t="e">
        <f t="shared" si="402"/>
        <v>#DIV/0!</v>
      </c>
      <c r="S180" s="128"/>
      <c r="T180" s="181">
        <f>(T173)/($L$2*100)</f>
        <v>0.21114492187500003</v>
      </c>
      <c r="U180" s="181">
        <f t="shared" ref="U180:AC180" si="413">(U173)/($L$2*100)</f>
        <v>0.21576371704101571</v>
      </c>
      <c r="V180" s="181">
        <f t="shared" si="413"/>
        <v>0.22048354835128792</v>
      </c>
      <c r="W180" s="181">
        <f t="shared" si="413"/>
        <v>0.22530662597147236</v>
      </c>
      <c r="X180" s="181">
        <f t="shared" si="413"/>
        <v>0.23023520841459835</v>
      </c>
      <c r="Y180" s="181">
        <f t="shared" si="413"/>
        <v>0.23527160359866769</v>
      </c>
      <c r="Z180" s="181">
        <f t="shared" si="413"/>
        <v>0.24041816992738851</v>
      </c>
      <c r="AA180" s="181">
        <f t="shared" si="413"/>
        <v>0.24567731739455012</v>
      </c>
      <c r="AB180" s="181">
        <f t="shared" si="413"/>
        <v>0.25105150871255588</v>
      </c>
      <c r="AC180" s="181">
        <f t="shared" si="413"/>
        <v>0.25654326046564307</v>
      </c>
      <c r="AD180" s="138" t="e">
        <f t="shared" si="408"/>
        <v>#DIV/0!</v>
      </c>
      <c r="AE180" s="31">
        <v>0.08</v>
      </c>
      <c r="AF180" s="181" t="e">
        <f>(AF173)/($L$2*100)</f>
        <v>#DIV/0!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4">G180-1</f>
        <v>-1</v>
      </c>
      <c r="H181" s="152">
        <f t="shared" si="414"/>
        <v>-1</v>
      </c>
      <c r="I181" s="152">
        <f t="shared" si="414"/>
        <v>-1</v>
      </c>
      <c r="J181" s="152">
        <f t="shared" si="414"/>
        <v>-1</v>
      </c>
      <c r="K181" s="152">
        <f t="shared" si="414"/>
        <v>-0.94030405405405404</v>
      </c>
      <c r="L181" s="152">
        <f t="shared" si="414"/>
        <v>-1.5521875000000001</v>
      </c>
      <c r="M181" s="152">
        <f t="shared" si="414"/>
        <v>-0.74801829268292686</v>
      </c>
      <c r="N181" s="152">
        <f t="shared" si="414"/>
        <v>-5.3392857142857131E-2</v>
      </c>
      <c r="O181" s="152">
        <f t="shared" si="414"/>
        <v>0.31416666666666671</v>
      </c>
      <c r="P181" s="152">
        <f t="shared" si="414"/>
        <v>-0.79337500000000005</v>
      </c>
      <c r="Q181" s="152">
        <f>Q180-1</f>
        <v>-0.76250000000000007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8" t="s">
        <v>351</v>
      </c>
      <c r="L183" s="209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5.2331506349690783E-2</v>
      </c>
      <c r="Q184" s="128">
        <f>(Q171-T159)/Q171</f>
        <v>0.22036462672724952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2.2212692854759091</v>
      </c>
      <c r="N185" s="20"/>
      <c r="O185" s="20"/>
      <c r="P185" s="128">
        <f>(Q171-S150)/Q171</f>
        <v>2.0625042783640408</v>
      </c>
      <c r="Q185" s="128">
        <f>(Q171-T150)/Q171</f>
        <v>1.1480538748540057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-5.0295370383558868</v>
      </c>
      <c r="N186" s="20"/>
      <c r="O186" s="20"/>
      <c r="P186" s="128">
        <f>(Q171-S143)/Q171</f>
        <v>-4.2456972233696213</v>
      </c>
      <c r="Q186" s="128">
        <f>(Q171-T143)/Q171</f>
        <v>0.2690421901862004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-0.40128129194668638</v>
      </c>
      <c r="N187" s="20"/>
      <c r="O187" s="20"/>
      <c r="P187" s="128">
        <f>(Q171-S156)/Q171</f>
        <v>-0.21911472399361714</v>
      </c>
      <c r="Q187" s="128">
        <f>(Q171-T156)/Q171</f>
        <v>0.83012335813203686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1</v>
      </c>
      <c r="N188" s="20"/>
      <c r="O188" s="20"/>
      <c r="P188" s="128">
        <f>(Q171-S168)/Q171</f>
        <v>1</v>
      </c>
      <c r="Q188" s="128">
        <f>(Q171-T168)/Q171</f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1.2470538020233974</v>
      </c>
      <c r="Q189" s="25">
        <f>Q171/T142</f>
        <v>8.9494449321679141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0.8018900214068212</v>
      </c>
      <c r="Q190" s="152">
        <f>1/Q189</f>
        <v>0.11173877347472096</v>
      </c>
      <c r="R190" s="20"/>
      <c r="S190" s="20"/>
      <c r="T190" s="129">
        <f>Q171-T191</f>
        <v>82.603713571117879</v>
      </c>
      <c r="U190" s="185">
        <f>T190-U191</f>
        <v>64.337612820791648</v>
      </c>
      <c r="V190" s="185">
        <f t="shared" ref="V190:X190" si="415">U190-V191</f>
        <v>45.1582070329491</v>
      </c>
      <c r="W190" s="185">
        <f t="shared" si="415"/>
        <v>25.019830955714426</v>
      </c>
      <c r="X190" s="185">
        <f t="shared" si="415"/>
        <v>3.8745360746180175</v>
      </c>
      <c r="Y190" s="185">
        <f>X190-Y191</f>
        <v>-18.328023550533214</v>
      </c>
      <c r="Z190" s="185">
        <f t="shared" ref="Z190:AC190" si="416">Y190-Z191</f>
        <v>-41.640711156942004</v>
      </c>
      <c r="AA190" s="185">
        <f t="shared" si="416"/>
        <v>-66.119033143671231</v>
      </c>
      <c r="AB190" s="185">
        <f t="shared" si="416"/>
        <v>-91.821271229736936</v>
      </c>
      <c r="AC190" s="185">
        <f t="shared" si="416"/>
        <v>-118.80862122010592</v>
      </c>
      <c r="AD190" s="185">
        <f t="shared" ref="AD190" si="417">AC190-AD191</f>
        <v>-147.14533870999335</v>
      </c>
      <c r="AE190" s="185">
        <f t="shared" ref="AE190" si="418">AD190-AE191</f>
        <v>-176.89889207437517</v>
      </c>
      <c r="AF190" s="185">
        <f t="shared" ref="AF190" si="419">AE190-AF191</f>
        <v>-208.14012310697606</v>
      </c>
      <c r="AG190" s="185">
        <f t="shared" ref="AG190" si="420">AF190-AG191</f>
        <v>-240.94341569120701</v>
      </c>
      <c r="AH190" s="185">
        <f t="shared" ref="AH190" si="421">AG190-AH191</f>
        <v>-275.38687290464952</v>
      </c>
      <c r="AI190" s="185">
        <f t="shared" ref="AI190" si="422">AH190-AI191</f>
        <v>-311.55250297876415</v>
      </c>
      <c r="AJ190" s="185">
        <f t="shared" ref="AJ190" si="423">AI190-AJ191</f>
        <v>-349.52641455658448</v>
      </c>
      <c r="AK190" s="185">
        <f t="shared" ref="AK190" si="424">AJ190-AK191</f>
        <v>-389.39902171329584</v>
      </c>
      <c r="AL190" s="185">
        <f t="shared" ref="AL190" si="425">AK190-AL191</f>
        <v>-431.26525922784276</v>
      </c>
      <c r="AM190" s="185">
        <f t="shared" ref="AM190" si="426">AL190-AM191</f>
        <v>-475.22480861811704</v>
      </c>
      <c r="AN190" s="185">
        <f t="shared" ref="AN190" si="427">AM190-AN191</f>
        <v>-521.38233547790503</v>
      </c>
      <c r="AO190" s="185">
        <f t="shared" ref="AO190" si="428">AN190-AO191</f>
        <v>-569.84773868068248</v>
      </c>
      <c r="AP190" s="185">
        <f t="shared" ref="AP190" si="429">AO190-AP191</f>
        <v>-620.73641204359876</v>
      </c>
      <c r="AQ190" s="185">
        <f t="shared" ref="AQ190" si="430">AP190-AQ191</f>
        <v>-674.16951907466091</v>
      </c>
      <c r="AR190" s="185">
        <f t="shared" ref="AR190" si="431">AQ190-AR191</f>
        <v>-730.27428145727617</v>
      </c>
      <c r="AS190" s="185">
        <f t="shared" ref="AS190" si="432">AR190-AS191</f>
        <v>-789.1842819590222</v>
      </c>
      <c r="AT190" s="185">
        <f t="shared" ref="AT190" si="433">AS190-AT191</f>
        <v>-851.03978248585543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6.0357709347481254</v>
      </c>
      <c r="Q191" s="181" t="e">
        <f>Q171/S141</f>
        <v>#DIV/0!</v>
      </c>
      <c r="R191" s="20"/>
      <c r="S191" s="20"/>
      <c r="T191" s="186">
        <f>R141*(1+$K$191)</f>
        <v>17.396286428882128</v>
      </c>
      <c r="U191" s="186">
        <f>T191*(1+$K$191)</f>
        <v>18.266100750326235</v>
      </c>
      <c r="V191" s="186">
        <f t="shared" ref="V191:AC191" si="434">U191*(1+$K$191)</f>
        <v>19.179405787842548</v>
      </c>
      <c r="W191" s="186">
        <f t="shared" si="434"/>
        <v>20.138376077234675</v>
      </c>
      <c r="X191" s="186">
        <f t="shared" si="434"/>
        <v>21.145294881096408</v>
      </c>
      <c r="Y191" s="186">
        <f t="shared" si="434"/>
        <v>22.202559625151231</v>
      </c>
      <c r="Z191" s="186">
        <f t="shared" si="434"/>
        <v>23.312687606408794</v>
      </c>
      <c r="AA191" s="186">
        <f t="shared" si="434"/>
        <v>24.478321986729235</v>
      </c>
      <c r="AB191" s="186">
        <f t="shared" si="434"/>
        <v>25.702238086065698</v>
      </c>
      <c r="AC191" s="186">
        <f t="shared" si="434"/>
        <v>26.987349990368983</v>
      </c>
      <c r="AD191" s="186">
        <f t="shared" ref="AD191" si="435">AC191*(1+$K$191)</f>
        <v>28.336717489887434</v>
      </c>
      <c r="AE191" s="186">
        <f t="shared" ref="AE191" si="436">AD191*(1+$K$191)</f>
        <v>29.753553364381808</v>
      </c>
      <c r="AF191" s="186">
        <f t="shared" ref="AF191" si="437">AE191*(1+$K$191)</f>
        <v>31.241231032600901</v>
      </c>
      <c r="AG191" s="186">
        <f t="shared" ref="AG191" si="438">AF191*(1+$K$191)</f>
        <v>32.803292584230945</v>
      </c>
      <c r="AH191" s="186">
        <f t="shared" ref="AH191" si="439">AG191*(1+$K$191)</f>
        <v>34.443457213442493</v>
      </c>
      <c r="AI191" s="186">
        <f t="shared" ref="AI191" si="440">AH191*(1+$K$191)</f>
        <v>36.165630074114617</v>
      </c>
      <c r="AJ191" s="186">
        <f t="shared" ref="AJ191" si="441">AI191*(1+$K$191)</f>
        <v>37.973911577820353</v>
      </c>
      <c r="AK191" s="186">
        <f t="shared" ref="AK191" si="442">AJ191*(1+$K$191)</f>
        <v>39.872607156711375</v>
      </c>
      <c r="AL191" s="186">
        <f t="shared" ref="AL191" si="443">AK191*(1+$K$191)</f>
        <v>41.866237514546945</v>
      </c>
      <c r="AM191" s="186">
        <f t="shared" ref="AM191" si="444">AL191*(1+$K$191)</f>
        <v>43.959549390274297</v>
      </c>
      <c r="AN191" s="186">
        <f t="shared" ref="AN191" si="445">AM191*(1+$K$191)</f>
        <v>46.157526859788014</v>
      </c>
      <c r="AO191" s="186">
        <f t="shared" ref="AO191" si="446">AN191*(1+$K$191)</f>
        <v>48.465403202777416</v>
      </c>
      <c r="AP191" s="186">
        <f t="shared" ref="AP191" si="447">AO191*(1+$K$191)</f>
        <v>50.888673362916286</v>
      </c>
      <c r="AQ191" s="186">
        <f t="shared" ref="AQ191" si="448">AP191*(1+$K$191)</f>
        <v>53.4331070310621</v>
      </c>
      <c r="AR191" s="186">
        <f t="shared" ref="AR191" si="449">AQ191*(1+$K$191)</f>
        <v>56.104762382615206</v>
      </c>
      <c r="AS191" s="186">
        <f t="shared" ref="AS191" si="450">AR191*(1+$K$191)</f>
        <v>58.910000501745969</v>
      </c>
      <c r="AT191" s="186">
        <f t="shared" ref="AT191" si="451">AS191*(1+$K$191)</f>
        <v>61.855500526833268</v>
      </c>
    </row>
    <row r="192" spans="2:46" x14ac:dyDescent="0.2">
      <c r="B192" s="20" t="s">
        <v>396</v>
      </c>
      <c r="C192" s="20"/>
      <c r="D192" s="20"/>
      <c r="E192" s="20"/>
      <c r="F192" s="20"/>
      <c r="G192" s="191">
        <v>0</v>
      </c>
      <c r="H192" s="192">
        <f>Q173</f>
        <v>2.8499999999999996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Q171/P54</f>
        <v>2.8499999999999996</v>
      </c>
      <c r="Q192" s="181">
        <f>Q171/Q54</f>
        <v>2.8499999999999996</v>
      </c>
      <c r="R192" s="20"/>
      <c r="S192" s="20"/>
      <c r="T192" s="186">
        <f>Q54*(1+$K$192)</f>
        <v>36.842105263157897</v>
      </c>
      <c r="U192" s="186">
        <f>T192*(1+$K$192)</f>
        <v>38.684210526315795</v>
      </c>
      <c r="V192" s="186">
        <f t="shared" ref="V192:AC192" si="452">U192*(1+$K$192)</f>
        <v>40.618421052631589</v>
      </c>
      <c r="W192" s="186">
        <f t="shared" si="452"/>
        <v>42.649342105263173</v>
      </c>
      <c r="X192" s="186">
        <f t="shared" si="452"/>
        <v>44.781809210526333</v>
      </c>
      <c r="Y192" s="186">
        <f t="shared" si="452"/>
        <v>47.020899671052653</v>
      </c>
      <c r="Z192" s="186">
        <f t="shared" si="452"/>
        <v>49.371944654605286</v>
      </c>
      <c r="AA192" s="186">
        <f t="shared" si="452"/>
        <v>51.840541887335554</v>
      </c>
      <c r="AB192" s="186">
        <f t="shared" si="452"/>
        <v>54.432568981702332</v>
      </c>
      <c r="AC192" s="186">
        <f t="shared" si="452"/>
        <v>57.154197430787448</v>
      </c>
      <c r="AD192" s="186">
        <f t="shared" ref="AD192" si="453">AC192*(1+$K$192)</f>
        <v>60.011907302326826</v>
      </c>
      <c r="AE192" s="186">
        <f t="shared" ref="AE192" si="454">AD192*(1+$K$192)</f>
        <v>63.012502667443172</v>
      </c>
      <c r="AF192" s="186">
        <f t="shared" ref="AF192" si="455">AE192*(1+$K$192)</f>
        <v>66.163127800815332</v>
      </c>
      <c r="AG192" s="186">
        <f t="shared" ref="AG192" si="456">AF192*(1+$K$192)</f>
        <v>69.471284190856096</v>
      </c>
      <c r="AH192" s="186">
        <f t="shared" ref="AH192" si="457">AG192*(1+$K$192)</f>
        <v>72.944848400398911</v>
      </c>
      <c r="AI192" s="186">
        <f t="shared" ref="AI192" si="458">AH192*(1+$K$192)</f>
        <v>76.592090820418861</v>
      </c>
      <c r="AJ192" s="186">
        <f t="shared" ref="AJ192" si="459">AI192*(1+$K$192)</f>
        <v>80.421695361439802</v>
      </c>
      <c r="AK192" s="186">
        <f t="shared" ref="AK192" si="460">AJ192*(1+$K$192)</f>
        <v>84.442780129511803</v>
      </c>
      <c r="AL192" s="186">
        <f t="shared" ref="AL192" si="461">AK192*(1+$K$192)</f>
        <v>88.664919135987404</v>
      </c>
      <c r="AM192" s="186">
        <f t="shared" ref="AM192" si="462">AL192*(1+$K$192)</f>
        <v>93.098165092786772</v>
      </c>
      <c r="AN192" s="186">
        <f t="shared" ref="AN192" si="463">AM192*(1+$K$192)</f>
        <v>97.75307334742611</v>
      </c>
      <c r="AO192" s="186">
        <f t="shared" ref="AO192" si="464">AN192*(1+$K$192)</f>
        <v>102.64072701479742</v>
      </c>
      <c r="AP192" s="186">
        <f t="shared" ref="AP192" si="465">AO192*(1+$K$192)</f>
        <v>107.7727633655373</v>
      </c>
      <c r="AQ192" s="186">
        <f t="shared" ref="AQ192" si="466">AP192*(1+$K$192)</f>
        <v>113.16140153381417</v>
      </c>
      <c r="AR192" s="186">
        <f t="shared" ref="AR192" si="467">AQ192*(1+$K$192)</f>
        <v>118.81947161050489</v>
      </c>
      <c r="AS192" s="186">
        <f t="shared" ref="AS192" si="468">AR192*(1+$K$192)</f>
        <v>124.76044519103014</v>
      </c>
      <c r="AT192" s="186">
        <f t="shared" ref="AT192" si="469">AS192*(1+$K$192)</f>
        <v>130.99846745058164</v>
      </c>
    </row>
    <row r="193" spans="2:46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29">
        <f>Q171-T192</f>
        <v>63.157894736842103</v>
      </c>
      <c r="U193" s="185">
        <f>T193-U192</f>
        <v>24.473684210526308</v>
      </c>
      <c r="V193" s="185">
        <f t="shared" ref="V193:AA193" si="470">U193-V192</f>
        <v>-16.144736842105281</v>
      </c>
      <c r="W193" s="185">
        <f t="shared" si="470"/>
        <v>-58.794078947368455</v>
      </c>
      <c r="X193" s="185">
        <f t="shared" si="470"/>
        <v>-103.57588815789478</v>
      </c>
      <c r="Y193" s="185">
        <f t="shared" si="470"/>
        <v>-150.59678782894744</v>
      </c>
      <c r="Z193" s="185">
        <f t="shared" si="470"/>
        <v>-199.96873248355274</v>
      </c>
      <c r="AA193" s="185">
        <f t="shared" si="470"/>
        <v>-251.80927437088829</v>
      </c>
      <c r="AB193" s="185">
        <f>AA193-AB192</f>
        <v>-306.24184335259065</v>
      </c>
      <c r="AC193" s="185">
        <f t="shared" ref="AC193" si="471">AB193-AC192</f>
        <v>-363.39604078337811</v>
      </c>
      <c r="AD193" s="185">
        <f t="shared" ref="AD193" si="472">AC193-AD192</f>
        <v>-423.40794808570496</v>
      </c>
      <c r="AE193" s="185">
        <f t="shared" ref="AE193" si="473">AD193-AE192</f>
        <v>-486.42045075314815</v>
      </c>
      <c r="AF193" s="185">
        <f t="shared" ref="AF193" si="474">AE193-AF192</f>
        <v>-552.58357855396343</v>
      </c>
      <c r="AG193" s="185">
        <f t="shared" ref="AG193" si="475">AF193-AG192</f>
        <v>-622.0548627448195</v>
      </c>
      <c r="AH193" s="185">
        <f t="shared" ref="AH193" si="476">AG193-AH192</f>
        <v>-694.99971114521838</v>
      </c>
      <c r="AI193" s="185">
        <f t="shared" ref="AI193" si="477">AH193-AI192</f>
        <v>-771.59180196563727</v>
      </c>
      <c r="AJ193" s="185">
        <f t="shared" ref="AJ193" si="478">AI193-AJ192</f>
        <v>-852.01349732707706</v>
      </c>
      <c r="AK193" s="185">
        <f t="shared" ref="AK193" si="479">AJ193-AK192</f>
        <v>-936.45627745658885</v>
      </c>
      <c r="AL193" s="185">
        <f t="shared" ref="AL193" si="480">AK193-AL192</f>
        <v>-1025.1211965925763</v>
      </c>
      <c r="AM193" s="185">
        <f t="shared" ref="AM193" si="481">AL193-AM192</f>
        <v>-1118.2193616853631</v>
      </c>
      <c r="AN193" s="185">
        <f t="shared" ref="AN193" si="482">AM193-AN192</f>
        <v>-1215.9724350327892</v>
      </c>
      <c r="AO193" s="185">
        <f t="shared" ref="AO193" si="483">AN193-AO192</f>
        <v>-1318.6131620475867</v>
      </c>
      <c r="AP193" s="185">
        <f t="shared" ref="AP193" si="484">AO193-AP192</f>
        <v>-1426.3859254131239</v>
      </c>
      <c r="AQ193" s="185">
        <f t="shared" ref="AQ193" si="485">AP193-AQ192</f>
        <v>-1539.547326946938</v>
      </c>
      <c r="AR193" s="185">
        <f t="shared" ref="AR193" si="486">AQ193-AR192</f>
        <v>-1658.366798557443</v>
      </c>
      <c r="AS193" s="185">
        <f t="shared" ref="AS193" si="487">AR193-AS192</f>
        <v>-1783.1272437484731</v>
      </c>
      <c r="AT193" s="185">
        <f t="shared" ref="AT193" si="488">AS193-AT192</f>
        <v>-1914.1257111990549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0.75320512820512819</v>
      </c>
      <c r="H195" s="25">
        <f t="shared" si="489"/>
        <v>0.7142857142857143</v>
      </c>
      <c r="I195" s="25">
        <f t="shared" si="489"/>
        <v>1.1914285714285715</v>
      </c>
      <c r="J195" s="25">
        <f t="shared" si="489"/>
        <v>0.99735449735449733</v>
      </c>
      <c r="K195" s="25">
        <f t="shared" si="489"/>
        <v>0.64327485380116955</v>
      </c>
      <c r="L195" s="25">
        <f t="shared" si="489"/>
        <v>0.94467213114754101</v>
      </c>
      <c r="M195" s="25">
        <f t="shared" si="489"/>
        <v>0.70634920634920639</v>
      </c>
      <c r="N195" s="25">
        <f t="shared" si="489"/>
        <v>1.6079632465543645</v>
      </c>
      <c r="O195" s="25">
        <f t="shared" si="489"/>
        <v>1.6150442477876106</v>
      </c>
      <c r="P195" s="25">
        <f t="shared" si="489"/>
        <v>1.0547770700636943</v>
      </c>
      <c r="Q195" s="25">
        <f t="shared" ref="Q195" si="490">Q10/Q7</f>
        <v>1.0547770700636943</v>
      </c>
      <c r="R195" s="118">
        <f t="shared" ref="R195:R197" si="491">((P195/G195)^(1/($H$2-$H$1) ))-1</f>
        <v>3.8125149697563643E-2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11.75</v>
      </c>
      <c r="H196" s="112">
        <f t="shared" ref="H196:P196" si="492">H10/H12</f>
        <v>15</v>
      </c>
      <c r="I196" s="112">
        <f t="shared" si="492"/>
        <v>10.973684210526315</v>
      </c>
      <c r="J196" s="112">
        <f t="shared" si="492"/>
        <v>9.4250000000000007</v>
      </c>
      <c r="K196" s="112">
        <f t="shared" si="492"/>
        <v>7.8571428571428568</v>
      </c>
      <c r="L196" s="112">
        <f t="shared" si="492"/>
        <v>3.414814814814815</v>
      </c>
      <c r="M196" s="112">
        <f t="shared" si="492"/>
        <v>3.1785714285714284</v>
      </c>
      <c r="N196" s="112">
        <f t="shared" si="492"/>
        <v>21.428571428571427</v>
      </c>
      <c r="O196" s="112">
        <f t="shared" si="492"/>
        <v>30.416666666666668</v>
      </c>
      <c r="P196" s="112">
        <f t="shared" si="492"/>
        <v>7.3928571428571432</v>
      </c>
      <c r="Q196" s="112">
        <f t="shared" ref="Q196" si="493">Q10/Q12</f>
        <v>7.3928571428571432</v>
      </c>
      <c r="R196" s="118">
        <f t="shared" si="491"/>
        <v>-5.0179354468600779E-2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2.0346320346320348</v>
      </c>
      <c r="H197" s="25">
        <f t="shared" ref="H197:P197" si="494">H10/(H12+H13)</f>
        <v>2.0361990950226243</v>
      </c>
      <c r="I197" s="25">
        <f t="shared" si="494"/>
        <v>2.5120481927710845</v>
      </c>
      <c r="J197" s="25">
        <f t="shared" si="494"/>
        <v>2.2440476190476191</v>
      </c>
      <c r="K197" s="25">
        <f t="shared" si="494"/>
        <v>6.3461538461538458</v>
      </c>
      <c r="L197" s="25">
        <f t="shared" si="494"/>
        <v>2.5898876404494384</v>
      </c>
      <c r="M197" s="25">
        <f t="shared" si="494"/>
        <v>2.4316939890710381</v>
      </c>
      <c r="N197" s="25">
        <f t="shared" si="494"/>
        <v>11.413043478260869</v>
      </c>
      <c r="O197" s="25">
        <f t="shared" si="494"/>
        <v>16.343283582089551</v>
      </c>
      <c r="P197" s="25">
        <f t="shared" si="494"/>
        <v>7.36</v>
      </c>
      <c r="Q197" s="25">
        <f t="shared" ref="Q197" si="495">Q10/(Q12+Q13)</f>
        <v>7.36</v>
      </c>
      <c r="R197" s="118">
        <f t="shared" si="491"/>
        <v>0.15356892507776942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5" t="s">
        <v>337</v>
      </c>
      <c r="M200" s="206"/>
      <c r="N200" s="207"/>
      <c r="O200" s="23" t="s">
        <v>340</v>
      </c>
      <c r="P200" s="20"/>
      <c r="Q200" s="137"/>
      <c r="R200" s="205" t="s">
        <v>338</v>
      </c>
      <c r="S200" s="206"/>
      <c r="T200" s="207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35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35</v>
      </c>
      <c r="O202" s="173">
        <f>N202</f>
        <v>35</v>
      </c>
      <c r="P202" s="20"/>
      <c r="Q202" s="20"/>
      <c r="R202" s="167" t="s">
        <v>341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35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35</v>
      </c>
      <c r="O204" s="173">
        <f>N204</f>
        <v>35</v>
      </c>
      <c r="P204" s="20"/>
      <c r="Q204" s="20"/>
      <c r="R204" s="167" t="s">
        <v>344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135</v>
      </c>
      <c r="O205" s="21">
        <v>595</v>
      </c>
      <c r="P205" s="20"/>
      <c r="Q205" s="20"/>
      <c r="R205" s="167" t="s">
        <v>345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135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135</v>
      </c>
      <c r="O206" s="168">
        <f>O205*O203</f>
        <v>595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135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3.8571428571428572</v>
      </c>
      <c r="O209" s="170">
        <f>O206/O204</f>
        <v>17</v>
      </c>
      <c r="P209" s="20"/>
      <c r="Q209" s="20"/>
      <c r="R209" s="169" t="s">
        <v>347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3.8571428571428572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8" t="s">
        <v>27</v>
      </c>
      <c r="E213" s="199"/>
      <c r="F213" s="199"/>
      <c r="G213" s="200"/>
      <c r="H213" s="20"/>
      <c r="I213" s="198" t="s">
        <v>393</v>
      </c>
      <c r="J213" s="199"/>
      <c r="K213" s="20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35</v>
      </c>
      <c r="H214" s="20"/>
      <c r="I214" s="20" t="s">
        <v>28</v>
      </c>
      <c r="J214" s="127"/>
      <c r="K214" s="21">
        <f>G214</f>
        <v>35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135</v>
      </c>
      <c r="H215" s="20"/>
      <c r="I215" s="20" t="s">
        <v>29</v>
      </c>
      <c r="J215" s="20"/>
      <c r="K215" s="21">
        <f>G215</f>
        <v>135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0.14452839686729546</v>
      </c>
      <c r="H217" s="20"/>
      <c r="I217" s="23" t="s">
        <v>394</v>
      </c>
      <c r="J217" s="23"/>
      <c r="K217" s="197">
        <f>(K215-K214)/K214</f>
        <v>2.8571428571428572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395</v>
      </c>
      <c r="J218" s="23"/>
      <c r="K218" s="23">
        <f>K215/K214</f>
        <v>3.8571428571428572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0.14452839686729546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6" t="s">
        <v>432</v>
      </c>
      <c r="C3" s="217"/>
      <c r="F3" s="216" t="s">
        <v>433</v>
      </c>
      <c r="G3" s="217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2014-07-19T06:43:55Z</dcterms:modified>
</cp:coreProperties>
</file>
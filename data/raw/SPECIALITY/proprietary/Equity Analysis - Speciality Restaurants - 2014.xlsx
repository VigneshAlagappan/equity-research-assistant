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H193" i="18" l="1"/>
  <c r="Q42" i="18"/>
  <c r="Q40" i="18"/>
  <c r="Q38" i="18"/>
  <c r="Q32" i="18"/>
  <c r="Q33" i="18"/>
  <c r="Q34" i="18"/>
  <c r="Q35" i="18"/>
  <c r="Q36" i="18"/>
  <c r="Q31" i="18"/>
  <c r="Q29" i="18"/>
  <c r="Q27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12" i="18"/>
  <c r="Q10" i="18"/>
  <c r="Q9" i="18"/>
  <c r="Q7" i="18"/>
  <c r="Q6" i="18"/>
  <c r="G45" i="18"/>
  <c r="G46" i="18"/>
  <c r="G47" i="18"/>
  <c r="G44" i="18"/>
  <c r="G42" i="18"/>
  <c r="G40" i="18"/>
  <c r="G38" i="18"/>
  <c r="G32" i="18"/>
  <c r="G33" i="18"/>
  <c r="G34" i="18"/>
  <c r="G35" i="18"/>
  <c r="G36" i="18"/>
  <c r="G31" i="18"/>
  <c r="G29" i="18"/>
  <c r="G27" i="18"/>
  <c r="G14" i="18"/>
  <c r="G15" i="18"/>
  <c r="G16" i="18"/>
  <c r="G18" i="18"/>
  <c r="G20" i="18"/>
  <c r="G21" i="18"/>
  <c r="G22" i="18"/>
  <c r="G23" i="18"/>
  <c r="G25" i="18"/>
  <c r="G13" i="18"/>
  <c r="G12" i="18"/>
  <c r="G10" i="18"/>
  <c r="G9" i="18"/>
  <c r="G7" i="18"/>
  <c r="G6" i="18"/>
  <c r="F115" i="18" l="1"/>
  <c r="H180" i="18" l="1"/>
  <c r="H181" i="18" s="1"/>
  <c r="F180" i="18"/>
  <c r="E180" i="18"/>
  <c r="D180" i="18"/>
  <c r="C180" i="18"/>
  <c r="Q191" i="18" l="1"/>
  <c r="Q197" i="18"/>
  <c r="Q196" i="18"/>
  <c r="Q195" i="18"/>
  <c r="Q179" i="18"/>
  <c r="Q50" i="18"/>
  <c r="Q172" i="18" s="1"/>
  <c r="Q51" i="18"/>
  <c r="Q52" i="18"/>
  <c r="Q91" i="18" s="1"/>
  <c r="Q54" i="18"/>
  <c r="Q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7" i="18"/>
  <c r="Q68" i="18"/>
  <c r="Q176" i="18" s="1"/>
  <c r="Q70" i="18"/>
  <c r="Q111" i="18" s="1"/>
  <c r="Q112" i="18" s="1"/>
  <c r="Q72" i="18"/>
  <c r="Q74" i="18" s="1"/>
  <c r="Q75" i="18"/>
  <c r="Q76" i="18"/>
  <c r="Q77" i="18"/>
  <c r="Q78" i="18"/>
  <c r="Q80" i="18"/>
  <c r="Q135" i="18" s="1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102" i="18" s="1"/>
  <c r="Q97" i="18"/>
  <c r="Q103" i="18" s="1"/>
  <c r="Q100" i="18"/>
  <c r="Q106" i="18"/>
  <c r="Q107" i="18"/>
  <c r="Q108" i="18"/>
  <c r="Q109" i="18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 s="1"/>
  <c r="Q137" i="18"/>
  <c r="Q138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66" i="18" l="1"/>
  <c r="Q175" i="18" s="1"/>
  <c r="T192" i="18"/>
  <c r="T193" i="18" s="1"/>
  <c r="Q178" i="18"/>
  <c r="Q173" i="18"/>
  <c r="Q113" i="18"/>
  <c r="Q114" i="18" s="1"/>
  <c r="Q115" i="18"/>
  <c r="H91" i="18"/>
  <c r="AE52" i="18"/>
  <c r="H52" i="18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P91" i="18" s="1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H192" i="18" l="1"/>
  <c r="Q180" i="18"/>
  <c r="Q181" i="18" s="1"/>
  <c r="R52" i="18"/>
  <c r="R91" i="18"/>
  <c r="S44" i="18"/>
  <c r="S42" i="18"/>
  <c r="G215" i="18"/>
  <c r="G214" i="18"/>
  <c r="G217" i="18" l="1"/>
  <c r="K188" i="18" l="1"/>
  <c r="K187" i="18"/>
  <c r="K186" i="18"/>
  <c r="K185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2" i="18"/>
  <c r="K191" i="18"/>
  <c r="X38" i="18" l="1"/>
  <c r="U206" i="18"/>
  <c r="U207" i="18" s="1"/>
  <c r="D204" i="18"/>
  <c r="H204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G220" i="18" s="1"/>
  <c r="K215" i="18"/>
  <c r="K214" i="18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H207" i="18"/>
  <c r="I207" i="18" s="1"/>
  <c r="J207" i="18" s="1"/>
  <c r="J208" i="18" s="1"/>
  <c r="H205" i="18"/>
  <c r="H203" i="18"/>
  <c r="H202" i="18"/>
  <c r="I202" i="18" s="1"/>
  <c r="J202" i="18" s="1"/>
  <c r="Y38" i="18" l="1"/>
  <c r="D210" i="18"/>
  <c r="K218" i="18"/>
  <c r="R55" i="18"/>
  <c r="K217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R103" i="18" l="1"/>
  <c r="R100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8" i="18" l="1"/>
  <c r="R141" i="18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T191" i="18" l="1"/>
  <c r="T190" i="18" s="1"/>
  <c r="P191" i="18"/>
  <c r="Y44" i="18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I54" i="18"/>
  <c r="J54" i="18"/>
  <c r="K54" i="18"/>
  <c r="L54" i="18"/>
  <c r="L178" i="18" s="1"/>
  <c r="M54" i="18"/>
  <c r="N54" i="18"/>
  <c r="N178" i="18" s="1"/>
  <c r="P54" i="18"/>
  <c r="P192" i="18" s="1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T106" i="18" l="1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81" i="18" s="1"/>
  <c r="P178" i="18"/>
  <c r="R178" i="18" s="1"/>
  <c r="K173" i="18"/>
  <c r="K180" i="18" s="1"/>
  <c r="K181" i="18" s="1"/>
  <c r="K178" i="18"/>
  <c r="F173" i="18"/>
  <c r="F177" i="18" s="1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G181" i="18" l="1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66" i="18" s="1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<sst xmlns="http://schemas.openxmlformats.org/spreadsheetml/2006/main" count="647" uniqueCount="454">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</sst>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0" fontId="16" fillId="5" borderId="1" xfId="0" applyFont="1" applyFill="1" applyBorder="1"/>
    <xf numFmtId="175" fontId="16" fillId="5" borderId="1" xfId="2" applyNumberFormat="1" applyFont="1" applyFill="1" applyBorder="1"/>
    <xf numFmtId="9" fontId="17" fillId="5" borderId="1" xfId="1" applyNumberFormat="1" applyFont="1" applyFill="1" applyBorder="1"/>
    <xf numFmtId="9" fontId="17" fillId="5" borderId="1" xfId="1" applyFont="1" applyFill="1" applyBorder="1"/>
    <xf numFmtId="174" fontId="16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457664"/>
        <c:axId val="100229504"/>
      </c:lineChart>
      <c:catAx>
        <c:axId val="99457664"/>
        <c:scaling>
          <c:orientation val="minMax"/>
        </c:scaling>
        <c:delete val="0"/>
        <c:axPos val="b"/>
        <c:majorTickMark val="out"/>
        <c:minorTickMark val="none"/>
        <c:tickLblPos val="nextTo"/>
        <c:crossAx val="100229504"/>
        <c:crosses val="autoZero"/>
        <c:auto val="1"/>
        <c:lblAlgn val="ctr"/>
        <c:lblOffset val="100"/>
        <c:noMultiLvlLbl val="0"/>
      </c:catAx>
      <c:valAx>
        <c:axId val="100229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45766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C166" activePane="bottomRight" state="frozen"/>
      <selection pane="topRight" activeCell="C1" sqref="C1"/>
      <selection pane="bottomLeft" activeCell="A5" sqref="A5"/>
      <selection pane="bottomRight" activeCell="O196" sqref="O196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0.3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6" t="s">
        <v>291</v>
      </c>
      <c r="AF2" s="197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8" t="s">
        <v>292</v>
      </c>
      <c r="AF3" s="199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3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14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f>I6</f>
        <v>4.6100000000000003</v>
      </c>
      <c r="H6" s="147"/>
      <c r="I6" s="147">
        <v>4.6100000000000003</v>
      </c>
      <c r="J6" s="147">
        <v>7</v>
      </c>
      <c r="K6" s="147">
        <v>47</v>
      </c>
      <c r="L6" s="147">
        <v>54</v>
      </c>
      <c r="M6" s="147">
        <v>65</v>
      </c>
      <c r="N6" s="147">
        <v>62</v>
      </c>
      <c r="O6" s="147">
        <v>80</v>
      </c>
      <c r="P6" s="147">
        <v>243</v>
      </c>
      <c r="Q6" s="214">
        <f>P6</f>
        <v>243</v>
      </c>
      <c r="R6" s="118">
        <f>((Q6/G6)^(1/($H$2-$H$1) ))-1</f>
        <v>0.5535413474141766</v>
      </c>
      <c r="S6" s="31">
        <f>$L$2</f>
        <v>0.3</v>
      </c>
      <c r="T6" s="154">
        <f>Q6*(1+$S6)</f>
        <v>315.90000000000003</v>
      </c>
      <c r="U6" s="154">
        <f>T6*(1+$S6)</f>
        <v>410.67000000000007</v>
      </c>
      <c r="V6" s="154">
        <f t="shared" ref="V6:AC6" si="0">U6*(1+$S6)</f>
        <v>533.87100000000009</v>
      </c>
      <c r="W6" s="154">
        <f t="shared" si="0"/>
        <v>694.03230000000019</v>
      </c>
      <c r="X6" s="154">
        <f t="shared" si="0"/>
        <v>902.24199000000033</v>
      </c>
      <c r="Y6" s="154">
        <f t="shared" si="0"/>
        <v>1172.9145870000004</v>
      </c>
      <c r="Z6" s="154">
        <f t="shared" si="0"/>
        <v>1524.7889631000007</v>
      </c>
      <c r="AA6" s="154">
        <f t="shared" si="0"/>
        <v>1982.2256520300009</v>
      </c>
      <c r="AB6" s="154">
        <f t="shared" si="0"/>
        <v>2576.8933476390011</v>
      </c>
      <c r="AC6" s="154">
        <f t="shared" si="0"/>
        <v>3349.9613519307018</v>
      </c>
      <c r="AD6" s="138">
        <f>((AC6/G6)^(1/($AC$3-$H$1) ))-1</f>
        <v>0.39016689954591222</v>
      </c>
      <c r="AE6" s="31">
        <f>$L$1</f>
        <v>0.05</v>
      </c>
      <c r="AF6" s="146">
        <f t="shared" ref="AF6:AF44" si="1">(AC6*(1+AE6))/($C$1-AE6)</f>
        <v>20690.937761924924</v>
      </c>
    </row>
    <row r="7" spans="2:32" x14ac:dyDescent="0.2">
      <c r="B7" s="20" t="s">
        <v>240</v>
      </c>
      <c r="C7" s="141"/>
      <c r="D7" s="141"/>
      <c r="E7" s="147"/>
      <c r="F7" s="147"/>
      <c r="G7" s="147">
        <f>I7</f>
        <v>6</v>
      </c>
      <c r="H7" s="147"/>
      <c r="I7" s="147">
        <v>6</v>
      </c>
      <c r="J7" s="147">
        <v>9</v>
      </c>
      <c r="K7" s="147">
        <v>49</v>
      </c>
      <c r="L7" s="147">
        <v>55</v>
      </c>
      <c r="M7" s="147">
        <v>70</v>
      </c>
      <c r="N7" s="147">
        <v>97</v>
      </c>
      <c r="O7" s="147">
        <v>115</v>
      </c>
      <c r="P7" s="147">
        <v>290</v>
      </c>
      <c r="Q7" s="214">
        <f>P7</f>
        <v>290</v>
      </c>
      <c r="R7" s="118">
        <f>((Q7/G7)^(1/($H$2-$H$1) ))-1</f>
        <v>0.5386453458374838</v>
      </c>
      <c r="S7" s="31">
        <f>$L$2</f>
        <v>0.3</v>
      </c>
      <c r="T7" s="154">
        <f t="shared" ref="T7:T44" si="2">Q7*(1+$S7)</f>
        <v>377</v>
      </c>
      <c r="U7" s="154">
        <f t="shared" ref="U7:AC7" si="3">T7*(1+$S7)</f>
        <v>490.1</v>
      </c>
      <c r="V7" s="154">
        <f t="shared" si="3"/>
        <v>637.13</v>
      </c>
      <c r="W7" s="154">
        <f t="shared" si="3"/>
        <v>828.26900000000001</v>
      </c>
      <c r="X7" s="154">
        <f t="shared" si="3"/>
        <v>1076.7497000000001</v>
      </c>
      <c r="Y7" s="154">
        <f t="shared" si="3"/>
        <v>1399.7746100000002</v>
      </c>
      <c r="Z7" s="154">
        <f t="shared" si="3"/>
        <v>1819.7069930000002</v>
      </c>
      <c r="AA7" s="154">
        <f t="shared" si="3"/>
        <v>2365.6190909000002</v>
      </c>
      <c r="AB7" s="154">
        <f t="shared" si="3"/>
        <v>3075.3048181700005</v>
      </c>
      <c r="AC7" s="154">
        <f t="shared" si="3"/>
        <v>3997.8962636210008</v>
      </c>
      <c r="AD7" s="138">
        <f>((AC7/G7)^(1/($AC$3-$H$1) ))-1</f>
        <v>0.38415272967916447</v>
      </c>
      <c r="AE7" s="31">
        <f>$L$1</f>
        <v>0.05</v>
      </c>
      <c r="AF7" s="146">
        <f t="shared" si="1"/>
        <v>24692.888687070892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 t="e">
        <f>(H7-G7)/H7</f>
        <v>#DIV/0!</v>
      </c>
      <c r="I8" s="151">
        <f t="shared" ref="I8:Q8" si="4">(I7-H7)/I7</f>
        <v>1</v>
      </c>
      <c r="J8" s="151">
        <f t="shared" si="4"/>
        <v>0.33333333333333331</v>
      </c>
      <c r="K8" s="151">
        <f t="shared" si="4"/>
        <v>0.81632653061224492</v>
      </c>
      <c r="L8" s="151">
        <f t="shared" si="4"/>
        <v>0.10909090909090909</v>
      </c>
      <c r="M8" s="151">
        <f t="shared" si="4"/>
        <v>0.21428571428571427</v>
      </c>
      <c r="N8" s="151">
        <f t="shared" si="4"/>
        <v>0.27835051546391754</v>
      </c>
      <c r="O8" s="151">
        <f t="shared" si="4"/>
        <v>0.15652173913043479</v>
      </c>
      <c r="P8" s="151">
        <f t="shared" si="4"/>
        <v>0.60344827586206895</v>
      </c>
      <c r="Q8" s="215">
        <f t="shared" si="4"/>
        <v>0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f>I9</f>
        <v>7</v>
      </c>
      <c r="H9" s="147"/>
      <c r="I9" s="147">
        <v>7</v>
      </c>
      <c r="J9" s="147">
        <v>8.5</v>
      </c>
      <c r="K9" s="147">
        <v>15</v>
      </c>
      <c r="L9" s="147">
        <v>19</v>
      </c>
      <c r="M9" s="147">
        <v>20</v>
      </c>
      <c r="N9" s="147">
        <v>30</v>
      </c>
      <c r="O9" s="147">
        <v>34</v>
      </c>
      <c r="P9" s="147">
        <v>28</v>
      </c>
      <c r="Q9" s="214">
        <f>P9</f>
        <v>28</v>
      </c>
      <c r="R9" s="118">
        <f>((Q9/G9)^(1/($H$2-$H$1) ))-1</f>
        <v>0.16652903957611653</v>
      </c>
      <c r="S9" s="31">
        <f t="shared" ref="S9:S40" si="5">$L$2</f>
        <v>0.3</v>
      </c>
      <c r="T9" s="154">
        <f t="shared" si="2"/>
        <v>36.4</v>
      </c>
      <c r="U9" s="154">
        <f t="shared" ref="U9" si="6">T9*(1+$S9)</f>
        <v>47.32</v>
      </c>
      <c r="V9" s="154">
        <f t="shared" ref="V9" si="7">U9*(1+$S9)</f>
        <v>61.516000000000005</v>
      </c>
      <c r="W9" s="154">
        <f t="shared" ref="W9" si="8">V9*(1+$S9)</f>
        <v>79.970800000000011</v>
      </c>
      <c r="X9" s="154">
        <f t="shared" ref="X9" si="9">W9*(1+$S9)</f>
        <v>103.96204000000002</v>
      </c>
      <c r="Y9" s="154">
        <f t="shared" ref="Y9" si="10">X9*(1+$S9)</f>
        <v>135.15065200000004</v>
      </c>
      <c r="Z9" s="154">
        <f t="shared" ref="Z9" si="11">Y9*(1+$S9)</f>
        <v>175.69584760000006</v>
      </c>
      <c r="AA9" s="154">
        <f t="shared" ref="AA9" si="12">Z9*(1+$S9)</f>
        <v>228.40460188000009</v>
      </c>
      <c r="AB9" s="154">
        <f t="shared" ref="AB9" si="13">AA9*(1+$S9)</f>
        <v>296.92598244400011</v>
      </c>
      <c r="AC9" s="154">
        <f t="shared" ref="AC9" si="14">AB9*(1+$S9)</f>
        <v>386.00377717720016</v>
      </c>
      <c r="AD9" s="138">
        <f>((AC9/G9)^(1/($AC$3-$H$1) ))-1</f>
        <v>0.22200976325729305</v>
      </c>
      <c r="AE9" s="31">
        <f t="shared" ref="AE9:AE81" si="15">$L$1</f>
        <v>0.05</v>
      </c>
      <c r="AF9" s="146">
        <f t="shared" si="1"/>
        <v>2384.1409766827073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f>I10</f>
        <v>8.5</v>
      </c>
      <c r="H10" s="147"/>
      <c r="I10" s="147">
        <v>8.5</v>
      </c>
      <c r="J10" s="147">
        <v>24</v>
      </c>
      <c r="K10" s="147">
        <v>28</v>
      </c>
      <c r="L10" s="147">
        <v>24</v>
      </c>
      <c r="M10" s="147">
        <v>23</v>
      </c>
      <c r="N10" s="147">
        <v>20</v>
      </c>
      <c r="O10" s="147">
        <v>23</v>
      </c>
      <c r="P10" s="147">
        <v>0.1</v>
      </c>
      <c r="Q10" s="214">
        <f>P10</f>
        <v>0.1</v>
      </c>
      <c r="R10" s="118">
        <f>((Q10/G10)^(1/($H$2-$H$1) ))-1</f>
        <v>-0.38959213700601947</v>
      </c>
      <c r="S10" s="31">
        <f t="shared" si="5"/>
        <v>0.3</v>
      </c>
      <c r="T10" s="154">
        <f t="shared" si="2"/>
        <v>0.13</v>
      </c>
      <c r="U10" s="154">
        <f t="shared" ref="U10:AC10" si="16">T10*(1+$S10)</f>
        <v>0.16900000000000001</v>
      </c>
      <c r="V10" s="154">
        <f t="shared" si="16"/>
        <v>0.21970000000000003</v>
      </c>
      <c r="W10" s="154">
        <f t="shared" si="16"/>
        <v>0.28561000000000003</v>
      </c>
      <c r="X10" s="154">
        <f t="shared" si="16"/>
        <v>0.37129300000000004</v>
      </c>
      <c r="Y10" s="154">
        <f t="shared" si="16"/>
        <v>0.48268090000000008</v>
      </c>
      <c r="Z10" s="154">
        <f t="shared" si="16"/>
        <v>0.62748517000000015</v>
      </c>
      <c r="AA10" s="154">
        <f t="shared" si="16"/>
        <v>0.81573072100000021</v>
      </c>
      <c r="AB10" s="154">
        <f t="shared" si="16"/>
        <v>1.0604499373000003</v>
      </c>
      <c r="AC10" s="154">
        <f t="shared" si="16"/>
        <v>1.3785849184900003</v>
      </c>
      <c r="AD10" s="138">
        <f t="shared" ref="AD10:AD42" si="17">((AC10/G10)^(1/($AC$3-$H$1) ))-1</f>
        <v>-8.6937030230470169E-2</v>
      </c>
      <c r="AE10" s="31">
        <f t="shared" si="15"/>
        <v>0.05</v>
      </c>
      <c r="AF10" s="146">
        <f t="shared" si="1"/>
        <v>8.514789202438239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 t="e">
        <f t="shared" ref="H11:Q11" si="18">(H10-G10)/H10</f>
        <v>#DIV/0!</v>
      </c>
      <c r="I11" s="148">
        <f t="shared" si="18"/>
        <v>1</v>
      </c>
      <c r="J11" s="148">
        <f t="shared" si="18"/>
        <v>0.64583333333333337</v>
      </c>
      <c r="K11" s="148">
        <f t="shared" si="18"/>
        <v>0.14285714285714285</v>
      </c>
      <c r="L11" s="148">
        <f t="shared" si="18"/>
        <v>-0.16666666666666666</v>
      </c>
      <c r="M11" s="148">
        <f t="shared" si="18"/>
        <v>-4.3478260869565216E-2</v>
      </c>
      <c r="N11" s="148">
        <f t="shared" si="18"/>
        <v>-0.15</v>
      </c>
      <c r="O11" s="148">
        <f t="shared" si="18"/>
        <v>0.13043478260869565</v>
      </c>
      <c r="P11" s="148">
        <f t="shared" si="18"/>
        <v>-228.99999999999997</v>
      </c>
      <c r="Q11" s="216">
        <f t="shared" si="18"/>
        <v>0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f>I12</f>
        <v>0.5</v>
      </c>
      <c r="H12" s="147"/>
      <c r="I12" s="147">
        <v>0.5</v>
      </c>
      <c r="J12" s="147">
        <v>0.9</v>
      </c>
      <c r="K12" s="147">
        <v>1.7</v>
      </c>
      <c r="L12" s="147">
        <v>0.9</v>
      </c>
      <c r="M12" s="147">
        <v>4</v>
      </c>
      <c r="N12" s="147">
        <v>5</v>
      </c>
      <c r="O12" s="147">
        <v>7</v>
      </c>
      <c r="P12" s="147">
        <v>10</v>
      </c>
      <c r="Q12" s="214">
        <f>P12</f>
        <v>10</v>
      </c>
      <c r="R12" s="118">
        <f>((Q12/G12)^(1/($H$2-$H$1) ))-1</f>
        <v>0.39495079396242105</v>
      </c>
      <c r="S12" s="31">
        <f t="shared" si="5"/>
        <v>0.3</v>
      </c>
      <c r="T12" s="154">
        <f t="shared" si="2"/>
        <v>13</v>
      </c>
      <c r="U12" s="154">
        <f t="shared" ref="U12:AC12" si="19">T12*(1+$S12)</f>
        <v>16.900000000000002</v>
      </c>
      <c r="V12" s="154">
        <f t="shared" si="19"/>
        <v>21.970000000000002</v>
      </c>
      <c r="W12" s="154">
        <f t="shared" si="19"/>
        <v>28.561000000000003</v>
      </c>
      <c r="X12" s="154">
        <f t="shared" si="19"/>
        <v>37.129300000000008</v>
      </c>
      <c r="Y12" s="154">
        <f t="shared" si="19"/>
        <v>48.268090000000015</v>
      </c>
      <c r="Z12" s="154">
        <f t="shared" si="19"/>
        <v>62.748517000000021</v>
      </c>
      <c r="AA12" s="154">
        <f t="shared" si="19"/>
        <v>81.573072100000033</v>
      </c>
      <c r="AB12" s="154">
        <f t="shared" si="19"/>
        <v>106.04499373000004</v>
      </c>
      <c r="AC12" s="154">
        <f t="shared" si="19"/>
        <v>137.85849184900007</v>
      </c>
      <c r="AD12" s="138">
        <f t="shared" si="17"/>
        <v>0.32441220999190135</v>
      </c>
      <c r="AE12" s="31">
        <f t="shared" si="15"/>
        <v>0.05</v>
      </c>
      <c r="AF12" s="146">
        <f t="shared" si="1"/>
        <v>851.47892024382418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f>I13</f>
        <v>0</v>
      </c>
      <c r="H13" s="147"/>
      <c r="I13" s="147">
        <v>0</v>
      </c>
      <c r="J13" s="147">
        <v>0</v>
      </c>
      <c r="K13" s="147">
        <v>17</v>
      </c>
      <c r="L13" s="147">
        <v>0</v>
      </c>
      <c r="M13" s="147">
        <v>6</v>
      </c>
      <c r="N13" s="147">
        <v>25</v>
      </c>
      <c r="O13" s="147">
        <v>15</v>
      </c>
      <c r="P13" s="147">
        <v>136</v>
      </c>
      <c r="Q13" s="214">
        <f t="shared" ref="Q13:Q44" si="20">P13</f>
        <v>136</v>
      </c>
      <c r="R13" s="118" t="e">
        <f>((Q13/G13)^(1/($H$2-$H$1) ))-1</f>
        <v>#DIV/0!</v>
      </c>
      <c r="S13" s="31">
        <f t="shared" si="5"/>
        <v>0.3</v>
      </c>
      <c r="T13" s="154">
        <f t="shared" si="2"/>
        <v>176.8</v>
      </c>
      <c r="U13" s="154">
        <f t="shared" ref="U13:AC13" si="21">T13*(1+$S13)</f>
        <v>229.84000000000003</v>
      </c>
      <c r="V13" s="154">
        <f t="shared" si="21"/>
        <v>298.79200000000003</v>
      </c>
      <c r="W13" s="154">
        <f t="shared" si="21"/>
        <v>388.42960000000005</v>
      </c>
      <c r="X13" s="154">
        <f t="shared" si="21"/>
        <v>504.95848000000007</v>
      </c>
      <c r="Y13" s="154">
        <f t="shared" si="21"/>
        <v>656.44602400000008</v>
      </c>
      <c r="Z13" s="154">
        <f t="shared" si="21"/>
        <v>853.37983120000013</v>
      </c>
      <c r="AA13" s="154">
        <f t="shared" si="21"/>
        <v>1109.3937805600001</v>
      </c>
      <c r="AB13" s="154">
        <f t="shared" si="21"/>
        <v>1442.2119147280002</v>
      </c>
      <c r="AC13" s="154">
        <f t="shared" si="21"/>
        <v>1874.8754891464005</v>
      </c>
      <c r="AD13" s="138" t="e">
        <f t="shared" si="17"/>
        <v>#DIV/0!</v>
      </c>
      <c r="AE13" s="31">
        <f t="shared" si="15"/>
        <v>0.05</v>
      </c>
      <c r="AF13" s="146">
        <f t="shared" si="1"/>
        <v>11580.113315316004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f t="shared" ref="G14:G47" si="22">I14</f>
        <v>0.38</v>
      </c>
      <c r="H14" s="147"/>
      <c r="I14" s="147">
        <v>0.38</v>
      </c>
      <c r="J14" s="147">
        <v>0.69</v>
      </c>
      <c r="K14" s="147">
        <v>0.85</v>
      </c>
      <c r="L14" s="147">
        <v>1.1000000000000001</v>
      </c>
      <c r="M14" s="147">
        <v>1.25</v>
      </c>
      <c r="N14" s="147">
        <v>1.98</v>
      </c>
      <c r="O14" s="147">
        <v>2</v>
      </c>
      <c r="P14" s="147">
        <v>2.8</v>
      </c>
      <c r="Q14" s="214">
        <f t="shared" si="20"/>
        <v>2.8</v>
      </c>
      <c r="R14" s="118">
        <f>((Q14/G14)^(1/($H$2-$H$1) ))-1</f>
        <v>0.2484608763412739</v>
      </c>
      <c r="S14" s="31">
        <f t="shared" si="5"/>
        <v>0.3</v>
      </c>
      <c r="T14" s="154">
        <f t="shared" si="2"/>
        <v>3.6399999999999997</v>
      </c>
      <c r="U14" s="154">
        <f t="shared" ref="U14" si="23">T14*(1+$S14)</f>
        <v>4.7319999999999993</v>
      </c>
      <c r="V14" s="154">
        <f t="shared" ref="V14" si="24">U14*(1+$S14)</f>
        <v>6.1515999999999993</v>
      </c>
      <c r="W14" s="154">
        <f t="shared" ref="W14" si="25">V14*(1+$S14)</f>
        <v>7.9970799999999995</v>
      </c>
      <c r="X14" s="154">
        <f t="shared" ref="X14" si="26">W14*(1+$S14)</f>
        <v>10.396203999999999</v>
      </c>
      <c r="Y14" s="154">
        <f t="shared" ref="Y14" si="27">X14*(1+$S14)</f>
        <v>13.515065199999999</v>
      </c>
      <c r="Z14" s="154">
        <f t="shared" ref="Z14" si="28">Y14*(1+$S14)</f>
        <v>17.569584759999998</v>
      </c>
      <c r="AA14" s="154">
        <f t="shared" ref="AA14" si="29">Z14*(1+$S14)</f>
        <v>22.840460187999998</v>
      </c>
      <c r="AB14" s="154">
        <f t="shared" ref="AB14" si="30">AA14*(1+$S14)</f>
        <v>29.692598244399999</v>
      </c>
      <c r="AC14" s="154">
        <f t="shared" ref="AC14" si="31">AB14*(1+$S14)</f>
        <v>38.600377717720001</v>
      </c>
      <c r="AD14" s="138">
        <f t="shared" ref="AD14" si="32">((AC14/G14)^(1/($AC$3-$H$1) ))-1</f>
        <v>0.25991253817323723</v>
      </c>
      <c r="AE14" s="31">
        <f t="shared" si="15"/>
        <v>0.05</v>
      </c>
      <c r="AF14" s="146">
        <f t="shared" ref="AF14" si="33">(AC14*(1+AE14))/($C$1-AE14)</f>
        <v>238.41409766827061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f t="shared" si="22"/>
        <v>1.1599999999999999</v>
      </c>
      <c r="H15" s="147"/>
      <c r="I15" s="147">
        <v>1.1599999999999999</v>
      </c>
      <c r="J15" s="147">
        <v>2</v>
      </c>
      <c r="K15" s="147">
        <v>3</v>
      </c>
      <c r="L15" s="147">
        <v>3.37</v>
      </c>
      <c r="M15" s="147">
        <v>7</v>
      </c>
      <c r="N15" s="147">
        <v>12</v>
      </c>
      <c r="O15" s="147">
        <v>14</v>
      </c>
      <c r="P15" s="147">
        <v>24</v>
      </c>
      <c r="Q15" s="214">
        <f t="shared" si="20"/>
        <v>24</v>
      </c>
      <c r="R15" s="118">
        <f>((Q15/G15)^(1/($H$2-$H$1) ))-1</f>
        <v>0.40021525809069813</v>
      </c>
      <c r="S15" s="31">
        <f t="shared" si="5"/>
        <v>0.3</v>
      </c>
      <c r="T15" s="154">
        <f t="shared" si="2"/>
        <v>31.200000000000003</v>
      </c>
      <c r="U15" s="154">
        <f t="shared" ref="U15:AC15" si="34">T15*(1+$S15)</f>
        <v>40.56</v>
      </c>
      <c r="V15" s="154">
        <f t="shared" si="34"/>
        <v>52.728000000000002</v>
      </c>
      <c r="W15" s="154">
        <f t="shared" si="34"/>
        <v>68.546400000000006</v>
      </c>
      <c r="X15" s="154">
        <f t="shared" si="34"/>
        <v>89.110320000000016</v>
      </c>
      <c r="Y15" s="154">
        <f t="shared" si="34"/>
        <v>115.84341600000002</v>
      </c>
      <c r="Z15" s="154">
        <f t="shared" si="34"/>
        <v>150.59644080000004</v>
      </c>
      <c r="AA15" s="154">
        <f t="shared" si="34"/>
        <v>195.77537304000006</v>
      </c>
      <c r="AB15" s="154">
        <f t="shared" si="34"/>
        <v>254.5079849520001</v>
      </c>
      <c r="AC15" s="154">
        <f t="shared" si="34"/>
        <v>330.86038043760016</v>
      </c>
      <c r="AD15" s="138">
        <f t="shared" si="17"/>
        <v>0.32665909522514913</v>
      </c>
      <c r="AE15" s="31">
        <f t="shared" si="15"/>
        <v>0.05</v>
      </c>
      <c r="AF15" s="146">
        <f t="shared" si="1"/>
        <v>2043.5494085851776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f t="shared" si="22"/>
        <v>3</v>
      </c>
      <c r="H16" s="147"/>
      <c r="I16" s="147">
        <v>3</v>
      </c>
      <c r="J16" s="147">
        <v>10</v>
      </c>
      <c r="K16" s="147">
        <v>14</v>
      </c>
      <c r="L16" s="147">
        <v>12</v>
      </c>
      <c r="M16" s="147">
        <v>17</v>
      </c>
      <c r="N16" s="147">
        <v>19</v>
      </c>
      <c r="O16" s="147">
        <v>34</v>
      </c>
      <c r="P16" s="147">
        <v>52</v>
      </c>
      <c r="Q16" s="214">
        <f t="shared" si="20"/>
        <v>52</v>
      </c>
      <c r="R16" s="118">
        <f>((Q16/G16)^(1/($H$2-$H$1) ))-1</f>
        <v>0.37294634555710315</v>
      </c>
      <c r="S16" s="31">
        <f t="shared" si="5"/>
        <v>0.3</v>
      </c>
      <c r="T16" s="154">
        <f t="shared" si="2"/>
        <v>67.600000000000009</v>
      </c>
      <c r="U16" s="154">
        <f t="shared" ref="U16:AC16" si="35">T16*(1+$S16)</f>
        <v>87.88000000000001</v>
      </c>
      <c r="V16" s="154">
        <f t="shared" si="35"/>
        <v>114.24400000000001</v>
      </c>
      <c r="W16" s="154">
        <f t="shared" si="35"/>
        <v>148.51720000000003</v>
      </c>
      <c r="X16" s="154">
        <f t="shared" si="35"/>
        <v>193.07236000000006</v>
      </c>
      <c r="Y16" s="154">
        <f t="shared" si="35"/>
        <v>250.99406800000008</v>
      </c>
      <c r="Z16" s="154">
        <f t="shared" si="35"/>
        <v>326.29228840000013</v>
      </c>
      <c r="AA16" s="154">
        <f t="shared" si="35"/>
        <v>424.17997492000018</v>
      </c>
      <c r="AB16" s="154">
        <f t="shared" si="35"/>
        <v>551.4339673960003</v>
      </c>
      <c r="AC16" s="154">
        <f t="shared" si="35"/>
        <v>716.86415761480043</v>
      </c>
      <c r="AD16" s="138">
        <f t="shared" si="17"/>
        <v>0.31496980544774744</v>
      </c>
      <c r="AE16" s="31">
        <f t="shared" si="15"/>
        <v>0.05</v>
      </c>
      <c r="AF16" s="146">
        <f t="shared" si="1"/>
        <v>4427.6903852678852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214">
        <f t="shared" si="20"/>
        <v>0</v>
      </c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f t="shared" si="22"/>
        <v>6</v>
      </c>
      <c r="H18" s="147"/>
      <c r="I18" s="147">
        <v>6</v>
      </c>
      <c r="J18" s="147">
        <v>14</v>
      </c>
      <c r="K18" s="147">
        <v>30</v>
      </c>
      <c r="L18" s="147">
        <v>54</v>
      </c>
      <c r="M18" s="147">
        <v>62</v>
      </c>
      <c r="N18" s="147">
        <v>62</v>
      </c>
      <c r="O18" s="147">
        <v>73</v>
      </c>
      <c r="P18" s="147">
        <v>85</v>
      </c>
      <c r="Q18" s="214">
        <f t="shared" si="20"/>
        <v>85</v>
      </c>
      <c r="R18" s="118">
        <f>((Q18/G18)^(1/($H$2-$H$1) ))-1</f>
        <v>0.34251340428118637</v>
      </c>
      <c r="S18" s="31">
        <f t="shared" si="5"/>
        <v>0.3</v>
      </c>
      <c r="T18" s="154">
        <f t="shared" si="2"/>
        <v>110.5</v>
      </c>
      <c r="U18" s="154">
        <f t="shared" ref="U18:U34" si="36">T18*(1+$S18)</f>
        <v>143.65</v>
      </c>
      <c r="V18" s="154">
        <f t="shared" ref="V18:V34" si="37">U18*(1+$S18)</f>
        <v>186.745</v>
      </c>
      <c r="W18" s="154">
        <f t="shared" ref="W18:W34" si="38">V18*(1+$S18)</f>
        <v>242.76850000000002</v>
      </c>
      <c r="X18" s="154">
        <f t="shared" ref="X18:X36" si="39">W18*(1+$S18)</f>
        <v>315.59905000000003</v>
      </c>
      <c r="Y18" s="154">
        <f t="shared" ref="Y18:Y36" si="40">X18*(1+$S18)</f>
        <v>410.27876500000008</v>
      </c>
      <c r="Z18" s="154">
        <f t="shared" ref="Z18:Z36" si="41">Y18*(1+$S18)</f>
        <v>533.36239450000016</v>
      </c>
      <c r="AA18" s="154">
        <f t="shared" ref="AA18:AA36" si="42">Z18*(1+$S18)</f>
        <v>693.37111285000026</v>
      </c>
      <c r="AB18" s="154">
        <f t="shared" ref="AB18:AB36" si="43">AA18*(1+$S18)</f>
        <v>901.38244670500035</v>
      </c>
      <c r="AC18" s="154">
        <f t="shared" ref="AC18:AC36" si="44">AB18*(1+$S18)</f>
        <v>1171.7971807165004</v>
      </c>
      <c r="AD18" s="138">
        <f t="shared" si="17"/>
        <v>0.30177240140446848</v>
      </c>
      <c r="AE18" s="31">
        <f t="shared" si="15"/>
        <v>0.05</v>
      </c>
      <c r="AF18" s="146">
        <f t="shared" si="1"/>
        <v>7237.5708220725037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214">
        <f t="shared" si="20"/>
        <v>0</v>
      </c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f t="shared" si="22"/>
        <v>0</v>
      </c>
      <c r="H20" s="147"/>
      <c r="I20" s="147"/>
      <c r="J20" s="147"/>
      <c r="K20" s="147"/>
      <c r="L20" s="147"/>
      <c r="M20" s="147"/>
      <c r="N20" s="147"/>
      <c r="O20" s="147"/>
      <c r="P20" s="147"/>
      <c r="Q20" s="214">
        <f t="shared" si="20"/>
        <v>0</v>
      </c>
      <c r="R20" s="118" t="e">
        <f>((Q20/G20)^(1/($H$2-$H$1) ))-1</f>
        <v>#DIV/0!</v>
      </c>
      <c r="S20" s="31">
        <f t="shared" si="5"/>
        <v>0.3</v>
      </c>
      <c r="T20" s="154">
        <f t="shared" si="2"/>
        <v>0</v>
      </c>
      <c r="U20" s="154">
        <f t="shared" ref="U20:U22" si="45">T20*(1+$S20)</f>
        <v>0</v>
      </c>
      <c r="V20" s="154">
        <f t="shared" ref="V20:V22" si="46">U20*(1+$S20)</f>
        <v>0</v>
      </c>
      <c r="W20" s="154">
        <f t="shared" ref="W20:W22" si="47">V20*(1+$S20)</f>
        <v>0</v>
      </c>
      <c r="X20" s="154">
        <f t="shared" ref="X20:X22" si="48">W20*(1+$S20)</f>
        <v>0</v>
      </c>
      <c r="Y20" s="154">
        <f t="shared" ref="Y20:Y22" si="49">X20*(1+$S20)</f>
        <v>0</v>
      </c>
      <c r="Z20" s="154">
        <f t="shared" ref="Z20:Z22" si="50">Y20*(1+$S20)</f>
        <v>0</v>
      </c>
      <c r="AA20" s="154">
        <f t="shared" ref="AA20:AA22" si="51">Z20*(1+$S20)</f>
        <v>0</v>
      </c>
      <c r="AB20" s="154">
        <f t="shared" ref="AB20:AB22" si="52">AA20*(1+$S20)</f>
        <v>0</v>
      </c>
      <c r="AC20" s="154">
        <f t="shared" ref="AC20:AC22" si="53">AB20*(1+$S20)</f>
        <v>0</v>
      </c>
      <c r="AD20" s="138" t="e">
        <f t="shared" ref="AD20:AD22" si="54">((AC20/G20)^(1/($AC$3-$H$1) ))-1</f>
        <v>#DIV/0!</v>
      </c>
      <c r="AE20" s="31">
        <f t="shared" si="15"/>
        <v>0.05</v>
      </c>
      <c r="AF20" s="146">
        <f t="shared" si="1"/>
        <v>0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f t="shared" si="22"/>
        <v>0</v>
      </c>
      <c r="H21" s="147"/>
      <c r="I21" s="147"/>
      <c r="J21" s="147"/>
      <c r="K21" s="147"/>
      <c r="L21" s="147"/>
      <c r="M21" s="147"/>
      <c r="N21" s="147"/>
      <c r="O21" s="147"/>
      <c r="P21" s="147"/>
      <c r="Q21" s="214">
        <f t="shared" si="20"/>
        <v>0</v>
      </c>
      <c r="R21" s="118" t="e">
        <f>((Q21/G21)^(1/($H$2-$H$1) ))-1</f>
        <v>#DIV/0!</v>
      </c>
      <c r="S21" s="31">
        <f t="shared" si="5"/>
        <v>0.3</v>
      </c>
      <c r="T21" s="154">
        <f t="shared" si="2"/>
        <v>0</v>
      </c>
      <c r="U21" s="154">
        <f t="shared" si="45"/>
        <v>0</v>
      </c>
      <c r="V21" s="154">
        <f t="shared" si="46"/>
        <v>0</v>
      </c>
      <c r="W21" s="154">
        <f t="shared" si="47"/>
        <v>0</v>
      </c>
      <c r="X21" s="154">
        <f t="shared" si="48"/>
        <v>0</v>
      </c>
      <c r="Y21" s="154">
        <f t="shared" si="49"/>
        <v>0</v>
      </c>
      <c r="Z21" s="154">
        <f t="shared" si="50"/>
        <v>0</v>
      </c>
      <c r="AA21" s="154">
        <f t="shared" si="51"/>
        <v>0</v>
      </c>
      <c r="AB21" s="154">
        <f t="shared" si="52"/>
        <v>0</v>
      </c>
      <c r="AC21" s="154">
        <f t="shared" si="53"/>
        <v>0</v>
      </c>
      <c r="AD21" s="138" t="e">
        <f t="shared" si="54"/>
        <v>#DIV/0!</v>
      </c>
      <c r="AE21" s="31">
        <f t="shared" si="15"/>
        <v>0.05</v>
      </c>
      <c r="AF21" s="146">
        <f t="shared" si="1"/>
        <v>0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f t="shared" si="22"/>
        <v>0</v>
      </c>
      <c r="H22" s="147"/>
      <c r="I22" s="147"/>
      <c r="J22" s="147"/>
      <c r="K22" s="147"/>
      <c r="L22" s="147"/>
      <c r="M22" s="147"/>
      <c r="N22" s="147"/>
      <c r="O22" s="147"/>
      <c r="P22" s="147"/>
      <c r="Q22" s="214">
        <f t="shared" si="20"/>
        <v>0</v>
      </c>
      <c r="R22" s="118" t="e">
        <f>((Q22/G22)^(1/($H$2-$H$1) ))-1</f>
        <v>#DIV/0!</v>
      </c>
      <c r="S22" s="31">
        <f t="shared" si="5"/>
        <v>0.3</v>
      </c>
      <c r="T22" s="154">
        <f t="shared" si="2"/>
        <v>0</v>
      </c>
      <c r="U22" s="154">
        <f t="shared" si="45"/>
        <v>0</v>
      </c>
      <c r="V22" s="154">
        <f t="shared" si="46"/>
        <v>0</v>
      </c>
      <c r="W22" s="154">
        <f t="shared" si="47"/>
        <v>0</v>
      </c>
      <c r="X22" s="154">
        <f t="shared" si="48"/>
        <v>0</v>
      </c>
      <c r="Y22" s="154">
        <f t="shared" si="49"/>
        <v>0</v>
      </c>
      <c r="Z22" s="154">
        <f t="shared" si="50"/>
        <v>0</v>
      </c>
      <c r="AA22" s="154">
        <f t="shared" si="51"/>
        <v>0</v>
      </c>
      <c r="AB22" s="154">
        <f t="shared" si="52"/>
        <v>0</v>
      </c>
      <c r="AC22" s="154">
        <f t="shared" si="53"/>
        <v>0</v>
      </c>
      <c r="AD22" s="138" t="e">
        <f t="shared" si="54"/>
        <v>#DIV/0!</v>
      </c>
      <c r="AE22" s="31">
        <f t="shared" si="15"/>
        <v>0.05</v>
      </c>
      <c r="AF22" s="146">
        <f t="shared" si="1"/>
        <v>0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f t="shared" si="22"/>
        <v>0</v>
      </c>
      <c r="H23" s="147"/>
      <c r="I23" s="147"/>
      <c r="J23" s="147"/>
      <c r="K23" s="147"/>
      <c r="L23" s="147"/>
      <c r="M23" s="147"/>
      <c r="N23" s="147"/>
      <c r="O23" s="147"/>
      <c r="P23" s="147"/>
      <c r="Q23" s="214">
        <f t="shared" si="20"/>
        <v>0</v>
      </c>
      <c r="R23" s="118" t="e">
        <f>((Q23/G23)^(1/($H$2-$H$1) ))-1</f>
        <v>#DIV/0!</v>
      </c>
      <c r="S23" s="31">
        <f t="shared" si="5"/>
        <v>0.3</v>
      </c>
      <c r="T23" s="154">
        <f t="shared" si="2"/>
        <v>0</v>
      </c>
      <c r="U23" s="154">
        <f t="shared" ref="U23" si="55">T23*(1+$S23)</f>
        <v>0</v>
      </c>
      <c r="V23" s="154">
        <f t="shared" ref="V23" si="56">U23*(1+$S23)</f>
        <v>0</v>
      </c>
      <c r="W23" s="154">
        <f t="shared" ref="W23" si="57">V23*(1+$S23)</f>
        <v>0</v>
      </c>
      <c r="X23" s="154">
        <f t="shared" ref="X23" si="58">W23*(1+$S23)</f>
        <v>0</v>
      </c>
      <c r="Y23" s="154">
        <f t="shared" ref="Y23" si="59">X23*(1+$S23)</f>
        <v>0</v>
      </c>
      <c r="Z23" s="154">
        <f t="shared" ref="Z23" si="60">Y23*(1+$S23)</f>
        <v>0</v>
      </c>
      <c r="AA23" s="154">
        <f t="shared" ref="AA23" si="61">Z23*(1+$S23)</f>
        <v>0</v>
      </c>
      <c r="AB23" s="154">
        <f t="shared" ref="AB23" si="62">AA23*(1+$S23)</f>
        <v>0</v>
      </c>
      <c r="AC23" s="154">
        <f t="shared" ref="AC23" si="63">AB23*(1+$S23)</f>
        <v>0</v>
      </c>
      <c r="AD23" s="138" t="e">
        <f t="shared" ref="AD23" si="64">((AC23/G23)^(1/($AC$3-$H$1) ))-1</f>
        <v>#DIV/0!</v>
      </c>
      <c r="AE23" s="31">
        <f t="shared" si="15"/>
        <v>0.05</v>
      </c>
      <c r="AF23" s="146">
        <f t="shared" si="1"/>
        <v>0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214">
        <f t="shared" si="20"/>
        <v>0</v>
      </c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f t="shared" si="22"/>
        <v>35</v>
      </c>
      <c r="H25" s="147"/>
      <c r="I25" s="147">
        <v>35</v>
      </c>
      <c r="J25" s="147">
        <v>52</v>
      </c>
      <c r="K25" s="147">
        <v>83</v>
      </c>
      <c r="L25" s="147">
        <v>115</v>
      </c>
      <c r="M25" s="147">
        <v>131</v>
      </c>
      <c r="N25" s="147">
        <v>175</v>
      </c>
      <c r="O25" s="147">
        <v>198</v>
      </c>
      <c r="P25" s="147">
        <v>236</v>
      </c>
      <c r="Q25" s="214">
        <f t="shared" si="20"/>
        <v>236</v>
      </c>
      <c r="R25" s="118">
        <f>((Q25/G25)^(1/($H$2-$H$1) ))-1</f>
        <v>0.23621432892516303</v>
      </c>
      <c r="S25" s="31">
        <f t="shared" si="5"/>
        <v>0.3</v>
      </c>
      <c r="T25" s="154">
        <f t="shared" si="2"/>
        <v>306.8</v>
      </c>
      <c r="U25" s="154">
        <f t="shared" si="36"/>
        <v>398.84000000000003</v>
      </c>
      <c r="V25" s="154">
        <f t="shared" si="37"/>
        <v>518.49200000000008</v>
      </c>
      <c r="W25" s="154">
        <f t="shared" si="38"/>
        <v>674.03960000000018</v>
      </c>
      <c r="X25" s="154">
        <f t="shared" si="39"/>
        <v>876.25148000000024</v>
      </c>
      <c r="Y25" s="154">
        <f t="shared" si="40"/>
        <v>1139.1269240000004</v>
      </c>
      <c r="Z25" s="154">
        <f t="shared" si="41"/>
        <v>1480.8650012000005</v>
      </c>
      <c r="AA25" s="154">
        <f t="shared" si="42"/>
        <v>1925.1245015600007</v>
      </c>
      <c r="AB25" s="154">
        <f t="shared" si="43"/>
        <v>2502.6618520280008</v>
      </c>
      <c r="AC25" s="154">
        <f t="shared" si="44"/>
        <v>3253.4604076364012</v>
      </c>
      <c r="AD25" s="138">
        <f t="shared" si="17"/>
        <v>0.25433596300498795</v>
      </c>
      <c r="AE25" s="31">
        <f t="shared" si="15"/>
        <v>0.05</v>
      </c>
      <c r="AF25" s="146">
        <f t="shared" si="1"/>
        <v>20094.902517754246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 t="e">
        <f>(H25-G25)/H25</f>
        <v>#DIV/0!</v>
      </c>
      <c r="I26" s="148">
        <f t="shared" ref="I26" si="65">(I25-H25)/I25</f>
        <v>1</v>
      </c>
      <c r="J26" s="148">
        <f t="shared" ref="J26" si="66">(J25-I25)/J25</f>
        <v>0.32692307692307693</v>
      </c>
      <c r="K26" s="148">
        <f t="shared" ref="K26" si="67">(K25-J25)/K25</f>
        <v>0.37349397590361444</v>
      </c>
      <c r="L26" s="148">
        <f t="shared" ref="L26" si="68">(L25-K25)/L25</f>
        <v>0.27826086956521739</v>
      </c>
      <c r="M26" s="148">
        <f t="shared" ref="M26" si="69">(M25-L25)/M25</f>
        <v>0.12213740458015267</v>
      </c>
      <c r="N26" s="148">
        <f t="shared" ref="N26" si="70">(N25-M25)/N25</f>
        <v>0.25142857142857145</v>
      </c>
      <c r="O26" s="148">
        <f t="shared" ref="O26" si="71">(O25-N25)/O25</f>
        <v>0.11616161616161616</v>
      </c>
      <c r="P26" s="148">
        <f t="shared" ref="P26:Q26" si="72">(P25-O25)/P25</f>
        <v>0.16101694915254236</v>
      </c>
      <c r="Q26" s="216">
        <f t="shared" si="72"/>
        <v>0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f t="shared" si="22"/>
        <v>28</v>
      </c>
      <c r="H27" s="147"/>
      <c r="I27" s="147">
        <v>28</v>
      </c>
      <c r="J27" s="147">
        <v>44</v>
      </c>
      <c r="K27" s="147">
        <v>70</v>
      </c>
      <c r="L27" s="147">
        <v>96</v>
      </c>
      <c r="M27" s="147">
        <v>102</v>
      </c>
      <c r="N27" s="147">
        <v>135</v>
      </c>
      <c r="O27" s="147">
        <v>158</v>
      </c>
      <c r="P27" s="147">
        <v>190</v>
      </c>
      <c r="Q27" s="214">
        <f t="shared" si="20"/>
        <v>190</v>
      </c>
      <c r="R27" s="118">
        <f>((Q27/G27)^(1/($H$2-$H$1) ))-1</f>
        <v>0.23708490527355064</v>
      </c>
      <c r="S27" s="31">
        <f t="shared" si="5"/>
        <v>0.3</v>
      </c>
      <c r="T27" s="154">
        <f t="shared" si="2"/>
        <v>247</v>
      </c>
      <c r="U27" s="154">
        <f t="shared" si="36"/>
        <v>321.10000000000002</v>
      </c>
      <c r="V27" s="154">
        <f t="shared" si="37"/>
        <v>417.43000000000006</v>
      </c>
      <c r="W27" s="154">
        <f t="shared" si="38"/>
        <v>542.65900000000011</v>
      </c>
      <c r="X27" s="154">
        <f t="shared" si="39"/>
        <v>705.45670000000018</v>
      </c>
      <c r="Y27" s="154">
        <f t="shared" si="40"/>
        <v>917.09371000000021</v>
      </c>
      <c r="Z27" s="154">
        <f t="shared" si="41"/>
        <v>1192.2218230000003</v>
      </c>
      <c r="AA27" s="154">
        <f t="shared" si="42"/>
        <v>1549.8883699000005</v>
      </c>
      <c r="AB27" s="154">
        <f t="shared" si="43"/>
        <v>2014.8548808700007</v>
      </c>
      <c r="AC27" s="154">
        <f t="shared" si="44"/>
        <v>2619.311345131001</v>
      </c>
      <c r="AD27" s="138">
        <f t="shared" si="17"/>
        <v>0.25473338819879898</v>
      </c>
      <c r="AE27" s="31">
        <f t="shared" si="15"/>
        <v>0.05</v>
      </c>
      <c r="AF27" s="146">
        <f t="shared" si="1"/>
        <v>16178.099484632654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M28" si="73">(G27-F27)/G27</f>
        <v>1</v>
      </c>
      <c r="H28" s="148" t="e">
        <f t="shared" si="73"/>
        <v>#DIV/0!</v>
      </c>
      <c r="I28" s="148">
        <f t="shared" si="73"/>
        <v>1</v>
      </c>
      <c r="J28" s="148">
        <f t="shared" si="73"/>
        <v>0.36363636363636365</v>
      </c>
      <c r="K28" s="148">
        <f t="shared" si="73"/>
        <v>0.37142857142857144</v>
      </c>
      <c r="L28" s="148">
        <f t="shared" si="73"/>
        <v>0.27083333333333331</v>
      </c>
      <c r="M28" s="148">
        <f t="shared" si="73"/>
        <v>5.8823529411764705E-2</v>
      </c>
      <c r="N28" s="148">
        <f t="shared" ref="N28" si="74">(N27-M27)/N27</f>
        <v>0.24444444444444444</v>
      </c>
      <c r="O28" s="148">
        <f t="shared" ref="O28" si="75">(O27-N27)/O27</f>
        <v>0.14556962025316456</v>
      </c>
      <c r="P28" s="148">
        <f t="shared" ref="P28:Q28" si="76">(P27-O27)/P27</f>
        <v>0.16842105263157894</v>
      </c>
      <c r="Q28" s="216">
        <f t="shared" si="76"/>
        <v>0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f t="shared" si="22"/>
        <v>0.31</v>
      </c>
      <c r="H29" s="147"/>
      <c r="I29" s="147">
        <v>0.31</v>
      </c>
      <c r="J29" s="147">
        <v>0.77</v>
      </c>
      <c r="K29" s="147">
        <v>1.7</v>
      </c>
      <c r="L29" s="147">
        <v>2</v>
      </c>
      <c r="M29" s="147">
        <v>2</v>
      </c>
      <c r="N29" s="147">
        <v>2</v>
      </c>
      <c r="O29" s="147">
        <v>3</v>
      </c>
      <c r="P29" s="147">
        <v>0.5</v>
      </c>
      <c r="Q29" s="214">
        <f t="shared" si="20"/>
        <v>0.5</v>
      </c>
      <c r="R29" s="118">
        <f>((Q29/G29)^(1/($H$2-$H$1) ))-1</f>
        <v>5.4551005349584347E-2</v>
      </c>
      <c r="S29" s="31">
        <f t="shared" si="5"/>
        <v>0.3</v>
      </c>
      <c r="T29" s="154">
        <f t="shared" si="2"/>
        <v>0.65</v>
      </c>
      <c r="U29" s="154">
        <f t="shared" ref="U29" si="77">T29*(1+$S29)</f>
        <v>0.84500000000000008</v>
      </c>
      <c r="V29" s="154">
        <f t="shared" ref="V29" si="78">U29*(1+$S29)</f>
        <v>1.0985000000000003</v>
      </c>
      <c r="W29" s="154">
        <f t="shared" ref="W29" si="79">V29*(1+$S29)</f>
        <v>1.4280500000000005</v>
      </c>
      <c r="X29" s="154">
        <f t="shared" ref="X29" si="80">W29*(1+$S29)</f>
        <v>1.8564650000000007</v>
      </c>
      <c r="Y29" s="154">
        <f t="shared" ref="Y29" si="81">X29*(1+$S29)</f>
        <v>2.4134045000000008</v>
      </c>
      <c r="Z29" s="154">
        <f t="shared" ref="Z29" si="82">Y29*(1+$S29)</f>
        <v>3.1374258500000014</v>
      </c>
      <c r="AA29" s="154">
        <f t="shared" ref="AA29" si="83">Z29*(1+$S29)</f>
        <v>4.0786536050000022</v>
      </c>
      <c r="AB29" s="154">
        <f t="shared" ref="AB29" si="84">AA29*(1+$S29)</f>
        <v>5.3022496865000033</v>
      </c>
      <c r="AC29" s="154">
        <f t="shared" ref="AC29" si="85">AB29*(1+$S29)</f>
        <v>6.8929245924500044</v>
      </c>
      <c r="AD29" s="138">
        <f t="shared" ref="AD29" si="86">((AC29/G29)^(1/($AC$3-$H$1) ))-1</f>
        <v>0.16775595773651975</v>
      </c>
      <c r="AE29" s="31">
        <f t="shared" si="15"/>
        <v>0.05</v>
      </c>
      <c r="AF29" s="146">
        <f t="shared" ref="AF29" si="87">(AC29*(1+AE29))/($C$1-AE29)</f>
        <v>42.573946012191207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L30" si="88">(G29-F29)/G29</f>
        <v>1</v>
      </c>
      <c r="H30" s="148" t="e">
        <f t="shared" si="88"/>
        <v>#DIV/0!</v>
      </c>
      <c r="I30" s="148">
        <f t="shared" si="88"/>
        <v>1</v>
      </c>
      <c r="J30" s="148">
        <f t="shared" si="88"/>
        <v>0.59740259740259738</v>
      </c>
      <c r="K30" s="148">
        <f t="shared" si="88"/>
        <v>0.54705882352941171</v>
      </c>
      <c r="L30" s="148">
        <f t="shared" si="88"/>
        <v>0.15000000000000002</v>
      </c>
      <c r="M30" s="148">
        <f t="shared" ref="M30" si="89">(M29-L29)/M29</f>
        <v>0</v>
      </c>
      <c r="N30" s="148">
        <f t="shared" ref="N30" si="90">(N29-M29)/N29</f>
        <v>0</v>
      </c>
      <c r="O30" s="148">
        <f t="shared" ref="O30" si="91">(O29-N29)/O29</f>
        <v>0.33333333333333331</v>
      </c>
      <c r="P30" s="148">
        <f t="shared" ref="P30:Q30" si="92">(P29-O29)/P29</f>
        <v>-5</v>
      </c>
      <c r="Q30" s="216">
        <f t="shared" si="92"/>
        <v>0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>
        <f t="shared" si="22"/>
        <v>0</v>
      </c>
      <c r="H31" s="147"/>
      <c r="I31" s="147"/>
      <c r="J31" s="147"/>
      <c r="K31" s="147"/>
      <c r="L31" s="147"/>
      <c r="M31" s="147"/>
      <c r="N31" s="147"/>
      <c r="O31" s="147"/>
      <c r="P31" s="147"/>
      <c r="Q31" s="214">
        <f t="shared" si="20"/>
        <v>0</v>
      </c>
      <c r="R31" s="118" t="e">
        <f>((Q31/G31)^(1/($H$2-$H$1) ))-1</f>
        <v>#DIV/0!</v>
      </c>
      <c r="S31" s="31">
        <f t="shared" si="5"/>
        <v>0.3</v>
      </c>
      <c r="T31" s="154">
        <f t="shared" si="2"/>
        <v>0</v>
      </c>
      <c r="U31" s="154">
        <f>T31*(1+$S31)</f>
        <v>0</v>
      </c>
      <c r="V31" s="154">
        <f t="shared" ref="V31:AC32" si="93">U31*(1+$S31)</f>
        <v>0</v>
      </c>
      <c r="W31" s="154">
        <f t="shared" si="93"/>
        <v>0</v>
      </c>
      <c r="X31" s="154">
        <f t="shared" si="93"/>
        <v>0</v>
      </c>
      <c r="Y31" s="154">
        <f t="shared" si="93"/>
        <v>0</v>
      </c>
      <c r="Z31" s="154">
        <f t="shared" si="93"/>
        <v>0</v>
      </c>
      <c r="AA31" s="154">
        <f t="shared" si="93"/>
        <v>0</v>
      </c>
      <c r="AB31" s="154">
        <f t="shared" si="93"/>
        <v>0</v>
      </c>
      <c r="AC31" s="154">
        <f t="shared" si="93"/>
        <v>0</v>
      </c>
      <c r="AD31" s="138" t="e">
        <f t="shared" ref="AD31" si="94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>
        <f t="shared" si="22"/>
        <v>0</v>
      </c>
      <c r="H32" s="147"/>
      <c r="I32" s="147"/>
      <c r="J32" s="147"/>
      <c r="K32" s="147"/>
      <c r="L32" s="147"/>
      <c r="M32" s="147"/>
      <c r="N32" s="147"/>
      <c r="O32" s="147"/>
      <c r="P32" s="147"/>
      <c r="Q32" s="214">
        <f t="shared" si="20"/>
        <v>0</v>
      </c>
      <c r="R32" s="118" t="e">
        <f>((Q32/G32)^(1/($H$2-$H$1) ))-1</f>
        <v>#DIV/0!</v>
      </c>
      <c r="S32" s="31">
        <f t="shared" si="5"/>
        <v>0.3</v>
      </c>
      <c r="T32" s="154">
        <f t="shared" si="2"/>
        <v>0</v>
      </c>
      <c r="U32" s="154">
        <f>T32*(1+$S32)</f>
        <v>0</v>
      </c>
      <c r="V32" s="154">
        <f t="shared" si="93"/>
        <v>0</v>
      </c>
      <c r="W32" s="154">
        <f t="shared" si="93"/>
        <v>0</v>
      </c>
      <c r="X32" s="154">
        <f t="shared" si="93"/>
        <v>0</v>
      </c>
      <c r="Y32" s="154">
        <f t="shared" si="93"/>
        <v>0</v>
      </c>
      <c r="Z32" s="154">
        <f t="shared" si="93"/>
        <v>0</v>
      </c>
      <c r="AA32" s="154">
        <f t="shared" si="93"/>
        <v>0</v>
      </c>
      <c r="AB32" s="154">
        <f t="shared" si="93"/>
        <v>0</v>
      </c>
      <c r="AC32" s="154">
        <f t="shared" si="93"/>
        <v>0</v>
      </c>
      <c r="AD32" s="138" t="e">
        <f t="shared" ref="AD32" si="95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f t="shared" si="22"/>
        <v>0</v>
      </c>
      <c r="H33" s="147"/>
      <c r="I33" s="147"/>
      <c r="J33" s="147"/>
      <c r="K33" s="147"/>
      <c r="L33" s="147"/>
      <c r="M33" s="147"/>
      <c r="N33" s="147"/>
      <c r="O33" s="147"/>
      <c r="P33" s="147"/>
      <c r="Q33" s="214">
        <f t="shared" si="20"/>
        <v>0</v>
      </c>
      <c r="R33" s="118" t="e">
        <f>((Q33/G33)^(1/($H$2-$H$1) ))-1</f>
        <v>#DIV/0!</v>
      </c>
      <c r="S33" s="31">
        <f t="shared" si="5"/>
        <v>0.3</v>
      </c>
      <c r="T33" s="154">
        <f t="shared" si="2"/>
        <v>0</v>
      </c>
      <c r="U33" s="154">
        <f t="shared" si="36"/>
        <v>0</v>
      </c>
      <c r="V33" s="154">
        <f t="shared" si="37"/>
        <v>0</v>
      </c>
      <c r="W33" s="154">
        <f t="shared" si="38"/>
        <v>0</v>
      </c>
      <c r="X33" s="154">
        <f t="shared" si="39"/>
        <v>0</v>
      </c>
      <c r="Y33" s="154">
        <f t="shared" si="40"/>
        <v>0</v>
      </c>
      <c r="Z33" s="154">
        <f t="shared" si="41"/>
        <v>0</v>
      </c>
      <c r="AA33" s="154">
        <f t="shared" si="42"/>
        <v>0</v>
      </c>
      <c r="AB33" s="154">
        <f t="shared" si="43"/>
        <v>0</v>
      </c>
      <c r="AC33" s="154">
        <f t="shared" si="44"/>
        <v>0</v>
      </c>
      <c r="AD33" s="138" t="e">
        <f t="shared" si="17"/>
        <v>#DIV/0!</v>
      </c>
      <c r="AE33" s="31">
        <f t="shared" si="15"/>
        <v>0.05</v>
      </c>
      <c r="AF33" s="146">
        <f t="shared" si="1"/>
        <v>0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f t="shared" si="22"/>
        <v>0</v>
      </c>
      <c r="H34" s="147"/>
      <c r="I34" s="147"/>
      <c r="J34" s="147"/>
      <c r="K34" s="147"/>
      <c r="L34" s="147"/>
      <c r="M34" s="147"/>
      <c r="N34" s="147"/>
      <c r="O34" s="147"/>
      <c r="P34" s="147"/>
      <c r="Q34" s="214">
        <f t="shared" si="20"/>
        <v>0</v>
      </c>
      <c r="R34" s="118" t="e">
        <f>((Q34/G34)^(1/($H$2-$H$1) ))-1</f>
        <v>#DIV/0!</v>
      </c>
      <c r="S34" s="31">
        <f t="shared" si="5"/>
        <v>0.3</v>
      </c>
      <c r="T34" s="154">
        <f t="shared" si="2"/>
        <v>0</v>
      </c>
      <c r="U34" s="154">
        <f t="shared" si="36"/>
        <v>0</v>
      </c>
      <c r="V34" s="154">
        <f t="shared" si="37"/>
        <v>0</v>
      </c>
      <c r="W34" s="154">
        <f t="shared" si="38"/>
        <v>0</v>
      </c>
      <c r="X34" s="154">
        <f t="shared" si="39"/>
        <v>0</v>
      </c>
      <c r="Y34" s="154">
        <f t="shared" si="40"/>
        <v>0</v>
      </c>
      <c r="Z34" s="154">
        <f t="shared" si="41"/>
        <v>0</v>
      </c>
      <c r="AA34" s="154">
        <f t="shared" si="42"/>
        <v>0</v>
      </c>
      <c r="AB34" s="154">
        <f t="shared" si="43"/>
        <v>0</v>
      </c>
      <c r="AC34" s="154">
        <f t="shared" si="44"/>
        <v>0</v>
      </c>
      <c r="AD34" s="138" t="e">
        <f t="shared" si="17"/>
        <v>#DIV/0!</v>
      </c>
      <c r="AE34" s="31">
        <f t="shared" si="15"/>
        <v>0.05</v>
      </c>
      <c r="AF34" s="146">
        <f t="shared" si="1"/>
        <v>0</v>
      </c>
    </row>
    <row r="35" spans="2:32" x14ac:dyDescent="0.2">
      <c r="B35" s="20"/>
      <c r="C35" s="141"/>
      <c r="D35" s="141"/>
      <c r="E35" s="147"/>
      <c r="F35" s="147"/>
      <c r="G35" s="147">
        <f t="shared" si="22"/>
        <v>0</v>
      </c>
      <c r="H35" s="147"/>
      <c r="I35" s="147"/>
      <c r="J35" s="147"/>
      <c r="K35" s="147"/>
      <c r="L35" s="147"/>
      <c r="M35" s="147"/>
      <c r="N35" s="147"/>
      <c r="O35" s="147"/>
      <c r="P35" s="147"/>
      <c r="Q35" s="214">
        <f t="shared" si="20"/>
        <v>0</v>
      </c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f t="shared" si="22"/>
        <v>4.5</v>
      </c>
      <c r="H36" s="147"/>
      <c r="I36" s="147">
        <v>4.5</v>
      </c>
      <c r="J36" s="147">
        <v>7.5</v>
      </c>
      <c r="K36" s="147">
        <v>12.5</v>
      </c>
      <c r="L36" s="147">
        <v>20</v>
      </c>
      <c r="M36" s="147">
        <v>26</v>
      </c>
      <c r="N36" s="147">
        <v>38</v>
      </c>
      <c r="O36" s="147">
        <v>38</v>
      </c>
      <c r="P36" s="147">
        <v>37</v>
      </c>
      <c r="Q36" s="214">
        <f t="shared" si="20"/>
        <v>37</v>
      </c>
      <c r="R36" s="118">
        <f>((Q36/G36)^(1/($H$2-$H$1) ))-1</f>
        <v>0.26376251030160192</v>
      </c>
      <c r="S36" s="31">
        <f t="shared" si="5"/>
        <v>0.3</v>
      </c>
      <c r="T36" s="154">
        <f t="shared" si="2"/>
        <v>48.1</v>
      </c>
      <c r="U36" s="154">
        <f t="shared" ref="U36" si="96">T36*(1+$S36)</f>
        <v>62.53</v>
      </c>
      <c r="V36" s="154">
        <f t="shared" ref="V36" si="97">U36*(1+$S36)</f>
        <v>81.289000000000001</v>
      </c>
      <c r="W36" s="154">
        <f t="shared" ref="W36" si="98">V36*(1+$S36)</f>
        <v>105.67570000000001</v>
      </c>
      <c r="X36" s="154">
        <f t="shared" si="39"/>
        <v>137.37841</v>
      </c>
      <c r="Y36" s="154">
        <f t="shared" si="40"/>
        <v>178.59193300000001</v>
      </c>
      <c r="Z36" s="154">
        <f t="shared" si="41"/>
        <v>232.16951290000003</v>
      </c>
      <c r="AA36" s="154">
        <f t="shared" si="42"/>
        <v>301.82036677000002</v>
      </c>
      <c r="AB36" s="154">
        <f t="shared" si="43"/>
        <v>392.36647680100003</v>
      </c>
      <c r="AC36" s="154">
        <f t="shared" si="44"/>
        <v>510.07641984130004</v>
      </c>
      <c r="AD36" s="138">
        <f t="shared" si="17"/>
        <v>0.26683815956111157</v>
      </c>
      <c r="AE36" s="31">
        <f t="shared" si="15"/>
        <v>0.05</v>
      </c>
      <c r="AF36" s="146">
        <f t="shared" si="1"/>
        <v>3150.472004902148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99">(G36-F36)/G36</f>
        <v>1</v>
      </c>
      <c r="H37" s="148" t="e">
        <f t="shared" ref="H37" si="100">(H36-G36)/H36</f>
        <v>#DIV/0!</v>
      </c>
      <c r="I37" s="148">
        <f t="shared" ref="I37" si="101">(I36-H36)/I36</f>
        <v>1</v>
      </c>
      <c r="J37" s="148">
        <f t="shared" ref="J37" si="102">(J36-I36)/J36</f>
        <v>0.4</v>
      </c>
      <c r="K37" s="148">
        <f t="shared" ref="K37" si="103">(K36-J36)/K36</f>
        <v>0.4</v>
      </c>
      <c r="L37" s="148">
        <f t="shared" ref="L37" si="104">(L36-K36)/L36</f>
        <v>0.375</v>
      </c>
      <c r="M37" s="148">
        <f t="shared" ref="M37" si="105">(M36-L36)/M36</f>
        <v>0.23076923076923078</v>
      </c>
      <c r="N37" s="148">
        <f t="shared" ref="N37" si="106">(N36-M36)/N36</f>
        <v>0.31578947368421051</v>
      </c>
      <c r="O37" s="148">
        <f t="shared" ref="O37" si="107">(O36-N36)/O36</f>
        <v>0</v>
      </c>
      <c r="P37" s="148">
        <f t="shared" ref="P37:Q37" si="108">(P36-O36)/P36</f>
        <v>-2.7027027027027029E-2</v>
      </c>
      <c r="Q37" s="216">
        <f t="shared" si="108"/>
        <v>0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400</v>
      </c>
      <c r="C38" s="149"/>
      <c r="D38" s="149"/>
      <c r="E38" s="150"/>
      <c r="F38" s="150"/>
      <c r="G38" s="147">
        <f t="shared" si="22"/>
        <v>4.4000000000000004</v>
      </c>
      <c r="H38" s="147"/>
      <c r="I38" s="147">
        <v>4.4000000000000004</v>
      </c>
      <c r="J38" s="147">
        <v>4.75</v>
      </c>
      <c r="K38" s="147">
        <v>7.4</v>
      </c>
      <c r="L38" s="147">
        <v>10.6</v>
      </c>
      <c r="M38" s="147">
        <v>15</v>
      </c>
      <c r="N38" s="147">
        <v>24</v>
      </c>
      <c r="O38" s="147">
        <v>27</v>
      </c>
      <c r="P38" s="147">
        <v>30</v>
      </c>
      <c r="Q38" s="214">
        <f t="shared" si="20"/>
        <v>30</v>
      </c>
      <c r="R38" s="118">
        <f>((Q38/G38)^(1/($H$2-$H$1) ))-1</f>
        <v>0.23774118496889352</v>
      </c>
      <c r="S38" s="31">
        <f t="shared" si="5"/>
        <v>0.3</v>
      </c>
      <c r="T38" s="154">
        <f t="shared" si="2"/>
        <v>39</v>
      </c>
      <c r="U38" s="154">
        <f t="shared" ref="U38" si="109">T38*(1+$S38)</f>
        <v>50.7</v>
      </c>
      <c r="V38" s="154">
        <f t="shared" ref="V38" si="110">U38*(1+$S38)</f>
        <v>65.910000000000011</v>
      </c>
      <c r="W38" s="154">
        <f t="shared" ref="W38" si="111">V38*(1+$S38)</f>
        <v>85.683000000000021</v>
      </c>
      <c r="X38" s="154">
        <f t="shared" ref="X38" si="112">W38*(1+$S38)</f>
        <v>111.38790000000003</v>
      </c>
      <c r="Y38" s="154">
        <f t="shared" ref="Y38" si="113">X38*(1+$S38)</f>
        <v>144.80427000000003</v>
      </c>
      <c r="Z38" s="154">
        <f t="shared" ref="Z38" si="114">Y38*(1+$S38)</f>
        <v>188.24555100000003</v>
      </c>
      <c r="AA38" s="154">
        <f t="shared" ref="AA38" si="115">Z38*(1+$S38)</f>
        <v>244.71921630000006</v>
      </c>
      <c r="AB38" s="154">
        <f t="shared" ref="AB38" si="116">AA38*(1+$S38)</f>
        <v>318.13498119000008</v>
      </c>
      <c r="AC38" s="154">
        <f t="shared" ref="AC38" si="117">AB38*(1+$S38)</f>
        <v>413.57547554700011</v>
      </c>
      <c r="AD38" s="138">
        <f t="shared" ref="AD38" si="118">((AC38/G38)^(1/($AC$3-$H$1) ))-1</f>
        <v>0.25503288354785392</v>
      </c>
      <c r="AE38" s="31">
        <f t="shared" si="15"/>
        <v>0.05</v>
      </c>
      <c r="AF38" s="146">
        <f t="shared" ref="AF38" si="119">(AC38*(1+AE38))/($C$1-AE38)</f>
        <v>2554.4367607314716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" si="120">(G38-F38)/G38</f>
        <v>1</v>
      </c>
      <c r="H39" s="148" t="e">
        <f t="shared" ref="H39" si="121">(H38-G38)/H38</f>
        <v>#DIV/0!</v>
      </c>
      <c r="I39" s="148">
        <f t="shared" ref="I39" si="122">(I38-H38)/I38</f>
        <v>1</v>
      </c>
      <c r="J39" s="148">
        <f t="shared" ref="J39" si="123">(J38-I38)/J38</f>
        <v>7.3684210526315713E-2</v>
      </c>
      <c r="K39" s="148">
        <f t="shared" ref="K39" si="124">(K38-J38)/K38</f>
        <v>0.35810810810810811</v>
      </c>
      <c r="L39" s="148">
        <f t="shared" ref="L39" si="125">(L38-K38)/L38</f>
        <v>0.30188679245283012</v>
      </c>
      <c r="M39" s="148">
        <f t="shared" ref="M39" si="126">(M38-L38)/M38</f>
        <v>0.29333333333333333</v>
      </c>
      <c r="N39" s="148">
        <f t="shared" ref="N39" si="127">(N38-M38)/N38</f>
        <v>0.375</v>
      </c>
      <c r="O39" s="148">
        <f t="shared" ref="O39" si="128">(O38-N38)/O38</f>
        <v>0.1111111111111111</v>
      </c>
      <c r="P39" s="148">
        <f t="shared" ref="P39:Q39" si="129">(P38-O38)/P38</f>
        <v>0.1</v>
      </c>
      <c r="Q39" s="216">
        <f t="shared" si="129"/>
        <v>0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401</v>
      </c>
      <c r="C40" s="141"/>
      <c r="D40" s="141"/>
      <c r="E40" s="147"/>
      <c r="F40" s="147"/>
      <c r="G40" s="147">
        <f t="shared" si="22"/>
        <v>3.15</v>
      </c>
      <c r="H40" s="147"/>
      <c r="I40" s="147">
        <v>3.15</v>
      </c>
      <c r="J40" s="147">
        <v>3.12</v>
      </c>
      <c r="K40" s="147">
        <v>4.46</v>
      </c>
      <c r="L40" s="147">
        <v>6</v>
      </c>
      <c r="M40" s="147">
        <v>11</v>
      </c>
      <c r="N40" s="147">
        <v>15</v>
      </c>
      <c r="O40" s="147">
        <v>17</v>
      </c>
      <c r="P40" s="147">
        <v>23</v>
      </c>
      <c r="Q40" s="214">
        <f t="shared" si="20"/>
        <v>23</v>
      </c>
      <c r="R40" s="118">
        <f>((Q40/G40)^(1/($H$2-$H$1) ))-1</f>
        <v>0.24719756300666496</v>
      </c>
      <c r="S40" s="31">
        <f t="shared" si="5"/>
        <v>0.3</v>
      </c>
      <c r="T40" s="154">
        <f t="shared" si="2"/>
        <v>29.900000000000002</v>
      </c>
      <c r="U40" s="154">
        <f t="shared" ref="U40:AC40" si="130">T40*(1+$S40)</f>
        <v>38.870000000000005</v>
      </c>
      <c r="V40" s="154">
        <f t="shared" si="130"/>
        <v>50.531000000000006</v>
      </c>
      <c r="W40" s="154">
        <f t="shared" si="130"/>
        <v>65.690300000000008</v>
      </c>
      <c r="X40" s="154">
        <f t="shared" si="130"/>
        <v>85.397390000000016</v>
      </c>
      <c r="Y40" s="154">
        <f t="shared" si="130"/>
        <v>111.01660700000002</v>
      </c>
      <c r="Z40" s="154">
        <f t="shared" si="130"/>
        <v>144.32158910000004</v>
      </c>
      <c r="AA40" s="154">
        <f t="shared" si="130"/>
        <v>187.61806583000006</v>
      </c>
      <c r="AB40" s="154">
        <f t="shared" si="130"/>
        <v>243.90348557900009</v>
      </c>
      <c r="AC40" s="154">
        <f t="shared" si="130"/>
        <v>317.07453125270013</v>
      </c>
      <c r="AD40" s="138">
        <f t="shared" si="17"/>
        <v>0.25933867288917023</v>
      </c>
      <c r="AE40" s="31">
        <f t="shared" si="15"/>
        <v>0.05</v>
      </c>
      <c r="AF40" s="146">
        <f t="shared" si="1"/>
        <v>1958.4015165607952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 t="e">
        <f t="shared" ref="H41:Q41" si="131">(H40-G40)/H40</f>
        <v>#DIV/0!</v>
      </c>
      <c r="I41" s="148">
        <f t="shared" si="131"/>
        <v>1</v>
      </c>
      <c r="J41" s="148">
        <f t="shared" si="131"/>
        <v>-9.6153846153845517E-3</v>
      </c>
      <c r="K41" s="148">
        <f t="shared" si="131"/>
        <v>0.30044843049327352</v>
      </c>
      <c r="L41" s="148">
        <f t="shared" si="131"/>
        <v>0.25666666666666665</v>
      </c>
      <c r="M41" s="148">
        <f t="shared" si="131"/>
        <v>0.45454545454545453</v>
      </c>
      <c r="N41" s="148">
        <f t="shared" si="131"/>
        <v>0.26666666666666666</v>
      </c>
      <c r="O41" s="148">
        <f t="shared" si="131"/>
        <v>0.11764705882352941</v>
      </c>
      <c r="P41" s="148">
        <f t="shared" si="131"/>
        <v>0.2608695652173913</v>
      </c>
      <c r="Q41" s="216">
        <f t="shared" si="131"/>
        <v>0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7">
        <f t="shared" si="22"/>
        <v>0.15</v>
      </c>
      <c r="H42" s="145"/>
      <c r="I42" s="145">
        <v>0.15</v>
      </c>
      <c r="J42" s="145">
        <v>0.15</v>
      </c>
      <c r="K42" s="145">
        <v>0.15</v>
      </c>
      <c r="L42" s="145">
        <v>0.15</v>
      </c>
      <c r="M42" s="145">
        <v>0.15</v>
      </c>
      <c r="N42" s="145">
        <v>2.85</v>
      </c>
      <c r="O42" s="145">
        <v>3.52</v>
      </c>
      <c r="P42" s="145">
        <v>4.6900000000000004</v>
      </c>
      <c r="Q42" s="217">
        <f t="shared" si="20"/>
        <v>4.6900000000000004</v>
      </c>
      <c r="R42" s="118">
        <f>((Q42/G42)^(1/($H$2-$H$1) ))-1</f>
        <v>0.46595343669686007</v>
      </c>
      <c r="S42" s="31">
        <f>P1</f>
        <v>0.05</v>
      </c>
      <c r="T42" s="154">
        <f t="shared" si="2"/>
        <v>4.924500000000001</v>
      </c>
      <c r="U42" s="154">
        <f t="shared" ref="U42:AC42" si="132">T42*(1+$S42)</f>
        <v>5.1707250000000009</v>
      </c>
      <c r="V42" s="154">
        <f t="shared" si="132"/>
        <v>5.4292612500000015</v>
      </c>
      <c r="W42" s="154">
        <f t="shared" si="132"/>
        <v>5.700724312500002</v>
      </c>
      <c r="X42" s="154">
        <f t="shared" si="132"/>
        <v>5.9857605281250024</v>
      </c>
      <c r="Y42" s="154">
        <f t="shared" si="132"/>
        <v>6.2850485545312527</v>
      </c>
      <c r="Z42" s="154">
        <f t="shared" si="132"/>
        <v>6.5993009822578159</v>
      </c>
      <c r="AA42" s="154">
        <f t="shared" si="132"/>
        <v>6.9292660313707071</v>
      </c>
      <c r="AB42" s="154">
        <f t="shared" si="132"/>
        <v>7.2757293329392425</v>
      </c>
      <c r="AC42" s="154">
        <f t="shared" si="132"/>
        <v>7.6395157995862046</v>
      </c>
      <c r="AD42" s="138">
        <f t="shared" si="17"/>
        <v>0.21716296288525849</v>
      </c>
      <c r="AE42" s="31">
        <f t="shared" si="15"/>
        <v>0.05</v>
      </c>
      <c r="AF42" s="146">
        <f t="shared" si="1"/>
        <v>47.185244644503037</v>
      </c>
    </row>
    <row r="43" spans="2:32" x14ac:dyDescent="0.2">
      <c r="B43" s="20"/>
      <c r="C43" s="142"/>
      <c r="D43" s="142"/>
      <c r="E43" s="143"/>
      <c r="F43" s="147"/>
      <c r="G43" s="148">
        <f>(G42-F42)/G42</f>
        <v>-5.666666666666667</v>
      </c>
      <c r="H43" s="148" t="e">
        <f t="shared" ref="H43" si="133">(H42-G42)/H42</f>
        <v>#DIV/0!</v>
      </c>
      <c r="I43" s="148">
        <f t="shared" ref="I43" si="134">(I42-H42)/I42</f>
        <v>1</v>
      </c>
      <c r="J43" s="148">
        <f t="shared" ref="J43" si="135">(J42-I42)/J42</f>
        <v>0</v>
      </c>
      <c r="K43" s="148">
        <f t="shared" ref="K43" si="136">(K42-J42)/K42</f>
        <v>0</v>
      </c>
      <c r="L43" s="148">
        <f t="shared" ref="L43" si="137">(L42-K42)/L42</f>
        <v>0</v>
      </c>
      <c r="M43" s="148">
        <f t="shared" ref="M43" si="138">(M42-L42)/M42</f>
        <v>0</v>
      </c>
      <c r="N43" s="148">
        <f t="shared" ref="N43" si="139">(N42-M42)/N42</f>
        <v>0.94736842105263164</v>
      </c>
      <c r="O43" s="148">
        <f t="shared" ref="O43" si="140">(O42-N42)/O42</f>
        <v>0.19034090909090906</v>
      </c>
      <c r="P43" s="148">
        <f t="shared" ref="P43:Q43" si="141">(P42-O42)/P42</f>
        <v>0.24946695095948834</v>
      </c>
      <c r="Q43" s="216">
        <f t="shared" si="141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7">
        <f t="shared" si="22"/>
        <v>0</v>
      </c>
      <c r="H44" s="145">
        <v>0</v>
      </c>
      <c r="I44" s="145">
        <v>0</v>
      </c>
      <c r="J44" s="145">
        <v>0</v>
      </c>
      <c r="K44" s="145">
        <v>0</v>
      </c>
      <c r="L44" s="145">
        <v>0</v>
      </c>
      <c r="M44" s="145">
        <v>0</v>
      </c>
      <c r="N44" s="145">
        <v>0</v>
      </c>
      <c r="O44" s="145">
        <v>0</v>
      </c>
      <c r="P44" s="145">
        <v>0</v>
      </c>
      <c r="Q44" s="214">
        <v>1</v>
      </c>
      <c r="R44" s="118" t="e">
        <f>((Q44/G44)^(1/($H$2-$H$1) ))-1</f>
        <v>#DIV/0!</v>
      </c>
      <c r="S44" s="31">
        <f>P1</f>
        <v>0.05</v>
      </c>
      <c r="T44" s="154">
        <f t="shared" si="2"/>
        <v>1.05</v>
      </c>
      <c r="U44" s="154">
        <f t="shared" ref="U44" si="142">T44*(1+$S44)</f>
        <v>1.1025</v>
      </c>
      <c r="V44" s="154">
        <f t="shared" ref="V44" si="143">U44*(1+$S44)</f>
        <v>1.1576250000000001</v>
      </c>
      <c r="W44" s="154">
        <f t="shared" ref="W44" si="144">V44*(1+$S44)</f>
        <v>1.2155062500000002</v>
      </c>
      <c r="X44" s="154">
        <f t="shared" ref="X44" si="145">W44*(1+$S44)</f>
        <v>1.2762815625000004</v>
      </c>
      <c r="Y44" s="154">
        <f t="shared" ref="Y44" si="146">X44*(1+$S44)</f>
        <v>1.3400956406250004</v>
      </c>
      <c r="Z44" s="154">
        <f t="shared" ref="Z44" si="147">Y44*(1+$S44)</f>
        <v>1.4071004226562505</v>
      </c>
      <c r="AA44" s="154">
        <f t="shared" ref="AA44" si="148">Z44*(1+$S44)</f>
        <v>1.477455443789063</v>
      </c>
      <c r="AB44" s="154">
        <f t="shared" ref="AB44" si="149">AA44*(1+$S44)</f>
        <v>1.5513282159785162</v>
      </c>
      <c r="AC44" s="154">
        <f t="shared" ref="AC44" si="150">AB44*(1+$S44)</f>
        <v>1.628894626777442</v>
      </c>
      <c r="AD44" s="138" t="e">
        <f t="shared" ref="AD44" si="151">((AC44/G44)^(1/($AC$3-$H$1) ))-1</f>
        <v>#DIV/0!</v>
      </c>
      <c r="AE44" s="31">
        <f t="shared" si="15"/>
        <v>0.05</v>
      </c>
      <c r="AF44" s="146">
        <f t="shared" si="1"/>
        <v>10.060819753625379</v>
      </c>
    </row>
    <row r="45" spans="2:32" x14ac:dyDescent="0.2">
      <c r="B45" s="20" t="s">
        <v>426</v>
      </c>
      <c r="C45" s="20"/>
      <c r="D45" s="20"/>
      <c r="E45" s="127"/>
      <c r="F45" s="127"/>
      <c r="G45" s="147">
        <f t="shared" si="22"/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214">
        <v>0</v>
      </c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424</v>
      </c>
      <c r="C46" s="20"/>
      <c r="D46" s="20"/>
      <c r="E46" s="127"/>
      <c r="F46" s="127"/>
      <c r="G46" s="147">
        <f t="shared" si="22"/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214">
        <v>0</v>
      </c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425</v>
      </c>
      <c r="C47" s="20"/>
      <c r="D47" s="20"/>
      <c r="E47" s="127"/>
      <c r="F47" s="127"/>
      <c r="G47" s="147">
        <f t="shared" si="22"/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214">
        <v>0</v>
      </c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13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2">C25/C42</f>
        <v>0</v>
      </c>
      <c r="D50" s="133">
        <f t="shared" si="152"/>
        <v>0</v>
      </c>
      <c r="E50" s="133">
        <f t="shared" si="152"/>
        <v>0</v>
      </c>
      <c r="F50" s="133">
        <f t="shared" si="152"/>
        <v>0</v>
      </c>
      <c r="G50" s="133">
        <f t="shared" si="152"/>
        <v>233.33333333333334</v>
      </c>
      <c r="H50" s="133" t="e">
        <f t="shared" si="152"/>
        <v>#DIV/0!</v>
      </c>
      <c r="I50" s="133">
        <f t="shared" si="152"/>
        <v>233.33333333333334</v>
      </c>
      <c r="J50" s="133">
        <f t="shared" si="152"/>
        <v>346.66666666666669</v>
      </c>
      <c r="K50" s="133">
        <f t="shared" si="152"/>
        <v>553.33333333333337</v>
      </c>
      <c r="L50" s="133">
        <f t="shared" si="152"/>
        <v>766.66666666666674</v>
      </c>
      <c r="M50" s="133">
        <f t="shared" si="152"/>
        <v>873.33333333333337</v>
      </c>
      <c r="N50" s="133">
        <f t="shared" si="152"/>
        <v>61.403508771929822</v>
      </c>
      <c r="O50" s="133">
        <f t="shared" si="152"/>
        <v>56.25</v>
      </c>
      <c r="P50" s="133">
        <f t="shared" si="152"/>
        <v>50.319829424307031</v>
      </c>
      <c r="Q50" s="133">
        <f t="shared" ref="Q50" si="153">Q25/Q42</f>
        <v>50.319829424307031</v>
      </c>
      <c r="R50" s="118">
        <f>((P50/G50)^(1/($H$2-$H$1) ))-1</f>
        <v>-0.15671651092094274</v>
      </c>
      <c r="S50" s="128"/>
      <c r="T50" s="158">
        <f t="shared" ref="T50:AC50" si="154">T25/T42</f>
        <v>62.30074119199918</v>
      </c>
      <c r="U50" s="158">
        <f t="shared" si="154"/>
        <v>77.134250999618033</v>
      </c>
      <c r="V50" s="158">
        <f t="shared" si="154"/>
        <v>95.499548856669946</v>
      </c>
      <c r="W50" s="158">
        <f t="shared" si="154"/>
        <v>118.2375366796866</v>
      </c>
      <c r="X50" s="158">
        <f t="shared" si="154"/>
        <v>146.38933112723103</v>
      </c>
      <c r="Y50" s="158">
        <f t="shared" si="154"/>
        <v>181.24393377657177</v>
      </c>
      <c r="Z50" s="158">
        <f t="shared" si="154"/>
        <v>224.39725134242215</v>
      </c>
      <c r="AA50" s="158">
        <f t="shared" si="154"/>
        <v>277.82516832871312</v>
      </c>
      <c r="AB50" s="158">
        <f t="shared" si="154"/>
        <v>343.97401793078768</v>
      </c>
      <c r="AC50" s="158">
        <f t="shared" si="154"/>
        <v>425.8725936285943</v>
      </c>
      <c r="AD50" s="138">
        <f t="shared" ref="AD50" si="155">((AC50/G50)^(1/($AC$3-$H$1) ))-1</f>
        <v>3.0540692785797185E-2</v>
      </c>
      <c r="AE50" s="31">
        <f t="shared" si="15"/>
        <v>0.05</v>
      </c>
      <c r="AF50" s="146">
        <f t="shared" ref="AF50:AF51" si="156">(AC50*(1+AE50))/($C$1-AE50)</f>
        <v>2630.3895488824942</v>
      </c>
    </row>
    <row r="51" spans="2:32" x14ac:dyDescent="0.2">
      <c r="B51" s="20" t="s">
        <v>304</v>
      </c>
      <c r="C51" s="133">
        <f t="shared" ref="C51:P51" si="157">C27/C42</f>
        <v>0</v>
      </c>
      <c r="D51" s="133">
        <f t="shared" si="157"/>
        <v>0</v>
      </c>
      <c r="E51" s="133">
        <f t="shared" si="157"/>
        <v>0</v>
      </c>
      <c r="F51" s="133">
        <f t="shared" si="157"/>
        <v>0</v>
      </c>
      <c r="G51" s="133">
        <f t="shared" si="157"/>
        <v>186.66666666666669</v>
      </c>
      <c r="H51" s="133" t="e">
        <f t="shared" si="157"/>
        <v>#DIV/0!</v>
      </c>
      <c r="I51" s="133">
        <f t="shared" si="157"/>
        <v>186.66666666666669</v>
      </c>
      <c r="J51" s="133">
        <f t="shared" si="157"/>
        <v>293.33333333333337</v>
      </c>
      <c r="K51" s="133">
        <f t="shared" si="157"/>
        <v>466.66666666666669</v>
      </c>
      <c r="L51" s="133">
        <f t="shared" si="157"/>
        <v>640</v>
      </c>
      <c r="M51" s="133">
        <f t="shared" si="157"/>
        <v>680</v>
      </c>
      <c r="N51" s="133">
        <f t="shared" si="157"/>
        <v>47.368421052631575</v>
      </c>
      <c r="O51" s="133">
        <f t="shared" si="157"/>
        <v>44.886363636363633</v>
      </c>
      <c r="P51" s="133">
        <f t="shared" si="157"/>
        <v>40.511727078891255</v>
      </c>
      <c r="Q51" s="133">
        <f t="shared" ref="Q51" si="158">Q27/Q42</f>
        <v>40.511727078891255</v>
      </c>
      <c r="R51" s="118">
        <f>((P51/G51)^(1/($H$2-$H$1) ))-1</f>
        <v>-0.15612264734615611</v>
      </c>
      <c r="S51" s="128"/>
      <c r="T51" s="158">
        <f t="shared" ref="T51:AC51" si="159">T27/T42</f>
        <v>50.157376383389163</v>
      </c>
      <c r="U51" s="158">
        <f t="shared" si="159"/>
        <v>62.099608855624687</v>
      </c>
      <c r="V51" s="158">
        <f t="shared" si="159"/>
        <v>76.88523001172581</v>
      </c>
      <c r="W51" s="158">
        <f t="shared" si="159"/>
        <v>95.1912371573748</v>
      </c>
      <c r="X51" s="158">
        <f t="shared" si="159"/>
        <v>117.85581743294023</v>
      </c>
      <c r="Y51" s="158">
        <f t="shared" si="159"/>
        <v>145.91672634554504</v>
      </c>
      <c r="Z51" s="158">
        <f t="shared" si="159"/>
        <v>180.65880404686527</v>
      </c>
      <c r="AA51" s="158">
        <f t="shared" si="159"/>
        <v>223.67280501040463</v>
      </c>
      <c r="AB51" s="158">
        <f t="shared" si="159"/>
        <v>276.92823477478669</v>
      </c>
      <c r="AC51" s="158">
        <f t="shared" si="159"/>
        <v>342.86352876878351</v>
      </c>
      <c r="AD51" s="138">
        <f t="shared" ref="AD51" si="160">((AC51/G51)^(1/($AC$3-$H$1) ))-1</f>
        <v>3.086721043867513E-2</v>
      </c>
      <c r="AE51" s="31">
        <f t="shared" si="15"/>
        <v>0.05</v>
      </c>
      <c r="AF51" s="146">
        <f t="shared" si="156"/>
        <v>2117.6865012189573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1.2500000000000004</v>
      </c>
      <c r="H52" s="133">
        <f t="shared" ref="H52:P52" si="161">H38-H40</f>
        <v>0</v>
      </c>
      <c r="I52" s="133">
        <f t="shared" si="161"/>
        <v>1.2500000000000004</v>
      </c>
      <c r="J52" s="133">
        <f t="shared" si="161"/>
        <v>1.63</v>
      </c>
      <c r="K52" s="133">
        <f t="shared" si="161"/>
        <v>2.9400000000000004</v>
      </c>
      <c r="L52" s="133">
        <f t="shared" si="161"/>
        <v>4.5999999999999996</v>
      </c>
      <c r="M52" s="133">
        <f t="shared" si="161"/>
        <v>4</v>
      </c>
      <c r="N52" s="133">
        <f t="shared" si="161"/>
        <v>9</v>
      </c>
      <c r="O52" s="133">
        <f t="shared" si="161"/>
        <v>10</v>
      </c>
      <c r="P52" s="133">
        <f t="shared" si="161"/>
        <v>7</v>
      </c>
      <c r="Q52" s="133">
        <f t="shared" ref="Q52" si="162">Q38-Q40</f>
        <v>7</v>
      </c>
      <c r="R52" s="118">
        <f>((P52/G52)^(1/($H$2-$H$1) ))-1</f>
        <v>0.21096614852932105</v>
      </c>
      <c r="S52" s="128"/>
      <c r="T52" s="133">
        <f t="shared" ref="T52:AC52" si="163">T38-T40</f>
        <v>9.0999999999999979</v>
      </c>
      <c r="U52" s="133">
        <f t="shared" si="163"/>
        <v>11.829999999999998</v>
      </c>
      <c r="V52" s="133">
        <f t="shared" si="163"/>
        <v>15.379000000000005</v>
      </c>
      <c r="W52" s="133">
        <f t="shared" si="163"/>
        <v>19.992700000000013</v>
      </c>
      <c r="X52" s="133">
        <f t="shared" si="163"/>
        <v>25.990510000000015</v>
      </c>
      <c r="Y52" s="133">
        <f t="shared" si="163"/>
        <v>33.787663000000009</v>
      </c>
      <c r="Z52" s="133">
        <f t="shared" si="163"/>
        <v>43.923961899999995</v>
      </c>
      <c r="AA52" s="133">
        <f t="shared" si="163"/>
        <v>57.101150469999993</v>
      </c>
      <c r="AB52" s="133">
        <f t="shared" si="163"/>
        <v>74.231495610999986</v>
      </c>
      <c r="AC52" s="133">
        <f t="shared" si="163"/>
        <v>96.500944294299984</v>
      </c>
      <c r="AD52" s="138">
        <f t="shared" ref="AD52" si="164">((AC52/G52)^(1/($AC$3-$H$1) ))-1</f>
        <v>0.24274229016218096</v>
      </c>
      <c r="AE52" s="31">
        <f t="shared" si="15"/>
        <v>0.05</v>
      </c>
      <c r="AF52" s="146">
        <f t="shared" ref="AF52" si="165">(AC52*(1+AE52))/($C$1-AE52)</f>
        <v>596.03524417067638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6">C40/C42</f>
        <v>0</v>
      </c>
      <c r="D54" s="25">
        <f t="shared" si="166"/>
        <v>0</v>
      </c>
      <c r="E54" s="25">
        <f t="shared" si="166"/>
        <v>0</v>
      </c>
      <c r="F54" s="133">
        <f t="shared" si="166"/>
        <v>0</v>
      </c>
      <c r="G54" s="133">
        <f t="shared" si="166"/>
        <v>21</v>
      </c>
      <c r="H54" s="133" t="e">
        <f t="shared" si="166"/>
        <v>#DIV/0!</v>
      </c>
      <c r="I54" s="133">
        <f t="shared" si="166"/>
        <v>21</v>
      </c>
      <c r="J54" s="133">
        <f t="shared" si="166"/>
        <v>20.8</v>
      </c>
      <c r="K54" s="133">
        <f t="shared" si="166"/>
        <v>29.733333333333334</v>
      </c>
      <c r="L54" s="133">
        <f t="shared" si="166"/>
        <v>40</v>
      </c>
      <c r="M54" s="133">
        <f t="shared" si="166"/>
        <v>73.333333333333343</v>
      </c>
      <c r="N54" s="133">
        <f t="shared" si="166"/>
        <v>5.2631578947368416</v>
      </c>
      <c r="O54" s="133">
        <f t="shared" si="166"/>
        <v>4.8295454545454541</v>
      </c>
      <c r="P54" s="133">
        <f t="shared" si="166"/>
        <v>4.9040511727078888</v>
      </c>
      <c r="Q54" s="133">
        <f t="shared" ref="Q54" si="167">Q40/Q42</f>
        <v>4.9040511727078888</v>
      </c>
      <c r="R54" s="118">
        <f>((P54/G54)^(1/($H$2-$H$1) ))-1</f>
        <v>-0.14922429881750121</v>
      </c>
      <c r="S54" s="128"/>
      <c r="T54" s="158">
        <f t="shared" ref="T54:AC54" si="168">T40/T42</f>
        <v>6.0716824043050046</v>
      </c>
      <c r="U54" s="158">
        <f t="shared" si="168"/>
        <v>7.5173210719966734</v>
      </c>
      <c r="V54" s="158">
        <f t="shared" si="168"/>
        <v>9.3071594224720702</v>
      </c>
      <c r="W54" s="158">
        <f t="shared" si="168"/>
        <v>11.523149761155896</v>
      </c>
      <c r="X54" s="158">
        <f t="shared" si="168"/>
        <v>14.266756847145395</v>
      </c>
      <c r="Y54" s="158">
        <f t="shared" si="168"/>
        <v>17.663603715513347</v>
      </c>
      <c r="Z54" s="158">
        <f t="shared" si="168"/>
        <v>21.86922364777843</v>
      </c>
      <c r="AA54" s="158">
        <f t="shared" si="168"/>
        <v>27.076181659154244</v>
      </c>
      <c r="AB54" s="158">
        <f t="shared" si="168"/>
        <v>33.522891578000497</v>
      </c>
      <c r="AC54" s="158">
        <f t="shared" si="168"/>
        <v>41.504532429905375</v>
      </c>
      <c r="AD54" s="138">
        <f t="shared" ref="AD54:AD68" si="169">((AC54/G54)^(1/($AC$3-$H$1) ))-1</f>
        <v>3.4650832542534094E-2</v>
      </c>
      <c r="AE54" s="31">
        <f t="shared" si="15"/>
        <v>0.05</v>
      </c>
      <c r="AF54" s="146">
        <f t="shared" ref="AF54:AF82" si="170">(AC54*(1+AE54))/($C$1-AE54)</f>
        <v>256.35152383176853</v>
      </c>
    </row>
    <row r="55" spans="2:32" x14ac:dyDescent="0.2">
      <c r="B55" s="20" t="s">
        <v>388</v>
      </c>
      <c r="C55" s="133">
        <f t="shared" ref="C55:F55" si="171">C20/C42</f>
        <v>0</v>
      </c>
      <c r="D55" s="133">
        <f t="shared" si="171"/>
        <v>0</v>
      </c>
      <c r="E55" s="133">
        <f t="shared" si="171"/>
        <v>0</v>
      </c>
      <c r="F55" s="133">
        <f t="shared" si="171"/>
        <v>0</v>
      </c>
      <c r="G55" s="133">
        <f>G20/G42</f>
        <v>0</v>
      </c>
      <c r="H55" s="133" t="e">
        <f t="shared" ref="H55:P55" si="172">H20/H42</f>
        <v>#DIV/0!</v>
      </c>
      <c r="I55" s="133">
        <f t="shared" si="172"/>
        <v>0</v>
      </c>
      <c r="J55" s="133">
        <f t="shared" si="172"/>
        <v>0</v>
      </c>
      <c r="K55" s="133">
        <f t="shared" si="172"/>
        <v>0</v>
      </c>
      <c r="L55" s="133">
        <f t="shared" si="172"/>
        <v>0</v>
      </c>
      <c r="M55" s="133">
        <f t="shared" si="172"/>
        <v>0</v>
      </c>
      <c r="N55" s="133">
        <f t="shared" si="172"/>
        <v>0</v>
      </c>
      <c r="O55" s="133">
        <f t="shared" si="172"/>
        <v>0</v>
      </c>
      <c r="P55" s="133">
        <f t="shared" si="172"/>
        <v>0</v>
      </c>
      <c r="Q55" s="133">
        <f t="shared" ref="Q55" si="173">Q20/Q42</f>
        <v>0</v>
      </c>
      <c r="R55" s="118" t="e">
        <f>((P55/G55)^(1/($H$2-$H$1) ))-1</f>
        <v>#DIV/0!</v>
      </c>
      <c r="S55" s="128"/>
      <c r="T55" s="133">
        <f t="shared" ref="T55:AC55" si="174">T20/T42</f>
        <v>0</v>
      </c>
      <c r="U55" s="133">
        <f t="shared" si="174"/>
        <v>0</v>
      </c>
      <c r="V55" s="133">
        <f t="shared" si="174"/>
        <v>0</v>
      </c>
      <c r="W55" s="133">
        <f t="shared" si="174"/>
        <v>0</v>
      </c>
      <c r="X55" s="133">
        <f t="shared" si="174"/>
        <v>0</v>
      </c>
      <c r="Y55" s="133">
        <f t="shared" si="174"/>
        <v>0</v>
      </c>
      <c r="Z55" s="133">
        <f t="shared" si="174"/>
        <v>0</v>
      </c>
      <c r="AA55" s="133">
        <f t="shared" si="174"/>
        <v>0</v>
      </c>
      <c r="AB55" s="133">
        <f t="shared" si="174"/>
        <v>0</v>
      </c>
      <c r="AC55" s="133">
        <f t="shared" si="174"/>
        <v>0</v>
      </c>
      <c r="AD55" s="138" t="e">
        <f t="shared" ref="AD55" si="175">((AC55/G55)^(1/($AC$3-$H$1) ))-1</f>
        <v>#DIV/0!</v>
      </c>
      <c r="AE55" s="31">
        <f t="shared" si="15"/>
        <v>0.05</v>
      </c>
      <c r="AF55" s="146">
        <f t="shared" si="170"/>
        <v>0</v>
      </c>
    </row>
    <row r="56" spans="2:32" x14ac:dyDescent="0.2">
      <c r="B56" s="20" t="s">
        <v>245</v>
      </c>
      <c r="C56" s="25">
        <f t="shared" ref="C56:P56" si="176">C7/C42</f>
        <v>0</v>
      </c>
      <c r="D56" s="25">
        <f t="shared" si="176"/>
        <v>0</v>
      </c>
      <c r="E56" s="25">
        <f t="shared" si="176"/>
        <v>0</v>
      </c>
      <c r="F56" s="133">
        <f t="shared" si="176"/>
        <v>0</v>
      </c>
      <c r="G56" s="133">
        <f t="shared" si="176"/>
        <v>40</v>
      </c>
      <c r="H56" s="133" t="e">
        <f t="shared" si="176"/>
        <v>#DIV/0!</v>
      </c>
      <c r="I56" s="133">
        <f t="shared" si="176"/>
        <v>40</v>
      </c>
      <c r="J56" s="133">
        <f t="shared" si="176"/>
        <v>60</v>
      </c>
      <c r="K56" s="133">
        <f t="shared" si="176"/>
        <v>326.66666666666669</v>
      </c>
      <c r="L56" s="133">
        <f t="shared" si="176"/>
        <v>366.66666666666669</v>
      </c>
      <c r="M56" s="133">
        <f t="shared" si="176"/>
        <v>466.66666666666669</v>
      </c>
      <c r="N56" s="133">
        <f t="shared" si="176"/>
        <v>34.035087719298247</v>
      </c>
      <c r="O56" s="133">
        <f t="shared" si="176"/>
        <v>32.670454545454547</v>
      </c>
      <c r="P56" s="133">
        <f t="shared" si="176"/>
        <v>61.833688699360337</v>
      </c>
      <c r="Q56" s="133">
        <f t="shared" ref="Q56" si="177">Q7/Q42</f>
        <v>61.833688699360337</v>
      </c>
      <c r="R56" s="118">
        <f>((P56/G56)^(1/($H$2-$H$1) ))-1</f>
        <v>4.9586779034684447E-2</v>
      </c>
      <c r="S56" s="128"/>
      <c r="T56" s="158">
        <f t="shared" ref="T56:AC56" si="178">T7/T42</f>
        <v>76.55599553254136</v>
      </c>
      <c r="U56" s="158">
        <f t="shared" si="178"/>
        <v>94.783613516479789</v>
      </c>
      <c r="V56" s="158">
        <f t="shared" si="178"/>
        <v>117.35114054421305</v>
      </c>
      <c r="W56" s="158">
        <f t="shared" si="178"/>
        <v>145.29188829283518</v>
      </c>
      <c r="X56" s="158">
        <f t="shared" si="178"/>
        <v>179.88519502922452</v>
      </c>
      <c r="Y56" s="158">
        <f t="shared" si="178"/>
        <v>222.7150033695161</v>
      </c>
      <c r="Z56" s="158">
        <f t="shared" si="178"/>
        <v>275.74238512416275</v>
      </c>
      <c r="AA56" s="158">
        <f t="shared" si="178"/>
        <v>341.39533396324907</v>
      </c>
      <c r="AB56" s="158">
        <f t="shared" si="178"/>
        <v>422.67993728783222</v>
      </c>
      <c r="AC56" s="158">
        <f t="shared" si="178"/>
        <v>523.31801759445898</v>
      </c>
      <c r="AD56" s="138">
        <f t="shared" si="169"/>
        <v>0.13719589889431116</v>
      </c>
      <c r="AE56" s="31">
        <f t="shared" si="15"/>
        <v>0.05</v>
      </c>
      <c r="AF56" s="146">
        <f t="shared" si="170"/>
        <v>3232.258343965776</v>
      </c>
    </row>
    <row r="57" spans="2:32" x14ac:dyDescent="0.2">
      <c r="B57" s="20" t="s">
        <v>246</v>
      </c>
      <c r="C57" s="127">
        <f t="shared" ref="C57:P57" si="179">C6/C42</f>
        <v>0</v>
      </c>
      <c r="D57" s="127">
        <f t="shared" si="179"/>
        <v>0</v>
      </c>
      <c r="E57" s="127">
        <f t="shared" si="179"/>
        <v>0</v>
      </c>
      <c r="F57" s="144">
        <f t="shared" si="179"/>
        <v>0</v>
      </c>
      <c r="G57" s="144">
        <f t="shared" si="179"/>
        <v>30.733333333333338</v>
      </c>
      <c r="H57" s="144" t="e">
        <f t="shared" si="179"/>
        <v>#DIV/0!</v>
      </c>
      <c r="I57" s="144">
        <f t="shared" si="179"/>
        <v>30.733333333333338</v>
      </c>
      <c r="J57" s="144">
        <f t="shared" si="179"/>
        <v>46.666666666666671</v>
      </c>
      <c r="K57" s="144">
        <f t="shared" si="179"/>
        <v>313.33333333333337</v>
      </c>
      <c r="L57" s="144">
        <f t="shared" si="179"/>
        <v>360</v>
      </c>
      <c r="M57" s="144">
        <f t="shared" si="179"/>
        <v>433.33333333333337</v>
      </c>
      <c r="N57" s="144">
        <f t="shared" si="179"/>
        <v>21.754385964912281</v>
      </c>
      <c r="O57" s="144">
        <f t="shared" si="179"/>
        <v>22.727272727272727</v>
      </c>
      <c r="P57" s="144">
        <f t="shared" si="179"/>
        <v>51.812366737739865</v>
      </c>
      <c r="Q57" s="144">
        <f t="shared" ref="Q57" si="180">Q6/Q42</f>
        <v>51.812366737739865</v>
      </c>
      <c r="R57" s="118">
        <f>((P57/G57)^(1/($H$2-$H$1) ))-1</f>
        <v>5.9748085119724514E-2</v>
      </c>
      <c r="S57" s="128"/>
      <c r="T57" s="157">
        <f t="shared" ref="T57:AC57" si="181">T6/T42</f>
        <v>64.148644532439832</v>
      </c>
      <c r="U57" s="157">
        <f t="shared" si="181"/>
        <v>79.422131325877899</v>
      </c>
      <c r="V57" s="157">
        <f t="shared" si="181"/>
        <v>98.332162593944062</v>
      </c>
      <c r="W57" s="157">
        <f t="shared" si="181"/>
        <v>121.74458225916884</v>
      </c>
      <c r="X57" s="157">
        <f t="shared" si="181"/>
        <v>150.73138755897094</v>
      </c>
      <c r="Y57" s="157">
        <f t="shared" si="181"/>
        <v>186.61981316824975</v>
      </c>
      <c r="Z57" s="157">
        <f t="shared" si="181"/>
        <v>231.053102017833</v>
      </c>
      <c r="AA57" s="157">
        <f t="shared" si="181"/>
        <v>286.06574535541228</v>
      </c>
      <c r="AB57" s="157">
        <f t="shared" si="181"/>
        <v>354.17663710670092</v>
      </c>
      <c r="AC57" s="157">
        <f t="shared" si="181"/>
        <v>438.50440784639164</v>
      </c>
      <c r="AD57" s="138">
        <f t="shared" si="169"/>
        <v>0.14213703664672139</v>
      </c>
      <c r="AE57" s="31">
        <f t="shared" si="15"/>
        <v>0.05</v>
      </c>
      <c r="AF57" s="146">
        <f t="shared" si="170"/>
        <v>2708.4095778747724</v>
      </c>
    </row>
    <row r="58" spans="2:32" x14ac:dyDescent="0.2">
      <c r="B58" s="20" t="s">
        <v>247</v>
      </c>
      <c r="C58" s="127">
        <f t="shared" ref="C58:P58" si="182">C10/C42</f>
        <v>0</v>
      </c>
      <c r="D58" s="127">
        <f t="shared" si="182"/>
        <v>0</v>
      </c>
      <c r="E58" s="127">
        <f t="shared" si="182"/>
        <v>0</v>
      </c>
      <c r="F58" s="144">
        <f t="shared" si="182"/>
        <v>0</v>
      </c>
      <c r="G58" s="144">
        <f t="shared" si="182"/>
        <v>56.666666666666671</v>
      </c>
      <c r="H58" s="144" t="e">
        <f t="shared" si="182"/>
        <v>#DIV/0!</v>
      </c>
      <c r="I58" s="144">
        <f t="shared" si="182"/>
        <v>56.666666666666671</v>
      </c>
      <c r="J58" s="144">
        <f t="shared" si="182"/>
        <v>160</v>
      </c>
      <c r="K58" s="144">
        <f t="shared" si="182"/>
        <v>186.66666666666669</v>
      </c>
      <c r="L58" s="144">
        <f t="shared" si="182"/>
        <v>160</v>
      </c>
      <c r="M58" s="144">
        <f t="shared" si="182"/>
        <v>153.33333333333334</v>
      </c>
      <c r="N58" s="144">
        <f t="shared" si="182"/>
        <v>7.0175438596491224</v>
      </c>
      <c r="O58" s="144">
        <f t="shared" si="182"/>
        <v>6.5340909090909092</v>
      </c>
      <c r="P58" s="144">
        <f t="shared" si="182"/>
        <v>2.1321961620469083E-2</v>
      </c>
      <c r="Q58" s="144">
        <f t="shared" ref="Q58" si="183">Q10/Q42</f>
        <v>2.1321961620469083E-2</v>
      </c>
      <c r="R58" s="118">
        <f>((P58/G58)^(1/($H$2-$H$1) ))-1</f>
        <v>-0.5836103332385687</v>
      </c>
      <c r="S58" s="128"/>
      <c r="T58" s="157">
        <f t="shared" ref="T58:AC58" si="184">T10/T42</f>
        <v>2.6398619149152192E-2</v>
      </c>
      <c r="U58" s="157">
        <f t="shared" si="184"/>
        <v>3.2684004660855102E-2</v>
      </c>
      <c r="V58" s="157">
        <f t="shared" si="184"/>
        <v>4.0465910532487263E-2</v>
      </c>
      <c r="W58" s="157">
        <f t="shared" si="184"/>
        <v>5.0100651135460417E-2</v>
      </c>
      <c r="X58" s="157">
        <f t="shared" si="184"/>
        <v>6.2029377596284324E-2</v>
      </c>
      <c r="Y58" s="157">
        <f t="shared" si="184"/>
        <v>7.6798277023971073E-2</v>
      </c>
      <c r="Z58" s="157">
        <f t="shared" si="184"/>
        <v>9.5083581077297516E-2</v>
      </c>
      <c r="AA58" s="157">
        <f t="shared" si="184"/>
        <v>0.11772252895284453</v>
      </c>
      <c r="AB58" s="157">
        <f t="shared" si="184"/>
        <v>0.14575170251304562</v>
      </c>
      <c r="AC58" s="157">
        <f t="shared" si="184"/>
        <v>0.18045448882567552</v>
      </c>
      <c r="AD58" s="138">
        <f t="shared" si="169"/>
        <v>-0.24984328507241638</v>
      </c>
      <c r="AE58" s="31">
        <f t="shared" si="15"/>
        <v>0.05</v>
      </c>
      <c r="AF58" s="146">
        <f t="shared" si="170"/>
        <v>1.1145718427468196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5">(C7-C10)/C42</f>
        <v>0</v>
      </c>
      <c r="D60" s="127">
        <f t="shared" si="185"/>
        <v>0</v>
      </c>
      <c r="E60" s="127">
        <f t="shared" si="185"/>
        <v>0</v>
      </c>
      <c r="F60" s="144">
        <f t="shared" si="185"/>
        <v>0</v>
      </c>
      <c r="G60" s="144">
        <f t="shared" si="185"/>
        <v>-16.666666666666668</v>
      </c>
      <c r="H60" s="144" t="e">
        <f t="shared" si="185"/>
        <v>#DIV/0!</v>
      </c>
      <c r="I60" s="144">
        <f t="shared" si="185"/>
        <v>-16.666666666666668</v>
      </c>
      <c r="J60" s="144">
        <f t="shared" si="185"/>
        <v>-100</v>
      </c>
      <c r="K60" s="144">
        <f t="shared" si="185"/>
        <v>140</v>
      </c>
      <c r="L60" s="144">
        <f t="shared" si="185"/>
        <v>206.66666666666669</v>
      </c>
      <c r="M60" s="144">
        <f t="shared" si="185"/>
        <v>313.33333333333337</v>
      </c>
      <c r="N60" s="144">
        <f t="shared" si="185"/>
        <v>27.017543859649123</v>
      </c>
      <c r="O60" s="144">
        <f t="shared" si="185"/>
        <v>26.136363636363637</v>
      </c>
      <c r="P60" s="144">
        <f t="shared" si="185"/>
        <v>61.812366737739865</v>
      </c>
      <c r="Q60" s="144">
        <f t="shared" ref="Q60" si="186">(Q7-Q10)/Q42</f>
        <v>61.812366737739865</v>
      </c>
      <c r="R60" s="118">
        <f>((P60/G60)^(1/($H$2-$H$1) ))-1</f>
        <v>-2.1567710270096887</v>
      </c>
      <c r="S60" s="128"/>
      <c r="T60" s="157">
        <f t="shared" ref="T60:AC60" si="187">(T7-T10)/T42</f>
        <v>76.529596913392211</v>
      </c>
      <c r="U60" s="157">
        <f t="shared" si="187"/>
        <v>94.750929511818939</v>
      </c>
      <c r="V60" s="157">
        <f t="shared" si="187"/>
        <v>117.31067463368056</v>
      </c>
      <c r="W60" s="157">
        <f t="shared" si="187"/>
        <v>145.24178764169974</v>
      </c>
      <c r="X60" s="157">
        <f t="shared" si="187"/>
        <v>179.82316565162827</v>
      </c>
      <c r="Y60" s="157">
        <f t="shared" si="187"/>
        <v>222.63820509249211</v>
      </c>
      <c r="Z60" s="157">
        <f t="shared" si="187"/>
        <v>275.64730154308546</v>
      </c>
      <c r="AA60" s="157">
        <f t="shared" si="187"/>
        <v>341.27761143429626</v>
      </c>
      <c r="AB60" s="157">
        <f t="shared" si="187"/>
        <v>422.53418558531922</v>
      </c>
      <c r="AC60" s="157">
        <f t="shared" si="187"/>
        <v>523.13756310563326</v>
      </c>
      <c r="AD60" s="138" t="e">
        <f t="shared" si="169"/>
        <v>#NUM!</v>
      </c>
      <c r="AE60" s="31">
        <f t="shared" si="15"/>
        <v>0.05</v>
      </c>
      <c r="AF60" s="146">
        <f t="shared" si="170"/>
        <v>3231.1437721230295</v>
      </c>
    </row>
    <row r="61" spans="2:32" x14ac:dyDescent="0.2">
      <c r="B61" s="20" t="s">
        <v>271</v>
      </c>
      <c r="C61" s="127">
        <f t="shared" ref="C61:P61" si="188">(C7-C10-C9)/C42</f>
        <v>0</v>
      </c>
      <c r="D61" s="127">
        <f t="shared" si="188"/>
        <v>0</v>
      </c>
      <c r="E61" s="127">
        <f t="shared" si="188"/>
        <v>0</v>
      </c>
      <c r="F61" s="144">
        <f t="shared" si="188"/>
        <v>0</v>
      </c>
      <c r="G61" s="144">
        <f t="shared" si="188"/>
        <v>-63.333333333333336</v>
      </c>
      <c r="H61" s="144" t="e">
        <f t="shared" si="188"/>
        <v>#DIV/0!</v>
      </c>
      <c r="I61" s="144">
        <f t="shared" si="188"/>
        <v>-63.333333333333336</v>
      </c>
      <c r="J61" s="144">
        <f t="shared" si="188"/>
        <v>-156.66666666666669</v>
      </c>
      <c r="K61" s="144">
        <f t="shared" si="188"/>
        <v>40</v>
      </c>
      <c r="L61" s="144">
        <f t="shared" si="188"/>
        <v>80</v>
      </c>
      <c r="M61" s="144">
        <f t="shared" si="188"/>
        <v>180</v>
      </c>
      <c r="N61" s="144">
        <f t="shared" si="188"/>
        <v>16.491228070175438</v>
      </c>
      <c r="O61" s="144">
        <f t="shared" si="188"/>
        <v>16.477272727272727</v>
      </c>
      <c r="P61" s="144">
        <f t="shared" si="188"/>
        <v>55.842217484008522</v>
      </c>
      <c r="Q61" s="144">
        <f t="shared" ref="Q61" si="189">(Q7-Q10-Q9)/Q42</f>
        <v>55.842217484008522</v>
      </c>
      <c r="R61" s="118">
        <f>((P61/G61)^(1/($H$2-$H$1) ))-1</f>
        <v>-1.9861105154274006</v>
      </c>
      <c r="S61" s="128"/>
      <c r="T61" s="157">
        <f t="shared" ref="T61:AC61" si="190">(T7-T10-T9)/T42</f>
        <v>69.137983551629603</v>
      </c>
      <c r="U61" s="157">
        <f t="shared" si="190"/>
        <v>85.599408206779501</v>
      </c>
      <c r="V61" s="157">
        <f t="shared" si="190"/>
        <v>105.98021968458414</v>
      </c>
      <c r="W61" s="157">
        <f t="shared" si="190"/>
        <v>131.21360532377079</v>
      </c>
      <c r="X61" s="157">
        <f t="shared" si="190"/>
        <v>162.45493992466865</v>
      </c>
      <c r="Y61" s="157">
        <f t="shared" si="190"/>
        <v>201.13468752578021</v>
      </c>
      <c r="Z61" s="157">
        <f t="shared" si="190"/>
        <v>249.02389884144216</v>
      </c>
      <c r="AA61" s="157">
        <f t="shared" si="190"/>
        <v>308.31530332749981</v>
      </c>
      <c r="AB61" s="157">
        <f t="shared" si="190"/>
        <v>381.72370888166643</v>
      </c>
      <c r="AC61" s="157">
        <f t="shared" si="190"/>
        <v>472.61030623444418</v>
      </c>
      <c r="AD61" s="138" t="e">
        <f t="shared" si="169"/>
        <v>#NUM!</v>
      </c>
      <c r="AE61" s="31">
        <f t="shared" si="15"/>
        <v>0.05</v>
      </c>
      <c r="AF61" s="146">
        <f t="shared" si="170"/>
        <v>2919.06365615392</v>
      </c>
    </row>
    <row r="62" spans="2:32" x14ac:dyDescent="0.2">
      <c r="B62" s="20" t="s">
        <v>276</v>
      </c>
      <c r="C62" s="127">
        <f t="shared" ref="C62:P62" si="191">(C7+C15-C10-C9)/C42</f>
        <v>0</v>
      </c>
      <c r="D62" s="127">
        <f t="shared" si="191"/>
        <v>0</v>
      </c>
      <c r="E62" s="127">
        <f t="shared" si="191"/>
        <v>0</v>
      </c>
      <c r="F62" s="144">
        <f t="shared" si="191"/>
        <v>0</v>
      </c>
      <c r="G62" s="144">
        <f t="shared" si="191"/>
        <v>-55.6</v>
      </c>
      <c r="H62" s="144" t="e">
        <f t="shared" si="191"/>
        <v>#DIV/0!</v>
      </c>
      <c r="I62" s="144">
        <f t="shared" si="191"/>
        <v>-55.6</v>
      </c>
      <c r="J62" s="144">
        <f t="shared" si="191"/>
        <v>-143.33333333333334</v>
      </c>
      <c r="K62" s="144">
        <f t="shared" si="191"/>
        <v>60</v>
      </c>
      <c r="L62" s="144">
        <f t="shared" si="191"/>
        <v>102.46666666666665</v>
      </c>
      <c r="M62" s="144">
        <f t="shared" si="191"/>
        <v>226.66666666666669</v>
      </c>
      <c r="N62" s="144">
        <f t="shared" si="191"/>
        <v>20.701754385964911</v>
      </c>
      <c r="O62" s="144">
        <f t="shared" si="191"/>
        <v>20.454545454545453</v>
      </c>
      <c r="P62" s="144">
        <f t="shared" si="191"/>
        <v>60.959488272921099</v>
      </c>
      <c r="Q62" s="144">
        <f t="shared" ref="Q62" si="192">(Q7+Q15-Q10-Q9)/Q42</f>
        <v>60.959488272921099</v>
      </c>
      <c r="R62" s="118">
        <f>((P62/G62)^(1/($H$2-$H$1) ))-1</f>
        <v>-2.0102776016222186</v>
      </c>
      <c r="S62" s="128"/>
      <c r="T62" s="157">
        <f t="shared" ref="T62:AC62" si="193">(T7+T15-T10-T9)/T42</f>
        <v>75.473652147426122</v>
      </c>
      <c r="U62" s="157">
        <f t="shared" si="193"/>
        <v>93.443569325384743</v>
      </c>
      <c r="V62" s="157">
        <f t="shared" si="193"/>
        <v>115.69203821238108</v>
      </c>
      <c r="W62" s="157">
        <f t="shared" si="193"/>
        <v>143.2377615962813</v>
      </c>
      <c r="X62" s="157">
        <f t="shared" si="193"/>
        <v>177.34199054777687</v>
      </c>
      <c r="Y62" s="157">
        <f t="shared" si="193"/>
        <v>219.56627401153324</v>
      </c>
      <c r="Z62" s="157">
        <f t="shared" si="193"/>
        <v>271.84395829999357</v>
      </c>
      <c r="AA62" s="157">
        <f t="shared" si="193"/>
        <v>336.56871027618246</v>
      </c>
      <c r="AB62" s="157">
        <f t="shared" si="193"/>
        <v>416.70411748479745</v>
      </c>
      <c r="AC62" s="157">
        <f t="shared" si="193"/>
        <v>515.91938355260629</v>
      </c>
      <c r="AD62" s="138" t="e">
        <f t="shared" si="169"/>
        <v>#NUM!</v>
      </c>
      <c r="AE62" s="31">
        <f t="shared" si="15"/>
        <v>0.05</v>
      </c>
      <c r="AF62" s="146">
        <f t="shared" si="170"/>
        <v>3186.5608984131572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4">C12/C42</f>
        <v>0</v>
      </c>
      <c r="D64" s="127">
        <f t="shared" si="194"/>
        <v>0</v>
      </c>
      <c r="E64" s="127">
        <f t="shared" si="194"/>
        <v>0</v>
      </c>
      <c r="F64" s="144">
        <f t="shared" si="194"/>
        <v>0</v>
      </c>
      <c r="G64" s="144">
        <f t="shared" si="194"/>
        <v>3.3333333333333335</v>
      </c>
      <c r="H64" s="144" t="e">
        <f t="shared" si="194"/>
        <v>#DIV/0!</v>
      </c>
      <c r="I64" s="144">
        <f t="shared" si="194"/>
        <v>3.3333333333333335</v>
      </c>
      <c r="J64" s="144">
        <f t="shared" si="194"/>
        <v>6</v>
      </c>
      <c r="K64" s="144">
        <f t="shared" si="194"/>
        <v>11.333333333333334</v>
      </c>
      <c r="L64" s="144">
        <f t="shared" si="194"/>
        <v>6</v>
      </c>
      <c r="M64" s="144">
        <f t="shared" si="194"/>
        <v>26.666666666666668</v>
      </c>
      <c r="N64" s="144">
        <f t="shared" si="194"/>
        <v>1.7543859649122806</v>
      </c>
      <c r="O64" s="144">
        <f t="shared" si="194"/>
        <v>1.9886363636363635</v>
      </c>
      <c r="P64" s="144">
        <f t="shared" si="194"/>
        <v>2.1321961620469083</v>
      </c>
      <c r="Q64" s="144">
        <f t="shared" ref="Q64" si="195">Q12/Q42</f>
        <v>2.1321961620469083</v>
      </c>
      <c r="R64" s="118">
        <f>((P64/G64)^(1/($H$2-$H$1) ))-1</f>
        <v>-4.8434446113394203E-2</v>
      </c>
      <c r="S64" s="128"/>
      <c r="T64" s="157">
        <f t="shared" ref="T64:AC64" si="196">T12/T42</f>
        <v>2.6398619149152194</v>
      </c>
      <c r="U64" s="157">
        <f t="shared" si="196"/>
        <v>3.2684004660855099</v>
      </c>
      <c r="V64" s="157">
        <f t="shared" si="196"/>
        <v>4.0465910532487266</v>
      </c>
      <c r="W64" s="157">
        <f t="shared" si="196"/>
        <v>5.0100651135460419</v>
      </c>
      <c r="X64" s="157">
        <f t="shared" si="196"/>
        <v>6.2029377596284325</v>
      </c>
      <c r="Y64" s="157">
        <f t="shared" si="196"/>
        <v>7.679827702397108</v>
      </c>
      <c r="Z64" s="157">
        <f t="shared" si="196"/>
        <v>9.5083581077297517</v>
      </c>
      <c r="AA64" s="157">
        <f t="shared" si="196"/>
        <v>11.772252895284455</v>
      </c>
      <c r="AB64" s="157">
        <f t="shared" si="196"/>
        <v>14.575170251304563</v>
      </c>
      <c r="AC64" s="157">
        <f t="shared" si="196"/>
        <v>18.045448882567555</v>
      </c>
      <c r="AD64" s="138">
        <f t="shared" si="169"/>
        <v>8.8114123068952832E-2</v>
      </c>
      <c r="AE64" s="31">
        <f t="shared" si="15"/>
        <v>0.05</v>
      </c>
      <c r="AF64" s="146">
        <f t="shared" si="170"/>
        <v>111.45718427468198</v>
      </c>
    </row>
    <row r="65" spans="2:32" x14ac:dyDescent="0.2">
      <c r="B65" s="20" t="s">
        <v>255</v>
      </c>
      <c r="C65" s="127">
        <f t="shared" ref="C65:P65" si="197">C13/C42</f>
        <v>0</v>
      </c>
      <c r="D65" s="127">
        <f t="shared" si="197"/>
        <v>0</v>
      </c>
      <c r="E65" s="127">
        <f t="shared" si="197"/>
        <v>0</v>
      </c>
      <c r="F65" s="144">
        <f t="shared" si="197"/>
        <v>0</v>
      </c>
      <c r="G65" s="144">
        <f t="shared" si="197"/>
        <v>0</v>
      </c>
      <c r="H65" s="144" t="e">
        <f t="shared" si="197"/>
        <v>#DIV/0!</v>
      </c>
      <c r="I65" s="144">
        <f t="shared" si="197"/>
        <v>0</v>
      </c>
      <c r="J65" s="144">
        <f t="shared" si="197"/>
        <v>0</v>
      </c>
      <c r="K65" s="144">
        <f t="shared" si="197"/>
        <v>113.33333333333334</v>
      </c>
      <c r="L65" s="144">
        <f t="shared" si="197"/>
        <v>0</v>
      </c>
      <c r="M65" s="144">
        <f t="shared" si="197"/>
        <v>40</v>
      </c>
      <c r="N65" s="144">
        <f t="shared" si="197"/>
        <v>8.7719298245614024</v>
      </c>
      <c r="O65" s="144">
        <f t="shared" si="197"/>
        <v>4.2613636363636367</v>
      </c>
      <c r="P65" s="144">
        <f t="shared" si="197"/>
        <v>28.997867803837952</v>
      </c>
      <c r="Q65" s="144">
        <f t="shared" ref="Q65" si="198">Q13/Q42</f>
        <v>28.997867803837952</v>
      </c>
      <c r="R65" s="118" t="e">
        <f>((P65/G65)^(1/($H$2-$H$1) ))-1</f>
        <v>#DIV/0!</v>
      </c>
      <c r="S65" s="128"/>
      <c r="T65" s="157">
        <f t="shared" ref="T65:AC65" si="199">T13/T42</f>
        <v>35.902122042846983</v>
      </c>
      <c r="U65" s="157">
        <f t="shared" si="199"/>
        <v>44.450246338762938</v>
      </c>
      <c r="V65" s="157">
        <f t="shared" si="199"/>
        <v>55.033638324182675</v>
      </c>
      <c r="W65" s="157">
        <f t="shared" si="199"/>
        <v>68.136885544226175</v>
      </c>
      <c r="X65" s="157">
        <f t="shared" si="199"/>
        <v>84.359953530946683</v>
      </c>
      <c r="Y65" s="157">
        <f t="shared" si="199"/>
        <v>104.44565675260066</v>
      </c>
      <c r="Z65" s="157">
        <f t="shared" si="199"/>
        <v>129.31367026512461</v>
      </c>
      <c r="AA65" s="157">
        <f t="shared" si="199"/>
        <v>160.10263937586853</v>
      </c>
      <c r="AB65" s="157">
        <f t="shared" si="199"/>
        <v>198.22231541774201</v>
      </c>
      <c r="AC65" s="157">
        <f t="shared" si="199"/>
        <v>245.41810480291872</v>
      </c>
      <c r="AD65" s="138" t="e">
        <f t="shared" si="169"/>
        <v>#DIV/0!</v>
      </c>
      <c r="AE65" s="31">
        <f t="shared" si="15"/>
        <v>0.05</v>
      </c>
      <c r="AF65" s="146">
        <f t="shared" si="170"/>
        <v>1515.8177061356748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200">(D64+D65)</f>
        <v>0</v>
      </c>
      <c r="E66" s="127">
        <f t="shared" si="200"/>
        <v>0</v>
      </c>
      <c r="F66" s="144">
        <f t="shared" si="200"/>
        <v>0</v>
      </c>
      <c r="G66" s="144">
        <f t="shared" si="200"/>
        <v>3.3333333333333335</v>
      </c>
      <c r="H66" s="144" t="e">
        <f t="shared" si="200"/>
        <v>#DIV/0!</v>
      </c>
      <c r="I66" s="144">
        <f t="shared" si="200"/>
        <v>3.3333333333333335</v>
      </c>
      <c r="J66" s="144">
        <f t="shared" si="200"/>
        <v>6</v>
      </c>
      <c r="K66" s="144">
        <f t="shared" si="200"/>
        <v>124.66666666666667</v>
      </c>
      <c r="L66" s="144">
        <f t="shared" si="200"/>
        <v>6</v>
      </c>
      <c r="M66" s="144">
        <f t="shared" si="200"/>
        <v>66.666666666666671</v>
      </c>
      <c r="N66" s="144">
        <f t="shared" si="200"/>
        <v>10.526315789473683</v>
      </c>
      <c r="O66" s="144">
        <f t="shared" ref="O66" si="201">(O64+O65)</f>
        <v>6.25</v>
      </c>
      <c r="P66" s="144">
        <f t="shared" si="200"/>
        <v>31.130063965884862</v>
      </c>
      <c r="Q66" s="144">
        <f t="shared" ref="Q66" si="202">(Q64+Q65)</f>
        <v>31.130063965884862</v>
      </c>
      <c r="R66" s="118">
        <f>((P66/G66)^(1/($H$2-$H$1) ))-1</f>
        <v>0.28177339212092445</v>
      </c>
      <c r="S66" s="128"/>
      <c r="T66" s="157">
        <f t="shared" ref="T66:AC66" si="203">(T64+T65)</f>
        <v>38.541983957762206</v>
      </c>
      <c r="U66" s="157">
        <f t="shared" si="203"/>
        <v>47.718646804848447</v>
      </c>
      <c r="V66" s="157">
        <f t="shared" si="203"/>
        <v>59.080229377431401</v>
      </c>
      <c r="W66" s="157">
        <f t="shared" si="203"/>
        <v>73.146950657772223</v>
      </c>
      <c r="X66" s="157">
        <f t="shared" si="203"/>
        <v>90.562891290575109</v>
      </c>
      <c r="Y66" s="157">
        <f t="shared" si="203"/>
        <v>112.12548445499776</v>
      </c>
      <c r="Z66" s="157">
        <f t="shared" si="203"/>
        <v>138.82202837285436</v>
      </c>
      <c r="AA66" s="157">
        <f t="shared" si="203"/>
        <v>171.87489227115299</v>
      </c>
      <c r="AB66" s="157">
        <f t="shared" si="203"/>
        <v>212.79748566904658</v>
      </c>
      <c r="AC66" s="157">
        <f t="shared" si="203"/>
        <v>263.46355368548626</v>
      </c>
      <c r="AD66" s="138">
        <f t="shared" si="169"/>
        <v>0.24420542322637218</v>
      </c>
      <c r="AE66" s="31">
        <f t="shared" si="15"/>
        <v>0.05</v>
      </c>
      <c r="AF66" s="146">
        <f t="shared" si="170"/>
        <v>1627.2748904103564</v>
      </c>
    </row>
    <row r="67" spans="2:32" x14ac:dyDescent="0.2">
      <c r="B67" s="20" t="s">
        <v>249</v>
      </c>
      <c r="C67" s="127">
        <f t="shared" ref="C67:P67" si="204">C15/C42</f>
        <v>0</v>
      </c>
      <c r="D67" s="127">
        <f t="shared" si="204"/>
        <v>0</v>
      </c>
      <c r="E67" s="127">
        <f t="shared" si="204"/>
        <v>0</v>
      </c>
      <c r="F67" s="144">
        <f t="shared" si="204"/>
        <v>0</v>
      </c>
      <c r="G67" s="144">
        <f t="shared" si="204"/>
        <v>7.7333333333333334</v>
      </c>
      <c r="H67" s="144" t="e">
        <f t="shared" si="204"/>
        <v>#DIV/0!</v>
      </c>
      <c r="I67" s="144">
        <f t="shared" si="204"/>
        <v>7.7333333333333334</v>
      </c>
      <c r="J67" s="144">
        <f t="shared" si="204"/>
        <v>13.333333333333334</v>
      </c>
      <c r="K67" s="144">
        <f t="shared" si="204"/>
        <v>20</v>
      </c>
      <c r="L67" s="144">
        <f t="shared" si="204"/>
        <v>22.466666666666669</v>
      </c>
      <c r="M67" s="144">
        <f t="shared" si="204"/>
        <v>46.666666666666671</v>
      </c>
      <c r="N67" s="144">
        <f t="shared" si="204"/>
        <v>4.2105263157894735</v>
      </c>
      <c r="O67" s="144">
        <f t="shared" si="204"/>
        <v>3.9772727272727271</v>
      </c>
      <c r="P67" s="144">
        <f t="shared" si="204"/>
        <v>5.1172707889125792</v>
      </c>
      <c r="Q67" s="144">
        <f t="shared" ref="Q67" si="205">Q15/Q42</f>
        <v>5.1172707889125792</v>
      </c>
      <c r="R67" s="118">
        <f>((P67/G67)^(1/($H$2-$H$1) ))-1</f>
        <v>-4.4843292399713408E-2</v>
      </c>
      <c r="S67" s="128"/>
      <c r="T67" s="157">
        <f t="shared" ref="T67:AC67" si="206">T15/T42</f>
        <v>6.3356685957965269</v>
      </c>
      <c r="U67" s="157">
        <f t="shared" si="206"/>
        <v>7.844161118605224</v>
      </c>
      <c r="V67" s="157">
        <f t="shared" si="206"/>
        <v>9.7118185277969431</v>
      </c>
      <c r="W67" s="157">
        <f t="shared" si="206"/>
        <v>12.024156272510499</v>
      </c>
      <c r="X67" s="157">
        <f t="shared" si="206"/>
        <v>14.887050623108239</v>
      </c>
      <c r="Y67" s="157">
        <f t="shared" si="206"/>
        <v>18.431586485753055</v>
      </c>
      <c r="Z67" s="157">
        <f t="shared" si="206"/>
        <v>22.820059458551402</v>
      </c>
      <c r="AA67" s="157">
        <f t="shared" si="206"/>
        <v>28.253406948682692</v>
      </c>
      <c r="AB67" s="157">
        <f t="shared" si="206"/>
        <v>34.980408603130954</v>
      </c>
      <c r="AC67" s="157">
        <f t="shared" si="206"/>
        <v>43.309077318162132</v>
      </c>
      <c r="AD67" s="138">
        <f t="shared" si="169"/>
        <v>8.9960125043841765E-2</v>
      </c>
      <c r="AE67" s="31">
        <f t="shared" si="15"/>
        <v>0.05</v>
      </c>
      <c r="AF67" s="146">
        <f t="shared" si="170"/>
        <v>267.49724225923671</v>
      </c>
    </row>
    <row r="68" spans="2:32" x14ac:dyDescent="0.2">
      <c r="B68" s="20" t="s">
        <v>250</v>
      </c>
      <c r="C68" s="127">
        <f t="shared" ref="C68:P68" si="207">C16/C42</f>
        <v>0</v>
      </c>
      <c r="D68" s="127">
        <f t="shared" si="207"/>
        <v>0</v>
      </c>
      <c r="E68" s="127">
        <f t="shared" si="207"/>
        <v>0</v>
      </c>
      <c r="F68" s="144">
        <f t="shared" si="207"/>
        <v>0</v>
      </c>
      <c r="G68" s="144">
        <f t="shared" si="207"/>
        <v>20</v>
      </c>
      <c r="H68" s="144" t="e">
        <f t="shared" si="207"/>
        <v>#DIV/0!</v>
      </c>
      <c r="I68" s="144">
        <f t="shared" si="207"/>
        <v>20</v>
      </c>
      <c r="J68" s="144">
        <f t="shared" si="207"/>
        <v>66.666666666666671</v>
      </c>
      <c r="K68" s="144">
        <f t="shared" si="207"/>
        <v>93.333333333333343</v>
      </c>
      <c r="L68" s="144">
        <f t="shared" si="207"/>
        <v>80</v>
      </c>
      <c r="M68" s="144">
        <f t="shared" si="207"/>
        <v>113.33333333333334</v>
      </c>
      <c r="N68" s="144">
        <f t="shared" si="207"/>
        <v>6.6666666666666661</v>
      </c>
      <c r="O68" s="144">
        <f t="shared" si="207"/>
        <v>9.6590909090909083</v>
      </c>
      <c r="P68" s="144">
        <f t="shared" si="207"/>
        <v>11.087420042643922</v>
      </c>
      <c r="Q68" s="144">
        <f t="shared" ref="Q68" si="208">Q16/Q42</f>
        <v>11.087420042643922</v>
      </c>
      <c r="R68" s="118">
        <f>((P68/G68)^(1/($H$2-$H$1) ))-1</f>
        <v>-6.3444778539026414E-2</v>
      </c>
      <c r="S68" s="128"/>
      <c r="T68" s="157">
        <f t="shared" ref="T68:AC68" si="209">T16/T42</f>
        <v>13.727281957559143</v>
      </c>
      <c r="U68" s="157">
        <f t="shared" si="209"/>
        <v>16.995682423644652</v>
      </c>
      <c r="V68" s="157">
        <f t="shared" si="209"/>
        <v>21.042273476893378</v>
      </c>
      <c r="W68" s="157">
        <f t="shared" si="209"/>
        <v>26.052338590439419</v>
      </c>
      <c r="X68" s="157">
        <f t="shared" si="209"/>
        <v>32.255276350067852</v>
      </c>
      <c r="Y68" s="157">
        <f t="shared" si="209"/>
        <v>39.935104052464965</v>
      </c>
      <c r="Z68" s="157">
        <f t="shared" si="209"/>
        <v>49.443462160194713</v>
      </c>
      <c r="AA68" s="157">
        <f t="shared" si="209"/>
        <v>61.215715055479166</v>
      </c>
      <c r="AB68" s="157">
        <f t="shared" si="209"/>
        <v>75.790885306783736</v>
      </c>
      <c r="AC68" s="157">
        <f t="shared" si="209"/>
        <v>93.836334189351305</v>
      </c>
      <c r="AD68" s="138">
        <f t="shared" si="169"/>
        <v>8.0356407108083561E-2</v>
      </c>
      <c r="AE68" s="137"/>
      <c r="AF68" s="146">
        <f t="shared" si="170"/>
        <v>426.52879176977865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70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10">D44</f>
        <v>0</v>
      </c>
      <c r="E70" s="159">
        <f t="shared" si="210"/>
        <v>0</v>
      </c>
      <c r="F70" s="159">
        <f t="shared" si="210"/>
        <v>0</v>
      </c>
      <c r="G70" s="159">
        <f t="shared" si="210"/>
        <v>0</v>
      </c>
      <c r="H70" s="159">
        <f t="shared" si="210"/>
        <v>0</v>
      </c>
      <c r="I70" s="159">
        <f t="shared" si="210"/>
        <v>0</v>
      </c>
      <c r="J70" s="159">
        <f t="shared" si="210"/>
        <v>0</v>
      </c>
      <c r="K70" s="159">
        <f t="shared" si="210"/>
        <v>0</v>
      </c>
      <c r="L70" s="159">
        <f t="shared" si="210"/>
        <v>0</v>
      </c>
      <c r="M70" s="159">
        <f t="shared" si="210"/>
        <v>0</v>
      </c>
      <c r="N70" s="159">
        <f t="shared" si="210"/>
        <v>0</v>
      </c>
      <c r="O70" s="159">
        <f t="shared" si="210"/>
        <v>0</v>
      </c>
      <c r="P70" s="159">
        <f t="shared" si="210"/>
        <v>0</v>
      </c>
      <c r="Q70" s="159">
        <f t="shared" ref="Q70" si="211">Q44</f>
        <v>1</v>
      </c>
      <c r="R70" s="118" t="e">
        <f>((P70/G70)^(1/($H$2-$H$1) ))-1</f>
        <v>#DIV/0!</v>
      </c>
      <c r="S70" s="128"/>
      <c r="T70" s="159">
        <f t="shared" ref="T70:AC70" si="212">T44</f>
        <v>1.05</v>
      </c>
      <c r="U70" s="159">
        <f t="shared" si="212"/>
        <v>1.1025</v>
      </c>
      <c r="V70" s="159">
        <f t="shared" si="212"/>
        <v>1.1576250000000001</v>
      </c>
      <c r="W70" s="159">
        <f t="shared" si="212"/>
        <v>1.2155062500000002</v>
      </c>
      <c r="X70" s="159">
        <f t="shared" si="212"/>
        <v>1.2762815625000004</v>
      </c>
      <c r="Y70" s="159">
        <f t="shared" si="212"/>
        <v>1.3400956406250004</v>
      </c>
      <c r="Z70" s="159">
        <f t="shared" si="212"/>
        <v>1.4071004226562505</v>
      </c>
      <c r="AA70" s="159">
        <f t="shared" si="212"/>
        <v>1.477455443789063</v>
      </c>
      <c r="AB70" s="159">
        <f t="shared" si="212"/>
        <v>1.5513282159785162</v>
      </c>
      <c r="AC70" s="159">
        <f t="shared" si="212"/>
        <v>1.628894626777442</v>
      </c>
      <c r="AD70" s="138" t="e">
        <f t="shared" ref="AD70" si="213">((AC70/G70)^(1/($AC$3-$H$1) ))-1</f>
        <v>#DIV/0!</v>
      </c>
      <c r="AE70" s="31">
        <f t="shared" si="15"/>
        <v>0.05</v>
      </c>
      <c r="AF70" s="146">
        <f t="shared" si="170"/>
        <v>10.060819753625379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14">C20+C21</f>
        <v>0</v>
      </c>
      <c r="D72" s="127">
        <f t="shared" si="214"/>
        <v>0</v>
      </c>
      <c r="E72" s="127">
        <f t="shared" si="214"/>
        <v>0</v>
      </c>
      <c r="F72" s="144">
        <f t="shared" si="214"/>
        <v>0</v>
      </c>
      <c r="G72" s="144">
        <f t="shared" si="214"/>
        <v>0</v>
      </c>
      <c r="H72" s="144">
        <f t="shared" si="214"/>
        <v>0</v>
      </c>
      <c r="I72" s="144">
        <f t="shared" si="214"/>
        <v>0</v>
      </c>
      <c r="J72" s="144">
        <f t="shared" si="214"/>
        <v>0</v>
      </c>
      <c r="K72" s="144">
        <f t="shared" si="214"/>
        <v>0</v>
      </c>
      <c r="L72" s="144">
        <f t="shared" si="214"/>
        <v>0</v>
      </c>
      <c r="M72" s="144">
        <f t="shared" si="214"/>
        <v>0</v>
      </c>
      <c r="N72" s="144">
        <f t="shared" si="214"/>
        <v>0</v>
      </c>
      <c r="O72" s="144">
        <f t="shared" si="214"/>
        <v>0</v>
      </c>
      <c r="P72" s="144">
        <f t="shared" si="214"/>
        <v>0</v>
      </c>
      <c r="Q72" s="144">
        <f t="shared" ref="Q72" si="215">Q20+Q21</f>
        <v>0</v>
      </c>
      <c r="R72" s="118" t="e">
        <f>((P72/G72)^(1/($H$2-$H$1) ))-1</f>
        <v>#DIV/0!</v>
      </c>
      <c r="S72" s="128"/>
      <c r="T72" s="144">
        <f t="shared" ref="T72:AC72" si="216">T20+T21</f>
        <v>0</v>
      </c>
      <c r="U72" s="144">
        <f t="shared" si="216"/>
        <v>0</v>
      </c>
      <c r="V72" s="144">
        <f t="shared" si="216"/>
        <v>0</v>
      </c>
      <c r="W72" s="144">
        <f t="shared" si="216"/>
        <v>0</v>
      </c>
      <c r="X72" s="144">
        <f t="shared" si="216"/>
        <v>0</v>
      </c>
      <c r="Y72" s="144">
        <f t="shared" si="216"/>
        <v>0</v>
      </c>
      <c r="Z72" s="144">
        <f t="shared" si="216"/>
        <v>0</v>
      </c>
      <c r="AA72" s="144">
        <f t="shared" si="216"/>
        <v>0</v>
      </c>
      <c r="AB72" s="144">
        <f t="shared" si="216"/>
        <v>0</v>
      </c>
      <c r="AC72" s="144">
        <f t="shared" si="216"/>
        <v>0</v>
      </c>
      <c r="AD72" s="138" t="e">
        <f t="shared" ref="AD72:AD77" si="217">((AC72/G72)^(1/($AC$3-$H$1) ))-1</f>
        <v>#DIV/0!</v>
      </c>
      <c r="AE72" s="31">
        <f t="shared" si="15"/>
        <v>0.05</v>
      </c>
      <c r="AF72" s="146">
        <f t="shared" si="170"/>
        <v>0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18">C72/C42</f>
        <v>0</v>
      </c>
      <c r="D74" s="127">
        <f t="shared" si="218"/>
        <v>0</v>
      </c>
      <c r="E74" s="127">
        <f t="shared" si="218"/>
        <v>0</v>
      </c>
      <c r="F74" s="144">
        <f t="shared" si="218"/>
        <v>0</v>
      </c>
      <c r="G74" s="144">
        <f t="shared" si="218"/>
        <v>0</v>
      </c>
      <c r="H74" s="144" t="e">
        <f t="shared" si="218"/>
        <v>#DIV/0!</v>
      </c>
      <c r="I74" s="144">
        <f t="shared" si="218"/>
        <v>0</v>
      </c>
      <c r="J74" s="144">
        <f t="shared" si="218"/>
        <v>0</v>
      </c>
      <c r="K74" s="144">
        <f t="shared" si="218"/>
        <v>0</v>
      </c>
      <c r="L74" s="144">
        <f t="shared" si="218"/>
        <v>0</v>
      </c>
      <c r="M74" s="144">
        <f t="shared" si="218"/>
        <v>0</v>
      </c>
      <c r="N74" s="144">
        <f t="shared" si="218"/>
        <v>0</v>
      </c>
      <c r="O74" s="144">
        <f t="shared" si="218"/>
        <v>0</v>
      </c>
      <c r="P74" s="144">
        <f t="shared" si="218"/>
        <v>0</v>
      </c>
      <c r="Q74" s="144">
        <f t="shared" ref="Q74" si="219">Q72/Q42</f>
        <v>0</v>
      </c>
      <c r="R74" s="118" t="e">
        <f>((P74/G74)^(1/($H$2-$H$1) ))-1</f>
        <v>#DIV/0!</v>
      </c>
      <c r="S74" s="128"/>
      <c r="T74" s="146">
        <f t="shared" ref="T74:AC74" si="220">T72/T42</f>
        <v>0</v>
      </c>
      <c r="U74" s="146">
        <f t="shared" si="220"/>
        <v>0</v>
      </c>
      <c r="V74" s="146">
        <f t="shared" si="220"/>
        <v>0</v>
      </c>
      <c r="W74" s="146">
        <f t="shared" si="220"/>
        <v>0</v>
      </c>
      <c r="X74" s="146">
        <f t="shared" si="220"/>
        <v>0</v>
      </c>
      <c r="Y74" s="146">
        <f t="shared" si="220"/>
        <v>0</v>
      </c>
      <c r="Z74" s="146">
        <f t="shared" si="220"/>
        <v>0</v>
      </c>
      <c r="AA74" s="146">
        <f t="shared" si="220"/>
        <v>0</v>
      </c>
      <c r="AB74" s="146">
        <f t="shared" si="220"/>
        <v>0</v>
      </c>
      <c r="AC74" s="146">
        <f t="shared" si="220"/>
        <v>0</v>
      </c>
      <c r="AD74" s="138" t="e">
        <f t="shared" si="217"/>
        <v>#DIV/0!</v>
      </c>
      <c r="AE74" s="31">
        <f t="shared" si="15"/>
        <v>0.05</v>
      </c>
      <c r="AF74" s="146">
        <f t="shared" si="170"/>
        <v>0</v>
      </c>
    </row>
    <row r="75" spans="2:32" x14ac:dyDescent="0.2">
      <c r="B75" s="20" t="s">
        <v>287</v>
      </c>
      <c r="C75" s="127">
        <f t="shared" ref="C75:P75" si="221">C20/C42</f>
        <v>0</v>
      </c>
      <c r="D75" s="127">
        <f t="shared" si="221"/>
        <v>0</v>
      </c>
      <c r="E75" s="127">
        <f t="shared" si="221"/>
        <v>0</v>
      </c>
      <c r="F75" s="144">
        <f t="shared" si="221"/>
        <v>0</v>
      </c>
      <c r="G75" s="144">
        <f t="shared" si="221"/>
        <v>0</v>
      </c>
      <c r="H75" s="144" t="e">
        <f t="shared" si="221"/>
        <v>#DIV/0!</v>
      </c>
      <c r="I75" s="144">
        <f t="shared" si="221"/>
        <v>0</v>
      </c>
      <c r="J75" s="144">
        <f t="shared" si="221"/>
        <v>0</v>
      </c>
      <c r="K75" s="144">
        <f t="shared" si="221"/>
        <v>0</v>
      </c>
      <c r="L75" s="144">
        <f t="shared" si="221"/>
        <v>0</v>
      </c>
      <c r="M75" s="144">
        <f t="shared" si="221"/>
        <v>0</v>
      </c>
      <c r="N75" s="144">
        <f t="shared" si="221"/>
        <v>0</v>
      </c>
      <c r="O75" s="144">
        <f t="shared" si="221"/>
        <v>0</v>
      </c>
      <c r="P75" s="144">
        <f t="shared" si="221"/>
        <v>0</v>
      </c>
      <c r="Q75" s="144">
        <f t="shared" ref="Q75" si="222">Q20/Q42</f>
        <v>0</v>
      </c>
      <c r="R75" s="118" t="e">
        <f>((P75/G75)^(1/($H$2-$H$1) ))-1</f>
        <v>#DIV/0!</v>
      </c>
      <c r="S75" s="128"/>
      <c r="T75" s="146">
        <f t="shared" ref="T75:AC75" si="223">T20/T42</f>
        <v>0</v>
      </c>
      <c r="U75" s="146">
        <f t="shared" si="223"/>
        <v>0</v>
      </c>
      <c r="V75" s="146">
        <f t="shared" si="223"/>
        <v>0</v>
      </c>
      <c r="W75" s="146">
        <f t="shared" si="223"/>
        <v>0</v>
      </c>
      <c r="X75" s="146">
        <f t="shared" si="223"/>
        <v>0</v>
      </c>
      <c r="Y75" s="146">
        <f t="shared" si="223"/>
        <v>0</v>
      </c>
      <c r="Z75" s="146">
        <f t="shared" si="223"/>
        <v>0</v>
      </c>
      <c r="AA75" s="146">
        <f t="shared" si="223"/>
        <v>0</v>
      </c>
      <c r="AB75" s="146">
        <f t="shared" si="223"/>
        <v>0</v>
      </c>
      <c r="AC75" s="146">
        <f t="shared" si="223"/>
        <v>0</v>
      </c>
      <c r="AD75" s="138" t="e">
        <f t="shared" si="217"/>
        <v>#DIV/0!</v>
      </c>
      <c r="AE75" s="31">
        <f t="shared" si="15"/>
        <v>0.05</v>
      </c>
      <c r="AF75" s="146">
        <f t="shared" si="170"/>
        <v>0</v>
      </c>
    </row>
    <row r="76" spans="2:32" x14ac:dyDescent="0.2">
      <c r="B76" s="20" t="s">
        <v>288</v>
      </c>
      <c r="C76" s="127">
        <f t="shared" ref="C76:P76" si="224">C21/C42</f>
        <v>0</v>
      </c>
      <c r="D76" s="127">
        <f t="shared" si="224"/>
        <v>0</v>
      </c>
      <c r="E76" s="127">
        <f t="shared" si="224"/>
        <v>0</v>
      </c>
      <c r="F76" s="144">
        <f t="shared" si="224"/>
        <v>0</v>
      </c>
      <c r="G76" s="144">
        <f t="shared" si="224"/>
        <v>0</v>
      </c>
      <c r="H76" s="144" t="e">
        <f t="shared" si="224"/>
        <v>#DIV/0!</v>
      </c>
      <c r="I76" s="144">
        <f t="shared" si="224"/>
        <v>0</v>
      </c>
      <c r="J76" s="144">
        <f t="shared" si="224"/>
        <v>0</v>
      </c>
      <c r="K76" s="144">
        <f t="shared" si="224"/>
        <v>0</v>
      </c>
      <c r="L76" s="144">
        <f t="shared" si="224"/>
        <v>0</v>
      </c>
      <c r="M76" s="144">
        <f t="shared" si="224"/>
        <v>0</v>
      </c>
      <c r="N76" s="144">
        <f t="shared" si="224"/>
        <v>0</v>
      </c>
      <c r="O76" s="144">
        <f t="shared" si="224"/>
        <v>0</v>
      </c>
      <c r="P76" s="144">
        <f t="shared" si="224"/>
        <v>0</v>
      </c>
      <c r="Q76" s="144">
        <f t="shared" ref="Q76" si="225">Q21/Q42</f>
        <v>0</v>
      </c>
      <c r="R76" s="118" t="e">
        <f>((P76/G76)^(1/($H$2-$H$1) ))-1</f>
        <v>#DIV/0!</v>
      </c>
      <c r="S76" s="128"/>
      <c r="T76" s="146">
        <f t="shared" ref="T76:AC76" si="226">T21/T42</f>
        <v>0</v>
      </c>
      <c r="U76" s="146">
        <f t="shared" si="226"/>
        <v>0</v>
      </c>
      <c r="V76" s="146">
        <f t="shared" si="226"/>
        <v>0</v>
      </c>
      <c r="W76" s="146">
        <f t="shared" si="226"/>
        <v>0</v>
      </c>
      <c r="X76" s="146">
        <f t="shared" si="226"/>
        <v>0</v>
      </c>
      <c r="Y76" s="146">
        <f t="shared" si="226"/>
        <v>0</v>
      </c>
      <c r="Z76" s="146">
        <f t="shared" si="226"/>
        <v>0</v>
      </c>
      <c r="AA76" s="146">
        <f t="shared" si="226"/>
        <v>0</v>
      </c>
      <c r="AB76" s="146">
        <f t="shared" si="226"/>
        <v>0</v>
      </c>
      <c r="AC76" s="146">
        <f t="shared" si="226"/>
        <v>0</v>
      </c>
      <c r="AD76" s="138" t="e">
        <f t="shared" si="217"/>
        <v>#DIV/0!</v>
      </c>
      <c r="AE76" s="31">
        <f t="shared" si="15"/>
        <v>0.05</v>
      </c>
      <c r="AF76" s="146">
        <f t="shared" si="170"/>
        <v>0</v>
      </c>
    </row>
    <row r="77" spans="2:32" x14ac:dyDescent="0.2">
      <c r="B77" s="20" t="s">
        <v>289</v>
      </c>
      <c r="C77" s="127">
        <f t="shared" ref="C77:P77" si="227">C22/C42</f>
        <v>0</v>
      </c>
      <c r="D77" s="127">
        <f t="shared" si="227"/>
        <v>0</v>
      </c>
      <c r="E77" s="127">
        <f t="shared" si="227"/>
        <v>0</v>
      </c>
      <c r="F77" s="144">
        <f t="shared" si="227"/>
        <v>0</v>
      </c>
      <c r="G77" s="144">
        <f t="shared" si="227"/>
        <v>0</v>
      </c>
      <c r="H77" s="144" t="e">
        <f t="shared" si="227"/>
        <v>#DIV/0!</v>
      </c>
      <c r="I77" s="144">
        <f t="shared" si="227"/>
        <v>0</v>
      </c>
      <c r="J77" s="144">
        <f t="shared" si="227"/>
        <v>0</v>
      </c>
      <c r="K77" s="144">
        <f t="shared" si="227"/>
        <v>0</v>
      </c>
      <c r="L77" s="144">
        <f t="shared" si="227"/>
        <v>0</v>
      </c>
      <c r="M77" s="144">
        <f t="shared" si="227"/>
        <v>0</v>
      </c>
      <c r="N77" s="144">
        <f t="shared" si="227"/>
        <v>0</v>
      </c>
      <c r="O77" s="144">
        <f t="shared" si="227"/>
        <v>0</v>
      </c>
      <c r="P77" s="144">
        <f t="shared" si="227"/>
        <v>0</v>
      </c>
      <c r="Q77" s="144">
        <f t="shared" ref="Q77" si="228">Q22/Q42</f>
        <v>0</v>
      </c>
      <c r="R77" s="118" t="e">
        <f>((P77/G77)^(1/($H$2-$H$1) ))-1</f>
        <v>#DIV/0!</v>
      </c>
      <c r="S77" s="128"/>
      <c r="T77" s="146">
        <f t="shared" ref="T77:AC77" si="229">T22/T42</f>
        <v>0</v>
      </c>
      <c r="U77" s="146">
        <f t="shared" si="229"/>
        <v>0</v>
      </c>
      <c r="V77" s="146">
        <f t="shared" si="229"/>
        <v>0</v>
      </c>
      <c r="W77" s="146">
        <f t="shared" si="229"/>
        <v>0</v>
      </c>
      <c r="X77" s="146">
        <f t="shared" si="229"/>
        <v>0</v>
      </c>
      <c r="Y77" s="146">
        <f t="shared" si="229"/>
        <v>0</v>
      </c>
      <c r="Z77" s="146">
        <f t="shared" si="229"/>
        <v>0</v>
      </c>
      <c r="AA77" s="146">
        <f t="shared" si="229"/>
        <v>0</v>
      </c>
      <c r="AB77" s="146">
        <f t="shared" si="229"/>
        <v>0</v>
      </c>
      <c r="AC77" s="146">
        <f t="shared" si="229"/>
        <v>0</v>
      </c>
      <c r="AD77" s="138" t="e">
        <f t="shared" si="217"/>
        <v>#DIV/0!</v>
      </c>
      <c r="AE77" s="31">
        <f t="shared" si="15"/>
        <v>0.05</v>
      </c>
      <c r="AF77" s="146">
        <f t="shared" si="170"/>
        <v>0</v>
      </c>
    </row>
    <row r="78" spans="2:32" x14ac:dyDescent="0.2">
      <c r="B78" s="20" t="s">
        <v>296</v>
      </c>
      <c r="C78" s="127">
        <f t="shared" ref="C78:P78" si="230">C23/C42</f>
        <v>0</v>
      </c>
      <c r="D78" s="127">
        <f t="shared" si="230"/>
        <v>0</v>
      </c>
      <c r="E78" s="127">
        <f t="shared" si="230"/>
        <v>0</v>
      </c>
      <c r="F78" s="144">
        <f t="shared" si="230"/>
        <v>0</v>
      </c>
      <c r="G78" s="144">
        <f t="shared" si="230"/>
        <v>0</v>
      </c>
      <c r="H78" s="144" t="e">
        <f t="shared" si="230"/>
        <v>#DIV/0!</v>
      </c>
      <c r="I78" s="144">
        <f t="shared" si="230"/>
        <v>0</v>
      </c>
      <c r="J78" s="144">
        <f t="shared" si="230"/>
        <v>0</v>
      </c>
      <c r="K78" s="144">
        <f t="shared" si="230"/>
        <v>0</v>
      </c>
      <c r="L78" s="144">
        <f t="shared" si="230"/>
        <v>0</v>
      </c>
      <c r="M78" s="144">
        <f t="shared" si="230"/>
        <v>0</v>
      </c>
      <c r="N78" s="144">
        <f t="shared" si="230"/>
        <v>0</v>
      </c>
      <c r="O78" s="144">
        <f t="shared" si="230"/>
        <v>0</v>
      </c>
      <c r="P78" s="144">
        <f t="shared" si="230"/>
        <v>0</v>
      </c>
      <c r="Q78" s="144">
        <f t="shared" ref="Q78" si="231">Q23/Q42</f>
        <v>0</v>
      </c>
      <c r="R78" s="118" t="e">
        <f>((P78/G78)^(1/($H$2-$H$1) ))-1</f>
        <v>#DIV/0!</v>
      </c>
      <c r="S78" s="128"/>
      <c r="T78" s="146">
        <f t="shared" ref="T78:AC78" si="232">T23/T42</f>
        <v>0</v>
      </c>
      <c r="U78" s="146">
        <f t="shared" si="232"/>
        <v>0</v>
      </c>
      <c r="V78" s="146">
        <f t="shared" si="232"/>
        <v>0</v>
      </c>
      <c r="W78" s="146">
        <f t="shared" si="232"/>
        <v>0</v>
      </c>
      <c r="X78" s="146">
        <f t="shared" si="232"/>
        <v>0</v>
      </c>
      <c r="Y78" s="146">
        <f t="shared" si="232"/>
        <v>0</v>
      </c>
      <c r="Z78" s="146">
        <f t="shared" si="232"/>
        <v>0</v>
      </c>
      <c r="AA78" s="146">
        <f t="shared" si="232"/>
        <v>0</v>
      </c>
      <c r="AB78" s="146">
        <f t="shared" si="232"/>
        <v>0</v>
      </c>
      <c r="AC78" s="146">
        <f t="shared" si="232"/>
        <v>0</v>
      </c>
      <c r="AD78" s="138" t="e">
        <f t="shared" ref="AD78" si="233">((AC78/G78)^(1/($AC$3-$H$1) ))-1</f>
        <v>#DIV/0!</v>
      </c>
      <c r="AE78" s="31">
        <f t="shared" si="15"/>
        <v>0.05</v>
      </c>
      <c r="AF78" s="146">
        <f t="shared" si="170"/>
        <v>0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34">C36/C42</f>
        <v>0</v>
      </c>
      <c r="D80" s="144">
        <f t="shared" si="234"/>
        <v>0</v>
      </c>
      <c r="E80" s="144">
        <f t="shared" si="234"/>
        <v>0</v>
      </c>
      <c r="F80" s="144">
        <f t="shared" si="234"/>
        <v>0</v>
      </c>
      <c r="G80" s="144">
        <f t="shared" si="234"/>
        <v>30</v>
      </c>
      <c r="H80" s="144" t="e">
        <f t="shared" si="234"/>
        <v>#DIV/0!</v>
      </c>
      <c r="I80" s="144">
        <f t="shared" si="234"/>
        <v>30</v>
      </c>
      <c r="J80" s="144">
        <f t="shared" si="234"/>
        <v>50</v>
      </c>
      <c r="K80" s="144">
        <f t="shared" si="234"/>
        <v>83.333333333333343</v>
      </c>
      <c r="L80" s="144">
        <f t="shared" si="234"/>
        <v>133.33333333333334</v>
      </c>
      <c r="M80" s="144">
        <f t="shared" si="234"/>
        <v>173.33333333333334</v>
      </c>
      <c r="N80" s="144">
        <f t="shared" si="234"/>
        <v>13.333333333333332</v>
      </c>
      <c r="O80" s="144">
        <f t="shared" si="234"/>
        <v>10.795454545454545</v>
      </c>
      <c r="P80" s="144">
        <f t="shared" si="234"/>
        <v>7.8891257995735602</v>
      </c>
      <c r="Q80" s="144">
        <f t="shared" ref="Q80" si="235">Q36/Q42</f>
        <v>7.8891257995735602</v>
      </c>
      <c r="R80" s="118">
        <f>((P80/G80)^(1/($H$2-$H$1) ))-1</f>
        <v>-0.13792452156655277</v>
      </c>
      <c r="S80" s="128"/>
      <c r="T80" s="144">
        <f t="shared" ref="T80:AC80" si="236">T36/T42</f>
        <v>9.7674890851863125</v>
      </c>
      <c r="U80" s="144">
        <f t="shared" si="236"/>
        <v>12.093081724516386</v>
      </c>
      <c r="V80" s="144">
        <f t="shared" si="236"/>
        <v>14.972386897020286</v>
      </c>
      <c r="W80" s="144">
        <f t="shared" si="236"/>
        <v>18.537240920120354</v>
      </c>
      <c r="X80" s="144">
        <f t="shared" si="236"/>
        <v>22.950869710625199</v>
      </c>
      <c r="Y80" s="144">
        <f t="shared" si="236"/>
        <v>28.415362498869293</v>
      </c>
      <c r="Z80" s="144">
        <f t="shared" si="236"/>
        <v>35.180924998600076</v>
      </c>
      <c r="AA80" s="144">
        <f t="shared" si="236"/>
        <v>43.557335712552472</v>
      </c>
      <c r="AB80" s="144">
        <f t="shared" si="236"/>
        <v>53.928129929826866</v>
      </c>
      <c r="AC80" s="144">
        <f t="shared" si="236"/>
        <v>66.768160865499937</v>
      </c>
      <c r="AD80" s="138">
        <f t="shared" ref="AD80:AD82" si="237">((AC80/G80)^(1/($AC$3-$H$1) ))-1</f>
        <v>4.0812280845367921E-2</v>
      </c>
      <c r="AE80" s="31">
        <f t="shared" si="15"/>
        <v>0.05</v>
      </c>
      <c r="AF80" s="146">
        <f t="shared" si="170"/>
        <v>412.39158181632314</v>
      </c>
    </row>
    <row r="81" spans="2:32" x14ac:dyDescent="0.2">
      <c r="B81" s="20" t="s">
        <v>312</v>
      </c>
      <c r="C81" s="144">
        <f t="shared" ref="C81:P81" si="238">C40/C42</f>
        <v>0</v>
      </c>
      <c r="D81" s="144">
        <f t="shared" si="238"/>
        <v>0</v>
      </c>
      <c r="E81" s="144">
        <f t="shared" si="238"/>
        <v>0</v>
      </c>
      <c r="F81" s="144">
        <f t="shared" si="238"/>
        <v>0</v>
      </c>
      <c r="G81" s="144">
        <f t="shared" si="238"/>
        <v>21</v>
      </c>
      <c r="H81" s="144" t="e">
        <f t="shared" si="238"/>
        <v>#DIV/0!</v>
      </c>
      <c r="I81" s="144">
        <f t="shared" si="238"/>
        <v>21</v>
      </c>
      <c r="J81" s="144">
        <f t="shared" si="238"/>
        <v>20.8</v>
      </c>
      <c r="K81" s="144">
        <f t="shared" si="238"/>
        <v>29.733333333333334</v>
      </c>
      <c r="L81" s="144">
        <f t="shared" si="238"/>
        <v>40</v>
      </c>
      <c r="M81" s="144">
        <f t="shared" si="238"/>
        <v>73.333333333333343</v>
      </c>
      <c r="N81" s="144">
        <f t="shared" si="238"/>
        <v>5.2631578947368416</v>
      </c>
      <c r="O81" s="144">
        <f t="shared" si="238"/>
        <v>4.8295454545454541</v>
      </c>
      <c r="P81" s="144">
        <f t="shared" si="238"/>
        <v>4.9040511727078888</v>
      </c>
      <c r="Q81" s="144">
        <f t="shared" ref="Q81" si="239">Q40/Q42</f>
        <v>4.9040511727078888</v>
      </c>
      <c r="R81" s="118">
        <f>((P81/G81)^(1/($H$2-$H$1) ))-1</f>
        <v>-0.14922429881750121</v>
      </c>
      <c r="S81" s="128"/>
      <c r="T81" s="144">
        <f t="shared" ref="T81:AC81" si="240">T40/T42</f>
        <v>6.0716824043050046</v>
      </c>
      <c r="U81" s="144">
        <f t="shared" si="240"/>
        <v>7.5173210719966734</v>
      </c>
      <c r="V81" s="144">
        <f t="shared" si="240"/>
        <v>9.3071594224720702</v>
      </c>
      <c r="W81" s="144">
        <f t="shared" si="240"/>
        <v>11.523149761155896</v>
      </c>
      <c r="X81" s="144">
        <f t="shared" si="240"/>
        <v>14.266756847145395</v>
      </c>
      <c r="Y81" s="144">
        <f t="shared" si="240"/>
        <v>17.663603715513347</v>
      </c>
      <c r="Z81" s="144">
        <f t="shared" si="240"/>
        <v>21.86922364777843</v>
      </c>
      <c r="AA81" s="144">
        <f t="shared" si="240"/>
        <v>27.076181659154244</v>
      </c>
      <c r="AB81" s="144">
        <f t="shared" si="240"/>
        <v>33.522891578000497</v>
      </c>
      <c r="AC81" s="144">
        <f t="shared" si="240"/>
        <v>41.504532429905375</v>
      </c>
      <c r="AD81" s="138">
        <f t="shared" si="237"/>
        <v>3.4650832542534094E-2</v>
      </c>
      <c r="AE81" s="31">
        <f t="shared" si="15"/>
        <v>0.05</v>
      </c>
      <c r="AF81" s="146">
        <f t="shared" si="170"/>
        <v>256.35152383176853</v>
      </c>
    </row>
    <row r="82" spans="2:32" x14ac:dyDescent="0.2">
      <c r="B82" s="20" t="s">
        <v>313</v>
      </c>
      <c r="C82" s="144">
        <f t="shared" ref="C82:P82" si="241">C6/C42</f>
        <v>0</v>
      </c>
      <c r="D82" s="144">
        <f t="shared" si="241"/>
        <v>0</v>
      </c>
      <c r="E82" s="144">
        <f t="shared" si="241"/>
        <v>0</v>
      </c>
      <c r="F82" s="144">
        <f t="shared" si="241"/>
        <v>0</v>
      </c>
      <c r="G82" s="144">
        <f t="shared" si="241"/>
        <v>30.733333333333338</v>
      </c>
      <c r="H82" s="144" t="e">
        <f t="shared" si="241"/>
        <v>#DIV/0!</v>
      </c>
      <c r="I82" s="144">
        <f t="shared" si="241"/>
        <v>30.733333333333338</v>
      </c>
      <c r="J82" s="144">
        <f t="shared" si="241"/>
        <v>46.666666666666671</v>
      </c>
      <c r="K82" s="144">
        <f t="shared" si="241"/>
        <v>313.33333333333337</v>
      </c>
      <c r="L82" s="144">
        <f t="shared" si="241"/>
        <v>360</v>
      </c>
      <c r="M82" s="144">
        <f t="shared" si="241"/>
        <v>433.33333333333337</v>
      </c>
      <c r="N82" s="144">
        <f t="shared" si="241"/>
        <v>21.754385964912281</v>
      </c>
      <c r="O82" s="144">
        <f t="shared" si="241"/>
        <v>22.727272727272727</v>
      </c>
      <c r="P82" s="144">
        <f t="shared" si="241"/>
        <v>51.812366737739865</v>
      </c>
      <c r="Q82" s="144">
        <f t="shared" ref="Q82" si="242">Q6/Q42</f>
        <v>51.812366737739865</v>
      </c>
      <c r="R82" s="118">
        <f>((P82/G82)^(1/($H$2-$H$1) ))-1</f>
        <v>5.9748085119724514E-2</v>
      </c>
      <c r="S82" s="128"/>
      <c r="T82" s="144">
        <f t="shared" ref="T82:AC82" si="243">T6/T42</f>
        <v>64.148644532439832</v>
      </c>
      <c r="U82" s="144">
        <f t="shared" si="243"/>
        <v>79.422131325877899</v>
      </c>
      <c r="V82" s="144">
        <f t="shared" si="243"/>
        <v>98.332162593944062</v>
      </c>
      <c r="W82" s="144">
        <f t="shared" si="243"/>
        <v>121.74458225916884</v>
      </c>
      <c r="X82" s="144">
        <f t="shared" si="243"/>
        <v>150.73138755897094</v>
      </c>
      <c r="Y82" s="144">
        <f t="shared" si="243"/>
        <v>186.61981316824975</v>
      </c>
      <c r="Z82" s="144">
        <f t="shared" si="243"/>
        <v>231.053102017833</v>
      </c>
      <c r="AA82" s="144">
        <f t="shared" si="243"/>
        <v>286.06574535541228</v>
      </c>
      <c r="AB82" s="144">
        <f t="shared" si="243"/>
        <v>354.17663710670092</v>
      </c>
      <c r="AC82" s="144">
        <f t="shared" si="243"/>
        <v>438.50440784639164</v>
      </c>
      <c r="AD82" s="138">
        <f t="shared" si="237"/>
        <v>0.14213703664672139</v>
      </c>
      <c r="AE82" s="31">
        <f t="shared" ref="AE82" si="244">$L$1</f>
        <v>0.05</v>
      </c>
      <c r="AF82" s="146">
        <f t="shared" si="170"/>
        <v>2708.4095778747724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45">E36/E25</f>
        <v>#DIV/0!</v>
      </c>
      <c r="F86" s="152" t="e">
        <f t="shared" si="245"/>
        <v>#DIV/0!</v>
      </c>
      <c r="G86" s="152">
        <f t="shared" si="245"/>
        <v>0.12857142857142856</v>
      </c>
      <c r="H86" s="152" t="e">
        <f t="shared" si="245"/>
        <v>#DIV/0!</v>
      </c>
      <c r="I86" s="152">
        <f t="shared" si="245"/>
        <v>0.12857142857142856</v>
      </c>
      <c r="J86" s="152">
        <f t="shared" si="245"/>
        <v>0.14423076923076922</v>
      </c>
      <c r="K86" s="152">
        <f t="shared" si="245"/>
        <v>0.15060240963855423</v>
      </c>
      <c r="L86" s="152">
        <f t="shared" si="245"/>
        <v>0.17391304347826086</v>
      </c>
      <c r="M86" s="152">
        <f t="shared" si="245"/>
        <v>0.19847328244274809</v>
      </c>
      <c r="N86" s="152">
        <f t="shared" si="245"/>
        <v>0.21714285714285714</v>
      </c>
      <c r="O86" s="152">
        <f t="shared" si="245"/>
        <v>0.19191919191919191</v>
      </c>
      <c r="P86" s="152">
        <f t="shared" si="245"/>
        <v>0.15677966101694915</v>
      </c>
      <c r="Q86" s="152">
        <f t="shared" ref="Q86" si="246">Q36/Q25</f>
        <v>0.15677966101694915</v>
      </c>
      <c r="R86" s="118">
        <f t="shared" ref="R86:R138" si="247">((P86/G86)^(1/($H$2-$H$1) ))-1</f>
        <v>2.2284308417934939E-2</v>
      </c>
      <c r="S86" s="152"/>
      <c r="T86" s="152">
        <f t="shared" ref="T86:AC86" si="248">T36/T25</f>
        <v>0.15677966101694915</v>
      </c>
      <c r="U86" s="152">
        <f t="shared" si="248"/>
        <v>0.15677966101694915</v>
      </c>
      <c r="V86" s="152">
        <f t="shared" si="248"/>
        <v>0.15677966101694912</v>
      </c>
      <c r="W86" s="152">
        <f t="shared" si="248"/>
        <v>0.15677966101694912</v>
      </c>
      <c r="X86" s="152">
        <f t="shared" si="248"/>
        <v>0.15677966101694912</v>
      </c>
      <c r="Y86" s="152">
        <f t="shared" si="248"/>
        <v>0.15677966101694912</v>
      </c>
      <c r="Z86" s="152">
        <f t="shared" si="248"/>
        <v>0.15677966101694912</v>
      </c>
      <c r="AA86" s="152">
        <f t="shared" si="248"/>
        <v>0.1567796610169491</v>
      </c>
      <c r="AB86" s="152">
        <f t="shared" si="248"/>
        <v>0.15677966101694912</v>
      </c>
      <c r="AC86" s="152">
        <f t="shared" si="248"/>
        <v>0.1567796610169491</v>
      </c>
      <c r="AD86" s="138">
        <f t="shared" ref="AD86:AD125" si="249">((AC86/G86)^(1/($AC$3-$H$1) ))-1</f>
        <v>9.9671833741994398E-3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50">E40/E25</f>
        <v>#DIV/0!</v>
      </c>
      <c r="F87" s="152" t="e">
        <f t="shared" si="250"/>
        <v>#DIV/0!</v>
      </c>
      <c r="G87" s="152">
        <f t="shared" si="250"/>
        <v>0.09</v>
      </c>
      <c r="H87" s="152" t="e">
        <f t="shared" si="250"/>
        <v>#DIV/0!</v>
      </c>
      <c r="I87" s="152">
        <f t="shared" si="250"/>
        <v>0.09</v>
      </c>
      <c r="J87" s="152">
        <f t="shared" si="250"/>
        <v>6.0000000000000005E-2</v>
      </c>
      <c r="K87" s="152">
        <f t="shared" si="250"/>
        <v>5.3734939759036142E-2</v>
      </c>
      <c r="L87" s="152">
        <f t="shared" si="250"/>
        <v>5.2173913043478258E-2</v>
      </c>
      <c r="M87" s="152">
        <f t="shared" si="250"/>
        <v>8.3969465648854963E-2</v>
      </c>
      <c r="N87" s="152">
        <f t="shared" si="250"/>
        <v>8.5714285714285715E-2</v>
      </c>
      <c r="O87" s="152">
        <f t="shared" si="250"/>
        <v>8.5858585858585856E-2</v>
      </c>
      <c r="P87" s="152">
        <f t="shared" si="250"/>
        <v>9.7457627118644072E-2</v>
      </c>
      <c r="Q87" s="152">
        <f t="shared" ref="Q87" si="251">Q40/Q25</f>
        <v>9.7457627118644072E-2</v>
      </c>
      <c r="R87" s="118">
        <f t="shared" si="247"/>
        <v>8.8845710848954873E-3</v>
      </c>
      <c r="S87" s="152"/>
      <c r="T87" s="152">
        <f t="shared" ref="T87:AC87" si="252">T40/T25</f>
        <v>9.7457627118644072E-2</v>
      </c>
      <c r="U87" s="152">
        <f t="shared" si="252"/>
        <v>9.7457627118644072E-2</v>
      </c>
      <c r="V87" s="152">
        <f t="shared" si="252"/>
        <v>9.7457627118644072E-2</v>
      </c>
      <c r="W87" s="152">
        <f t="shared" si="252"/>
        <v>9.7457627118644058E-2</v>
      </c>
      <c r="X87" s="152">
        <f t="shared" si="252"/>
        <v>9.7457627118644058E-2</v>
      </c>
      <c r="Y87" s="152">
        <f t="shared" si="252"/>
        <v>9.7457627118644058E-2</v>
      </c>
      <c r="Z87" s="152">
        <f t="shared" si="252"/>
        <v>9.7457627118644058E-2</v>
      </c>
      <c r="AA87" s="152">
        <f t="shared" si="252"/>
        <v>9.7457627118644072E-2</v>
      </c>
      <c r="AB87" s="152">
        <f t="shared" si="252"/>
        <v>9.7457627118644072E-2</v>
      </c>
      <c r="AC87" s="152">
        <f t="shared" si="252"/>
        <v>9.7457627118644072E-2</v>
      </c>
      <c r="AD87" s="138">
        <f t="shared" si="249"/>
        <v>3.9883332948513761E-3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53">E40/E7</f>
        <v>#DIV/0!</v>
      </c>
      <c r="F88" s="152" t="e">
        <f t="shared" si="253"/>
        <v>#DIV/0!</v>
      </c>
      <c r="G88" s="152">
        <f>G40/G7</f>
        <v>0.52500000000000002</v>
      </c>
      <c r="H88" s="152" t="e">
        <f t="shared" si="253"/>
        <v>#DIV/0!</v>
      </c>
      <c r="I88" s="152">
        <f t="shared" si="253"/>
        <v>0.52500000000000002</v>
      </c>
      <c r="J88" s="152">
        <f t="shared" si="253"/>
        <v>0.34666666666666668</v>
      </c>
      <c r="K88" s="152">
        <f t="shared" si="253"/>
        <v>9.1020408163265301E-2</v>
      </c>
      <c r="L88" s="152">
        <f t="shared" si="253"/>
        <v>0.10909090909090909</v>
      </c>
      <c r="M88" s="152">
        <f t="shared" si="253"/>
        <v>0.15714285714285714</v>
      </c>
      <c r="N88" s="152">
        <f t="shared" si="253"/>
        <v>0.15463917525773196</v>
      </c>
      <c r="O88" s="152">
        <f t="shared" si="253"/>
        <v>0.14782608695652175</v>
      </c>
      <c r="P88" s="152">
        <f t="shared" ref="P88:Q88" si="254">P40/P7</f>
        <v>7.9310344827586213E-2</v>
      </c>
      <c r="Q88" s="152">
        <f t="shared" si="254"/>
        <v>7.9310344827586213E-2</v>
      </c>
      <c r="R88" s="118">
        <f t="shared" si="247"/>
        <v>-0.1894184281122846</v>
      </c>
      <c r="S88" s="20"/>
      <c r="T88" s="152">
        <f t="shared" ref="T88" si="255">T40/T7</f>
        <v>7.9310344827586213E-2</v>
      </c>
      <c r="U88" s="152">
        <f t="shared" ref="U88:AC88" si="256">U40/U7</f>
        <v>7.9310344827586213E-2</v>
      </c>
      <c r="V88" s="152">
        <f t="shared" si="256"/>
        <v>7.9310344827586213E-2</v>
      </c>
      <c r="W88" s="152">
        <f t="shared" si="256"/>
        <v>7.9310344827586213E-2</v>
      </c>
      <c r="X88" s="152">
        <f t="shared" si="256"/>
        <v>7.9310344827586213E-2</v>
      </c>
      <c r="Y88" s="152">
        <f t="shared" si="256"/>
        <v>7.9310344827586213E-2</v>
      </c>
      <c r="Z88" s="152">
        <f t="shared" si="256"/>
        <v>7.9310344827586213E-2</v>
      </c>
      <c r="AA88" s="152">
        <f t="shared" si="256"/>
        <v>7.9310344827586227E-2</v>
      </c>
      <c r="AB88" s="152">
        <f t="shared" si="256"/>
        <v>7.9310344827586227E-2</v>
      </c>
      <c r="AC88" s="152">
        <f t="shared" si="256"/>
        <v>7.9310344827586227E-2</v>
      </c>
      <c r="AD88" s="138">
        <f t="shared" si="249"/>
        <v>-9.0173616042302784E-2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57">(E40)/(E7+E10)</f>
        <v>#DIV/0!</v>
      </c>
      <c r="F89" s="152" t="e">
        <f t="shared" si="257"/>
        <v>#DIV/0!</v>
      </c>
      <c r="G89" s="152">
        <f>(G40)/(G7+G10)</f>
        <v>0.21724137931034482</v>
      </c>
      <c r="H89" s="152" t="e">
        <f t="shared" ref="H89:O89" si="258">(H40)/(H7+H10)</f>
        <v>#DIV/0!</v>
      </c>
      <c r="I89" s="152">
        <f t="shared" si="258"/>
        <v>0.21724137931034482</v>
      </c>
      <c r="J89" s="152">
        <f t="shared" si="258"/>
        <v>9.4545454545454544E-2</v>
      </c>
      <c r="K89" s="152">
        <f t="shared" si="258"/>
        <v>5.7922077922077923E-2</v>
      </c>
      <c r="L89" s="152">
        <f t="shared" si="258"/>
        <v>7.5949367088607597E-2</v>
      </c>
      <c r="M89" s="152">
        <f t="shared" si="258"/>
        <v>0.11827956989247312</v>
      </c>
      <c r="N89" s="152">
        <f t="shared" si="258"/>
        <v>0.12820512820512819</v>
      </c>
      <c r="O89" s="152">
        <f t="shared" si="258"/>
        <v>0.12318840579710146</v>
      </c>
      <c r="P89" s="152">
        <f t="shared" ref="P89:Q89" si="259">(P40)/(P7+P10)</f>
        <v>7.9283005860048258E-2</v>
      </c>
      <c r="Q89" s="152">
        <f t="shared" si="259"/>
        <v>7.9283005860048258E-2</v>
      </c>
      <c r="R89" s="118">
        <f t="shared" si="247"/>
        <v>-0.10595428010123698</v>
      </c>
      <c r="S89" s="20"/>
      <c r="T89" s="152">
        <f t="shared" ref="T89:AC89" si="260">(T40)/(T7+T10)</f>
        <v>7.9283005860048272E-2</v>
      </c>
      <c r="U89" s="152">
        <f t="shared" si="260"/>
        <v>7.9283005860048272E-2</v>
      </c>
      <c r="V89" s="152">
        <f t="shared" si="260"/>
        <v>7.9283005860048272E-2</v>
      </c>
      <c r="W89" s="152">
        <f t="shared" si="260"/>
        <v>7.9283005860048272E-2</v>
      </c>
      <c r="X89" s="152">
        <f t="shared" si="260"/>
        <v>7.9283005860048272E-2</v>
      </c>
      <c r="Y89" s="152">
        <f t="shared" si="260"/>
        <v>7.9283005860048258E-2</v>
      </c>
      <c r="Z89" s="152">
        <f t="shared" si="260"/>
        <v>7.9283005860048272E-2</v>
      </c>
      <c r="AA89" s="152">
        <f t="shared" si="260"/>
        <v>7.9283005860048286E-2</v>
      </c>
      <c r="AB89" s="152">
        <f t="shared" si="260"/>
        <v>7.9283005860048272E-2</v>
      </c>
      <c r="AC89" s="152">
        <f t="shared" si="260"/>
        <v>7.9283005860048272E-2</v>
      </c>
      <c r="AD89" s="138">
        <f t="shared" si="249"/>
        <v>-4.9150291289628667E-2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0</v>
      </c>
      <c r="H90" s="152" t="e">
        <f t="shared" ref="H90:P90" si="261">H20/H25</f>
        <v>#DIV/0!</v>
      </c>
      <c r="I90" s="152">
        <f t="shared" si="261"/>
        <v>0</v>
      </c>
      <c r="J90" s="152">
        <f t="shared" si="261"/>
        <v>0</v>
      </c>
      <c r="K90" s="152">
        <f t="shared" si="261"/>
        <v>0</v>
      </c>
      <c r="L90" s="152">
        <f t="shared" si="261"/>
        <v>0</v>
      </c>
      <c r="M90" s="152">
        <f t="shared" si="261"/>
        <v>0</v>
      </c>
      <c r="N90" s="152">
        <f t="shared" si="261"/>
        <v>0</v>
      </c>
      <c r="O90" s="152">
        <f t="shared" si="261"/>
        <v>0</v>
      </c>
      <c r="P90" s="152">
        <f t="shared" si="261"/>
        <v>0</v>
      </c>
      <c r="Q90" s="152">
        <f t="shared" ref="Q90" si="262">Q20/Q25</f>
        <v>0</v>
      </c>
      <c r="R90" s="118" t="e">
        <f t="shared" si="247"/>
        <v>#DIV/0!</v>
      </c>
      <c r="S90" s="20"/>
      <c r="T90" s="152">
        <f t="shared" ref="T90:AC90" si="263">T20/T25</f>
        <v>0</v>
      </c>
      <c r="U90" s="152">
        <f t="shared" si="263"/>
        <v>0</v>
      </c>
      <c r="V90" s="152">
        <f t="shared" si="263"/>
        <v>0</v>
      </c>
      <c r="W90" s="152">
        <f t="shared" si="263"/>
        <v>0</v>
      </c>
      <c r="X90" s="152">
        <f t="shared" si="263"/>
        <v>0</v>
      </c>
      <c r="Y90" s="152">
        <f t="shared" si="263"/>
        <v>0</v>
      </c>
      <c r="Z90" s="152">
        <f t="shared" si="263"/>
        <v>0</v>
      </c>
      <c r="AA90" s="152">
        <f t="shared" si="263"/>
        <v>0</v>
      </c>
      <c r="AB90" s="152">
        <f t="shared" si="263"/>
        <v>0</v>
      </c>
      <c r="AC90" s="152">
        <f t="shared" si="263"/>
        <v>0</v>
      </c>
      <c r="AD90" s="138" t="e">
        <f t="shared" si="249"/>
        <v>#DIV/0!</v>
      </c>
      <c r="AE90" s="146"/>
      <c r="AF90" s="146"/>
    </row>
    <row r="91" spans="2:32" x14ac:dyDescent="0.2">
      <c r="B91" s="20" t="s">
        <v>428</v>
      </c>
      <c r="C91" s="152"/>
      <c r="D91" s="152"/>
      <c r="E91" s="152"/>
      <c r="F91" s="152"/>
      <c r="G91" s="152">
        <f>G52/G25</f>
        <v>3.5714285714285726E-2</v>
      </c>
      <c r="H91" s="152" t="e">
        <f t="shared" ref="H91:P91" si="264">H52/H25</f>
        <v>#DIV/0!</v>
      </c>
      <c r="I91" s="152">
        <f t="shared" si="264"/>
        <v>3.5714285714285726E-2</v>
      </c>
      <c r="J91" s="152">
        <f t="shared" si="264"/>
        <v>3.1346153846153843E-2</v>
      </c>
      <c r="K91" s="152">
        <f t="shared" si="264"/>
        <v>3.5421686746987958E-2</v>
      </c>
      <c r="L91" s="152">
        <f t="shared" si="264"/>
        <v>3.9999999999999994E-2</v>
      </c>
      <c r="M91" s="152">
        <f t="shared" si="264"/>
        <v>3.0534351145038167E-2</v>
      </c>
      <c r="N91" s="152">
        <f t="shared" si="264"/>
        <v>5.1428571428571428E-2</v>
      </c>
      <c r="O91" s="152">
        <f t="shared" si="264"/>
        <v>5.0505050505050504E-2</v>
      </c>
      <c r="P91" s="152">
        <f t="shared" si="264"/>
        <v>2.9661016949152543E-2</v>
      </c>
      <c r="Q91" s="152">
        <f t="shared" ref="Q91" si="265">Q52/Q25</f>
        <v>2.9661016949152543E-2</v>
      </c>
      <c r="R91" s="118">
        <f t="shared" si="247"/>
        <v>-2.0423788824543321E-2</v>
      </c>
      <c r="S91" s="20"/>
      <c r="T91" s="152">
        <f t="shared" ref="T91:AC91" si="266">T52/T25</f>
        <v>2.9661016949152533E-2</v>
      </c>
      <c r="U91" s="152">
        <f t="shared" si="266"/>
        <v>2.9661016949152536E-2</v>
      </c>
      <c r="V91" s="152">
        <f t="shared" si="266"/>
        <v>2.9661016949152547E-2</v>
      </c>
      <c r="W91" s="152">
        <f t="shared" si="266"/>
        <v>2.9661016949152554E-2</v>
      </c>
      <c r="X91" s="152">
        <f t="shared" si="266"/>
        <v>2.966101694915255E-2</v>
      </c>
      <c r="Y91" s="152">
        <f t="shared" si="266"/>
        <v>2.966101694915254E-2</v>
      </c>
      <c r="Z91" s="152">
        <f t="shared" si="266"/>
        <v>2.9661016949152529E-2</v>
      </c>
      <c r="AA91" s="152">
        <f t="shared" si="266"/>
        <v>2.9661016949152529E-2</v>
      </c>
      <c r="AB91" s="152">
        <f t="shared" si="266"/>
        <v>2.9661016949152526E-2</v>
      </c>
      <c r="AC91" s="152">
        <f t="shared" si="266"/>
        <v>2.9661016949152526E-2</v>
      </c>
      <c r="AD91" s="138">
        <f t="shared" si="249"/>
        <v>-9.2428768565576691E-3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8.8571428571428568E-3</v>
      </c>
      <c r="H93" s="152" t="e">
        <f t="shared" ref="H93:P93" si="267">H29/H25</f>
        <v>#DIV/0!</v>
      </c>
      <c r="I93" s="152">
        <f t="shared" si="267"/>
        <v>8.8571428571428568E-3</v>
      </c>
      <c r="J93" s="152">
        <f t="shared" si="267"/>
        <v>1.4807692307692308E-2</v>
      </c>
      <c r="K93" s="152">
        <f t="shared" si="267"/>
        <v>2.0481927710843374E-2</v>
      </c>
      <c r="L93" s="152">
        <f t="shared" si="267"/>
        <v>1.7391304347826087E-2</v>
      </c>
      <c r="M93" s="152">
        <f t="shared" si="267"/>
        <v>1.5267175572519083E-2</v>
      </c>
      <c r="N93" s="152">
        <f t="shared" si="267"/>
        <v>1.1428571428571429E-2</v>
      </c>
      <c r="O93" s="152">
        <f t="shared" si="267"/>
        <v>1.5151515151515152E-2</v>
      </c>
      <c r="P93" s="152">
        <f t="shared" si="267"/>
        <v>2.1186440677966102E-3</v>
      </c>
      <c r="Q93" s="152">
        <f t="shared" ref="Q93" si="268">Q29/Q25</f>
        <v>2.1186440677966102E-3</v>
      </c>
      <c r="R93" s="118">
        <f t="shared" si="247"/>
        <v>-0.14695131687522778</v>
      </c>
      <c r="S93" s="20"/>
      <c r="T93" s="152">
        <f t="shared" ref="T93:AC93" si="269">T29/T25</f>
        <v>2.1186440677966102E-3</v>
      </c>
      <c r="U93" s="152">
        <f t="shared" si="269"/>
        <v>2.1186440677966102E-3</v>
      </c>
      <c r="V93" s="152">
        <f t="shared" si="269"/>
        <v>2.1186440677966102E-3</v>
      </c>
      <c r="W93" s="152">
        <f t="shared" si="269"/>
        <v>2.1186440677966102E-3</v>
      </c>
      <c r="X93" s="152">
        <f t="shared" si="269"/>
        <v>2.1186440677966106E-3</v>
      </c>
      <c r="Y93" s="152">
        <f t="shared" si="269"/>
        <v>2.1186440677966102E-3</v>
      </c>
      <c r="Z93" s="152">
        <f t="shared" si="269"/>
        <v>2.1186440677966106E-3</v>
      </c>
      <c r="AA93" s="152">
        <f t="shared" si="269"/>
        <v>2.1186440677966106E-3</v>
      </c>
      <c r="AB93" s="152">
        <f t="shared" si="269"/>
        <v>2.1186440677966106E-3</v>
      </c>
      <c r="AC93" s="152">
        <f t="shared" si="269"/>
        <v>2.1186440677966106E-3</v>
      </c>
      <c r="AD93" s="138">
        <f t="shared" si="249"/>
        <v>-6.90245738159736E-2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6.8888888888888888E-2</v>
      </c>
      <c r="H94" s="152" t="e">
        <f t="shared" ref="H94:P94" si="270">H29/H36</f>
        <v>#DIV/0!</v>
      </c>
      <c r="I94" s="152">
        <f t="shared" si="270"/>
        <v>6.8888888888888888E-2</v>
      </c>
      <c r="J94" s="152">
        <f t="shared" si="270"/>
        <v>0.10266666666666667</v>
      </c>
      <c r="K94" s="152">
        <f t="shared" si="270"/>
        <v>0.13600000000000001</v>
      </c>
      <c r="L94" s="152">
        <f t="shared" si="270"/>
        <v>0.1</v>
      </c>
      <c r="M94" s="152">
        <f t="shared" si="270"/>
        <v>7.6923076923076927E-2</v>
      </c>
      <c r="N94" s="152">
        <f t="shared" si="270"/>
        <v>5.2631578947368418E-2</v>
      </c>
      <c r="O94" s="152">
        <f t="shared" si="270"/>
        <v>7.8947368421052627E-2</v>
      </c>
      <c r="P94" s="152">
        <f t="shared" si="270"/>
        <v>1.3513513513513514E-2</v>
      </c>
      <c r="Q94" s="152">
        <f t="shared" ref="Q94" si="271">Q29/Q36</f>
        <v>1.3513513513513514E-2</v>
      </c>
      <c r="R94" s="118">
        <f t="shared" ref="R94" si="272">((P94/G94)^(1/($H$2-$H$1) ))-1</f>
        <v>-0.16554653524425911</v>
      </c>
      <c r="S94" s="20"/>
      <c r="T94" s="152">
        <f t="shared" ref="T94:AC94" si="273">T29/T36</f>
        <v>1.3513513513513514E-2</v>
      </c>
      <c r="U94" s="152">
        <f t="shared" si="273"/>
        <v>1.3513513513513514E-2</v>
      </c>
      <c r="V94" s="152">
        <f t="shared" si="273"/>
        <v>1.3513513513513516E-2</v>
      </c>
      <c r="W94" s="152">
        <f t="shared" si="273"/>
        <v>1.3513513513513518E-2</v>
      </c>
      <c r="X94" s="152">
        <f t="shared" si="273"/>
        <v>1.3513513513513518E-2</v>
      </c>
      <c r="Y94" s="152">
        <f t="shared" si="273"/>
        <v>1.3513513513513518E-2</v>
      </c>
      <c r="Z94" s="152">
        <f t="shared" si="273"/>
        <v>1.3513513513513518E-2</v>
      </c>
      <c r="AA94" s="152">
        <f t="shared" si="273"/>
        <v>1.3513513513513519E-2</v>
      </c>
      <c r="AB94" s="152">
        <f t="shared" si="273"/>
        <v>1.3513513513513521E-2</v>
      </c>
      <c r="AC94" s="152">
        <f t="shared" si="273"/>
        <v>1.3513513513513521E-2</v>
      </c>
      <c r="AD94" s="138">
        <f t="shared" ref="AD94" si="274">((AC94/G94)^(1/($AC$3-$H$1) ))-1</f>
        <v>-7.8212201832409511E-2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75">G29/G40</f>
        <v>9.841269841269841E-2</v>
      </c>
      <c r="H95" s="171" t="e">
        <f t="shared" si="275"/>
        <v>#DIV/0!</v>
      </c>
      <c r="I95" s="171">
        <f t="shared" si="275"/>
        <v>9.841269841269841E-2</v>
      </c>
      <c r="J95" s="171">
        <f t="shared" si="275"/>
        <v>0.24679487179487178</v>
      </c>
      <c r="K95" s="171">
        <f t="shared" si="275"/>
        <v>0.3811659192825112</v>
      </c>
      <c r="L95" s="171">
        <f t="shared" si="275"/>
        <v>0.33333333333333331</v>
      </c>
      <c r="M95" s="171">
        <f t="shared" si="275"/>
        <v>0.18181818181818182</v>
      </c>
      <c r="N95" s="171">
        <f t="shared" si="275"/>
        <v>0.13333333333333333</v>
      </c>
      <c r="O95" s="171">
        <f t="shared" si="275"/>
        <v>0.17647058823529413</v>
      </c>
      <c r="P95" s="171">
        <f t="shared" si="275"/>
        <v>2.1739130434782608E-2</v>
      </c>
      <c r="Q95" s="171">
        <f t="shared" ref="Q95" si="276">Q29/Q40</f>
        <v>2.1739130434782608E-2</v>
      </c>
      <c r="R95" s="118">
        <f t="shared" ref="R95" si="277">((P95/G95)^(1/($H$2-$H$1) ))-1</f>
        <v>-0.15446354560913389</v>
      </c>
      <c r="S95" s="20"/>
      <c r="T95" s="171">
        <f t="shared" ref="T95:AC95" si="278">T29/T40</f>
        <v>2.1739130434782608E-2</v>
      </c>
      <c r="U95" s="171">
        <f t="shared" si="278"/>
        <v>2.1739130434782608E-2</v>
      </c>
      <c r="V95" s="171">
        <f t="shared" si="278"/>
        <v>2.1739130434782612E-2</v>
      </c>
      <c r="W95" s="171">
        <f t="shared" si="278"/>
        <v>2.1739130434782615E-2</v>
      </c>
      <c r="X95" s="171">
        <f t="shared" si="278"/>
        <v>2.1739130434782612E-2</v>
      </c>
      <c r="Y95" s="171">
        <f t="shared" si="278"/>
        <v>2.1739130434782612E-2</v>
      </c>
      <c r="Z95" s="171">
        <f t="shared" si="278"/>
        <v>2.1739130434782612E-2</v>
      </c>
      <c r="AA95" s="171">
        <f t="shared" si="278"/>
        <v>2.1739130434782612E-2</v>
      </c>
      <c r="AB95" s="171">
        <f t="shared" si="278"/>
        <v>2.1739130434782615E-2</v>
      </c>
      <c r="AC95" s="171">
        <f t="shared" si="278"/>
        <v>2.1739130434782615E-2</v>
      </c>
      <c r="AD95" s="138">
        <f t="shared" ref="AD95" si="279">((AC95/G95)^(1/($AC$3-$H$1) ))-1</f>
        <v>-7.2722864090675188E-2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80">G29/G12</f>
        <v>0.62</v>
      </c>
      <c r="H96" s="171" t="e">
        <f t="shared" si="280"/>
        <v>#DIV/0!</v>
      </c>
      <c r="I96" s="171">
        <f t="shared" si="280"/>
        <v>0.62</v>
      </c>
      <c r="J96" s="171">
        <f t="shared" si="280"/>
        <v>0.85555555555555551</v>
      </c>
      <c r="K96" s="171">
        <f t="shared" si="280"/>
        <v>1</v>
      </c>
      <c r="L96" s="171">
        <f t="shared" si="280"/>
        <v>2.2222222222222223</v>
      </c>
      <c r="M96" s="171">
        <f t="shared" si="280"/>
        <v>0.5</v>
      </c>
      <c r="N96" s="171">
        <f t="shared" si="280"/>
        <v>0.4</v>
      </c>
      <c r="O96" s="171">
        <f t="shared" si="280"/>
        <v>0.42857142857142855</v>
      </c>
      <c r="P96" s="171">
        <f t="shared" si="280"/>
        <v>0.05</v>
      </c>
      <c r="Q96" s="171">
        <f t="shared" ref="Q96" si="281">Q29/Q12</f>
        <v>0.05</v>
      </c>
      <c r="R96" s="118">
        <f t="shared" si="247"/>
        <v>-0.24402279283695416</v>
      </c>
      <c r="S96" s="20"/>
      <c r="T96" s="152">
        <f t="shared" ref="T96:AC96" si="282">T29/T12</f>
        <v>0.05</v>
      </c>
      <c r="U96" s="152">
        <f t="shared" si="282"/>
        <v>4.9999999999999996E-2</v>
      </c>
      <c r="V96" s="152">
        <f t="shared" si="282"/>
        <v>0.05</v>
      </c>
      <c r="W96" s="152">
        <f t="shared" si="282"/>
        <v>5.000000000000001E-2</v>
      </c>
      <c r="X96" s="152">
        <f t="shared" si="282"/>
        <v>5.000000000000001E-2</v>
      </c>
      <c r="Y96" s="152">
        <f t="shared" si="282"/>
        <v>0.05</v>
      </c>
      <c r="Z96" s="152">
        <f t="shared" si="282"/>
        <v>0.05</v>
      </c>
      <c r="AA96" s="152">
        <f t="shared" si="282"/>
        <v>5.000000000000001E-2</v>
      </c>
      <c r="AB96" s="152">
        <f t="shared" si="282"/>
        <v>5.000000000000001E-2</v>
      </c>
      <c r="AC96" s="152">
        <f t="shared" si="282"/>
        <v>0.05</v>
      </c>
      <c r="AD96" s="138">
        <f t="shared" si="249"/>
        <v>-0.11828360617148015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 t="e">
        <f>G29/G23</f>
        <v>#DIV/0!</v>
      </c>
      <c r="H97" s="171" t="e">
        <f t="shared" ref="H97:P97" si="283">H29/H23</f>
        <v>#DIV/0!</v>
      </c>
      <c r="I97" s="171" t="e">
        <f t="shared" si="283"/>
        <v>#DIV/0!</v>
      </c>
      <c r="J97" s="171" t="e">
        <f t="shared" si="283"/>
        <v>#DIV/0!</v>
      </c>
      <c r="K97" s="171" t="e">
        <f t="shared" si="283"/>
        <v>#DIV/0!</v>
      </c>
      <c r="L97" s="171" t="e">
        <f t="shared" si="283"/>
        <v>#DIV/0!</v>
      </c>
      <c r="M97" s="171" t="e">
        <f t="shared" si="283"/>
        <v>#DIV/0!</v>
      </c>
      <c r="N97" s="171" t="e">
        <f t="shared" si="283"/>
        <v>#DIV/0!</v>
      </c>
      <c r="O97" s="171" t="e">
        <f t="shared" si="283"/>
        <v>#DIV/0!</v>
      </c>
      <c r="P97" s="171" t="e">
        <f t="shared" si="283"/>
        <v>#DIV/0!</v>
      </c>
      <c r="Q97" s="171" t="e">
        <f t="shared" ref="Q97" si="284">Q29/Q23</f>
        <v>#DIV/0!</v>
      </c>
      <c r="R97" s="118" t="e">
        <f t="shared" ref="R97" si="285">((P97/G97)^(1/($H$2-$H$1) ))-1</f>
        <v>#DIV/0!</v>
      </c>
      <c r="S97" s="20"/>
      <c r="T97" s="171" t="e">
        <f t="shared" ref="T97:AC97" si="286">T29/T23</f>
        <v>#DIV/0!</v>
      </c>
      <c r="U97" s="171" t="e">
        <f t="shared" si="286"/>
        <v>#DIV/0!</v>
      </c>
      <c r="V97" s="171" t="e">
        <f t="shared" si="286"/>
        <v>#DIV/0!</v>
      </c>
      <c r="W97" s="171" t="e">
        <f t="shared" si="286"/>
        <v>#DIV/0!</v>
      </c>
      <c r="X97" s="171" t="e">
        <f t="shared" si="286"/>
        <v>#DIV/0!</v>
      </c>
      <c r="Y97" s="171" t="e">
        <f t="shared" si="286"/>
        <v>#DIV/0!</v>
      </c>
      <c r="Z97" s="171" t="e">
        <f t="shared" si="286"/>
        <v>#DIV/0!</v>
      </c>
      <c r="AA97" s="171" t="e">
        <f t="shared" si="286"/>
        <v>#DIV/0!</v>
      </c>
      <c r="AB97" s="171" t="e">
        <f t="shared" si="286"/>
        <v>#DIV/0!</v>
      </c>
      <c r="AC97" s="171" t="e">
        <f t="shared" si="286"/>
        <v>#DIV/0!</v>
      </c>
      <c r="AD97" s="138" t="e">
        <f t="shared" ref="AD97" si="287">((AC97/G97)^(1/($AC$3-$H$1) ))-1</f>
        <v>#DIV/0!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402</v>
      </c>
      <c r="C99" s="152"/>
      <c r="D99" s="152"/>
      <c r="E99" s="152"/>
      <c r="F99" s="152"/>
      <c r="G99" s="127">
        <f>1/G93</f>
        <v>112.90322580645162</v>
      </c>
      <c r="H99" s="127" t="e">
        <f t="shared" ref="H99:P99" si="288">1/H93</f>
        <v>#DIV/0!</v>
      </c>
      <c r="I99" s="127">
        <f t="shared" si="288"/>
        <v>112.90322580645162</v>
      </c>
      <c r="J99" s="127">
        <f t="shared" si="288"/>
        <v>67.532467532467535</v>
      </c>
      <c r="K99" s="127">
        <f t="shared" si="288"/>
        <v>48.823529411764703</v>
      </c>
      <c r="L99" s="127">
        <f t="shared" si="288"/>
        <v>57.5</v>
      </c>
      <c r="M99" s="127">
        <f t="shared" si="288"/>
        <v>65.5</v>
      </c>
      <c r="N99" s="127">
        <f t="shared" si="288"/>
        <v>87.5</v>
      </c>
      <c r="O99" s="127">
        <f t="shared" si="288"/>
        <v>66</v>
      </c>
      <c r="P99" s="127">
        <f t="shared" si="288"/>
        <v>472</v>
      </c>
      <c r="Q99" s="127">
        <f t="shared" ref="Q99" si="289">1/Q93</f>
        <v>472</v>
      </c>
      <c r="R99" s="118">
        <f t="shared" si="247"/>
        <v>0.1722660380143084</v>
      </c>
      <c r="S99" s="20"/>
      <c r="T99" s="127">
        <f t="shared" ref="T99:AC99" si="290">1/T93</f>
        <v>472</v>
      </c>
      <c r="U99" s="127">
        <f t="shared" si="290"/>
        <v>472</v>
      </c>
      <c r="V99" s="127">
        <f t="shared" si="290"/>
        <v>472</v>
      </c>
      <c r="W99" s="127">
        <f t="shared" si="290"/>
        <v>472</v>
      </c>
      <c r="X99" s="127">
        <f t="shared" si="290"/>
        <v>471.99999999999989</v>
      </c>
      <c r="Y99" s="127">
        <f t="shared" si="290"/>
        <v>472</v>
      </c>
      <c r="Z99" s="127">
        <f t="shared" si="290"/>
        <v>471.99999999999989</v>
      </c>
      <c r="AA99" s="127">
        <f t="shared" si="290"/>
        <v>471.99999999999989</v>
      </c>
      <c r="AB99" s="127">
        <f t="shared" si="290"/>
        <v>471.99999999999989</v>
      </c>
      <c r="AC99" s="127">
        <f t="shared" si="290"/>
        <v>471.99999999999989</v>
      </c>
      <c r="AD99" s="138">
        <f t="shared" si="249"/>
        <v>7.4142208134212906E-2</v>
      </c>
      <c r="AE99" s="146"/>
      <c r="AF99" s="146"/>
    </row>
    <row r="100" spans="2:32" ht="12" customHeight="1" x14ac:dyDescent="0.2">
      <c r="B100" s="20" t="s">
        <v>403</v>
      </c>
      <c r="C100" s="152"/>
      <c r="D100" s="152"/>
      <c r="E100" s="152"/>
      <c r="F100" s="152"/>
      <c r="G100" s="127">
        <f t="shared" ref="G100:P103" si="291">1/G94</f>
        <v>14.516129032258064</v>
      </c>
      <c r="H100" s="127" t="e">
        <f t="shared" si="291"/>
        <v>#DIV/0!</v>
      </c>
      <c r="I100" s="127">
        <f t="shared" si="291"/>
        <v>14.516129032258064</v>
      </c>
      <c r="J100" s="127">
        <f t="shared" si="291"/>
        <v>9.7402597402597397</v>
      </c>
      <c r="K100" s="127">
        <f t="shared" si="291"/>
        <v>7.3529411764705879</v>
      </c>
      <c r="L100" s="127">
        <f t="shared" si="291"/>
        <v>10</v>
      </c>
      <c r="M100" s="127">
        <f t="shared" si="291"/>
        <v>13</v>
      </c>
      <c r="N100" s="127">
        <f t="shared" si="291"/>
        <v>19</v>
      </c>
      <c r="O100" s="127">
        <f t="shared" si="291"/>
        <v>12.666666666666668</v>
      </c>
      <c r="P100" s="127">
        <f t="shared" si="291"/>
        <v>74</v>
      </c>
      <c r="Q100" s="127">
        <f t="shared" ref="Q100" si="292">1/Q94</f>
        <v>74</v>
      </c>
      <c r="R100" s="118">
        <f t="shared" si="247"/>
        <v>0.19838917595328986</v>
      </c>
      <c r="S100" s="20"/>
      <c r="T100" s="127">
        <f t="shared" ref="T100:AC100" si="293">1/T94</f>
        <v>74</v>
      </c>
      <c r="U100" s="127">
        <f t="shared" si="293"/>
        <v>74</v>
      </c>
      <c r="V100" s="127">
        <f t="shared" si="293"/>
        <v>73.999999999999986</v>
      </c>
      <c r="W100" s="127">
        <f t="shared" si="293"/>
        <v>73.999999999999972</v>
      </c>
      <c r="X100" s="127">
        <f t="shared" si="293"/>
        <v>73.999999999999972</v>
      </c>
      <c r="Y100" s="127">
        <f t="shared" si="293"/>
        <v>73.999999999999972</v>
      </c>
      <c r="Z100" s="127">
        <f t="shared" si="293"/>
        <v>73.999999999999972</v>
      </c>
      <c r="AA100" s="127">
        <f t="shared" si="293"/>
        <v>73.999999999999972</v>
      </c>
      <c r="AB100" s="127">
        <f t="shared" si="293"/>
        <v>73.999999999999957</v>
      </c>
      <c r="AC100" s="127">
        <f t="shared" si="293"/>
        <v>73.999999999999957</v>
      </c>
      <c r="AD100" s="138">
        <f t="shared" si="249"/>
        <v>8.4848380492654085E-2</v>
      </c>
      <c r="AE100" s="146"/>
      <c r="AF100" s="146"/>
    </row>
    <row r="101" spans="2:32" ht="12" customHeight="1" x14ac:dyDescent="0.2">
      <c r="B101" s="20" t="s">
        <v>404</v>
      </c>
      <c r="C101" s="152"/>
      <c r="D101" s="152"/>
      <c r="E101" s="152"/>
      <c r="F101" s="152"/>
      <c r="G101" s="127">
        <f t="shared" si="291"/>
        <v>10.161290322580646</v>
      </c>
      <c r="H101" s="127" t="e">
        <f t="shared" si="291"/>
        <v>#DIV/0!</v>
      </c>
      <c r="I101" s="127">
        <f t="shared" si="291"/>
        <v>10.161290322580646</v>
      </c>
      <c r="J101" s="127">
        <f t="shared" si="291"/>
        <v>4.0519480519480524</v>
      </c>
      <c r="K101" s="127">
        <f t="shared" si="291"/>
        <v>2.6235294117647059</v>
      </c>
      <c r="L101" s="127">
        <f t="shared" si="291"/>
        <v>3</v>
      </c>
      <c r="M101" s="127">
        <f t="shared" si="291"/>
        <v>5.5</v>
      </c>
      <c r="N101" s="127">
        <f t="shared" si="291"/>
        <v>7.5</v>
      </c>
      <c r="O101" s="127">
        <f t="shared" si="291"/>
        <v>5.6666666666666661</v>
      </c>
      <c r="P101" s="127">
        <f t="shared" si="291"/>
        <v>46</v>
      </c>
      <c r="Q101" s="127">
        <f t="shared" ref="Q101" si="294">1/Q95</f>
        <v>46</v>
      </c>
      <c r="R101" s="118">
        <f t="shared" si="247"/>
        <v>0.18268111895945527</v>
      </c>
      <c r="S101" s="20"/>
      <c r="T101" s="127">
        <f t="shared" ref="T101:AC101" si="295">1/T95</f>
        <v>46</v>
      </c>
      <c r="U101" s="127">
        <f t="shared" si="295"/>
        <v>46</v>
      </c>
      <c r="V101" s="127">
        <f t="shared" si="295"/>
        <v>45.999999999999993</v>
      </c>
      <c r="W101" s="127">
        <f t="shared" si="295"/>
        <v>45.999999999999986</v>
      </c>
      <c r="X101" s="127">
        <f t="shared" si="295"/>
        <v>45.999999999999993</v>
      </c>
      <c r="Y101" s="127">
        <f t="shared" si="295"/>
        <v>45.999999999999993</v>
      </c>
      <c r="Z101" s="127">
        <f t="shared" si="295"/>
        <v>45.999999999999993</v>
      </c>
      <c r="AA101" s="127">
        <f t="shared" si="295"/>
        <v>45.999999999999993</v>
      </c>
      <c r="AB101" s="127">
        <f t="shared" si="295"/>
        <v>45.999999999999986</v>
      </c>
      <c r="AC101" s="127">
        <f t="shared" si="295"/>
        <v>45.999999999999986</v>
      </c>
      <c r="AD101" s="138">
        <f t="shared" si="249"/>
        <v>7.8426245266319805E-2</v>
      </c>
      <c r="AE101" s="146"/>
      <c r="AF101" s="146"/>
    </row>
    <row r="102" spans="2:32" ht="12" customHeight="1" x14ac:dyDescent="0.2">
      <c r="B102" s="20" t="s">
        <v>405</v>
      </c>
      <c r="C102" s="152"/>
      <c r="D102" s="152"/>
      <c r="E102" s="152"/>
      <c r="F102" s="152"/>
      <c r="G102" s="127">
        <f t="shared" si="291"/>
        <v>1.6129032258064517</v>
      </c>
      <c r="H102" s="127" t="e">
        <f t="shared" si="291"/>
        <v>#DIV/0!</v>
      </c>
      <c r="I102" s="127">
        <f t="shared" si="291"/>
        <v>1.6129032258064517</v>
      </c>
      <c r="J102" s="127">
        <f t="shared" si="291"/>
        <v>1.168831168831169</v>
      </c>
      <c r="K102" s="127">
        <f t="shared" si="291"/>
        <v>1</v>
      </c>
      <c r="L102" s="127">
        <f t="shared" si="291"/>
        <v>0.44999999999999996</v>
      </c>
      <c r="M102" s="127">
        <f t="shared" si="291"/>
        <v>2</v>
      </c>
      <c r="N102" s="127">
        <f t="shared" si="291"/>
        <v>2.5</v>
      </c>
      <c r="O102" s="127">
        <f t="shared" si="291"/>
        <v>2.3333333333333335</v>
      </c>
      <c r="P102" s="127">
        <f t="shared" si="291"/>
        <v>20</v>
      </c>
      <c r="Q102" s="127">
        <f t="shared" ref="Q102" si="296">1/Q96</f>
        <v>20</v>
      </c>
      <c r="R102" s="118">
        <f t="shared" si="247"/>
        <v>0.32279120392094618</v>
      </c>
      <c r="S102" s="20"/>
      <c r="T102" s="127">
        <f t="shared" ref="T102:AC102" si="297">1/T96</f>
        <v>20</v>
      </c>
      <c r="U102" s="127">
        <f t="shared" si="297"/>
        <v>20</v>
      </c>
      <c r="V102" s="127">
        <f t="shared" si="297"/>
        <v>20</v>
      </c>
      <c r="W102" s="127">
        <f t="shared" si="297"/>
        <v>19.999999999999996</v>
      </c>
      <c r="X102" s="127">
        <f t="shared" si="297"/>
        <v>19.999999999999996</v>
      </c>
      <c r="Y102" s="127">
        <f t="shared" si="297"/>
        <v>20</v>
      </c>
      <c r="Z102" s="127">
        <f t="shared" si="297"/>
        <v>20</v>
      </c>
      <c r="AA102" s="127">
        <f t="shared" si="297"/>
        <v>19.999999999999996</v>
      </c>
      <c r="AB102" s="127">
        <f t="shared" si="297"/>
        <v>19.999999999999996</v>
      </c>
      <c r="AC102" s="127">
        <f t="shared" si="297"/>
        <v>20</v>
      </c>
      <c r="AD102" s="138">
        <f t="shared" si="249"/>
        <v>0.13415153330412544</v>
      </c>
      <c r="AE102" s="146"/>
      <c r="AF102" s="146"/>
    </row>
    <row r="103" spans="2:32" ht="12" customHeight="1" x14ac:dyDescent="0.2">
      <c r="B103" s="20" t="s">
        <v>406</v>
      </c>
      <c r="C103" s="152"/>
      <c r="D103" s="152"/>
      <c r="E103" s="152"/>
      <c r="F103" s="152"/>
      <c r="G103" s="127" t="e">
        <f t="shared" si="291"/>
        <v>#DIV/0!</v>
      </c>
      <c r="H103" s="127" t="e">
        <f t="shared" si="291"/>
        <v>#DIV/0!</v>
      </c>
      <c r="I103" s="127" t="e">
        <f t="shared" si="291"/>
        <v>#DIV/0!</v>
      </c>
      <c r="J103" s="127" t="e">
        <f t="shared" si="291"/>
        <v>#DIV/0!</v>
      </c>
      <c r="K103" s="127" t="e">
        <f t="shared" si="291"/>
        <v>#DIV/0!</v>
      </c>
      <c r="L103" s="127" t="e">
        <f t="shared" si="291"/>
        <v>#DIV/0!</v>
      </c>
      <c r="M103" s="127" t="e">
        <f t="shared" si="291"/>
        <v>#DIV/0!</v>
      </c>
      <c r="N103" s="127" t="e">
        <f t="shared" si="291"/>
        <v>#DIV/0!</v>
      </c>
      <c r="O103" s="127" t="e">
        <f t="shared" si="291"/>
        <v>#DIV/0!</v>
      </c>
      <c r="P103" s="127" t="e">
        <f t="shared" si="291"/>
        <v>#DIV/0!</v>
      </c>
      <c r="Q103" s="127" t="e">
        <f t="shared" ref="Q103" si="298">1/Q97</f>
        <v>#DIV/0!</v>
      </c>
      <c r="R103" s="118" t="e">
        <f t="shared" si="247"/>
        <v>#DIV/0!</v>
      </c>
      <c r="S103" s="20"/>
      <c r="T103" s="127" t="e">
        <f t="shared" ref="T103:AC103" si="299">1/T97</f>
        <v>#DIV/0!</v>
      </c>
      <c r="U103" s="127" t="e">
        <f t="shared" si="299"/>
        <v>#DIV/0!</v>
      </c>
      <c r="V103" s="127" t="e">
        <f t="shared" si="299"/>
        <v>#DIV/0!</v>
      </c>
      <c r="W103" s="127" t="e">
        <f t="shared" si="299"/>
        <v>#DIV/0!</v>
      </c>
      <c r="X103" s="127" t="e">
        <f t="shared" si="299"/>
        <v>#DIV/0!</v>
      </c>
      <c r="Y103" s="127" t="e">
        <f t="shared" si="299"/>
        <v>#DIV/0!</v>
      </c>
      <c r="Z103" s="127" t="e">
        <f t="shared" si="299"/>
        <v>#DIV/0!</v>
      </c>
      <c r="AA103" s="127" t="e">
        <f t="shared" si="299"/>
        <v>#DIV/0!</v>
      </c>
      <c r="AB103" s="127" t="e">
        <f t="shared" si="299"/>
        <v>#DIV/0!</v>
      </c>
      <c r="AC103" s="127" t="e">
        <f t="shared" si="299"/>
        <v>#DIV/0!</v>
      </c>
      <c r="AD103" s="138" t="e">
        <f t="shared" si="249"/>
        <v>#DIV/0!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300">F10-(F12+F13)</f>
        <v>0</v>
      </c>
      <c r="G106" s="163">
        <f t="shared" si="300"/>
        <v>8</v>
      </c>
      <c r="H106" s="163">
        <f t="shared" si="300"/>
        <v>0</v>
      </c>
      <c r="I106" s="163">
        <f t="shared" si="300"/>
        <v>8</v>
      </c>
      <c r="J106" s="163">
        <f t="shared" si="300"/>
        <v>23.1</v>
      </c>
      <c r="K106" s="163">
        <f t="shared" si="300"/>
        <v>9.3000000000000007</v>
      </c>
      <c r="L106" s="163">
        <f t="shared" si="300"/>
        <v>23.1</v>
      </c>
      <c r="M106" s="163">
        <f t="shared" si="300"/>
        <v>13</v>
      </c>
      <c r="N106" s="163">
        <f t="shared" si="300"/>
        <v>-10</v>
      </c>
      <c r="O106" s="163">
        <f t="shared" si="300"/>
        <v>1</v>
      </c>
      <c r="P106" s="163">
        <f>P10-(P12+P13)</f>
        <v>-145.9</v>
      </c>
      <c r="Q106" s="163">
        <f>Q10-(Q12+Q13)</f>
        <v>-145.9</v>
      </c>
      <c r="R106" s="118">
        <f t="shared" si="247"/>
        <v>-2.3807252150935803</v>
      </c>
      <c r="S106" s="20"/>
      <c r="T106" s="163">
        <f>T10-(T12+T13)</f>
        <v>-189.67000000000002</v>
      </c>
      <c r="U106" s="163">
        <f t="shared" ref="U106:AC106" si="301">U10-(U12+U13)</f>
        <v>-246.57100000000003</v>
      </c>
      <c r="V106" s="163">
        <f t="shared" si="301"/>
        <v>-320.54230000000007</v>
      </c>
      <c r="W106" s="163">
        <f t="shared" si="301"/>
        <v>-416.70499000000001</v>
      </c>
      <c r="X106" s="163">
        <f t="shared" si="301"/>
        <v>-541.71648700000003</v>
      </c>
      <c r="Y106" s="163">
        <f t="shared" si="301"/>
        <v>-704.23143310000012</v>
      </c>
      <c r="Z106" s="163">
        <f t="shared" si="301"/>
        <v>-915.50086303000012</v>
      </c>
      <c r="AA106" s="163">
        <f t="shared" si="301"/>
        <v>-1190.1511219390002</v>
      </c>
      <c r="AB106" s="163">
        <f t="shared" si="301"/>
        <v>-1547.1964585207002</v>
      </c>
      <c r="AC106" s="163">
        <f t="shared" si="301"/>
        <v>-2011.3553960769104</v>
      </c>
      <c r="AD106" s="138" t="e">
        <f t="shared" si="249"/>
        <v>#NUM!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302">G40/G18</f>
        <v>0.52500000000000002</v>
      </c>
      <c r="H107" s="152" t="e">
        <f t="shared" si="302"/>
        <v>#DIV/0!</v>
      </c>
      <c r="I107" s="152">
        <f t="shared" si="302"/>
        <v>0.52500000000000002</v>
      </c>
      <c r="J107" s="152">
        <f t="shared" si="302"/>
        <v>0.22285714285714286</v>
      </c>
      <c r="K107" s="152">
        <f t="shared" si="302"/>
        <v>0.14866666666666667</v>
      </c>
      <c r="L107" s="152">
        <f t="shared" si="302"/>
        <v>0.1111111111111111</v>
      </c>
      <c r="M107" s="152">
        <f t="shared" si="302"/>
        <v>0.17741935483870969</v>
      </c>
      <c r="N107" s="152">
        <f t="shared" si="302"/>
        <v>0.24193548387096775</v>
      </c>
      <c r="O107" s="152">
        <f t="shared" si="302"/>
        <v>0.23287671232876711</v>
      </c>
      <c r="P107" s="152">
        <f t="shared" si="302"/>
        <v>0.27058823529411763</v>
      </c>
      <c r="Q107" s="152">
        <f t="shared" ref="Q107" si="303">Q40/Q18</f>
        <v>0.27058823529411763</v>
      </c>
      <c r="R107" s="118">
        <f t="shared" si="247"/>
        <v>-7.0998055565453244E-2</v>
      </c>
      <c r="S107" s="20"/>
      <c r="T107" s="152">
        <f t="shared" ref="T107:AC107" si="304">T40/T18</f>
        <v>0.27058823529411768</v>
      </c>
      <c r="U107" s="152">
        <f t="shared" si="304"/>
        <v>0.27058823529411768</v>
      </c>
      <c r="V107" s="152">
        <f t="shared" si="304"/>
        <v>0.27058823529411768</v>
      </c>
      <c r="W107" s="152">
        <f t="shared" si="304"/>
        <v>0.27058823529411768</v>
      </c>
      <c r="X107" s="152">
        <f t="shared" si="304"/>
        <v>0.27058823529411768</v>
      </c>
      <c r="Y107" s="152">
        <f t="shared" si="304"/>
        <v>0.27058823529411763</v>
      </c>
      <c r="Z107" s="152">
        <f t="shared" si="304"/>
        <v>0.27058823529411763</v>
      </c>
      <c r="AA107" s="152">
        <f t="shared" si="304"/>
        <v>0.27058823529411763</v>
      </c>
      <c r="AB107" s="152">
        <f t="shared" si="304"/>
        <v>0.27058823529411763</v>
      </c>
      <c r="AC107" s="152">
        <f t="shared" si="304"/>
        <v>0.27058823529411768</v>
      </c>
      <c r="AD107" s="138">
        <f t="shared" si="249"/>
        <v>-3.2596887497013283E-2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305">G40/G25</f>
        <v>0.09</v>
      </c>
      <c r="H108" s="152" t="e">
        <f t="shared" si="305"/>
        <v>#DIV/0!</v>
      </c>
      <c r="I108" s="152">
        <f t="shared" si="305"/>
        <v>0.09</v>
      </c>
      <c r="J108" s="152">
        <f t="shared" si="305"/>
        <v>6.0000000000000005E-2</v>
      </c>
      <c r="K108" s="152">
        <f t="shared" si="305"/>
        <v>5.3734939759036142E-2</v>
      </c>
      <c r="L108" s="152">
        <f t="shared" si="305"/>
        <v>5.2173913043478258E-2</v>
      </c>
      <c r="M108" s="152">
        <f t="shared" si="305"/>
        <v>8.3969465648854963E-2</v>
      </c>
      <c r="N108" s="152">
        <f t="shared" si="305"/>
        <v>8.5714285714285715E-2</v>
      </c>
      <c r="O108" s="152">
        <f t="shared" si="305"/>
        <v>8.5858585858585856E-2</v>
      </c>
      <c r="P108" s="152">
        <f t="shared" si="305"/>
        <v>9.7457627118644072E-2</v>
      </c>
      <c r="Q108" s="152">
        <f t="shared" ref="Q108" si="306">Q40/Q25</f>
        <v>9.7457627118644072E-2</v>
      </c>
      <c r="R108" s="118">
        <f t="shared" si="247"/>
        <v>8.8845710848954873E-3</v>
      </c>
      <c r="S108" s="20"/>
      <c r="T108" s="152">
        <f t="shared" ref="T108:AC108" si="307">T40/T25</f>
        <v>9.7457627118644072E-2</v>
      </c>
      <c r="U108" s="152">
        <f t="shared" si="307"/>
        <v>9.7457627118644072E-2</v>
      </c>
      <c r="V108" s="152">
        <f t="shared" si="307"/>
        <v>9.7457627118644072E-2</v>
      </c>
      <c r="W108" s="152">
        <f t="shared" si="307"/>
        <v>9.7457627118644058E-2</v>
      </c>
      <c r="X108" s="152">
        <f t="shared" si="307"/>
        <v>9.7457627118644058E-2</v>
      </c>
      <c r="Y108" s="152">
        <f t="shared" si="307"/>
        <v>9.7457627118644058E-2</v>
      </c>
      <c r="Z108" s="152">
        <f t="shared" si="307"/>
        <v>9.7457627118644058E-2</v>
      </c>
      <c r="AA108" s="152">
        <f t="shared" si="307"/>
        <v>9.7457627118644072E-2</v>
      </c>
      <c r="AB108" s="152">
        <f t="shared" si="307"/>
        <v>9.7457627118644072E-2</v>
      </c>
      <c r="AC108" s="152">
        <f t="shared" si="307"/>
        <v>9.7457627118644072E-2</v>
      </c>
      <c r="AD108" s="138">
        <f t="shared" si="249"/>
        <v>3.9883332948513761E-3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308">G25/G18</f>
        <v>5.833333333333333</v>
      </c>
      <c r="H109" s="152" t="e">
        <f t="shared" si="308"/>
        <v>#DIV/0!</v>
      </c>
      <c r="I109" s="152">
        <f t="shared" si="308"/>
        <v>5.833333333333333</v>
      </c>
      <c r="J109" s="152">
        <f t="shared" si="308"/>
        <v>3.7142857142857144</v>
      </c>
      <c r="K109" s="152">
        <f t="shared" si="308"/>
        <v>2.7666666666666666</v>
      </c>
      <c r="L109" s="152">
        <f t="shared" si="308"/>
        <v>2.1296296296296298</v>
      </c>
      <c r="M109" s="152">
        <f t="shared" si="308"/>
        <v>2.1129032258064515</v>
      </c>
      <c r="N109" s="152">
        <f t="shared" si="308"/>
        <v>2.8225806451612905</v>
      </c>
      <c r="O109" s="152">
        <f t="shared" si="308"/>
        <v>2.7123287671232879</v>
      </c>
      <c r="P109" s="152">
        <f>P25/P18</f>
        <v>2.776470588235294</v>
      </c>
      <c r="Q109" s="152">
        <f>Q25/Q18</f>
        <v>2.776470588235294</v>
      </c>
      <c r="R109" s="118">
        <f t="shared" si="247"/>
        <v>-7.917915382970675E-2</v>
      </c>
      <c r="S109" s="20"/>
      <c r="T109" s="152">
        <f>T25/T18</f>
        <v>2.776470588235294</v>
      </c>
      <c r="U109" s="152">
        <f t="shared" ref="U109:AC109" si="309">U25/U18</f>
        <v>2.776470588235294</v>
      </c>
      <c r="V109" s="152">
        <f t="shared" si="309"/>
        <v>2.7764705882352945</v>
      </c>
      <c r="W109" s="152">
        <f t="shared" si="309"/>
        <v>2.7764705882352945</v>
      </c>
      <c r="X109" s="152">
        <f t="shared" si="309"/>
        <v>2.7764705882352945</v>
      </c>
      <c r="Y109" s="152">
        <f t="shared" si="309"/>
        <v>2.7764705882352945</v>
      </c>
      <c r="Z109" s="152">
        <f t="shared" si="309"/>
        <v>2.776470588235294</v>
      </c>
      <c r="AA109" s="152">
        <f t="shared" si="309"/>
        <v>2.776470588235294</v>
      </c>
      <c r="AB109" s="152">
        <f t="shared" si="309"/>
        <v>2.776470588235294</v>
      </c>
      <c r="AC109" s="152">
        <f t="shared" si="309"/>
        <v>2.776470588235294</v>
      </c>
      <c r="AD109" s="138">
        <f t="shared" si="249"/>
        <v>-3.6439886379755815E-2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310">E70*E42</f>
        <v>0</v>
      </c>
      <c r="F111" s="165">
        <f t="shared" si="310"/>
        <v>0</v>
      </c>
      <c r="G111" s="165">
        <f>G70*G42</f>
        <v>0</v>
      </c>
      <c r="H111" s="165">
        <f t="shared" ref="H111:P111" si="311">H70*H42</f>
        <v>0</v>
      </c>
      <c r="I111" s="165">
        <f t="shared" si="311"/>
        <v>0</v>
      </c>
      <c r="J111" s="165">
        <f t="shared" si="311"/>
        <v>0</v>
      </c>
      <c r="K111" s="165">
        <f t="shared" si="311"/>
        <v>0</v>
      </c>
      <c r="L111" s="165">
        <f t="shared" si="311"/>
        <v>0</v>
      </c>
      <c r="M111" s="165">
        <f t="shared" si="311"/>
        <v>0</v>
      </c>
      <c r="N111" s="165">
        <f t="shared" si="311"/>
        <v>0</v>
      </c>
      <c r="O111" s="165">
        <f t="shared" si="311"/>
        <v>0</v>
      </c>
      <c r="P111" s="165">
        <f t="shared" si="311"/>
        <v>0</v>
      </c>
      <c r="Q111" s="165">
        <f t="shared" ref="Q111" si="312">Q70*Q42</f>
        <v>4.6900000000000004</v>
      </c>
      <c r="R111" s="118" t="e">
        <f t="shared" si="247"/>
        <v>#DIV/0!</v>
      </c>
      <c r="S111" s="20"/>
      <c r="T111" s="165">
        <f t="shared" ref="T111:AC111" si="313">T70*T42</f>
        <v>5.1707250000000009</v>
      </c>
      <c r="U111" s="165">
        <f t="shared" si="313"/>
        <v>5.7007243125000011</v>
      </c>
      <c r="V111" s="165">
        <f t="shared" si="313"/>
        <v>6.2850485545312527</v>
      </c>
      <c r="W111" s="165">
        <f t="shared" si="313"/>
        <v>6.9292660313707071</v>
      </c>
      <c r="X111" s="165">
        <f t="shared" si="313"/>
        <v>7.6395157995862055</v>
      </c>
      <c r="Y111" s="165">
        <f t="shared" si="313"/>
        <v>8.4225661690437921</v>
      </c>
      <c r="Z111" s="165">
        <f t="shared" si="313"/>
        <v>9.2858792013707809</v>
      </c>
      <c r="AA111" s="165">
        <f t="shared" si="313"/>
        <v>10.237681819511288</v>
      </c>
      <c r="AB111" s="165">
        <f t="shared" si="313"/>
        <v>11.287044206011196</v>
      </c>
      <c r="AC111" s="165">
        <f t="shared" si="313"/>
        <v>12.443966237127341</v>
      </c>
      <c r="AD111" s="138" t="e">
        <f t="shared" si="249"/>
        <v>#DIV/0!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4">(G111*0.17)+G111</f>
        <v>0</v>
      </c>
      <c r="H112" s="165">
        <f t="shared" si="314"/>
        <v>0</v>
      </c>
      <c r="I112" s="165">
        <f t="shared" si="314"/>
        <v>0</v>
      </c>
      <c r="J112" s="165">
        <f t="shared" si="314"/>
        <v>0</v>
      </c>
      <c r="K112" s="165">
        <f t="shared" si="314"/>
        <v>0</v>
      </c>
      <c r="L112" s="165">
        <f t="shared" si="314"/>
        <v>0</v>
      </c>
      <c r="M112" s="165">
        <f t="shared" si="314"/>
        <v>0</v>
      </c>
      <c r="N112" s="165">
        <f t="shared" si="314"/>
        <v>0</v>
      </c>
      <c r="O112" s="165">
        <f t="shared" si="314"/>
        <v>0</v>
      </c>
      <c r="P112" s="165">
        <f t="shared" si="314"/>
        <v>0</v>
      </c>
      <c r="Q112" s="165">
        <f t="shared" ref="Q112" si="315">(Q111*0.17)+Q111</f>
        <v>5.4873000000000003</v>
      </c>
      <c r="R112" s="118" t="e">
        <f t="shared" si="247"/>
        <v>#DIV/0!</v>
      </c>
      <c r="S112" s="20"/>
      <c r="T112" s="165">
        <f t="shared" ref="T112:AC112" si="316">(T111*0.17)+T111</f>
        <v>6.0497482500000013</v>
      </c>
      <c r="U112" s="165">
        <f t="shared" si="316"/>
        <v>6.6698474456250016</v>
      </c>
      <c r="V112" s="165">
        <f t="shared" si="316"/>
        <v>7.3535068088015656</v>
      </c>
      <c r="W112" s="165">
        <f t="shared" si="316"/>
        <v>8.1072412567037269</v>
      </c>
      <c r="X112" s="165">
        <f t="shared" si="316"/>
        <v>8.9382334855158607</v>
      </c>
      <c r="Y112" s="165">
        <f t="shared" si="316"/>
        <v>9.8544024177812375</v>
      </c>
      <c r="Z112" s="165">
        <f t="shared" si="316"/>
        <v>10.864478665603814</v>
      </c>
      <c r="AA112" s="165">
        <f t="shared" si="316"/>
        <v>11.978087728828207</v>
      </c>
      <c r="AB112" s="165">
        <f t="shared" si="316"/>
        <v>13.205841721033099</v>
      </c>
      <c r="AC112" s="165">
        <f t="shared" si="316"/>
        <v>14.55944049743899</v>
      </c>
      <c r="AD112" s="138" t="e">
        <f t="shared" si="249"/>
        <v>#DIV/0!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317">F112/F40</f>
        <v>#DIV/0!</v>
      </c>
      <c r="G113" s="152">
        <f t="shared" si="317"/>
        <v>0</v>
      </c>
      <c r="H113" s="152" t="e">
        <f t="shared" si="317"/>
        <v>#DIV/0!</v>
      </c>
      <c r="I113" s="152">
        <f t="shared" si="317"/>
        <v>0</v>
      </c>
      <c r="J113" s="152">
        <f t="shared" si="317"/>
        <v>0</v>
      </c>
      <c r="K113" s="152">
        <f t="shared" si="317"/>
        <v>0</v>
      </c>
      <c r="L113" s="152">
        <f t="shared" si="317"/>
        <v>0</v>
      </c>
      <c r="M113" s="152">
        <f t="shared" si="317"/>
        <v>0</v>
      </c>
      <c r="N113" s="152">
        <f t="shared" si="317"/>
        <v>0</v>
      </c>
      <c r="O113" s="152">
        <f t="shared" si="317"/>
        <v>0</v>
      </c>
      <c r="P113" s="152">
        <f t="shared" si="317"/>
        <v>0</v>
      </c>
      <c r="Q113" s="152">
        <f t="shared" ref="Q113" si="318">Q112/Q40</f>
        <v>0.23857826086956524</v>
      </c>
      <c r="R113" s="118" t="e">
        <f t="shared" si="247"/>
        <v>#DIV/0!</v>
      </c>
      <c r="S113" s="20"/>
      <c r="T113" s="152">
        <f t="shared" ref="T113:AC113" si="319">T112/T40</f>
        <v>0.20233271739130437</v>
      </c>
      <c r="U113" s="152">
        <f t="shared" si="319"/>
        <v>0.17159370840301005</v>
      </c>
      <c r="V113" s="152">
        <f t="shared" si="319"/>
        <v>0.14552466424178356</v>
      </c>
      <c r="W113" s="152">
        <f t="shared" si="319"/>
        <v>0.12341610948197414</v>
      </c>
      <c r="X113" s="152">
        <f t="shared" si="319"/>
        <v>0.10466635438759732</v>
      </c>
      <c r="Y113" s="152">
        <f t="shared" si="319"/>
        <v>8.8765119778712348E-2</v>
      </c>
      <c r="Z113" s="152">
        <f t="shared" si="319"/>
        <v>7.5279649658484882E-2</v>
      </c>
      <c r="AA113" s="152">
        <f t="shared" si="319"/>
        <v>6.3842933652676612E-2</v>
      </c>
      <c r="AB113" s="152">
        <f t="shared" si="319"/>
        <v>5.4143718732366126E-2</v>
      </c>
      <c r="AC113" s="152">
        <f t="shared" si="319"/>
        <v>4.591803838648742E-2</v>
      </c>
      <c r="AD113" s="138" t="e">
        <f t="shared" si="249"/>
        <v>#DIV/0!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1</v>
      </c>
      <c r="H114" s="152" t="e">
        <f t="shared" ref="H114:P114" si="320">1-H113</f>
        <v>#DIV/0!</v>
      </c>
      <c r="I114" s="152">
        <f t="shared" si="320"/>
        <v>1</v>
      </c>
      <c r="J114" s="152">
        <f t="shared" si="320"/>
        <v>1</v>
      </c>
      <c r="K114" s="152">
        <f t="shared" si="320"/>
        <v>1</v>
      </c>
      <c r="L114" s="152">
        <f t="shared" si="320"/>
        <v>1</v>
      </c>
      <c r="M114" s="152">
        <f t="shared" si="320"/>
        <v>1</v>
      </c>
      <c r="N114" s="152">
        <f t="shared" si="320"/>
        <v>1</v>
      </c>
      <c r="O114" s="152">
        <f t="shared" si="320"/>
        <v>1</v>
      </c>
      <c r="P114" s="152">
        <f t="shared" si="320"/>
        <v>1</v>
      </c>
      <c r="Q114" s="152">
        <f t="shared" ref="Q114" si="321">1-Q113</f>
        <v>0.76142173913043476</v>
      </c>
      <c r="R114" s="118">
        <f t="shared" si="247"/>
        <v>0</v>
      </c>
      <c r="S114" s="20"/>
      <c r="T114" s="152">
        <f t="shared" ref="T114:AC114" si="322">1-T113</f>
        <v>0.79766728260869568</v>
      </c>
      <c r="U114" s="152">
        <f t="shared" si="322"/>
        <v>0.82840629159698997</v>
      </c>
      <c r="V114" s="152">
        <f t="shared" si="322"/>
        <v>0.85447533575821644</v>
      </c>
      <c r="W114" s="152">
        <f t="shared" si="322"/>
        <v>0.87658389051802588</v>
      </c>
      <c r="X114" s="152">
        <f t="shared" si="322"/>
        <v>0.8953336456124027</v>
      </c>
      <c r="Y114" s="152">
        <f t="shared" si="322"/>
        <v>0.91123488022128762</v>
      </c>
      <c r="Z114" s="152">
        <f t="shared" si="322"/>
        <v>0.92472035034151512</v>
      </c>
      <c r="AA114" s="152">
        <f t="shared" si="322"/>
        <v>0.93615706634732343</v>
      </c>
      <c r="AB114" s="152">
        <f t="shared" si="322"/>
        <v>0.94585628126763388</v>
      </c>
      <c r="AC114" s="152">
        <f t="shared" si="322"/>
        <v>0.95408196161351255</v>
      </c>
      <c r="AD114" s="138">
        <f t="shared" si="249"/>
        <v>-2.3475251221494187E-3</v>
      </c>
      <c r="AE114" s="20"/>
      <c r="AF114" s="20"/>
    </row>
    <row r="115" spans="2:32" x14ac:dyDescent="0.2">
      <c r="B115" s="20" t="s">
        <v>452</v>
      </c>
      <c r="C115" s="20"/>
      <c r="D115" s="20"/>
      <c r="E115" s="20"/>
      <c r="F115" s="152" t="e">
        <f t="shared" ref="F115:P115" si="323">F112/F20</f>
        <v>#DIV/0!</v>
      </c>
      <c r="G115" s="152" t="e">
        <f t="shared" si="323"/>
        <v>#DIV/0!</v>
      </c>
      <c r="H115" s="152" t="e">
        <f t="shared" si="323"/>
        <v>#DIV/0!</v>
      </c>
      <c r="I115" s="152" t="e">
        <f t="shared" si="323"/>
        <v>#DIV/0!</v>
      </c>
      <c r="J115" s="152" t="e">
        <f t="shared" si="323"/>
        <v>#DIV/0!</v>
      </c>
      <c r="K115" s="152" t="e">
        <f t="shared" si="323"/>
        <v>#DIV/0!</v>
      </c>
      <c r="L115" s="152" t="e">
        <f t="shared" si="323"/>
        <v>#DIV/0!</v>
      </c>
      <c r="M115" s="152" t="e">
        <f t="shared" si="323"/>
        <v>#DIV/0!</v>
      </c>
      <c r="N115" s="152" t="e">
        <f t="shared" si="323"/>
        <v>#DIV/0!</v>
      </c>
      <c r="O115" s="152" t="e">
        <f t="shared" si="323"/>
        <v>#DIV/0!</v>
      </c>
      <c r="P115" s="152" t="e">
        <f t="shared" si="323"/>
        <v>#DIV/0!</v>
      </c>
      <c r="Q115" s="152" t="e">
        <f>Q112/Q20</f>
        <v>#DIV/0!</v>
      </c>
      <c r="R115" s="118" t="e">
        <f t="shared" si="247"/>
        <v>#DIV/0!</v>
      </c>
      <c r="S115" s="20"/>
      <c r="T115" s="152" t="e">
        <f>T112/T20</f>
        <v>#DIV/0!</v>
      </c>
      <c r="U115" s="152" t="e">
        <f t="shared" ref="U115:AC115" si="324">U112/U20</f>
        <v>#DIV/0!</v>
      </c>
      <c r="V115" s="152" t="e">
        <f t="shared" si="324"/>
        <v>#DIV/0!</v>
      </c>
      <c r="W115" s="152" t="e">
        <f t="shared" si="324"/>
        <v>#DIV/0!</v>
      </c>
      <c r="X115" s="152" t="e">
        <f t="shared" si="324"/>
        <v>#DIV/0!</v>
      </c>
      <c r="Y115" s="152" t="e">
        <f t="shared" si="324"/>
        <v>#DIV/0!</v>
      </c>
      <c r="Z115" s="152" t="e">
        <f t="shared" si="324"/>
        <v>#DIV/0!</v>
      </c>
      <c r="AA115" s="152" t="e">
        <f t="shared" si="324"/>
        <v>#DIV/0!</v>
      </c>
      <c r="AB115" s="152" t="e">
        <f t="shared" si="324"/>
        <v>#DIV/0!</v>
      </c>
      <c r="AC115" s="152" t="e">
        <f t="shared" si="324"/>
        <v>#DIV/0!</v>
      </c>
      <c r="AD115" s="138" t="s">
        <v>453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 t="e">
        <f t="shared" ref="H117:P117" si="325">H31/H25</f>
        <v>#DIV/0!</v>
      </c>
      <c r="I117" s="152">
        <f t="shared" si="325"/>
        <v>0</v>
      </c>
      <c r="J117" s="152">
        <f t="shared" si="325"/>
        <v>0</v>
      </c>
      <c r="K117" s="152">
        <f t="shared" si="325"/>
        <v>0</v>
      </c>
      <c r="L117" s="152">
        <f t="shared" si="325"/>
        <v>0</v>
      </c>
      <c r="M117" s="152">
        <f t="shared" si="325"/>
        <v>0</v>
      </c>
      <c r="N117" s="152">
        <f t="shared" si="325"/>
        <v>0</v>
      </c>
      <c r="O117" s="152">
        <f t="shared" si="325"/>
        <v>0</v>
      </c>
      <c r="P117" s="152">
        <f t="shared" si="325"/>
        <v>0</v>
      </c>
      <c r="Q117" s="152">
        <f t="shared" ref="Q117" si="326">Q31/Q25</f>
        <v>0</v>
      </c>
      <c r="R117" s="118" t="e">
        <f t="shared" si="247"/>
        <v>#DIV/0!</v>
      </c>
      <c r="S117" s="20"/>
      <c r="T117" s="152">
        <f t="shared" ref="T117:AC117" si="327">T31/T25</f>
        <v>0</v>
      </c>
      <c r="U117" s="152">
        <f t="shared" si="327"/>
        <v>0</v>
      </c>
      <c r="V117" s="152">
        <f t="shared" si="327"/>
        <v>0</v>
      </c>
      <c r="W117" s="152">
        <f t="shared" si="327"/>
        <v>0</v>
      </c>
      <c r="X117" s="152">
        <f t="shared" si="327"/>
        <v>0</v>
      </c>
      <c r="Y117" s="152">
        <f t="shared" si="327"/>
        <v>0</v>
      </c>
      <c r="Z117" s="152">
        <f t="shared" si="327"/>
        <v>0</v>
      </c>
      <c r="AA117" s="152">
        <f t="shared" si="327"/>
        <v>0</v>
      </c>
      <c r="AB117" s="152">
        <f t="shared" si="327"/>
        <v>0</v>
      </c>
      <c r="AC117" s="152">
        <f t="shared" si="327"/>
        <v>0</v>
      </c>
      <c r="AD117" s="138" t="e">
        <f t="shared" si="249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 t="e">
        <f t="shared" ref="H118:P118" si="328">H32/H25</f>
        <v>#DIV/0!</v>
      </c>
      <c r="I118" s="152">
        <f t="shared" si="328"/>
        <v>0</v>
      </c>
      <c r="J118" s="152">
        <f t="shared" si="328"/>
        <v>0</v>
      </c>
      <c r="K118" s="152">
        <f t="shared" si="328"/>
        <v>0</v>
      </c>
      <c r="L118" s="152">
        <f t="shared" si="328"/>
        <v>0</v>
      </c>
      <c r="M118" s="152">
        <f t="shared" si="328"/>
        <v>0</v>
      </c>
      <c r="N118" s="152">
        <f t="shared" si="328"/>
        <v>0</v>
      </c>
      <c r="O118" s="152">
        <f t="shared" si="328"/>
        <v>0</v>
      </c>
      <c r="P118" s="152">
        <f t="shared" si="328"/>
        <v>0</v>
      </c>
      <c r="Q118" s="152">
        <f t="shared" ref="Q118" si="329">Q32/Q25</f>
        <v>0</v>
      </c>
      <c r="R118" s="118" t="e">
        <f t="shared" si="247"/>
        <v>#DIV/0!</v>
      </c>
      <c r="S118" s="20"/>
      <c r="T118" s="152">
        <f t="shared" ref="T118:AC118" si="330">T32/T25</f>
        <v>0</v>
      </c>
      <c r="U118" s="152">
        <f t="shared" si="330"/>
        <v>0</v>
      </c>
      <c r="V118" s="152">
        <f t="shared" si="330"/>
        <v>0</v>
      </c>
      <c r="W118" s="152">
        <f t="shared" si="330"/>
        <v>0</v>
      </c>
      <c r="X118" s="152">
        <f t="shared" si="330"/>
        <v>0</v>
      </c>
      <c r="Y118" s="152">
        <f t="shared" si="330"/>
        <v>0</v>
      </c>
      <c r="Z118" s="152">
        <f t="shared" si="330"/>
        <v>0</v>
      </c>
      <c r="AA118" s="152">
        <f t="shared" si="330"/>
        <v>0</v>
      </c>
      <c r="AB118" s="152">
        <f t="shared" si="330"/>
        <v>0</v>
      </c>
      <c r="AC118" s="152">
        <f t="shared" si="330"/>
        <v>0</v>
      </c>
      <c r="AD118" s="138" t="e">
        <f t="shared" si="249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0.8</v>
      </c>
      <c r="H120" s="152" t="e">
        <f t="shared" ref="H120:P120" si="331">H27/H25</f>
        <v>#DIV/0!</v>
      </c>
      <c r="I120" s="152">
        <f t="shared" si="331"/>
        <v>0.8</v>
      </c>
      <c r="J120" s="152">
        <f t="shared" si="331"/>
        <v>0.84615384615384615</v>
      </c>
      <c r="K120" s="152">
        <f t="shared" si="331"/>
        <v>0.84337349397590367</v>
      </c>
      <c r="L120" s="152">
        <f t="shared" si="331"/>
        <v>0.83478260869565213</v>
      </c>
      <c r="M120" s="152">
        <f t="shared" si="331"/>
        <v>0.77862595419847325</v>
      </c>
      <c r="N120" s="152">
        <f t="shared" si="331"/>
        <v>0.77142857142857146</v>
      </c>
      <c r="O120" s="152">
        <f t="shared" si="331"/>
        <v>0.79797979797979801</v>
      </c>
      <c r="P120" s="152">
        <f t="shared" si="331"/>
        <v>0.80508474576271183</v>
      </c>
      <c r="Q120" s="152">
        <f t="shared" ref="Q120" si="332">Q27/Q25</f>
        <v>0.80508474576271183</v>
      </c>
      <c r="R120" s="118">
        <f t="shared" si="247"/>
        <v>7.0422767963251864E-4</v>
      </c>
      <c r="S120" s="20"/>
      <c r="T120" s="152">
        <f t="shared" ref="T120:AC120" si="333">T27/T25</f>
        <v>0.80508474576271183</v>
      </c>
      <c r="U120" s="152">
        <f t="shared" si="333"/>
        <v>0.80508474576271183</v>
      </c>
      <c r="V120" s="152">
        <f t="shared" si="333"/>
        <v>0.80508474576271183</v>
      </c>
      <c r="W120" s="152">
        <f t="shared" si="333"/>
        <v>0.80508474576271183</v>
      </c>
      <c r="X120" s="152">
        <f t="shared" si="333"/>
        <v>0.80508474576271183</v>
      </c>
      <c r="Y120" s="152">
        <f t="shared" si="333"/>
        <v>0.80508474576271183</v>
      </c>
      <c r="Z120" s="152">
        <f t="shared" si="333"/>
        <v>0.80508474576271183</v>
      </c>
      <c r="AA120" s="152">
        <f t="shared" si="333"/>
        <v>0.80508474576271183</v>
      </c>
      <c r="AB120" s="152">
        <f t="shared" si="333"/>
        <v>0.80508474576271183</v>
      </c>
      <c r="AC120" s="152">
        <f t="shared" si="333"/>
        <v>0.80508474576271183</v>
      </c>
      <c r="AD120" s="138">
        <f t="shared" si="249"/>
        <v>3.1684110599772275E-4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0</v>
      </c>
      <c r="H121" s="152" t="e">
        <f t="shared" ref="H121:P121" si="334">H33/H25</f>
        <v>#DIV/0!</v>
      </c>
      <c r="I121" s="152">
        <f t="shared" si="334"/>
        <v>0</v>
      </c>
      <c r="J121" s="152">
        <f t="shared" si="334"/>
        <v>0</v>
      </c>
      <c r="K121" s="152">
        <f t="shared" si="334"/>
        <v>0</v>
      </c>
      <c r="L121" s="152">
        <f t="shared" si="334"/>
        <v>0</v>
      </c>
      <c r="M121" s="152">
        <f t="shared" si="334"/>
        <v>0</v>
      </c>
      <c r="N121" s="152">
        <f t="shared" si="334"/>
        <v>0</v>
      </c>
      <c r="O121" s="152">
        <f t="shared" si="334"/>
        <v>0</v>
      </c>
      <c r="P121" s="152">
        <f t="shared" si="334"/>
        <v>0</v>
      </c>
      <c r="Q121" s="152">
        <f t="shared" ref="Q121" si="335">Q33/Q25</f>
        <v>0</v>
      </c>
      <c r="R121" s="118" t="e">
        <f t="shared" si="247"/>
        <v>#DIV/0!</v>
      </c>
      <c r="S121" s="20"/>
      <c r="T121" s="152">
        <f t="shared" ref="T121:AC121" si="336">T33/T25</f>
        <v>0</v>
      </c>
      <c r="U121" s="152">
        <f t="shared" si="336"/>
        <v>0</v>
      </c>
      <c r="V121" s="152">
        <f t="shared" si="336"/>
        <v>0</v>
      </c>
      <c r="W121" s="152">
        <f t="shared" si="336"/>
        <v>0</v>
      </c>
      <c r="X121" s="152">
        <f t="shared" si="336"/>
        <v>0</v>
      </c>
      <c r="Y121" s="152">
        <f t="shared" si="336"/>
        <v>0</v>
      </c>
      <c r="Z121" s="152">
        <f t="shared" si="336"/>
        <v>0</v>
      </c>
      <c r="AA121" s="152">
        <f t="shared" si="336"/>
        <v>0</v>
      </c>
      <c r="AB121" s="152">
        <f t="shared" si="336"/>
        <v>0</v>
      </c>
      <c r="AC121" s="152">
        <f t="shared" si="336"/>
        <v>0</v>
      </c>
      <c r="AD121" s="138" t="e">
        <f t="shared" si="249"/>
        <v>#DIV/0!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0</v>
      </c>
      <c r="H122" s="152" t="e">
        <f t="shared" ref="H122:P122" si="337">H34/H25</f>
        <v>#DIV/0!</v>
      </c>
      <c r="I122" s="152">
        <f t="shared" si="337"/>
        <v>0</v>
      </c>
      <c r="J122" s="152">
        <f t="shared" si="337"/>
        <v>0</v>
      </c>
      <c r="K122" s="152">
        <f t="shared" si="337"/>
        <v>0</v>
      </c>
      <c r="L122" s="152">
        <f t="shared" si="337"/>
        <v>0</v>
      </c>
      <c r="M122" s="152">
        <f t="shared" si="337"/>
        <v>0</v>
      </c>
      <c r="N122" s="152">
        <f t="shared" si="337"/>
        <v>0</v>
      </c>
      <c r="O122" s="152">
        <f t="shared" si="337"/>
        <v>0</v>
      </c>
      <c r="P122" s="152">
        <f t="shared" si="337"/>
        <v>0</v>
      </c>
      <c r="Q122" s="152">
        <f t="shared" ref="Q122" si="338">Q34/Q25</f>
        <v>0</v>
      </c>
      <c r="R122" s="118" t="e">
        <f t="shared" si="247"/>
        <v>#DIV/0!</v>
      </c>
      <c r="S122" s="20"/>
      <c r="T122" s="152">
        <f t="shared" ref="T122:AC122" si="339">T34/T25</f>
        <v>0</v>
      </c>
      <c r="U122" s="152">
        <f t="shared" si="339"/>
        <v>0</v>
      </c>
      <c r="V122" s="152">
        <f t="shared" si="339"/>
        <v>0</v>
      </c>
      <c r="W122" s="152">
        <f t="shared" si="339"/>
        <v>0</v>
      </c>
      <c r="X122" s="152">
        <f t="shared" si="339"/>
        <v>0</v>
      </c>
      <c r="Y122" s="152">
        <f t="shared" si="339"/>
        <v>0</v>
      </c>
      <c r="Z122" s="152">
        <f t="shared" si="339"/>
        <v>0</v>
      </c>
      <c r="AA122" s="152">
        <f t="shared" si="339"/>
        <v>0</v>
      </c>
      <c r="AB122" s="152">
        <f t="shared" si="339"/>
        <v>0</v>
      </c>
      <c r="AC122" s="152">
        <f t="shared" si="339"/>
        <v>0</v>
      </c>
      <c r="AD122" s="138" t="e">
        <f t="shared" si="249"/>
        <v>#DIV/0!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0.1657142857142857</v>
      </c>
      <c r="H125" s="25" t="e">
        <f t="shared" ref="H125:AC125" si="340">H15/H9</f>
        <v>#DIV/0!</v>
      </c>
      <c r="I125" s="25">
        <f t="shared" si="340"/>
        <v>0.1657142857142857</v>
      </c>
      <c r="J125" s="25">
        <f t="shared" si="340"/>
        <v>0.23529411764705882</v>
      </c>
      <c r="K125" s="25">
        <f t="shared" si="340"/>
        <v>0.2</v>
      </c>
      <c r="L125" s="25">
        <f t="shared" si="340"/>
        <v>0.17736842105263159</v>
      </c>
      <c r="M125" s="25">
        <f t="shared" si="340"/>
        <v>0.35</v>
      </c>
      <c r="N125" s="25">
        <f t="shared" si="340"/>
        <v>0.4</v>
      </c>
      <c r="O125" s="25">
        <f t="shared" si="340"/>
        <v>0.41176470588235292</v>
      </c>
      <c r="P125" s="25">
        <f t="shared" si="340"/>
        <v>0.8571428571428571</v>
      </c>
      <c r="Q125" s="25">
        <f t="shared" ref="Q125" si="341">Q15/Q9</f>
        <v>0.8571428571428571</v>
      </c>
      <c r="R125" s="118">
        <f t="shared" si="247"/>
        <v>0.20032610469731327</v>
      </c>
      <c r="S125" s="20"/>
      <c r="T125" s="20">
        <f t="shared" si="340"/>
        <v>0.85714285714285721</v>
      </c>
      <c r="U125" s="20">
        <f t="shared" si="340"/>
        <v>0.85714285714285721</v>
      </c>
      <c r="V125" s="20">
        <f t="shared" si="340"/>
        <v>0.8571428571428571</v>
      </c>
      <c r="W125" s="20">
        <f t="shared" si="340"/>
        <v>0.8571428571428571</v>
      </c>
      <c r="X125" s="20">
        <f t="shared" si="340"/>
        <v>0.85714285714285721</v>
      </c>
      <c r="Y125" s="20">
        <f t="shared" si="340"/>
        <v>0.8571428571428571</v>
      </c>
      <c r="Z125" s="20">
        <f t="shared" si="340"/>
        <v>0.8571428571428571</v>
      </c>
      <c r="AA125" s="20">
        <f t="shared" si="340"/>
        <v>0.8571428571428571</v>
      </c>
      <c r="AB125" s="20">
        <f t="shared" si="340"/>
        <v>0.85714285714285721</v>
      </c>
      <c r="AC125" s="20">
        <f t="shared" si="340"/>
        <v>0.85714285714285721</v>
      </c>
      <c r="AD125" s="138">
        <f t="shared" si="249"/>
        <v>8.5637066997657163E-2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7.1428571428571425E-2</v>
      </c>
      <c r="H126" s="25" t="e">
        <f t="shared" ref="H126:P126" si="342">H12/H9</f>
        <v>#DIV/0!</v>
      </c>
      <c r="I126" s="25">
        <f t="shared" si="342"/>
        <v>7.1428571428571425E-2</v>
      </c>
      <c r="J126" s="25">
        <f t="shared" si="342"/>
        <v>0.10588235294117647</v>
      </c>
      <c r="K126" s="25">
        <f t="shared" si="342"/>
        <v>0.11333333333333333</v>
      </c>
      <c r="L126" s="25">
        <f t="shared" si="342"/>
        <v>4.736842105263158E-2</v>
      </c>
      <c r="M126" s="25">
        <f t="shared" si="342"/>
        <v>0.2</v>
      </c>
      <c r="N126" s="25">
        <f t="shared" si="342"/>
        <v>0.16666666666666666</v>
      </c>
      <c r="O126" s="25">
        <f t="shared" si="342"/>
        <v>0.20588235294117646</v>
      </c>
      <c r="P126" s="25">
        <f t="shared" si="342"/>
        <v>0.35714285714285715</v>
      </c>
      <c r="Q126" s="25">
        <f t="shared" ref="Q126" si="343">Q12/Q9</f>
        <v>0.35714285714285715</v>
      </c>
      <c r="R126" s="118">
        <f t="shared" si="247"/>
        <v>0.19581317450040192</v>
      </c>
      <c r="S126" s="128"/>
      <c r="T126" s="20">
        <f t="shared" ref="T126:AC126" si="344">T12/T9</f>
        <v>0.35714285714285715</v>
      </c>
      <c r="U126" s="20">
        <f t="shared" si="344"/>
        <v>0.35714285714285721</v>
      </c>
      <c r="V126" s="20">
        <f t="shared" si="344"/>
        <v>0.35714285714285715</v>
      </c>
      <c r="W126" s="20">
        <f t="shared" si="344"/>
        <v>0.35714285714285715</v>
      </c>
      <c r="X126" s="20">
        <f t="shared" si="344"/>
        <v>0.35714285714285715</v>
      </c>
      <c r="Y126" s="20">
        <f t="shared" si="344"/>
        <v>0.35714285714285715</v>
      </c>
      <c r="Z126" s="20">
        <f t="shared" si="344"/>
        <v>0.35714285714285715</v>
      </c>
      <c r="AA126" s="20">
        <f t="shared" si="344"/>
        <v>0.35714285714285715</v>
      </c>
      <c r="AB126" s="20">
        <f t="shared" si="344"/>
        <v>0.35714285714285715</v>
      </c>
      <c r="AC126" s="20">
        <f t="shared" si="344"/>
        <v>0.35714285714285721</v>
      </c>
      <c r="AD126" s="118">
        <f t="shared" ref="AD126" si="345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9.7222222222222224E-2</v>
      </c>
      <c r="H127" s="25">
        <f t="shared" ref="H127:P127" si="346">H25/360</f>
        <v>0</v>
      </c>
      <c r="I127" s="25">
        <f t="shared" si="346"/>
        <v>9.7222222222222224E-2</v>
      </c>
      <c r="J127" s="25">
        <f t="shared" si="346"/>
        <v>0.14444444444444443</v>
      </c>
      <c r="K127" s="25">
        <f t="shared" si="346"/>
        <v>0.23055555555555557</v>
      </c>
      <c r="L127" s="25">
        <f t="shared" si="346"/>
        <v>0.31944444444444442</v>
      </c>
      <c r="M127" s="25">
        <f t="shared" si="346"/>
        <v>0.36388888888888887</v>
      </c>
      <c r="N127" s="25">
        <f t="shared" si="346"/>
        <v>0.4861111111111111</v>
      </c>
      <c r="O127" s="25">
        <f t="shared" si="346"/>
        <v>0.55000000000000004</v>
      </c>
      <c r="P127" s="25">
        <f t="shared" si="346"/>
        <v>0.65555555555555556</v>
      </c>
      <c r="Q127" s="25">
        <f t="shared" ref="Q127" si="347">Q25/360</f>
        <v>0.65555555555555556</v>
      </c>
      <c r="R127" s="118">
        <f t="shared" si="247"/>
        <v>0.23621432892516303</v>
      </c>
      <c r="S127" s="128"/>
      <c r="T127" s="25">
        <f t="shared" ref="T127:AC127" si="348">T25/360</f>
        <v>0.85222222222222221</v>
      </c>
      <c r="U127" s="25">
        <f t="shared" si="348"/>
        <v>1.1078888888888889</v>
      </c>
      <c r="V127" s="25">
        <f t="shared" si="348"/>
        <v>1.4402555555555558</v>
      </c>
      <c r="W127" s="25">
        <f t="shared" si="348"/>
        <v>1.8723322222222227</v>
      </c>
      <c r="X127" s="25">
        <f t="shared" si="348"/>
        <v>2.4340318888888897</v>
      </c>
      <c r="Y127" s="25">
        <f t="shared" si="348"/>
        <v>3.1642414555555565</v>
      </c>
      <c r="Z127" s="25">
        <f t="shared" si="348"/>
        <v>4.1135138922222234</v>
      </c>
      <c r="AA127" s="25">
        <f t="shared" si="348"/>
        <v>5.3475680598888911</v>
      </c>
      <c r="AB127" s="25">
        <f t="shared" si="348"/>
        <v>6.9518384778555582</v>
      </c>
      <c r="AC127" s="25">
        <f t="shared" si="348"/>
        <v>9.0373900212122251</v>
      </c>
      <c r="AD127" s="118">
        <f t="shared" ref="AD127:AD138" si="349">((AC127/T127)^(1/($H$2-$H$1) ))-1</f>
        <v>0.30000000000000004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7.7777777777777779E-2</v>
      </c>
      <c r="H128" s="25">
        <f t="shared" ref="H128:P128" si="350">H27/360</f>
        <v>0</v>
      </c>
      <c r="I128" s="25">
        <f t="shared" si="350"/>
        <v>7.7777777777777779E-2</v>
      </c>
      <c r="J128" s="25">
        <f t="shared" si="350"/>
        <v>0.12222222222222222</v>
      </c>
      <c r="K128" s="25">
        <f t="shared" si="350"/>
        <v>0.19444444444444445</v>
      </c>
      <c r="L128" s="25">
        <f t="shared" si="350"/>
        <v>0.26666666666666666</v>
      </c>
      <c r="M128" s="25">
        <f t="shared" si="350"/>
        <v>0.28333333333333333</v>
      </c>
      <c r="N128" s="25">
        <f t="shared" si="350"/>
        <v>0.375</v>
      </c>
      <c r="O128" s="25">
        <f t="shared" si="350"/>
        <v>0.43888888888888888</v>
      </c>
      <c r="P128" s="25">
        <f t="shared" si="350"/>
        <v>0.52777777777777779</v>
      </c>
      <c r="Q128" s="25">
        <f t="shared" ref="Q128" si="351">Q27/360</f>
        <v>0.52777777777777779</v>
      </c>
      <c r="R128" s="118">
        <f t="shared" si="247"/>
        <v>0.23708490527355064</v>
      </c>
      <c r="S128" s="128"/>
      <c r="T128" s="25">
        <f t="shared" ref="T128:AC128" si="352">T27/360</f>
        <v>0.68611111111111112</v>
      </c>
      <c r="U128" s="25">
        <f t="shared" si="352"/>
        <v>0.89194444444444454</v>
      </c>
      <c r="V128" s="25">
        <f t="shared" si="352"/>
        <v>1.1595277777777779</v>
      </c>
      <c r="W128" s="25">
        <f t="shared" si="352"/>
        <v>1.5073861111111113</v>
      </c>
      <c r="X128" s="25">
        <f t="shared" si="352"/>
        <v>1.959601944444445</v>
      </c>
      <c r="Y128" s="25">
        <f t="shared" si="352"/>
        <v>2.5474825277777784</v>
      </c>
      <c r="Z128" s="25">
        <f t="shared" si="352"/>
        <v>3.311727286111112</v>
      </c>
      <c r="AA128" s="25">
        <f t="shared" si="352"/>
        <v>4.3052454719444455</v>
      </c>
      <c r="AB128" s="25">
        <f t="shared" si="352"/>
        <v>5.5968191135277801</v>
      </c>
      <c r="AC128" s="25">
        <f t="shared" si="352"/>
        <v>7.2758648475861136</v>
      </c>
      <c r="AD128" s="118">
        <f t="shared" si="349"/>
        <v>0.30000000000000004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1.4166666666666667</v>
      </c>
      <c r="H130" s="25" t="e">
        <f t="shared" ref="H130:P130" si="353">H10/H7</f>
        <v>#DIV/0!</v>
      </c>
      <c r="I130" s="25">
        <f t="shared" si="353"/>
        <v>1.4166666666666667</v>
      </c>
      <c r="J130" s="25">
        <f t="shared" si="353"/>
        <v>2.6666666666666665</v>
      </c>
      <c r="K130" s="25">
        <f t="shared" si="353"/>
        <v>0.5714285714285714</v>
      </c>
      <c r="L130" s="25">
        <f t="shared" si="353"/>
        <v>0.43636363636363634</v>
      </c>
      <c r="M130" s="25">
        <f t="shared" si="353"/>
        <v>0.32857142857142857</v>
      </c>
      <c r="N130" s="25">
        <f t="shared" si="353"/>
        <v>0.20618556701030927</v>
      </c>
      <c r="O130" s="25">
        <f t="shared" si="353"/>
        <v>0.2</v>
      </c>
      <c r="P130" s="25">
        <f t="shared" si="353"/>
        <v>3.4482758620689658E-4</v>
      </c>
      <c r="Q130" s="25">
        <f t="shared" ref="Q130" si="354">Q10/Q7</f>
        <v>3.4482758620689658E-4</v>
      </c>
      <c r="R130" s="118">
        <f t="shared" si="247"/>
        <v>-0.6032822868211154</v>
      </c>
      <c r="S130" s="128"/>
      <c r="T130" s="25">
        <f t="shared" ref="T130:AC130" si="355">T10/T7</f>
        <v>3.4482758620689658E-4</v>
      </c>
      <c r="U130" s="25">
        <f t="shared" si="355"/>
        <v>3.4482758620689658E-4</v>
      </c>
      <c r="V130" s="25">
        <f t="shared" si="355"/>
        <v>3.4482758620689663E-4</v>
      </c>
      <c r="W130" s="25">
        <f t="shared" si="355"/>
        <v>3.4482758620689658E-4</v>
      </c>
      <c r="X130" s="25">
        <f t="shared" si="355"/>
        <v>3.4482758620689658E-4</v>
      </c>
      <c r="Y130" s="25">
        <f t="shared" si="355"/>
        <v>3.4482758620689658E-4</v>
      </c>
      <c r="Z130" s="25">
        <f t="shared" si="355"/>
        <v>3.4482758620689658E-4</v>
      </c>
      <c r="AA130" s="25">
        <f t="shared" si="355"/>
        <v>3.4482758620689663E-4</v>
      </c>
      <c r="AB130" s="25">
        <f t="shared" si="355"/>
        <v>3.4482758620689658E-4</v>
      </c>
      <c r="AC130" s="25">
        <f t="shared" si="355"/>
        <v>3.4482758620689658E-4</v>
      </c>
      <c r="AD130" s="118">
        <f t="shared" si="349"/>
        <v>0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0.58620689655172409</v>
      </c>
      <c r="H131" s="25" t="e">
        <f t="shared" ref="H131:P131" si="356">H10/(H10+H7)</f>
        <v>#DIV/0!</v>
      </c>
      <c r="I131" s="25">
        <f t="shared" si="356"/>
        <v>0.58620689655172409</v>
      </c>
      <c r="J131" s="25">
        <f t="shared" si="356"/>
        <v>0.72727272727272729</v>
      </c>
      <c r="K131" s="25">
        <f t="shared" si="356"/>
        <v>0.36363636363636365</v>
      </c>
      <c r="L131" s="25">
        <f t="shared" si="356"/>
        <v>0.30379746835443039</v>
      </c>
      <c r="M131" s="25">
        <f t="shared" si="356"/>
        <v>0.24731182795698925</v>
      </c>
      <c r="N131" s="25">
        <f t="shared" si="356"/>
        <v>0.17094017094017094</v>
      </c>
      <c r="O131" s="25">
        <f t="shared" si="356"/>
        <v>0.16666666666666666</v>
      </c>
      <c r="P131" s="25">
        <f t="shared" si="356"/>
        <v>3.4470872113064461E-4</v>
      </c>
      <c r="Q131" s="25">
        <f t="shared" ref="Q131" si="357">Q10/(Q10+Q7)</f>
        <v>3.4470872113064461E-4</v>
      </c>
      <c r="R131" s="118">
        <f t="shared" si="247"/>
        <v>-0.56243296692570399</v>
      </c>
      <c r="S131" s="128"/>
      <c r="T131" s="25">
        <f t="shared" ref="T131:AC131" si="358">T10/(T10+T7)</f>
        <v>3.4470872113064461E-4</v>
      </c>
      <c r="U131" s="25">
        <f t="shared" si="358"/>
        <v>3.4470872113064461E-4</v>
      </c>
      <c r="V131" s="25">
        <f t="shared" si="358"/>
        <v>3.4470872113064467E-4</v>
      </c>
      <c r="W131" s="25">
        <f t="shared" si="358"/>
        <v>3.4470872113064461E-4</v>
      </c>
      <c r="X131" s="25">
        <f t="shared" si="358"/>
        <v>3.4470872113064467E-4</v>
      </c>
      <c r="Y131" s="25">
        <f t="shared" si="358"/>
        <v>3.4470872113064461E-4</v>
      </c>
      <c r="Z131" s="25">
        <f t="shared" si="358"/>
        <v>3.4470872113064467E-4</v>
      </c>
      <c r="AA131" s="25">
        <f t="shared" si="358"/>
        <v>3.4470872113064467E-4</v>
      </c>
      <c r="AB131" s="25">
        <f t="shared" si="358"/>
        <v>3.4470872113064467E-4</v>
      </c>
      <c r="AC131" s="25">
        <f t="shared" si="358"/>
        <v>3.4470872113064461E-4</v>
      </c>
      <c r="AD131" s="118">
        <f t="shared" si="349"/>
        <v>0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3</v>
      </c>
      <c r="H133" s="25">
        <f t="shared" ref="H133:P133" si="359">H16</f>
        <v>0</v>
      </c>
      <c r="I133" s="25">
        <f t="shared" si="359"/>
        <v>3</v>
      </c>
      <c r="J133" s="25">
        <f t="shared" si="359"/>
        <v>10</v>
      </c>
      <c r="K133" s="25">
        <f t="shared" si="359"/>
        <v>14</v>
      </c>
      <c r="L133" s="25">
        <f t="shared" si="359"/>
        <v>12</v>
      </c>
      <c r="M133" s="25">
        <f t="shared" si="359"/>
        <v>17</v>
      </c>
      <c r="N133" s="25">
        <f t="shared" si="359"/>
        <v>19</v>
      </c>
      <c r="O133" s="25">
        <f t="shared" si="359"/>
        <v>34</v>
      </c>
      <c r="P133" s="25">
        <f t="shared" si="359"/>
        <v>52</v>
      </c>
      <c r="Q133" s="25">
        <f t="shared" ref="Q133" si="360">Q16</f>
        <v>52</v>
      </c>
      <c r="R133" s="118">
        <f t="shared" si="247"/>
        <v>0.37294634555710315</v>
      </c>
      <c r="S133" s="128"/>
      <c r="T133" s="25">
        <f t="shared" ref="T133:AC133" si="361">T16</f>
        <v>67.600000000000009</v>
      </c>
      <c r="U133" s="25">
        <f t="shared" si="361"/>
        <v>87.88000000000001</v>
      </c>
      <c r="V133" s="25">
        <f t="shared" si="361"/>
        <v>114.24400000000001</v>
      </c>
      <c r="W133" s="25">
        <f t="shared" si="361"/>
        <v>148.51720000000003</v>
      </c>
      <c r="X133" s="25">
        <f t="shared" si="361"/>
        <v>193.07236000000006</v>
      </c>
      <c r="Y133" s="25">
        <f t="shared" si="361"/>
        <v>250.99406800000008</v>
      </c>
      <c r="Z133" s="25">
        <f t="shared" si="361"/>
        <v>326.29228840000013</v>
      </c>
      <c r="AA133" s="25">
        <f t="shared" si="361"/>
        <v>424.17997492000018</v>
      </c>
      <c r="AB133" s="25">
        <f t="shared" si="361"/>
        <v>551.4339673960003</v>
      </c>
      <c r="AC133" s="25">
        <f t="shared" si="361"/>
        <v>716.86415761480043</v>
      </c>
      <c r="AD133" s="118">
        <f t="shared" si="349"/>
        <v>0.30000000000000004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62">G133*365/G25</f>
        <v>31.285714285714285</v>
      </c>
      <c r="H134" s="119" t="e">
        <f t="shared" si="362"/>
        <v>#DIV/0!</v>
      </c>
      <c r="I134" s="119">
        <f t="shared" si="362"/>
        <v>31.285714285714285</v>
      </c>
      <c r="J134" s="119">
        <f t="shared" si="362"/>
        <v>70.192307692307693</v>
      </c>
      <c r="K134" s="119">
        <f t="shared" si="362"/>
        <v>61.566265060240966</v>
      </c>
      <c r="L134" s="119">
        <f t="shared" si="362"/>
        <v>38.086956521739133</v>
      </c>
      <c r="M134" s="119">
        <f t="shared" si="362"/>
        <v>47.36641221374046</v>
      </c>
      <c r="N134" s="119">
        <f t="shared" si="362"/>
        <v>39.628571428571426</v>
      </c>
      <c r="O134" s="119">
        <f t="shared" si="362"/>
        <v>62.676767676767675</v>
      </c>
      <c r="P134" s="119">
        <f t="shared" si="362"/>
        <v>80.423728813559322</v>
      </c>
      <c r="Q134" s="119">
        <f t="shared" ref="Q134" si="363">Q133*365/Q25</f>
        <v>80.423728813559322</v>
      </c>
      <c r="R134" s="118">
        <f t="shared" si="247"/>
        <v>0.11060542936015216</v>
      </c>
      <c r="S134" s="128"/>
      <c r="T134" s="119">
        <f t="shared" ref="T134:AC134" si="364">T133*365/T25</f>
        <v>80.423728813559336</v>
      </c>
      <c r="U134" s="119">
        <f t="shared" si="364"/>
        <v>80.423728813559322</v>
      </c>
      <c r="V134" s="119">
        <f t="shared" si="364"/>
        <v>80.423728813559322</v>
      </c>
      <c r="W134" s="119">
        <f t="shared" si="364"/>
        <v>80.423728813559322</v>
      </c>
      <c r="X134" s="119">
        <f t="shared" si="364"/>
        <v>80.423728813559336</v>
      </c>
      <c r="Y134" s="119">
        <f t="shared" si="364"/>
        <v>80.423728813559322</v>
      </c>
      <c r="Z134" s="119">
        <f t="shared" si="364"/>
        <v>80.423728813559322</v>
      </c>
      <c r="AA134" s="119">
        <f t="shared" si="364"/>
        <v>80.423728813559336</v>
      </c>
      <c r="AB134" s="119">
        <f t="shared" si="364"/>
        <v>80.42372881355935</v>
      </c>
      <c r="AC134" s="119">
        <f t="shared" si="364"/>
        <v>80.423728813559336</v>
      </c>
      <c r="AD134" s="118">
        <f t="shared" si="349"/>
        <v>0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>
        <f>G80/G29</f>
        <v>96.774193548387103</v>
      </c>
      <c r="H135" s="133" t="e">
        <f t="shared" ref="H135:P135" si="365">H80/H29</f>
        <v>#DIV/0!</v>
      </c>
      <c r="I135" s="133">
        <f t="shared" si="365"/>
        <v>96.774193548387103</v>
      </c>
      <c r="J135" s="133">
        <f t="shared" si="365"/>
        <v>64.935064935064929</v>
      </c>
      <c r="K135" s="133">
        <f t="shared" si="365"/>
        <v>49.019607843137258</v>
      </c>
      <c r="L135" s="133">
        <f t="shared" si="365"/>
        <v>66.666666666666671</v>
      </c>
      <c r="M135" s="133">
        <f t="shared" si="365"/>
        <v>86.666666666666671</v>
      </c>
      <c r="N135" s="133">
        <f t="shared" si="365"/>
        <v>6.6666666666666661</v>
      </c>
      <c r="O135" s="133">
        <f t="shared" si="365"/>
        <v>3.5984848484848482</v>
      </c>
      <c r="P135" s="133">
        <f t="shared" si="365"/>
        <v>15.77825159914712</v>
      </c>
      <c r="Q135" s="133">
        <f t="shared" ref="Q135" si="366">Q80/Q29</f>
        <v>15.77825159914712</v>
      </c>
      <c r="R135" s="118">
        <f t="shared" si="247"/>
        <v>-0.18251893548983089</v>
      </c>
      <c r="S135" s="128"/>
      <c r="T135" s="133">
        <f t="shared" ref="T135:AC135" si="367">T80/T29</f>
        <v>15.026906284902019</v>
      </c>
      <c r="U135" s="133">
        <f t="shared" si="367"/>
        <v>14.311339318954301</v>
      </c>
      <c r="V135" s="133">
        <f t="shared" si="367"/>
        <v>13.629846970432665</v>
      </c>
      <c r="W135" s="133">
        <f t="shared" si="367"/>
        <v>12.980806638507298</v>
      </c>
      <c r="X135" s="133">
        <f t="shared" si="367"/>
        <v>12.362672989054568</v>
      </c>
      <c r="Y135" s="133">
        <f t="shared" si="367"/>
        <v>11.773974275290065</v>
      </c>
      <c r="Z135" s="133">
        <f t="shared" si="367"/>
        <v>11.213308833609585</v>
      </c>
      <c r="AA135" s="133">
        <f t="shared" si="367"/>
        <v>10.679341746294842</v>
      </c>
      <c r="AB135" s="133">
        <f t="shared" si="367"/>
        <v>10.170801663137942</v>
      </c>
      <c r="AC135" s="133">
        <f t="shared" si="367"/>
        <v>9.6864777744170887</v>
      </c>
      <c r="AD135" s="118">
        <f t="shared" si="349"/>
        <v>-4.7619047619047672E-2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>
        <f>G25/G14</f>
        <v>92.10526315789474</v>
      </c>
      <c r="H137" s="180" t="e">
        <f t="shared" ref="H137:P137" si="368">H25/H14</f>
        <v>#DIV/0!</v>
      </c>
      <c r="I137" s="180">
        <f t="shared" si="368"/>
        <v>92.10526315789474</v>
      </c>
      <c r="J137" s="180">
        <f t="shared" si="368"/>
        <v>75.362318840579718</v>
      </c>
      <c r="K137" s="180">
        <f t="shared" si="368"/>
        <v>97.64705882352942</v>
      </c>
      <c r="L137" s="180">
        <f t="shared" si="368"/>
        <v>104.54545454545453</v>
      </c>
      <c r="M137" s="180">
        <f t="shared" si="368"/>
        <v>104.8</v>
      </c>
      <c r="N137" s="180">
        <f t="shared" si="368"/>
        <v>88.383838383838381</v>
      </c>
      <c r="O137" s="180">
        <f t="shared" si="368"/>
        <v>99</v>
      </c>
      <c r="P137" s="180">
        <f t="shared" si="368"/>
        <v>84.285714285714292</v>
      </c>
      <c r="Q137" s="180">
        <f t="shared" ref="Q137" si="369">Q25/Q14</f>
        <v>84.285714285714292</v>
      </c>
      <c r="R137" s="118">
        <f t="shared" si="247"/>
        <v>-9.8093161333181467E-3</v>
      </c>
      <c r="S137" s="128"/>
      <c r="T137" s="20">
        <f t="shared" ref="T137" si="370">T25/T14</f>
        <v>84.285714285714292</v>
      </c>
      <c r="U137" s="20">
        <f t="shared" ref="U137:AC137" si="371">U25/U14</f>
        <v>84.285714285714306</v>
      </c>
      <c r="V137" s="20">
        <f t="shared" si="371"/>
        <v>84.285714285714306</v>
      </c>
      <c r="W137" s="20">
        <f t="shared" si="371"/>
        <v>84.285714285714306</v>
      </c>
      <c r="X137" s="20">
        <f t="shared" si="371"/>
        <v>84.28571428571432</v>
      </c>
      <c r="Y137" s="20">
        <f t="shared" si="371"/>
        <v>84.28571428571432</v>
      </c>
      <c r="Z137" s="20">
        <f t="shared" si="371"/>
        <v>84.28571428571432</v>
      </c>
      <c r="AA137" s="20">
        <f t="shared" si="371"/>
        <v>84.28571428571432</v>
      </c>
      <c r="AB137" s="20">
        <f t="shared" si="371"/>
        <v>84.28571428571432</v>
      </c>
      <c r="AC137" s="20">
        <f t="shared" si="371"/>
        <v>84.28571428571432</v>
      </c>
      <c r="AD137" s="118">
        <f t="shared" si="349"/>
        <v>0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>
        <f>G27/G14</f>
        <v>73.684210526315795</v>
      </c>
      <c r="H138" s="180" t="e">
        <f t="shared" ref="H138:P138" si="372">H27/H14</f>
        <v>#DIV/0!</v>
      </c>
      <c r="I138" s="180">
        <f t="shared" si="372"/>
        <v>73.684210526315795</v>
      </c>
      <c r="J138" s="180">
        <f t="shared" si="372"/>
        <v>63.768115942028992</v>
      </c>
      <c r="K138" s="180">
        <f t="shared" si="372"/>
        <v>82.352941176470594</v>
      </c>
      <c r="L138" s="180">
        <f t="shared" si="372"/>
        <v>87.272727272727266</v>
      </c>
      <c r="M138" s="180">
        <f t="shared" si="372"/>
        <v>81.599999999999994</v>
      </c>
      <c r="N138" s="180">
        <f t="shared" si="372"/>
        <v>68.181818181818187</v>
      </c>
      <c r="O138" s="180">
        <f t="shared" si="372"/>
        <v>79</v>
      </c>
      <c r="P138" s="180">
        <f t="shared" si="372"/>
        <v>67.857142857142861</v>
      </c>
      <c r="Q138" s="180">
        <f t="shared" ref="Q138" si="373">Q27/Q14</f>
        <v>67.857142857142861</v>
      </c>
      <c r="R138" s="118">
        <f t="shared" si="247"/>
        <v>-9.1119964456248814E-3</v>
      </c>
      <c r="S138" s="128"/>
      <c r="T138" s="20">
        <f t="shared" ref="T138:AC138" si="374">T27/T14</f>
        <v>67.857142857142861</v>
      </c>
      <c r="U138" s="20">
        <f t="shared" si="374"/>
        <v>67.857142857142875</v>
      </c>
      <c r="V138" s="20">
        <f t="shared" si="374"/>
        <v>67.857142857142875</v>
      </c>
      <c r="W138" s="20">
        <f t="shared" si="374"/>
        <v>67.857142857142875</v>
      </c>
      <c r="X138" s="20">
        <f t="shared" si="374"/>
        <v>67.857142857142875</v>
      </c>
      <c r="Y138" s="20">
        <f t="shared" si="374"/>
        <v>67.857142857142875</v>
      </c>
      <c r="Z138" s="20">
        <f t="shared" si="374"/>
        <v>67.85714285714289</v>
      </c>
      <c r="AA138" s="20">
        <f t="shared" si="374"/>
        <v>67.85714285714289</v>
      </c>
      <c r="AB138" s="20">
        <f t="shared" si="374"/>
        <v>67.857142857142875</v>
      </c>
      <c r="AC138" s="20">
        <f t="shared" si="374"/>
        <v>67.857142857142875</v>
      </c>
      <c r="AD138" s="118">
        <f t="shared" si="349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 t="e">
        <f>AVERAGE(G54:Q54)</f>
        <v>#DIV/0!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49.747121787931391</v>
      </c>
      <c r="T142" s="133">
        <f>PV($C$1, ($AC$3-$T$3), 0, -AC54)</f>
        <v>6.9319759868428976</v>
      </c>
      <c r="U142" s="133">
        <f>PV($C$1, ($AC$3-$T$3), 0, -AF54)</f>
        <v>42.815145801088491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75">T143+U143</f>
        <v>627.2463181956565</v>
      </c>
      <c r="T143" s="133">
        <f>PV($C$1, ($AC$3-$T$3), 0, -AC56)</f>
        <v>87.403175486280006</v>
      </c>
      <c r="U143" s="133">
        <f>PV($C$1, ($AC$3-$T$3), 0, -AF56)</f>
        <v>539.84314270937648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5"/>
        <v>525.58915628118825</v>
      </c>
      <c r="T144" s="133">
        <f>PV($C$1, ($AC$3-$T$3), 0, -AC57)</f>
        <v>73.23783325229671</v>
      </c>
      <c r="U144" s="133">
        <f>PV($C$1, ($AC$3-$T$3), 0, -AF57)</f>
        <v>452.35132302889156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5"/>
        <v>0.21629183386057127</v>
      </c>
      <c r="T145" s="133">
        <f>PV($C$1, ($AC$3-$T$3), 0, -AC58)</f>
        <v>3.0139026029751728E-2</v>
      </c>
      <c r="U145" s="133">
        <f>PV($C$1, ($AC$3-$T$3), 0, -AF58)</f>
        <v>0.18615280783081953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5"/>
        <v>21.629183386057129</v>
      </c>
      <c r="T146" s="133">
        <f>PV($C$1, ($AC$3-$T$3), 0, -AC64)</f>
        <v>3.0139026029751732</v>
      </c>
      <c r="U146" s="133">
        <f>PV($C$1, ($AC$3-$T$3), 0, -AF64)</f>
        <v>18.615280783081957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5"/>
        <v>627.03002636179588</v>
      </c>
      <c r="T148" s="133">
        <f>PV($C$1, ($AC$3-$T$3), 0, -AC60)</f>
        <v>87.373036460250248</v>
      </c>
      <c r="U148" s="133">
        <f>PV($C$1, ($AC$3-$T$3), 0, -$AF$60)</f>
        <v>539.65698990154567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5"/>
        <v>566.46831288083604</v>
      </c>
      <c r="T149" s="133">
        <f>PV($C$1, ($AC$3-$T$3), 0, -AC61)</f>
        <v>78.934109171919772</v>
      </c>
      <c r="U149" s="133">
        <f>PV($C$1, ($AC$3-$T$3), 0, -$AF$61)</f>
        <v>487.53420370891621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5"/>
        <v>618.37835300737322</v>
      </c>
      <c r="T150" s="133">
        <f>PV($C$1, ($AC$3-$T$3), 0, -AC62)</f>
        <v>86.167475419060182</v>
      </c>
      <c r="U150" s="133">
        <f>PV($C$1, ($AC$3-$T$3), 0, -$AF$62)</f>
        <v>532.210877588313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5"/>
        <v>51.910040126537105</v>
      </c>
      <c r="T152" s="133">
        <f>PV($C$1, ($AC$3-$T$3), 0, -AC67)</f>
        <v>7.233366247140415</v>
      </c>
      <c r="U152" s="133">
        <f>PV($C$1, ($AC$3-$T$3), 0, -AF67)</f>
        <v>44.676673879396688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5"/>
        <v>86.909991423975001</v>
      </c>
      <c r="T153" s="133">
        <f>PV($C$1, ($AC$3-$T$3), 0, -AC68)</f>
        <v>15.672293535470903</v>
      </c>
      <c r="U153" s="133">
        <f>PV($C$1, ($AC$3-$T$3), 0, -AF68)</f>
        <v>71.237697888504101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6">T155+U155</f>
        <v>165.23648820993088</v>
      </c>
      <c r="T155" s="133">
        <f>PV($C$1, ($AC$3-$T$3), 0, -AC12)</f>
        <v>23.024756553842828</v>
      </c>
      <c r="U155" s="133">
        <f>PV($C$1, ($AC$3-$T$3), 0, -AF12)</f>
        <v>142.21173165608806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35.231660599132383</v>
      </c>
      <c r="T156" s="140">
        <f>T155/P42</f>
        <v>4.909329755616807</v>
      </c>
      <c r="U156" s="140">
        <f>U155/P42</f>
        <v>30.322330843515577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7">T159+U159</f>
        <v>9.4766849365030925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7.7963537327275052</v>
      </c>
      <c r="U159" s="133">
        <f>PV($C$1, ($AC$3-$T$3), 0, -AF70)</f>
        <v>1.6803312037755875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5"/>
        <v>0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0</v>
      </c>
      <c r="U161" s="133">
        <f>PV($C$1, ($AC$3-$T$3), 0, -AF72)</f>
        <v>0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78">T163+U163</f>
        <v>0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0</v>
      </c>
      <c r="U163" s="133">
        <f>PV($C$1, ($AC$3-$T$3), 0, -AF74)</f>
        <v>0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8"/>
        <v>0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0</v>
      </c>
      <c r="U164" s="133">
        <f>PV($C$1, ($AC$3-$T$3), 0, -AF75)</f>
        <v>0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8"/>
        <v>0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0</v>
      </c>
      <c r="U165" s="133">
        <f>PV($C$1, ($AC$3-$T$3), 0, -AF76)</f>
        <v>0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8"/>
        <v>0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0</v>
      </c>
      <c r="U166" s="133">
        <f>PV($C$1, ($AC$3-$T$3), 0, -AF77)</f>
        <v>0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0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0</v>
      </c>
      <c r="U168" s="133">
        <f>PV($C$1, ($AC$3-$T$3), 0, -AF78)</f>
        <v>0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140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150</v>
      </c>
      <c r="Q170" s="20"/>
      <c r="R170" s="20">
        <v>60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1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125</v>
      </c>
      <c r="P171" s="22">
        <v>170</v>
      </c>
      <c r="Q171" s="22">
        <v>125</v>
      </c>
      <c r="R171" s="118">
        <f t="shared" ref="R171:R176" si="379">((P171/G171)^(1/($H$2-$H$1) ))-1</f>
        <v>0.76940666130140789</v>
      </c>
      <c r="S171" s="31">
        <f>L2-3%</f>
        <v>0.27</v>
      </c>
      <c r="T171" s="119">
        <f t="shared" ref="T171" si="380">P171*(1+$S171)</f>
        <v>215.9</v>
      </c>
      <c r="U171" s="119">
        <f t="shared" ref="U171:AC171" si="381">T171*(1+$S171)</f>
        <v>274.19299999999998</v>
      </c>
      <c r="V171" s="119">
        <f t="shared" si="381"/>
        <v>348.22510999999997</v>
      </c>
      <c r="W171" s="119">
        <f t="shared" si="381"/>
        <v>442.24588969999996</v>
      </c>
      <c r="X171" s="119">
        <f t="shared" si="381"/>
        <v>561.65227991899997</v>
      </c>
      <c r="Y171" s="119">
        <f t="shared" si="381"/>
        <v>713.29839549712995</v>
      </c>
      <c r="Z171" s="119">
        <f t="shared" si="381"/>
        <v>905.88896228135502</v>
      </c>
      <c r="AA171" s="119">
        <f t="shared" si="381"/>
        <v>1150.4789820973208</v>
      </c>
      <c r="AB171" s="119">
        <f t="shared" si="381"/>
        <v>1461.1083072635975</v>
      </c>
      <c r="AC171" s="119">
        <f t="shared" si="381"/>
        <v>1855.6075502247688</v>
      </c>
      <c r="AD171" s="138">
        <f t="shared" ref="AD171:AD176" si="382">((AC171/G171)^(1/($AC$3-$H$1) ))-1</f>
        <v>0.4568817617803147</v>
      </c>
      <c r="AE171" s="31">
        <v>0.08</v>
      </c>
      <c r="AF171" s="127">
        <f t="shared" ref="AF171:AF179" si="383">(AC171*(1+AD171))/($C$1-AE171)</f>
        <v>19310.005692459392</v>
      </c>
    </row>
    <row r="172" spans="2:32" x14ac:dyDescent="0.2">
      <c r="B172" s="20" t="s">
        <v>361</v>
      </c>
      <c r="C172" s="25" t="e">
        <f t="shared" ref="C172:P172" si="384">C171/C50</f>
        <v>#DIV/0!</v>
      </c>
      <c r="D172" s="25" t="e">
        <f t="shared" si="384"/>
        <v>#DIV/0!</v>
      </c>
      <c r="E172" s="25" t="e">
        <f t="shared" si="384"/>
        <v>#DIV/0!</v>
      </c>
      <c r="F172" s="25" t="e">
        <f t="shared" si="384"/>
        <v>#DIV/0!</v>
      </c>
      <c r="G172" s="25">
        <f t="shared" si="384"/>
        <v>4.2857142857142859E-3</v>
      </c>
      <c r="H172" s="25" t="e">
        <f t="shared" si="384"/>
        <v>#DIV/0!</v>
      </c>
      <c r="I172" s="25">
        <f t="shared" si="384"/>
        <v>0</v>
      </c>
      <c r="J172" s="25">
        <f t="shared" si="384"/>
        <v>0</v>
      </c>
      <c r="K172" s="25">
        <f t="shared" si="384"/>
        <v>0</v>
      </c>
      <c r="L172" s="25">
        <f t="shared" si="384"/>
        <v>0</v>
      </c>
      <c r="M172" s="25">
        <f t="shared" si="384"/>
        <v>0</v>
      </c>
      <c r="N172" s="25">
        <f t="shared" si="384"/>
        <v>0</v>
      </c>
      <c r="O172" s="25">
        <f t="shared" si="384"/>
        <v>2.2222222222222223</v>
      </c>
      <c r="P172" s="25">
        <f t="shared" si="384"/>
        <v>3.3783898305084747</v>
      </c>
      <c r="Q172" s="25">
        <f t="shared" ref="Q172" si="385">Q171/Q50</f>
        <v>2.4841101694915255</v>
      </c>
      <c r="R172" s="118">
        <f t="shared" ref="R172" si="386">((P172/G172)^(1/($H$2-$H$1) ))-1</f>
        <v>1.0982346793410622</v>
      </c>
      <c r="S172" s="128"/>
      <c r="T172" s="25">
        <f t="shared" ref="T172:AC172" si="387">T171/T50</f>
        <v>3.4654483376792706</v>
      </c>
      <c r="U172" s="25">
        <f t="shared" si="387"/>
        <v>3.5547502756117741</v>
      </c>
      <c r="V172" s="25">
        <f t="shared" si="387"/>
        <v>3.6463534557910009</v>
      </c>
      <c r="W172" s="25">
        <f t="shared" si="387"/>
        <v>3.7403171794594612</v>
      </c>
      <c r="X172" s="25">
        <f t="shared" si="387"/>
        <v>3.8367022760070704</v>
      </c>
      <c r="Y172" s="25">
        <f t="shared" si="387"/>
        <v>3.9355711423503292</v>
      </c>
      <c r="Z172" s="25">
        <f t="shared" si="387"/>
        <v>4.0369877833262802</v>
      </c>
      <c r="AA172" s="25">
        <f t="shared" si="387"/>
        <v>4.1410178531273809</v>
      </c>
      <c r="AB172" s="25">
        <f t="shared" si="387"/>
        <v>4.2477286978041251</v>
      </c>
      <c r="AC172" s="25">
        <f t="shared" si="387"/>
        <v>4.3571893988629231</v>
      </c>
      <c r="AD172" s="138">
        <f t="shared" ref="AD172" si="388">((AC172/G172)^(1/($AC$3-$H$1) ))-1</f>
        <v>0.41370619518382701</v>
      </c>
      <c r="AE172" s="31">
        <v>0.08</v>
      </c>
      <c r="AF172" s="127">
        <f t="shared" ref="AF172" si="389">(AC172*(1+AD172))/($C$1-AE172)</f>
        <v>43.998468905441491</v>
      </c>
    </row>
    <row r="173" spans="2:32" x14ac:dyDescent="0.2">
      <c r="B173" s="20" t="s">
        <v>389</v>
      </c>
      <c r="C173" s="25" t="e">
        <f t="shared" ref="C173:P173" si="390">C171/C54</f>
        <v>#DIV/0!</v>
      </c>
      <c r="D173" s="25" t="e">
        <f t="shared" si="390"/>
        <v>#DIV/0!</v>
      </c>
      <c r="E173" s="25" t="e">
        <f t="shared" si="390"/>
        <v>#DIV/0!</v>
      </c>
      <c r="F173" s="25" t="e">
        <f t="shared" si="390"/>
        <v>#DIV/0!</v>
      </c>
      <c r="G173" s="25">
        <f t="shared" si="390"/>
        <v>4.7619047619047616E-2</v>
      </c>
      <c r="H173" s="25" t="e">
        <f t="shared" si="390"/>
        <v>#DIV/0!</v>
      </c>
      <c r="I173" s="25">
        <f t="shared" si="390"/>
        <v>0</v>
      </c>
      <c r="J173" s="25">
        <f t="shared" si="390"/>
        <v>0</v>
      </c>
      <c r="K173" s="25">
        <f t="shared" si="390"/>
        <v>0</v>
      </c>
      <c r="L173" s="25">
        <f t="shared" si="390"/>
        <v>0</v>
      </c>
      <c r="M173" s="25">
        <f t="shared" si="390"/>
        <v>0</v>
      </c>
      <c r="N173" s="25">
        <f t="shared" si="390"/>
        <v>0</v>
      </c>
      <c r="O173" s="25">
        <f t="shared" si="390"/>
        <v>25.882352941176471</v>
      </c>
      <c r="P173" s="25">
        <f t="shared" si="390"/>
        <v>34.665217391304353</v>
      </c>
      <c r="Q173" s="25">
        <f t="shared" ref="Q173" si="391">Q171/Q54</f>
        <v>25.489130434782609</v>
      </c>
      <c r="R173" s="118">
        <f t="shared" si="379"/>
        <v>1.0797569310478634</v>
      </c>
      <c r="S173" s="128"/>
      <c r="T173" s="119">
        <f t="shared" ref="T173:AC173" si="392">T171/T54</f>
        <v>35.558513377926431</v>
      </c>
      <c r="U173" s="119">
        <f t="shared" si="392"/>
        <v>36.474828914972989</v>
      </c>
      <c r="V173" s="119">
        <f t="shared" si="392"/>
        <v>37.414757198551143</v>
      </c>
      <c r="W173" s="119">
        <f t="shared" si="392"/>
        <v>38.378906710975343</v>
      </c>
      <c r="X173" s="119">
        <f t="shared" si="392"/>
        <v>39.367901614681251</v>
      </c>
      <c r="Y173" s="119">
        <f t="shared" si="392"/>
        <v>40.38238215629034</v>
      </c>
      <c r="Z173" s="119">
        <f t="shared" si="392"/>
        <v>41.423005081087055</v>
      </c>
      <c r="AA173" s="119">
        <f t="shared" si="392"/>
        <v>42.490444058176607</v>
      </c>
      <c r="AB173" s="119">
        <f t="shared" si="392"/>
        <v>43.585390116598845</v>
      </c>
      <c r="AC173" s="119">
        <f t="shared" si="392"/>
        <v>44.708552092680435</v>
      </c>
      <c r="AD173" s="138">
        <f t="shared" si="382"/>
        <v>0.40809026191009501</v>
      </c>
      <c r="AE173" s="31">
        <v>0.08</v>
      </c>
      <c r="AF173" s="127">
        <f t="shared" si="383"/>
        <v>449.66912018431083</v>
      </c>
    </row>
    <row r="174" spans="2:32" x14ac:dyDescent="0.2">
      <c r="B174" s="20" t="s">
        <v>258</v>
      </c>
      <c r="C174" s="25" t="e">
        <f t="shared" ref="C174:P174" si="393">C171/C57</f>
        <v>#DIV/0!</v>
      </c>
      <c r="D174" s="25" t="e">
        <f t="shared" si="393"/>
        <v>#DIV/0!</v>
      </c>
      <c r="E174" s="25" t="e">
        <f t="shared" si="393"/>
        <v>#DIV/0!</v>
      </c>
      <c r="F174" s="25" t="e">
        <f t="shared" si="393"/>
        <v>#DIV/0!</v>
      </c>
      <c r="G174" s="25">
        <f t="shared" si="393"/>
        <v>3.2537960954446853E-2</v>
      </c>
      <c r="H174" s="25" t="e">
        <f t="shared" si="393"/>
        <v>#DIV/0!</v>
      </c>
      <c r="I174" s="25">
        <f t="shared" si="393"/>
        <v>0</v>
      </c>
      <c r="J174" s="25">
        <f t="shared" si="393"/>
        <v>0</v>
      </c>
      <c r="K174" s="25">
        <f t="shared" si="393"/>
        <v>0</v>
      </c>
      <c r="L174" s="25">
        <f t="shared" si="393"/>
        <v>0</v>
      </c>
      <c r="M174" s="25">
        <f t="shared" si="393"/>
        <v>0</v>
      </c>
      <c r="N174" s="25">
        <f t="shared" si="393"/>
        <v>0</v>
      </c>
      <c r="O174" s="25">
        <f t="shared" si="393"/>
        <v>5.5</v>
      </c>
      <c r="P174" s="25">
        <f t="shared" si="393"/>
        <v>3.2810699588477372</v>
      </c>
      <c r="Q174" s="25">
        <f t="shared" ref="Q174" si="394">Q171/Q57</f>
        <v>2.4125514403292185</v>
      </c>
      <c r="R174" s="118">
        <f t="shared" si="379"/>
        <v>0.6696483684625012</v>
      </c>
      <c r="S174" s="128"/>
      <c r="T174" s="119">
        <f t="shared" ref="T174:AC174" si="395">T171/T57</f>
        <v>3.365620607787275</v>
      </c>
      <c r="U174" s="119">
        <f t="shared" si="395"/>
        <v>3.4523500619110234</v>
      </c>
      <c r="V174" s="119">
        <f t="shared" si="395"/>
        <v>3.5413144673525765</v>
      </c>
      <c r="W174" s="119">
        <f t="shared" si="395"/>
        <v>3.6325714170882009</v>
      </c>
      <c r="X174" s="119">
        <f t="shared" si="395"/>
        <v>3.7261799882208586</v>
      </c>
      <c r="Y174" s="119">
        <f t="shared" si="395"/>
        <v>3.8222007802250109</v>
      </c>
      <c r="Z174" s="119">
        <f t="shared" si="395"/>
        <v>3.9206959541769635</v>
      </c>
      <c r="AA174" s="119">
        <f t="shared" si="395"/>
        <v>4.0217292729961391</v>
      </c>
      <c r="AB174" s="119">
        <f t="shared" si="395"/>
        <v>4.1253661427233475</v>
      </c>
      <c r="AC174" s="119">
        <f t="shared" si="395"/>
        <v>4.2316736548627567</v>
      </c>
      <c r="AD174" s="138">
        <f t="shared" si="382"/>
        <v>0.27557527252392933</v>
      </c>
      <c r="AE174" s="31">
        <v>0.08</v>
      </c>
      <c r="AF174" s="127">
        <f t="shared" si="383"/>
        <v>38.555844825242083</v>
      </c>
    </row>
    <row r="175" spans="2:32" x14ac:dyDescent="0.2">
      <c r="B175" s="20" t="s">
        <v>259</v>
      </c>
      <c r="C175" s="25" t="e">
        <f t="shared" ref="C175:P175" si="396">C171/C66</f>
        <v>#DIV/0!</v>
      </c>
      <c r="D175" s="25" t="e">
        <f t="shared" si="396"/>
        <v>#DIV/0!</v>
      </c>
      <c r="E175" s="25" t="e">
        <f t="shared" si="396"/>
        <v>#DIV/0!</v>
      </c>
      <c r="F175" s="25" t="e">
        <f t="shared" si="396"/>
        <v>#DIV/0!</v>
      </c>
      <c r="G175" s="25">
        <f t="shared" si="396"/>
        <v>0.3</v>
      </c>
      <c r="H175" s="25" t="e">
        <f t="shared" si="396"/>
        <v>#DIV/0!</v>
      </c>
      <c r="I175" s="25">
        <f t="shared" si="396"/>
        <v>0</v>
      </c>
      <c r="J175" s="25">
        <f t="shared" si="396"/>
        <v>0</v>
      </c>
      <c r="K175" s="25">
        <f t="shared" si="396"/>
        <v>0</v>
      </c>
      <c r="L175" s="25">
        <f t="shared" si="396"/>
        <v>0</v>
      </c>
      <c r="M175" s="25">
        <f t="shared" si="396"/>
        <v>0</v>
      </c>
      <c r="N175" s="25">
        <f t="shared" si="396"/>
        <v>0</v>
      </c>
      <c r="O175" s="25">
        <f t="shared" si="396"/>
        <v>20</v>
      </c>
      <c r="P175" s="25">
        <f t="shared" si="396"/>
        <v>5.4609589041095887</v>
      </c>
      <c r="Q175" s="25">
        <f t="shared" ref="Q175" si="397">Q171/Q66</f>
        <v>4.0154109589041092</v>
      </c>
      <c r="R175" s="118">
        <f t="shared" si="379"/>
        <v>0.38043641113005666</v>
      </c>
      <c r="S175" s="128"/>
      <c r="T175" s="119">
        <f t="shared" ref="T175:AC175" si="398">T171/T66</f>
        <v>5.6016836143308755</v>
      </c>
      <c r="U175" s="119">
        <f t="shared" si="398"/>
        <v>5.7460346920847858</v>
      </c>
      <c r="V175" s="119">
        <f t="shared" si="398"/>
        <v>5.8941055860731248</v>
      </c>
      <c r="W175" s="119">
        <f t="shared" si="398"/>
        <v>6.0459921530988545</v>
      </c>
      <c r="X175" s="119">
        <f t="shared" si="398"/>
        <v>6.201792720121019</v>
      </c>
      <c r="Y175" s="119">
        <f t="shared" si="398"/>
        <v>6.3616081479087523</v>
      </c>
      <c r="Z175" s="119">
        <f t="shared" si="398"/>
        <v>6.525541896335632</v>
      </c>
      <c r="AA175" s="119">
        <f t="shared" si="398"/>
        <v>6.6937000913565896</v>
      </c>
      <c r="AB175" s="119">
        <f t="shared" si="398"/>
        <v>6.866191593710778</v>
      </c>
      <c r="AC175" s="119">
        <f t="shared" si="398"/>
        <v>7.0431280693948635</v>
      </c>
      <c r="AD175" s="138">
        <f t="shared" si="382"/>
        <v>0.17093346049115232</v>
      </c>
      <c r="AE175" s="31">
        <v>0.08</v>
      </c>
      <c r="AF175" s="127">
        <f t="shared" si="383"/>
        <v>58.907388021277825</v>
      </c>
    </row>
    <row r="176" spans="2:32" x14ac:dyDescent="0.2">
      <c r="B176" s="20" t="s">
        <v>260</v>
      </c>
      <c r="C176" s="25" t="e">
        <f t="shared" ref="C176:P176" si="399">C171/C68</f>
        <v>#DIV/0!</v>
      </c>
      <c r="D176" s="25" t="e">
        <f t="shared" si="399"/>
        <v>#DIV/0!</v>
      </c>
      <c r="E176" s="25" t="e">
        <f t="shared" si="399"/>
        <v>#DIV/0!</v>
      </c>
      <c r="F176" s="25" t="e">
        <f t="shared" si="399"/>
        <v>#DIV/0!</v>
      </c>
      <c r="G176" s="25">
        <f t="shared" si="399"/>
        <v>0.05</v>
      </c>
      <c r="H176" s="25" t="e">
        <f t="shared" si="399"/>
        <v>#DIV/0!</v>
      </c>
      <c r="I176" s="25">
        <f t="shared" si="399"/>
        <v>0</v>
      </c>
      <c r="J176" s="25">
        <f t="shared" si="399"/>
        <v>0</v>
      </c>
      <c r="K176" s="25">
        <f t="shared" si="399"/>
        <v>0</v>
      </c>
      <c r="L176" s="25">
        <f t="shared" si="399"/>
        <v>0</v>
      </c>
      <c r="M176" s="25">
        <f t="shared" si="399"/>
        <v>0</v>
      </c>
      <c r="N176" s="25">
        <f t="shared" si="399"/>
        <v>0</v>
      </c>
      <c r="O176" s="25">
        <f t="shared" si="399"/>
        <v>12.941176470588236</v>
      </c>
      <c r="P176" s="25">
        <f t="shared" si="399"/>
        <v>15.332692307692309</v>
      </c>
      <c r="Q176" s="25">
        <f t="shared" ref="Q176" si="400">Q171/Q68</f>
        <v>11.274038461538463</v>
      </c>
      <c r="R176" s="118">
        <f t="shared" si="379"/>
        <v>0.88927104430770521</v>
      </c>
      <c r="S176" s="128"/>
      <c r="T176" s="119">
        <f t="shared" ref="T176:AC176" si="401">T171/T68</f>
        <v>15.727803994082841</v>
      </c>
      <c r="U176" s="119">
        <f t="shared" si="401"/>
        <v>16.133097404699591</v>
      </c>
      <c r="V176" s="119">
        <f t="shared" si="401"/>
        <v>16.548834914743772</v>
      </c>
      <c r="W176" s="119">
        <f t="shared" si="401"/>
        <v>16.975285660623708</v>
      </c>
      <c r="X176" s="119">
        <f t="shared" si="401"/>
        <v>17.412725714185935</v>
      </c>
      <c r="Y176" s="119">
        <f t="shared" si="401"/>
        <v>17.86143826143611</v>
      </c>
      <c r="Z176" s="119">
        <f t="shared" si="401"/>
        <v>18.321713785865427</v>
      </c>
      <c r="AA176" s="119">
        <f t="shared" si="401"/>
        <v>18.793850256501187</v>
      </c>
      <c r="AB176" s="119">
        <f t="shared" si="401"/>
        <v>19.278153320803334</v>
      </c>
      <c r="AC176" s="119">
        <f t="shared" si="401"/>
        <v>19.774936502531727</v>
      </c>
      <c r="AD176" s="138">
        <f t="shared" si="382"/>
        <v>0.34851957390628208</v>
      </c>
      <c r="AE176" s="31">
        <v>0.08</v>
      </c>
      <c r="AF176" s="127">
        <f t="shared" si="383"/>
        <v>190.47777818869903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02">G171/G62</f>
        <v>-1.7985611510791366E-2</v>
      </c>
      <c r="H177" s="182" t="e">
        <f t="shared" si="402"/>
        <v>#DIV/0!</v>
      </c>
      <c r="I177" s="182">
        <f t="shared" si="402"/>
        <v>0</v>
      </c>
      <c r="J177" s="182">
        <f t="shared" si="402"/>
        <v>0</v>
      </c>
      <c r="K177" s="182">
        <f t="shared" si="402"/>
        <v>0</v>
      </c>
      <c r="L177" s="182">
        <f t="shared" si="402"/>
        <v>0</v>
      </c>
      <c r="M177" s="182">
        <f t="shared" si="402"/>
        <v>0</v>
      </c>
      <c r="N177" s="182">
        <f t="shared" si="402"/>
        <v>0</v>
      </c>
      <c r="O177" s="182">
        <f t="shared" si="402"/>
        <v>6.1111111111111116</v>
      </c>
      <c r="P177" s="182">
        <f t="shared" si="402"/>
        <v>2.7887373207415185</v>
      </c>
      <c r="Q177" s="182">
        <f t="shared" ref="Q177" si="403">Q171/Q62</f>
        <v>2.0505421476040575</v>
      </c>
      <c r="R177" s="118">
        <f t="shared" ref="R177:R180" si="404">((P177/G177)^(1/($H$2-$H$1) ))-1</f>
        <v>-2.7514064040024682</v>
      </c>
      <c r="S177" s="128"/>
      <c r="T177" s="135">
        <f t="shared" ref="T177:AC177" si="405">T171/T62</f>
        <v>2.8606009363144729</v>
      </c>
      <c r="U177" s="135">
        <f t="shared" si="405"/>
        <v>2.9343164219810376</v>
      </c>
      <c r="V177" s="135">
        <f t="shared" si="405"/>
        <v>3.0099314990090109</v>
      </c>
      <c r="W177" s="135">
        <f t="shared" si="405"/>
        <v>3.0874951184065518</v>
      </c>
      <c r="X177" s="135">
        <f t="shared" si="405"/>
        <v>3.1670574926116433</v>
      </c>
      <c r="Y177" s="135">
        <f t="shared" si="405"/>
        <v>3.2486701279981745</v>
      </c>
      <c r="Z177" s="135">
        <f t="shared" si="405"/>
        <v>3.3323858582196655</v>
      </c>
      <c r="AA177" s="135">
        <f t="shared" si="405"/>
        <v>3.4182588784122494</v>
      </c>
      <c r="AB177" s="135">
        <f t="shared" si="405"/>
        <v>3.5063447802790257</v>
      </c>
      <c r="AC177" s="135">
        <f t="shared" si="405"/>
        <v>3.5967005880785243</v>
      </c>
      <c r="AD177" s="138" t="e">
        <f t="shared" ref="AD177" si="406">((AC177/G177)^(1/($AC$3-$H$1) ))-1</f>
        <v>#NUM!</v>
      </c>
      <c r="AE177" s="31">
        <v>0.08</v>
      </c>
      <c r="AF177" s="127" t="e">
        <f t="shared" si="383"/>
        <v>#NUM!</v>
      </c>
    </row>
    <row r="178" spans="2:46" x14ac:dyDescent="0.2">
      <c r="B178" s="20" t="s">
        <v>371</v>
      </c>
      <c r="C178" s="161" t="e">
        <f t="shared" ref="C178:P178" si="407">C54/C171</f>
        <v>#DIV/0!</v>
      </c>
      <c r="D178" s="161" t="e">
        <f t="shared" si="407"/>
        <v>#DIV/0!</v>
      </c>
      <c r="E178" s="161" t="e">
        <f t="shared" si="407"/>
        <v>#DIV/0!</v>
      </c>
      <c r="F178" s="161" t="e">
        <f t="shared" si="407"/>
        <v>#DIV/0!</v>
      </c>
      <c r="G178" s="161">
        <f t="shared" si="407"/>
        <v>21</v>
      </c>
      <c r="H178" s="161" t="e">
        <f t="shared" si="407"/>
        <v>#DIV/0!</v>
      </c>
      <c r="I178" s="161" t="e">
        <f t="shared" si="407"/>
        <v>#DIV/0!</v>
      </c>
      <c r="J178" s="161" t="e">
        <f t="shared" si="407"/>
        <v>#DIV/0!</v>
      </c>
      <c r="K178" s="161" t="e">
        <f t="shared" si="407"/>
        <v>#DIV/0!</v>
      </c>
      <c r="L178" s="161" t="e">
        <f t="shared" si="407"/>
        <v>#DIV/0!</v>
      </c>
      <c r="M178" s="161" t="e">
        <f t="shared" si="407"/>
        <v>#DIV/0!</v>
      </c>
      <c r="N178" s="161" t="e">
        <f t="shared" si="407"/>
        <v>#DIV/0!</v>
      </c>
      <c r="O178" s="161">
        <f t="shared" si="407"/>
        <v>3.8636363636363635E-2</v>
      </c>
      <c r="P178" s="161">
        <f t="shared" si="407"/>
        <v>2.8847359839458169E-2</v>
      </c>
      <c r="Q178" s="161">
        <f t="shared" ref="Q178" si="408">Q54/Q171</f>
        <v>3.9232409381663114E-2</v>
      </c>
      <c r="R178" s="118">
        <f t="shared" si="404"/>
        <v>-0.51917457993701177</v>
      </c>
      <c r="S178" s="128"/>
      <c r="T178" s="161">
        <f t="shared" ref="T178:AC178" si="409">T54/T171</f>
        <v>2.8122660510907848E-2</v>
      </c>
      <c r="U178" s="161">
        <f t="shared" si="409"/>
        <v>2.7416166977263002E-2</v>
      </c>
      <c r="V178" s="161">
        <f t="shared" si="409"/>
        <v>2.6727421875097034E-2</v>
      </c>
      <c r="W178" s="161">
        <f t="shared" si="409"/>
        <v>2.6055979330803256E-2</v>
      </c>
      <c r="X178" s="161">
        <f t="shared" si="409"/>
        <v>2.5401404671949179E-2</v>
      </c>
      <c r="Y178" s="161">
        <f t="shared" si="409"/>
        <v>2.4763274145882218E-2</v>
      </c>
      <c r="Z178" s="161">
        <f t="shared" si="409"/>
        <v>2.4141174645404488E-2</v>
      </c>
      <c r="AA178" s="161">
        <f t="shared" si="409"/>
        <v>2.3534703441339209E-2</v>
      </c>
      <c r="AB178" s="161">
        <f t="shared" si="409"/>
        <v>2.2943467921815501E-2</v>
      </c>
      <c r="AC178" s="161">
        <f t="shared" si="409"/>
        <v>2.236708533810285E-2</v>
      </c>
      <c r="AD178" s="138">
        <f t="shared" ref="AD178:AD180" si="410">((AC178/G178)^(1/($AC$3-$H$1) ))-1</f>
        <v>-0.28981825451765753</v>
      </c>
      <c r="AE178" s="31">
        <v>0.08</v>
      </c>
      <c r="AF178" s="127">
        <f t="shared" si="383"/>
        <v>0.11346211219118851</v>
      </c>
    </row>
    <row r="179" spans="2:46" x14ac:dyDescent="0.2">
      <c r="B179" s="20" t="s">
        <v>320</v>
      </c>
      <c r="C179" s="152" t="e">
        <f t="shared" ref="C179:P179" si="411">C44/C171</f>
        <v>#DIV/0!</v>
      </c>
      <c r="D179" s="152" t="e">
        <f t="shared" si="411"/>
        <v>#DIV/0!</v>
      </c>
      <c r="E179" s="152" t="e">
        <f t="shared" si="411"/>
        <v>#DIV/0!</v>
      </c>
      <c r="F179" s="152" t="e">
        <f t="shared" si="411"/>
        <v>#DIV/0!</v>
      </c>
      <c r="G179" s="152">
        <f t="shared" si="411"/>
        <v>0</v>
      </c>
      <c r="H179" s="152" t="e">
        <f t="shared" si="411"/>
        <v>#DIV/0!</v>
      </c>
      <c r="I179" s="152" t="e">
        <f t="shared" si="411"/>
        <v>#DIV/0!</v>
      </c>
      <c r="J179" s="152" t="e">
        <f t="shared" si="411"/>
        <v>#DIV/0!</v>
      </c>
      <c r="K179" s="152" t="e">
        <f t="shared" si="411"/>
        <v>#DIV/0!</v>
      </c>
      <c r="L179" s="152" t="e">
        <f t="shared" si="411"/>
        <v>#DIV/0!</v>
      </c>
      <c r="M179" s="152" t="e">
        <f t="shared" si="411"/>
        <v>#DIV/0!</v>
      </c>
      <c r="N179" s="152" t="e">
        <f t="shared" si="411"/>
        <v>#DIV/0!</v>
      </c>
      <c r="O179" s="152">
        <f t="shared" si="411"/>
        <v>0</v>
      </c>
      <c r="P179" s="152">
        <f t="shared" si="411"/>
        <v>0</v>
      </c>
      <c r="Q179" s="152">
        <f t="shared" ref="Q179" si="412">Q44/Q171</f>
        <v>8.0000000000000002E-3</v>
      </c>
      <c r="R179" s="118" t="e">
        <f t="shared" si="404"/>
        <v>#DIV/0!</v>
      </c>
      <c r="S179" s="128"/>
      <c r="T179" s="152">
        <f t="shared" ref="T179:AC179" si="413">T44/T171</f>
        <v>4.8633626679018063E-3</v>
      </c>
      <c r="U179" s="152">
        <f t="shared" si="413"/>
        <v>4.0208903947219661E-3</v>
      </c>
      <c r="V179" s="152">
        <f t="shared" si="413"/>
        <v>3.3243582003606811E-3</v>
      </c>
      <c r="W179" s="152">
        <f t="shared" si="413"/>
        <v>2.748485126282453E-3</v>
      </c>
      <c r="X179" s="152">
        <f t="shared" si="413"/>
        <v>2.2723695925957292E-3</v>
      </c>
      <c r="Y179" s="152">
        <f t="shared" si="413"/>
        <v>1.8787307655319021E-3</v>
      </c>
      <c r="Z179" s="152">
        <f t="shared" si="413"/>
        <v>1.5532813415814939E-3</v>
      </c>
      <c r="AA179" s="152">
        <f t="shared" si="413"/>
        <v>1.2842089831972983E-3</v>
      </c>
      <c r="AB179" s="152">
        <f t="shared" si="413"/>
        <v>1.0617475845331992E-3</v>
      </c>
      <c r="AC179" s="152">
        <f t="shared" si="413"/>
        <v>8.7782280611012537E-4</v>
      </c>
      <c r="AD179" s="138" t="e">
        <f t="shared" si="410"/>
        <v>#DIV/0!</v>
      </c>
      <c r="AE179" s="31">
        <v>0.08</v>
      </c>
      <c r="AF179" s="127" t="e">
        <f t="shared" si="383"/>
        <v>#DIV/0!</v>
      </c>
    </row>
    <row r="180" spans="2:46" x14ac:dyDescent="0.2">
      <c r="B180" s="20" t="s">
        <v>446</v>
      </c>
      <c r="C180" s="181" t="e">
        <f t="shared" ref="C180:O180" si="414">(C173)/($L$2*100)</f>
        <v>#DIV/0!</v>
      </c>
      <c r="D180" s="181" t="e">
        <f t="shared" si="414"/>
        <v>#DIV/0!</v>
      </c>
      <c r="E180" s="181" t="e">
        <f t="shared" si="414"/>
        <v>#DIV/0!</v>
      </c>
      <c r="F180" s="181" t="e">
        <f t="shared" si="414"/>
        <v>#DIV/0!</v>
      </c>
      <c r="G180" s="181">
        <f t="shared" si="414"/>
        <v>1.5873015873015873E-3</v>
      </c>
      <c r="H180" s="181" t="e">
        <f t="shared" si="414"/>
        <v>#DIV/0!</v>
      </c>
      <c r="I180" s="181">
        <f t="shared" si="414"/>
        <v>0</v>
      </c>
      <c r="J180" s="181">
        <f t="shared" si="414"/>
        <v>0</v>
      </c>
      <c r="K180" s="181">
        <f t="shared" si="414"/>
        <v>0</v>
      </c>
      <c r="L180" s="181">
        <f t="shared" si="414"/>
        <v>0</v>
      </c>
      <c r="M180" s="181">
        <f t="shared" si="414"/>
        <v>0</v>
      </c>
      <c r="N180" s="181">
        <f t="shared" si="414"/>
        <v>0</v>
      </c>
      <c r="O180" s="181">
        <f t="shared" si="414"/>
        <v>0.86274509803921573</v>
      </c>
      <c r="P180" s="181">
        <f>(P173)/($L$2*100)</f>
        <v>1.1555072463768117</v>
      </c>
      <c r="Q180" s="181">
        <f>(Q173)/($L$2*100)</f>
        <v>0.84963768115942029</v>
      </c>
      <c r="R180" s="118">
        <f t="shared" si="404"/>
        <v>1.0797569310478634</v>
      </c>
      <c r="S180" s="128"/>
      <c r="T180" s="181">
        <f>(T173)/($L$2*100)</f>
        <v>1.1852837792642144</v>
      </c>
      <c r="U180" s="181">
        <f t="shared" ref="U180:AC180" si="415">(U173)/($L$2*100)</f>
        <v>1.2158276304990996</v>
      </c>
      <c r="V180" s="181">
        <f t="shared" si="415"/>
        <v>1.2471585732850381</v>
      </c>
      <c r="W180" s="181">
        <f t="shared" si="415"/>
        <v>1.2792968903658448</v>
      </c>
      <c r="X180" s="181">
        <f t="shared" si="415"/>
        <v>1.3122633871560416</v>
      </c>
      <c r="Y180" s="181">
        <f t="shared" si="415"/>
        <v>1.3460794052096781</v>
      </c>
      <c r="Z180" s="181">
        <f t="shared" si="415"/>
        <v>1.3807668360362351</v>
      </c>
      <c r="AA180" s="181">
        <f t="shared" si="415"/>
        <v>1.4163481352725535</v>
      </c>
      <c r="AB180" s="181">
        <f t="shared" si="415"/>
        <v>1.4528463372199616</v>
      </c>
      <c r="AC180" s="181">
        <f t="shared" si="415"/>
        <v>1.4902850697560146</v>
      </c>
      <c r="AD180" s="138">
        <f t="shared" si="410"/>
        <v>0.40809026191009501</v>
      </c>
      <c r="AE180" s="31">
        <v>0.08</v>
      </c>
      <c r="AF180" s="181">
        <f>(AF173)/($L$2*100)</f>
        <v>14.98897067281036</v>
      </c>
    </row>
    <row r="181" spans="2:46" x14ac:dyDescent="0.2">
      <c r="B181" s="20" t="s">
        <v>447</v>
      </c>
      <c r="C181" s="152"/>
      <c r="D181" s="152"/>
      <c r="E181" s="152"/>
      <c r="F181" s="152"/>
      <c r="G181" s="152">
        <f t="shared" ref="G181:P181" si="416">G180-1</f>
        <v>-0.99841269841269842</v>
      </c>
      <c r="H181" s="152" t="e">
        <f t="shared" si="416"/>
        <v>#DIV/0!</v>
      </c>
      <c r="I181" s="152">
        <f t="shared" si="416"/>
        <v>-1</v>
      </c>
      <c r="J181" s="152">
        <f t="shared" si="416"/>
        <v>-1</v>
      </c>
      <c r="K181" s="152">
        <f t="shared" si="416"/>
        <v>-1</v>
      </c>
      <c r="L181" s="152">
        <f t="shared" si="416"/>
        <v>-1</v>
      </c>
      <c r="M181" s="152">
        <f t="shared" si="416"/>
        <v>-1</v>
      </c>
      <c r="N181" s="152">
        <f t="shared" si="416"/>
        <v>-1</v>
      </c>
      <c r="O181" s="152">
        <f t="shared" si="416"/>
        <v>-0.13725490196078427</v>
      </c>
      <c r="P181" s="152">
        <f t="shared" si="416"/>
        <v>0.15550724637681168</v>
      </c>
      <c r="Q181" s="152">
        <f>Q180-1</f>
        <v>-0.15036231884057971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3" t="s">
        <v>351</v>
      </c>
      <c r="L183" s="204"/>
      <c r="M183" s="20"/>
      <c r="N183" s="20"/>
      <c r="O183" s="20"/>
      <c r="P183" s="108" t="s">
        <v>430</v>
      </c>
      <c r="Q183" s="108" t="s">
        <v>429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0.92418652050797523</v>
      </c>
      <c r="Q184" s="128">
        <f>(Q171-T159)/Q171</f>
        <v>0.93762917013817992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-2.6375197235727836</v>
      </c>
      <c r="N185" s="20"/>
      <c r="O185" s="20"/>
      <c r="P185" s="128">
        <f>(Q171-S150)/Q171</f>
        <v>-3.9470268240589856</v>
      </c>
      <c r="Q185" s="128">
        <f>(Q171-T150)/Q171</f>
        <v>0.31066019664751854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-2.6896842246803323</v>
      </c>
      <c r="N186" s="20"/>
      <c r="O186" s="20"/>
      <c r="P186" s="128">
        <f>(Q171-S143)/Q171</f>
        <v>-4.0179705455652517</v>
      </c>
      <c r="Q186" s="128">
        <f>(Q171-T143)/Q171</f>
        <v>0.30077459610975993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0.79275493765216232</v>
      </c>
      <c r="N187" s="20"/>
      <c r="O187" s="20"/>
      <c r="P187" s="128">
        <f>(Q171-S156)/Q171</f>
        <v>0.71814671520694096</v>
      </c>
      <c r="Q187" s="128">
        <f>(Q171-T156)/Q171</f>
        <v>0.96072536195506553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399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1</v>
      </c>
      <c r="N188" s="20"/>
      <c r="O188" s="20"/>
      <c r="P188" s="128">
        <f>(Q171-S168)/Q171</f>
        <v>1</v>
      </c>
      <c r="Q188" s="128">
        <f>(Q171-T168)/Q171</f>
        <v>1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2.5127081830556253</v>
      </c>
      <c r="Q189" s="25">
        <f>Q171/T142</f>
        <v>18.032376372516843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407</v>
      </c>
      <c r="AE189" s="115" t="s">
        <v>408</v>
      </c>
      <c r="AF189" s="115" t="s">
        <v>409</v>
      </c>
      <c r="AG189" s="115" t="s">
        <v>410</v>
      </c>
      <c r="AH189" s="115" t="s">
        <v>411</v>
      </c>
      <c r="AI189" s="115" t="s">
        <v>412</v>
      </c>
      <c r="AJ189" s="115" t="s">
        <v>413</v>
      </c>
      <c r="AK189" s="115" t="s">
        <v>414</v>
      </c>
      <c r="AL189" s="115" t="s">
        <v>415</v>
      </c>
      <c r="AM189" s="115" t="s">
        <v>416</v>
      </c>
      <c r="AN189" s="115" t="s">
        <v>417</v>
      </c>
      <c r="AO189" s="115" t="s">
        <v>418</v>
      </c>
      <c r="AP189" s="115" t="s">
        <v>419</v>
      </c>
      <c r="AQ189" s="115" t="s">
        <v>420</v>
      </c>
      <c r="AR189" s="115" t="s">
        <v>421</v>
      </c>
      <c r="AS189" s="115" t="s">
        <v>422</v>
      </c>
      <c r="AT189" s="115" t="s">
        <v>423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448</v>
      </c>
      <c r="H190" s="190"/>
      <c r="I190" s="189" t="s">
        <v>449</v>
      </c>
      <c r="J190" s="190"/>
      <c r="K190" s="20"/>
      <c r="L190" s="189" t="s">
        <v>450</v>
      </c>
      <c r="M190" s="190"/>
      <c r="N190" s="189" t="s">
        <v>451</v>
      </c>
      <c r="O190" s="190"/>
      <c r="P190" s="152">
        <f>1/P189</f>
        <v>0.39797697430345114</v>
      </c>
      <c r="Q190" s="152">
        <f>1/Q189</f>
        <v>5.5455807894743185E-2</v>
      </c>
      <c r="R190" s="20"/>
      <c r="S190" s="20"/>
      <c r="T190" s="129" t="e">
        <f>Q171-T191</f>
        <v>#DIV/0!</v>
      </c>
      <c r="U190" s="185" t="e">
        <f>T190-U191</f>
        <v>#DIV/0!</v>
      </c>
      <c r="V190" s="185" t="e">
        <f t="shared" ref="V190:X190" si="417">U190-V191</f>
        <v>#DIV/0!</v>
      </c>
      <c r="W190" s="185" t="e">
        <f t="shared" si="417"/>
        <v>#DIV/0!</v>
      </c>
      <c r="X190" s="185" t="e">
        <f t="shared" si="417"/>
        <v>#DIV/0!</v>
      </c>
      <c r="Y190" s="185" t="e">
        <f>X190-Y191</f>
        <v>#DIV/0!</v>
      </c>
      <c r="Z190" s="185" t="e">
        <f t="shared" ref="Z190:AC190" si="418">Y190-Z191</f>
        <v>#DIV/0!</v>
      </c>
      <c r="AA190" s="185" t="e">
        <f t="shared" si="418"/>
        <v>#DIV/0!</v>
      </c>
      <c r="AB190" s="185" t="e">
        <f t="shared" si="418"/>
        <v>#DIV/0!</v>
      </c>
      <c r="AC190" s="185" t="e">
        <f t="shared" si="418"/>
        <v>#DIV/0!</v>
      </c>
      <c r="AD190" s="185" t="e">
        <f t="shared" ref="AD190" si="419">AC190-AD191</f>
        <v>#DIV/0!</v>
      </c>
      <c r="AE190" s="185" t="e">
        <f t="shared" ref="AE190" si="420">AD190-AE191</f>
        <v>#DIV/0!</v>
      </c>
      <c r="AF190" s="185" t="e">
        <f t="shared" ref="AF190" si="421">AE190-AF191</f>
        <v>#DIV/0!</v>
      </c>
      <c r="AG190" s="185" t="e">
        <f t="shared" ref="AG190" si="422">AF190-AG191</f>
        <v>#DIV/0!</v>
      </c>
      <c r="AH190" s="185" t="e">
        <f t="shared" ref="AH190" si="423">AG190-AH191</f>
        <v>#DIV/0!</v>
      </c>
      <c r="AI190" s="185" t="e">
        <f t="shared" ref="AI190" si="424">AH190-AI191</f>
        <v>#DIV/0!</v>
      </c>
      <c r="AJ190" s="185" t="e">
        <f t="shared" ref="AJ190" si="425">AI190-AJ191</f>
        <v>#DIV/0!</v>
      </c>
      <c r="AK190" s="185" t="e">
        <f t="shared" ref="AK190" si="426">AJ190-AK191</f>
        <v>#DIV/0!</v>
      </c>
      <c r="AL190" s="185" t="e">
        <f t="shared" ref="AL190" si="427">AK190-AL191</f>
        <v>#DIV/0!</v>
      </c>
      <c r="AM190" s="185" t="e">
        <f t="shared" ref="AM190" si="428">AL190-AM191</f>
        <v>#DIV/0!</v>
      </c>
      <c r="AN190" s="185" t="e">
        <f t="shared" ref="AN190" si="429">AM190-AN191</f>
        <v>#DIV/0!</v>
      </c>
      <c r="AO190" s="185" t="e">
        <f t="shared" ref="AO190" si="430">AN190-AO191</f>
        <v>#DIV/0!</v>
      </c>
      <c r="AP190" s="185" t="e">
        <f t="shared" ref="AP190" si="431">AO190-AP191</f>
        <v>#DIV/0!</v>
      </c>
      <c r="AQ190" s="185" t="e">
        <f t="shared" ref="AQ190" si="432">AP190-AQ191</f>
        <v>#DIV/0!</v>
      </c>
      <c r="AR190" s="185" t="e">
        <f t="shared" ref="AR190" si="433">AQ190-AR191</f>
        <v>#DIV/0!</v>
      </c>
      <c r="AS190" s="185" t="e">
        <f t="shared" ref="AS190" si="434">AR190-AS191</f>
        <v>#DIV/0!</v>
      </c>
      <c r="AT190" s="185" t="e">
        <f t="shared" ref="AT190" si="435">AS190-AT191</f>
        <v>#DIV/0!</v>
      </c>
    </row>
    <row r="191" spans="2:46" x14ac:dyDescent="0.2">
      <c r="B191" s="20" t="s">
        <v>396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 t="e">
        <f>Q171/R141</f>
        <v>#DIV/0!</v>
      </c>
      <c r="Q191" s="181" t="e">
        <f>Q171/S141</f>
        <v>#DIV/0!</v>
      </c>
      <c r="R191" s="20"/>
      <c r="S191" s="20"/>
      <c r="T191" s="186" t="e">
        <f>R141*(1+$K$191)</f>
        <v>#DIV/0!</v>
      </c>
      <c r="U191" s="186" t="e">
        <f>T191*(1+$K$191)</f>
        <v>#DIV/0!</v>
      </c>
      <c r="V191" s="186" t="e">
        <f t="shared" ref="V191:AC191" si="436">U191*(1+$K$191)</f>
        <v>#DIV/0!</v>
      </c>
      <c r="W191" s="186" t="e">
        <f t="shared" si="436"/>
        <v>#DIV/0!</v>
      </c>
      <c r="X191" s="186" t="e">
        <f t="shared" si="436"/>
        <v>#DIV/0!</v>
      </c>
      <c r="Y191" s="186" t="e">
        <f t="shared" si="436"/>
        <v>#DIV/0!</v>
      </c>
      <c r="Z191" s="186" t="e">
        <f t="shared" si="436"/>
        <v>#DIV/0!</v>
      </c>
      <c r="AA191" s="186" t="e">
        <f t="shared" si="436"/>
        <v>#DIV/0!</v>
      </c>
      <c r="AB191" s="186" t="e">
        <f t="shared" si="436"/>
        <v>#DIV/0!</v>
      </c>
      <c r="AC191" s="186" t="e">
        <f t="shared" si="436"/>
        <v>#DIV/0!</v>
      </c>
      <c r="AD191" s="186" t="e">
        <f t="shared" ref="AD191" si="437">AC191*(1+$K$191)</f>
        <v>#DIV/0!</v>
      </c>
      <c r="AE191" s="186" t="e">
        <f t="shared" ref="AE191" si="438">AD191*(1+$K$191)</f>
        <v>#DIV/0!</v>
      </c>
      <c r="AF191" s="186" t="e">
        <f t="shared" ref="AF191" si="439">AE191*(1+$K$191)</f>
        <v>#DIV/0!</v>
      </c>
      <c r="AG191" s="186" t="e">
        <f t="shared" ref="AG191" si="440">AF191*(1+$K$191)</f>
        <v>#DIV/0!</v>
      </c>
      <c r="AH191" s="186" t="e">
        <f t="shared" ref="AH191" si="441">AG191*(1+$K$191)</f>
        <v>#DIV/0!</v>
      </c>
      <c r="AI191" s="186" t="e">
        <f t="shared" ref="AI191" si="442">AH191*(1+$K$191)</f>
        <v>#DIV/0!</v>
      </c>
      <c r="AJ191" s="186" t="e">
        <f t="shared" ref="AJ191" si="443">AI191*(1+$K$191)</f>
        <v>#DIV/0!</v>
      </c>
      <c r="AK191" s="186" t="e">
        <f t="shared" ref="AK191" si="444">AJ191*(1+$K$191)</f>
        <v>#DIV/0!</v>
      </c>
      <c r="AL191" s="186" t="e">
        <f t="shared" ref="AL191" si="445">AK191*(1+$K$191)</f>
        <v>#DIV/0!</v>
      </c>
      <c r="AM191" s="186" t="e">
        <f t="shared" ref="AM191" si="446">AL191*(1+$K$191)</f>
        <v>#DIV/0!</v>
      </c>
      <c r="AN191" s="186" t="e">
        <f t="shared" ref="AN191" si="447">AM191*(1+$K$191)</f>
        <v>#DIV/0!</v>
      </c>
      <c r="AO191" s="186" t="e">
        <f t="shared" ref="AO191" si="448">AN191*(1+$K$191)</f>
        <v>#DIV/0!</v>
      </c>
      <c r="AP191" s="186" t="e">
        <f t="shared" ref="AP191" si="449">AO191*(1+$K$191)</f>
        <v>#DIV/0!</v>
      </c>
      <c r="AQ191" s="186" t="e">
        <f t="shared" ref="AQ191" si="450">AP191*(1+$K$191)</f>
        <v>#DIV/0!</v>
      </c>
      <c r="AR191" s="186" t="e">
        <f t="shared" ref="AR191" si="451">AQ191*(1+$K$191)</f>
        <v>#DIV/0!</v>
      </c>
      <c r="AS191" s="186" t="e">
        <f t="shared" ref="AS191" si="452">AR191*(1+$K$191)</f>
        <v>#DIV/0!</v>
      </c>
      <c r="AT191" s="186" t="e">
        <f t="shared" ref="AT191" si="453">AS191*(1+$K$191)</f>
        <v>#DIV/0!</v>
      </c>
    </row>
    <row r="192" spans="2:46" x14ac:dyDescent="0.2">
      <c r="B192" s="20" t="s">
        <v>395</v>
      </c>
      <c r="C192" s="20"/>
      <c r="D192" s="20"/>
      <c r="E192" s="23" t="s">
        <v>391</v>
      </c>
      <c r="F192" s="20">
        <v>60</v>
      </c>
      <c r="G192" s="191">
        <v>0</v>
      </c>
      <c r="H192" s="192">
        <f>Q173</f>
        <v>25.489130434782609</v>
      </c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>
        <f>Q171/P54</f>
        <v>25.489130434782609</v>
      </c>
      <c r="Q192" s="181">
        <f>Q171/Q54</f>
        <v>25.489130434782609</v>
      </c>
      <c r="R192" s="20"/>
      <c r="S192" s="20"/>
      <c r="T192" s="186">
        <f>Q54*(1+$K$192)</f>
        <v>5.1492537313432836</v>
      </c>
      <c r="U192" s="186">
        <f>T192*(1+$K$192)</f>
        <v>5.4067164179104479</v>
      </c>
      <c r="V192" s="186">
        <f t="shared" ref="V192:AC192" si="454">U192*(1+$K$192)</f>
        <v>5.6770522388059703</v>
      </c>
      <c r="W192" s="186">
        <f t="shared" si="454"/>
        <v>5.9609048507462692</v>
      </c>
      <c r="X192" s="186">
        <f t="shared" si="454"/>
        <v>6.2589500932835831</v>
      </c>
      <c r="Y192" s="186">
        <f t="shared" si="454"/>
        <v>6.5718975979477623</v>
      </c>
      <c r="Z192" s="186">
        <f t="shared" si="454"/>
        <v>6.9004924778451509</v>
      </c>
      <c r="AA192" s="186">
        <f t="shared" si="454"/>
        <v>7.2455171017374083</v>
      </c>
      <c r="AB192" s="186">
        <f t="shared" si="454"/>
        <v>7.6077929568242793</v>
      </c>
      <c r="AC192" s="186">
        <f t="shared" si="454"/>
        <v>7.9881826046654938</v>
      </c>
      <c r="AD192" s="186">
        <f t="shared" ref="AD192" si="455">AC192*(1+$K$192)</f>
        <v>8.3875917348987681</v>
      </c>
      <c r="AE192" s="186">
        <f t="shared" ref="AE192" si="456">AD192*(1+$K$192)</f>
        <v>8.8069713216437062</v>
      </c>
      <c r="AF192" s="186">
        <f t="shared" ref="AF192" si="457">AE192*(1+$K$192)</f>
        <v>9.247319887725892</v>
      </c>
      <c r="AG192" s="186">
        <f t="shared" ref="AG192" si="458">AF192*(1+$K$192)</f>
        <v>9.7096858821121863</v>
      </c>
      <c r="AH192" s="186">
        <f t="shared" ref="AH192" si="459">AG192*(1+$K$192)</f>
        <v>10.195170176217797</v>
      </c>
      <c r="AI192" s="186">
        <f t="shared" ref="AI192" si="460">AH192*(1+$K$192)</f>
        <v>10.704928685028687</v>
      </c>
      <c r="AJ192" s="186">
        <f t="shared" ref="AJ192" si="461">AI192*(1+$K$192)</f>
        <v>11.240175119280122</v>
      </c>
      <c r="AK192" s="186">
        <f t="shared" ref="AK192" si="462">AJ192*(1+$K$192)</f>
        <v>11.802183875244129</v>
      </c>
      <c r="AL192" s="186">
        <f t="shared" ref="AL192" si="463">AK192*(1+$K$192)</f>
        <v>12.392293069006335</v>
      </c>
      <c r="AM192" s="186">
        <f t="shared" ref="AM192" si="464">AL192*(1+$K$192)</f>
        <v>13.011907722456654</v>
      </c>
      <c r="AN192" s="186">
        <f t="shared" ref="AN192" si="465">AM192*(1+$K$192)</f>
        <v>13.662503108579486</v>
      </c>
      <c r="AO192" s="186">
        <f t="shared" ref="AO192" si="466">AN192*(1+$K$192)</f>
        <v>14.345628264008461</v>
      </c>
      <c r="AP192" s="186">
        <f t="shared" ref="AP192" si="467">AO192*(1+$K$192)</f>
        <v>15.062909677208884</v>
      </c>
      <c r="AQ192" s="186">
        <f t="shared" ref="AQ192" si="468">AP192*(1+$K$192)</f>
        <v>15.816055161069329</v>
      </c>
      <c r="AR192" s="186">
        <f t="shared" ref="AR192" si="469">AQ192*(1+$K$192)</f>
        <v>16.606857919122795</v>
      </c>
      <c r="AS192" s="186">
        <f t="shared" ref="AS192" si="470">AR192*(1+$K$192)</f>
        <v>17.437200815078935</v>
      </c>
      <c r="AT192" s="186">
        <f t="shared" ref="AT192" si="471">AS192*(1+$K$192)</f>
        <v>18.309060855832882</v>
      </c>
    </row>
    <row r="193" spans="2:46" x14ac:dyDescent="0.2">
      <c r="B193" s="20"/>
      <c r="C193" s="20"/>
      <c r="D193" s="20"/>
      <c r="E193" s="23" t="s">
        <v>390</v>
      </c>
      <c r="F193" s="20">
        <v>150</v>
      </c>
      <c r="G193" s="191">
        <v>0</v>
      </c>
      <c r="H193" s="192">
        <f>Q174</f>
        <v>2.4125514403292185</v>
      </c>
      <c r="I193" s="191">
        <v>0.05</v>
      </c>
      <c r="J193" s="190"/>
      <c r="K193" s="190"/>
      <c r="L193" s="191">
        <v>0.12</v>
      </c>
      <c r="M193" s="190"/>
      <c r="N193" s="191">
        <v>0.2</v>
      </c>
      <c r="O193" s="190"/>
      <c r="P193" s="20"/>
      <c r="Q193" s="20"/>
      <c r="R193" s="20"/>
      <c r="S193" s="20"/>
      <c r="T193" s="129">
        <f>Q171-T192</f>
        <v>119.85074626865672</v>
      </c>
      <c r="U193" s="185">
        <f>T193-U192</f>
        <v>114.44402985074628</v>
      </c>
      <c r="V193" s="185">
        <f t="shared" ref="V193:AA193" si="472">U193-V192</f>
        <v>108.76697761194031</v>
      </c>
      <c r="W193" s="185">
        <f t="shared" si="472"/>
        <v>102.80607276119403</v>
      </c>
      <c r="X193" s="185">
        <f t="shared" si="472"/>
        <v>96.547122667910443</v>
      </c>
      <c r="Y193" s="185">
        <f t="shared" si="472"/>
        <v>89.975225069962676</v>
      </c>
      <c r="Z193" s="185">
        <f t="shared" si="472"/>
        <v>83.074732592117527</v>
      </c>
      <c r="AA193" s="185">
        <f t="shared" si="472"/>
        <v>75.829215490380122</v>
      </c>
      <c r="AB193" s="185">
        <f>AA193-AB192</f>
        <v>68.221422533555838</v>
      </c>
      <c r="AC193" s="185">
        <f t="shared" ref="AC193" si="473">AB193-AC192</f>
        <v>60.233239928890342</v>
      </c>
      <c r="AD193" s="185">
        <f t="shared" ref="AD193" si="474">AC193-AD192</f>
        <v>51.845648193991572</v>
      </c>
      <c r="AE193" s="185">
        <f t="shared" ref="AE193" si="475">AD193-AE192</f>
        <v>43.038676872347864</v>
      </c>
      <c r="AF193" s="185">
        <f t="shared" ref="AF193" si="476">AE193-AF192</f>
        <v>33.79135698462197</v>
      </c>
      <c r="AG193" s="185">
        <f t="shared" ref="AG193" si="477">AF193-AG192</f>
        <v>24.081671102509784</v>
      </c>
      <c r="AH193" s="185">
        <f t="shared" ref="AH193" si="478">AG193-AH192</f>
        <v>13.886500926291987</v>
      </c>
      <c r="AI193" s="185">
        <f t="shared" ref="AI193" si="479">AH193-AI192</f>
        <v>3.1815722412633001</v>
      </c>
      <c r="AJ193" s="185">
        <f t="shared" ref="AJ193" si="480">AI193-AJ192</f>
        <v>-8.0586028780168224</v>
      </c>
      <c r="AK193" s="185">
        <f t="shared" ref="AK193" si="481">AJ193-AK192</f>
        <v>-19.860786753260953</v>
      </c>
      <c r="AL193" s="185">
        <f t="shared" ref="AL193" si="482">AK193-AL192</f>
        <v>-32.253079822267289</v>
      </c>
      <c r="AM193" s="185">
        <f t="shared" ref="AM193" si="483">AL193-AM192</f>
        <v>-45.264987544723944</v>
      </c>
      <c r="AN193" s="185">
        <f t="shared" ref="AN193" si="484">AM193-AN192</f>
        <v>-58.92749065330343</v>
      </c>
      <c r="AO193" s="185">
        <f t="shared" ref="AO193" si="485">AN193-AO192</f>
        <v>-73.273118917311891</v>
      </c>
      <c r="AP193" s="185">
        <f t="shared" ref="AP193" si="486">AO193-AP192</f>
        <v>-88.336028594520769</v>
      </c>
      <c r="AQ193" s="185">
        <f t="shared" ref="AQ193" si="487">AP193-AQ192</f>
        <v>-104.1520837555901</v>
      </c>
      <c r="AR193" s="185">
        <f t="shared" ref="AR193" si="488">AQ193-AR192</f>
        <v>-120.7589416747129</v>
      </c>
      <c r="AS193" s="185">
        <f t="shared" ref="AS193" si="489">AR193-AS192</f>
        <v>-138.19614248979184</v>
      </c>
      <c r="AT193" s="185">
        <f t="shared" ref="AT193" si="490">AS193-AT192</f>
        <v>-156.50520334562472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91">C10/C7</f>
        <v>#DIV/0!</v>
      </c>
      <c r="D195" s="25" t="e">
        <f t="shared" si="491"/>
        <v>#DIV/0!</v>
      </c>
      <c r="E195" s="25" t="e">
        <f t="shared" si="491"/>
        <v>#DIV/0!</v>
      </c>
      <c r="F195" s="25" t="e">
        <f t="shared" si="491"/>
        <v>#DIV/0!</v>
      </c>
      <c r="G195" s="25">
        <f t="shared" si="491"/>
        <v>1.4166666666666667</v>
      </c>
      <c r="H195" s="25" t="e">
        <f t="shared" si="491"/>
        <v>#DIV/0!</v>
      </c>
      <c r="I195" s="25">
        <f t="shared" si="491"/>
        <v>1.4166666666666667</v>
      </c>
      <c r="J195" s="25">
        <f t="shared" si="491"/>
        <v>2.6666666666666665</v>
      </c>
      <c r="K195" s="25">
        <f t="shared" si="491"/>
        <v>0.5714285714285714</v>
      </c>
      <c r="L195" s="25">
        <f t="shared" si="491"/>
        <v>0.43636363636363634</v>
      </c>
      <c r="M195" s="25">
        <f t="shared" si="491"/>
        <v>0.32857142857142857</v>
      </c>
      <c r="N195" s="25">
        <f t="shared" si="491"/>
        <v>0.20618556701030927</v>
      </c>
      <c r="O195" s="25">
        <f t="shared" si="491"/>
        <v>0.2</v>
      </c>
      <c r="P195" s="25">
        <f t="shared" si="491"/>
        <v>3.4482758620689658E-4</v>
      </c>
      <c r="Q195" s="25">
        <f t="shared" ref="Q195" si="492">Q10/Q7</f>
        <v>3.4482758620689658E-4</v>
      </c>
      <c r="R195" s="118">
        <f t="shared" ref="R195:R197" si="493">((P195/G195)^(1/($H$2-$H$1) ))-1</f>
        <v>-0.6032822868211154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17</v>
      </c>
      <c r="H196" s="112" t="e">
        <f t="shared" ref="H196:P196" si="494">H10/H12</f>
        <v>#DIV/0!</v>
      </c>
      <c r="I196" s="112">
        <f t="shared" si="494"/>
        <v>17</v>
      </c>
      <c r="J196" s="112">
        <f t="shared" si="494"/>
        <v>26.666666666666664</v>
      </c>
      <c r="K196" s="112">
        <f t="shared" si="494"/>
        <v>16.47058823529412</v>
      </c>
      <c r="L196" s="112">
        <f t="shared" si="494"/>
        <v>26.666666666666664</v>
      </c>
      <c r="M196" s="112">
        <f t="shared" si="494"/>
        <v>5.75</v>
      </c>
      <c r="N196" s="112">
        <f t="shared" si="494"/>
        <v>4</v>
      </c>
      <c r="O196" s="112">
        <f t="shared" si="494"/>
        <v>3.2857142857142856</v>
      </c>
      <c r="P196" s="112">
        <f t="shared" si="494"/>
        <v>0.01</v>
      </c>
      <c r="Q196" s="112">
        <f t="shared" ref="Q196" si="495">Q10/Q12</f>
        <v>0.01</v>
      </c>
      <c r="R196" s="118">
        <f t="shared" si="493"/>
        <v>-0.5624162044740737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17</v>
      </c>
      <c r="H197" s="25" t="e">
        <f t="shared" ref="H197:P197" si="496">H10/(H12+H13)</f>
        <v>#DIV/0!</v>
      </c>
      <c r="I197" s="25">
        <f t="shared" si="496"/>
        <v>17</v>
      </c>
      <c r="J197" s="25">
        <f t="shared" si="496"/>
        <v>26.666666666666664</v>
      </c>
      <c r="K197" s="25">
        <f t="shared" si="496"/>
        <v>1.4973262032085561</v>
      </c>
      <c r="L197" s="25">
        <f t="shared" si="496"/>
        <v>26.666666666666664</v>
      </c>
      <c r="M197" s="25">
        <f t="shared" si="496"/>
        <v>2.2999999999999998</v>
      </c>
      <c r="N197" s="25">
        <f t="shared" si="496"/>
        <v>0.66666666666666663</v>
      </c>
      <c r="O197" s="25">
        <f t="shared" si="496"/>
        <v>1.0454545454545454</v>
      </c>
      <c r="P197" s="25">
        <f t="shared" si="496"/>
        <v>6.8493150684931507E-4</v>
      </c>
      <c r="Q197" s="25">
        <f t="shared" ref="Q197" si="497">Q10/(Q12+Q13)</f>
        <v>6.8493150684931507E-4</v>
      </c>
      <c r="R197" s="118">
        <f t="shared" si="493"/>
        <v>-0.67514564639819863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0" t="s">
        <v>337</v>
      </c>
      <c r="M200" s="201"/>
      <c r="N200" s="202"/>
      <c r="O200" s="23" t="s">
        <v>340</v>
      </c>
      <c r="P200" s="20"/>
      <c r="Q200" s="137"/>
      <c r="R200" s="200" t="s">
        <v>338</v>
      </c>
      <c r="S200" s="201"/>
      <c r="T200" s="202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1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1</v>
      </c>
      <c r="O202" s="173">
        <f>N202</f>
        <v>1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1</v>
      </c>
      <c r="E204" s="176" t="s">
        <v>397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1</v>
      </c>
      <c r="O204" s="173">
        <f>N204</f>
        <v>1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345</v>
      </c>
      <c r="M205" s="167"/>
      <c r="N205" s="21">
        <v>1</v>
      </c>
      <c r="O205" s="21">
        <v>1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1</v>
      </c>
      <c r="E206" s="176"/>
      <c r="F206" s="167"/>
      <c r="G206" s="167"/>
      <c r="H206" s="169" t="s">
        <v>387</v>
      </c>
      <c r="I206" s="167"/>
      <c r="J206" s="167">
        <f>J205</f>
        <v>20</v>
      </c>
      <c r="K206" s="20"/>
      <c r="L206" s="167" t="s">
        <v>346</v>
      </c>
      <c r="M206" s="167"/>
      <c r="N206" s="168">
        <f>N205*N203</f>
        <v>1</v>
      </c>
      <c r="O206" s="168">
        <f>O205*O203</f>
        <v>1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1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1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1</v>
      </c>
      <c r="O209" s="170">
        <f>O206/O204</f>
        <v>1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1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3" t="s">
        <v>27</v>
      </c>
      <c r="E213" s="194"/>
      <c r="F213" s="194"/>
      <c r="G213" s="195"/>
      <c r="H213" s="20"/>
      <c r="I213" s="193" t="s">
        <v>392</v>
      </c>
      <c r="J213" s="194"/>
      <c r="K213" s="195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1</v>
      </c>
      <c r="H214" s="20"/>
      <c r="I214" s="20" t="s">
        <v>28</v>
      </c>
      <c r="J214" s="127"/>
      <c r="K214" s="21">
        <f>G214</f>
        <v>1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1</v>
      </c>
      <c r="H215" s="20"/>
      <c r="I215" s="20" t="s">
        <v>29</v>
      </c>
      <c r="J215" s="20"/>
      <c r="K215" s="21">
        <f>G215</f>
        <v>1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1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</v>
      </c>
      <c r="H217" s="20"/>
      <c r="I217" s="23" t="s">
        <v>393</v>
      </c>
      <c r="J217" s="23"/>
      <c r="K217" s="23">
        <f>(K215-K214)/K214</f>
        <v>0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12</v>
      </c>
      <c r="H218" s="20"/>
      <c r="I218" s="23" t="s">
        <v>394</v>
      </c>
      <c r="J218" s="23"/>
      <c r="K218" s="23">
        <f>K215/K214</f>
        <v>1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1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5" t="s">
        <v>27</v>
      </c>
      <c r="K5" s="205"/>
      <c r="M5" s="205" t="s">
        <v>65</v>
      </c>
      <c r="N5" s="20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5" t="s">
        <v>36</v>
      </c>
      <c r="K14" s="205"/>
      <c r="L14" s="20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5" t="s">
        <v>27</v>
      </c>
      <c r="S5" s="20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5" t="s">
        <v>36</v>
      </c>
      <c r="S14" s="205"/>
      <c r="T14" s="20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5" t="s">
        <v>27</v>
      </c>
      <c r="C2" s="205"/>
      <c r="E2" s="205" t="s">
        <v>65</v>
      </c>
      <c r="F2" s="205"/>
      <c r="H2" s="209" t="s">
        <v>36</v>
      </c>
      <c r="I2" s="21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6" t="s">
        <v>68</v>
      </c>
      <c r="E10" s="207"/>
      <c r="F10" s="207"/>
      <c r="G10" s="207"/>
      <c r="H10" s="208"/>
      <c r="I10" s="206" t="s">
        <v>72</v>
      </c>
      <c r="J10" s="207"/>
      <c r="K10" s="207"/>
      <c r="L10" s="20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1" t="s">
        <v>431</v>
      </c>
      <c r="C3" s="212"/>
      <c r="F3" s="211" t="s">
        <v>432</v>
      </c>
      <c r="G3" s="212"/>
    </row>
    <row r="4" spans="2:7" x14ac:dyDescent="0.2">
      <c r="B4" s="188" t="s">
        <v>433</v>
      </c>
      <c r="C4" s="188"/>
      <c r="F4" s="188" t="s">
        <v>434</v>
      </c>
      <c r="G4" s="188"/>
    </row>
    <row r="5" spans="2:7" x14ac:dyDescent="0.2">
      <c r="B5" s="188" t="s">
        <v>435</v>
      </c>
      <c r="C5" s="188"/>
      <c r="F5" s="188" t="s">
        <v>292</v>
      </c>
      <c r="G5" s="188"/>
    </row>
    <row r="6" spans="2:7" x14ac:dyDescent="0.2">
      <c r="B6" s="188" t="s">
        <v>436</v>
      </c>
      <c r="C6" s="188"/>
      <c r="F6" s="188" t="s">
        <v>437</v>
      </c>
      <c r="G6" s="188"/>
    </row>
    <row r="7" spans="2:7" x14ac:dyDescent="0.2">
      <c r="B7" s="188" t="s">
        <v>438</v>
      </c>
      <c r="C7" s="188"/>
      <c r="F7" s="188" t="s">
        <v>439</v>
      </c>
      <c r="G7" s="188"/>
    </row>
    <row r="8" spans="2:7" x14ac:dyDescent="0.2">
      <c r="B8" s="188" t="s">
        <v>440</v>
      </c>
      <c r="C8" s="188"/>
      <c r="F8" s="188" t="s">
        <v>441</v>
      </c>
      <c r="G8" s="188"/>
    </row>
    <row r="9" spans="2:7" x14ac:dyDescent="0.2">
      <c r="B9" s="188" t="s">
        <v>442</v>
      </c>
      <c r="C9" s="188"/>
      <c r="F9" s="188" t="s">
        <v>443</v>
      </c>
      <c r="G9" s="188"/>
    </row>
    <row r="10" spans="2:7" x14ac:dyDescent="0.2">
      <c r="B10" s="188" t="s">
        <v>441</v>
      </c>
      <c r="C10" s="188"/>
      <c r="F10" s="188"/>
      <c r="G10" s="188"/>
    </row>
    <row r="11" spans="2:7" x14ac:dyDescent="0.2">
      <c r="B11" s="188" t="s">
        <v>444</v>
      </c>
      <c r="C11" s="188"/>
      <c r="F11" s="188"/>
      <c r="G11" s="188"/>
    </row>
    <row r="12" spans="2:7" x14ac:dyDescent="0.2">
      <c r="B12" s="188" t="s">
        <v>445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2014-06-20T09:56:27Z</dcterms:modified>
</cp:coreProperties>
</file>
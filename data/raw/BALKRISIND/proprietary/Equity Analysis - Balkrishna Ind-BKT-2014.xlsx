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Q23" i="18" l="1"/>
  <c r="Q22" i="18"/>
  <c r="N22" i="18"/>
  <c r="Q21" i="18"/>
  <c r="Q20" i="18"/>
  <c r="Q40" i="18"/>
  <c r="Q38" i="18"/>
  <c r="Q36" i="18"/>
  <c r="Q34" i="18"/>
  <c r="Q33" i="18"/>
  <c r="Q29" i="18"/>
  <c r="Q27" i="18"/>
  <c r="Q25" i="18"/>
  <c r="Q18" i="18"/>
  <c r="Q16" i="18"/>
  <c r="Q15" i="18"/>
  <c r="Q14" i="18"/>
  <c r="Q13" i="18"/>
  <c r="Q12" i="18"/>
  <c r="Q10" i="18"/>
  <c r="Q9" i="18"/>
  <c r="Q7" i="18"/>
  <c r="Q6" i="18"/>
  <c r="Q44" i="18"/>
  <c r="F115" i="18" l="1"/>
  <c r="F180" i="18" l="1"/>
  <c r="E180" i="18"/>
  <c r="D180" i="18"/>
  <c r="C180" i="18"/>
  <c r="Q197" i="18" l="1"/>
  <c r="Q196" i="18"/>
  <c r="Q195" i="18"/>
  <c r="Q179" i="18"/>
  <c r="Q50" i="18"/>
  <c r="Q172" i="18" s="1"/>
  <c r="Q51" i="18"/>
  <c r="Q52" i="18"/>
  <c r="Q91" i="18" s="1"/>
  <c r="Q54" i="18"/>
  <c r="P192" i="18" s="1"/>
  <c r="Q55" i="18"/>
  <c r="Q56" i="18"/>
  <c r="Q57" i="18"/>
  <c r="Q174" i="18" s="1"/>
  <c r="Q58" i="18"/>
  <c r="Q60" i="18"/>
  <c r="Q61" i="18"/>
  <c r="Q62" i="18"/>
  <c r="Q177" i="18" s="1"/>
  <c r="Q64" i="18"/>
  <c r="Q65" i="18"/>
  <c r="Q67" i="18"/>
  <c r="Q68" i="18"/>
  <c r="Q176" i="18" s="1"/>
  <c r="Q70" i="18"/>
  <c r="Q72" i="18"/>
  <c r="Q74" i="18" s="1"/>
  <c r="Q75" i="18"/>
  <c r="Q76" i="18"/>
  <c r="Q77" i="18"/>
  <c r="Q78" i="18"/>
  <c r="Q80" i="18"/>
  <c r="Q81" i="18"/>
  <c r="Q82" i="18"/>
  <c r="Q86" i="18"/>
  <c r="Q87" i="18"/>
  <c r="Q88" i="18"/>
  <c r="Q89" i="18"/>
  <c r="Q90" i="18"/>
  <c r="Q93" i="18"/>
  <c r="Q99" i="18" s="1"/>
  <c r="Q94" i="18"/>
  <c r="Q95" i="18"/>
  <c r="Q101" i="18" s="1"/>
  <c r="Q96" i="18"/>
  <c r="Q102" i="18" s="1"/>
  <c r="Q97" i="18"/>
  <c r="Q103" i="18" s="1"/>
  <c r="Q100" i="18"/>
  <c r="Q106" i="18"/>
  <c r="Q107" i="18"/>
  <c r="Q108" i="18"/>
  <c r="Q109" i="18"/>
  <c r="Q111" i="18"/>
  <c r="Q112" i="18" s="1"/>
  <c r="Q117" i="18"/>
  <c r="Q118" i="18"/>
  <c r="Q120" i="18"/>
  <c r="Q121" i="18"/>
  <c r="Q122" i="18"/>
  <c r="Q125" i="18"/>
  <c r="Q126" i="18"/>
  <c r="Q127" i="18"/>
  <c r="Q128" i="18"/>
  <c r="Q130" i="18"/>
  <c r="Q131" i="18"/>
  <c r="Q133" i="18"/>
  <c r="Q134" i="18" s="1"/>
  <c r="Q135" i="18"/>
  <c r="Q137" i="18"/>
  <c r="Q138" i="18"/>
  <c r="T7" i="18"/>
  <c r="T17" i="18"/>
  <c r="T19" i="18"/>
  <c r="T24" i="18"/>
  <c r="T35" i="18"/>
  <c r="T42" i="18"/>
  <c r="T44" i="18"/>
  <c r="T6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192" i="18" l="1"/>
  <c r="Q178" i="18"/>
  <c r="Q173" i="18"/>
  <c r="T192" i="18"/>
  <c r="T193" i="18" s="1"/>
  <c r="Q66" i="18"/>
  <c r="Q175" i="18" s="1"/>
  <c r="Q113" i="18"/>
  <c r="Q114" i="18" s="1"/>
  <c r="Q115" i="18"/>
  <c r="G91" i="18"/>
  <c r="AE52" i="18"/>
  <c r="H52" i="18"/>
  <c r="H91" i="18" s="1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O91" i="18" s="1"/>
  <c r="P52" i="18"/>
  <c r="G52" i="18"/>
  <c r="P43" i="18"/>
  <c r="O43" i="18"/>
  <c r="N43" i="18"/>
  <c r="M43" i="18"/>
  <c r="L43" i="18"/>
  <c r="K43" i="18"/>
  <c r="J43" i="18"/>
  <c r="I43" i="18"/>
  <c r="H43" i="18"/>
  <c r="G43" i="18"/>
  <c r="R52" i="18" l="1"/>
  <c r="H192" i="18"/>
  <c r="Q180" i="18"/>
  <c r="Q181" i="18" s="1"/>
  <c r="P91" i="18"/>
  <c r="R91" i="18" s="1"/>
  <c r="S44" i="18"/>
  <c r="K188" i="18" l="1"/>
  <c r="K187" i="18"/>
  <c r="K186" i="18"/>
  <c r="K185" i="18"/>
  <c r="AE38" i="18" l="1"/>
  <c r="S38" i="18"/>
  <c r="P39" i="18"/>
  <c r="O39" i="18"/>
  <c r="N39" i="18"/>
  <c r="M39" i="18"/>
  <c r="L39" i="18"/>
  <c r="K39" i="18"/>
  <c r="J39" i="18"/>
  <c r="I39" i="18"/>
  <c r="H39" i="18"/>
  <c r="G39" i="18"/>
  <c r="T38" i="18" l="1"/>
  <c r="U38" i="18" l="1"/>
  <c r="V38" i="18" s="1"/>
  <c r="W38" i="18" s="1"/>
  <c r="K191" i="18"/>
  <c r="X38" i="18" l="1"/>
  <c r="U206" i="18"/>
  <c r="U207" i="18" s="1"/>
  <c r="D204" i="18"/>
  <c r="G214" i="18" s="1"/>
  <c r="H204" i="18"/>
  <c r="L26" i="18"/>
  <c r="L106" i="18"/>
  <c r="J106" i="18"/>
  <c r="H106" i="18"/>
  <c r="F106" i="18"/>
  <c r="G106" i="18"/>
  <c r="I106" i="18"/>
  <c r="K106" i="18"/>
  <c r="M106" i="18"/>
  <c r="N106" i="18"/>
  <c r="O106" i="18"/>
  <c r="P106" i="18"/>
  <c r="H138" i="18"/>
  <c r="I138" i="18"/>
  <c r="J138" i="18"/>
  <c r="K138" i="18"/>
  <c r="L138" i="18"/>
  <c r="M138" i="18"/>
  <c r="N138" i="18"/>
  <c r="O138" i="18"/>
  <c r="P138" i="18"/>
  <c r="H137" i="18"/>
  <c r="I137" i="18"/>
  <c r="J137" i="18"/>
  <c r="K137" i="18"/>
  <c r="L137" i="18"/>
  <c r="M137" i="18"/>
  <c r="N137" i="18"/>
  <c r="O137" i="18"/>
  <c r="P137" i="18"/>
  <c r="G218" i="18"/>
  <c r="G219" i="18" s="1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9" i="18"/>
  <c r="D208" i="18"/>
  <c r="G215" i="18" s="1"/>
  <c r="K215" i="18" s="1"/>
  <c r="H207" i="18"/>
  <c r="I207" i="18" s="1"/>
  <c r="J207" i="18" s="1"/>
  <c r="J208" i="18" s="1"/>
  <c r="H205" i="18"/>
  <c r="H203" i="18"/>
  <c r="H202" i="18"/>
  <c r="I202" i="18" s="1"/>
  <c r="J202" i="18" s="1"/>
  <c r="G217" i="18" l="1"/>
  <c r="G220" i="18"/>
  <c r="K214" i="18"/>
  <c r="Y38" i="18"/>
  <c r="D210" i="18"/>
  <c r="K218" i="18"/>
  <c r="R55" i="18"/>
  <c r="K217" i="18"/>
  <c r="I203" i="18"/>
  <c r="J203" i="18" s="1"/>
  <c r="I209" i="18"/>
  <c r="J209" i="18" s="1"/>
  <c r="J210" i="18" s="1"/>
  <c r="H90" i="18"/>
  <c r="I90" i="18"/>
  <c r="J90" i="18"/>
  <c r="K90" i="18"/>
  <c r="L90" i="18"/>
  <c r="M90" i="18"/>
  <c r="N90" i="18"/>
  <c r="O90" i="18"/>
  <c r="P90" i="18"/>
  <c r="G90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8" i="18"/>
  <c r="G137" i="18"/>
  <c r="AE14" i="18"/>
  <c r="S14" i="18"/>
  <c r="U203" i="18"/>
  <c r="U202" i="18"/>
  <c r="O203" i="18"/>
  <c r="O206" i="18" s="1"/>
  <c r="O202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3" i="18"/>
  <c r="H134" i="18" s="1"/>
  <c r="I133" i="18"/>
  <c r="I134" i="18" s="1"/>
  <c r="J133" i="18"/>
  <c r="J134" i="18" s="1"/>
  <c r="K133" i="18"/>
  <c r="K134" i="18" s="1"/>
  <c r="L133" i="18"/>
  <c r="L134" i="18" s="1"/>
  <c r="M133" i="18"/>
  <c r="M134" i="18" s="1"/>
  <c r="N133" i="18"/>
  <c r="N134" i="18" s="1"/>
  <c r="O133" i="18"/>
  <c r="O134" i="18" s="1"/>
  <c r="P133" i="18"/>
  <c r="P134" i="18" s="1"/>
  <c r="G133" i="18"/>
  <c r="G134" i="18" s="1"/>
  <c r="R103" i="18" l="1"/>
  <c r="R100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4" i="18"/>
  <c r="J204" i="18" s="1"/>
  <c r="I205" i="18" s="1"/>
  <c r="J205" i="18" s="1"/>
  <c r="J206" i="18" s="1"/>
  <c r="R137" i="18"/>
  <c r="R138" i="18"/>
  <c r="R90" i="18"/>
  <c r="R97" i="18"/>
  <c r="R94" i="18"/>
  <c r="R134" i="18"/>
  <c r="R133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8" i="18"/>
  <c r="I128" i="18"/>
  <c r="J128" i="18"/>
  <c r="K128" i="18"/>
  <c r="L128" i="18"/>
  <c r="M128" i="18"/>
  <c r="N128" i="18"/>
  <c r="O128" i="18"/>
  <c r="P128" i="18"/>
  <c r="G128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S171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B122" i="18"/>
  <c r="B121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7" i="18"/>
  <c r="N206" i="18"/>
  <c r="T204" i="18"/>
  <c r="U204" i="18" s="1"/>
  <c r="U209" i="18" s="1"/>
  <c r="N204" i="18"/>
  <c r="O204" i="18" s="1"/>
  <c r="O209" i="18" s="1"/>
  <c r="F118" i="18"/>
  <c r="H118" i="18"/>
  <c r="I118" i="18"/>
  <c r="J118" i="18"/>
  <c r="K118" i="18"/>
  <c r="L118" i="18"/>
  <c r="M118" i="18"/>
  <c r="N118" i="18"/>
  <c r="O118" i="18"/>
  <c r="P118" i="18"/>
  <c r="G118" i="18"/>
  <c r="F117" i="18"/>
  <c r="H117" i="18"/>
  <c r="I117" i="18"/>
  <c r="J117" i="18"/>
  <c r="K117" i="18"/>
  <c r="L117" i="18"/>
  <c r="M117" i="18"/>
  <c r="N117" i="18"/>
  <c r="O117" i="18"/>
  <c r="P117" i="18"/>
  <c r="G117" i="18"/>
  <c r="AD14" i="18" l="1"/>
  <c r="AF14" i="18"/>
  <c r="U32" i="18"/>
  <c r="V32" i="18" s="1"/>
  <c r="W32" i="18" s="1"/>
  <c r="X32" i="18" s="1"/>
  <c r="Y32" i="18" s="1"/>
  <c r="Z32" i="18" s="1"/>
  <c r="AA32" i="18" s="1"/>
  <c r="AB32" i="18" s="1"/>
  <c r="AC32" i="18" s="1"/>
  <c r="AD32" i="18" s="1"/>
  <c r="T32" i="18"/>
  <c r="AA38" i="18"/>
  <c r="R128" i="18"/>
  <c r="R89" i="18"/>
  <c r="R125" i="18"/>
  <c r="R131" i="18"/>
  <c r="R130" i="18"/>
  <c r="R126" i="18"/>
  <c r="R127" i="18"/>
  <c r="R120" i="18"/>
  <c r="R121" i="18"/>
  <c r="R122" i="18"/>
  <c r="R109" i="18"/>
  <c r="N209" i="18"/>
  <c r="T209" i="18"/>
  <c r="R118" i="18"/>
  <c r="R117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S6" i="18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U31" i="18"/>
  <c r="V31" i="18" s="1"/>
  <c r="W31" i="18" s="1"/>
  <c r="X31" i="18" s="1"/>
  <c r="Y31" i="18" s="1"/>
  <c r="Z31" i="18" s="1"/>
  <c r="AA31" i="18" s="1"/>
  <c r="AB31" i="18" s="1"/>
  <c r="AC31" i="18" s="1"/>
  <c r="T31" i="18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L30" i="18"/>
  <c r="K30" i="18"/>
  <c r="J30" i="18"/>
  <c r="I30" i="18"/>
  <c r="H30" i="18"/>
  <c r="G30" i="18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9" i="18"/>
  <c r="D179" i="18"/>
  <c r="E179" i="18"/>
  <c r="F179" i="18"/>
  <c r="G179" i="18"/>
  <c r="H179" i="18"/>
  <c r="I179" i="18"/>
  <c r="J179" i="18"/>
  <c r="K179" i="18"/>
  <c r="L179" i="18"/>
  <c r="M179" i="18"/>
  <c r="N179" i="18"/>
  <c r="O179" i="18"/>
  <c r="P179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G115" i="18" s="1"/>
  <c r="H70" i="18"/>
  <c r="H111" i="18" s="1"/>
  <c r="H112" i="18" s="1"/>
  <c r="H115" i="18" s="1"/>
  <c r="I70" i="18"/>
  <c r="I111" i="18" s="1"/>
  <c r="I112" i="18" s="1"/>
  <c r="I115" i="18" s="1"/>
  <c r="J70" i="18"/>
  <c r="J111" i="18" s="1"/>
  <c r="J112" i="18" s="1"/>
  <c r="J115" i="18" s="1"/>
  <c r="K70" i="18"/>
  <c r="K111" i="18" s="1"/>
  <c r="K112" i="18" s="1"/>
  <c r="K115" i="18" s="1"/>
  <c r="L70" i="18"/>
  <c r="L111" i="18" s="1"/>
  <c r="L112" i="18" s="1"/>
  <c r="L115" i="18" s="1"/>
  <c r="M70" i="18"/>
  <c r="M111" i="18" s="1"/>
  <c r="M112" i="18" s="1"/>
  <c r="M115" i="18" s="1"/>
  <c r="N70" i="18"/>
  <c r="N111" i="18" s="1"/>
  <c r="N112" i="18" s="1"/>
  <c r="N115" i="18" s="1"/>
  <c r="O70" i="18"/>
  <c r="O111" i="18" s="1"/>
  <c r="O112" i="18" s="1"/>
  <c r="O115" i="18" s="1"/>
  <c r="P70" i="18"/>
  <c r="P111" i="18" s="1"/>
  <c r="C70" i="18"/>
  <c r="T70" i="18" l="1"/>
  <c r="T111" i="18" s="1"/>
  <c r="T112" i="18" s="1"/>
  <c r="T115" i="18" s="1"/>
  <c r="X29" i="18"/>
  <c r="R179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P115" i="18" s="1"/>
  <c r="R115" i="18" s="1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5" i="18" s="1"/>
  <c r="H80" i="18"/>
  <c r="H135" i="18" s="1"/>
  <c r="I80" i="18"/>
  <c r="I135" i="18" s="1"/>
  <c r="J80" i="18"/>
  <c r="J135" i="18" s="1"/>
  <c r="K80" i="18"/>
  <c r="K135" i="18" s="1"/>
  <c r="L80" i="18"/>
  <c r="L135" i="18" s="1"/>
  <c r="M80" i="18"/>
  <c r="M135" i="18" s="1"/>
  <c r="N80" i="18"/>
  <c r="N135" i="18" s="1"/>
  <c r="O80" i="18"/>
  <c r="O135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5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G41" i="18"/>
  <c r="G28" i="18"/>
  <c r="G11" i="18"/>
  <c r="G8" i="18"/>
  <c r="G26" i="18"/>
  <c r="W44" i="18" l="1"/>
  <c r="V70" i="18"/>
  <c r="R135" i="18"/>
  <c r="Z29" i="18"/>
  <c r="R82" i="18"/>
  <c r="R80" i="18"/>
  <c r="R81" i="18"/>
  <c r="R87" i="18"/>
  <c r="R88" i="18"/>
  <c r="P86" i="18"/>
  <c r="R86" i="18" s="1"/>
  <c r="C195" i="18"/>
  <c r="D195" i="18"/>
  <c r="E195" i="18"/>
  <c r="F195" i="18"/>
  <c r="C196" i="18"/>
  <c r="D196" i="18"/>
  <c r="E196" i="18"/>
  <c r="F196" i="18"/>
  <c r="C197" i="18"/>
  <c r="D197" i="18"/>
  <c r="E197" i="18"/>
  <c r="F197" i="18"/>
  <c r="H197" i="18"/>
  <c r="I197" i="18"/>
  <c r="J197" i="18"/>
  <c r="K197" i="18"/>
  <c r="L197" i="18"/>
  <c r="M197" i="18"/>
  <c r="N197" i="18"/>
  <c r="O197" i="18"/>
  <c r="P197" i="18"/>
  <c r="G197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2" i="18" s="1"/>
  <c r="I50" i="18"/>
  <c r="I172" i="18" s="1"/>
  <c r="J50" i="18"/>
  <c r="J172" i="18" s="1"/>
  <c r="K50" i="18"/>
  <c r="K172" i="18" s="1"/>
  <c r="L50" i="18"/>
  <c r="L172" i="18" s="1"/>
  <c r="M50" i="18"/>
  <c r="M172" i="18" s="1"/>
  <c r="N50" i="18"/>
  <c r="N172" i="18" s="1"/>
  <c r="O50" i="18"/>
  <c r="O172" i="18" s="1"/>
  <c r="P50" i="18"/>
  <c r="P172" i="18" s="1"/>
  <c r="C50" i="18"/>
  <c r="C172" i="18" s="1"/>
  <c r="D50" i="18"/>
  <c r="D172" i="18" s="1"/>
  <c r="E50" i="18"/>
  <c r="E172" i="18" s="1"/>
  <c r="F50" i="18"/>
  <c r="F172" i="18" s="1"/>
  <c r="G50" i="18"/>
  <c r="G172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T94" i="18"/>
  <c r="T100" i="18" s="1"/>
  <c r="G178" i="18" l="1"/>
  <c r="X44" i="18"/>
  <c r="W70" i="18"/>
  <c r="R172" i="18"/>
  <c r="AA29" i="18"/>
  <c r="U36" i="18"/>
  <c r="U94" i="18" s="1"/>
  <c r="U100" i="18" s="1"/>
  <c r="R197" i="18"/>
  <c r="R51" i="18"/>
  <c r="R50" i="18"/>
  <c r="R196" i="18"/>
  <c r="R195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1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6" i="18" s="1"/>
  <c r="O67" i="18"/>
  <c r="O65" i="18"/>
  <c r="O64" i="18"/>
  <c r="O62" i="18"/>
  <c r="O177" i="18" s="1"/>
  <c r="O61" i="18"/>
  <c r="O60" i="18"/>
  <c r="O58" i="18"/>
  <c r="O57" i="18"/>
  <c r="O174" i="18" s="1"/>
  <c r="O56" i="18"/>
  <c r="O54" i="18"/>
  <c r="AA70" i="18" l="1"/>
  <c r="AB44" i="18"/>
  <c r="U72" i="18"/>
  <c r="T127" i="18"/>
  <c r="T137" i="18"/>
  <c r="T128" i="18"/>
  <c r="T138" i="18"/>
  <c r="W23" i="18"/>
  <c r="V97" i="18"/>
  <c r="V103" i="18" s="1"/>
  <c r="T121" i="18"/>
  <c r="T122" i="18"/>
  <c r="T120" i="18"/>
  <c r="T109" i="18"/>
  <c r="P114" i="18"/>
  <c r="R114" i="18" s="1"/>
  <c r="R113" i="18"/>
  <c r="T93" i="18"/>
  <c r="T99" i="18" s="1"/>
  <c r="T118" i="18"/>
  <c r="T117" i="18"/>
  <c r="U18" i="18"/>
  <c r="O173" i="18"/>
  <c r="O180" i="18" s="1"/>
  <c r="O181" i="18" s="1"/>
  <c r="O178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5" i="18" s="1"/>
  <c r="D62" i="18"/>
  <c r="E62" i="18"/>
  <c r="F62" i="18"/>
  <c r="G62" i="18"/>
  <c r="G177" i="18" s="1"/>
  <c r="H62" i="18"/>
  <c r="H177" i="18" s="1"/>
  <c r="I62" i="18"/>
  <c r="I177" i="18" s="1"/>
  <c r="J62" i="18"/>
  <c r="J177" i="18" s="1"/>
  <c r="K62" i="18"/>
  <c r="K177" i="18" s="1"/>
  <c r="L62" i="18"/>
  <c r="L177" i="18" s="1"/>
  <c r="M62" i="18"/>
  <c r="M177" i="18" s="1"/>
  <c r="N62" i="18"/>
  <c r="N177" i="18" s="1"/>
  <c r="P62" i="18"/>
  <c r="C62" i="18"/>
  <c r="C61" i="18"/>
  <c r="AC44" i="18" l="1"/>
  <c r="AB70" i="18"/>
  <c r="U128" i="18"/>
  <c r="U138" i="18"/>
  <c r="U127" i="18"/>
  <c r="U137" i="18"/>
  <c r="X23" i="18"/>
  <c r="W97" i="18"/>
  <c r="W103" i="18" s="1"/>
  <c r="U120" i="18"/>
  <c r="U122" i="18"/>
  <c r="U121" i="18"/>
  <c r="U109" i="18"/>
  <c r="U93" i="18"/>
  <c r="U99" i="18" s="1"/>
  <c r="U118" i="18"/>
  <c r="U117" i="18"/>
  <c r="V18" i="18"/>
  <c r="W20" i="18"/>
  <c r="V72" i="18"/>
  <c r="V27" i="18"/>
  <c r="V25" i="18"/>
  <c r="U86" i="18"/>
  <c r="Z36" i="18"/>
  <c r="Z94" i="18" s="1"/>
  <c r="Z100" i="18" s="1"/>
  <c r="X21" i="18"/>
  <c r="P177" i="18"/>
  <c r="R177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7" i="18"/>
  <c r="V137" i="18"/>
  <c r="V128" i="18"/>
  <c r="V138" i="18"/>
  <c r="V90" i="18"/>
  <c r="Y23" i="18"/>
  <c r="X97" i="18"/>
  <c r="X103" i="18" s="1"/>
  <c r="V122" i="18"/>
  <c r="V121" i="18"/>
  <c r="V120" i="18"/>
  <c r="V109" i="18"/>
  <c r="V93" i="18"/>
  <c r="V99" i="18" s="1"/>
  <c r="V118" i="18"/>
  <c r="V117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9" i="18" l="1"/>
  <c r="Q184" i="18" s="1"/>
  <c r="AF70" i="18"/>
  <c r="U159" i="18" s="1"/>
  <c r="AD70" i="18"/>
  <c r="W128" i="18"/>
  <c r="W138" i="18"/>
  <c r="W127" i="18"/>
  <c r="W137" i="18"/>
  <c r="Z23" i="18"/>
  <c r="Y97" i="18"/>
  <c r="Y103" i="18" s="1"/>
  <c r="W109" i="18"/>
  <c r="W122" i="18"/>
  <c r="W121" i="18"/>
  <c r="W120" i="18"/>
  <c r="W93" i="18"/>
  <c r="W99" i="18" s="1"/>
  <c r="W118" i="18"/>
  <c r="W117" i="18"/>
  <c r="X18" i="18"/>
  <c r="Y20" i="18"/>
  <c r="X72" i="18"/>
  <c r="X27" i="18"/>
  <c r="X25" i="18"/>
  <c r="W86" i="18"/>
  <c r="AB36" i="18"/>
  <c r="AB94" i="18" s="1"/>
  <c r="AB100" i="18" s="1"/>
  <c r="Z21" i="18"/>
  <c r="T171" i="18"/>
  <c r="T179" i="18" s="1"/>
  <c r="C54" i="18"/>
  <c r="D54" i="18"/>
  <c r="E54" i="18"/>
  <c r="F54" i="18"/>
  <c r="H54" i="18"/>
  <c r="R141" i="18" s="1"/>
  <c r="I54" i="18"/>
  <c r="J54" i="18"/>
  <c r="K54" i="18"/>
  <c r="L54" i="18"/>
  <c r="L178" i="18" s="1"/>
  <c r="M54" i="18"/>
  <c r="N54" i="18"/>
  <c r="N178" i="18" s="1"/>
  <c r="P54" i="18"/>
  <c r="D68" i="18"/>
  <c r="D176" i="18" s="1"/>
  <c r="E68" i="18"/>
  <c r="E176" i="18" s="1"/>
  <c r="F68" i="18"/>
  <c r="F176" i="18" s="1"/>
  <c r="G68" i="18"/>
  <c r="H68" i="18"/>
  <c r="H176" i="18" s="1"/>
  <c r="I68" i="18"/>
  <c r="I176" i="18" s="1"/>
  <c r="J68" i="18"/>
  <c r="J176" i="18" s="1"/>
  <c r="K68" i="18"/>
  <c r="K176" i="18" s="1"/>
  <c r="L68" i="18"/>
  <c r="L176" i="18" s="1"/>
  <c r="M68" i="18"/>
  <c r="M176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5" i="18" s="1"/>
  <c r="E64" i="18"/>
  <c r="E66" i="18" s="1"/>
  <c r="E175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4" i="18" s="1"/>
  <c r="E57" i="18"/>
  <c r="E174" i="18" s="1"/>
  <c r="F57" i="18"/>
  <c r="F174" i="18" s="1"/>
  <c r="G57" i="18"/>
  <c r="H57" i="18"/>
  <c r="H174" i="18" s="1"/>
  <c r="I57" i="18"/>
  <c r="I174" i="18" s="1"/>
  <c r="J57" i="18"/>
  <c r="J174" i="18" s="1"/>
  <c r="K57" i="18"/>
  <c r="K174" i="18" s="1"/>
  <c r="L57" i="18"/>
  <c r="L174" i="18" s="1"/>
  <c r="M57" i="18"/>
  <c r="M174" i="18" s="1"/>
  <c r="N57" i="18"/>
  <c r="P57" i="18"/>
  <c r="C68" i="18"/>
  <c r="C176" i="18" s="1"/>
  <c r="C67" i="18"/>
  <c r="C65" i="18"/>
  <c r="C64" i="18"/>
  <c r="C58" i="18"/>
  <c r="C57" i="18"/>
  <c r="C174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5" i="18"/>
  <c r="T133" i="18"/>
  <c r="T134" i="18" s="1"/>
  <c r="T95" i="18"/>
  <c r="T101" i="18" s="1"/>
  <c r="Q191" i="18" l="1"/>
  <c r="P191" i="18"/>
  <c r="T191" i="18"/>
  <c r="T190" i="18" s="1"/>
  <c r="T106" i="18"/>
  <c r="S159" i="18"/>
  <c r="P184" i="18" s="1"/>
  <c r="X127" i="18"/>
  <c r="X137" i="18"/>
  <c r="X90" i="18"/>
  <c r="X128" i="18"/>
  <c r="X138" i="18"/>
  <c r="AA23" i="18"/>
  <c r="Z97" i="18"/>
  <c r="Z103" i="18" s="1"/>
  <c r="T88" i="18"/>
  <c r="T89" i="18"/>
  <c r="T131" i="18"/>
  <c r="T130" i="18"/>
  <c r="T96" i="18"/>
  <c r="T102" i="18" s="1"/>
  <c r="T126" i="18"/>
  <c r="H178" i="18"/>
  <c r="H173" i="18"/>
  <c r="H180" i="18" s="1"/>
  <c r="H181" i="18" s="1"/>
  <c r="X109" i="18"/>
  <c r="X121" i="18"/>
  <c r="X120" i="18"/>
  <c r="X122" i="18"/>
  <c r="T108" i="18"/>
  <c r="T113" i="18"/>
  <c r="T114" i="18" s="1"/>
  <c r="X93" i="18"/>
  <c r="X99" i="18" s="1"/>
  <c r="X118" i="18"/>
  <c r="X117" i="18"/>
  <c r="T107" i="18"/>
  <c r="Y18" i="18"/>
  <c r="D173" i="18"/>
  <c r="D177" i="18" s="1"/>
  <c r="D178" i="18"/>
  <c r="E173" i="18"/>
  <c r="E177" i="18" s="1"/>
  <c r="E178" i="18"/>
  <c r="C173" i="18"/>
  <c r="C177" i="18" s="1"/>
  <c r="C178" i="18"/>
  <c r="P173" i="18"/>
  <c r="P180" i="18" s="1"/>
  <c r="P178" i="18"/>
  <c r="R178" i="18" s="1"/>
  <c r="K173" i="18"/>
  <c r="K180" i="18" s="1"/>
  <c r="K181" i="18" s="1"/>
  <c r="K178" i="18"/>
  <c r="F173" i="18"/>
  <c r="F177" i="18" s="1"/>
  <c r="F178" i="18"/>
  <c r="J173" i="18"/>
  <c r="J180" i="18" s="1"/>
  <c r="J181" i="18" s="1"/>
  <c r="J178" i="18"/>
  <c r="M173" i="18"/>
  <c r="M180" i="18" s="1"/>
  <c r="M181" i="18" s="1"/>
  <c r="M178" i="18"/>
  <c r="I173" i="18"/>
  <c r="I180" i="18" s="1"/>
  <c r="I181" i="18" s="1"/>
  <c r="I178" i="18"/>
  <c r="Z20" i="18"/>
  <c r="Y72" i="18"/>
  <c r="H66" i="18"/>
  <c r="H175" i="18" s="1"/>
  <c r="Y27" i="18"/>
  <c r="U12" i="18"/>
  <c r="U15" i="18"/>
  <c r="U125" i="18" s="1"/>
  <c r="U13" i="18"/>
  <c r="U10" i="18"/>
  <c r="U16" i="18"/>
  <c r="U133" i="18" s="1"/>
  <c r="U134" i="18" s="1"/>
  <c r="U6" i="18"/>
  <c r="U7" i="18"/>
  <c r="Y25" i="18"/>
  <c r="Y90" i="18" s="1"/>
  <c r="X86" i="18"/>
  <c r="U40" i="18"/>
  <c r="T87" i="18"/>
  <c r="AC36" i="18"/>
  <c r="F66" i="18"/>
  <c r="F175" i="18" s="1"/>
  <c r="L66" i="18"/>
  <c r="L175" i="18" s="1"/>
  <c r="K66" i="18"/>
  <c r="K175" i="18" s="1"/>
  <c r="J66" i="18"/>
  <c r="J175" i="18" s="1"/>
  <c r="AA21" i="18"/>
  <c r="C66" i="18"/>
  <c r="C175" i="18" s="1"/>
  <c r="U171" i="18"/>
  <c r="U179" i="18" s="1"/>
  <c r="I66" i="18"/>
  <c r="I175" i="18" s="1"/>
  <c r="R56" i="18"/>
  <c r="G174" i="18"/>
  <c r="R57" i="18"/>
  <c r="R58" i="18"/>
  <c r="R65" i="18"/>
  <c r="R67" i="18"/>
  <c r="G173" i="18"/>
  <c r="G180" i="18" s="1"/>
  <c r="G181" i="18" s="1"/>
  <c r="R54" i="18"/>
  <c r="G176" i="18"/>
  <c r="R68" i="18"/>
  <c r="G66" i="18"/>
  <c r="R64" i="18"/>
  <c r="N174" i="18"/>
  <c r="N173" i="18"/>
  <c r="N180" i="18" s="1"/>
  <c r="N181" i="18" s="1"/>
  <c r="N176" i="18"/>
  <c r="P174" i="18"/>
  <c r="L173" i="18"/>
  <c r="L180" i="18" s="1"/>
  <c r="L181" i="18" s="1"/>
  <c r="N66" i="18"/>
  <c r="M66" i="18"/>
  <c r="M175" i="18" s="1"/>
  <c r="P176" i="18"/>
  <c r="P66" i="18"/>
  <c r="T65" i="18"/>
  <c r="C6" i="12"/>
  <c r="C26" i="15"/>
  <c r="C58" i="15"/>
  <c r="C57" i="15"/>
  <c r="C54" i="15"/>
  <c r="C53" i="15"/>
  <c r="C50" i="15"/>
  <c r="C49" i="15"/>
  <c r="C45" i="15"/>
  <c r="P181" i="18" l="1"/>
  <c r="R180" i="18"/>
  <c r="U95" i="18"/>
  <c r="U101" i="18" s="1"/>
  <c r="U52" i="18"/>
  <c r="U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U106" i="18"/>
  <c r="Y127" i="18"/>
  <c r="Y137" i="18"/>
  <c r="Y128" i="18"/>
  <c r="Y138" i="18"/>
  <c r="AF36" i="18"/>
  <c r="AC94" i="18"/>
  <c r="AB23" i="18"/>
  <c r="AA97" i="18"/>
  <c r="AA103" i="18" s="1"/>
  <c r="U131" i="18"/>
  <c r="U130" i="18"/>
  <c r="U96" i="18"/>
  <c r="U102" i="18" s="1"/>
  <c r="U126" i="18"/>
  <c r="U89" i="18"/>
  <c r="Y120" i="18"/>
  <c r="Y121" i="18"/>
  <c r="Y122" i="18"/>
  <c r="Y109" i="18"/>
  <c r="Y93" i="18"/>
  <c r="Y99" i="18" s="1"/>
  <c r="Y118" i="18"/>
  <c r="Y117" i="18"/>
  <c r="U107" i="18"/>
  <c r="U108" i="18"/>
  <c r="Z18" i="18"/>
  <c r="AA20" i="18"/>
  <c r="Z72" i="18"/>
  <c r="T64" i="18"/>
  <c r="T81" i="18"/>
  <c r="T60" i="18"/>
  <c r="T62" i="18"/>
  <c r="T177" i="18" s="1"/>
  <c r="T68" i="18"/>
  <c r="T176" i="18" s="1"/>
  <c r="T78" i="18"/>
  <c r="T80" i="18"/>
  <c r="T135" i="18" s="1"/>
  <c r="T51" i="18"/>
  <c r="T50" i="18"/>
  <c r="T172" i="18" s="1"/>
  <c r="T61" i="18"/>
  <c r="T57" i="18"/>
  <c r="T58" i="18"/>
  <c r="T67" i="18"/>
  <c r="T56" i="18"/>
  <c r="T82" i="18"/>
  <c r="T54" i="18"/>
  <c r="T178" i="18" s="1"/>
  <c r="Z27" i="18"/>
  <c r="V15" i="18"/>
  <c r="V125" i="18" s="1"/>
  <c r="V13" i="18"/>
  <c r="V12" i="18"/>
  <c r="T66" i="18"/>
  <c r="V16" i="18"/>
  <c r="V133" i="18" s="1"/>
  <c r="V134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1" i="18"/>
  <c r="V179" i="18" s="1"/>
  <c r="R174" i="18"/>
  <c r="R173" i="18"/>
  <c r="R176" i="18"/>
  <c r="G175" i="18"/>
  <c r="R66" i="18"/>
  <c r="N175" i="18"/>
  <c r="P175" i="18"/>
  <c r="C16" i="15"/>
  <c r="C21" i="15"/>
  <c r="C10" i="15"/>
  <c r="V95" i="18" l="1"/>
  <c r="V101" i="18" s="1"/>
  <c r="V52" i="18"/>
  <c r="V91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AD94" i="18"/>
  <c r="AC100" i="18"/>
  <c r="AD100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V106" i="18"/>
  <c r="U111" i="18"/>
  <c r="U112" i="18" s="1"/>
  <c r="U55" i="18"/>
  <c r="Z127" i="18"/>
  <c r="Z137" i="18"/>
  <c r="Z128" i="18"/>
  <c r="Z138" i="18"/>
  <c r="AC23" i="18"/>
  <c r="AB97" i="18"/>
  <c r="AB103" i="18" s="1"/>
  <c r="V96" i="18"/>
  <c r="V102" i="18" s="1"/>
  <c r="V126" i="18"/>
  <c r="V131" i="18"/>
  <c r="V130" i="18"/>
  <c r="V89" i="18"/>
  <c r="Z122" i="18"/>
  <c r="Z121" i="18"/>
  <c r="Z120" i="18"/>
  <c r="Z109" i="18"/>
  <c r="U64" i="18"/>
  <c r="Z93" i="18"/>
  <c r="Z99" i="18" s="1"/>
  <c r="Z118" i="18"/>
  <c r="Z117" i="18"/>
  <c r="V107" i="18"/>
  <c r="V108" i="18"/>
  <c r="U60" i="18"/>
  <c r="AA18" i="18"/>
  <c r="AB20" i="18"/>
  <c r="AA72" i="18"/>
  <c r="U62" i="18"/>
  <c r="U177" i="18" s="1"/>
  <c r="U68" i="18"/>
  <c r="U176" i="18" s="1"/>
  <c r="U78" i="18"/>
  <c r="U80" i="18"/>
  <c r="U135" i="18" s="1"/>
  <c r="U50" i="18"/>
  <c r="U172" i="18" s="1"/>
  <c r="U51" i="18"/>
  <c r="U57" i="18"/>
  <c r="U56" i="18"/>
  <c r="U67" i="18"/>
  <c r="U82" i="18"/>
  <c r="U61" i="18"/>
  <c r="U58" i="18"/>
  <c r="U54" i="18"/>
  <c r="U178" i="18" s="1"/>
  <c r="U65" i="18"/>
  <c r="U81" i="18"/>
  <c r="AA27" i="18"/>
  <c r="W13" i="18"/>
  <c r="W12" i="18"/>
  <c r="W15" i="18"/>
  <c r="W125" i="18" s="1"/>
  <c r="W10" i="18"/>
  <c r="W16" i="18"/>
  <c r="W133" i="18" s="1"/>
  <c r="W134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5" i="18"/>
  <c r="W171" i="18"/>
  <c r="W179" i="18" s="1"/>
  <c r="T173" i="18"/>
  <c r="T180" i="18" s="1"/>
  <c r="T174" i="18"/>
  <c r="R175" i="18"/>
  <c r="D31" i="8"/>
  <c r="D29" i="8"/>
  <c r="D28" i="8"/>
  <c r="D13" i="8"/>
  <c r="D30" i="8" s="1"/>
  <c r="E14" i="8"/>
  <c r="F14" i="8" s="1"/>
  <c r="G14" i="8" s="1"/>
  <c r="H14" i="8" s="1"/>
  <c r="I14" i="8" s="1"/>
  <c r="U113" i="18" l="1"/>
  <c r="U114" i="18" s="1"/>
  <c r="U115" i="18"/>
  <c r="W95" i="18"/>
  <c r="W101" i="18" s="1"/>
  <c r="W52" i="18"/>
  <c r="W91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1" i="18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W106" i="18"/>
  <c r="V111" i="18"/>
  <c r="V112" i="18" s="1"/>
  <c r="V55" i="18"/>
  <c r="AA127" i="18"/>
  <c r="AA137" i="18"/>
  <c r="AA128" i="18"/>
  <c r="AA138" i="18"/>
  <c r="AF23" i="18"/>
  <c r="AC97" i="18"/>
  <c r="AD23" i="18"/>
  <c r="W89" i="18"/>
  <c r="W130" i="18"/>
  <c r="W131" i="18"/>
  <c r="W96" i="18"/>
  <c r="W102" i="18" s="1"/>
  <c r="W126" i="18"/>
  <c r="AA122" i="18"/>
  <c r="AA121" i="18"/>
  <c r="AA120" i="18"/>
  <c r="AA109" i="18"/>
  <c r="V64" i="18"/>
  <c r="U66" i="18"/>
  <c r="U175" i="18" s="1"/>
  <c r="AA93" i="18"/>
  <c r="AA99" i="18" s="1"/>
  <c r="AA118" i="18"/>
  <c r="AA117" i="18"/>
  <c r="W108" i="18"/>
  <c r="W107" i="18"/>
  <c r="AB18" i="18"/>
  <c r="AC20" i="18"/>
  <c r="AB72" i="18"/>
  <c r="V82" i="18"/>
  <c r="V81" i="18"/>
  <c r="V60" i="18"/>
  <c r="V68" i="18"/>
  <c r="V176" i="18" s="1"/>
  <c r="V67" i="18"/>
  <c r="V62" i="18"/>
  <c r="V177" i="18" s="1"/>
  <c r="V65" i="18"/>
  <c r="V56" i="18"/>
  <c r="V78" i="18"/>
  <c r="V80" i="18"/>
  <c r="V135" i="18" s="1"/>
  <c r="V51" i="18"/>
  <c r="V50" i="18"/>
  <c r="V172" i="18" s="1"/>
  <c r="V61" i="18"/>
  <c r="V57" i="18"/>
  <c r="V58" i="18"/>
  <c r="V54" i="18"/>
  <c r="V178" i="18" s="1"/>
  <c r="AB27" i="18"/>
  <c r="X12" i="18"/>
  <c r="X15" i="18"/>
  <c r="X125" i="18" s="1"/>
  <c r="X13" i="18"/>
  <c r="X16" i="18"/>
  <c r="X133" i="18" s="1"/>
  <c r="X134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1" i="18"/>
  <c r="X179" i="18" s="1"/>
  <c r="U173" i="18"/>
  <c r="U180" i="18" s="1"/>
  <c r="U17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113" i="18" l="1"/>
  <c r="V114" i="18" s="1"/>
  <c r="V115" i="18"/>
  <c r="X95" i="18"/>
  <c r="X101" i="18" s="1"/>
  <c r="X52" i="18"/>
  <c r="X91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AD97" i="18"/>
  <c r="AC103" i="18"/>
  <c r="AD103" i="18" s="1"/>
  <c r="X106" i="18"/>
  <c r="W111" i="18"/>
  <c r="W112" i="18" s="1"/>
  <c r="W55" i="18"/>
  <c r="AB127" i="18"/>
  <c r="AB137" i="18"/>
  <c r="AB128" i="18"/>
  <c r="AB138" i="18"/>
  <c r="AF20" i="18"/>
  <c r="AB90" i="18"/>
  <c r="X131" i="18"/>
  <c r="X130" i="18"/>
  <c r="X96" i="18"/>
  <c r="X102" i="18" s="1"/>
  <c r="X126" i="18"/>
  <c r="X89" i="18"/>
  <c r="AB121" i="18"/>
  <c r="AB120" i="18"/>
  <c r="AB122" i="18"/>
  <c r="AB109" i="18"/>
  <c r="V66" i="18"/>
  <c r="V175" i="18" s="1"/>
  <c r="AB93" i="18"/>
  <c r="AB99" i="18" s="1"/>
  <c r="AB118" i="18"/>
  <c r="AB117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7" i="18" s="1"/>
  <c r="W78" i="18"/>
  <c r="W80" i="18"/>
  <c r="W135" i="18" s="1"/>
  <c r="W50" i="18"/>
  <c r="W172" i="18" s="1"/>
  <c r="W51" i="18"/>
  <c r="W60" i="18"/>
  <c r="W68" i="18"/>
  <c r="W176" i="18" s="1"/>
  <c r="W54" i="18"/>
  <c r="W178" i="18" s="1"/>
  <c r="AC27" i="18"/>
  <c r="AC138" i="18" s="1"/>
  <c r="AD138" i="18" s="1"/>
  <c r="Y15" i="18"/>
  <c r="Y125" i="18" s="1"/>
  <c r="Y13" i="18"/>
  <c r="Y12" i="18"/>
  <c r="Y10" i="18"/>
  <c r="Y16" i="18"/>
  <c r="Y133" i="18" s="1"/>
  <c r="Y134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1" i="18"/>
  <c r="Y179" i="18" s="1"/>
  <c r="V173" i="18"/>
  <c r="V180" i="18" s="1"/>
  <c r="V17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113" i="18" l="1"/>
  <c r="W114" i="18" s="1"/>
  <c r="W115" i="18"/>
  <c r="Y95" i="18"/>
  <c r="Y101" i="18" s="1"/>
  <c r="Y52" i="18"/>
  <c r="Y91" i="18" s="1"/>
  <c r="Y106" i="18"/>
  <c r="X111" i="18"/>
  <c r="X112" i="18" s="1"/>
  <c r="X55" i="18"/>
  <c r="AC127" i="18"/>
  <c r="AD127" i="18" s="1"/>
  <c r="AC137" i="18"/>
  <c r="AD137" i="18" s="1"/>
  <c r="Y96" i="18"/>
  <c r="Y102" i="18" s="1"/>
  <c r="Y126" i="18"/>
  <c r="Y131" i="18"/>
  <c r="Y130" i="18"/>
  <c r="AF27" i="18"/>
  <c r="AC128" i="18"/>
  <c r="AD128" i="18" s="1"/>
  <c r="Y89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5" i="18" s="1"/>
  <c r="X65" i="18"/>
  <c r="AC93" i="18"/>
  <c r="AC118" i="18"/>
  <c r="AD118" i="18" s="1"/>
  <c r="AC117" i="18"/>
  <c r="AD117" i="18" s="1"/>
  <c r="Y108" i="18"/>
  <c r="Y107" i="18"/>
  <c r="AF25" i="18"/>
  <c r="AF18" i="18"/>
  <c r="AD18" i="18"/>
  <c r="T161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6" i="18" s="1"/>
  <c r="X67" i="18"/>
  <c r="X62" i="18"/>
  <c r="X177" i="18" s="1"/>
  <c r="X64" i="18"/>
  <c r="X61" i="18"/>
  <c r="X81" i="18"/>
  <c r="X60" i="18"/>
  <c r="X82" i="18"/>
  <c r="X78" i="18"/>
  <c r="X80" i="18"/>
  <c r="X135" i="18" s="1"/>
  <c r="X51" i="18"/>
  <c r="X50" i="18"/>
  <c r="X172" i="18" s="1"/>
  <c r="X56" i="18"/>
  <c r="X57" i="18"/>
  <c r="X58" i="18"/>
  <c r="X54" i="18"/>
  <c r="X178" i="18" s="1"/>
  <c r="AD27" i="18"/>
  <c r="Z12" i="18"/>
  <c r="Z15" i="18"/>
  <c r="Z125" i="18" s="1"/>
  <c r="Z13" i="18"/>
  <c r="Z10" i="18"/>
  <c r="Z16" i="18"/>
  <c r="Z133" i="18" s="1"/>
  <c r="Z134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1" i="18"/>
  <c r="Z179" i="18" s="1"/>
  <c r="W173" i="18"/>
  <c r="W180" i="18" s="1"/>
  <c r="W174" i="18"/>
  <c r="P31" i="11"/>
  <c r="N32" i="11"/>
  <c r="T19" i="9"/>
  <c r="D22" i="9"/>
  <c r="X113" i="18" l="1"/>
  <c r="X114" i="18" s="1"/>
  <c r="X115" i="18"/>
  <c r="Z95" i="18"/>
  <c r="Z101" i="18" s="1"/>
  <c r="Z52" i="18"/>
  <c r="Z91" i="18" s="1"/>
  <c r="AD93" i="18"/>
  <c r="AC99" i="18"/>
  <c r="AD99" i="18" s="1"/>
  <c r="Z106" i="18"/>
  <c r="Y111" i="18"/>
  <c r="Y112" i="18" s="1"/>
  <c r="Y55" i="18"/>
  <c r="Z131" i="18"/>
  <c r="Z130" i="18"/>
  <c r="Z96" i="18"/>
  <c r="Z102" i="18" s="1"/>
  <c r="Z126" i="18"/>
  <c r="Z89" i="18"/>
  <c r="X66" i="18"/>
  <c r="X175" i="18" s="1"/>
  <c r="Y58" i="18"/>
  <c r="Z107" i="18"/>
  <c r="Z108" i="18"/>
  <c r="U161" i="18"/>
  <c r="S161" i="18" s="1"/>
  <c r="Y60" i="18"/>
  <c r="Y67" i="18"/>
  <c r="Y54" i="18"/>
  <c r="Y178" i="18" s="1"/>
  <c r="Y62" i="18"/>
  <c r="Y177" i="18" s="1"/>
  <c r="Y57" i="18"/>
  <c r="Y56" i="18"/>
  <c r="Y78" i="18"/>
  <c r="Y80" i="18"/>
  <c r="Y135" i="18" s="1"/>
  <c r="Y51" i="18"/>
  <c r="Y50" i="18"/>
  <c r="Y172" i="18" s="1"/>
  <c r="Y82" i="18"/>
  <c r="Y61" i="18"/>
  <c r="Y68" i="18"/>
  <c r="Y176" i="18" s="1"/>
  <c r="Y65" i="18"/>
  <c r="Y64" i="18"/>
  <c r="Y81" i="18"/>
  <c r="AA13" i="18"/>
  <c r="AA12" i="18"/>
  <c r="AA15" i="18"/>
  <c r="AA125" i="18" s="1"/>
  <c r="AA10" i="18"/>
  <c r="AA16" i="18"/>
  <c r="AA133" i="18" s="1"/>
  <c r="AA134" i="18" s="1"/>
  <c r="AA6" i="18"/>
  <c r="AA7" i="18"/>
  <c r="AA40" i="18"/>
  <c r="Z88" i="18"/>
  <c r="Z87" i="18"/>
  <c r="Z42" i="18"/>
  <c r="Y77" i="18"/>
  <c r="Y75" i="18"/>
  <c r="Y76" i="18"/>
  <c r="Y74" i="18"/>
  <c r="AA171" i="18"/>
  <c r="AA179" i="18" s="1"/>
  <c r="X173" i="18"/>
  <c r="X180" i="18" s="1"/>
  <c r="X174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113" i="18" l="1"/>
  <c r="Y114" i="18" s="1"/>
  <c r="Y115" i="18"/>
  <c r="AA95" i="18"/>
  <c r="AA101" i="18" s="1"/>
  <c r="AA52" i="18"/>
  <c r="AA91" i="18" s="1"/>
  <c r="AA106" i="18"/>
  <c r="Z111" i="18"/>
  <c r="Z112" i="18" s="1"/>
  <c r="Z55" i="18"/>
  <c r="AA96" i="18"/>
  <c r="AA102" i="18" s="1"/>
  <c r="AA126" i="18"/>
  <c r="AA130" i="18"/>
  <c r="AA131" i="18"/>
  <c r="AA89" i="18"/>
  <c r="AA107" i="18"/>
  <c r="AA108" i="18"/>
  <c r="Y66" i="18"/>
  <c r="Y175" i="18" s="1"/>
  <c r="Z78" i="18"/>
  <c r="Z80" i="18"/>
  <c r="Z135" i="18" s="1"/>
  <c r="Z50" i="18"/>
  <c r="Z172" i="18" s="1"/>
  <c r="Z51" i="18"/>
  <c r="Z62" i="18"/>
  <c r="Z177" i="18" s="1"/>
  <c r="Z68" i="18"/>
  <c r="Z176" i="18" s="1"/>
  <c r="Z67" i="18"/>
  <c r="Z65" i="18"/>
  <c r="Z56" i="18"/>
  <c r="Z54" i="18"/>
  <c r="Z178" i="18" s="1"/>
  <c r="Z61" i="18"/>
  <c r="Z57" i="18"/>
  <c r="Z58" i="18"/>
  <c r="Z64" i="18"/>
  <c r="Z81" i="18"/>
  <c r="Z60" i="18"/>
  <c r="Z82" i="18"/>
  <c r="AB12" i="18"/>
  <c r="AB15" i="18"/>
  <c r="AB125" i="18" s="1"/>
  <c r="AB13" i="18"/>
  <c r="AB10" i="18"/>
  <c r="AB16" i="18"/>
  <c r="AB133" i="18" s="1"/>
  <c r="AB134" i="18" s="1"/>
  <c r="AB7" i="18"/>
  <c r="AB6" i="18"/>
  <c r="AB40" i="18"/>
  <c r="AA87" i="18"/>
  <c r="AA88" i="18"/>
  <c r="AA42" i="18"/>
  <c r="Z77" i="18"/>
  <c r="Z75" i="18"/>
  <c r="Z76" i="18"/>
  <c r="Z74" i="18"/>
  <c r="AB171" i="18"/>
  <c r="AB179" i="18" s="1"/>
  <c r="Y173" i="18"/>
  <c r="Y180" i="18" s="1"/>
  <c r="Y174" i="18"/>
  <c r="N34" i="11"/>
  <c r="O33" i="11"/>
  <c r="D25" i="8"/>
  <c r="D23" i="8"/>
  <c r="Z113" i="18" l="1"/>
  <c r="Z114" i="18" s="1"/>
  <c r="Z115" i="18"/>
  <c r="AB95" i="18"/>
  <c r="AB101" i="18" s="1"/>
  <c r="AB52" i="18"/>
  <c r="AB91" i="18" s="1"/>
  <c r="AB106" i="18"/>
  <c r="AA111" i="18"/>
  <c r="AA112" i="18" s="1"/>
  <c r="AA55" i="18"/>
  <c r="AB89" i="18"/>
  <c r="AB130" i="18"/>
  <c r="AB131" i="18"/>
  <c r="AB96" i="18"/>
  <c r="AB102" i="18" s="1"/>
  <c r="AB126" i="18"/>
  <c r="AB107" i="18"/>
  <c r="AB108" i="18"/>
  <c r="Z66" i="18"/>
  <c r="Z175" i="18" s="1"/>
  <c r="AA78" i="18"/>
  <c r="AA80" i="18"/>
  <c r="AA135" i="18" s="1"/>
  <c r="AA51" i="18"/>
  <c r="AA50" i="18"/>
  <c r="AA172" i="18" s="1"/>
  <c r="AA56" i="18"/>
  <c r="AA67" i="18"/>
  <c r="AA57" i="18"/>
  <c r="AA62" i="18"/>
  <c r="AA177" i="18" s="1"/>
  <c r="AA65" i="18"/>
  <c r="AA64" i="18"/>
  <c r="AA82" i="18"/>
  <c r="AA68" i="18"/>
  <c r="AA176" i="18" s="1"/>
  <c r="AA54" i="18"/>
  <c r="AA178" i="18" s="1"/>
  <c r="AA61" i="18"/>
  <c r="AA81" i="18"/>
  <c r="AA60" i="18"/>
  <c r="AA58" i="18"/>
  <c r="AC15" i="18"/>
  <c r="AC13" i="18"/>
  <c r="AF13" i="18" s="1"/>
  <c r="AC12" i="18"/>
  <c r="AC126" i="18" s="1"/>
  <c r="AD126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1" i="18"/>
  <c r="AC179" i="18" s="1"/>
  <c r="Z173" i="18"/>
  <c r="Z180" i="18" s="1"/>
  <c r="Z174" i="18"/>
  <c r="N35" i="11"/>
  <c r="O34" i="11"/>
  <c r="D35" i="8"/>
  <c r="E5" i="8"/>
  <c r="E18" i="8" s="1"/>
  <c r="D18" i="8"/>
  <c r="D19" i="8"/>
  <c r="D21" i="8"/>
  <c r="D20" i="8"/>
  <c r="AA113" i="18" l="1"/>
  <c r="AA114" i="18" s="1"/>
  <c r="AA115" i="18"/>
  <c r="AC95" i="18"/>
  <c r="AC101" i="18" s="1"/>
  <c r="AD101" i="18" s="1"/>
  <c r="AC52" i="18"/>
  <c r="AC106" i="18"/>
  <c r="AD179" i="18"/>
  <c r="AF179" i="18" s="1"/>
  <c r="AB111" i="18"/>
  <c r="AB112" i="18" s="1"/>
  <c r="AB55" i="18"/>
  <c r="AF16" i="18"/>
  <c r="AC133" i="18"/>
  <c r="AC131" i="18"/>
  <c r="AD131" i="18" s="1"/>
  <c r="AC130" i="18"/>
  <c r="AD130" i="18" s="1"/>
  <c r="AF15" i="18"/>
  <c r="AC125" i="18"/>
  <c r="AD125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5" i="18" s="1"/>
  <c r="AB78" i="18"/>
  <c r="AB80" i="18"/>
  <c r="AB135" i="18" s="1"/>
  <c r="AB50" i="18"/>
  <c r="AB172" i="18" s="1"/>
  <c r="AB51" i="18"/>
  <c r="AB60" i="18"/>
  <c r="AB68" i="18"/>
  <c r="AB176" i="18" s="1"/>
  <c r="AB54" i="18"/>
  <c r="AB178" i="18" s="1"/>
  <c r="AB62" i="18"/>
  <c r="AB177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5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1" i="18"/>
  <c r="AF171" i="18" s="1"/>
  <c r="AA173" i="18"/>
  <c r="AA180" i="18" s="1"/>
  <c r="AA174" i="18"/>
  <c r="N36" i="11"/>
  <c r="O35" i="11"/>
  <c r="F5" i="8"/>
  <c r="G5" i="8" s="1"/>
  <c r="H5" i="8" s="1"/>
  <c r="I5" i="8" s="1"/>
  <c r="AD95" i="18" l="1"/>
  <c r="AB113" i="18"/>
  <c r="AB114" i="18" s="1"/>
  <c r="AB115" i="18"/>
  <c r="AC91" i="18"/>
  <c r="AD91" i="18" s="1"/>
  <c r="AD52" i="18"/>
  <c r="AF52" i="18"/>
  <c r="AD96" i="18"/>
  <c r="AC102" i="18"/>
  <c r="AD102" i="18" s="1"/>
  <c r="AC111" i="18"/>
  <c r="AC112" i="18" s="1"/>
  <c r="AC55" i="18"/>
  <c r="AD133" i="18"/>
  <c r="AC134" i="18"/>
  <c r="AD134" i="18" s="1"/>
  <c r="AF42" i="18"/>
  <c r="U155" i="18"/>
  <c r="U156" i="18" s="1"/>
  <c r="AB66" i="18"/>
  <c r="AB175" i="18" s="1"/>
  <c r="AC78" i="18"/>
  <c r="AC80" i="18"/>
  <c r="AC50" i="18"/>
  <c r="AC172" i="18" s="1"/>
  <c r="AD172" i="18" s="1"/>
  <c r="AF172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6" i="18"/>
  <c r="Q187" i="18" s="1"/>
  <c r="AC77" i="18"/>
  <c r="AC75" i="18"/>
  <c r="AD42" i="18"/>
  <c r="AC76" i="18"/>
  <c r="AC74" i="18"/>
  <c r="AB173" i="18"/>
  <c r="AB180" i="18" s="1"/>
  <c r="AB174" i="18"/>
  <c r="N37" i="11"/>
  <c r="O36" i="11"/>
  <c r="F18" i="8"/>
  <c r="G18" i="8"/>
  <c r="AC113" i="18" l="1"/>
  <c r="AC114" i="18" s="1"/>
  <c r="AC115" i="18"/>
  <c r="AF54" i="18"/>
  <c r="AC178" i="18"/>
  <c r="AF55" i="18"/>
  <c r="AD55" i="18"/>
  <c r="AF80" i="18"/>
  <c r="AC135" i="18"/>
  <c r="AD135" i="18" s="1"/>
  <c r="AD111" i="18"/>
  <c r="S155" i="18"/>
  <c r="S156" i="18"/>
  <c r="AD81" i="18"/>
  <c r="AF81" i="18"/>
  <c r="AD51" i="18"/>
  <c r="AF51" i="18"/>
  <c r="T152" i="18"/>
  <c r="AF67" i="18"/>
  <c r="AC176" i="18"/>
  <c r="AD176" i="18" s="1"/>
  <c r="AF176" i="18" s="1"/>
  <c r="AF68" i="18"/>
  <c r="AD50" i="18"/>
  <c r="AF50" i="18"/>
  <c r="AD65" i="18"/>
  <c r="AF65" i="18"/>
  <c r="T146" i="18"/>
  <c r="AF64" i="18"/>
  <c r="T145" i="18"/>
  <c r="AF58" i="18"/>
  <c r="AC177" i="18"/>
  <c r="AD177" i="18" s="1"/>
  <c r="AF177" i="18" s="1"/>
  <c r="AF62" i="18"/>
  <c r="AD61" i="18"/>
  <c r="AF61" i="18"/>
  <c r="T143" i="18"/>
  <c r="Q186" i="18" s="1"/>
  <c r="AF56" i="18"/>
  <c r="T148" i="18"/>
  <c r="AF60" i="18"/>
  <c r="AD82" i="18"/>
  <c r="AF82" i="18"/>
  <c r="T168" i="18"/>
  <c r="Q188" i="18" s="1"/>
  <c r="AF78" i="18"/>
  <c r="T166" i="18"/>
  <c r="AF77" i="18"/>
  <c r="T165" i="18"/>
  <c r="AF76" i="18"/>
  <c r="T163" i="18"/>
  <c r="AF74" i="18"/>
  <c r="T164" i="18"/>
  <c r="AF75" i="18"/>
  <c r="AD67" i="18"/>
  <c r="T149" i="18"/>
  <c r="AD56" i="18"/>
  <c r="AD58" i="18"/>
  <c r="U145" i="18" s="1"/>
  <c r="AD60" i="18"/>
  <c r="T150" i="18"/>
  <c r="Q185" i="18" s="1"/>
  <c r="AD78" i="18"/>
  <c r="AD64" i="18"/>
  <c r="T153" i="18"/>
  <c r="AC66" i="18"/>
  <c r="AD62" i="18"/>
  <c r="AD68" i="18"/>
  <c r="AD80" i="18"/>
  <c r="AD76" i="18"/>
  <c r="AD75" i="18"/>
  <c r="AD74" i="18"/>
  <c r="AD77" i="18"/>
  <c r="T142" i="18"/>
  <c r="Q189" i="18" s="1"/>
  <c r="Q190" i="18" s="1"/>
  <c r="AD54" i="18"/>
  <c r="AC173" i="18"/>
  <c r="AC180" i="18" s="1"/>
  <c r="AD180" i="18" s="1"/>
  <c r="AD57" i="18"/>
  <c r="U144" i="18" s="1"/>
  <c r="AC174" i="18"/>
  <c r="T144" i="18"/>
  <c r="N38" i="11"/>
  <c r="O37" i="11"/>
  <c r="H18" i="8"/>
  <c r="M187" i="18" l="1"/>
  <c r="P187" i="18"/>
  <c r="AD178" i="18"/>
  <c r="AF178" i="18" s="1"/>
  <c r="U142" i="18"/>
  <c r="S142" i="18" s="1"/>
  <c r="AD112" i="18"/>
  <c r="U153" i="18"/>
  <c r="S153" i="18" s="1"/>
  <c r="U143" i="18"/>
  <c r="S143" i="18" s="1"/>
  <c r="U152" i="18"/>
  <c r="S152" i="18" s="1"/>
  <c r="U148" i="18"/>
  <c r="S148" i="18" s="1"/>
  <c r="U150" i="18"/>
  <c r="S150" i="18" s="1"/>
  <c r="P185" i="18" s="1"/>
  <c r="U168" i="18"/>
  <c r="S168" i="18" s="1"/>
  <c r="P188" i="18" s="1"/>
  <c r="U165" i="18"/>
  <c r="S165" i="18" s="1"/>
  <c r="AD66" i="18"/>
  <c r="AF66" i="18"/>
  <c r="U146" i="18"/>
  <c r="S146" i="18" s="1"/>
  <c r="S145" i="18"/>
  <c r="U149" i="18"/>
  <c r="S149" i="18" s="1"/>
  <c r="U163" i="18"/>
  <c r="S163" i="18" s="1"/>
  <c r="AC175" i="18"/>
  <c r="AD175" i="18" s="1"/>
  <c r="AF175" i="18" s="1"/>
  <c r="U166" i="18"/>
  <c r="S166" i="18" s="1"/>
  <c r="U164" i="18"/>
  <c r="S164" i="18" s="1"/>
  <c r="AD174" i="18"/>
  <c r="AF174" i="18" s="1"/>
  <c r="AD173" i="18"/>
  <c r="AF173" i="18" s="1"/>
  <c r="AF180" i="18" s="1"/>
  <c r="S144" i="18"/>
  <c r="N39" i="11"/>
  <c r="O38" i="11"/>
  <c r="I18" i="8"/>
  <c r="M186" i="18" l="1"/>
  <c r="P186" i="18"/>
  <c r="P189" i="18"/>
  <c r="P190" i="18" s="1"/>
  <c r="M188" i="18"/>
  <c r="M185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<sst xmlns="http://schemas.openxmlformats.org/spreadsheetml/2006/main" count="651" uniqueCount="459">
  <si>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</si>
  <si>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</si>
  <si>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</si>
  <si>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</si>
  <si>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</si>
  <si>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</si>
  <si>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</si>
  <si>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</si>
  <si>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</si>
  <si>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</si>
  <si>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</si>
  <si>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</si>
  <si>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</si>
  <si>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</si>
  <si>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</si>
  <si>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</si>
  <si>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</si>
  <si>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</si>
  <si>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</si>
  <si>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</si>
  <si>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</si>
  <si>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</si>
  <si>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</si>
  <si>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</si>
  <si>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</si>
  <si>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</si>
  <si>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</si>
  <si>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</si>
  <si>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</si>
  <si>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</si>
  <si>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</si>
  <si>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</si>
  <si>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</si>
  <si>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</si>
  <si>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</si>
  <si>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</si>
  <si>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</si>
  <si>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</si>
  <si>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</si>
  <si>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</si>
  <si>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</si>
  <si>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</si>
  <si>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</si>
  <si>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</si>
  <si>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</si>
  <si>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</si>
  <si>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</si>
  <si>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</si>
  <si>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</si>
  <si>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</si>
  <si>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</si>
  <si>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</si>
  <si>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</si>
  <si>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</si>
  <si>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</si>
  <si>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</si>
  <si>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</si>
  <si>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</si>
  <si>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</si>
  <si>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</si>
  <si>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</si>
  <si>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</si>
  <si>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</si>
  <si>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</si>
  <si>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</si>
  <si>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</si>
  <si>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</si>
  <si>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</si>
  <si>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</si>
  <si>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</si>
  <si>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</si>
  <si>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</si>
  <si>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</si>
  <si>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</si>
  <si>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</si>
  <si>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</si>
  <si>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</si>
  <si>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</si>
  <si>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</si>
  <si>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</si>
  <si>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</si>
  <si>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</si>
  <si>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</si>
  <si>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</si>
  <si>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</si>
  <si>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</si>
  <si>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</si>
  <si>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</si>
  <si>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</si>
  <si>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</si>
  <si>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</si>
  <si>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</si>
  <si>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</si>
  <si>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</si>
  <si>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</si>
  <si>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</si>
  <si>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</si>
  <si>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</si>
  <si>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</si>
  <si>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</si>
  <si>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</si>
  <si>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</si>
  <si>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</si>
  <si>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</si>
  <si>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</si>
  <si>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</si>
  <si>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</si>
  <si>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</si>
  <si>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</si>
  <si>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</si>
  <si>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</si>
  <si>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</si>
  <si>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</si>
  <si>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</si>
  <si>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</si>
  <si>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</si>
  <si>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</si>
  <si>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</si>
  <si>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</si>
  <si>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</si>
  <si>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</si>
  <si>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</si>
  <si>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</si>
  <si>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</si>
  <si>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</si>
  <si>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</si>
  <si>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</si>
  <si>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</si>
  <si>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</si>
  <si>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</si>
  <si>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</si>
  <si>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</si>
  <si>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</si>
  <si>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</si>
  <si>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</si>
  <si>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</si>
  <si>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</si>
  <si>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</si>
  <si>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</si>
  <si>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</si>
  <si>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</si>
  <si>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</si>
  <si>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</si>
  <si>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</si>
  <si>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</si>
  <si>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</si>
  <si>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</si>
  <si>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</si>
  <si>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</si>
  <si>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</si>
  <si>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</si>
  <si>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</si>
  <si>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</si>
  <si>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</si>
  <si>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</si>
  <si>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</si>
  <si>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</si>
  <si>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</si>
  <si>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</si>
  <si>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</si>
  <si>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</si>
  <si>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</si>
  <si>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</si>
  <si>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</si>
  <si>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</si>
  <si>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</si>
  <si>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</si>
  <si>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</si>
  <si>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</si>
  <si>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</si>
  <si>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</si>
  <si>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</si>
  <si>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</si>
  <si>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</si>
  <si>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</si>
  <si>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</si>
  <si>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</si>
  <si>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</si>
  <si>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</si>
  <si>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</si>
  <si>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</si>
  <si>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</si>
  <si>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</si>
  <si>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</si>
  <si>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</si>
  <si>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</si>
  <si>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</si>
  <si>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</si>
  <si>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</si>
  <si>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</si>
  <si>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</si>
  <si>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</si>
  <si>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</si>
  <si>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</si>
  <si>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</si>
  <si>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</si>
  <si>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</si>
  <si>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</si>
  <si>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</si>
  <si>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</si>
  <si>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</si>
  <si>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</si>
  <si>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</si>
  <si>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</si>
  <si>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</si>
  <si>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</si>
  <si>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</si>
  <si>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</si>
  <si>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</si>
  <si>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</si>
  <si>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</si>
  <si>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</si>
  <si>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</si>
  <si>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</si>
  <si>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</si>
  <si>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</si>
  <si>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</si>
  <si>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</si>
  <si>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</si>
  <si>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</si>
  <si>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</si>
  <si>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</si>
  <si>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</si>
  <si>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</si>
  <si>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</si>
  <si>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</si>
  <si>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</si>
  <si>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</si>
  <si>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</si>
  <si>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</si>
  <si>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</si>
  <si>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</si>
  <si>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</si>
  <si>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</si>
  <si>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</si>
  <si>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</si>
  <si>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</si>
  <si>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</si>
  <si>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</si>
  <si>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</si>
  <si>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</si>
  <si>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</si>
  <si>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</si>
  <si>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</si>
  <si>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</si>
  <si>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</si>
  <si>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</si>
  <si>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</si>
  <si>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</si>
  <si>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</si>
  <si>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</si>
  <si>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</si>
  <si>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</si>
  <si>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</si>
  <si>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</si>
  <si>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</si>
  <si>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</si>
  <si>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</si>
  <si>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</si>
  <si>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</si>
  <si>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</si>
  <si>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</si>
  <si>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</si>
  <si>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</si>
  <si>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</si>
  <si>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</si>
  <si>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</si>
  <si>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</si>
  <si>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</si>
  <si>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</si>
  <si>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</si>
  <si>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</si>
  <si>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</si>
  <si>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</si>
  <si>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</si>
  <si>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</si>
  <si>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</si>
  <si>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</si>
  <si>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</si>
  <si>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</si>
  <si>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</si>
  <si>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</si>
  <si>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</si>
  <si>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</si>
  <si>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</si>
  <si>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</si>
  <si>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</si>
  <si>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</si>
  <si>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</si>
  <si>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</si>
  <si>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</si>
  <si>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</si>
  <si>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</si>
  <si>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</si>
  <si>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</si>
  <si>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</si>
  <si>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</si>
  <si>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</si>
  <si>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</si>
  <si>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</si>
  <si>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</si>
  <si>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</si>
  <si>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</si>
  <si>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</si>
  <si>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</si>
  <si>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</si>
  <si>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</si>
  <si>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</si>
  <si>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</si>
  <si>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</si>
  <si>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</si>
  <si>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</si>
  <si>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</si>
  <si>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</si>
  <si>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</si>
  <si>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</si>
  <si>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</si>
  <si>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</si>
  <si>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</si>
  <si>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</si>
  <si>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</si>
  <si>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</si>
  <si>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</si>
  <si>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</si>
  <si>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</si>
  <si>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</si>
  <si>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</si>
  <si>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</si>
  <si>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</si>
  <si>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</si>
  <si>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</si>
  <si>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</si>
  <si>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</si>
  <si>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</si>
  <si>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</si>
  <si>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</si>
  <si>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</si>
  <si>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</si>
  <si>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</si>
  <si>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</si>
  <si>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</si>
  <si>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</si>
  <si>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</si>
  <si>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</si>
  <si>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</si>
  <si>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</si>
  <si>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</si>
  <si>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</si>
  <si>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</si>
  <si>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</si>
  <si>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</si>
  <si>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</si>
  <si>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</si>
  <si>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</si>
  <si>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</si>
  <si>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</si>
  <si>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</si>
  <si>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</si>
  <si>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</si>
  <si>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</si>
  <si>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</si>
  <si>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</si>
  <si>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</si>
  <si>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</si>
  <si>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</si>
  <si>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</si>
  <si>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</si>
  <si>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</si>
  <si>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</si>
  <si>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</si>
  <si>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</si>
  <si>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</si>
  <si>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</si>
  <si>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</si>
  <si>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</si>
  <si>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</si>
  <si>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</si>
  <si>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</si>
  <si>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</si>
  <si>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</si>
  <si>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</si>
  <si>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</si>
  <si>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</si>
  <si>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</si>
  <si>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</si>
  <si>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</si>
  <si>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</si>
  <si>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</si>
  <si>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</si>
  <si>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</si>
  <si>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</si>
  <si>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</si>
  <si>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</si>
  <si>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</si>
  <si>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</si>
  <si>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</si>
  <si>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</si>
  <si>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</si>
  <si>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</si>
  <si>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</si>
  <si>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</si>
  <si>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</si>
  <si>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</si>
  <si>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</si>
  <si>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</si>
  <si>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</si>
  <si>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</si>
  <si>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</si>
  <si>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</si>
  <si>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</si>
  <si>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</si>
  <si>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</si>
  <si>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</si>
  <si>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</si>
  <si>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</si>
  <si>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</si>
  <si>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</si>
  <si>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</si>
  <si>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</si>
  <si>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</si>
  <si>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</si>
  <si>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</si>
  <si>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</si>
  <si>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</si>
  <si>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</si>
  <si>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</si>
  <si>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</si>
  <si>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</si>
  <si>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</si>
  <si>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</si>
  <si>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</si>
  <si>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</si>
  <si>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</si>
  <si>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</si>
  <si>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</si>
  <si>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</si>
  <si>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</si>
  <si>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</si>
  <si>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</si>
  <si>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</si>
  <si>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</si>
  <si>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</si>
  <si>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</si>
  <si>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</si>
  <si>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</si>
  <si>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</si>
  <si>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</si>
  <si>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</si>
  <si>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</si>
  <si>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</si>
  <si>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</si>
  <si>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</si>
  <si>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</si>
  <si>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</si>
  <si>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</si>
  <si>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</si>
  <si>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1x1</t>
  </si>
  <si>
    <t>1x2</t>
  </si>
  <si>
    <t>10x2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</si>
</sst>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5" tint="0.39997558519241921"/>
      <name val="Cambria"/>
      <family val="1"/>
      <scheme val="major"/>
    </font>
    <font>
      <b/>
      <sz val="10"/>
      <color theme="5" tint="0.3999755851924192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175" fontId="16" fillId="5" borderId="1" xfId="2" applyNumberFormat="1" applyFont="1" applyFill="1" applyBorder="1"/>
    <xf numFmtId="9" fontId="17" fillId="5" borderId="1" xfId="1" applyNumberFormat="1" applyFont="1" applyFill="1" applyBorder="1"/>
    <xf numFmtId="9" fontId="17" fillId="5" borderId="1" xfId="1" applyFont="1" applyFill="1" applyBorder="1"/>
    <xf numFmtId="43" fontId="16" fillId="5" borderId="1" xfId="2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63744"/>
        <c:axId val="99516800"/>
      </c:lineChart>
      <c:catAx>
        <c:axId val="98863744"/>
        <c:scaling>
          <c:orientation val="minMax"/>
        </c:scaling>
        <c:delete val="0"/>
        <c:axPos val="b"/>
        <c:majorTickMark val="out"/>
        <c:minorTickMark val="none"/>
        <c:tickLblPos val="nextTo"/>
        <c:crossAx val="99516800"/>
        <c:crosses val="autoZero"/>
        <c:auto val="1"/>
        <c:lblAlgn val="ctr"/>
        <c:lblOffset val="100"/>
        <c:noMultiLvlLbl val="0"/>
      </c:catAx>
      <c:valAx>
        <c:axId val="99516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886374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2"/>
  <sheetViews>
    <sheetView tabSelected="1" zoomScale="80" zoomScaleNormal="80" workbookViewId="0">
      <pane xSplit="2" ySplit="3" topLeftCell="C183" activePane="bottomRight" state="frozen"/>
      <selection pane="topRight" activeCell="C1" sqref="C1"/>
      <selection pane="bottomLeft" activeCell="A5" sqref="A5"/>
      <selection pane="bottomRight" activeCell="D203" sqref="D203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6" t="s">
        <v>291</v>
      </c>
      <c r="AF2" s="197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198" t="s">
        <v>292</v>
      </c>
      <c r="AF3" s="199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v>96</v>
      </c>
      <c r="H6" s="147">
        <v>146</v>
      </c>
      <c r="I6" s="147">
        <v>268</v>
      </c>
      <c r="J6" s="147">
        <v>328</v>
      </c>
      <c r="K6" s="147">
        <v>398</v>
      </c>
      <c r="L6" s="147">
        <v>459</v>
      </c>
      <c r="M6" s="147">
        <v>662</v>
      </c>
      <c r="N6" s="147">
        <v>842</v>
      </c>
      <c r="O6" s="147">
        <v>1090</v>
      </c>
      <c r="P6" s="147">
        <v>1423</v>
      </c>
      <c r="Q6" s="213">
        <f>P6</f>
        <v>1423</v>
      </c>
      <c r="R6" s="118">
        <f>((Q6/G6)^(1/($H$2-$H$1) ))-1</f>
        <v>0.34928515051506848</v>
      </c>
      <c r="S6" s="31">
        <f>$L$2</f>
        <v>0.12</v>
      </c>
      <c r="T6" s="154">
        <f>Q6*(1+$S6)</f>
        <v>1593.7600000000002</v>
      </c>
      <c r="U6" s="154">
        <f>T6*(1+$S6)</f>
        <v>1785.0112000000004</v>
      </c>
      <c r="V6" s="154">
        <f t="shared" ref="V6:AC6" si="0">U6*(1+$S6)</f>
        <v>1999.2125440000007</v>
      </c>
      <c r="W6" s="154">
        <f t="shared" si="0"/>
        <v>2239.1180492800008</v>
      </c>
      <c r="X6" s="154">
        <f t="shared" si="0"/>
        <v>2507.8122151936013</v>
      </c>
      <c r="Y6" s="154">
        <f t="shared" si="0"/>
        <v>2808.7496810168336</v>
      </c>
      <c r="Z6" s="154">
        <f t="shared" si="0"/>
        <v>3145.7996427388539</v>
      </c>
      <c r="AA6" s="154">
        <f t="shared" si="0"/>
        <v>3523.2955998675166</v>
      </c>
      <c r="AB6" s="154">
        <f t="shared" si="0"/>
        <v>3946.0910718516188</v>
      </c>
      <c r="AC6" s="154">
        <f t="shared" si="0"/>
        <v>4419.6220004738134</v>
      </c>
      <c r="AD6" s="138">
        <f>((AC6/G6)^(1/($AC$3-$H$1) ))-1</f>
        <v>0.21103221110730708</v>
      </c>
      <c r="AE6" s="31">
        <f>$L$1</f>
        <v>0.05</v>
      </c>
      <c r="AF6" s="146">
        <f t="shared" ref="AF6:AF44" si="1">(AC6*(1+AE6))/($C$1-AE6)</f>
        <v>27297.665297044143</v>
      </c>
    </row>
    <row r="7" spans="2:32" x14ac:dyDescent="0.2">
      <c r="B7" s="20" t="s">
        <v>240</v>
      </c>
      <c r="C7" s="141"/>
      <c r="D7" s="141"/>
      <c r="E7" s="147"/>
      <c r="F7" s="147"/>
      <c r="G7" s="147">
        <v>109</v>
      </c>
      <c r="H7" s="147">
        <v>158</v>
      </c>
      <c r="I7" s="147">
        <v>287</v>
      </c>
      <c r="J7" s="147">
        <v>347</v>
      </c>
      <c r="K7" s="147">
        <v>417</v>
      </c>
      <c r="L7" s="147">
        <v>478</v>
      </c>
      <c r="M7" s="147">
        <v>681</v>
      </c>
      <c r="N7" s="147">
        <v>861</v>
      </c>
      <c r="O7" s="147">
        <v>1110</v>
      </c>
      <c r="P7" s="147">
        <v>1443</v>
      </c>
      <c r="Q7" s="213">
        <f>P7</f>
        <v>1443</v>
      </c>
      <c r="R7" s="118">
        <f>((Q7/G7)^(1/($H$2-$H$1) ))-1</f>
        <v>0.3324437079534559</v>
      </c>
      <c r="S7" s="31">
        <f>$L$2</f>
        <v>0.12</v>
      </c>
      <c r="T7" s="154">
        <f t="shared" ref="T7:T44" si="2">Q7*(1+$S7)</f>
        <v>1616.16</v>
      </c>
      <c r="U7" s="154">
        <f t="shared" ref="U7:AC7" si="3">T7*(1+$S7)</f>
        <v>1810.0992000000003</v>
      </c>
      <c r="V7" s="154">
        <f t="shared" si="3"/>
        <v>2027.3111040000006</v>
      </c>
      <c r="W7" s="154">
        <f t="shared" si="3"/>
        <v>2270.5884364800008</v>
      </c>
      <c r="X7" s="154">
        <f t="shared" si="3"/>
        <v>2543.0590488576013</v>
      </c>
      <c r="Y7" s="154">
        <f t="shared" si="3"/>
        <v>2848.2261347205135</v>
      </c>
      <c r="Z7" s="154">
        <f t="shared" si="3"/>
        <v>3190.0132708869755</v>
      </c>
      <c r="AA7" s="154">
        <f t="shared" si="3"/>
        <v>3572.8148633934129</v>
      </c>
      <c r="AB7" s="154">
        <f t="shared" si="3"/>
        <v>4001.552647000623</v>
      </c>
      <c r="AC7" s="154">
        <f t="shared" si="3"/>
        <v>4481.7389646406982</v>
      </c>
      <c r="AD7" s="138">
        <f>((AC7/G7)^(1/($AC$3-$H$1) ))-1</f>
        <v>0.20420659955493403</v>
      </c>
      <c r="AE7" s="31">
        <f>$L$1</f>
        <v>0.05</v>
      </c>
      <c r="AF7" s="146">
        <f t="shared" si="1"/>
        <v>27681.328899251374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0.310126582278481</v>
      </c>
      <c r="I8" s="151">
        <f t="shared" ref="I8:Q8" si="4">(I7-H7)/I7</f>
        <v>0.44947735191637633</v>
      </c>
      <c r="J8" s="151">
        <f t="shared" si="4"/>
        <v>0.1729106628242075</v>
      </c>
      <c r="K8" s="151">
        <f t="shared" si="4"/>
        <v>0.16786570743405277</v>
      </c>
      <c r="L8" s="151">
        <f t="shared" si="4"/>
        <v>0.12761506276150628</v>
      </c>
      <c r="M8" s="151">
        <f t="shared" si="4"/>
        <v>0.29809104258443464</v>
      </c>
      <c r="N8" s="151">
        <f t="shared" si="4"/>
        <v>0.20905923344947736</v>
      </c>
      <c r="O8" s="151">
        <f t="shared" si="4"/>
        <v>0.22432432432432434</v>
      </c>
      <c r="P8" s="151">
        <f t="shared" si="4"/>
        <v>0.23076923076923078</v>
      </c>
      <c r="Q8" s="214">
        <f t="shared" si="4"/>
        <v>0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v>69</v>
      </c>
      <c r="H9" s="147">
        <v>96</v>
      </c>
      <c r="I9" s="147">
        <v>93</v>
      </c>
      <c r="J9" s="147">
        <v>123</v>
      </c>
      <c r="K9" s="147">
        <v>169</v>
      </c>
      <c r="L9" s="147">
        <v>145</v>
      </c>
      <c r="M9" s="147">
        <v>193</v>
      </c>
      <c r="N9" s="147">
        <v>317</v>
      </c>
      <c r="O9" s="147">
        <v>384</v>
      </c>
      <c r="P9" s="147">
        <v>538</v>
      </c>
      <c r="Q9" s="213">
        <f>P9</f>
        <v>538</v>
      </c>
      <c r="R9" s="118">
        <f>((Q9/G9)^(1/($H$2-$H$1) ))-1</f>
        <v>0.25632987493336068</v>
      </c>
      <c r="S9" s="31">
        <f t="shared" ref="S9:S40" si="5">$L$2</f>
        <v>0.12</v>
      </c>
      <c r="T9" s="154">
        <f t="shared" si="2"/>
        <v>602.56000000000006</v>
      </c>
      <c r="U9" s="154">
        <f t="shared" ref="U9" si="6">T9*(1+$S9)</f>
        <v>674.86720000000014</v>
      </c>
      <c r="V9" s="154">
        <f t="shared" ref="V9" si="7">U9*(1+$S9)</f>
        <v>755.85126400000024</v>
      </c>
      <c r="W9" s="154">
        <f t="shared" ref="W9" si="8">V9*(1+$S9)</f>
        <v>846.5534156800004</v>
      </c>
      <c r="X9" s="154">
        <f t="shared" ref="X9" si="9">W9*(1+$S9)</f>
        <v>948.13982556160056</v>
      </c>
      <c r="Y9" s="154">
        <f t="shared" ref="Y9" si="10">X9*(1+$S9)</f>
        <v>1061.9166046289927</v>
      </c>
      <c r="Z9" s="154">
        <f t="shared" ref="Z9" si="11">Y9*(1+$S9)</f>
        <v>1189.3465971844719</v>
      </c>
      <c r="AA9" s="154">
        <f t="shared" ref="AA9" si="12">Z9*(1+$S9)</f>
        <v>1332.0681888466086</v>
      </c>
      <c r="AB9" s="154">
        <f t="shared" ref="AB9" si="13">AA9*(1+$S9)</f>
        <v>1491.9163715082018</v>
      </c>
      <c r="AC9" s="154">
        <f t="shared" ref="AC9" si="14">AB9*(1+$S9)</f>
        <v>1670.9463360891862</v>
      </c>
      <c r="AD9" s="138">
        <f>((AC9/G9)^(1/($AC$3-$H$1) ))-1</f>
        <v>0.17275061828017568</v>
      </c>
      <c r="AE9" s="31">
        <f t="shared" ref="AE9:AE81" si="15">$L$1</f>
        <v>0.05</v>
      </c>
      <c r="AF9" s="146">
        <f t="shared" si="1"/>
        <v>10320.550899374386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v>130</v>
      </c>
      <c r="H10" s="147">
        <v>168</v>
      </c>
      <c r="I10" s="147">
        <v>295</v>
      </c>
      <c r="J10" s="147">
        <v>398</v>
      </c>
      <c r="K10" s="147">
        <v>543</v>
      </c>
      <c r="L10" s="147">
        <v>481</v>
      </c>
      <c r="M10" s="147">
        <v>476</v>
      </c>
      <c r="N10" s="147">
        <v>621</v>
      </c>
      <c r="O10" s="147">
        <v>1696</v>
      </c>
      <c r="P10" s="147">
        <v>2146</v>
      </c>
      <c r="Q10" s="213">
        <f>P10</f>
        <v>2146</v>
      </c>
      <c r="R10" s="118">
        <f>((Q10/G10)^(1/($H$2-$H$1) ))-1</f>
        <v>0.36552131946765565</v>
      </c>
      <c r="S10" s="31">
        <f t="shared" si="5"/>
        <v>0.12</v>
      </c>
      <c r="T10" s="154">
        <f t="shared" si="2"/>
        <v>2403.5200000000004</v>
      </c>
      <c r="U10" s="154">
        <f t="shared" ref="U10:AC10" si="16">T10*(1+$S10)</f>
        <v>2691.9424000000008</v>
      </c>
      <c r="V10" s="154">
        <f t="shared" si="16"/>
        <v>3014.9754880000014</v>
      </c>
      <c r="W10" s="154">
        <f t="shared" si="16"/>
        <v>3376.772546560002</v>
      </c>
      <c r="X10" s="154">
        <f t="shared" si="16"/>
        <v>3781.9852521472026</v>
      </c>
      <c r="Y10" s="154">
        <f t="shared" si="16"/>
        <v>4235.8234824048677</v>
      </c>
      <c r="Z10" s="154">
        <f t="shared" si="16"/>
        <v>4744.1223002934521</v>
      </c>
      <c r="AA10" s="154">
        <f t="shared" si="16"/>
        <v>5313.4169763286673</v>
      </c>
      <c r="AB10" s="154">
        <f t="shared" si="16"/>
        <v>5951.0270134881075</v>
      </c>
      <c r="AC10" s="154">
        <f t="shared" si="16"/>
        <v>6665.1502551066815</v>
      </c>
      <c r="AD10" s="138">
        <f t="shared" ref="AD10:AD42" si="17">((AC10/G10)^(1/($AC$3-$H$1) ))-1</f>
        <v>0.21756829187453874</v>
      </c>
      <c r="AE10" s="31">
        <f t="shared" si="15"/>
        <v>0.05</v>
      </c>
      <c r="AF10" s="146">
        <f t="shared" si="1"/>
        <v>41167.104516835396</v>
      </c>
    </row>
    <row r="11" spans="2:32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Q11" si="18">(H10-G10)/H10</f>
        <v>0.22619047619047619</v>
      </c>
      <c r="I11" s="148">
        <f t="shared" si="18"/>
        <v>0.43050847457627117</v>
      </c>
      <c r="J11" s="148">
        <f t="shared" si="18"/>
        <v>0.25879396984924624</v>
      </c>
      <c r="K11" s="148">
        <f t="shared" si="18"/>
        <v>0.26703499079189685</v>
      </c>
      <c r="L11" s="148">
        <f t="shared" si="18"/>
        <v>-0.12889812889812891</v>
      </c>
      <c r="M11" s="148">
        <f t="shared" si="18"/>
        <v>-1.050420168067227E-2</v>
      </c>
      <c r="N11" s="148">
        <f t="shared" si="18"/>
        <v>0.23349436392914655</v>
      </c>
      <c r="O11" s="148">
        <f t="shared" si="18"/>
        <v>0.63384433962264153</v>
      </c>
      <c r="P11" s="148">
        <f t="shared" si="18"/>
        <v>0.2096924510717614</v>
      </c>
      <c r="Q11" s="215">
        <f t="shared" si="18"/>
        <v>0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5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v>98</v>
      </c>
      <c r="H12" s="147">
        <v>133</v>
      </c>
      <c r="I12" s="147">
        <v>77</v>
      </c>
      <c r="J12" s="147">
        <v>6</v>
      </c>
      <c r="K12" s="147">
        <v>10</v>
      </c>
      <c r="L12" s="147">
        <v>11</v>
      </c>
      <c r="M12" s="147">
        <v>5</v>
      </c>
      <c r="N12" s="147">
        <v>12</v>
      </c>
      <c r="O12" s="147">
        <v>370</v>
      </c>
      <c r="P12" s="147">
        <v>278</v>
      </c>
      <c r="Q12" s="213">
        <f>P12</f>
        <v>278</v>
      </c>
      <c r="R12" s="118">
        <f>((Q12/G12)^(1/($H$2-$H$1) ))-1</f>
        <v>0.1228278888856269</v>
      </c>
      <c r="S12" s="31">
        <f t="shared" si="5"/>
        <v>0.12</v>
      </c>
      <c r="T12" s="154">
        <f t="shared" si="2"/>
        <v>311.36</v>
      </c>
      <c r="U12" s="154">
        <f t="shared" ref="U12:AC12" si="19">T12*(1+$S12)</f>
        <v>348.72320000000008</v>
      </c>
      <c r="V12" s="154">
        <f t="shared" si="19"/>
        <v>390.56998400000015</v>
      </c>
      <c r="W12" s="154">
        <f t="shared" si="19"/>
        <v>437.43838208000022</v>
      </c>
      <c r="X12" s="154">
        <f t="shared" si="19"/>
        <v>489.93098792960029</v>
      </c>
      <c r="Y12" s="154">
        <f t="shared" si="19"/>
        <v>548.72270648115239</v>
      </c>
      <c r="Z12" s="154">
        <f t="shared" si="19"/>
        <v>614.56943125889075</v>
      </c>
      <c r="AA12" s="154">
        <f t="shared" si="19"/>
        <v>688.31776300995773</v>
      </c>
      <c r="AB12" s="154">
        <f t="shared" si="19"/>
        <v>770.91589457115276</v>
      </c>
      <c r="AC12" s="154">
        <f t="shared" si="19"/>
        <v>863.42580191969114</v>
      </c>
      <c r="AD12" s="138">
        <f t="shared" si="17"/>
        <v>0.11493602256959767</v>
      </c>
      <c r="AE12" s="31">
        <f t="shared" si="15"/>
        <v>0.05</v>
      </c>
      <c r="AF12" s="146">
        <f t="shared" si="1"/>
        <v>5332.9240706804458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v>2</v>
      </c>
      <c r="H13" s="147">
        <v>2.0699999999999998</v>
      </c>
      <c r="I13" s="147">
        <v>5</v>
      </c>
      <c r="J13" s="147">
        <v>2</v>
      </c>
      <c r="K13" s="147">
        <v>4</v>
      </c>
      <c r="L13" s="147">
        <v>4</v>
      </c>
      <c r="M13" s="147">
        <v>62</v>
      </c>
      <c r="N13" s="147">
        <v>14</v>
      </c>
      <c r="O13" s="147">
        <v>2.4</v>
      </c>
      <c r="P13" s="147">
        <v>3</v>
      </c>
      <c r="Q13" s="213">
        <f>P13</f>
        <v>3</v>
      </c>
      <c r="R13" s="118">
        <f>((Q13/G13)^(1/($H$2-$H$1) ))-1</f>
        <v>4.6081918643214648E-2</v>
      </c>
      <c r="S13" s="31">
        <f t="shared" si="5"/>
        <v>0.12</v>
      </c>
      <c r="T13" s="154">
        <f t="shared" si="2"/>
        <v>3.3600000000000003</v>
      </c>
      <c r="U13" s="154">
        <f t="shared" ref="U13:AC13" si="20">T13*(1+$S13)</f>
        <v>3.7632000000000008</v>
      </c>
      <c r="V13" s="154">
        <f t="shared" si="20"/>
        <v>4.2147840000000016</v>
      </c>
      <c r="W13" s="154">
        <f t="shared" si="20"/>
        <v>4.7205580800000027</v>
      </c>
      <c r="X13" s="154">
        <f t="shared" si="20"/>
        <v>5.2870250496000031</v>
      </c>
      <c r="Y13" s="154">
        <f t="shared" si="20"/>
        <v>5.9214680555520038</v>
      </c>
      <c r="Z13" s="154">
        <f t="shared" si="20"/>
        <v>6.6320442222182452</v>
      </c>
      <c r="AA13" s="154">
        <f t="shared" si="20"/>
        <v>7.4278895288844353</v>
      </c>
      <c r="AB13" s="154">
        <f t="shared" si="20"/>
        <v>8.3192362723505688</v>
      </c>
      <c r="AC13" s="154">
        <f t="shared" si="20"/>
        <v>9.3175446250326388</v>
      </c>
      <c r="AD13" s="138">
        <f t="shared" si="17"/>
        <v>7.9974681773373746E-2</v>
      </c>
      <c r="AE13" s="31">
        <f t="shared" si="15"/>
        <v>0.05</v>
      </c>
      <c r="AF13" s="146">
        <f t="shared" si="1"/>
        <v>57.549540331083954</v>
      </c>
    </row>
    <row r="14" spans="2:32" x14ac:dyDescent="0.2">
      <c r="B14" s="20" t="s">
        <v>373</v>
      </c>
      <c r="C14" s="141"/>
      <c r="D14" s="141"/>
      <c r="E14" s="147"/>
      <c r="F14" s="147"/>
      <c r="G14" s="147">
        <v>56</v>
      </c>
      <c r="H14" s="147">
        <v>65</v>
      </c>
      <c r="I14" s="147">
        <v>107</v>
      </c>
      <c r="J14" s="147">
        <v>122</v>
      </c>
      <c r="K14" s="147">
        <v>200</v>
      </c>
      <c r="L14" s="147">
        <v>133</v>
      </c>
      <c r="M14" s="147">
        <v>217</v>
      </c>
      <c r="N14" s="147">
        <v>423</v>
      </c>
      <c r="O14" s="147">
        <v>498</v>
      </c>
      <c r="P14" s="147">
        <v>456</v>
      </c>
      <c r="Q14" s="213">
        <f>P14</f>
        <v>456</v>
      </c>
      <c r="R14" s="118">
        <f>((Q14/G14)^(1/($H$2-$H$1) ))-1</f>
        <v>0.26240127345281161</v>
      </c>
      <c r="S14" s="31">
        <f t="shared" si="5"/>
        <v>0.12</v>
      </c>
      <c r="T14" s="154">
        <f t="shared" si="2"/>
        <v>510.72</v>
      </c>
      <c r="U14" s="154">
        <f t="shared" ref="U14" si="21">T14*(1+$S14)</f>
        <v>572.0064000000001</v>
      </c>
      <c r="V14" s="154">
        <f t="shared" ref="V14" si="22">U14*(1+$S14)</f>
        <v>640.64716800000019</v>
      </c>
      <c r="W14" s="154">
        <f t="shared" ref="W14" si="23">V14*(1+$S14)</f>
        <v>717.52482816000031</v>
      </c>
      <c r="X14" s="154">
        <f t="shared" ref="X14" si="24">W14*(1+$S14)</f>
        <v>803.62780753920038</v>
      </c>
      <c r="Y14" s="154">
        <f t="shared" ref="Y14" si="25">X14*(1+$S14)</f>
        <v>900.06314444390455</v>
      </c>
      <c r="Z14" s="154">
        <f t="shared" ref="Z14" si="26">Y14*(1+$S14)</f>
        <v>1008.0707217771732</v>
      </c>
      <c r="AA14" s="154">
        <f t="shared" ref="AA14" si="27">Z14*(1+$S14)</f>
        <v>1129.0392083904339</v>
      </c>
      <c r="AB14" s="154">
        <f t="shared" ref="AB14" si="28">AA14*(1+$S14)</f>
        <v>1264.5239133972862</v>
      </c>
      <c r="AC14" s="154">
        <f t="shared" ref="AC14" si="29">AB14*(1+$S14)</f>
        <v>1416.2667830049606</v>
      </c>
      <c r="AD14" s="138">
        <f t="shared" ref="AD14" si="30">((AC14/G14)^(1/($AC$3-$H$1) ))-1</f>
        <v>0.17529760760382151</v>
      </c>
      <c r="AE14" s="31">
        <f t="shared" si="15"/>
        <v>0.05</v>
      </c>
      <c r="AF14" s="146">
        <f t="shared" ref="AF14" si="31">(AC14*(1+AE14))/($C$1-AE14)</f>
        <v>8747.5301303247579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v>97</v>
      </c>
      <c r="H15" s="147">
        <v>132</v>
      </c>
      <c r="I15" s="147">
        <v>189</v>
      </c>
      <c r="J15" s="147">
        <v>295</v>
      </c>
      <c r="K15" s="147">
        <v>418</v>
      </c>
      <c r="L15" s="147">
        <v>364</v>
      </c>
      <c r="M15" s="147">
        <v>476</v>
      </c>
      <c r="N15" s="147">
        <v>772</v>
      </c>
      <c r="O15" s="147">
        <v>1358</v>
      </c>
      <c r="P15" s="147">
        <v>1254</v>
      </c>
      <c r="Q15" s="213">
        <f>P15</f>
        <v>1254</v>
      </c>
      <c r="R15" s="118">
        <f>((Q15/G15)^(1/($H$2-$H$1) ))-1</f>
        <v>0.32893232979738296</v>
      </c>
      <c r="S15" s="31">
        <f t="shared" si="5"/>
        <v>0.12</v>
      </c>
      <c r="T15" s="154">
        <f t="shared" si="2"/>
        <v>1404.4800000000002</v>
      </c>
      <c r="U15" s="154">
        <f t="shared" ref="U15:AC15" si="32">T15*(1+$S15)</f>
        <v>1573.0176000000004</v>
      </c>
      <c r="V15" s="154">
        <f t="shared" si="32"/>
        <v>1761.7797120000005</v>
      </c>
      <c r="W15" s="154">
        <f t="shared" si="32"/>
        <v>1973.1932774400007</v>
      </c>
      <c r="X15" s="154">
        <f t="shared" si="32"/>
        <v>2209.9764707328009</v>
      </c>
      <c r="Y15" s="154">
        <f t="shared" si="32"/>
        <v>2475.1736472207372</v>
      </c>
      <c r="Z15" s="154">
        <f t="shared" si="32"/>
        <v>2772.1944848872258</v>
      </c>
      <c r="AA15" s="154">
        <f t="shared" si="32"/>
        <v>3104.857823073693</v>
      </c>
      <c r="AB15" s="154">
        <f t="shared" si="32"/>
        <v>3477.4407618425366</v>
      </c>
      <c r="AC15" s="154">
        <f t="shared" si="32"/>
        <v>3894.7336532636414</v>
      </c>
      <c r="AD15" s="138">
        <f t="shared" si="17"/>
        <v>0.20277751705845271</v>
      </c>
      <c r="AE15" s="31">
        <f t="shared" si="15"/>
        <v>0.05</v>
      </c>
      <c r="AF15" s="146">
        <f t="shared" si="1"/>
        <v>24055.707858393082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v>66</v>
      </c>
      <c r="H16" s="147">
        <v>87</v>
      </c>
      <c r="I16" s="147">
        <v>248</v>
      </c>
      <c r="J16" s="147">
        <v>269</v>
      </c>
      <c r="K16" s="147">
        <v>374</v>
      </c>
      <c r="L16" s="147">
        <v>310</v>
      </c>
      <c r="M16" s="147">
        <v>380</v>
      </c>
      <c r="N16" s="147">
        <v>583</v>
      </c>
      <c r="O16" s="147">
        <v>1454</v>
      </c>
      <c r="P16" s="147">
        <v>1238</v>
      </c>
      <c r="Q16" s="213">
        <f>P16</f>
        <v>1238</v>
      </c>
      <c r="R16" s="118">
        <f>((Q16/G16)^(1/($H$2-$H$1) ))-1</f>
        <v>0.38504562179950552</v>
      </c>
      <c r="S16" s="31">
        <f t="shared" si="5"/>
        <v>0.12</v>
      </c>
      <c r="T16" s="154">
        <f t="shared" si="2"/>
        <v>1386.5600000000002</v>
      </c>
      <c r="U16" s="154">
        <f t="shared" ref="U16:AC16" si="33">T16*(1+$S16)</f>
        <v>1552.9472000000003</v>
      </c>
      <c r="V16" s="154">
        <f t="shared" si="33"/>
        <v>1739.3008640000005</v>
      </c>
      <c r="W16" s="154">
        <f t="shared" si="33"/>
        <v>1948.0169676800008</v>
      </c>
      <c r="X16" s="154">
        <f t="shared" si="33"/>
        <v>2181.779003801601</v>
      </c>
      <c r="Y16" s="154">
        <f t="shared" si="33"/>
        <v>2443.5924842577933</v>
      </c>
      <c r="Z16" s="154">
        <f t="shared" si="33"/>
        <v>2736.8235823687287</v>
      </c>
      <c r="AA16" s="154">
        <f t="shared" si="33"/>
        <v>3065.2424122529765</v>
      </c>
      <c r="AB16" s="154">
        <f t="shared" si="33"/>
        <v>3433.0715017233338</v>
      </c>
      <c r="AC16" s="154">
        <f t="shared" si="33"/>
        <v>3845.040081930134</v>
      </c>
      <c r="AD16" s="138">
        <f t="shared" si="17"/>
        <v>0.22537170204812007</v>
      </c>
      <c r="AE16" s="31">
        <f t="shared" si="15"/>
        <v>0.05</v>
      </c>
      <c r="AF16" s="146">
        <f t="shared" si="1"/>
        <v>23748.776976627301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213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v>155</v>
      </c>
      <c r="H18" s="147">
        <v>219</v>
      </c>
      <c r="I18" s="147">
        <v>260</v>
      </c>
      <c r="J18" s="147">
        <v>399</v>
      </c>
      <c r="K18" s="147">
        <v>451</v>
      </c>
      <c r="L18" s="147">
        <v>564</v>
      </c>
      <c r="M18" s="147">
        <v>646</v>
      </c>
      <c r="N18" s="147">
        <v>724</v>
      </c>
      <c r="O18" s="147">
        <v>873</v>
      </c>
      <c r="P18" s="147">
        <v>1335</v>
      </c>
      <c r="Q18" s="213">
        <f>P18</f>
        <v>1335</v>
      </c>
      <c r="R18" s="118">
        <f>((Q18/G18)^(1/($H$2-$H$1) ))-1</f>
        <v>0.27029768756063155</v>
      </c>
      <c r="S18" s="31">
        <f t="shared" si="5"/>
        <v>0.12</v>
      </c>
      <c r="T18" s="154">
        <f t="shared" si="2"/>
        <v>1495.2</v>
      </c>
      <c r="U18" s="154">
        <f t="shared" ref="U18:U34" si="34">T18*(1+$S18)</f>
        <v>1674.6240000000003</v>
      </c>
      <c r="V18" s="154">
        <f t="shared" ref="V18:V34" si="35">U18*(1+$S18)</f>
        <v>1875.5788800000005</v>
      </c>
      <c r="W18" s="154">
        <f t="shared" ref="W18:W34" si="36">V18*(1+$S18)</f>
        <v>2100.6483456000005</v>
      </c>
      <c r="X18" s="154">
        <f t="shared" ref="X18:X36" si="37">W18*(1+$S18)</f>
        <v>2352.7261470720009</v>
      </c>
      <c r="Y18" s="154">
        <f t="shared" ref="Y18:Y36" si="38">X18*(1+$S18)</f>
        <v>2635.0532847206414</v>
      </c>
      <c r="Z18" s="154">
        <f t="shared" ref="Z18:Z36" si="39">Y18*(1+$S18)</f>
        <v>2951.2596788871188</v>
      </c>
      <c r="AA18" s="154">
        <f t="shared" ref="AA18:AA36" si="40">Z18*(1+$S18)</f>
        <v>3305.4108403535733</v>
      </c>
      <c r="AB18" s="154">
        <f t="shared" ref="AB18:AB36" si="41">AA18*(1+$S18)</f>
        <v>3702.0601411960024</v>
      </c>
      <c r="AC18" s="154">
        <f t="shared" ref="AC18:AC36" si="42">AB18*(1+$S18)</f>
        <v>4146.3073581395229</v>
      </c>
      <c r="AD18" s="138">
        <f t="shared" si="17"/>
        <v>0.17860014370385557</v>
      </c>
      <c r="AE18" s="31">
        <f t="shared" si="15"/>
        <v>0.05</v>
      </c>
      <c r="AF18" s="146">
        <f t="shared" si="1"/>
        <v>25609.545447332352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213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>
        <v>55</v>
      </c>
      <c r="H20" s="147">
        <v>52</v>
      </c>
      <c r="I20" s="147">
        <v>34</v>
      </c>
      <c r="J20" s="147">
        <v>49</v>
      </c>
      <c r="K20" s="147">
        <v>38</v>
      </c>
      <c r="L20" s="147">
        <v>284</v>
      </c>
      <c r="M20" s="147">
        <v>196</v>
      </c>
      <c r="N20" s="147">
        <v>60</v>
      </c>
      <c r="O20" s="147">
        <v>73</v>
      </c>
      <c r="P20" s="147">
        <v>550</v>
      </c>
      <c r="Q20" s="213">
        <f>P20</f>
        <v>550</v>
      </c>
      <c r="R20" s="118">
        <f>((Q20/G20)^(1/($H$2-$H$1) ))-1</f>
        <v>0.29154966501488389</v>
      </c>
      <c r="S20" s="31">
        <f t="shared" si="5"/>
        <v>0.12</v>
      </c>
      <c r="T20" s="154">
        <f t="shared" si="2"/>
        <v>616.00000000000011</v>
      </c>
      <c r="U20" s="154">
        <f t="shared" ref="U20:U22" si="43">T20*(1+$S20)</f>
        <v>689.92000000000019</v>
      </c>
      <c r="V20" s="154">
        <f t="shared" ref="V20:V22" si="44">U20*(1+$S20)</f>
        <v>772.71040000000028</v>
      </c>
      <c r="W20" s="154">
        <f t="shared" ref="W20:W22" si="45">V20*(1+$S20)</f>
        <v>865.43564800000036</v>
      </c>
      <c r="X20" s="154">
        <f t="shared" ref="X20:X22" si="46">W20*(1+$S20)</f>
        <v>969.28792576000046</v>
      </c>
      <c r="Y20" s="154">
        <f t="shared" ref="Y20:Y22" si="47">X20*(1+$S20)</f>
        <v>1085.6024768512007</v>
      </c>
      <c r="Z20" s="154">
        <f t="shared" ref="Z20:Z22" si="48">Y20*(1+$S20)</f>
        <v>1215.874774073345</v>
      </c>
      <c r="AA20" s="154">
        <f t="shared" ref="AA20:AA22" si="49">Z20*(1+$S20)</f>
        <v>1361.7797469621464</v>
      </c>
      <c r="AB20" s="154">
        <f t="shared" ref="AB20:AB22" si="50">AA20*(1+$S20)</f>
        <v>1525.1933165976041</v>
      </c>
      <c r="AC20" s="154">
        <f t="shared" ref="AC20:AC22" si="51">AB20*(1+$S20)</f>
        <v>1708.2165145893166</v>
      </c>
      <c r="AD20" s="138">
        <f t="shared" ref="AD20:AD22" si="52">((AC20/G20)^(1/($AC$3-$H$1) ))-1</f>
        <v>0.18743271860323407</v>
      </c>
      <c r="AE20" s="31">
        <f t="shared" si="15"/>
        <v>0.05</v>
      </c>
      <c r="AF20" s="146">
        <f t="shared" si="1"/>
        <v>10550.749060698721</v>
      </c>
    </row>
    <row r="21" spans="2:32" x14ac:dyDescent="0.2">
      <c r="B21" s="20" t="s">
        <v>284</v>
      </c>
      <c r="C21" s="141"/>
      <c r="D21" s="141"/>
      <c r="E21" s="147"/>
      <c r="F21" s="147"/>
      <c r="G21" s="147">
        <v>-63</v>
      </c>
      <c r="H21" s="147">
        <v>-70</v>
      </c>
      <c r="I21" s="147">
        <v>-134</v>
      </c>
      <c r="J21" s="147">
        <v>-177</v>
      </c>
      <c r="K21" s="147">
        <v>-165</v>
      </c>
      <c r="L21" s="147">
        <v>-124</v>
      </c>
      <c r="M21" s="147">
        <v>-180</v>
      </c>
      <c r="N21" s="147">
        <v>-158</v>
      </c>
      <c r="O21" s="147">
        <v>-677</v>
      </c>
      <c r="P21" s="147">
        <v>-959</v>
      </c>
      <c r="Q21" s="213">
        <f>P21</f>
        <v>-959</v>
      </c>
      <c r="R21" s="118">
        <f>((Q21/G21)^(1/($H$2-$H$1) ))-1</f>
        <v>0.35327622146317195</v>
      </c>
      <c r="S21" s="31">
        <f t="shared" si="5"/>
        <v>0.12</v>
      </c>
      <c r="T21" s="154">
        <f t="shared" si="2"/>
        <v>-1074.0800000000002</v>
      </c>
      <c r="U21" s="154">
        <f t="shared" si="43"/>
        <v>-1202.9696000000004</v>
      </c>
      <c r="V21" s="154">
        <f t="shared" si="44"/>
        <v>-1347.3259520000006</v>
      </c>
      <c r="W21" s="154">
        <f t="shared" si="45"/>
        <v>-1509.0050662400008</v>
      </c>
      <c r="X21" s="154">
        <f t="shared" si="46"/>
        <v>-1690.085674188801</v>
      </c>
      <c r="Y21" s="154">
        <f t="shared" si="47"/>
        <v>-1892.8959550914574</v>
      </c>
      <c r="Z21" s="154">
        <f t="shared" si="48"/>
        <v>-2120.0434697024325</v>
      </c>
      <c r="AA21" s="154">
        <f t="shared" si="49"/>
        <v>-2374.4486860667248</v>
      </c>
      <c r="AB21" s="154">
        <f t="shared" si="50"/>
        <v>-2659.3825283947322</v>
      </c>
      <c r="AC21" s="154">
        <f t="shared" si="51"/>
        <v>-2978.5084318021004</v>
      </c>
      <c r="AD21" s="138">
        <f t="shared" si="52"/>
        <v>0.21264286061690796</v>
      </c>
      <c r="AE21" s="31">
        <f t="shared" si="15"/>
        <v>0.05</v>
      </c>
      <c r="AF21" s="146">
        <f t="shared" si="1"/>
        <v>-18396.669725836506</v>
      </c>
    </row>
    <row r="22" spans="2:32" x14ac:dyDescent="0.2">
      <c r="B22" s="20" t="s">
        <v>285</v>
      </c>
      <c r="C22" s="141"/>
      <c r="D22" s="141"/>
      <c r="E22" s="147"/>
      <c r="F22" s="147"/>
      <c r="G22" s="147">
        <v>7</v>
      </c>
      <c r="H22" s="147">
        <v>20</v>
      </c>
      <c r="I22" s="147">
        <v>176</v>
      </c>
      <c r="J22" s="147">
        <v>57</v>
      </c>
      <c r="K22" s="147">
        <v>131</v>
      </c>
      <c r="L22" s="147">
        <v>-157</v>
      </c>
      <c r="M22" s="147">
        <v>-23</v>
      </c>
      <c r="N22" s="147">
        <f>105</f>
        <v>105</v>
      </c>
      <c r="O22" s="147">
        <v>950</v>
      </c>
      <c r="P22" s="147">
        <v>318</v>
      </c>
      <c r="Q22" s="213">
        <f>P22</f>
        <v>318</v>
      </c>
      <c r="R22" s="118">
        <f>((Q22/G22)^(1/($H$2-$H$1) ))-1</f>
        <v>0.52808557328673089</v>
      </c>
      <c r="S22" s="31">
        <f t="shared" si="5"/>
        <v>0.12</v>
      </c>
      <c r="T22" s="154">
        <f t="shared" si="2"/>
        <v>356.16</v>
      </c>
      <c r="U22" s="154">
        <f t="shared" si="43"/>
        <v>398.89920000000006</v>
      </c>
      <c r="V22" s="154">
        <f t="shared" si="44"/>
        <v>446.76710400000013</v>
      </c>
      <c r="W22" s="154">
        <f t="shared" si="45"/>
        <v>500.37915648000018</v>
      </c>
      <c r="X22" s="154">
        <f t="shared" si="46"/>
        <v>560.42465525760031</v>
      </c>
      <c r="Y22" s="154">
        <f t="shared" si="47"/>
        <v>627.67561388851243</v>
      </c>
      <c r="Z22" s="154">
        <f t="shared" si="48"/>
        <v>702.99668755513403</v>
      </c>
      <c r="AA22" s="154">
        <f t="shared" si="49"/>
        <v>787.3562900617502</v>
      </c>
      <c r="AB22" s="154">
        <f t="shared" si="50"/>
        <v>881.83904486916026</v>
      </c>
      <c r="AC22" s="154">
        <f t="shared" si="51"/>
        <v>987.65973025345954</v>
      </c>
      <c r="AD22" s="138">
        <f t="shared" si="52"/>
        <v>0.28078273703205259</v>
      </c>
      <c r="AE22" s="31">
        <f t="shared" si="15"/>
        <v>0.05</v>
      </c>
      <c r="AF22" s="146">
        <f t="shared" si="1"/>
        <v>6100.2512750948981</v>
      </c>
    </row>
    <row r="23" spans="2:32" x14ac:dyDescent="0.2">
      <c r="B23" s="20" t="s">
        <v>295</v>
      </c>
      <c r="C23" s="141"/>
      <c r="D23" s="141"/>
      <c r="E23" s="147"/>
      <c r="F23" s="147"/>
      <c r="G23" s="147">
        <v>1.72</v>
      </c>
      <c r="H23" s="147">
        <v>3.3</v>
      </c>
      <c r="I23" s="147">
        <v>77</v>
      </c>
      <c r="J23" s="147">
        <v>5.3</v>
      </c>
      <c r="K23" s="147">
        <v>8.69</v>
      </c>
      <c r="L23" s="147">
        <v>11</v>
      </c>
      <c r="M23" s="147">
        <v>4</v>
      </c>
      <c r="N23" s="147">
        <v>11</v>
      </c>
      <c r="O23" s="147">
        <v>357</v>
      </c>
      <c r="P23" s="147">
        <v>266</v>
      </c>
      <c r="Q23" s="213">
        <f>P23</f>
        <v>266</v>
      </c>
      <c r="R23" s="118">
        <f>((Q23/G23)^(1/($H$2-$H$1) ))-1</f>
        <v>0.7509004950972249</v>
      </c>
      <c r="S23" s="31">
        <f t="shared" si="5"/>
        <v>0.12</v>
      </c>
      <c r="T23" s="154">
        <f t="shared" si="2"/>
        <v>297.92</v>
      </c>
      <c r="U23" s="154">
        <f t="shared" ref="U23" si="53">T23*(1+$S23)</f>
        <v>333.67040000000003</v>
      </c>
      <c r="V23" s="154">
        <f t="shared" ref="V23" si="54">U23*(1+$S23)</f>
        <v>373.71084800000006</v>
      </c>
      <c r="W23" s="154">
        <f t="shared" ref="W23" si="55">V23*(1+$S23)</f>
        <v>418.5561497600001</v>
      </c>
      <c r="X23" s="154">
        <f t="shared" ref="X23" si="56">W23*(1+$S23)</f>
        <v>468.78288773120016</v>
      </c>
      <c r="Y23" s="154">
        <f t="shared" ref="Y23" si="57">X23*(1+$S23)</f>
        <v>525.03683425894428</v>
      </c>
      <c r="Z23" s="154">
        <f t="shared" ref="Z23" si="58">Y23*(1+$S23)</f>
        <v>588.04125437001767</v>
      </c>
      <c r="AA23" s="154">
        <f t="shared" ref="AA23" si="59">Z23*(1+$S23)</f>
        <v>658.60620489441988</v>
      </c>
      <c r="AB23" s="154">
        <f t="shared" ref="AB23" si="60">AA23*(1+$S23)</f>
        <v>737.63894948175027</v>
      </c>
      <c r="AC23" s="154">
        <f t="shared" ref="AC23" si="61">AB23*(1+$S23)</f>
        <v>826.15562341956036</v>
      </c>
      <c r="AD23" s="138">
        <f t="shared" ref="AD23" si="62">((AC23/G23)^(1/($AC$3-$H$1) ))-1</f>
        <v>0.36168505461148159</v>
      </c>
      <c r="AE23" s="31">
        <f t="shared" si="15"/>
        <v>0.05</v>
      </c>
      <c r="AF23" s="146">
        <f t="shared" si="1"/>
        <v>5102.7259093561088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213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v>379</v>
      </c>
      <c r="H25" s="147">
        <v>503</v>
      </c>
      <c r="I25" s="147">
        <v>641</v>
      </c>
      <c r="J25" s="147">
        <v>873</v>
      </c>
      <c r="K25" s="147">
        <v>1171</v>
      </c>
      <c r="L25" s="147">
        <v>1371</v>
      </c>
      <c r="M25" s="147">
        <v>1585</v>
      </c>
      <c r="N25" s="147">
        <v>2215</v>
      </c>
      <c r="O25" s="147">
        <v>3072</v>
      </c>
      <c r="P25" s="147">
        <v>3434</v>
      </c>
      <c r="Q25" s="213">
        <f>P25</f>
        <v>3434</v>
      </c>
      <c r="R25" s="118">
        <f>((Q25/G25)^(1/($H$2-$H$1) ))-1</f>
        <v>0.27747153314783679</v>
      </c>
      <c r="S25" s="31">
        <f t="shared" si="5"/>
        <v>0.12</v>
      </c>
      <c r="T25" s="154">
        <f t="shared" si="2"/>
        <v>3846.0800000000004</v>
      </c>
      <c r="U25" s="154">
        <f t="shared" si="34"/>
        <v>4307.6096000000007</v>
      </c>
      <c r="V25" s="154">
        <f t="shared" si="35"/>
        <v>4824.5227520000017</v>
      </c>
      <c r="W25" s="154">
        <f t="shared" si="36"/>
        <v>5403.4654822400025</v>
      </c>
      <c r="X25" s="154">
        <f t="shared" si="37"/>
        <v>6051.8813401088037</v>
      </c>
      <c r="Y25" s="154">
        <f t="shared" si="38"/>
        <v>6778.1071009218604</v>
      </c>
      <c r="Z25" s="154">
        <f t="shared" si="39"/>
        <v>7591.4799530324844</v>
      </c>
      <c r="AA25" s="154">
        <f t="shared" si="40"/>
        <v>8502.4575473963832</v>
      </c>
      <c r="AB25" s="154">
        <f t="shared" si="41"/>
        <v>9522.752453083951</v>
      </c>
      <c r="AC25" s="154">
        <f t="shared" si="42"/>
        <v>10665.482747454025</v>
      </c>
      <c r="AD25" s="138">
        <f t="shared" si="17"/>
        <v>0.18159070348806861</v>
      </c>
      <c r="AE25" s="31">
        <f t="shared" si="15"/>
        <v>0.05</v>
      </c>
      <c r="AF25" s="146">
        <f t="shared" si="1"/>
        <v>65875.040498980758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0.24652087475149106</v>
      </c>
      <c r="I26" s="148">
        <f t="shared" ref="I26" si="63">(I25-H25)/I25</f>
        <v>0.21528861154446177</v>
      </c>
      <c r="J26" s="148">
        <f t="shared" ref="J26" si="64">(J25-I25)/J25</f>
        <v>0.26575028636884307</v>
      </c>
      <c r="K26" s="148">
        <f t="shared" ref="K26" si="65">(K25-J25)/K25</f>
        <v>0.25448334756618274</v>
      </c>
      <c r="L26" s="148">
        <f t="shared" ref="L26" si="66">(L25-K25)/L25</f>
        <v>0.14587892049598833</v>
      </c>
      <c r="M26" s="148">
        <f t="shared" ref="M26" si="67">(M25-L25)/M25</f>
        <v>0.13501577287066246</v>
      </c>
      <c r="N26" s="148">
        <f t="shared" ref="N26" si="68">(N25-M25)/N25</f>
        <v>0.28442437923250563</v>
      </c>
      <c r="O26" s="148">
        <f t="shared" ref="O26" si="69">(O25-N25)/O25</f>
        <v>0.27897135416666669</v>
      </c>
      <c r="P26" s="148">
        <f t="shared" ref="P26:Q26" si="70">(P25-O25)/P25</f>
        <v>0.10541642399534071</v>
      </c>
      <c r="Q26" s="215">
        <f t="shared" si="70"/>
        <v>0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v>307</v>
      </c>
      <c r="H27" s="147">
        <v>379</v>
      </c>
      <c r="I27" s="147">
        <v>495</v>
      </c>
      <c r="J27" s="147">
        <v>690</v>
      </c>
      <c r="K27" s="147">
        <v>926</v>
      </c>
      <c r="L27" s="147">
        <v>1159</v>
      </c>
      <c r="M27" s="147">
        <v>1169</v>
      </c>
      <c r="N27" s="147">
        <v>1827</v>
      </c>
      <c r="O27" s="147">
        <v>2556</v>
      </c>
      <c r="P27" s="147">
        <v>2761</v>
      </c>
      <c r="Q27" s="213">
        <f>P27</f>
        <v>2761</v>
      </c>
      <c r="R27" s="118">
        <f>((Q27/G27)^(1/($H$2-$H$1) ))-1</f>
        <v>0.27641530633245703</v>
      </c>
      <c r="S27" s="31">
        <f t="shared" si="5"/>
        <v>0.12</v>
      </c>
      <c r="T27" s="154">
        <f t="shared" si="2"/>
        <v>3092.32</v>
      </c>
      <c r="U27" s="154">
        <f t="shared" si="34"/>
        <v>3463.3984000000005</v>
      </c>
      <c r="V27" s="154">
        <f t="shared" si="35"/>
        <v>3879.0062080000007</v>
      </c>
      <c r="W27" s="154">
        <f t="shared" si="36"/>
        <v>4344.486952960001</v>
      </c>
      <c r="X27" s="154">
        <f t="shared" si="37"/>
        <v>4865.8253873152016</v>
      </c>
      <c r="Y27" s="154">
        <f t="shared" si="38"/>
        <v>5449.724433793026</v>
      </c>
      <c r="Z27" s="154">
        <f t="shared" si="39"/>
        <v>6103.6913658481899</v>
      </c>
      <c r="AA27" s="154">
        <f t="shared" si="40"/>
        <v>6836.1343297499734</v>
      </c>
      <c r="AB27" s="154">
        <f t="shared" si="41"/>
        <v>7656.4704493199706</v>
      </c>
      <c r="AC27" s="154">
        <f t="shared" si="42"/>
        <v>8575.2469032383688</v>
      </c>
      <c r="AD27" s="138">
        <f t="shared" si="17"/>
        <v>0.18115097529133473</v>
      </c>
      <c r="AE27" s="31">
        <f t="shared" si="15"/>
        <v>0.05</v>
      </c>
      <c r="AF27" s="146">
        <f t="shared" si="1"/>
        <v>52964.760284707576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M28" si="71">(G27-F27)/G27</f>
        <v>1</v>
      </c>
      <c r="H28" s="148">
        <f t="shared" si="71"/>
        <v>0.18997361477572558</v>
      </c>
      <c r="I28" s="148">
        <f t="shared" si="71"/>
        <v>0.23434343434343435</v>
      </c>
      <c r="J28" s="148">
        <f t="shared" si="71"/>
        <v>0.28260869565217389</v>
      </c>
      <c r="K28" s="148">
        <f t="shared" si="71"/>
        <v>0.25485961123110151</v>
      </c>
      <c r="L28" s="148">
        <f t="shared" si="71"/>
        <v>0.20103537532355478</v>
      </c>
      <c r="M28" s="148">
        <f t="shared" si="71"/>
        <v>8.5543199315654406E-3</v>
      </c>
      <c r="N28" s="148">
        <f t="shared" ref="N28" si="72">(N27-M27)/N27</f>
        <v>0.36015325670498083</v>
      </c>
      <c r="O28" s="148">
        <f t="shared" ref="O28" si="73">(O27-N27)/O27</f>
        <v>0.28521126760563381</v>
      </c>
      <c r="P28" s="148">
        <f t="shared" ref="P28:Q28" si="74">(P27-O27)/P27</f>
        <v>7.4248460702643973E-2</v>
      </c>
      <c r="Q28" s="215">
        <f t="shared" si="74"/>
        <v>0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>
        <v>9.5</v>
      </c>
      <c r="H29" s="147">
        <v>8</v>
      </c>
      <c r="I29" s="147">
        <v>12</v>
      </c>
      <c r="J29" s="147">
        <v>17</v>
      </c>
      <c r="K29" s="147">
        <v>27</v>
      </c>
      <c r="L29" s="147">
        <v>38</v>
      </c>
      <c r="M29" s="147">
        <v>19</v>
      </c>
      <c r="N29" s="147">
        <v>22</v>
      </c>
      <c r="O29" s="147">
        <v>29</v>
      </c>
      <c r="P29" s="147">
        <v>27</v>
      </c>
      <c r="Q29" s="213">
        <f>P29</f>
        <v>27</v>
      </c>
      <c r="R29" s="118">
        <f>((Q29/G29)^(1/($H$2-$H$1) ))-1</f>
        <v>0.12306388624144926</v>
      </c>
      <c r="S29" s="31">
        <f t="shared" si="5"/>
        <v>0.12</v>
      </c>
      <c r="T29" s="154">
        <f t="shared" si="2"/>
        <v>30.240000000000002</v>
      </c>
      <c r="U29" s="154">
        <f t="shared" ref="U29" si="75">T29*(1+$S29)</f>
        <v>33.868800000000007</v>
      </c>
      <c r="V29" s="154">
        <f t="shared" ref="V29" si="76">U29*(1+$S29)</f>
        <v>37.933056000000015</v>
      </c>
      <c r="W29" s="154">
        <f t="shared" ref="W29" si="77">V29*(1+$S29)</f>
        <v>42.485022720000018</v>
      </c>
      <c r="X29" s="154">
        <f t="shared" ref="X29" si="78">W29*(1+$S29)</f>
        <v>47.583225446400021</v>
      </c>
      <c r="Y29" s="154">
        <f t="shared" ref="Y29" si="79">X29*(1+$S29)</f>
        <v>53.293212499968028</v>
      </c>
      <c r="Z29" s="154">
        <f t="shared" ref="Z29" si="80">Y29*(1+$S29)</f>
        <v>59.688397999964195</v>
      </c>
      <c r="AA29" s="154">
        <f t="shared" ref="AA29" si="81">Z29*(1+$S29)</f>
        <v>66.851005759959904</v>
      </c>
      <c r="AB29" s="154">
        <f t="shared" ref="AB29" si="82">AA29*(1+$S29)</f>
        <v>74.873126451155102</v>
      </c>
      <c r="AC29" s="154">
        <f t="shared" ref="AC29" si="83">AB29*(1+$S29)</f>
        <v>83.857901625293721</v>
      </c>
      <c r="AD29" s="138">
        <f t="shared" ref="AD29" si="84">((AC29/G29)^(1/($AC$3-$H$1) ))-1</f>
        <v>0.11504146886024369</v>
      </c>
      <c r="AE29" s="31">
        <f t="shared" si="15"/>
        <v>0.05</v>
      </c>
      <c r="AF29" s="146">
        <f t="shared" ref="AF29" si="85">(AC29*(1+AE29))/($C$1-AE29)</f>
        <v>517.94586297975547</v>
      </c>
    </row>
    <row r="30" spans="2:32" s="123" customFormat="1" x14ac:dyDescent="0.2">
      <c r="B30" s="23"/>
      <c r="C30" s="149"/>
      <c r="D30" s="149"/>
      <c r="E30" s="150"/>
      <c r="F30" s="150"/>
      <c r="G30" s="148">
        <f t="shared" ref="G30:L30" si="86">(G29-F29)/G29</f>
        <v>1</v>
      </c>
      <c r="H30" s="148">
        <f t="shared" si="86"/>
        <v>-0.1875</v>
      </c>
      <c r="I30" s="148">
        <f t="shared" si="86"/>
        <v>0.33333333333333331</v>
      </c>
      <c r="J30" s="148">
        <f t="shared" si="86"/>
        <v>0.29411764705882354</v>
      </c>
      <c r="K30" s="148">
        <f t="shared" si="86"/>
        <v>0.37037037037037035</v>
      </c>
      <c r="L30" s="148">
        <f t="shared" si="86"/>
        <v>0.28947368421052633</v>
      </c>
      <c r="M30" s="148">
        <f t="shared" ref="M30" si="87">(M29-L29)/M29</f>
        <v>-1</v>
      </c>
      <c r="N30" s="148">
        <f t="shared" ref="N30" si="88">(N29-M29)/N29</f>
        <v>0.13636363636363635</v>
      </c>
      <c r="O30" s="148">
        <f t="shared" ref="O30" si="89">(O29-N29)/O29</f>
        <v>0.2413793103448276</v>
      </c>
      <c r="P30" s="148">
        <f t="shared" ref="P30:Q30" si="90">(P29-O29)/P29</f>
        <v>-7.407407407407407E-2</v>
      </c>
      <c r="Q30" s="215">
        <f t="shared" si="90"/>
        <v>0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213"/>
      <c r="R31" s="118" t="e">
        <f>((Q31/G31)^(1/($H$2-$H$1) ))-1</f>
        <v>#DIV/0!</v>
      </c>
      <c r="S31" s="31">
        <f t="shared" si="5"/>
        <v>0.12</v>
      </c>
      <c r="T31" s="154">
        <f t="shared" si="2"/>
        <v>0</v>
      </c>
      <c r="U31" s="154">
        <f>T31*(1+$S31)</f>
        <v>0</v>
      </c>
      <c r="V31" s="154">
        <f t="shared" ref="V31:AC32" si="91">U31*(1+$S31)</f>
        <v>0</v>
      </c>
      <c r="W31" s="154">
        <f t="shared" si="91"/>
        <v>0</v>
      </c>
      <c r="X31" s="154">
        <f t="shared" si="91"/>
        <v>0</v>
      </c>
      <c r="Y31" s="154">
        <f t="shared" si="91"/>
        <v>0</v>
      </c>
      <c r="Z31" s="154">
        <f t="shared" si="91"/>
        <v>0</v>
      </c>
      <c r="AA31" s="154">
        <f t="shared" si="91"/>
        <v>0</v>
      </c>
      <c r="AB31" s="154">
        <f t="shared" si="91"/>
        <v>0</v>
      </c>
      <c r="AC31" s="154">
        <f t="shared" si="91"/>
        <v>0</v>
      </c>
      <c r="AD31" s="138" t="e">
        <f t="shared" ref="AD31" si="92">((AC31/G31)^(1/($AC$3-$H$1) ))-1</f>
        <v>#DIV/0!</v>
      </c>
      <c r="AE31" s="31">
        <f t="shared" si="15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213"/>
      <c r="R32" s="118" t="e">
        <f>((Q32/G32)^(1/($H$2-$H$1) ))-1</f>
        <v>#DIV/0!</v>
      </c>
      <c r="S32" s="31">
        <f t="shared" si="5"/>
        <v>0.12</v>
      </c>
      <c r="T32" s="154">
        <f t="shared" si="2"/>
        <v>0</v>
      </c>
      <c r="U32" s="154">
        <f>T32*(1+$S32)</f>
        <v>0</v>
      </c>
      <c r="V32" s="154">
        <f t="shared" si="91"/>
        <v>0</v>
      </c>
      <c r="W32" s="154">
        <f t="shared" si="91"/>
        <v>0</v>
      </c>
      <c r="X32" s="154">
        <f t="shared" si="91"/>
        <v>0</v>
      </c>
      <c r="Y32" s="154">
        <f t="shared" si="91"/>
        <v>0</v>
      </c>
      <c r="Z32" s="154">
        <f t="shared" si="91"/>
        <v>0</v>
      </c>
      <c r="AA32" s="154">
        <f t="shared" si="91"/>
        <v>0</v>
      </c>
      <c r="AB32" s="154">
        <f t="shared" si="91"/>
        <v>0</v>
      </c>
      <c r="AC32" s="154">
        <f t="shared" si="91"/>
        <v>0</v>
      </c>
      <c r="AD32" s="138" t="e">
        <f t="shared" ref="AD32" si="93">((AC32/G32)^(1/($AC$3-$H$1) ))-1</f>
        <v>#DIV/0!</v>
      </c>
      <c r="AE32" s="31">
        <f t="shared" si="15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>
        <v>204</v>
      </c>
      <c r="H33" s="147">
        <v>255</v>
      </c>
      <c r="I33" s="147">
        <v>344</v>
      </c>
      <c r="J33" s="147">
        <v>502</v>
      </c>
      <c r="K33" s="147">
        <v>679</v>
      </c>
      <c r="L33" s="147">
        <v>849</v>
      </c>
      <c r="M33" s="147">
        <v>835</v>
      </c>
      <c r="N33" s="147">
        <v>1501</v>
      </c>
      <c r="O33" s="147">
        <v>1980</v>
      </c>
      <c r="P33" s="147">
        <v>2064</v>
      </c>
      <c r="Q33" s="213">
        <f>P33</f>
        <v>2064</v>
      </c>
      <c r="R33" s="118">
        <f>((Q33/G33)^(1/($H$2-$H$1) ))-1</f>
        <v>0.2932292023569445</v>
      </c>
      <c r="S33" s="31">
        <f t="shared" si="5"/>
        <v>0.12</v>
      </c>
      <c r="T33" s="154">
        <f t="shared" si="2"/>
        <v>2311.6800000000003</v>
      </c>
      <c r="U33" s="154">
        <f t="shared" si="34"/>
        <v>2589.0816000000004</v>
      </c>
      <c r="V33" s="154">
        <f t="shared" si="35"/>
        <v>2899.7713920000006</v>
      </c>
      <c r="W33" s="154">
        <f t="shared" si="36"/>
        <v>3247.7439590400008</v>
      </c>
      <c r="X33" s="154">
        <f t="shared" si="37"/>
        <v>3637.4732341248014</v>
      </c>
      <c r="Y33" s="154">
        <f t="shared" si="38"/>
        <v>4073.970022219778</v>
      </c>
      <c r="Z33" s="154">
        <f t="shared" si="39"/>
        <v>4562.8464248861519</v>
      </c>
      <c r="AA33" s="154">
        <f t="shared" si="40"/>
        <v>5110.387995872491</v>
      </c>
      <c r="AB33" s="154">
        <f t="shared" si="41"/>
        <v>5723.6345553771907</v>
      </c>
      <c r="AC33" s="154">
        <f t="shared" si="42"/>
        <v>6410.4707020224541</v>
      </c>
      <c r="AD33" s="138">
        <f t="shared" si="17"/>
        <v>0.18812733470452137</v>
      </c>
      <c r="AE33" s="31">
        <f t="shared" si="15"/>
        <v>0.05</v>
      </c>
      <c r="AF33" s="146">
        <f t="shared" si="1"/>
        <v>39594.083747785757</v>
      </c>
    </row>
    <row r="34" spans="2:32" x14ac:dyDescent="0.2">
      <c r="B34" s="20" t="s">
        <v>308</v>
      </c>
      <c r="C34" s="141"/>
      <c r="D34" s="141"/>
      <c r="E34" s="147"/>
      <c r="F34" s="147"/>
      <c r="G34" s="147">
        <v>15</v>
      </c>
      <c r="H34" s="147">
        <v>17</v>
      </c>
      <c r="I34" s="147">
        <v>20</v>
      </c>
      <c r="J34" s="147">
        <v>25</v>
      </c>
      <c r="K34" s="147">
        <v>36</v>
      </c>
      <c r="L34" s="147">
        <v>44</v>
      </c>
      <c r="M34" s="147">
        <v>57</v>
      </c>
      <c r="N34" s="147">
        <v>71</v>
      </c>
      <c r="O34" s="147">
        <v>93</v>
      </c>
      <c r="P34" s="147">
        <v>134</v>
      </c>
      <c r="Q34" s="213">
        <f>P34</f>
        <v>134</v>
      </c>
      <c r="R34" s="118">
        <f>((Q34/G34)^(1/($H$2-$H$1) ))-1</f>
        <v>0.2754638998148693</v>
      </c>
      <c r="S34" s="31">
        <f t="shared" si="5"/>
        <v>0.12</v>
      </c>
      <c r="T34" s="154">
        <f t="shared" si="2"/>
        <v>150.08000000000001</v>
      </c>
      <c r="U34" s="154">
        <f t="shared" si="34"/>
        <v>168.08960000000002</v>
      </c>
      <c r="V34" s="154">
        <f t="shared" si="35"/>
        <v>188.26035200000004</v>
      </c>
      <c r="W34" s="154">
        <f t="shared" si="36"/>
        <v>210.85159424000005</v>
      </c>
      <c r="X34" s="154">
        <f t="shared" si="37"/>
        <v>236.15378554880007</v>
      </c>
      <c r="Y34" s="154">
        <f t="shared" si="38"/>
        <v>264.4922398146561</v>
      </c>
      <c r="Z34" s="154">
        <f t="shared" si="39"/>
        <v>296.23130859241485</v>
      </c>
      <c r="AA34" s="154">
        <f t="shared" si="40"/>
        <v>331.77906562350466</v>
      </c>
      <c r="AB34" s="154">
        <f t="shared" si="41"/>
        <v>371.59255349832529</v>
      </c>
      <c r="AC34" s="154">
        <f t="shared" si="42"/>
        <v>416.18365991812436</v>
      </c>
      <c r="AD34" s="138">
        <f t="shared" si="17"/>
        <v>0.18075471451019309</v>
      </c>
      <c r="AE34" s="31">
        <f t="shared" si="15"/>
        <v>0.05</v>
      </c>
      <c r="AF34" s="146">
        <f t="shared" si="1"/>
        <v>2570.5461347884152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213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v>70</v>
      </c>
      <c r="H36" s="147">
        <v>112</v>
      </c>
      <c r="I36" s="147">
        <v>140</v>
      </c>
      <c r="J36" s="147">
        <v>178</v>
      </c>
      <c r="K36" s="147">
        <v>227</v>
      </c>
      <c r="L36" s="147">
        <v>245</v>
      </c>
      <c r="M36" s="147">
        <v>386</v>
      </c>
      <c r="N36" s="147">
        <v>367</v>
      </c>
      <c r="O36" s="147">
        <v>512</v>
      </c>
      <c r="P36" s="147">
        <v>669</v>
      </c>
      <c r="Q36" s="213">
        <f>P36</f>
        <v>669</v>
      </c>
      <c r="R36" s="118">
        <f>((Q36/G36)^(1/($H$2-$H$1) ))-1</f>
        <v>0.28506572985283452</v>
      </c>
      <c r="S36" s="31">
        <f t="shared" si="5"/>
        <v>0.12</v>
      </c>
      <c r="T36" s="154">
        <f t="shared" si="2"/>
        <v>749.28000000000009</v>
      </c>
      <c r="U36" s="154">
        <f t="shared" ref="U36" si="94">T36*(1+$S36)</f>
        <v>839.19360000000017</v>
      </c>
      <c r="V36" s="154">
        <f t="shared" ref="V36" si="95">U36*(1+$S36)</f>
        <v>939.89683200000024</v>
      </c>
      <c r="W36" s="154">
        <f t="shared" ref="W36" si="96">V36*(1+$S36)</f>
        <v>1052.6844518400003</v>
      </c>
      <c r="X36" s="154">
        <f t="shared" si="37"/>
        <v>1179.0065860608004</v>
      </c>
      <c r="Y36" s="154">
        <f t="shared" si="38"/>
        <v>1320.4873763880964</v>
      </c>
      <c r="Z36" s="154">
        <f t="shared" si="39"/>
        <v>1478.9458615546682</v>
      </c>
      <c r="AA36" s="154">
        <f t="shared" si="40"/>
        <v>1656.4193649412287</v>
      </c>
      <c r="AB36" s="154">
        <f t="shared" si="41"/>
        <v>1855.1896887341763</v>
      </c>
      <c r="AC36" s="154">
        <f t="shared" si="42"/>
        <v>2077.8124513822777</v>
      </c>
      <c r="AD36" s="138">
        <f t="shared" si="17"/>
        <v>0.18474644775978555</v>
      </c>
      <c r="AE36" s="31">
        <f t="shared" si="15"/>
        <v>0.05</v>
      </c>
      <c r="AF36" s="146">
        <f t="shared" si="1"/>
        <v>12833.547493831717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" si="97">(G36-F36)/G36</f>
        <v>1</v>
      </c>
      <c r="H37" s="148">
        <f t="shared" ref="H37" si="98">(H36-G36)/H36</f>
        <v>0.375</v>
      </c>
      <c r="I37" s="148">
        <f t="shared" ref="I37" si="99">(I36-H36)/I36</f>
        <v>0.2</v>
      </c>
      <c r="J37" s="148">
        <f t="shared" ref="J37" si="100">(J36-I36)/J36</f>
        <v>0.21348314606741572</v>
      </c>
      <c r="K37" s="148">
        <f t="shared" ref="K37" si="101">(K36-J36)/K36</f>
        <v>0.21585903083700442</v>
      </c>
      <c r="L37" s="148">
        <f t="shared" ref="L37" si="102">(L36-K36)/L36</f>
        <v>7.3469387755102047E-2</v>
      </c>
      <c r="M37" s="148">
        <f t="shared" ref="M37" si="103">(M36-L36)/M36</f>
        <v>0.36528497409326427</v>
      </c>
      <c r="N37" s="148">
        <f t="shared" ref="N37" si="104">(N36-M36)/N36</f>
        <v>-5.1771117166212535E-2</v>
      </c>
      <c r="O37" s="148">
        <f t="shared" ref="O37" si="105">(O36-N36)/O36</f>
        <v>0.283203125</v>
      </c>
      <c r="P37" s="148">
        <f t="shared" ref="P37:Q37" si="106">(P36-O36)/P36</f>
        <v>0.23467862481315396</v>
      </c>
      <c r="Q37" s="215">
        <f t="shared" si="106"/>
        <v>0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401</v>
      </c>
      <c r="C38" s="149"/>
      <c r="D38" s="149"/>
      <c r="E38" s="150"/>
      <c r="F38" s="150"/>
      <c r="G38" s="147">
        <v>45</v>
      </c>
      <c r="H38" s="147">
        <v>94</v>
      </c>
      <c r="I38" s="147">
        <v>107</v>
      </c>
      <c r="J38" s="147">
        <v>129</v>
      </c>
      <c r="K38" s="147">
        <v>172</v>
      </c>
      <c r="L38" s="147">
        <v>115</v>
      </c>
      <c r="M38" s="147">
        <v>327</v>
      </c>
      <c r="N38" s="147">
        <v>288</v>
      </c>
      <c r="O38" s="147">
        <v>400</v>
      </c>
      <c r="P38" s="147">
        <v>534</v>
      </c>
      <c r="Q38" s="213">
        <f>P38</f>
        <v>534</v>
      </c>
      <c r="R38" s="118">
        <f>((Q38/G38)^(1/($H$2-$H$1) ))-1</f>
        <v>0.31634540072269934</v>
      </c>
      <c r="S38" s="31">
        <f t="shared" si="5"/>
        <v>0.12</v>
      </c>
      <c r="T38" s="154">
        <f t="shared" si="2"/>
        <v>598.08000000000004</v>
      </c>
      <c r="U38" s="154">
        <f t="shared" ref="U38" si="107">T38*(1+$S38)</f>
        <v>669.84960000000012</v>
      </c>
      <c r="V38" s="154">
        <f t="shared" ref="V38" si="108">U38*(1+$S38)</f>
        <v>750.23155200000019</v>
      </c>
      <c r="W38" s="154">
        <f t="shared" ref="W38" si="109">V38*(1+$S38)</f>
        <v>840.25933824000026</v>
      </c>
      <c r="X38" s="154">
        <f t="shared" ref="X38" si="110">W38*(1+$S38)</f>
        <v>941.09045882880037</v>
      </c>
      <c r="Y38" s="154">
        <f t="shared" ref="Y38" si="111">X38*(1+$S38)</f>
        <v>1054.0213138882566</v>
      </c>
      <c r="Z38" s="154">
        <f t="shared" ref="Z38" si="112">Y38*(1+$S38)</f>
        <v>1180.5038715548476</v>
      </c>
      <c r="AA38" s="154">
        <f t="shared" ref="AA38" si="113">Z38*(1+$S38)</f>
        <v>1322.1643361414294</v>
      </c>
      <c r="AB38" s="154">
        <f t="shared" ref="AB38" si="114">AA38*(1+$S38)</f>
        <v>1480.8240564784012</v>
      </c>
      <c r="AC38" s="154">
        <f t="shared" ref="AC38" si="115">AB38*(1+$S38)</f>
        <v>1658.5229432558094</v>
      </c>
      <c r="AD38" s="138">
        <f t="shared" ref="AD38" si="116">((AC38/G38)^(1/($AC$3-$H$1) ))-1</f>
        <v>0.19763767228578777</v>
      </c>
      <c r="AE38" s="31">
        <f t="shared" si="15"/>
        <v>0.05</v>
      </c>
      <c r="AF38" s="146">
        <f t="shared" ref="AF38" si="117">(AC38*(1+AE38))/($C$1-AE38)</f>
        <v>10243.818178932943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" si="118">(G38-F38)/G38</f>
        <v>1</v>
      </c>
      <c r="H39" s="148">
        <f t="shared" ref="H39" si="119">(H38-G38)/H38</f>
        <v>0.52127659574468088</v>
      </c>
      <c r="I39" s="148">
        <f t="shared" ref="I39" si="120">(I38-H38)/I38</f>
        <v>0.12149532710280374</v>
      </c>
      <c r="J39" s="148">
        <f t="shared" ref="J39" si="121">(J38-I38)/J38</f>
        <v>0.17054263565891473</v>
      </c>
      <c r="K39" s="148">
        <f t="shared" ref="K39" si="122">(K38-J38)/K38</f>
        <v>0.25</v>
      </c>
      <c r="L39" s="148">
        <f t="shared" ref="L39" si="123">(L38-K38)/L38</f>
        <v>-0.4956521739130435</v>
      </c>
      <c r="M39" s="148">
        <f t="shared" ref="M39" si="124">(M38-L38)/M38</f>
        <v>0.64831804281345562</v>
      </c>
      <c r="N39" s="148">
        <f t="shared" ref="N39" si="125">(N38-M38)/N38</f>
        <v>-0.13541666666666666</v>
      </c>
      <c r="O39" s="148">
        <f t="shared" ref="O39" si="126">(O38-N38)/O38</f>
        <v>0.28000000000000003</v>
      </c>
      <c r="P39" s="148">
        <f t="shared" ref="P39:Q39" si="127">(P38-O38)/P38</f>
        <v>0.25093632958801498</v>
      </c>
      <c r="Q39" s="215">
        <f t="shared" si="127"/>
        <v>0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402</v>
      </c>
      <c r="C40" s="141"/>
      <c r="D40" s="141"/>
      <c r="E40" s="147"/>
      <c r="F40" s="147"/>
      <c r="G40" s="147">
        <v>31.5</v>
      </c>
      <c r="H40" s="147">
        <v>58</v>
      </c>
      <c r="I40" s="147">
        <v>69</v>
      </c>
      <c r="J40" s="147">
        <v>87</v>
      </c>
      <c r="K40" s="147">
        <v>113</v>
      </c>
      <c r="L40" s="147">
        <v>75</v>
      </c>
      <c r="M40" s="147">
        <v>219</v>
      </c>
      <c r="N40" s="147">
        <v>195</v>
      </c>
      <c r="O40" s="147">
        <v>269</v>
      </c>
      <c r="P40" s="147">
        <v>350</v>
      </c>
      <c r="Q40" s="213">
        <f>P40</f>
        <v>350</v>
      </c>
      <c r="R40" s="118">
        <f>((Q40/G40)^(1/($H$2-$H$1) ))-1</f>
        <v>0.30675832854740293</v>
      </c>
      <c r="S40" s="31">
        <f t="shared" si="5"/>
        <v>0.12</v>
      </c>
      <c r="T40" s="154">
        <f t="shared" si="2"/>
        <v>392.00000000000006</v>
      </c>
      <c r="U40" s="154">
        <f t="shared" ref="U40:AC40" si="128">T40*(1+$S40)</f>
        <v>439.04000000000008</v>
      </c>
      <c r="V40" s="154">
        <f t="shared" si="128"/>
        <v>491.72480000000013</v>
      </c>
      <c r="W40" s="154">
        <f t="shared" si="128"/>
        <v>550.7317760000002</v>
      </c>
      <c r="X40" s="154">
        <f t="shared" si="128"/>
        <v>616.81958912000027</v>
      </c>
      <c r="Y40" s="154">
        <f t="shared" si="128"/>
        <v>690.83793981440033</v>
      </c>
      <c r="Z40" s="154">
        <f t="shared" si="128"/>
        <v>773.73849259212841</v>
      </c>
      <c r="AA40" s="154">
        <f t="shared" si="128"/>
        <v>866.58711170318395</v>
      </c>
      <c r="AB40" s="154">
        <f t="shared" si="128"/>
        <v>970.5775651075661</v>
      </c>
      <c r="AC40" s="154">
        <f t="shared" si="128"/>
        <v>1087.0468729204742</v>
      </c>
      <c r="AD40" s="138">
        <f t="shared" si="17"/>
        <v>0.19370465062515341</v>
      </c>
      <c r="AE40" s="31">
        <f t="shared" si="15"/>
        <v>0.05</v>
      </c>
      <c r="AF40" s="146">
        <f t="shared" si="1"/>
        <v>6714.1130386264585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Q41" si="129">(H40-G40)/H40</f>
        <v>0.45689655172413796</v>
      </c>
      <c r="I41" s="148">
        <f t="shared" si="129"/>
        <v>0.15942028985507245</v>
      </c>
      <c r="J41" s="148">
        <f t="shared" si="129"/>
        <v>0.20689655172413793</v>
      </c>
      <c r="K41" s="148">
        <f t="shared" si="129"/>
        <v>0.23008849557522124</v>
      </c>
      <c r="L41" s="148">
        <f t="shared" si="129"/>
        <v>-0.50666666666666671</v>
      </c>
      <c r="M41" s="148">
        <f t="shared" si="129"/>
        <v>0.65753424657534243</v>
      </c>
      <c r="N41" s="148">
        <f t="shared" si="129"/>
        <v>-0.12307692307692308</v>
      </c>
      <c r="O41" s="148">
        <f t="shared" si="129"/>
        <v>0.27509293680297398</v>
      </c>
      <c r="P41" s="148">
        <f t="shared" si="129"/>
        <v>0.23142857142857143</v>
      </c>
      <c r="Q41" s="215">
        <f t="shared" si="129"/>
        <v>0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45">
        <v>1.23</v>
      </c>
      <c r="H42" s="145">
        <v>1.23</v>
      </c>
      <c r="I42" s="145">
        <v>1.93</v>
      </c>
      <c r="J42" s="145">
        <v>1.93</v>
      </c>
      <c r="K42" s="145">
        <v>1.93</v>
      </c>
      <c r="L42" s="145">
        <v>1.93</v>
      </c>
      <c r="M42" s="145">
        <v>1.93</v>
      </c>
      <c r="N42" s="145">
        <v>9.66</v>
      </c>
      <c r="O42" s="145">
        <v>9.66</v>
      </c>
      <c r="P42" s="145">
        <v>9.66</v>
      </c>
      <c r="Q42" s="216">
        <v>9.66</v>
      </c>
      <c r="R42" s="118">
        <f>((Q42/G42)^(1/($H$2-$H$1) ))-1</f>
        <v>0.25733917211121526</v>
      </c>
      <c r="S42" s="31">
        <v>0.01</v>
      </c>
      <c r="T42" s="154">
        <f t="shared" si="2"/>
        <v>9.7566000000000006</v>
      </c>
      <c r="U42" s="154">
        <f t="shared" ref="U42:AC42" si="130">T42*(1+$S42)</f>
        <v>9.8541660000000011</v>
      </c>
      <c r="V42" s="154">
        <f t="shared" si="130"/>
        <v>9.9527076600000015</v>
      </c>
      <c r="W42" s="154">
        <f t="shared" si="130"/>
        <v>10.052234736600001</v>
      </c>
      <c r="X42" s="154">
        <f t="shared" si="130"/>
        <v>10.152757083966002</v>
      </c>
      <c r="Y42" s="154">
        <f t="shared" si="130"/>
        <v>10.254284654805662</v>
      </c>
      <c r="Z42" s="154">
        <f t="shared" si="130"/>
        <v>10.356827501353719</v>
      </c>
      <c r="AA42" s="154">
        <f t="shared" si="130"/>
        <v>10.460395776367255</v>
      </c>
      <c r="AB42" s="154">
        <f t="shared" si="130"/>
        <v>10.564999734130927</v>
      </c>
      <c r="AC42" s="154">
        <f t="shared" si="130"/>
        <v>10.670649731472237</v>
      </c>
      <c r="AD42" s="138">
        <f t="shared" si="17"/>
        <v>0.11407463812020491</v>
      </c>
      <c r="AE42" s="31">
        <f t="shared" si="15"/>
        <v>0.05</v>
      </c>
      <c r="AF42" s="146">
        <f t="shared" si="1"/>
        <v>65.906954223799119</v>
      </c>
    </row>
    <row r="43" spans="2:32" x14ac:dyDescent="0.2">
      <c r="B43" s="20"/>
      <c r="C43" s="142"/>
      <c r="D43" s="142"/>
      <c r="E43" s="143"/>
      <c r="F43" s="147"/>
      <c r="G43" s="148">
        <f>(G42-F42)/G42</f>
        <v>0.18699186991869918</v>
      </c>
      <c r="H43" s="148">
        <f t="shared" ref="H43" si="131">(H42-G42)/H42</f>
        <v>0</v>
      </c>
      <c r="I43" s="148">
        <f t="shared" ref="I43" si="132">(I42-H42)/I42</f>
        <v>0.36269430051813473</v>
      </c>
      <c r="J43" s="148">
        <f t="shared" ref="J43" si="133">(J42-I42)/J42</f>
        <v>0</v>
      </c>
      <c r="K43" s="148">
        <f t="shared" ref="K43" si="134">(K42-J42)/K42</f>
        <v>0</v>
      </c>
      <c r="L43" s="148">
        <f t="shared" ref="L43" si="135">(L42-K42)/L42</f>
        <v>0</v>
      </c>
      <c r="M43" s="148">
        <f t="shared" ref="M43" si="136">(M42-L42)/M42</f>
        <v>0</v>
      </c>
      <c r="N43" s="148">
        <f t="shared" ref="N43" si="137">(N42-M42)/N42</f>
        <v>0.80020703933747417</v>
      </c>
      <c r="O43" s="148">
        <f t="shared" ref="O43" si="138">(O42-N42)/O42</f>
        <v>0</v>
      </c>
      <c r="P43" s="148">
        <f t="shared" ref="P43:Q43" si="139">(P42-O42)/P42</f>
        <v>0</v>
      </c>
      <c r="Q43" s="215">
        <f t="shared" si="139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45">
        <v>5.5</v>
      </c>
      <c r="H44" s="145">
        <v>10</v>
      </c>
      <c r="I44" s="145">
        <v>10</v>
      </c>
      <c r="J44" s="145">
        <v>10.5</v>
      </c>
      <c r="K44" s="145">
        <v>10.5</v>
      </c>
      <c r="L44" s="145">
        <v>6</v>
      </c>
      <c r="M44" s="145">
        <v>7</v>
      </c>
      <c r="N44" s="145">
        <v>1.4</v>
      </c>
      <c r="O44" s="145">
        <v>1.5</v>
      </c>
      <c r="P44" s="145">
        <v>1.5</v>
      </c>
      <c r="Q44" s="216">
        <f>P44</f>
        <v>1.5</v>
      </c>
      <c r="R44" s="118">
        <f>((Q44/G44)^(1/($H$2-$H$1) ))-1</f>
        <v>-0.13442804942133846</v>
      </c>
      <c r="S44" s="31">
        <f>P1</f>
        <v>0.05</v>
      </c>
      <c r="T44" s="154">
        <f t="shared" si="2"/>
        <v>1.5750000000000002</v>
      </c>
      <c r="U44" s="154">
        <f t="shared" ref="U44" si="140">T44*(1+$S44)</f>
        <v>1.6537500000000003</v>
      </c>
      <c r="V44" s="154">
        <f t="shared" ref="V44" si="141">U44*(1+$S44)</f>
        <v>1.7364375000000003</v>
      </c>
      <c r="W44" s="154">
        <f t="shared" ref="W44" si="142">V44*(1+$S44)</f>
        <v>1.8232593750000003</v>
      </c>
      <c r="X44" s="154">
        <f t="shared" ref="X44" si="143">W44*(1+$S44)</f>
        <v>1.9144223437500005</v>
      </c>
      <c r="Y44" s="154">
        <f t="shared" ref="Y44" si="144">X44*(1+$S44)</f>
        <v>2.0101434609375008</v>
      </c>
      <c r="Z44" s="154">
        <f t="shared" ref="Z44" si="145">Y44*(1+$S44)</f>
        <v>2.1106506339843758</v>
      </c>
      <c r="AA44" s="154">
        <f t="shared" ref="AA44" si="146">Z44*(1+$S44)</f>
        <v>2.2161831656835949</v>
      </c>
      <c r="AB44" s="154">
        <f t="shared" ref="AB44" si="147">AA44*(1+$S44)</f>
        <v>2.3269923239677746</v>
      </c>
      <c r="AC44" s="154">
        <f t="shared" ref="AC44" si="148">AB44*(1+$S44)</f>
        <v>2.4433419401661634</v>
      </c>
      <c r="AD44" s="138">
        <f t="shared" ref="AD44" si="149">((AC44/G44)^(1/($AC$3-$H$1) ))-1</f>
        <v>-3.975715898820209E-2</v>
      </c>
      <c r="AE44" s="31">
        <f t="shared" si="15"/>
        <v>0.05</v>
      </c>
      <c r="AF44" s="146">
        <f t="shared" si="1"/>
        <v>15.09122963043807</v>
      </c>
    </row>
    <row r="45" spans="2:32" x14ac:dyDescent="0.2">
      <c r="B45" s="20" t="s">
        <v>427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 t="s">
        <v>458</v>
      </c>
      <c r="O45" s="147">
        <v>0</v>
      </c>
      <c r="P45" s="147">
        <v>0</v>
      </c>
      <c r="Q45" s="147">
        <v>0</v>
      </c>
      <c r="R45" s="147">
        <v>0</v>
      </c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425</v>
      </c>
      <c r="C46" s="20"/>
      <c r="D46" s="20"/>
      <c r="E46" s="127"/>
      <c r="F46" s="127"/>
      <c r="G46" s="147" t="s">
        <v>456</v>
      </c>
      <c r="H46" s="147">
        <v>0</v>
      </c>
      <c r="I46" s="147" t="s">
        <v>457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47">
        <v>0</v>
      </c>
      <c r="R46" s="147">
        <v>0</v>
      </c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426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147">
        <v>0</v>
      </c>
      <c r="R47" s="147">
        <v>0</v>
      </c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50">C25/C42</f>
        <v>0</v>
      </c>
      <c r="D50" s="133">
        <f t="shared" si="150"/>
        <v>0</v>
      </c>
      <c r="E50" s="133">
        <f t="shared" si="150"/>
        <v>0</v>
      </c>
      <c r="F50" s="133">
        <f t="shared" si="150"/>
        <v>0</v>
      </c>
      <c r="G50" s="133">
        <f t="shared" si="150"/>
        <v>308.130081300813</v>
      </c>
      <c r="H50" s="133">
        <f t="shared" si="150"/>
        <v>408.9430894308943</v>
      </c>
      <c r="I50" s="133">
        <f t="shared" si="150"/>
        <v>332.12435233160625</v>
      </c>
      <c r="J50" s="133">
        <f t="shared" si="150"/>
        <v>452.33160621761658</v>
      </c>
      <c r="K50" s="133">
        <f t="shared" si="150"/>
        <v>606.73575129533685</v>
      </c>
      <c r="L50" s="133">
        <f t="shared" si="150"/>
        <v>710.36269430051811</v>
      </c>
      <c r="M50" s="133">
        <f t="shared" si="150"/>
        <v>821.24352331606224</v>
      </c>
      <c r="N50" s="133">
        <f t="shared" si="150"/>
        <v>229.29606625258799</v>
      </c>
      <c r="O50" s="133">
        <f t="shared" si="150"/>
        <v>318.01242236024842</v>
      </c>
      <c r="P50" s="133">
        <f t="shared" si="150"/>
        <v>355.4865424430642</v>
      </c>
      <c r="Q50" s="133">
        <f t="shared" ref="Q50" si="151">Q25/Q42</f>
        <v>355.4865424430642</v>
      </c>
      <c r="R50" s="118">
        <f>((P50/G50)^(1/($H$2-$H$1) ))-1</f>
        <v>1.6011877688354437E-2</v>
      </c>
      <c r="S50" s="128"/>
      <c r="T50" s="158">
        <f t="shared" ref="T50:AC50" si="152">T25/T42</f>
        <v>394.20289855072463</v>
      </c>
      <c r="U50" s="158">
        <f t="shared" si="152"/>
        <v>437.13588750179366</v>
      </c>
      <c r="V50" s="158">
        <f t="shared" si="152"/>
        <v>484.74474653664259</v>
      </c>
      <c r="W50" s="158">
        <f t="shared" si="152"/>
        <v>537.53872883271265</v>
      </c>
      <c r="X50" s="158">
        <f t="shared" si="152"/>
        <v>596.08255078479033</v>
      </c>
      <c r="Y50" s="158">
        <f t="shared" si="152"/>
        <v>661.00243255343082</v>
      </c>
      <c r="Z50" s="158">
        <f t="shared" si="152"/>
        <v>732.9927964948937</v>
      </c>
      <c r="AA50" s="158">
        <f t="shared" si="152"/>
        <v>812.82369512305058</v>
      </c>
      <c r="AB50" s="158">
        <f t="shared" si="152"/>
        <v>901.34904805724443</v>
      </c>
      <c r="AC50" s="158">
        <f t="shared" si="152"/>
        <v>999.51577606347894</v>
      </c>
      <c r="AD50" s="138">
        <f t="shared" ref="AD50" si="153">((AC50/G50)^(1/($AC$3-$H$1) ))-1</f>
        <v>6.0602820545116121E-2</v>
      </c>
      <c r="AE50" s="31">
        <f t="shared" si="15"/>
        <v>0.05</v>
      </c>
      <c r="AF50" s="146">
        <f t="shared" ref="AF50:AF51" si="154">(AC50*(1+AE50))/($C$1-AE50)</f>
        <v>6173.4797933332529</v>
      </c>
    </row>
    <row r="51" spans="2:32" x14ac:dyDescent="0.2">
      <c r="B51" s="20" t="s">
        <v>304</v>
      </c>
      <c r="C51" s="133">
        <f t="shared" ref="C51:P51" si="155">C27/C42</f>
        <v>0</v>
      </c>
      <c r="D51" s="133">
        <f t="shared" si="155"/>
        <v>0</v>
      </c>
      <c r="E51" s="133">
        <f t="shared" si="155"/>
        <v>0</v>
      </c>
      <c r="F51" s="133">
        <f t="shared" si="155"/>
        <v>0</v>
      </c>
      <c r="G51" s="133">
        <f t="shared" si="155"/>
        <v>249.59349593495935</v>
      </c>
      <c r="H51" s="133">
        <f t="shared" si="155"/>
        <v>308.130081300813</v>
      </c>
      <c r="I51" s="133">
        <f t="shared" si="155"/>
        <v>256.47668393782385</v>
      </c>
      <c r="J51" s="133">
        <f t="shared" si="155"/>
        <v>357.51295336787564</v>
      </c>
      <c r="K51" s="133">
        <f t="shared" si="155"/>
        <v>479.79274611398966</v>
      </c>
      <c r="L51" s="133">
        <f t="shared" si="155"/>
        <v>600.51813471502589</v>
      </c>
      <c r="M51" s="133">
        <f t="shared" si="155"/>
        <v>605.69948186528495</v>
      </c>
      <c r="N51" s="133">
        <f t="shared" si="155"/>
        <v>189.13043478260869</v>
      </c>
      <c r="O51" s="133">
        <f t="shared" si="155"/>
        <v>264.59627329192546</v>
      </c>
      <c r="P51" s="133">
        <f t="shared" si="155"/>
        <v>285.81780538302274</v>
      </c>
      <c r="Q51" s="133">
        <f t="shared" ref="Q51" si="156">Q27/Q42</f>
        <v>285.81780538302274</v>
      </c>
      <c r="R51" s="118">
        <f>((P51/G51)^(1/($H$2-$H$1) ))-1</f>
        <v>1.5171828448811153E-2</v>
      </c>
      <c r="S51" s="128"/>
      <c r="T51" s="158">
        <f t="shared" ref="T51:AC51" si="157">T27/T42</f>
        <v>316.9464772564213</v>
      </c>
      <c r="U51" s="158">
        <f t="shared" si="157"/>
        <v>351.46540052197213</v>
      </c>
      <c r="V51" s="158">
        <f t="shared" si="157"/>
        <v>389.74381047981069</v>
      </c>
      <c r="W51" s="158">
        <f t="shared" si="157"/>
        <v>432.1911561756317</v>
      </c>
      <c r="X51" s="158">
        <f t="shared" si="157"/>
        <v>479.26148011555199</v>
      </c>
      <c r="Y51" s="158">
        <f t="shared" si="157"/>
        <v>531.45827497962205</v>
      </c>
      <c r="Z51" s="158">
        <f t="shared" si="157"/>
        <v>589.33986928433342</v>
      </c>
      <c r="AA51" s="158">
        <f t="shared" si="157"/>
        <v>653.52539960242927</v>
      </c>
      <c r="AB51" s="158">
        <f t="shared" si="157"/>
        <v>724.70143322249589</v>
      </c>
      <c r="AC51" s="158">
        <f t="shared" si="157"/>
        <v>803.62931208831242</v>
      </c>
      <c r="AD51" s="138">
        <f t="shared" ref="AD51" si="158">((AC51/G51)^(1/($AC$3-$H$1) ))-1</f>
        <v>6.0208117908786551E-2</v>
      </c>
      <c r="AE51" s="31">
        <f t="shared" si="15"/>
        <v>0.05</v>
      </c>
      <c r="AF51" s="146">
        <f t="shared" si="154"/>
        <v>4963.5928099572238</v>
      </c>
    </row>
    <row r="52" spans="2:32" x14ac:dyDescent="0.2">
      <c r="B52" s="20" t="s">
        <v>428</v>
      </c>
      <c r="C52" s="133"/>
      <c r="D52" s="133"/>
      <c r="E52" s="133"/>
      <c r="F52" s="133"/>
      <c r="G52" s="133">
        <f>G38-G40</f>
        <v>13.5</v>
      </c>
      <c r="H52" s="133">
        <f t="shared" ref="H52:P52" si="159">H38-H40</f>
        <v>36</v>
      </c>
      <c r="I52" s="133">
        <f t="shared" si="159"/>
        <v>38</v>
      </c>
      <c r="J52" s="133">
        <f t="shared" si="159"/>
        <v>42</v>
      </c>
      <c r="K52" s="133">
        <f t="shared" si="159"/>
        <v>59</v>
      </c>
      <c r="L52" s="133">
        <f t="shared" si="159"/>
        <v>40</v>
      </c>
      <c r="M52" s="133">
        <f t="shared" si="159"/>
        <v>108</v>
      </c>
      <c r="N52" s="133">
        <f t="shared" si="159"/>
        <v>93</v>
      </c>
      <c r="O52" s="133">
        <f t="shared" si="159"/>
        <v>131</v>
      </c>
      <c r="P52" s="133">
        <f t="shared" si="159"/>
        <v>184</v>
      </c>
      <c r="Q52" s="133">
        <f t="shared" ref="Q52" si="160">Q38-Q40</f>
        <v>184</v>
      </c>
      <c r="R52" s="118">
        <f>((P52/G52)^(1/($H$2-$H$1) ))-1</f>
        <v>0.33676105326670358</v>
      </c>
      <c r="S52" s="128"/>
      <c r="T52" s="133">
        <f t="shared" ref="T52:AC52" si="161">T38-T40</f>
        <v>206.07999999999998</v>
      </c>
      <c r="U52" s="133">
        <f t="shared" si="161"/>
        <v>230.80960000000005</v>
      </c>
      <c r="V52" s="133">
        <f t="shared" si="161"/>
        <v>258.50675200000006</v>
      </c>
      <c r="W52" s="133">
        <f t="shared" si="161"/>
        <v>289.52756224000007</v>
      </c>
      <c r="X52" s="133">
        <f t="shared" si="161"/>
        <v>324.27086970880009</v>
      </c>
      <c r="Y52" s="133">
        <f t="shared" si="161"/>
        <v>363.18337407385627</v>
      </c>
      <c r="Z52" s="133">
        <f t="shared" si="161"/>
        <v>406.76537896271918</v>
      </c>
      <c r="AA52" s="133">
        <f t="shared" si="161"/>
        <v>455.57722443824548</v>
      </c>
      <c r="AB52" s="133">
        <f t="shared" si="161"/>
        <v>510.24649137083509</v>
      </c>
      <c r="AC52" s="133">
        <f t="shared" si="161"/>
        <v>571.47607033533518</v>
      </c>
      <c r="AD52" s="138">
        <f t="shared" ref="AD52" si="162">((AC52/G52)^(1/($AC$3-$H$1) ))-1</f>
        <v>0.20596086347085962</v>
      </c>
      <c r="AE52" s="31">
        <f t="shared" si="15"/>
        <v>0.05</v>
      </c>
      <c r="AF52" s="146">
        <f t="shared" ref="AF52" si="163">(AC52*(1+AE52))/($C$1-AE52)</f>
        <v>3529.7051403064825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64">C40/C42</f>
        <v>0</v>
      </c>
      <c r="D54" s="25">
        <f t="shared" si="164"/>
        <v>0</v>
      </c>
      <c r="E54" s="25">
        <f t="shared" si="164"/>
        <v>0</v>
      </c>
      <c r="F54" s="133">
        <f t="shared" si="164"/>
        <v>0</v>
      </c>
      <c r="G54" s="133">
        <f t="shared" si="164"/>
        <v>25.609756097560975</v>
      </c>
      <c r="H54" s="133">
        <f t="shared" si="164"/>
        <v>47.154471544715449</v>
      </c>
      <c r="I54" s="133">
        <f t="shared" si="164"/>
        <v>35.751295336787564</v>
      </c>
      <c r="J54" s="133">
        <f t="shared" si="164"/>
        <v>45.07772020725389</v>
      </c>
      <c r="K54" s="133">
        <f t="shared" si="164"/>
        <v>58.549222797927463</v>
      </c>
      <c r="L54" s="133">
        <f t="shared" si="164"/>
        <v>38.860103626943008</v>
      </c>
      <c r="M54" s="133">
        <f t="shared" si="164"/>
        <v>113.47150259067358</v>
      </c>
      <c r="N54" s="133">
        <f t="shared" si="164"/>
        <v>20.186335403726709</v>
      </c>
      <c r="O54" s="133">
        <f t="shared" si="164"/>
        <v>27.846790890269151</v>
      </c>
      <c r="P54" s="133">
        <f t="shared" si="164"/>
        <v>36.231884057971016</v>
      </c>
      <c r="Q54" s="133">
        <f t="shared" ref="Q54" si="165">Q40/Q42</f>
        <v>36.231884057971016</v>
      </c>
      <c r="R54" s="118">
        <f>((P54/G54)^(1/($H$2-$H$1) ))-1</f>
        <v>3.9304554834800332E-2</v>
      </c>
      <c r="S54" s="128"/>
      <c r="T54" s="158">
        <f t="shared" ref="T54:AC54" si="166">T40/T42</f>
        <v>40.17793083656192</v>
      </c>
      <c r="U54" s="158">
        <f t="shared" si="166"/>
        <v>44.553745086088462</v>
      </c>
      <c r="V54" s="158">
        <f t="shared" si="166"/>
        <v>49.406133164771369</v>
      </c>
      <c r="W54" s="158">
        <f t="shared" si="166"/>
        <v>54.786999153013802</v>
      </c>
      <c r="X54" s="158">
        <f t="shared" si="166"/>
        <v>60.753900050866797</v>
      </c>
      <c r="Y54" s="158">
        <f t="shared" si="166"/>
        <v>67.370661442545355</v>
      </c>
      <c r="Z54" s="158">
        <f t="shared" si="166"/>
        <v>74.708060213515651</v>
      </c>
      <c r="AA54" s="158">
        <f t="shared" si="166"/>
        <v>82.844581622908464</v>
      </c>
      <c r="AB54" s="158">
        <f t="shared" si="166"/>
        <v>91.867258829363848</v>
      </c>
      <c r="AC54" s="158">
        <f t="shared" si="166"/>
        <v>101.87260385038368</v>
      </c>
      <c r="AD54" s="138">
        <f t="shared" ref="AD54:AD68" si="167">((AC54/G54)^(1/($AC$3-$H$1) ))-1</f>
        <v>7.1476371313244691E-2</v>
      </c>
      <c r="AE54" s="31">
        <f t="shared" si="15"/>
        <v>0.05</v>
      </c>
      <c r="AF54" s="146">
        <f t="shared" ref="AF54:AF82" si="168">(AC54*(1+AE54))/($C$1-AE54)</f>
        <v>629.21314142884046</v>
      </c>
    </row>
    <row r="55" spans="2:32" x14ac:dyDescent="0.2">
      <c r="B55" s="20" t="s">
        <v>388</v>
      </c>
      <c r="C55" s="133">
        <f t="shared" ref="C55:F55" si="169">C20/C42</f>
        <v>0</v>
      </c>
      <c r="D55" s="133">
        <f t="shared" si="169"/>
        <v>0</v>
      </c>
      <c r="E55" s="133">
        <f t="shared" si="169"/>
        <v>0</v>
      </c>
      <c r="F55" s="133">
        <f t="shared" si="169"/>
        <v>0</v>
      </c>
      <c r="G55" s="133">
        <f>G20/G42</f>
        <v>44.715447154471548</v>
      </c>
      <c r="H55" s="133">
        <f t="shared" ref="H55:P55" si="170">H20/H42</f>
        <v>42.27642276422764</v>
      </c>
      <c r="I55" s="133">
        <f t="shared" si="170"/>
        <v>17.616580310880831</v>
      </c>
      <c r="J55" s="133">
        <f t="shared" si="170"/>
        <v>25.388601036269431</v>
      </c>
      <c r="K55" s="133">
        <f t="shared" si="170"/>
        <v>19.689119170984455</v>
      </c>
      <c r="L55" s="133">
        <f t="shared" si="170"/>
        <v>147.15025906735752</v>
      </c>
      <c r="M55" s="133">
        <f t="shared" si="170"/>
        <v>101.55440414507773</v>
      </c>
      <c r="N55" s="133">
        <f t="shared" si="170"/>
        <v>6.2111801242236027</v>
      </c>
      <c r="O55" s="133">
        <f t="shared" si="170"/>
        <v>7.5569358178053827</v>
      </c>
      <c r="P55" s="133">
        <f t="shared" si="170"/>
        <v>56.935817805383024</v>
      </c>
      <c r="Q55" s="133">
        <f t="shared" ref="Q55" si="171">Q20/Q42</f>
        <v>56.935817805383024</v>
      </c>
      <c r="R55" s="118">
        <f>((P55/G55)^(1/($H$2-$H$1) ))-1</f>
        <v>2.7208643190703485E-2</v>
      </c>
      <c r="S55" s="128"/>
      <c r="T55" s="133">
        <f t="shared" ref="T55:AC55" si="172">T20/T42</f>
        <v>63.136748457454452</v>
      </c>
      <c r="U55" s="133">
        <f t="shared" si="172"/>
        <v>70.013027992424739</v>
      </c>
      <c r="V55" s="133">
        <f t="shared" si="172"/>
        <v>77.638209258926452</v>
      </c>
      <c r="W55" s="133">
        <f t="shared" si="172"/>
        <v>86.093855811878839</v>
      </c>
      <c r="X55" s="133">
        <f t="shared" si="172"/>
        <v>95.470414365647827</v>
      </c>
      <c r="Y55" s="133">
        <f t="shared" si="172"/>
        <v>105.868182266857</v>
      </c>
      <c r="Z55" s="133">
        <f t="shared" si="172"/>
        <v>117.39838033552462</v>
      </c>
      <c r="AA55" s="133">
        <f t="shared" si="172"/>
        <v>130.18434255028475</v>
      </c>
      <c r="AB55" s="133">
        <f t="shared" si="172"/>
        <v>144.36283530328606</v>
      </c>
      <c r="AC55" s="133">
        <f t="shared" si="172"/>
        <v>160.08552033631722</v>
      </c>
      <c r="AD55" s="138">
        <f t="shared" ref="AD55" si="173">((AC55/G55)^(1/($AC$3-$H$1) ))-1</f>
        <v>6.5846647947042092E-2</v>
      </c>
      <c r="AE55" s="31">
        <f t="shared" si="15"/>
        <v>0.05</v>
      </c>
      <c r="AF55" s="146">
        <f t="shared" si="168"/>
        <v>988.7635079596065</v>
      </c>
    </row>
    <row r="56" spans="2:32" x14ac:dyDescent="0.2">
      <c r="B56" s="20" t="s">
        <v>245</v>
      </c>
      <c r="C56" s="25">
        <f t="shared" ref="C56:P56" si="174">C7/C42</f>
        <v>0</v>
      </c>
      <c r="D56" s="25">
        <f t="shared" si="174"/>
        <v>0</v>
      </c>
      <c r="E56" s="25">
        <f t="shared" si="174"/>
        <v>0</v>
      </c>
      <c r="F56" s="133">
        <f t="shared" si="174"/>
        <v>0</v>
      </c>
      <c r="G56" s="133">
        <f t="shared" si="174"/>
        <v>88.617886178861795</v>
      </c>
      <c r="H56" s="133">
        <f t="shared" si="174"/>
        <v>128.45528455284554</v>
      </c>
      <c r="I56" s="133">
        <f t="shared" si="174"/>
        <v>148.70466321243524</v>
      </c>
      <c r="J56" s="133">
        <f t="shared" si="174"/>
        <v>179.79274611398964</v>
      </c>
      <c r="K56" s="133">
        <f t="shared" si="174"/>
        <v>216.06217616580312</v>
      </c>
      <c r="L56" s="133">
        <f t="shared" si="174"/>
        <v>247.66839378238342</v>
      </c>
      <c r="M56" s="133">
        <f t="shared" si="174"/>
        <v>352.84974093264248</v>
      </c>
      <c r="N56" s="133">
        <f t="shared" si="174"/>
        <v>89.130434782608688</v>
      </c>
      <c r="O56" s="133">
        <f t="shared" si="174"/>
        <v>114.90683229813665</v>
      </c>
      <c r="P56" s="133">
        <f t="shared" si="174"/>
        <v>149.37888198757764</v>
      </c>
      <c r="Q56" s="133">
        <f t="shared" ref="Q56" si="175">Q7/Q42</f>
        <v>149.37888198757764</v>
      </c>
      <c r="R56" s="118">
        <f>((P56/G56)^(1/($H$2-$H$1) ))-1</f>
        <v>5.9732916549582793E-2</v>
      </c>
      <c r="S56" s="128"/>
      <c r="T56" s="158">
        <f t="shared" ref="T56:AC56" si="176">T7/T42</f>
        <v>165.64786913473955</v>
      </c>
      <c r="U56" s="158">
        <f t="shared" si="176"/>
        <v>183.68872616921615</v>
      </c>
      <c r="V56" s="158">
        <f t="shared" si="176"/>
        <v>203.69442901932882</v>
      </c>
      <c r="W56" s="158">
        <f t="shared" si="176"/>
        <v>225.8789707937112</v>
      </c>
      <c r="X56" s="158">
        <f t="shared" si="176"/>
        <v>250.47965078114512</v>
      </c>
      <c r="Y56" s="158">
        <f t="shared" si="176"/>
        <v>277.75961274740843</v>
      </c>
      <c r="Z56" s="158">
        <f t="shared" si="176"/>
        <v>308.01065968029457</v>
      </c>
      <c r="AA56" s="158">
        <f t="shared" si="176"/>
        <v>341.55637509101973</v>
      </c>
      <c r="AB56" s="158">
        <f t="shared" si="176"/>
        <v>378.75558425934872</v>
      </c>
      <c r="AC56" s="158">
        <f t="shared" si="176"/>
        <v>420.00619244601046</v>
      </c>
      <c r="AD56" s="138">
        <f t="shared" si="167"/>
        <v>8.0902982933720002E-2</v>
      </c>
      <c r="AE56" s="31">
        <f t="shared" si="15"/>
        <v>0.05</v>
      </c>
      <c r="AF56" s="146">
        <f t="shared" si="168"/>
        <v>2594.155894519477</v>
      </c>
    </row>
    <row r="57" spans="2:32" x14ac:dyDescent="0.2">
      <c r="B57" s="20" t="s">
        <v>246</v>
      </c>
      <c r="C57" s="127">
        <f t="shared" ref="C57:P57" si="177">C6/C42</f>
        <v>0</v>
      </c>
      <c r="D57" s="127">
        <f t="shared" si="177"/>
        <v>0</v>
      </c>
      <c r="E57" s="127">
        <f t="shared" si="177"/>
        <v>0</v>
      </c>
      <c r="F57" s="144">
        <f t="shared" si="177"/>
        <v>0</v>
      </c>
      <c r="G57" s="144">
        <f t="shared" si="177"/>
        <v>78.048780487804876</v>
      </c>
      <c r="H57" s="144">
        <f t="shared" si="177"/>
        <v>118.69918699186992</v>
      </c>
      <c r="I57" s="144">
        <f t="shared" si="177"/>
        <v>138.86010362694302</v>
      </c>
      <c r="J57" s="144">
        <f t="shared" si="177"/>
        <v>169.94818652849742</v>
      </c>
      <c r="K57" s="144">
        <f t="shared" si="177"/>
        <v>206.21761658031087</v>
      </c>
      <c r="L57" s="144">
        <f t="shared" si="177"/>
        <v>237.8238341968912</v>
      </c>
      <c r="M57" s="144">
        <f t="shared" si="177"/>
        <v>343.00518134715026</v>
      </c>
      <c r="N57" s="144">
        <f t="shared" si="177"/>
        <v>87.163561076604552</v>
      </c>
      <c r="O57" s="144">
        <f t="shared" si="177"/>
        <v>112.83643892339545</v>
      </c>
      <c r="P57" s="144">
        <f t="shared" si="177"/>
        <v>147.30848861283644</v>
      </c>
      <c r="Q57" s="144">
        <f t="shared" ref="Q57" si="178">Q6/Q42</f>
        <v>147.30848861283644</v>
      </c>
      <c r="R57" s="118">
        <f>((P57/G57)^(1/($H$2-$H$1) ))-1</f>
        <v>7.3127426905395199E-2</v>
      </c>
      <c r="S57" s="128"/>
      <c r="T57" s="157">
        <f t="shared" ref="T57:AC57" si="179">T6/T42</f>
        <v>163.35198737265031</v>
      </c>
      <c r="U57" s="157">
        <f t="shared" si="179"/>
        <v>181.14279787858254</v>
      </c>
      <c r="V57" s="157">
        <f t="shared" si="179"/>
        <v>200.87122140991332</v>
      </c>
      <c r="W57" s="157">
        <f t="shared" si="179"/>
        <v>222.74828512782472</v>
      </c>
      <c r="X57" s="157">
        <f t="shared" si="179"/>
        <v>247.00799934966702</v>
      </c>
      <c r="Y57" s="157">
        <f t="shared" si="179"/>
        <v>273.90986066497726</v>
      </c>
      <c r="Z57" s="157">
        <f t="shared" si="179"/>
        <v>303.74162766809366</v>
      </c>
      <c r="AA57" s="157">
        <f t="shared" si="179"/>
        <v>336.8223989982821</v>
      </c>
      <c r="AB57" s="157">
        <f t="shared" si="179"/>
        <v>373.50602661195643</v>
      </c>
      <c r="AC57" s="157">
        <f t="shared" si="179"/>
        <v>414.18490079741707</v>
      </c>
      <c r="AD57" s="138">
        <f t="shared" si="167"/>
        <v>8.7029692328963071E-2</v>
      </c>
      <c r="AE57" s="31">
        <f t="shared" si="15"/>
        <v>0.05</v>
      </c>
      <c r="AF57" s="146">
        <f t="shared" si="168"/>
        <v>2558.2008578663999</v>
      </c>
    </row>
    <row r="58" spans="2:32" x14ac:dyDescent="0.2">
      <c r="B58" s="20" t="s">
        <v>247</v>
      </c>
      <c r="C58" s="127">
        <f t="shared" ref="C58:P58" si="180">C10/C42</f>
        <v>0</v>
      </c>
      <c r="D58" s="127">
        <f t="shared" si="180"/>
        <v>0</v>
      </c>
      <c r="E58" s="127">
        <f t="shared" si="180"/>
        <v>0</v>
      </c>
      <c r="F58" s="144">
        <f t="shared" si="180"/>
        <v>0</v>
      </c>
      <c r="G58" s="144">
        <f t="shared" si="180"/>
        <v>105.6910569105691</v>
      </c>
      <c r="H58" s="144">
        <f t="shared" si="180"/>
        <v>136.58536585365854</v>
      </c>
      <c r="I58" s="144">
        <f t="shared" si="180"/>
        <v>152.8497409326425</v>
      </c>
      <c r="J58" s="144">
        <f t="shared" si="180"/>
        <v>206.21761658031087</v>
      </c>
      <c r="K58" s="144">
        <f t="shared" si="180"/>
        <v>281.34715025906735</v>
      </c>
      <c r="L58" s="144">
        <f t="shared" si="180"/>
        <v>249.22279792746116</v>
      </c>
      <c r="M58" s="144">
        <f t="shared" si="180"/>
        <v>246.6321243523316</v>
      </c>
      <c r="N58" s="144">
        <f t="shared" si="180"/>
        <v>64.285714285714292</v>
      </c>
      <c r="O58" s="144">
        <f t="shared" si="180"/>
        <v>175.56935817805382</v>
      </c>
      <c r="P58" s="144">
        <f t="shared" si="180"/>
        <v>222.15320910973085</v>
      </c>
      <c r="Q58" s="144">
        <f t="shared" ref="Q58" si="181">Q10/Q42</f>
        <v>222.15320910973085</v>
      </c>
      <c r="R58" s="118">
        <f>((P58/G58)^(1/($H$2-$H$1) ))-1</f>
        <v>8.604054479173695E-2</v>
      </c>
      <c r="S58" s="128"/>
      <c r="T58" s="157">
        <f t="shared" ref="T58:AC58" si="182">T10/T42</f>
        <v>246.3481130721768</v>
      </c>
      <c r="U58" s="157">
        <f t="shared" si="182"/>
        <v>273.17810558498815</v>
      </c>
      <c r="V58" s="157">
        <f t="shared" si="182"/>
        <v>302.93017649028394</v>
      </c>
      <c r="W58" s="157">
        <f t="shared" si="182"/>
        <v>335.92257194962184</v>
      </c>
      <c r="X58" s="157">
        <f t="shared" si="182"/>
        <v>372.50819859760048</v>
      </c>
      <c r="Y58" s="157">
        <f t="shared" si="182"/>
        <v>413.07839844486398</v>
      </c>
      <c r="Z58" s="157">
        <f t="shared" si="182"/>
        <v>458.0671349091561</v>
      </c>
      <c r="AA58" s="157">
        <f t="shared" si="182"/>
        <v>507.95563475074749</v>
      </c>
      <c r="AB58" s="157">
        <f t="shared" si="182"/>
        <v>563.27753556518542</v>
      </c>
      <c r="AC58" s="157">
        <f t="shared" si="182"/>
        <v>624.62459389406706</v>
      </c>
      <c r="AD58" s="138">
        <f t="shared" si="167"/>
        <v>9.2896517174971605E-2</v>
      </c>
      <c r="AE58" s="31">
        <f t="shared" si="15"/>
        <v>0.05</v>
      </c>
      <c r="AF58" s="146">
        <f t="shared" si="168"/>
        <v>3857.975432875121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83">(C7-C10)/C42</f>
        <v>0</v>
      </c>
      <c r="D60" s="127">
        <f t="shared" si="183"/>
        <v>0</v>
      </c>
      <c r="E60" s="127">
        <f t="shared" si="183"/>
        <v>0</v>
      </c>
      <c r="F60" s="144">
        <f t="shared" si="183"/>
        <v>0</v>
      </c>
      <c r="G60" s="144">
        <f t="shared" si="183"/>
        <v>-17.073170731707318</v>
      </c>
      <c r="H60" s="144">
        <f t="shared" si="183"/>
        <v>-8.1300813008130088</v>
      </c>
      <c r="I60" s="144">
        <f t="shared" si="183"/>
        <v>-4.1450777202072544</v>
      </c>
      <c r="J60" s="144">
        <f t="shared" si="183"/>
        <v>-26.424870466321245</v>
      </c>
      <c r="K60" s="144">
        <f t="shared" si="183"/>
        <v>-65.284974093264253</v>
      </c>
      <c r="L60" s="144">
        <f t="shared" si="183"/>
        <v>-1.5544041450777202</v>
      </c>
      <c r="M60" s="144">
        <f t="shared" si="183"/>
        <v>106.21761658031089</v>
      </c>
      <c r="N60" s="144">
        <f t="shared" si="183"/>
        <v>24.844720496894411</v>
      </c>
      <c r="O60" s="144">
        <f t="shared" si="183"/>
        <v>-60.662525879917183</v>
      </c>
      <c r="P60" s="144">
        <f t="shared" si="183"/>
        <v>-72.77432712215321</v>
      </c>
      <c r="Q60" s="144">
        <f t="shared" ref="Q60" si="184">(Q7-Q10)/Q42</f>
        <v>-72.77432712215321</v>
      </c>
      <c r="R60" s="118">
        <f>((P60/G60)^(1/($H$2-$H$1) ))-1</f>
        <v>0.17479656595577886</v>
      </c>
      <c r="S60" s="128"/>
      <c r="T60" s="157">
        <f t="shared" ref="T60:AC60" si="185">(T7-T10)/T42</f>
        <v>-80.70024393743725</v>
      </c>
      <c r="U60" s="157">
        <f t="shared" si="185"/>
        <v>-89.489379415772007</v>
      </c>
      <c r="V60" s="157">
        <f t="shared" si="185"/>
        <v>-99.235747470955118</v>
      </c>
      <c r="W60" s="157">
        <f t="shared" si="185"/>
        <v>-110.04360115591065</v>
      </c>
      <c r="X60" s="157">
        <f t="shared" si="185"/>
        <v>-122.02854781645537</v>
      </c>
      <c r="Y60" s="157">
        <f t="shared" si="185"/>
        <v>-135.31878569745552</v>
      </c>
      <c r="Z60" s="157">
        <f t="shared" si="185"/>
        <v>-150.05647522886159</v>
      </c>
      <c r="AA60" s="157">
        <f t="shared" si="185"/>
        <v>-166.39925965972776</v>
      </c>
      <c r="AB60" s="157">
        <f t="shared" si="185"/>
        <v>-184.52195130583669</v>
      </c>
      <c r="AC60" s="157">
        <f t="shared" si="185"/>
        <v>-204.61840144805657</v>
      </c>
      <c r="AD60" s="138">
        <f t="shared" si="167"/>
        <v>0.1322218328407192</v>
      </c>
      <c r="AE60" s="31">
        <f t="shared" si="15"/>
        <v>0.05</v>
      </c>
      <c r="AF60" s="146">
        <f t="shared" si="168"/>
        <v>-1263.8195383556435</v>
      </c>
    </row>
    <row r="61" spans="2:32" x14ac:dyDescent="0.2">
      <c r="B61" s="20" t="s">
        <v>271</v>
      </c>
      <c r="C61" s="127">
        <f t="shared" ref="C61:P61" si="186">(C7-C10-C9)/C42</f>
        <v>0</v>
      </c>
      <c r="D61" s="127">
        <f t="shared" si="186"/>
        <v>0</v>
      </c>
      <c r="E61" s="127">
        <f t="shared" si="186"/>
        <v>0</v>
      </c>
      <c r="F61" s="144">
        <f t="shared" si="186"/>
        <v>0</v>
      </c>
      <c r="G61" s="144">
        <f t="shared" si="186"/>
        <v>-73.170731707317074</v>
      </c>
      <c r="H61" s="144">
        <f t="shared" si="186"/>
        <v>-86.178861788617894</v>
      </c>
      <c r="I61" s="144">
        <f t="shared" si="186"/>
        <v>-52.331606217616581</v>
      </c>
      <c r="J61" s="144">
        <f t="shared" si="186"/>
        <v>-90.15544041450778</v>
      </c>
      <c r="K61" s="144">
        <f t="shared" si="186"/>
        <v>-152.8497409326425</v>
      </c>
      <c r="L61" s="144">
        <f t="shared" si="186"/>
        <v>-76.683937823834199</v>
      </c>
      <c r="M61" s="144">
        <f t="shared" si="186"/>
        <v>6.2176165803108807</v>
      </c>
      <c r="N61" s="144">
        <f t="shared" si="186"/>
        <v>-7.9710144927536231</v>
      </c>
      <c r="O61" s="144">
        <f t="shared" si="186"/>
        <v>-100.41407867494824</v>
      </c>
      <c r="P61" s="144">
        <f t="shared" si="186"/>
        <v>-128.46790890269151</v>
      </c>
      <c r="Q61" s="144">
        <f t="shared" ref="Q61" si="187">(Q7-Q10-Q9)/Q42</f>
        <v>-128.46790890269151</v>
      </c>
      <c r="R61" s="118">
        <f>((P61/G61)^(1/($H$2-$H$1) ))-1</f>
        <v>6.4539835266373968E-2</v>
      </c>
      <c r="S61" s="128"/>
      <c r="T61" s="157">
        <f t="shared" ref="T61:AC61" si="188">(T7-T10-T9)/T42</f>
        <v>-142.45946333763817</v>
      </c>
      <c r="U61" s="157">
        <f t="shared" si="188"/>
        <v>-157.97485043381656</v>
      </c>
      <c r="V61" s="157">
        <f t="shared" si="188"/>
        <v>-175.18003216423224</v>
      </c>
      <c r="W61" s="157">
        <f t="shared" si="188"/>
        <v>-194.25904556825759</v>
      </c>
      <c r="X61" s="157">
        <f t="shared" si="188"/>
        <v>-215.41597132321635</v>
      </c>
      <c r="Y61" s="157">
        <f t="shared" si="188"/>
        <v>-238.87711671485383</v>
      </c>
      <c r="Z61" s="157">
        <f t="shared" si="188"/>
        <v>-264.89343635706564</v>
      </c>
      <c r="AA61" s="157">
        <f t="shared" si="188"/>
        <v>-293.74321655436989</v>
      </c>
      <c r="AB61" s="157">
        <f t="shared" si="188"/>
        <v>-325.73505202068742</v>
      </c>
      <c r="AC61" s="157">
        <f t="shared" si="188"/>
        <v>-361.21114679521776</v>
      </c>
      <c r="AD61" s="138">
        <f t="shared" si="167"/>
        <v>8.3106562705907772E-2</v>
      </c>
      <c r="AE61" s="31">
        <f t="shared" si="15"/>
        <v>0.05</v>
      </c>
      <c r="AF61" s="146">
        <f t="shared" si="168"/>
        <v>-2231.0100243234042</v>
      </c>
    </row>
    <row r="62" spans="2:32" x14ac:dyDescent="0.2">
      <c r="B62" s="20" t="s">
        <v>276</v>
      </c>
      <c r="C62" s="127">
        <f t="shared" ref="C62:P62" si="189">(C7+C15-C10-C9)/C42</f>
        <v>0</v>
      </c>
      <c r="D62" s="127">
        <f t="shared" si="189"/>
        <v>0</v>
      </c>
      <c r="E62" s="127">
        <f t="shared" si="189"/>
        <v>0</v>
      </c>
      <c r="F62" s="144">
        <f t="shared" si="189"/>
        <v>0</v>
      </c>
      <c r="G62" s="144">
        <f t="shared" si="189"/>
        <v>5.691056910569106</v>
      </c>
      <c r="H62" s="144">
        <f t="shared" si="189"/>
        <v>21.13821138211382</v>
      </c>
      <c r="I62" s="144">
        <f t="shared" si="189"/>
        <v>45.595854922279791</v>
      </c>
      <c r="J62" s="144">
        <f t="shared" si="189"/>
        <v>62.694300518134717</v>
      </c>
      <c r="K62" s="144">
        <f t="shared" si="189"/>
        <v>63.730569948186528</v>
      </c>
      <c r="L62" s="144">
        <f t="shared" si="189"/>
        <v>111.91709844559585</v>
      </c>
      <c r="M62" s="144">
        <f t="shared" si="189"/>
        <v>252.8497409326425</v>
      </c>
      <c r="N62" s="144">
        <f t="shared" si="189"/>
        <v>71.946169772256724</v>
      </c>
      <c r="O62" s="144">
        <f t="shared" si="189"/>
        <v>40.165631469979296</v>
      </c>
      <c r="P62" s="144">
        <f t="shared" si="189"/>
        <v>1.3457556935817805</v>
      </c>
      <c r="Q62" s="144">
        <f t="shared" ref="Q62" si="190">(Q7+Q15-Q10-Q9)/Q42</f>
        <v>1.3457556935817805</v>
      </c>
      <c r="R62" s="118">
        <f>((P62/G62)^(1/($H$2-$H$1) ))-1</f>
        <v>-0.14803990116584131</v>
      </c>
      <c r="S62" s="128"/>
      <c r="T62" s="157">
        <f t="shared" ref="T62:AC62" si="191">(T7+T15-T10-T9)/T42</f>
        <v>1.4923231453579968</v>
      </c>
      <c r="U62" s="157">
        <f t="shared" si="191"/>
        <v>1.6548533889118304</v>
      </c>
      <c r="V62" s="157">
        <f t="shared" si="191"/>
        <v>1.8350849461199952</v>
      </c>
      <c r="W62" s="157">
        <f t="shared" si="191"/>
        <v>2.0349456828261405</v>
      </c>
      <c r="X62" s="157">
        <f t="shared" si="191"/>
        <v>2.2565734304606684</v>
      </c>
      <c r="Y62" s="157">
        <f t="shared" si="191"/>
        <v>2.5023388535800892</v>
      </c>
      <c r="Z62" s="157">
        <f t="shared" si="191"/>
        <v>2.7748708079304198</v>
      </c>
      <c r="AA62" s="157">
        <f t="shared" si="191"/>
        <v>3.0770844602791776</v>
      </c>
      <c r="AB62" s="157">
        <f t="shared" si="191"/>
        <v>3.412212470804783</v>
      </c>
      <c r="AC62" s="157">
        <f t="shared" si="191"/>
        <v>3.7838395715853745</v>
      </c>
      <c r="AD62" s="138">
        <f t="shared" si="167"/>
        <v>-2.0201005780955628E-2</v>
      </c>
      <c r="AE62" s="31">
        <f t="shared" si="15"/>
        <v>0.05</v>
      </c>
      <c r="AF62" s="146">
        <f t="shared" si="168"/>
        <v>23.370773824497903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92">C12/C42</f>
        <v>0</v>
      </c>
      <c r="D64" s="127">
        <f t="shared" si="192"/>
        <v>0</v>
      </c>
      <c r="E64" s="127">
        <f t="shared" si="192"/>
        <v>0</v>
      </c>
      <c r="F64" s="144">
        <f t="shared" si="192"/>
        <v>0</v>
      </c>
      <c r="G64" s="144">
        <f t="shared" si="192"/>
        <v>79.674796747967477</v>
      </c>
      <c r="H64" s="144">
        <f t="shared" si="192"/>
        <v>108.130081300813</v>
      </c>
      <c r="I64" s="144">
        <f t="shared" si="192"/>
        <v>39.896373056994818</v>
      </c>
      <c r="J64" s="144">
        <f t="shared" si="192"/>
        <v>3.1088082901554404</v>
      </c>
      <c r="K64" s="144">
        <f t="shared" si="192"/>
        <v>5.1813471502590671</v>
      </c>
      <c r="L64" s="144">
        <f t="shared" si="192"/>
        <v>5.6994818652849739</v>
      </c>
      <c r="M64" s="144">
        <f t="shared" si="192"/>
        <v>2.5906735751295336</v>
      </c>
      <c r="N64" s="144">
        <f t="shared" si="192"/>
        <v>1.2422360248447204</v>
      </c>
      <c r="O64" s="144">
        <f t="shared" si="192"/>
        <v>38.302277432712216</v>
      </c>
      <c r="P64" s="144">
        <f t="shared" si="192"/>
        <v>28.778467908902691</v>
      </c>
      <c r="Q64" s="144">
        <f t="shared" ref="Q64" si="193">Q12/Q42</f>
        <v>28.778467908902691</v>
      </c>
      <c r="R64" s="118">
        <f>((P64/G64)^(1/($H$2-$H$1) ))-1</f>
        <v>-0.10698090555766959</v>
      </c>
      <c r="S64" s="128"/>
      <c r="T64" s="157">
        <f t="shared" ref="T64:AC64" si="194">T12/T42</f>
        <v>31.912756493040607</v>
      </c>
      <c r="U64" s="157">
        <f t="shared" si="194"/>
        <v>35.38840323980741</v>
      </c>
      <c r="V64" s="157">
        <f t="shared" si="194"/>
        <v>39.24258577087555</v>
      </c>
      <c r="W64" s="157">
        <f t="shared" si="194"/>
        <v>43.516530755822401</v>
      </c>
      <c r="X64" s="157">
        <f t="shared" si="194"/>
        <v>48.255954897545635</v>
      </c>
      <c r="Y64" s="157">
        <f t="shared" si="194"/>
        <v>53.511553945793182</v>
      </c>
      <c r="Z64" s="157">
        <f t="shared" si="194"/>
        <v>59.339544969592446</v>
      </c>
      <c r="AA64" s="157">
        <f t="shared" si="194"/>
        <v>65.802267689053025</v>
      </c>
      <c r="AB64" s="157">
        <f t="shared" si="194"/>
        <v>72.968851298751886</v>
      </c>
      <c r="AC64" s="157">
        <f t="shared" si="194"/>
        <v>80.915953915447631</v>
      </c>
      <c r="AD64" s="138">
        <f t="shared" si="167"/>
        <v>7.7318378851742864E-4</v>
      </c>
      <c r="AE64" s="31">
        <f t="shared" si="15"/>
        <v>0.05</v>
      </c>
      <c r="AF64" s="146">
        <f t="shared" si="168"/>
        <v>499.7750094777648</v>
      </c>
    </row>
    <row r="65" spans="2:32" x14ac:dyDescent="0.2">
      <c r="B65" s="20" t="s">
        <v>255</v>
      </c>
      <c r="C65" s="127">
        <f t="shared" ref="C65:P65" si="195">C13/C42</f>
        <v>0</v>
      </c>
      <c r="D65" s="127">
        <f t="shared" si="195"/>
        <v>0</v>
      </c>
      <c r="E65" s="127">
        <f t="shared" si="195"/>
        <v>0</v>
      </c>
      <c r="F65" s="144">
        <f t="shared" si="195"/>
        <v>0</v>
      </c>
      <c r="G65" s="144">
        <f t="shared" si="195"/>
        <v>1.6260162601626016</v>
      </c>
      <c r="H65" s="144">
        <f t="shared" si="195"/>
        <v>1.6829268292682926</v>
      </c>
      <c r="I65" s="144">
        <f t="shared" si="195"/>
        <v>2.5906735751295336</v>
      </c>
      <c r="J65" s="144">
        <f t="shared" si="195"/>
        <v>1.0362694300518136</v>
      </c>
      <c r="K65" s="144">
        <f t="shared" si="195"/>
        <v>2.0725388601036272</v>
      </c>
      <c r="L65" s="144">
        <f t="shared" si="195"/>
        <v>2.0725388601036272</v>
      </c>
      <c r="M65" s="144">
        <f t="shared" si="195"/>
        <v>32.124352331606218</v>
      </c>
      <c r="N65" s="144">
        <f t="shared" si="195"/>
        <v>1.4492753623188406</v>
      </c>
      <c r="O65" s="144">
        <f t="shared" si="195"/>
        <v>0.2484472049689441</v>
      </c>
      <c r="P65" s="144">
        <f t="shared" si="195"/>
        <v>0.3105590062111801</v>
      </c>
      <c r="Q65" s="144">
        <f t="shared" ref="Q65" si="196">Q13/Q42</f>
        <v>0.3105590062111801</v>
      </c>
      <c r="R65" s="118">
        <f>((P65/G65)^(1/($H$2-$H$1) ))-1</f>
        <v>-0.16801930469825077</v>
      </c>
      <c r="S65" s="128"/>
      <c r="T65" s="157">
        <f t="shared" ref="T65:AC65" si="197">T13/T42</f>
        <v>0.34438226431338786</v>
      </c>
      <c r="U65" s="157">
        <f t="shared" si="197"/>
        <v>0.381889243595044</v>
      </c>
      <c r="V65" s="157">
        <f t="shared" si="197"/>
        <v>0.42348114141232607</v>
      </c>
      <c r="W65" s="157">
        <f t="shared" si="197"/>
        <v>0.46960284988297557</v>
      </c>
      <c r="X65" s="157">
        <f t="shared" si="197"/>
        <v>0.52074771472171544</v>
      </c>
      <c r="Y65" s="157">
        <f t="shared" si="197"/>
        <v>0.57746281236467456</v>
      </c>
      <c r="Z65" s="157">
        <f t="shared" si="197"/>
        <v>0.64035480183013427</v>
      </c>
      <c r="AA65" s="157">
        <f t="shared" si="197"/>
        <v>0.71009641391064404</v>
      </c>
      <c r="AB65" s="157">
        <f t="shared" si="197"/>
        <v>0.78743364710883323</v>
      </c>
      <c r="AC65" s="157">
        <f t="shared" si="197"/>
        <v>0.87319374728900323</v>
      </c>
      <c r="AD65" s="138">
        <f t="shared" si="167"/>
        <v>-3.0608322979480462E-2</v>
      </c>
      <c r="AE65" s="31">
        <f t="shared" si="15"/>
        <v>0.05</v>
      </c>
      <c r="AF65" s="146">
        <f t="shared" si="168"/>
        <v>5.3932554979614915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98">(D64+D65)</f>
        <v>0</v>
      </c>
      <c r="E66" s="127">
        <f t="shared" si="198"/>
        <v>0</v>
      </c>
      <c r="F66" s="144">
        <f t="shared" si="198"/>
        <v>0</v>
      </c>
      <c r="G66" s="144">
        <f t="shared" si="198"/>
        <v>81.300813008130078</v>
      </c>
      <c r="H66" s="144">
        <f t="shared" si="198"/>
        <v>109.8130081300813</v>
      </c>
      <c r="I66" s="144">
        <f t="shared" si="198"/>
        <v>42.487046632124354</v>
      </c>
      <c r="J66" s="144">
        <f t="shared" si="198"/>
        <v>4.1450777202072544</v>
      </c>
      <c r="K66" s="144">
        <f t="shared" si="198"/>
        <v>7.2538860103626943</v>
      </c>
      <c r="L66" s="144">
        <f t="shared" si="198"/>
        <v>7.7720207253886011</v>
      </c>
      <c r="M66" s="144">
        <f t="shared" si="198"/>
        <v>34.715025906735754</v>
      </c>
      <c r="N66" s="144">
        <f t="shared" si="198"/>
        <v>2.691511387163561</v>
      </c>
      <c r="O66" s="144">
        <f t="shared" ref="O66" si="199">(O64+O65)</f>
        <v>38.550724637681164</v>
      </c>
      <c r="P66" s="144">
        <f t="shared" si="198"/>
        <v>29.08902691511387</v>
      </c>
      <c r="Q66" s="144">
        <f t="shared" ref="Q66" si="200">(Q64+Q65)</f>
        <v>29.08902691511387</v>
      </c>
      <c r="R66" s="118">
        <f>((P66/G66)^(1/($H$2-$H$1) ))-1</f>
        <v>-0.10791998181833595</v>
      </c>
      <c r="S66" s="128"/>
      <c r="T66" s="157">
        <f t="shared" ref="T66:AC66" si="201">(T64+T65)</f>
        <v>32.257138757353992</v>
      </c>
      <c r="U66" s="157">
        <f t="shared" si="201"/>
        <v>35.770292483402457</v>
      </c>
      <c r="V66" s="157">
        <f t="shared" si="201"/>
        <v>39.666066912287874</v>
      </c>
      <c r="W66" s="157">
        <f t="shared" si="201"/>
        <v>43.986133605705376</v>
      </c>
      <c r="X66" s="157">
        <f t="shared" si="201"/>
        <v>48.77670261226735</v>
      </c>
      <c r="Y66" s="157">
        <f t="shared" si="201"/>
        <v>54.089016758157854</v>
      </c>
      <c r="Z66" s="157">
        <f t="shared" si="201"/>
        <v>59.979899771422581</v>
      </c>
      <c r="AA66" s="157">
        <f t="shared" si="201"/>
        <v>66.512364102963673</v>
      </c>
      <c r="AB66" s="157">
        <f t="shared" si="201"/>
        <v>73.756284945860713</v>
      </c>
      <c r="AC66" s="157">
        <f t="shared" si="201"/>
        <v>81.789147662736639</v>
      </c>
      <c r="AD66" s="138">
        <f t="shared" si="167"/>
        <v>2.9947228506954637E-4</v>
      </c>
      <c r="AE66" s="31">
        <f t="shared" si="15"/>
        <v>0.05</v>
      </c>
      <c r="AF66" s="146">
        <f t="shared" si="168"/>
        <v>505.16826497572634</v>
      </c>
    </row>
    <row r="67" spans="2:32" x14ac:dyDescent="0.2">
      <c r="B67" s="20" t="s">
        <v>249</v>
      </c>
      <c r="C67" s="127">
        <f t="shared" ref="C67:P67" si="202">C15/C42</f>
        <v>0</v>
      </c>
      <c r="D67" s="127">
        <f t="shared" si="202"/>
        <v>0</v>
      </c>
      <c r="E67" s="127">
        <f t="shared" si="202"/>
        <v>0</v>
      </c>
      <c r="F67" s="144">
        <f t="shared" si="202"/>
        <v>0</v>
      </c>
      <c r="G67" s="144">
        <f t="shared" si="202"/>
        <v>78.861788617886177</v>
      </c>
      <c r="H67" s="144">
        <f t="shared" si="202"/>
        <v>107.3170731707317</v>
      </c>
      <c r="I67" s="144">
        <f t="shared" si="202"/>
        <v>97.92746113989638</v>
      </c>
      <c r="J67" s="144">
        <f t="shared" si="202"/>
        <v>152.8497409326425</v>
      </c>
      <c r="K67" s="144">
        <f t="shared" si="202"/>
        <v>216.58031088082902</v>
      </c>
      <c r="L67" s="144">
        <f t="shared" si="202"/>
        <v>188.60103626943007</v>
      </c>
      <c r="M67" s="144">
        <f t="shared" si="202"/>
        <v>246.6321243523316</v>
      </c>
      <c r="N67" s="144">
        <f t="shared" si="202"/>
        <v>79.917184265010349</v>
      </c>
      <c r="O67" s="144">
        <f t="shared" si="202"/>
        <v>140.57971014492753</v>
      </c>
      <c r="P67" s="144">
        <f t="shared" si="202"/>
        <v>129.8136645962733</v>
      </c>
      <c r="Q67" s="144">
        <f t="shared" ref="Q67" si="203">Q15/Q42</f>
        <v>129.8136645962733</v>
      </c>
      <c r="R67" s="118">
        <f>((P67/G67)^(1/($H$2-$H$1) ))-1</f>
        <v>5.6940210942409974E-2</v>
      </c>
      <c r="S67" s="128"/>
      <c r="T67" s="157">
        <f t="shared" ref="T67:AC67" si="204">T15/T42</f>
        <v>143.95178648299614</v>
      </c>
      <c r="U67" s="157">
        <f t="shared" si="204"/>
        <v>159.6297038227284</v>
      </c>
      <c r="V67" s="157">
        <f t="shared" si="204"/>
        <v>177.01511711035229</v>
      </c>
      <c r="W67" s="157">
        <f t="shared" si="204"/>
        <v>196.29399125108375</v>
      </c>
      <c r="X67" s="157">
        <f t="shared" si="204"/>
        <v>217.67254475367702</v>
      </c>
      <c r="Y67" s="157">
        <f t="shared" si="204"/>
        <v>241.37945556843391</v>
      </c>
      <c r="Z67" s="157">
        <f t="shared" si="204"/>
        <v>267.66830716499607</v>
      </c>
      <c r="AA67" s="157">
        <f t="shared" si="204"/>
        <v>296.82030101464915</v>
      </c>
      <c r="AB67" s="157">
        <f t="shared" si="204"/>
        <v>329.14726449149214</v>
      </c>
      <c r="AC67" s="157">
        <f t="shared" si="204"/>
        <v>364.99498636680323</v>
      </c>
      <c r="AD67" s="138">
        <f t="shared" si="167"/>
        <v>7.9620230012521942E-2</v>
      </c>
      <c r="AE67" s="31">
        <f t="shared" si="15"/>
        <v>0.05</v>
      </c>
      <c r="AF67" s="146">
        <f t="shared" si="168"/>
        <v>2254.3807981479026</v>
      </c>
    </row>
    <row r="68" spans="2:32" x14ac:dyDescent="0.2">
      <c r="B68" s="20" t="s">
        <v>250</v>
      </c>
      <c r="C68" s="127">
        <f t="shared" ref="C68:P68" si="205">C16/C42</f>
        <v>0</v>
      </c>
      <c r="D68" s="127">
        <f t="shared" si="205"/>
        <v>0</v>
      </c>
      <c r="E68" s="127">
        <f t="shared" si="205"/>
        <v>0</v>
      </c>
      <c r="F68" s="144">
        <f t="shared" si="205"/>
        <v>0</v>
      </c>
      <c r="G68" s="144">
        <f t="shared" si="205"/>
        <v>53.658536585365852</v>
      </c>
      <c r="H68" s="144">
        <f t="shared" si="205"/>
        <v>70.731707317073173</v>
      </c>
      <c r="I68" s="144">
        <f t="shared" si="205"/>
        <v>128.49740932642487</v>
      </c>
      <c r="J68" s="144">
        <f t="shared" si="205"/>
        <v>139.37823834196891</v>
      </c>
      <c r="K68" s="144">
        <f t="shared" si="205"/>
        <v>193.78238341968913</v>
      </c>
      <c r="L68" s="144">
        <f t="shared" si="205"/>
        <v>160.62176165803109</v>
      </c>
      <c r="M68" s="144">
        <f t="shared" si="205"/>
        <v>196.89119170984458</v>
      </c>
      <c r="N68" s="144">
        <f t="shared" si="205"/>
        <v>60.351966873706004</v>
      </c>
      <c r="O68" s="144">
        <f t="shared" si="205"/>
        <v>150.51759834368531</v>
      </c>
      <c r="P68" s="144">
        <f t="shared" si="205"/>
        <v>128.15734989648033</v>
      </c>
      <c r="Q68" s="144">
        <f t="shared" ref="Q68" si="206">Q16/Q42</f>
        <v>128.15734989648033</v>
      </c>
      <c r="R68" s="118">
        <f>((P68/G68)^(1/($H$2-$H$1) ))-1</f>
        <v>0.10156881493945402</v>
      </c>
      <c r="S68" s="128"/>
      <c r="T68" s="157">
        <f t="shared" ref="T68:AC68" si="207">T16/T42</f>
        <v>142.11508107332475</v>
      </c>
      <c r="U68" s="157">
        <f t="shared" si="207"/>
        <v>157.5929611902215</v>
      </c>
      <c r="V68" s="157">
        <f t="shared" si="207"/>
        <v>174.75655102281988</v>
      </c>
      <c r="W68" s="157">
        <f t="shared" si="207"/>
        <v>193.78944271837454</v>
      </c>
      <c r="X68" s="157">
        <f t="shared" si="207"/>
        <v>214.89522360849455</v>
      </c>
      <c r="Y68" s="157">
        <f t="shared" si="207"/>
        <v>238.29965390248901</v>
      </c>
      <c r="Z68" s="157">
        <f t="shared" si="207"/>
        <v>264.25308155523538</v>
      </c>
      <c r="AA68" s="157">
        <f t="shared" si="207"/>
        <v>293.03312014045906</v>
      </c>
      <c r="AB68" s="157">
        <f t="shared" si="207"/>
        <v>324.94761837357839</v>
      </c>
      <c r="AC68" s="157">
        <f t="shared" si="207"/>
        <v>360.33795304792852</v>
      </c>
      <c r="AD68" s="138">
        <f t="shared" si="167"/>
        <v>9.9900904409518265E-2</v>
      </c>
      <c r="AE68" s="137"/>
      <c r="AF68" s="146">
        <f t="shared" si="168"/>
        <v>1637.8997865814933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5"/>
        <v>0.05</v>
      </c>
      <c r="AF69" s="146">
        <f t="shared" si="168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208">D44</f>
        <v>0</v>
      </c>
      <c r="E70" s="159">
        <f t="shared" si="208"/>
        <v>0</v>
      </c>
      <c r="F70" s="159">
        <f t="shared" si="208"/>
        <v>0</v>
      </c>
      <c r="G70" s="159">
        <f t="shared" si="208"/>
        <v>5.5</v>
      </c>
      <c r="H70" s="159">
        <f t="shared" si="208"/>
        <v>10</v>
      </c>
      <c r="I70" s="159">
        <f t="shared" si="208"/>
        <v>10</v>
      </c>
      <c r="J70" s="159">
        <f t="shared" si="208"/>
        <v>10.5</v>
      </c>
      <c r="K70" s="159">
        <f t="shared" si="208"/>
        <v>10.5</v>
      </c>
      <c r="L70" s="159">
        <f t="shared" si="208"/>
        <v>6</v>
      </c>
      <c r="M70" s="159">
        <f t="shared" si="208"/>
        <v>7</v>
      </c>
      <c r="N70" s="159">
        <f t="shared" si="208"/>
        <v>1.4</v>
      </c>
      <c r="O70" s="159">
        <f t="shared" si="208"/>
        <v>1.5</v>
      </c>
      <c r="P70" s="159">
        <f t="shared" si="208"/>
        <v>1.5</v>
      </c>
      <c r="Q70" s="159">
        <f t="shared" ref="Q70" si="209">Q44</f>
        <v>1.5</v>
      </c>
      <c r="R70" s="118">
        <f>((P70/G70)^(1/($H$2-$H$1) ))-1</f>
        <v>-0.13442804942133846</v>
      </c>
      <c r="S70" s="128"/>
      <c r="T70" s="159">
        <f t="shared" ref="T70:AC70" si="210">T44</f>
        <v>1.5750000000000002</v>
      </c>
      <c r="U70" s="159">
        <f t="shared" si="210"/>
        <v>1.6537500000000003</v>
      </c>
      <c r="V70" s="159">
        <f t="shared" si="210"/>
        <v>1.7364375000000003</v>
      </c>
      <c r="W70" s="159">
        <f t="shared" si="210"/>
        <v>1.8232593750000003</v>
      </c>
      <c r="X70" s="159">
        <f t="shared" si="210"/>
        <v>1.9144223437500005</v>
      </c>
      <c r="Y70" s="159">
        <f t="shared" si="210"/>
        <v>2.0101434609375008</v>
      </c>
      <c r="Z70" s="159">
        <f t="shared" si="210"/>
        <v>2.1106506339843758</v>
      </c>
      <c r="AA70" s="159">
        <f t="shared" si="210"/>
        <v>2.2161831656835949</v>
      </c>
      <c r="AB70" s="159">
        <f t="shared" si="210"/>
        <v>2.3269923239677746</v>
      </c>
      <c r="AC70" s="159">
        <f t="shared" si="210"/>
        <v>2.4433419401661634</v>
      </c>
      <c r="AD70" s="138">
        <f t="shared" ref="AD70" si="211">((AC70/G70)^(1/($AC$3-$H$1) ))-1</f>
        <v>-3.975715898820209E-2</v>
      </c>
      <c r="AE70" s="31">
        <f t="shared" si="15"/>
        <v>0.05</v>
      </c>
      <c r="AF70" s="146">
        <f t="shared" si="168"/>
        <v>15.09122963043807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212">C20+C21</f>
        <v>0</v>
      </c>
      <c r="D72" s="127">
        <f t="shared" si="212"/>
        <v>0</v>
      </c>
      <c r="E72" s="127">
        <f t="shared" si="212"/>
        <v>0</v>
      </c>
      <c r="F72" s="144">
        <f t="shared" si="212"/>
        <v>0</v>
      </c>
      <c r="G72" s="144">
        <f t="shared" si="212"/>
        <v>-8</v>
      </c>
      <c r="H72" s="144">
        <f t="shared" si="212"/>
        <v>-18</v>
      </c>
      <c r="I72" s="144">
        <f t="shared" si="212"/>
        <v>-100</v>
      </c>
      <c r="J72" s="144">
        <f t="shared" si="212"/>
        <v>-128</v>
      </c>
      <c r="K72" s="144">
        <f t="shared" si="212"/>
        <v>-127</v>
      </c>
      <c r="L72" s="144">
        <f t="shared" si="212"/>
        <v>160</v>
      </c>
      <c r="M72" s="144">
        <f t="shared" si="212"/>
        <v>16</v>
      </c>
      <c r="N72" s="144">
        <f t="shared" si="212"/>
        <v>-98</v>
      </c>
      <c r="O72" s="144">
        <f t="shared" si="212"/>
        <v>-604</v>
      </c>
      <c r="P72" s="144">
        <f t="shared" si="212"/>
        <v>-409</v>
      </c>
      <c r="Q72" s="144">
        <f t="shared" ref="Q72" si="213">Q20+Q21</f>
        <v>-409</v>
      </c>
      <c r="R72" s="118">
        <f>((P72/G72)^(1/($H$2-$H$1) ))-1</f>
        <v>0.54827516216368388</v>
      </c>
      <c r="S72" s="128"/>
      <c r="T72" s="144">
        <f t="shared" ref="T72:AC72" si="214">T20+T21</f>
        <v>-458.08000000000004</v>
      </c>
      <c r="U72" s="144">
        <f t="shared" si="214"/>
        <v>-513.04960000000017</v>
      </c>
      <c r="V72" s="144">
        <f t="shared" si="214"/>
        <v>-574.61555200000032</v>
      </c>
      <c r="W72" s="144">
        <f t="shared" si="214"/>
        <v>-643.56941824000046</v>
      </c>
      <c r="X72" s="144">
        <f t="shared" si="214"/>
        <v>-720.79774842880056</v>
      </c>
      <c r="Y72" s="144">
        <f t="shared" si="214"/>
        <v>-807.29347824025672</v>
      </c>
      <c r="Z72" s="144">
        <f t="shared" si="214"/>
        <v>-904.16869562908755</v>
      </c>
      <c r="AA72" s="144">
        <f t="shared" si="214"/>
        <v>-1012.6689391045784</v>
      </c>
      <c r="AB72" s="144">
        <f t="shared" si="214"/>
        <v>-1134.1892117971281</v>
      </c>
      <c r="AC72" s="144">
        <f t="shared" si="214"/>
        <v>-1270.2919172127838</v>
      </c>
      <c r="AD72" s="138">
        <f t="shared" ref="AD72:AD77" si="215">((AC72/G72)^(1/($AC$3-$H$1) ))-1</f>
        <v>0.28837021884516267</v>
      </c>
      <c r="AE72" s="31">
        <f t="shared" si="15"/>
        <v>0.05</v>
      </c>
      <c r="AF72" s="146">
        <f t="shared" si="168"/>
        <v>-7845.9206651377835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216">C72/C42</f>
        <v>0</v>
      </c>
      <c r="D74" s="127">
        <f t="shared" si="216"/>
        <v>0</v>
      </c>
      <c r="E74" s="127">
        <f t="shared" si="216"/>
        <v>0</v>
      </c>
      <c r="F74" s="144">
        <f t="shared" si="216"/>
        <v>0</v>
      </c>
      <c r="G74" s="144">
        <f t="shared" si="216"/>
        <v>-6.5040650406504064</v>
      </c>
      <c r="H74" s="144">
        <f t="shared" si="216"/>
        <v>-14.634146341463415</v>
      </c>
      <c r="I74" s="144">
        <f t="shared" si="216"/>
        <v>-51.813471502590673</v>
      </c>
      <c r="J74" s="144">
        <f t="shared" si="216"/>
        <v>-66.32124352331607</v>
      </c>
      <c r="K74" s="144">
        <f t="shared" si="216"/>
        <v>-65.803108808290162</v>
      </c>
      <c r="L74" s="144">
        <f t="shared" si="216"/>
        <v>82.901554404145074</v>
      </c>
      <c r="M74" s="144">
        <f t="shared" si="216"/>
        <v>8.2901554404145088</v>
      </c>
      <c r="N74" s="144">
        <f t="shared" si="216"/>
        <v>-10.144927536231885</v>
      </c>
      <c r="O74" s="144">
        <f t="shared" si="216"/>
        <v>-62.525879917184263</v>
      </c>
      <c r="P74" s="144">
        <f t="shared" si="216"/>
        <v>-42.339544513457554</v>
      </c>
      <c r="Q74" s="144">
        <f t="shared" ref="Q74" si="217">Q72/Q42</f>
        <v>-42.339544513457554</v>
      </c>
      <c r="R74" s="118">
        <f>((P74/G74)^(1/($H$2-$H$1) ))-1</f>
        <v>0.23139022191120806</v>
      </c>
      <c r="S74" s="128"/>
      <c r="T74" s="146">
        <f t="shared" ref="T74:AC74" si="218">T72/T42</f>
        <v>-46.950782034725215</v>
      </c>
      <c r="U74" s="146">
        <f t="shared" si="218"/>
        <v>-52.064233543457675</v>
      </c>
      <c r="V74" s="146">
        <f t="shared" si="218"/>
        <v>-57.734595612547132</v>
      </c>
      <c r="W74" s="146">
        <f t="shared" si="218"/>
        <v>-64.022521867379012</v>
      </c>
      <c r="X74" s="146">
        <f t="shared" si="218"/>
        <v>-70.995271773727225</v>
      </c>
      <c r="Y74" s="146">
        <f t="shared" si="218"/>
        <v>-78.727430085717316</v>
      </c>
      <c r="Z74" s="146">
        <f t="shared" si="218"/>
        <v>-87.301704649508324</v>
      </c>
      <c r="AA74" s="146">
        <f t="shared" si="218"/>
        <v>-96.809811096484509</v>
      </c>
      <c r="AB74" s="146">
        <f t="shared" si="218"/>
        <v>-107.35345388917098</v>
      </c>
      <c r="AC74" s="146">
        <f t="shared" si="218"/>
        <v>-119.04541421373418</v>
      </c>
      <c r="AD74" s="138">
        <f t="shared" si="215"/>
        <v>0.15644874657504948</v>
      </c>
      <c r="AE74" s="31">
        <f t="shared" si="15"/>
        <v>0.05</v>
      </c>
      <c r="AF74" s="146">
        <f t="shared" si="168"/>
        <v>-735.28049955541712</v>
      </c>
    </row>
    <row r="75" spans="2:32" x14ac:dyDescent="0.2">
      <c r="B75" s="20" t="s">
        <v>287</v>
      </c>
      <c r="C75" s="127">
        <f t="shared" ref="C75:P75" si="219">C20/C42</f>
        <v>0</v>
      </c>
      <c r="D75" s="127">
        <f t="shared" si="219"/>
        <v>0</v>
      </c>
      <c r="E75" s="127">
        <f t="shared" si="219"/>
        <v>0</v>
      </c>
      <c r="F75" s="144">
        <f t="shared" si="219"/>
        <v>0</v>
      </c>
      <c r="G75" s="144">
        <f t="shared" si="219"/>
        <v>44.715447154471548</v>
      </c>
      <c r="H75" s="144">
        <f t="shared" si="219"/>
        <v>42.27642276422764</v>
      </c>
      <c r="I75" s="144">
        <f t="shared" si="219"/>
        <v>17.616580310880831</v>
      </c>
      <c r="J75" s="144">
        <f t="shared" si="219"/>
        <v>25.388601036269431</v>
      </c>
      <c r="K75" s="144">
        <f t="shared" si="219"/>
        <v>19.689119170984455</v>
      </c>
      <c r="L75" s="144">
        <f t="shared" si="219"/>
        <v>147.15025906735752</v>
      </c>
      <c r="M75" s="144">
        <f t="shared" si="219"/>
        <v>101.55440414507773</v>
      </c>
      <c r="N75" s="144">
        <f t="shared" si="219"/>
        <v>6.2111801242236027</v>
      </c>
      <c r="O75" s="144">
        <f t="shared" si="219"/>
        <v>7.5569358178053827</v>
      </c>
      <c r="P75" s="144">
        <f t="shared" si="219"/>
        <v>56.935817805383024</v>
      </c>
      <c r="Q75" s="144">
        <f t="shared" ref="Q75" si="220">Q20/Q42</f>
        <v>56.935817805383024</v>
      </c>
      <c r="R75" s="118">
        <f>((P75/G75)^(1/($H$2-$H$1) ))-1</f>
        <v>2.7208643190703485E-2</v>
      </c>
      <c r="S75" s="128"/>
      <c r="T75" s="146">
        <f t="shared" ref="T75:AC75" si="221">T20/T42</f>
        <v>63.136748457454452</v>
      </c>
      <c r="U75" s="146">
        <f t="shared" si="221"/>
        <v>70.013027992424739</v>
      </c>
      <c r="V75" s="146">
        <f t="shared" si="221"/>
        <v>77.638209258926452</v>
      </c>
      <c r="W75" s="146">
        <f t="shared" si="221"/>
        <v>86.093855811878839</v>
      </c>
      <c r="X75" s="146">
        <f t="shared" si="221"/>
        <v>95.470414365647827</v>
      </c>
      <c r="Y75" s="146">
        <f t="shared" si="221"/>
        <v>105.868182266857</v>
      </c>
      <c r="Z75" s="146">
        <f t="shared" si="221"/>
        <v>117.39838033552462</v>
      </c>
      <c r="AA75" s="146">
        <f t="shared" si="221"/>
        <v>130.18434255028475</v>
      </c>
      <c r="AB75" s="146">
        <f t="shared" si="221"/>
        <v>144.36283530328606</v>
      </c>
      <c r="AC75" s="146">
        <f t="shared" si="221"/>
        <v>160.08552033631722</v>
      </c>
      <c r="AD75" s="138">
        <f t="shared" si="215"/>
        <v>6.5846647947042092E-2</v>
      </c>
      <c r="AE75" s="31">
        <f t="shared" si="15"/>
        <v>0.05</v>
      </c>
      <c r="AF75" s="146">
        <f t="shared" si="168"/>
        <v>988.7635079596065</v>
      </c>
    </row>
    <row r="76" spans="2:32" x14ac:dyDescent="0.2">
      <c r="B76" s="20" t="s">
        <v>288</v>
      </c>
      <c r="C76" s="127">
        <f t="shared" ref="C76:P76" si="222">C21/C42</f>
        <v>0</v>
      </c>
      <c r="D76" s="127">
        <f t="shared" si="222"/>
        <v>0</v>
      </c>
      <c r="E76" s="127">
        <f t="shared" si="222"/>
        <v>0</v>
      </c>
      <c r="F76" s="144">
        <f t="shared" si="222"/>
        <v>0</v>
      </c>
      <c r="G76" s="144">
        <f t="shared" si="222"/>
        <v>-51.219512195121951</v>
      </c>
      <c r="H76" s="144">
        <f t="shared" si="222"/>
        <v>-56.91056910569106</v>
      </c>
      <c r="I76" s="144">
        <f t="shared" si="222"/>
        <v>-69.430051813471508</v>
      </c>
      <c r="J76" s="144">
        <f t="shared" si="222"/>
        <v>-91.709844559585491</v>
      </c>
      <c r="K76" s="144">
        <f t="shared" si="222"/>
        <v>-85.492227979274617</v>
      </c>
      <c r="L76" s="144">
        <f t="shared" si="222"/>
        <v>-64.248704663212436</v>
      </c>
      <c r="M76" s="144">
        <f t="shared" si="222"/>
        <v>-93.264248704663217</v>
      </c>
      <c r="N76" s="144">
        <f t="shared" si="222"/>
        <v>-16.356107660455486</v>
      </c>
      <c r="O76" s="144">
        <f t="shared" si="222"/>
        <v>-70.082815734989651</v>
      </c>
      <c r="P76" s="144">
        <f t="shared" si="222"/>
        <v>-99.275362318840578</v>
      </c>
      <c r="Q76" s="144">
        <f t="shared" ref="Q76" si="223">Q21/Q42</f>
        <v>-99.275362318840578</v>
      </c>
      <c r="R76" s="118">
        <f>((P76/G76)^(1/($H$2-$H$1) ))-1</f>
        <v>7.6301646747287455E-2</v>
      </c>
      <c r="S76" s="128"/>
      <c r="T76" s="146">
        <f t="shared" ref="T76:AC76" si="224">T21/T42</f>
        <v>-110.08753049217967</v>
      </c>
      <c r="U76" s="146">
        <f t="shared" si="224"/>
        <v>-122.07726153588241</v>
      </c>
      <c r="V76" s="146">
        <f t="shared" si="224"/>
        <v>-135.37280487147359</v>
      </c>
      <c r="W76" s="146">
        <f t="shared" si="224"/>
        <v>-150.11637767925785</v>
      </c>
      <c r="X76" s="146">
        <f t="shared" si="224"/>
        <v>-166.46568613937504</v>
      </c>
      <c r="Y76" s="146">
        <f t="shared" si="224"/>
        <v>-184.59561235257431</v>
      </c>
      <c r="Z76" s="146">
        <f t="shared" si="224"/>
        <v>-204.70008498503293</v>
      </c>
      <c r="AA76" s="146">
        <f t="shared" si="224"/>
        <v>-226.99415364676926</v>
      </c>
      <c r="AB76" s="146">
        <f t="shared" si="224"/>
        <v>-251.71628919245705</v>
      </c>
      <c r="AC76" s="146">
        <f t="shared" si="224"/>
        <v>-279.13093455005139</v>
      </c>
      <c r="AD76" s="138">
        <f t="shared" si="215"/>
        <v>8.8475420877562438E-2</v>
      </c>
      <c r="AE76" s="31">
        <f t="shared" si="15"/>
        <v>0.05</v>
      </c>
      <c r="AF76" s="146">
        <f t="shared" si="168"/>
        <v>-1724.0440075150236</v>
      </c>
    </row>
    <row r="77" spans="2:32" x14ac:dyDescent="0.2">
      <c r="B77" s="20" t="s">
        <v>289</v>
      </c>
      <c r="C77" s="127">
        <f t="shared" ref="C77:P77" si="225">C22/C42</f>
        <v>0</v>
      </c>
      <c r="D77" s="127">
        <f t="shared" si="225"/>
        <v>0</v>
      </c>
      <c r="E77" s="127">
        <f t="shared" si="225"/>
        <v>0</v>
      </c>
      <c r="F77" s="144">
        <f t="shared" si="225"/>
        <v>0</v>
      </c>
      <c r="G77" s="144">
        <f t="shared" si="225"/>
        <v>5.691056910569106</v>
      </c>
      <c r="H77" s="144">
        <f t="shared" si="225"/>
        <v>16.260162601626018</v>
      </c>
      <c r="I77" s="144">
        <f t="shared" si="225"/>
        <v>91.191709844559583</v>
      </c>
      <c r="J77" s="144">
        <f t="shared" si="225"/>
        <v>29.533678756476686</v>
      </c>
      <c r="K77" s="144">
        <f t="shared" si="225"/>
        <v>67.875647668393782</v>
      </c>
      <c r="L77" s="144">
        <f t="shared" si="225"/>
        <v>-81.347150259067362</v>
      </c>
      <c r="M77" s="144">
        <f t="shared" si="225"/>
        <v>-11.917098445595855</v>
      </c>
      <c r="N77" s="144">
        <f t="shared" si="225"/>
        <v>10.869565217391305</v>
      </c>
      <c r="O77" s="144">
        <f t="shared" si="225"/>
        <v>98.343685300207042</v>
      </c>
      <c r="P77" s="144">
        <f t="shared" si="225"/>
        <v>32.919254658385093</v>
      </c>
      <c r="Q77" s="144">
        <f t="shared" ref="Q77" si="226">Q22/Q42</f>
        <v>32.919254658385093</v>
      </c>
      <c r="R77" s="118">
        <f>((P77/G77)^(1/($H$2-$H$1) ))-1</f>
        <v>0.21533282918474717</v>
      </c>
      <c r="S77" s="128"/>
      <c r="T77" s="146">
        <f t="shared" ref="T77:AC77" si="227">T22/T42</f>
        <v>36.504520017219114</v>
      </c>
      <c r="U77" s="146">
        <f t="shared" si="227"/>
        <v>40.480259821074661</v>
      </c>
      <c r="V77" s="146">
        <f t="shared" si="227"/>
        <v>44.88900098970656</v>
      </c>
      <c r="W77" s="146">
        <f t="shared" si="227"/>
        <v>49.7779020875954</v>
      </c>
      <c r="X77" s="146">
        <f t="shared" si="227"/>
        <v>55.199257760501837</v>
      </c>
      <c r="Y77" s="146">
        <f t="shared" si="227"/>
        <v>61.211058110655507</v>
      </c>
      <c r="Z77" s="146">
        <f t="shared" si="227"/>
        <v>67.877608993994244</v>
      </c>
      <c r="AA77" s="146">
        <f t="shared" si="227"/>
        <v>75.27021987452828</v>
      </c>
      <c r="AB77" s="146">
        <f t="shared" si="227"/>
        <v>83.467966593536318</v>
      </c>
      <c r="AC77" s="146">
        <f t="shared" si="227"/>
        <v>92.558537212634334</v>
      </c>
      <c r="AD77" s="138">
        <f t="shared" si="215"/>
        <v>0.14963817791699929</v>
      </c>
      <c r="AE77" s="31">
        <f t="shared" si="15"/>
        <v>0.05</v>
      </c>
      <c r="AF77" s="146">
        <f t="shared" si="168"/>
        <v>571.68508278391801</v>
      </c>
    </row>
    <row r="78" spans="2:32" x14ac:dyDescent="0.2">
      <c r="B78" s="20" t="s">
        <v>296</v>
      </c>
      <c r="C78" s="127">
        <f t="shared" ref="C78:P78" si="228">C23/C42</f>
        <v>0</v>
      </c>
      <c r="D78" s="127">
        <f t="shared" si="228"/>
        <v>0</v>
      </c>
      <c r="E78" s="127">
        <f t="shared" si="228"/>
        <v>0</v>
      </c>
      <c r="F78" s="144">
        <f t="shared" si="228"/>
        <v>0</v>
      </c>
      <c r="G78" s="144">
        <f t="shared" si="228"/>
        <v>1.3983739837398375</v>
      </c>
      <c r="H78" s="144">
        <f t="shared" si="228"/>
        <v>2.6829268292682924</v>
      </c>
      <c r="I78" s="144">
        <f t="shared" si="228"/>
        <v>39.896373056994818</v>
      </c>
      <c r="J78" s="144">
        <f t="shared" si="228"/>
        <v>2.7461139896373057</v>
      </c>
      <c r="K78" s="144">
        <f t="shared" si="228"/>
        <v>4.5025906735751295</v>
      </c>
      <c r="L78" s="144">
        <f t="shared" si="228"/>
        <v>5.6994818652849739</v>
      </c>
      <c r="M78" s="144">
        <f t="shared" si="228"/>
        <v>2.0725388601036272</v>
      </c>
      <c r="N78" s="144">
        <f t="shared" si="228"/>
        <v>1.1387163561076605</v>
      </c>
      <c r="O78" s="144">
        <f t="shared" si="228"/>
        <v>36.956521739130437</v>
      </c>
      <c r="P78" s="144">
        <f t="shared" si="228"/>
        <v>27.536231884057969</v>
      </c>
      <c r="Q78" s="144">
        <f t="shared" ref="Q78" si="229">Q23/Q42</f>
        <v>27.536231884057969</v>
      </c>
      <c r="R78" s="118">
        <f>((P78/G78)^(1/($H$2-$H$1) ))-1</f>
        <v>0.3925442982558669</v>
      </c>
      <c r="S78" s="128"/>
      <c r="T78" s="146">
        <f t="shared" ref="T78:AC78" si="230">T23/T42</f>
        <v>30.535227435787057</v>
      </c>
      <c r="U78" s="146">
        <f t="shared" si="230"/>
        <v>33.860846265427227</v>
      </c>
      <c r="V78" s="146">
        <f t="shared" si="230"/>
        <v>37.548661205226239</v>
      </c>
      <c r="W78" s="146">
        <f t="shared" si="230"/>
        <v>41.638119356290488</v>
      </c>
      <c r="X78" s="146">
        <f t="shared" si="230"/>
        <v>46.172964038658762</v>
      </c>
      <c r="Y78" s="146">
        <f t="shared" si="230"/>
        <v>51.201702696334472</v>
      </c>
      <c r="Z78" s="146">
        <f t="shared" si="230"/>
        <v>56.778125762271898</v>
      </c>
      <c r="AA78" s="146">
        <f t="shared" si="230"/>
        <v>62.961882033410433</v>
      </c>
      <c r="AB78" s="146">
        <f t="shared" si="230"/>
        <v>69.819116710316521</v>
      </c>
      <c r="AC78" s="146">
        <f t="shared" si="230"/>
        <v>77.423178926291598</v>
      </c>
      <c r="AD78" s="138">
        <f t="shared" ref="AD78" si="231">((AC78/G78)^(1/($AC$3-$H$1) ))-1</f>
        <v>0.22225657780799479</v>
      </c>
      <c r="AE78" s="31">
        <f t="shared" si="15"/>
        <v>0.05</v>
      </c>
      <c r="AF78" s="146">
        <f t="shared" si="168"/>
        <v>478.20198748591872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32">C36/C42</f>
        <v>0</v>
      </c>
      <c r="D80" s="144">
        <f t="shared" si="232"/>
        <v>0</v>
      </c>
      <c r="E80" s="144">
        <f t="shared" si="232"/>
        <v>0</v>
      </c>
      <c r="F80" s="144">
        <f t="shared" si="232"/>
        <v>0</v>
      </c>
      <c r="G80" s="144">
        <f t="shared" si="232"/>
        <v>56.91056910569106</v>
      </c>
      <c r="H80" s="144">
        <f t="shared" si="232"/>
        <v>91.056910569105696</v>
      </c>
      <c r="I80" s="144">
        <f t="shared" si="232"/>
        <v>72.538860103626945</v>
      </c>
      <c r="J80" s="144">
        <f t="shared" si="232"/>
        <v>92.2279792746114</v>
      </c>
      <c r="K80" s="144">
        <f t="shared" si="232"/>
        <v>117.61658031088083</v>
      </c>
      <c r="L80" s="144">
        <f t="shared" si="232"/>
        <v>126.94300518134716</v>
      </c>
      <c r="M80" s="144">
        <f t="shared" si="232"/>
        <v>200</v>
      </c>
      <c r="N80" s="144">
        <f t="shared" si="232"/>
        <v>37.991718426501038</v>
      </c>
      <c r="O80" s="144">
        <f t="shared" si="232"/>
        <v>53.002070393374737</v>
      </c>
      <c r="P80" s="144">
        <f t="shared" si="232"/>
        <v>69.254658385093165</v>
      </c>
      <c r="Q80" s="144">
        <f t="shared" ref="Q80" si="233">Q36/Q42</f>
        <v>69.254658385093165</v>
      </c>
      <c r="R80" s="118">
        <f>((P80/G80)^(1/($H$2-$H$1) ))-1</f>
        <v>2.2051772788613144E-2</v>
      </c>
      <c r="S80" s="128"/>
      <c r="T80" s="144">
        <f t="shared" ref="T80:AC80" si="234">T36/T42</f>
        <v>76.797244941885495</v>
      </c>
      <c r="U80" s="144">
        <f t="shared" si="234"/>
        <v>85.161301321694808</v>
      </c>
      <c r="V80" s="144">
        <f t="shared" si="234"/>
        <v>94.436294534948701</v>
      </c>
      <c r="W80" s="144">
        <f t="shared" si="234"/>
        <v>104.72143552390352</v>
      </c>
      <c r="X80" s="144">
        <f t="shared" si="234"/>
        <v>116.12674038294251</v>
      </c>
      <c r="Y80" s="144">
        <f t="shared" si="234"/>
        <v>128.77420715732239</v>
      </c>
      <c r="Z80" s="144">
        <f t="shared" si="234"/>
        <v>142.79912080811991</v>
      </c>
      <c r="AA80" s="144">
        <f t="shared" si="234"/>
        <v>158.35150030207359</v>
      </c>
      <c r="AB80" s="144">
        <f t="shared" si="234"/>
        <v>175.59770330526976</v>
      </c>
      <c r="AC80" s="144">
        <f t="shared" si="234"/>
        <v>194.72220564544764</v>
      </c>
      <c r="AD80" s="138">
        <f t="shared" ref="AD80:AD82" si="235">((AC80/G80)^(1/($AC$3-$H$1) ))-1</f>
        <v>6.343543531232898E-2</v>
      </c>
      <c r="AE80" s="31">
        <f t="shared" si="15"/>
        <v>0.05</v>
      </c>
      <c r="AF80" s="146">
        <f t="shared" si="168"/>
        <v>1202.6959760454122</v>
      </c>
    </row>
    <row r="81" spans="2:32" x14ac:dyDescent="0.2">
      <c r="B81" s="20" t="s">
        <v>312</v>
      </c>
      <c r="C81" s="144">
        <f t="shared" ref="C81:P81" si="236">C40/C42</f>
        <v>0</v>
      </c>
      <c r="D81" s="144">
        <f t="shared" si="236"/>
        <v>0</v>
      </c>
      <c r="E81" s="144">
        <f t="shared" si="236"/>
        <v>0</v>
      </c>
      <c r="F81" s="144">
        <f t="shared" si="236"/>
        <v>0</v>
      </c>
      <c r="G81" s="144">
        <f t="shared" si="236"/>
        <v>25.609756097560975</v>
      </c>
      <c r="H81" s="144">
        <f t="shared" si="236"/>
        <v>47.154471544715449</v>
      </c>
      <c r="I81" s="144">
        <f t="shared" si="236"/>
        <v>35.751295336787564</v>
      </c>
      <c r="J81" s="144">
        <f t="shared" si="236"/>
        <v>45.07772020725389</v>
      </c>
      <c r="K81" s="144">
        <f t="shared" si="236"/>
        <v>58.549222797927463</v>
      </c>
      <c r="L81" s="144">
        <f t="shared" si="236"/>
        <v>38.860103626943008</v>
      </c>
      <c r="M81" s="144">
        <f t="shared" si="236"/>
        <v>113.47150259067358</v>
      </c>
      <c r="N81" s="144">
        <f t="shared" si="236"/>
        <v>20.186335403726709</v>
      </c>
      <c r="O81" s="144">
        <f t="shared" si="236"/>
        <v>27.846790890269151</v>
      </c>
      <c r="P81" s="144">
        <f t="shared" si="236"/>
        <v>36.231884057971016</v>
      </c>
      <c r="Q81" s="144">
        <f t="shared" ref="Q81" si="237">Q40/Q42</f>
        <v>36.231884057971016</v>
      </c>
      <c r="R81" s="118">
        <f>((P81/G81)^(1/($H$2-$H$1) ))-1</f>
        <v>3.9304554834800332E-2</v>
      </c>
      <c r="S81" s="128"/>
      <c r="T81" s="144">
        <f t="shared" ref="T81:AC81" si="238">T40/T42</f>
        <v>40.17793083656192</v>
      </c>
      <c r="U81" s="144">
        <f t="shared" si="238"/>
        <v>44.553745086088462</v>
      </c>
      <c r="V81" s="144">
        <f t="shared" si="238"/>
        <v>49.406133164771369</v>
      </c>
      <c r="W81" s="144">
        <f t="shared" si="238"/>
        <v>54.786999153013802</v>
      </c>
      <c r="X81" s="144">
        <f t="shared" si="238"/>
        <v>60.753900050866797</v>
      </c>
      <c r="Y81" s="144">
        <f t="shared" si="238"/>
        <v>67.370661442545355</v>
      </c>
      <c r="Z81" s="144">
        <f t="shared" si="238"/>
        <v>74.708060213515651</v>
      </c>
      <c r="AA81" s="144">
        <f t="shared" si="238"/>
        <v>82.844581622908464</v>
      </c>
      <c r="AB81" s="144">
        <f t="shared" si="238"/>
        <v>91.867258829363848</v>
      </c>
      <c r="AC81" s="144">
        <f t="shared" si="238"/>
        <v>101.87260385038368</v>
      </c>
      <c r="AD81" s="138">
        <f t="shared" si="235"/>
        <v>7.1476371313244691E-2</v>
      </c>
      <c r="AE81" s="31">
        <f t="shared" si="15"/>
        <v>0.05</v>
      </c>
      <c r="AF81" s="146">
        <f t="shared" si="168"/>
        <v>629.21314142884046</v>
      </c>
    </row>
    <row r="82" spans="2:32" x14ac:dyDescent="0.2">
      <c r="B82" s="20" t="s">
        <v>313</v>
      </c>
      <c r="C82" s="144">
        <f t="shared" ref="C82:P82" si="239">C6/C42</f>
        <v>0</v>
      </c>
      <c r="D82" s="144">
        <f t="shared" si="239"/>
        <v>0</v>
      </c>
      <c r="E82" s="144">
        <f t="shared" si="239"/>
        <v>0</v>
      </c>
      <c r="F82" s="144">
        <f t="shared" si="239"/>
        <v>0</v>
      </c>
      <c r="G82" s="144">
        <f t="shared" si="239"/>
        <v>78.048780487804876</v>
      </c>
      <c r="H82" s="144">
        <f t="shared" si="239"/>
        <v>118.69918699186992</v>
      </c>
      <c r="I82" s="144">
        <f t="shared" si="239"/>
        <v>138.86010362694302</v>
      </c>
      <c r="J82" s="144">
        <f t="shared" si="239"/>
        <v>169.94818652849742</v>
      </c>
      <c r="K82" s="144">
        <f t="shared" si="239"/>
        <v>206.21761658031087</v>
      </c>
      <c r="L82" s="144">
        <f t="shared" si="239"/>
        <v>237.8238341968912</v>
      </c>
      <c r="M82" s="144">
        <f t="shared" si="239"/>
        <v>343.00518134715026</v>
      </c>
      <c r="N82" s="144">
        <f t="shared" si="239"/>
        <v>87.163561076604552</v>
      </c>
      <c r="O82" s="144">
        <f t="shared" si="239"/>
        <v>112.83643892339545</v>
      </c>
      <c r="P82" s="144">
        <f t="shared" si="239"/>
        <v>147.30848861283644</v>
      </c>
      <c r="Q82" s="144">
        <f t="shared" ref="Q82" si="240">Q6/Q42</f>
        <v>147.30848861283644</v>
      </c>
      <c r="R82" s="118">
        <f>((P82/G82)^(1/($H$2-$H$1) ))-1</f>
        <v>7.3127426905395199E-2</v>
      </c>
      <c r="S82" s="128"/>
      <c r="T82" s="144">
        <f t="shared" ref="T82:AC82" si="241">T6/T42</f>
        <v>163.35198737265031</v>
      </c>
      <c r="U82" s="144">
        <f t="shared" si="241"/>
        <v>181.14279787858254</v>
      </c>
      <c r="V82" s="144">
        <f t="shared" si="241"/>
        <v>200.87122140991332</v>
      </c>
      <c r="W82" s="144">
        <f t="shared" si="241"/>
        <v>222.74828512782472</v>
      </c>
      <c r="X82" s="144">
        <f t="shared" si="241"/>
        <v>247.00799934966702</v>
      </c>
      <c r="Y82" s="144">
        <f t="shared" si="241"/>
        <v>273.90986066497726</v>
      </c>
      <c r="Z82" s="144">
        <f t="shared" si="241"/>
        <v>303.74162766809366</v>
      </c>
      <c r="AA82" s="144">
        <f t="shared" si="241"/>
        <v>336.8223989982821</v>
      </c>
      <c r="AB82" s="144">
        <f t="shared" si="241"/>
        <v>373.50602661195643</v>
      </c>
      <c r="AC82" s="144">
        <f t="shared" si="241"/>
        <v>414.18490079741707</v>
      </c>
      <c r="AD82" s="138">
        <f t="shared" si="235"/>
        <v>8.7029692328963071E-2</v>
      </c>
      <c r="AE82" s="31">
        <f t="shared" ref="AE82" si="242">$L$1</f>
        <v>0.05</v>
      </c>
      <c r="AF82" s="146">
        <f t="shared" si="168"/>
        <v>2558.2008578663999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43">E36/E25</f>
        <v>#DIV/0!</v>
      </c>
      <c r="F86" s="152" t="e">
        <f t="shared" si="243"/>
        <v>#DIV/0!</v>
      </c>
      <c r="G86" s="152">
        <f t="shared" si="243"/>
        <v>0.18469656992084432</v>
      </c>
      <c r="H86" s="152">
        <f t="shared" si="243"/>
        <v>0.22266401590457258</v>
      </c>
      <c r="I86" s="152">
        <f t="shared" si="243"/>
        <v>0.21840873634945399</v>
      </c>
      <c r="J86" s="152">
        <f t="shared" si="243"/>
        <v>0.20389461626575028</v>
      </c>
      <c r="K86" s="152">
        <f t="shared" si="243"/>
        <v>0.19385140905209222</v>
      </c>
      <c r="L86" s="152">
        <f t="shared" si="243"/>
        <v>0.17870167760758571</v>
      </c>
      <c r="M86" s="152">
        <f t="shared" si="243"/>
        <v>0.24353312302839117</v>
      </c>
      <c r="N86" s="152">
        <f t="shared" si="243"/>
        <v>0.1656884875846501</v>
      </c>
      <c r="O86" s="152">
        <f t="shared" si="243"/>
        <v>0.16666666666666666</v>
      </c>
      <c r="P86" s="152">
        <f t="shared" si="243"/>
        <v>0.19481654047757718</v>
      </c>
      <c r="Q86" s="152">
        <f t="shared" ref="Q86" si="244">Q36/Q25</f>
        <v>0.19481654047757718</v>
      </c>
      <c r="R86" s="118">
        <f t="shared" ref="R86:R138" si="245">((P86/G86)^(1/($H$2-$H$1) ))-1</f>
        <v>5.9447091445432587E-3</v>
      </c>
      <c r="S86" s="152"/>
      <c r="T86" s="152">
        <f t="shared" ref="T86:AC86" si="246">T36/T25</f>
        <v>0.19481654047757718</v>
      </c>
      <c r="U86" s="152">
        <f t="shared" si="246"/>
        <v>0.19481654047757718</v>
      </c>
      <c r="V86" s="152">
        <f t="shared" si="246"/>
        <v>0.19481654047757715</v>
      </c>
      <c r="W86" s="152">
        <f t="shared" si="246"/>
        <v>0.19481654047757713</v>
      </c>
      <c r="X86" s="152">
        <f t="shared" si="246"/>
        <v>0.1948165404775771</v>
      </c>
      <c r="Y86" s="152">
        <f t="shared" si="246"/>
        <v>0.1948165404775771</v>
      </c>
      <c r="Z86" s="152">
        <f t="shared" si="246"/>
        <v>0.19481654047757713</v>
      </c>
      <c r="AA86" s="152">
        <f t="shared" si="246"/>
        <v>0.19481654047757713</v>
      </c>
      <c r="AB86" s="152">
        <f t="shared" si="246"/>
        <v>0.19481654047757713</v>
      </c>
      <c r="AC86" s="152">
        <f t="shared" si="246"/>
        <v>0.19481654047757713</v>
      </c>
      <c r="AD86" s="138">
        <f t="shared" ref="AD86:AD125" si="247">((AC86/G86)^(1/($AC$3-$H$1) ))-1</f>
        <v>2.6707592251709045E-3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48">E40/E25</f>
        <v>#DIV/0!</v>
      </c>
      <c r="F87" s="152" t="e">
        <f t="shared" si="248"/>
        <v>#DIV/0!</v>
      </c>
      <c r="G87" s="152">
        <f t="shared" si="248"/>
        <v>8.3113456464379953E-2</v>
      </c>
      <c r="H87" s="152">
        <f t="shared" si="248"/>
        <v>0.11530815109343936</v>
      </c>
      <c r="I87" s="152">
        <f t="shared" si="248"/>
        <v>0.10764430577223089</v>
      </c>
      <c r="J87" s="152">
        <f t="shared" si="248"/>
        <v>9.9656357388316158E-2</v>
      </c>
      <c r="K87" s="152">
        <f t="shared" si="248"/>
        <v>9.6498719043552519E-2</v>
      </c>
      <c r="L87" s="152">
        <f t="shared" si="248"/>
        <v>5.4704595185995623E-2</v>
      </c>
      <c r="M87" s="152">
        <f t="shared" si="248"/>
        <v>0.13817034700315459</v>
      </c>
      <c r="N87" s="152">
        <f t="shared" si="248"/>
        <v>8.8036117381489837E-2</v>
      </c>
      <c r="O87" s="152">
        <f t="shared" si="248"/>
        <v>8.7565104166666671E-2</v>
      </c>
      <c r="P87" s="152">
        <f t="shared" si="248"/>
        <v>0.10192195690157251</v>
      </c>
      <c r="Q87" s="152">
        <f t="shared" ref="Q87" si="249">Q40/Q25</f>
        <v>0.10192195690157251</v>
      </c>
      <c r="R87" s="118">
        <f t="shared" si="245"/>
        <v>2.2925595318276981E-2</v>
      </c>
      <c r="S87" s="152"/>
      <c r="T87" s="152">
        <f t="shared" ref="T87:AC87" si="250">T40/T25</f>
        <v>0.10192195690157252</v>
      </c>
      <c r="U87" s="152">
        <f t="shared" si="250"/>
        <v>0.10192195690157251</v>
      </c>
      <c r="V87" s="152">
        <f t="shared" si="250"/>
        <v>0.10192195690157251</v>
      </c>
      <c r="W87" s="152">
        <f t="shared" si="250"/>
        <v>0.10192195690157251</v>
      </c>
      <c r="X87" s="152">
        <f t="shared" si="250"/>
        <v>0.10192195690157249</v>
      </c>
      <c r="Y87" s="152">
        <f t="shared" si="250"/>
        <v>0.10192195690157249</v>
      </c>
      <c r="Z87" s="152">
        <f t="shared" si="250"/>
        <v>0.10192195690157249</v>
      </c>
      <c r="AA87" s="152">
        <f t="shared" si="250"/>
        <v>0.10192195690157249</v>
      </c>
      <c r="AB87" s="152">
        <f t="shared" si="250"/>
        <v>0.10192195690157248</v>
      </c>
      <c r="AC87" s="152">
        <f t="shared" si="250"/>
        <v>0.10192195690157251</v>
      </c>
      <c r="AD87" s="138">
        <f t="shared" si="247"/>
        <v>1.0252236329656439E-2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51">E40/E7</f>
        <v>#DIV/0!</v>
      </c>
      <c r="F88" s="152" t="e">
        <f t="shared" si="251"/>
        <v>#DIV/0!</v>
      </c>
      <c r="G88" s="152">
        <f>G40/G7</f>
        <v>0.28899082568807338</v>
      </c>
      <c r="H88" s="152">
        <f t="shared" si="251"/>
        <v>0.36708860759493672</v>
      </c>
      <c r="I88" s="152">
        <f t="shared" si="251"/>
        <v>0.24041811846689895</v>
      </c>
      <c r="J88" s="152">
        <f t="shared" si="251"/>
        <v>0.25072046109510088</v>
      </c>
      <c r="K88" s="152">
        <f t="shared" si="251"/>
        <v>0.27098321342925658</v>
      </c>
      <c r="L88" s="152">
        <f t="shared" si="251"/>
        <v>0.15690376569037656</v>
      </c>
      <c r="M88" s="152">
        <f t="shared" si="251"/>
        <v>0.32158590308370044</v>
      </c>
      <c r="N88" s="152">
        <f t="shared" si="251"/>
        <v>0.2264808362369338</v>
      </c>
      <c r="O88" s="152">
        <f t="shared" si="251"/>
        <v>0.24234234234234234</v>
      </c>
      <c r="P88" s="152">
        <f t="shared" ref="P88:Q88" si="252">P40/P7</f>
        <v>0.24255024255024255</v>
      </c>
      <c r="Q88" s="152">
        <f t="shared" si="252"/>
        <v>0.24255024255024255</v>
      </c>
      <c r="R88" s="118">
        <f t="shared" si="245"/>
        <v>-1.9276896466796312E-2</v>
      </c>
      <c r="S88" s="20"/>
      <c r="T88" s="152">
        <f t="shared" ref="T88" si="253">T40/T7</f>
        <v>0.24255024255024257</v>
      </c>
      <c r="U88" s="152">
        <f t="shared" ref="U88:AC88" si="254">U40/U7</f>
        <v>0.24255024255024255</v>
      </c>
      <c r="V88" s="152">
        <f t="shared" si="254"/>
        <v>0.24255024255024255</v>
      </c>
      <c r="W88" s="152">
        <f t="shared" si="254"/>
        <v>0.24255024255024255</v>
      </c>
      <c r="X88" s="152">
        <f t="shared" si="254"/>
        <v>0.24255024255024255</v>
      </c>
      <c r="Y88" s="152">
        <f t="shared" si="254"/>
        <v>0.24255024255024255</v>
      </c>
      <c r="Z88" s="152">
        <f t="shared" si="254"/>
        <v>0.24255024255024252</v>
      </c>
      <c r="AA88" s="152">
        <f t="shared" si="254"/>
        <v>0.24255024255024255</v>
      </c>
      <c r="AB88" s="152">
        <f t="shared" si="254"/>
        <v>0.24255024255024252</v>
      </c>
      <c r="AC88" s="152">
        <f t="shared" si="254"/>
        <v>0.24255024255024255</v>
      </c>
      <c r="AD88" s="138">
        <f t="shared" si="247"/>
        <v>-8.7210524619796281E-3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55">(E40)/(E7+E10)</f>
        <v>#DIV/0!</v>
      </c>
      <c r="F89" s="152" t="e">
        <f t="shared" si="255"/>
        <v>#DIV/0!</v>
      </c>
      <c r="G89" s="152">
        <f>(G40)/(G7+G10)</f>
        <v>0.13179916317991633</v>
      </c>
      <c r="H89" s="152">
        <f t="shared" ref="H89:O89" si="256">(H40)/(H7+H10)</f>
        <v>0.17791411042944785</v>
      </c>
      <c r="I89" s="152">
        <f t="shared" si="256"/>
        <v>0.11855670103092783</v>
      </c>
      <c r="J89" s="152">
        <f t="shared" si="256"/>
        <v>0.11677852348993288</v>
      </c>
      <c r="K89" s="152">
        <f t="shared" si="256"/>
        <v>0.11770833333333333</v>
      </c>
      <c r="L89" s="152">
        <f t="shared" si="256"/>
        <v>7.8206465067778938E-2</v>
      </c>
      <c r="M89" s="152">
        <f t="shared" si="256"/>
        <v>0.18928262748487468</v>
      </c>
      <c r="N89" s="152">
        <f t="shared" si="256"/>
        <v>0.13157894736842105</v>
      </c>
      <c r="O89" s="152">
        <f t="shared" si="256"/>
        <v>9.5866001425516753E-2</v>
      </c>
      <c r="P89" s="152">
        <f t="shared" ref="P89:Q89" si="257">(P40)/(P7+P10)</f>
        <v>9.7520200612984123E-2</v>
      </c>
      <c r="Q89" s="152">
        <f t="shared" si="257"/>
        <v>9.7520200612984123E-2</v>
      </c>
      <c r="R89" s="118">
        <f t="shared" si="245"/>
        <v>-3.2914973195869335E-2</v>
      </c>
      <c r="S89" s="20"/>
      <c r="T89" s="152">
        <f t="shared" ref="T89:AC89" si="258">(T40)/(T7+T10)</f>
        <v>9.7520200612984123E-2</v>
      </c>
      <c r="U89" s="152">
        <f t="shared" si="258"/>
        <v>9.7520200612984109E-2</v>
      </c>
      <c r="V89" s="152">
        <f t="shared" si="258"/>
        <v>9.7520200612984095E-2</v>
      </c>
      <c r="W89" s="152">
        <f t="shared" si="258"/>
        <v>9.7520200612984109E-2</v>
      </c>
      <c r="X89" s="152">
        <f t="shared" si="258"/>
        <v>9.7520200612984095E-2</v>
      </c>
      <c r="Y89" s="152">
        <f t="shared" si="258"/>
        <v>9.7520200612984081E-2</v>
      </c>
      <c r="Z89" s="152">
        <f t="shared" si="258"/>
        <v>9.7520200612984081E-2</v>
      </c>
      <c r="AA89" s="152">
        <f t="shared" si="258"/>
        <v>9.7520200612984081E-2</v>
      </c>
      <c r="AB89" s="152">
        <f t="shared" si="258"/>
        <v>9.7520200612984081E-2</v>
      </c>
      <c r="AC89" s="152">
        <f t="shared" si="258"/>
        <v>9.7520200612984095E-2</v>
      </c>
      <c r="AD89" s="138">
        <f t="shared" si="247"/>
        <v>-1.4948137122079097E-2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0.14511873350923482</v>
      </c>
      <c r="H90" s="152">
        <f t="shared" ref="H90:P90" si="259">H20/H25</f>
        <v>0.10337972166998012</v>
      </c>
      <c r="I90" s="152">
        <f t="shared" si="259"/>
        <v>5.3042121684867397E-2</v>
      </c>
      <c r="J90" s="152">
        <f t="shared" si="259"/>
        <v>5.6128293241695305E-2</v>
      </c>
      <c r="K90" s="152">
        <f t="shared" si="259"/>
        <v>3.2450896669513236E-2</v>
      </c>
      <c r="L90" s="152">
        <f t="shared" si="259"/>
        <v>0.20714806710430342</v>
      </c>
      <c r="M90" s="152">
        <f t="shared" si="259"/>
        <v>0.12365930599369085</v>
      </c>
      <c r="N90" s="152">
        <f t="shared" si="259"/>
        <v>2.7088036117381489E-2</v>
      </c>
      <c r="O90" s="152">
        <f t="shared" si="259"/>
        <v>2.3763020833333332E-2</v>
      </c>
      <c r="P90" s="152">
        <f t="shared" si="259"/>
        <v>0.16016307513104253</v>
      </c>
      <c r="Q90" s="152">
        <f t="shared" ref="Q90" si="260">Q20/Q25</f>
        <v>0.16016307513104253</v>
      </c>
      <c r="R90" s="118">
        <f t="shared" si="245"/>
        <v>1.1020309652111759E-2</v>
      </c>
      <c r="S90" s="20"/>
      <c r="T90" s="152">
        <f t="shared" ref="T90:AC90" si="261">T20/T25</f>
        <v>0.16016307513104253</v>
      </c>
      <c r="U90" s="152">
        <f t="shared" si="261"/>
        <v>0.16016307513104253</v>
      </c>
      <c r="V90" s="152">
        <f t="shared" si="261"/>
        <v>0.16016307513104253</v>
      </c>
      <c r="W90" s="152">
        <f t="shared" si="261"/>
        <v>0.1601630751310425</v>
      </c>
      <c r="X90" s="152">
        <f t="shared" si="261"/>
        <v>0.1601630751310425</v>
      </c>
      <c r="Y90" s="152">
        <f t="shared" si="261"/>
        <v>0.1601630751310425</v>
      </c>
      <c r="Z90" s="152">
        <f t="shared" si="261"/>
        <v>0.16016307513104253</v>
      </c>
      <c r="AA90" s="152">
        <f t="shared" si="261"/>
        <v>0.16016307513104253</v>
      </c>
      <c r="AB90" s="152">
        <f t="shared" si="261"/>
        <v>0.1601630751310425</v>
      </c>
      <c r="AC90" s="152">
        <f t="shared" si="261"/>
        <v>0.1601630751310425</v>
      </c>
      <c r="AD90" s="138">
        <f t="shared" si="247"/>
        <v>4.944195225910164E-3</v>
      </c>
      <c r="AE90" s="146"/>
      <c r="AF90" s="146"/>
    </row>
    <row r="91" spans="2:32" x14ac:dyDescent="0.2">
      <c r="B91" s="20" t="s">
        <v>429</v>
      </c>
      <c r="C91" s="152"/>
      <c r="D91" s="152"/>
      <c r="E91" s="152"/>
      <c r="F91" s="152"/>
      <c r="G91" s="152">
        <f>G52/G25</f>
        <v>3.5620052770448551E-2</v>
      </c>
      <c r="H91" s="152">
        <f t="shared" ref="H91:P91" si="262">H52/H25</f>
        <v>7.1570576540755465E-2</v>
      </c>
      <c r="I91" s="152">
        <f t="shared" si="262"/>
        <v>5.9282371294851796E-2</v>
      </c>
      <c r="J91" s="152">
        <f t="shared" si="262"/>
        <v>4.8109965635738834E-2</v>
      </c>
      <c r="K91" s="152">
        <f t="shared" si="262"/>
        <v>5.0384286934244238E-2</v>
      </c>
      <c r="L91" s="152">
        <f t="shared" si="262"/>
        <v>2.9175784099197667E-2</v>
      </c>
      <c r="M91" s="152">
        <f t="shared" si="262"/>
        <v>6.8138801261829654E-2</v>
      </c>
      <c r="N91" s="152">
        <f t="shared" si="262"/>
        <v>4.1986455981941312E-2</v>
      </c>
      <c r="O91" s="152">
        <f t="shared" si="262"/>
        <v>4.2643229166666664E-2</v>
      </c>
      <c r="P91" s="152">
        <f t="shared" si="262"/>
        <v>5.3581828771112408E-2</v>
      </c>
      <c r="Q91" s="152">
        <f t="shared" ref="Q91" si="263">Q52/Q25</f>
        <v>5.3581828771112408E-2</v>
      </c>
      <c r="R91" s="118">
        <f t="shared" si="245"/>
        <v>4.641161746498601E-2</v>
      </c>
      <c r="S91" s="20"/>
      <c r="T91" s="152">
        <f t="shared" ref="T91:AC91" si="264">T52/T25</f>
        <v>5.3581828771112394E-2</v>
      </c>
      <c r="U91" s="152">
        <f t="shared" si="264"/>
        <v>5.3581828771112408E-2</v>
      </c>
      <c r="V91" s="152">
        <f t="shared" si="264"/>
        <v>5.3581828771112401E-2</v>
      </c>
      <c r="W91" s="152">
        <f t="shared" si="264"/>
        <v>5.3581828771112394E-2</v>
      </c>
      <c r="X91" s="152">
        <f t="shared" si="264"/>
        <v>5.3581828771112387E-2</v>
      </c>
      <c r="Y91" s="152">
        <f t="shared" si="264"/>
        <v>5.3581828771112408E-2</v>
      </c>
      <c r="Z91" s="152">
        <f t="shared" si="264"/>
        <v>5.3581828771112429E-2</v>
      </c>
      <c r="AA91" s="152">
        <f t="shared" si="264"/>
        <v>5.3581828771112422E-2</v>
      </c>
      <c r="AB91" s="152">
        <f t="shared" si="264"/>
        <v>5.3581828771112429E-2</v>
      </c>
      <c r="AC91" s="152">
        <f t="shared" si="264"/>
        <v>5.3581828771112415E-2</v>
      </c>
      <c r="AD91" s="138">
        <f t="shared" si="247"/>
        <v>2.0624874510987601E-2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2.5065963060686015E-2</v>
      </c>
      <c r="H93" s="152">
        <f t="shared" ref="H93:P93" si="265">H29/H25</f>
        <v>1.5904572564612324E-2</v>
      </c>
      <c r="I93" s="152">
        <f t="shared" si="265"/>
        <v>1.8720748829953199E-2</v>
      </c>
      <c r="J93" s="152">
        <f t="shared" si="265"/>
        <v>1.9473081328751432E-2</v>
      </c>
      <c r="K93" s="152">
        <f t="shared" si="265"/>
        <v>2.3057216054654141E-2</v>
      </c>
      <c r="L93" s="152">
        <f t="shared" si="265"/>
        <v>2.7716994894237783E-2</v>
      </c>
      <c r="M93" s="152">
        <f t="shared" si="265"/>
        <v>1.1987381703470032E-2</v>
      </c>
      <c r="N93" s="152">
        <f t="shared" si="265"/>
        <v>9.9322799097065467E-3</v>
      </c>
      <c r="O93" s="152">
        <f t="shared" si="265"/>
        <v>9.4401041666666661E-3</v>
      </c>
      <c r="P93" s="152">
        <f t="shared" si="265"/>
        <v>7.8625509609784507E-3</v>
      </c>
      <c r="Q93" s="152">
        <f t="shared" ref="Q93" si="266">Q29/Q25</f>
        <v>7.8625509609784507E-3</v>
      </c>
      <c r="R93" s="118">
        <f t="shared" si="245"/>
        <v>-0.1208697359587414</v>
      </c>
      <c r="S93" s="20"/>
      <c r="T93" s="152">
        <f t="shared" ref="T93:AC93" si="267">T29/T25</f>
        <v>7.8625509609784507E-3</v>
      </c>
      <c r="U93" s="152">
        <f t="shared" si="267"/>
        <v>7.8625509609784507E-3</v>
      </c>
      <c r="V93" s="152">
        <f t="shared" si="267"/>
        <v>7.8625509609784507E-3</v>
      </c>
      <c r="W93" s="152">
        <f t="shared" si="267"/>
        <v>7.8625509609784507E-3</v>
      </c>
      <c r="X93" s="152">
        <f t="shared" si="267"/>
        <v>7.862550960978449E-3</v>
      </c>
      <c r="Y93" s="152">
        <f t="shared" si="267"/>
        <v>7.8625509609784507E-3</v>
      </c>
      <c r="Z93" s="152">
        <f t="shared" si="267"/>
        <v>7.862550960978449E-3</v>
      </c>
      <c r="AA93" s="152">
        <f t="shared" si="267"/>
        <v>7.862550960978449E-3</v>
      </c>
      <c r="AB93" s="152">
        <f t="shared" si="267"/>
        <v>7.862550960978449E-3</v>
      </c>
      <c r="AC93" s="152">
        <f t="shared" si="267"/>
        <v>7.862550960978449E-3</v>
      </c>
      <c r="AD93" s="138">
        <f t="shared" si="247"/>
        <v>-5.6321731739570113E-2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0.1357142857142857</v>
      </c>
      <c r="H94" s="152">
        <f t="shared" ref="H94:P94" si="268">H29/H36</f>
        <v>7.1428571428571425E-2</v>
      </c>
      <c r="I94" s="152">
        <f t="shared" si="268"/>
        <v>8.5714285714285715E-2</v>
      </c>
      <c r="J94" s="152">
        <f t="shared" si="268"/>
        <v>9.5505617977528087E-2</v>
      </c>
      <c r="K94" s="152">
        <f t="shared" si="268"/>
        <v>0.11894273127753303</v>
      </c>
      <c r="L94" s="152">
        <f t="shared" si="268"/>
        <v>0.15510204081632653</v>
      </c>
      <c r="M94" s="152">
        <f t="shared" si="268"/>
        <v>4.9222797927461141E-2</v>
      </c>
      <c r="N94" s="152">
        <f t="shared" si="268"/>
        <v>5.9945504087193457E-2</v>
      </c>
      <c r="O94" s="152">
        <f t="shared" si="268"/>
        <v>5.6640625E-2</v>
      </c>
      <c r="P94" s="152">
        <f t="shared" si="268"/>
        <v>4.0358744394618833E-2</v>
      </c>
      <c r="Q94" s="152">
        <f t="shared" ref="Q94" si="269">Q29/Q36</f>
        <v>4.0358744394618833E-2</v>
      </c>
      <c r="R94" s="118">
        <f t="shared" ref="R94" si="270">((P94/G94)^(1/($H$2-$H$1) ))-1</f>
        <v>-0.12606502519519969</v>
      </c>
      <c r="S94" s="20"/>
      <c r="T94" s="152">
        <f t="shared" ref="T94:AC94" si="271">T29/T36</f>
        <v>4.0358744394618833E-2</v>
      </c>
      <c r="U94" s="152">
        <f t="shared" si="271"/>
        <v>4.0358744394618833E-2</v>
      </c>
      <c r="V94" s="152">
        <f t="shared" si="271"/>
        <v>4.035874439461884E-2</v>
      </c>
      <c r="W94" s="152">
        <f t="shared" si="271"/>
        <v>4.035874439461884E-2</v>
      </c>
      <c r="X94" s="152">
        <f t="shared" si="271"/>
        <v>4.035874439461884E-2</v>
      </c>
      <c r="Y94" s="152">
        <f t="shared" si="271"/>
        <v>4.035874439461884E-2</v>
      </c>
      <c r="Z94" s="152">
        <f t="shared" si="271"/>
        <v>4.035874439461884E-2</v>
      </c>
      <c r="AA94" s="152">
        <f t="shared" si="271"/>
        <v>4.0358744394618833E-2</v>
      </c>
      <c r="AB94" s="152">
        <f t="shared" si="271"/>
        <v>4.0358744394618833E-2</v>
      </c>
      <c r="AC94" s="152">
        <f t="shared" si="271"/>
        <v>4.0358744394618833E-2</v>
      </c>
      <c r="AD94" s="138">
        <f t="shared" ref="AD94" si="272">((AC94/G94)^(1/($AC$3-$H$1) ))-1</f>
        <v>-5.8835355895217489E-2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73">G29/G40</f>
        <v>0.30158730158730157</v>
      </c>
      <c r="H95" s="171">
        <f t="shared" si="273"/>
        <v>0.13793103448275862</v>
      </c>
      <c r="I95" s="171">
        <f t="shared" si="273"/>
        <v>0.17391304347826086</v>
      </c>
      <c r="J95" s="171">
        <f t="shared" si="273"/>
        <v>0.19540229885057472</v>
      </c>
      <c r="K95" s="171">
        <f t="shared" si="273"/>
        <v>0.23893805309734514</v>
      </c>
      <c r="L95" s="171">
        <f t="shared" si="273"/>
        <v>0.50666666666666671</v>
      </c>
      <c r="M95" s="171">
        <f t="shared" si="273"/>
        <v>8.6757990867579904E-2</v>
      </c>
      <c r="N95" s="171">
        <f t="shared" si="273"/>
        <v>0.11282051282051282</v>
      </c>
      <c r="O95" s="171">
        <f t="shared" si="273"/>
        <v>0.10780669144981413</v>
      </c>
      <c r="P95" s="171">
        <f t="shared" si="273"/>
        <v>7.7142857142857138E-2</v>
      </c>
      <c r="Q95" s="171">
        <f t="shared" ref="Q95" si="274">Q29/Q40</f>
        <v>7.7142857142857138E-2</v>
      </c>
      <c r="R95" s="118">
        <f t="shared" ref="R95" si="275">((P95/G95)^(1/($H$2-$H$1) ))-1</f>
        <v>-0.14057262027183637</v>
      </c>
      <c r="S95" s="20"/>
      <c r="T95" s="171">
        <f t="shared" ref="T95:AC95" si="276">T29/T40</f>
        <v>7.7142857142857138E-2</v>
      </c>
      <c r="U95" s="171">
        <f t="shared" si="276"/>
        <v>7.7142857142857152E-2</v>
      </c>
      <c r="V95" s="171">
        <f t="shared" si="276"/>
        <v>7.7142857142857152E-2</v>
      </c>
      <c r="W95" s="171">
        <f t="shared" si="276"/>
        <v>7.7142857142857152E-2</v>
      </c>
      <c r="X95" s="171">
        <f t="shared" si="276"/>
        <v>7.7142857142857138E-2</v>
      </c>
      <c r="Y95" s="171">
        <f t="shared" si="276"/>
        <v>7.7142857142857152E-2</v>
      </c>
      <c r="Z95" s="171">
        <f t="shared" si="276"/>
        <v>7.7142857142857152E-2</v>
      </c>
      <c r="AA95" s="171">
        <f t="shared" si="276"/>
        <v>7.7142857142857138E-2</v>
      </c>
      <c r="AB95" s="171">
        <f t="shared" si="276"/>
        <v>7.7142857142857152E-2</v>
      </c>
      <c r="AC95" s="171">
        <f t="shared" si="276"/>
        <v>7.7142857142857138E-2</v>
      </c>
      <c r="AD95" s="138">
        <f t="shared" ref="AD95" si="277">((AC95/G95)^(1/($AC$3-$H$1) ))-1</f>
        <v>-6.5898362483310269E-2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78">G29/G12</f>
        <v>9.6938775510204078E-2</v>
      </c>
      <c r="H96" s="171">
        <f t="shared" si="278"/>
        <v>6.0150375939849621E-2</v>
      </c>
      <c r="I96" s="171">
        <f t="shared" si="278"/>
        <v>0.15584415584415584</v>
      </c>
      <c r="J96" s="171">
        <f t="shared" si="278"/>
        <v>2.8333333333333335</v>
      </c>
      <c r="K96" s="171">
        <f t="shared" si="278"/>
        <v>2.7</v>
      </c>
      <c r="L96" s="171">
        <f t="shared" si="278"/>
        <v>3.4545454545454546</v>
      </c>
      <c r="M96" s="171">
        <f t="shared" si="278"/>
        <v>3.8</v>
      </c>
      <c r="N96" s="171">
        <f t="shared" si="278"/>
        <v>1.8333333333333333</v>
      </c>
      <c r="O96" s="171">
        <f t="shared" si="278"/>
        <v>7.8378378378378383E-2</v>
      </c>
      <c r="P96" s="171">
        <f t="shared" si="278"/>
        <v>9.7122302158273388E-2</v>
      </c>
      <c r="Q96" s="171">
        <f t="shared" ref="Q96" si="279">Q29/Q12</f>
        <v>9.7122302158273388E-2</v>
      </c>
      <c r="R96" s="118">
        <f t="shared" si="245"/>
        <v>2.1018123806726408E-4</v>
      </c>
      <c r="S96" s="20"/>
      <c r="T96" s="152">
        <f t="shared" ref="T96:AC96" si="280">T29/T12</f>
        <v>9.7122302158273388E-2</v>
      </c>
      <c r="U96" s="152">
        <f t="shared" si="280"/>
        <v>9.7122302158273374E-2</v>
      </c>
      <c r="V96" s="152">
        <f t="shared" si="280"/>
        <v>9.7122302158273388E-2</v>
      </c>
      <c r="W96" s="152">
        <f t="shared" si="280"/>
        <v>9.7122302158273374E-2</v>
      </c>
      <c r="X96" s="152">
        <f t="shared" si="280"/>
        <v>9.7122302158273374E-2</v>
      </c>
      <c r="Y96" s="152">
        <f t="shared" si="280"/>
        <v>9.712230215827336E-2</v>
      </c>
      <c r="Z96" s="152">
        <f t="shared" si="280"/>
        <v>9.712230215827336E-2</v>
      </c>
      <c r="AA96" s="152">
        <f t="shared" si="280"/>
        <v>9.7122302158273346E-2</v>
      </c>
      <c r="AB96" s="152">
        <f t="shared" si="280"/>
        <v>9.7122302158273346E-2</v>
      </c>
      <c r="AC96" s="152">
        <f t="shared" si="280"/>
        <v>9.712230215827336E-2</v>
      </c>
      <c r="AD96" s="138">
        <f t="shared" si="247"/>
        <v>9.4576090925002632E-5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>
        <f>G29/G23</f>
        <v>5.5232558139534884</v>
      </c>
      <c r="H97" s="171">
        <f t="shared" ref="H97:P97" si="281">H29/H23</f>
        <v>2.4242424242424243</v>
      </c>
      <c r="I97" s="171">
        <f t="shared" si="281"/>
        <v>0.15584415584415584</v>
      </c>
      <c r="J97" s="171">
        <f t="shared" si="281"/>
        <v>3.2075471698113209</v>
      </c>
      <c r="K97" s="171">
        <f t="shared" si="281"/>
        <v>3.1070195627157653</v>
      </c>
      <c r="L97" s="171">
        <f t="shared" si="281"/>
        <v>3.4545454545454546</v>
      </c>
      <c r="M97" s="171">
        <f t="shared" si="281"/>
        <v>4.75</v>
      </c>
      <c r="N97" s="171">
        <f t="shared" si="281"/>
        <v>2</v>
      </c>
      <c r="O97" s="171">
        <f t="shared" si="281"/>
        <v>8.1232492997198882E-2</v>
      </c>
      <c r="P97" s="171">
        <f t="shared" si="281"/>
        <v>0.10150375939849623</v>
      </c>
      <c r="Q97" s="171">
        <f t="shared" ref="Q97" si="282">Q29/Q23</f>
        <v>0.10150375939849623</v>
      </c>
      <c r="R97" s="118">
        <f t="shared" ref="R97" si="283">((P97/G97)^(1/($H$2-$H$1) ))-1</f>
        <v>-0.35857926285006425</v>
      </c>
      <c r="S97" s="20"/>
      <c r="T97" s="171">
        <f t="shared" ref="T97:AC97" si="284">T29/T23</f>
        <v>0.10150375939849623</v>
      </c>
      <c r="U97" s="171">
        <f t="shared" si="284"/>
        <v>0.10150375939849625</v>
      </c>
      <c r="V97" s="171">
        <f t="shared" si="284"/>
        <v>0.10150375939849626</v>
      </c>
      <c r="W97" s="171">
        <f t="shared" si="284"/>
        <v>0.10150375939849626</v>
      </c>
      <c r="X97" s="171">
        <f t="shared" si="284"/>
        <v>0.10150375939849625</v>
      </c>
      <c r="Y97" s="171">
        <f t="shared" si="284"/>
        <v>0.10150375939849623</v>
      </c>
      <c r="Z97" s="171">
        <f t="shared" si="284"/>
        <v>0.10150375939849623</v>
      </c>
      <c r="AA97" s="171">
        <f t="shared" si="284"/>
        <v>0.10150375939849622</v>
      </c>
      <c r="AB97" s="171">
        <f t="shared" si="284"/>
        <v>0.10150375939849623</v>
      </c>
      <c r="AC97" s="171">
        <f t="shared" si="284"/>
        <v>0.10150375939849623</v>
      </c>
      <c r="AD97" s="138">
        <f t="shared" ref="AD97" si="285">((AC97/G97)^(1/($AC$3-$H$1) ))-1</f>
        <v>-0.18113115431204518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403</v>
      </c>
      <c r="C99" s="152"/>
      <c r="D99" s="152"/>
      <c r="E99" s="152"/>
      <c r="F99" s="152"/>
      <c r="G99" s="127">
        <f>1/G93</f>
        <v>39.894736842105267</v>
      </c>
      <c r="H99" s="127">
        <f t="shared" ref="H99:P99" si="286">1/H93</f>
        <v>62.875000000000007</v>
      </c>
      <c r="I99" s="127">
        <f t="shared" si="286"/>
        <v>53.416666666666664</v>
      </c>
      <c r="J99" s="127">
        <f t="shared" si="286"/>
        <v>51.352941176470587</v>
      </c>
      <c r="K99" s="127">
        <f t="shared" si="286"/>
        <v>43.370370370370374</v>
      </c>
      <c r="L99" s="127">
        <f t="shared" si="286"/>
        <v>36.078947368421055</v>
      </c>
      <c r="M99" s="127">
        <f t="shared" si="286"/>
        <v>83.421052631578945</v>
      </c>
      <c r="N99" s="127">
        <f t="shared" si="286"/>
        <v>100.68181818181817</v>
      </c>
      <c r="O99" s="127">
        <f t="shared" si="286"/>
        <v>105.93103448275863</v>
      </c>
      <c r="P99" s="127">
        <f t="shared" si="286"/>
        <v>127.18518518518519</v>
      </c>
      <c r="Q99" s="127">
        <f t="shared" ref="Q99" si="287">1/Q93</f>
        <v>127.18518518518519</v>
      </c>
      <c r="R99" s="118">
        <f t="shared" si="245"/>
        <v>0.13748785692249665</v>
      </c>
      <c r="S99" s="20"/>
      <c r="T99" s="127">
        <f t="shared" ref="T99:AC99" si="288">1/T93</f>
        <v>127.18518518518519</v>
      </c>
      <c r="U99" s="127">
        <f t="shared" si="288"/>
        <v>127.18518518518519</v>
      </c>
      <c r="V99" s="127">
        <f t="shared" si="288"/>
        <v>127.18518518518519</v>
      </c>
      <c r="W99" s="127">
        <f t="shared" si="288"/>
        <v>127.18518518518519</v>
      </c>
      <c r="X99" s="127">
        <f t="shared" si="288"/>
        <v>127.18518518518522</v>
      </c>
      <c r="Y99" s="127">
        <f t="shared" si="288"/>
        <v>127.18518518518519</v>
      </c>
      <c r="Z99" s="127">
        <f t="shared" si="288"/>
        <v>127.18518518518522</v>
      </c>
      <c r="AA99" s="127">
        <f t="shared" si="288"/>
        <v>127.18518518518522</v>
      </c>
      <c r="AB99" s="127">
        <f t="shared" si="288"/>
        <v>127.18518518518522</v>
      </c>
      <c r="AC99" s="127">
        <f t="shared" si="288"/>
        <v>127.18518518518522</v>
      </c>
      <c r="AD99" s="138">
        <f t="shared" si="247"/>
        <v>5.968319249673204E-2</v>
      </c>
      <c r="AE99" s="146"/>
      <c r="AF99" s="146"/>
    </row>
    <row r="100" spans="2:32" ht="12" customHeight="1" x14ac:dyDescent="0.2">
      <c r="B100" s="20" t="s">
        <v>404</v>
      </c>
      <c r="C100" s="152"/>
      <c r="D100" s="152"/>
      <c r="E100" s="152"/>
      <c r="F100" s="152"/>
      <c r="G100" s="127">
        <f t="shared" ref="G100:P103" si="289">1/G94</f>
        <v>7.3684210526315796</v>
      </c>
      <c r="H100" s="127">
        <f t="shared" si="289"/>
        <v>14</v>
      </c>
      <c r="I100" s="127">
        <f t="shared" si="289"/>
        <v>11.666666666666666</v>
      </c>
      <c r="J100" s="127">
        <f t="shared" si="289"/>
        <v>10.470588235294118</v>
      </c>
      <c r="K100" s="127">
        <f t="shared" si="289"/>
        <v>8.4074074074074083</v>
      </c>
      <c r="L100" s="127">
        <f t="shared" si="289"/>
        <v>6.4473684210526319</v>
      </c>
      <c r="M100" s="127">
        <f t="shared" si="289"/>
        <v>20.315789473684209</v>
      </c>
      <c r="N100" s="127">
        <f t="shared" si="289"/>
        <v>16.681818181818183</v>
      </c>
      <c r="O100" s="127">
        <f t="shared" si="289"/>
        <v>17.655172413793103</v>
      </c>
      <c r="P100" s="127">
        <f t="shared" si="289"/>
        <v>24.777777777777779</v>
      </c>
      <c r="Q100" s="127">
        <f t="shared" ref="Q100" si="290">1/Q94</f>
        <v>24.777777777777779</v>
      </c>
      <c r="R100" s="118">
        <f t="shared" si="245"/>
        <v>0.14424989138735089</v>
      </c>
      <c r="S100" s="20"/>
      <c r="T100" s="127">
        <f t="shared" ref="T100:AC100" si="291">1/T94</f>
        <v>24.777777777777779</v>
      </c>
      <c r="U100" s="127">
        <f t="shared" si="291"/>
        <v>24.777777777777779</v>
      </c>
      <c r="V100" s="127">
        <f t="shared" si="291"/>
        <v>24.777777777777775</v>
      </c>
      <c r="W100" s="127">
        <f t="shared" si="291"/>
        <v>24.777777777777775</v>
      </c>
      <c r="X100" s="127">
        <f t="shared" si="291"/>
        <v>24.777777777777775</v>
      </c>
      <c r="Y100" s="127">
        <f t="shared" si="291"/>
        <v>24.777777777777775</v>
      </c>
      <c r="Z100" s="127">
        <f t="shared" si="291"/>
        <v>24.777777777777775</v>
      </c>
      <c r="AA100" s="127">
        <f t="shared" si="291"/>
        <v>24.777777777777779</v>
      </c>
      <c r="AB100" s="127">
        <f t="shared" si="291"/>
        <v>24.777777777777779</v>
      </c>
      <c r="AC100" s="127">
        <f t="shared" si="291"/>
        <v>24.777777777777779</v>
      </c>
      <c r="AD100" s="138">
        <f t="shared" si="247"/>
        <v>6.2513351158851371E-2</v>
      </c>
      <c r="AE100" s="146"/>
      <c r="AF100" s="146"/>
    </row>
    <row r="101" spans="2:32" ht="12" customHeight="1" x14ac:dyDescent="0.2">
      <c r="B101" s="20" t="s">
        <v>405</v>
      </c>
      <c r="C101" s="152"/>
      <c r="D101" s="152"/>
      <c r="E101" s="152"/>
      <c r="F101" s="152"/>
      <c r="G101" s="127">
        <f t="shared" si="289"/>
        <v>3.3157894736842106</v>
      </c>
      <c r="H101" s="127">
        <f t="shared" si="289"/>
        <v>7.25</v>
      </c>
      <c r="I101" s="127">
        <f t="shared" si="289"/>
        <v>5.75</v>
      </c>
      <c r="J101" s="127">
        <f t="shared" si="289"/>
        <v>5.117647058823529</v>
      </c>
      <c r="K101" s="127">
        <f t="shared" si="289"/>
        <v>4.1851851851851851</v>
      </c>
      <c r="L101" s="127">
        <f t="shared" si="289"/>
        <v>1.9736842105263157</v>
      </c>
      <c r="M101" s="127">
        <f t="shared" si="289"/>
        <v>11.526315789473685</v>
      </c>
      <c r="N101" s="127">
        <f t="shared" si="289"/>
        <v>8.8636363636363633</v>
      </c>
      <c r="O101" s="127">
        <f t="shared" si="289"/>
        <v>9.2758620689655178</v>
      </c>
      <c r="P101" s="127">
        <f t="shared" si="289"/>
        <v>12.962962962962964</v>
      </c>
      <c r="Q101" s="127">
        <f t="shared" ref="Q101" si="292">1/Q95</f>
        <v>12.962962962962964</v>
      </c>
      <c r="R101" s="118">
        <f t="shared" si="245"/>
        <v>0.16356544320975597</v>
      </c>
      <c r="S101" s="20"/>
      <c r="T101" s="127">
        <f t="shared" ref="T101:AC101" si="293">1/T95</f>
        <v>12.962962962962964</v>
      </c>
      <c r="U101" s="127">
        <f t="shared" si="293"/>
        <v>12.962962962962962</v>
      </c>
      <c r="V101" s="127">
        <f t="shared" si="293"/>
        <v>12.962962962962962</v>
      </c>
      <c r="W101" s="127">
        <f t="shared" si="293"/>
        <v>12.962962962962962</v>
      </c>
      <c r="X101" s="127">
        <f t="shared" si="293"/>
        <v>12.962962962962964</v>
      </c>
      <c r="Y101" s="127">
        <f t="shared" si="293"/>
        <v>12.962962962962962</v>
      </c>
      <c r="Z101" s="127">
        <f t="shared" si="293"/>
        <v>12.962962962962962</v>
      </c>
      <c r="AA101" s="127">
        <f t="shared" si="293"/>
        <v>12.962962962962964</v>
      </c>
      <c r="AB101" s="127">
        <f t="shared" si="293"/>
        <v>12.962962962962962</v>
      </c>
      <c r="AC101" s="127">
        <f t="shared" si="293"/>
        <v>12.962962962962964</v>
      </c>
      <c r="AD101" s="138">
        <f t="shared" si="247"/>
        <v>7.0547315020773382E-2</v>
      </c>
      <c r="AE101" s="146"/>
      <c r="AF101" s="146"/>
    </row>
    <row r="102" spans="2:32" ht="12" customHeight="1" x14ac:dyDescent="0.2">
      <c r="B102" s="20" t="s">
        <v>406</v>
      </c>
      <c r="C102" s="152"/>
      <c r="D102" s="152"/>
      <c r="E102" s="152"/>
      <c r="F102" s="152"/>
      <c r="G102" s="127">
        <f t="shared" si="289"/>
        <v>10.315789473684211</v>
      </c>
      <c r="H102" s="127">
        <f t="shared" si="289"/>
        <v>16.625</v>
      </c>
      <c r="I102" s="127">
        <f t="shared" si="289"/>
        <v>6.416666666666667</v>
      </c>
      <c r="J102" s="127">
        <f t="shared" si="289"/>
        <v>0.3529411764705882</v>
      </c>
      <c r="K102" s="127">
        <f t="shared" si="289"/>
        <v>0.37037037037037035</v>
      </c>
      <c r="L102" s="127">
        <f t="shared" si="289"/>
        <v>0.28947368421052633</v>
      </c>
      <c r="M102" s="127">
        <f t="shared" si="289"/>
        <v>0.26315789473684209</v>
      </c>
      <c r="N102" s="127">
        <f t="shared" si="289"/>
        <v>0.54545454545454553</v>
      </c>
      <c r="O102" s="127">
        <f t="shared" si="289"/>
        <v>12.758620689655171</v>
      </c>
      <c r="P102" s="127">
        <f t="shared" si="289"/>
        <v>10.296296296296296</v>
      </c>
      <c r="Q102" s="127">
        <f t="shared" ref="Q102" si="294">1/Q96</f>
        <v>10.296296296296296</v>
      </c>
      <c r="R102" s="118">
        <f t="shared" si="245"/>
        <v>-2.1013707119754699E-4</v>
      </c>
      <c r="S102" s="20"/>
      <c r="T102" s="127">
        <f t="shared" ref="T102:AC102" si="295">1/T96</f>
        <v>10.296296296296296</v>
      </c>
      <c r="U102" s="127">
        <f t="shared" si="295"/>
        <v>10.296296296296298</v>
      </c>
      <c r="V102" s="127">
        <f t="shared" si="295"/>
        <v>10.296296296296296</v>
      </c>
      <c r="W102" s="127">
        <f t="shared" si="295"/>
        <v>10.296296296296298</v>
      </c>
      <c r="X102" s="127">
        <f t="shared" si="295"/>
        <v>10.296296296296298</v>
      </c>
      <c r="Y102" s="127">
        <f t="shared" si="295"/>
        <v>10.296296296296299</v>
      </c>
      <c r="Z102" s="127">
        <f t="shared" si="295"/>
        <v>10.296296296296299</v>
      </c>
      <c r="AA102" s="127">
        <f t="shared" si="295"/>
        <v>10.296296296296299</v>
      </c>
      <c r="AB102" s="127">
        <f t="shared" si="295"/>
        <v>10.296296296296299</v>
      </c>
      <c r="AC102" s="127">
        <f t="shared" si="295"/>
        <v>10.296296296296299</v>
      </c>
      <c r="AD102" s="138">
        <f t="shared" si="247"/>
        <v>-9.4567147133850504E-5</v>
      </c>
      <c r="AE102" s="146"/>
      <c r="AF102" s="146"/>
    </row>
    <row r="103" spans="2:32" ht="12" customHeight="1" x14ac:dyDescent="0.2">
      <c r="B103" s="20" t="s">
        <v>407</v>
      </c>
      <c r="C103" s="152"/>
      <c r="D103" s="152"/>
      <c r="E103" s="152"/>
      <c r="F103" s="152"/>
      <c r="G103" s="127">
        <f t="shared" si="289"/>
        <v>0.18105263157894735</v>
      </c>
      <c r="H103" s="127">
        <f t="shared" si="289"/>
        <v>0.41249999999999998</v>
      </c>
      <c r="I103" s="127">
        <f t="shared" si="289"/>
        <v>6.416666666666667</v>
      </c>
      <c r="J103" s="127">
        <f t="shared" si="289"/>
        <v>0.31176470588235294</v>
      </c>
      <c r="K103" s="127">
        <f t="shared" si="289"/>
        <v>0.32185185185185183</v>
      </c>
      <c r="L103" s="127">
        <f t="shared" si="289"/>
        <v>0.28947368421052633</v>
      </c>
      <c r="M103" s="127">
        <f t="shared" si="289"/>
        <v>0.21052631578947367</v>
      </c>
      <c r="N103" s="127">
        <f t="shared" si="289"/>
        <v>0.5</v>
      </c>
      <c r="O103" s="127">
        <f t="shared" si="289"/>
        <v>12.310344827586206</v>
      </c>
      <c r="P103" s="127">
        <f t="shared" si="289"/>
        <v>9.851851851851853</v>
      </c>
      <c r="Q103" s="127">
        <f t="shared" ref="Q103" si="296">1/Q97</f>
        <v>9.851851851851853</v>
      </c>
      <c r="R103" s="118">
        <f t="shared" si="245"/>
        <v>0.55903908633101196</v>
      </c>
      <c r="S103" s="20"/>
      <c r="T103" s="127">
        <f t="shared" ref="T103:AC103" si="297">1/T97</f>
        <v>9.851851851851853</v>
      </c>
      <c r="U103" s="127">
        <f t="shared" si="297"/>
        <v>9.8518518518518512</v>
      </c>
      <c r="V103" s="127">
        <f t="shared" si="297"/>
        <v>9.8518518518518494</v>
      </c>
      <c r="W103" s="127">
        <f t="shared" si="297"/>
        <v>9.8518518518518494</v>
      </c>
      <c r="X103" s="127">
        <f t="shared" si="297"/>
        <v>9.8518518518518512</v>
      </c>
      <c r="Y103" s="127">
        <f t="shared" si="297"/>
        <v>9.851851851851853</v>
      </c>
      <c r="Z103" s="127">
        <f t="shared" si="297"/>
        <v>9.851851851851853</v>
      </c>
      <c r="AA103" s="127">
        <f t="shared" si="297"/>
        <v>9.851851851851853</v>
      </c>
      <c r="AB103" s="127">
        <f t="shared" si="297"/>
        <v>9.851851851851853</v>
      </c>
      <c r="AC103" s="127">
        <f t="shared" si="297"/>
        <v>9.851851851851853</v>
      </c>
      <c r="AD103" s="138">
        <f t="shared" si="247"/>
        <v>0.22119678293521083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98">F10-(F12+F13)</f>
        <v>0</v>
      </c>
      <c r="G106" s="163">
        <f t="shared" si="298"/>
        <v>30</v>
      </c>
      <c r="H106" s="163">
        <f t="shared" si="298"/>
        <v>32.930000000000007</v>
      </c>
      <c r="I106" s="163">
        <f t="shared" si="298"/>
        <v>213</v>
      </c>
      <c r="J106" s="163">
        <f t="shared" si="298"/>
        <v>390</v>
      </c>
      <c r="K106" s="163">
        <f t="shared" si="298"/>
        <v>529</v>
      </c>
      <c r="L106" s="163">
        <f t="shared" si="298"/>
        <v>466</v>
      </c>
      <c r="M106" s="163">
        <f t="shared" si="298"/>
        <v>409</v>
      </c>
      <c r="N106" s="163">
        <f t="shared" si="298"/>
        <v>595</v>
      </c>
      <c r="O106" s="163">
        <f t="shared" si="298"/>
        <v>1323.6</v>
      </c>
      <c r="P106" s="163">
        <f>P10-(P12+P13)</f>
        <v>1865</v>
      </c>
      <c r="Q106" s="163">
        <f>Q10-(Q12+Q13)</f>
        <v>1865</v>
      </c>
      <c r="R106" s="118">
        <f t="shared" si="245"/>
        <v>0.58228304974257417</v>
      </c>
      <c r="S106" s="20"/>
      <c r="T106" s="163">
        <f>T10-(T12+T13)</f>
        <v>2088.8000000000002</v>
      </c>
      <c r="U106" s="163">
        <f t="shared" ref="U106:AC106" si="299">U10-(U12+U13)</f>
        <v>2339.4560000000006</v>
      </c>
      <c r="V106" s="163">
        <f t="shared" si="299"/>
        <v>2620.1907200000014</v>
      </c>
      <c r="W106" s="163">
        <f t="shared" si="299"/>
        <v>2934.6136064000016</v>
      </c>
      <c r="X106" s="163">
        <f t="shared" si="299"/>
        <v>3286.7672391680021</v>
      </c>
      <c r="Y106" s="163">
        <f t="shared" si="299"/>
        <v>3681.1793078681631</v>
      </c>
      <c r="Z106" s="163">
        <f t="shared" si="299"/>
        <v>4122.9208248123432</v>
      </c>
      <c r="AA106" s="163">
        <f t="shared" si="299"/>
        <v>4617.6713237898248</v>
      </c>
      <c r="AB106" s="163">
        <f t="shared" si="299"/>
        <v>5171.7918826446039</v>
      </c>
      <c r="AC106" s="163">
        <f t="shared" si="299"/>
        <v>5792.4069085619576</v>
      </c>
      <c r="AD106" s="138">
        <f t="shared" si="247"/>
        <v>0.30102874024518589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300">G40/G18</f>
        <v>0.20322580645161289</v>
      </c>
      <c r="H107" s="152">
        <f t="shared" si="300"/>
        <v>0.26484018264840181</v>
      </c>
      <c r="I107" s="152">
        <f t="shared" si="300"/>
        <v>0.26538461538461539</v>
      </c>
      <c r="J107" s="152">
        <f t="shared" si="300"/>
        <v>0.21804511278195488</v>
      </c>
      <c r="K107" s="152">
        <f t="shared" si="300"/>
        <v>0.25055432372505543</v>
      </c>
      <c r="L107" s="152">
        <f t="shared" si="300"/>
        <v>0.13297872340425532</v>
      </c>
      <c r="M107" s="152">
        <f t="shared" si="300"/>
        <v>0.33900928792569657</v>
      </c>
      <c r="N107" s="152">
        <f t="shared" si="300"/>
        <v>0.26933701657458564</v>
      </c>
      <c r="O107" s="152">
        <f t="shared" si="300"/>
        <v>0.30813287514318444</v>
      </c>
      <c r="P107" s="152">
        <f t="shared" si="300"/>
        <v>0.26217228464419473</v>
      </c>
      <c r="Q107" s="152">
        <f t="shared" ref="Q107" si="301">Q40/Q18</f>
        <v>0.26217228464419473</v>
      </c>
      <c r="R107" s="118">
        <f t="shared" si="245"/>
        <v>2.8702438289710974E-2</v>
      </c>
      <c r="S107" s="20"/>
      <c r="T107" s="152">
        <f t="shared" ref="T107:AC107" si="302">T40/T18</f>
        <v>0.26217228464419479</v>
      </c>
      <c r="U107" s="152">
        <f t="shared" si="302"/>
        <v>0.26217228464419479</v>
      </c>
      <c r="V107" s="152">
        <f t="shared" si="302"/>
        <v>0.26217228464419473</v>
      </c>
      <c r="W107" s="152">
        <f t="shared" si="302"/>
        <v>0.26217228464419479</v>
      </c>
      <c r="X107" s="152">
        <f t="shared" si="302"/>
        <v>0.26217228464419479</v>
      </c>
      <c r="Y107" s="152">
        <f t="shared" si="302"/>
        <v>0.26217228464419473</v>
      </c>
      <c r="Z107" s="152">
        <f t="shared" si="302"/>
        <v>0.26217228464419473</v>
      </c>
      <c r="AA107" s="152">
        <f t="shared" si="302"/>
        <v>0.26217228464419473</v>
      </c>
      <c r="AB107" s="152">
        <f t="shared" si="302"/>
        <v>0.26217228464419473</v>
      </c>
      <c r="AC107" s="152">
        <f t="shared" si="302"/>
        <v>0.26217228464419479</v>
      </c>
      <c r="AD107" s="138">
        <f t="shared" si="247"/>
        <v>1.2815633021925787E-2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303">G40/G25</f>
        <v>8.3113456464379953E-2</v>
      </c>
      <c r="H108" s="152">
        <f t="shared" si="303"/>
        <v>0.11530815109343936</v>
      </c>
      <c r="I108" s="152">
        <f t="shared" si="303"/>
        <v>0.10764430577223089</v>
      </c>
      <c r="J108" s="152">
        <f t="shared" si="303"/>
        <v>9.9656357388316158E-2</v>
      </c>
      <c r="K108" s="152">
        <f t="shared" si="303"/>
        <v>9.6498719043552519E-2</v>
      </c>
      <c r="L108" s="152">
        <f t="shared" si="303"/>
        <v>5.4704595185995623E-2</v>
      </c>
      <c r="M108" s="152">
        <f t="shared" si="303"/>
        <v>0.13817034700315459</v>
      </c>
      <c r="N108" s="152">
        <f t="shared" si="303"/>
        <v>8.8036117381489837E-2</v>
      </c>
      <c r="O108" s="152">
        <f t="shared" si="303"/>
        <v>8.7565104166666671E-2</v>
      </c>
      <c r="P108" s="152">
        <f t="shared" si="303"/>
        <v>0.10192195690157251</v>
      </c>
      <c r="Q108" s="152">
        <f t="shared" ref="Q108" si="304">Q40/Q25</f>
        <v>0.10192195690157251</v>
      </c>
      <c r="R108" s="118">
        <f t="shared" si="245"/>
        <v>2.2925595318276981E-2</v>
      </c>
      <c r="S108" s="20"/>
      <c r="T108" s="152">
        <f t="shared" ref="T108:AC108" si="305">T40/T25</f>
        <v>0.10192195690157252</v>
      </c>
      <c r="U108" s="152">
        <f t="shared" si="305"/>
        <v>0.10192195690157251</v>
      </c>
      <c r="V108" s="152">
        <f t="shared" si="305"/>
        <v>0.10192195690157251</v>
      </c>
      <c r="W108" s="152">
        <f t="shared" si="305"/>
        <v>0.10192195690157251</v>
      </c>
      <c r="X108" s="152">
        <f t="shared" si="305"/>
        <v>0.10192195690157249</v>
      </c>
      <c r="Y108" s="152">
        <f t="shared" si="305"/>
        <v>0.10192195690157249</v>
      </c>
      <c r="Z108" s="152">
        <f t="shared" si="305"/>
        <v>0.10192195690157249</v>
      </c>
      <c r="AA108" s="152">
        <f t="shared" si="305"/>
        <v>0.10192195690157249</v>
      </c>
      <c r="AB108" s="152">
        <f t="shared" si="305"/>
        <v>0.10192195690157248</v>
      </c>
      <c r="AC108" s="152">
        <f t="shared" si="305"/>
        <v>0.10192195690157251</v>
      </c>
      <c r="AD108" s="138">
        <f t="shared" si="247"/>
        <v>1.0252236329656439E-2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306">G25/G18</f>
        <v>2.4451612903225808</v>
      </c>
      <c r="H109" s="152">
        <f t="shared" si="306"/>
        <v>2.2968036529680367</v>
      </c>
      <c r="I109" s="152">
        <f t="shared" si="306"/>
        <v>2.4653846153846155</v>
      </c>
      <c r="J109" s="152">
        <f t="shared" si="306"/>
        <v>2.1879699248120299</v>
      </c>
      <c r="K109" s="152">
        <f t="shared" si="306"/>
        <v>2.5964523281596454</v>
      </c>
      <c r="L109" s="152">
        <f t="shared" si="306"/>
        <v>2.4308510638297873</v>
      </c>
      <c r="M109" s="152">
        <f t="shared" si="306"/>
        <v>2.4535603715170278</v>
      </c>
      <c r="N109" s="152">
        <f t="shared" si="306"/>
        <v>3.0593922651933703</v>
      </c>
      <c r="O109" s="152">
        <f t="shared" si="306"/>
        <v>3.5189003436426116</v>
      </c>
      <c r="P109" s="152">
        <f>P25/P18</f>
        <v>2.5722846441947564</v>
      </c>
      <c r="Q109" s="152">
        <f>Q25/Q18</f>
        <v>2.5722846441947564</v>
      </c>
      <c r="R109" s="118">
        <f t="shared" si="245"/>
        <v>5.6473735703490568E-3</v>
      </c>
      <c r="S109" s="20"/>
      <c r="T109" s="152">
        <f>T25/T18</f>
        <v>2.5722846441947569</v>
      </c>
      <c r="U109" s="152">
        <f t="shared" ref="U109:AC109" si="307">U25/U18</f>
        <v>2.5722846441947564</v>
      </c>
      <c r="V109" s="152">
        <f t="shared" si="307"/>
        <v>2.5722846441947569</v>
      </c>
      <c r="W109" s="152">
        <f t="shared" si="307"/>
        <v>2.5722846441947569</v>
      </c>
      <c r="X109" s="152">
        <f t="shared" si="307"/>
        <v>2.5722846441947573</v>
      </c>
      <c r="Y109" s="152">
        <f t="shared" si="307"/>
        <v>2.5722846441947569</v>
      </c>
      <c r="Z109" s="152">
        <f t="shared" si="307"/>
        <v>2.5722846441947569</v>
      </c>
      <c r="AA109" s="152">
        <f t="shared" si="307"/>
        <v>2.5722846441947569</v>
      </c>
      <c r="AB109" s="152">
        <f t="shared" si="307"/>
        <v>2.5722846441947569</v>
      </c>
      <c r="AC109" s="152">
        <f t="shared" si="307"/>
        <v>2.5722846441947569</v>
      </c>
      <c r="AD109" s="138">
        <f t="shared" si="247"/>
        <v>2.5373828436969781E-3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308">E70*E42</f>
        <v>0</v>
      </c>
      <c r="F111" s="165">
        <f t="shared" si="308"/>
        <v>0</v>
      </c>
      <c r="G111" s="165">
        <f>G70*G42</f>
        <v>6.7649999999999997</v>
      </c>
      <c r="H111" s="165">
        <f t="shared" ref="H111:P111" si="309">H70*H42</f>
        <v>12.3</v>
      </c>
      <c r="I111" s="165">
        <f t="shared" si="309"/>
        <v>19.3</v>
      </c>
      <c r="J111" s="165">
        <f t="shared" si="309"/>
        <v>20.265000000000001</v>
      </c>
      <c r="K111" s="165">
        <f t="shared" si="309"/>
        <v>20.265000000000001</v>
      </c>
      <c r="L111" s="165">
        <f t="shared" si="309"/>
        <v>11.58</v>
      </c>
      <c r="M111" s="165">
        <f t="shared" si="309"/>
        <v>13.51</v>
      </c>
      <c r="N111" s="165">
        <f t="shared" si="309"/>
        <v>13.523999999999999</v>
      </c>
      <c r="O111" s="165">
        <f t="shared" si="309"/>
        <v>14.49</v>
      </c>
      <c r="P111" s="165">
        <f t="shared" si="309"/>
        <v>14.49</v>
      </c>
      <c r="Q111" s="165">
        <f t="shared" ref="Q111" si="310">Q70*Q42</f>
        <v>14.49</v>
      </c>
      <c r="R111" s="118">
        <f t="shared" si="245"/>
        <v>8.8317519743263961E-2</v>
      </c>
      <c r="S111" s="20"/>
      <c r="T111" s="165">
        <f t="shared" ref="T111:AC111" si="311">T70*T42</f>
        <v>15.366645000000002</v>
      </c>
      <c r="U111" s="165">
        <f t="shared" si="311"/>
        <v>16.296327022500005</v>
      </c>
      <c r="V111" s="165">
        <f t="shared" si="311"/>
        <v>17.282254807361255</v>
      </c>
      <c r="W111" s="165">
        <f t="shared" si="311"/>
        <v>18.327831223206612</v>
      </c>
      <c r="X111" s="165">
        <f t="shared" si="311"/>
        <v>19.436665012210614</v>
      </c>
      <c r="Y111" s="165">
        <f t="shared" si="311"/>
        <v>20.612583245449361</v>
      </c>
      <c r="Z111" s="165">
        <f t="shared" si="311"/>
        <v>21.859644531799045</v>
      </c>
      <c r="AA111" s="165">
        <f t="shared" si="311"/>
        <v>23.182153025972887</v>
      </c>
      <c r="AB111" s="165">
        <f t="shared" si="311"/>
        <v>24.584673284044246</v>
      </c>
      <c r="AC111" s="165">
        <f t="shared" si="311"/>
        <v>26.072046017728926</v>
      </c>
      <c r="AD111" s="138">
        <f t="shared" si="247"/>
        <v>6.9782195607736019E-2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312">(G111*0.17)+G111</f>
        <v>7.9150499999999999</v>
      </c>
      <c r="H112" s="165">
        <f t="shared" si="312"/>
        <v>14.391000000000002</v>
      </c>
      <c r="I112" s="165">
        <f t="shared" si="312"/>
        <v>22.581</v>
      </c>
      <c r="J112" s="165">
        <f t="shared" si="312"/>
        <v>23.710050000000003</v>
      </c>
      <c r="K112" s="165">
        <f t="shared" si="312"/>
        <v>23.710050000000003</v>
      </c>
      <c r="L112" s="165">
        <f t="shared" si="312"/>
        <v>13.5486</v>
      </c>
      <c r="M112" s="165">
        <f t="shared" si="312"/>
        <v>15.806699999999999</v>
      </c>
      <c r="N112" s="165">
        <f t="shared" si="312"/>
        <v>15.823079999999999</v>
      </c>
      <c r="O112" s="165">
        <f t="shared" si="312"/>
        <v>16.953299999999999</v>
      </c>
      <c r="P112" s="165">
        <f t="shared" si="312"/>
        <v>16.953299999999999</v>
      </c>
      <c r="Q112" s="165">
        <f t="shared" ref="Q112" si="313">(Q111*0.17)+Q111</f>
        <v>16.953299999999999</v>
      </c>
      <c r="R112" s="118">
        <f t="shared" si="245"/>
        <v>8.8317519743263961E-2</v>
      </c>
      <c r="S112" s="20"/>
      <c r="T112" s="165">
        <f t="shared" ref="T112:AC112" si="314">(T111*0.17)+T111</f>
        <v>17.978974650000001</v>
      </c>
      <c r="U112" s="165">
        <f t="shared" si="314"/>
        <v>19.066702616325006</v>
      </c>
      <c r="V112" s="165">
        <f t="shared" si="314"/>
        <v>20.220238124612671</v>
      </c>
      <c r="W112" s="165">
        <f t="shared" si="314"/>
        <v>21.443562531151738</v>
      </c>
      <c r="X112" s="165">
        <f t="shared" si="314"/>
        <v>22.740898064286419</v>
      </c>
      <c r="Y112" s="165">
        <f t="shared" si="314"/>
        <v>24.116722397175753</v>
      </c>
      <c r="Z112" s="165">
        <f t="shared" si="314"/>
        <v>25.575784102204882</v>
      </c>
      <c r="AA112" s="165">
        <f t="shared" si="314"/>
        <v>27.123119040388278</v>
      </c>
      <c r="AB112" s="165">
        <f t="shared" si="314"/>
        <v>28.764067742331768</v>
      </c>
      <c r="AC112" s="165">
        <f t="shared" si="314"/>
        <v>30.504293840742843</v>
      </c>
      <c r="AD112" s="138">
        <f t="shared" si="247"/>
        <v>6.9782195607736019E-2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315">F112/F40</f>
        <v>#DIV/0!</v>
      </c>
      <c r="G113" s="152">
        <f t="shared" si="315"/>
        <v>0.25127142857142859</v>
      </c>
      <c r="H113" s="152">
        <f t="shared" si="315"/>
        <v>0.24812068965517245</v>
      </c>
      <c r="I113" s="152">
        <f t="shared" si="315"/>
        <v>0.32726086956521738</v>
      </c>
      <c r="J113" s="152">
        <f t="shared" si="315"/>
        <v>0.27252931034482764</v>
      </c>
      <c r="K113" s="152">
        <f t="shared" si="315"/>
        <v>0.20982345132743366</v>
      </c>
      <c r="L113" s="152">
        <f t="shared" si="315"/>
        <v>0.180648</v>
      </c>
      <c r="M113" s="152">
        <f t="shared" si="315"/>
        <v>7.2176712328767115E-2</v>
      </c>
      <c r="N113" s="152">
        <f t="shared" si="315"/>
        <v>8.1143999999999994E-2</v>
      </c>
      <c r="O113" s="152">
        <f t="shared" si="315"/>
        <v>6.302342007434944E-2</v>
      </c>
      <c r="P113" s="152">
        <f t="shared" si="315"/>
        <v>4.8437999999999995E-2</v>
      </c>
      <c r="Q113" s="152">
        <f t="shared" ref="Q113" si="316">Q112/Q40</f>
        <v>4.8437999999999995E-2</v>
      </c>
      <c r="R113" s="118">
        <f t="shared" si="245"/>
        <v>-0.16716236203136248</v>
      </c>
      <c r="S113" s="20"/>
      <c r="T113" s="152">
        <f t="shared" ref="T113:AC113" si="317">T112/T40</f>
        <v>4.5864731249999999E-2</v>
      </c>
      <c r="U113" s="152">
        <f t="shared" si="317"/>
        <v>4.3428167402343759E-2</v>
      </c>
      <c r="V113" s="152">
        <f t="shared" si="317"/>
        <v>4.1121046009094241E-2</v>
      </c>
      <c r="W113" s="152">
        <f t="shared" si="317"/>
        <v>3.893649043986111E-2</v>
      </c>
      <c r="X113" s="152">
        <f t="shared" si="317"/>
        <v>3.6867989385243487E-2</v>
      </c>
      <c r="Y113" s="152">
        <f t="shared" si="317"/>
        <v>3.4909377449152436E-2</v>
      </c>
      <c r="Z113" s="152">
        <f t="shared" si="317"/>
        <v>3.30548167721662E-2</v>
      </c>
      <c r="AA113" s="152">
        <f t="shared" si="317"/>
        <v>3.1298779631144871E-2</v>
      </c>
      <c r="AB113" s="152">
        <f t="shared" si="317"/>
        <v>2.9636031963240297E-2</v>
      </c>
      <c r="AC113" s="152">
        <f t="shared" si="317"/>
        <v>2.8061617765193152E-2</v>
      </c>
      <c r="AD113" s="138">
        <f t="shared" si="247"/>
        <v>-0.10381333016715477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0.74872857142857141</v>
      </c>
      <c r="H114" s="152">
        <f t="shared" ref="H114:P114" si="318">1-H113</f>
        <v>0.75187931034482758</v>
      </c>
      <c r="I114" s="152">
        <f t="shared" si="318"/>
        <v>0.67273913043478262</v>
      </c>
      <c r="J114" s="152">
        <f t="shared" si="318"/>
        <v>0.72747068965517236</v>
      </c>
      <c r="K114" s="152">
        <f t="shared" si="318"/>
        <v>0.79017654867256637</v>
      </c>
      <c r="L114" s="152">
        <f t="shared" si="318"/>
        <v>0.81935199999999997</v>
      </c>
      <c r="M114" s="152">
        <f t="shared" si="318"/>
        <v>0.9278232876712329</v>
      </c>
      <c r="N114" s="152">
        <f t="shared" si="318"/>
        <v>0.91885600000000001</v>
      </c>
      <c r="O114" s="152">
        <f t="shared" si="318"/>
        <v>0.93697657992565053</v>
      </c>
      <c r="P114" s="152">
        <f t="shared" si="318"/>
        <v>0.95156200000000002</v>
      </c>
      <c r="Q114" s="152">
        <f t="shared" ref="Q114" si="319">1-Q113</f>
        <v>0.95156200000000002</v>
      </c>
      <c r="R114" s="118">
        <f t="shared" si="245"/>
        <v>2.6994401322001371E-2</v>
      </c>
      <c r="S114" s="20"/>
      <c r="T114" s="152">
        <f t="shared" ref="T114:AC114" si="320">1-T113</f>
        <v>0.95413526874999999</v>
      </c>
      <c r="U114" s="152">
        <f t="shared" si="320"/>
        <v>0.95657183259765621</v>
      </c>
      <c r="V114" s="152">
        <f t="shared" si="320"/>
        <v>0.95887895399090572</v>
      </c>
      <c r="W114" s="152">
        <f t="shared" si="320"/>
        <v>0.96106350956013886</v>
      </c>
      <c r="X114" s="152">
        <f t="shared" si="320"/>
        <v>0.96313201061475651</v>
      </c>
      <c r="Y114" s="152">
        <f t="shared" si="320"/>
        <v>0.96509062255084754</v>
      </c>
      <c r="Z114" s="152">
        <f t="shared" si="320"/>
        <v>0.96694518322783385</v>
      </c>
      <c r="AA114" s="152">
        <f t="shared" si="320"/>
        <v>0.96870122036885509</v>
      </c>
      <c r="AB114" s="152">
        <f t="shared" si="320"/>
        <v>0.97036396803675973</v>
      </c>
      <c r="AC114" s="152">
        <f t="shared" si="320"/>
        <v>0.97193838223480689</v>
      </c>
      <c r="AD114" s="138">
        <f t="shared" si="247"/>
        <v>1.3131261620146217E-2</v>
      </c>
      <c r="AE114" s="20"/>
      <c r="AF114" s="20"/>
    </row>
    <row r="115" spans="2:32" x14ac:dyDescent="0.2">
      <c r="B115" s="20" t="s">
        <v>453</v>
      </c>
      <c r="C115" s="20"/>
      <c r="D115" s="20"/>
      <c r="E115" s="20"/>
      <c r="F115" s="152" t="e">
        <f t="shared" ref="F115:P115" si="321">F112/F20</f>
        <v>#DIV/0!</v>
      </c>
      <c r="G115" s="152">
        <f t="shared" si="321"/>
        <v>0.14391000000000001</v>
      </c>
      <c r="H115" s="152">
        <f t="shared" si="321"/>
        <v>0.27675000000000005</v>
      </c>
      <c r="I115" s="152">
        <f t="shared" si="321"/>
        <v>0.66414705882352942</v>
      </c>
      <c r="J115" s="152">
        <f t="shared" si="321"/>
        <v>0.48387857142857149</v>
      </c>
      <c r="K115" s="152">
        <f t="shared" si="321"/>
        <v>0.62394868421052641</v>
      </c>
      <c r="L115" s="152">
        <f t="shared" si="321"/>
        <v>4.7706338028169017E-2</v>
      </c>
      <c r="M115" s="152">
        <f t="shared" si="321"/>
        <v>8.0646428571428563E-2</v>
      </c>
      <c r="N115" s="152">
        <f t="shared" si="321"/>
        <v>0.26371800000000001</v>
      </c>
      <c r="O115" s="152">
        <f t="shared" si="321"/>
        <v>0.23223698630136985</v>
      </c>
      <c r="P115" s="152">
        <f t="shared" si="321"/>
        <v>3.0824181818181817E-2</v>
      </c>
      <c r="Q115" s="152">
        <f>Q112/Q20</f>
        <v>3.0824181818181817E-2</v>
      </c>
      <c r="R115" s="118">
        <f t="shared" si="245"/>
        <v>-0.15735526923719023</v>
      </c>
      <c r="S115" s="20"/>
      <c r="T115" s="152">
        <f>T112/T20</f>
        <v>2.9186647159090907E-2</v>
      </c>
      <c r="U115" s="152">
        <f t="shared" ref="U115:AC115" si="322">U112/U20</f>
        <v>2.7636106528764207E-2</v>
      </c>
      <c r="V115" s="152">
        <f t="shared" si="322"/>
        <v>2.6167938369423608E-2</v>
      </c>
      <c r="W115" s="152">
        <f t="shared" si="322"/>
        <v>2.4777766643547978E-2</v>
      </c>
      <c r="X115" s="152">
        <f t="shared" si="322"/>
        <v>2.3461447790609491E-2</v>
      </c>
      <c r="Y115" s="152">
        <f t="shared" si="322"/>
        <v>2.2215058376733363E-2</v>
      </c>
      <c r="Z115" s="152">
        <f t="shared" si="322"/>
        <v>2.1034883400469398E-2</v>
      </c>
      <c r="AA115" s="152">
        <f t="shared" si="322"/>
        <v>1.991740521981946E-2</v>
      </c>
      <c r="AB115" s="152">
        <f t="shared" si="322"/>
        <v>1.8859293067516551E-2</v>
      </c>
      <c r="AC115" s="152">
        <f t="shared" si="322"/>
        <v>1.7857393123304734E-2</v>
      </c>
      <c r="AD115" s="138" t="s">
        <v>454</v>
      </c>
      <c r="AE115" s="20"/>
      <c r="AF115" s="20"/>
    </row>
    <row r="116" spans="2:32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 x14ac:dyDescent="0.2">
      <c r="B117" s="20" t="s">
        <v>333</v>
      </c>
      <c r="C117" s="152"/>
      <c r="D117" s="152"/>
      <c r="E117" s="152"/>
      <c r="F117" s="152" t="e">
        <f>F31/F25</f>
        <v>#DIV/0!</v>
      </c>
      <c r="G117" s="152">
        <f>G31/G25</f>
        <v>0</v>
      </c>
      <c r="H117" s="152">
        <f t="shared" ref="H117:P117" si="323">H31/H25</f>
        <v>0</v>
      </c>
      <c r="I117" s="152">
        <f t="shared" si="323"/>
        <v>0</v>
      </c>
      <c r="J117" s="152">
        <f t="shared" si="323"/>
        <v>0</v>
      </c>
      <c r="K117" s="152">
        <f t="shared" si="323"/>
        <v>0</v>
      </c>
      <c r="L117" s="152">
        <f t="shared" si="323"/>
        <v>0</v>
      </c>
      <c r="M117" s="152">
        <f t="shared" si="323"/>
        <v>0</v>
      </c>
      <c r="N117" s="152">
        <f t="shared" si="323"/>
        <v>0</v>
      </c>
      <c r="O117" s="152">
        <f t="shared" si="323"/>
        <v>0</v>
      </c>
      <c r="P117" s="152">
        <f t="shared" si="323"/>
        <v>0</v>
      </c>
      <c r="Q117" s="152">
        <f t="shared" ref="Q117" si="324">Q31/Q25</f>
        <v>0</v>
      </c>
      <c r="R117" s="118" t="e">
        <f t="shared" si="245"/>
        <v>#DIV/0!</v>
      </c>
      <c r="S117" s="20"/>
      <c r="T117" s="152">
        <f t="shared" ref="T117:AC117" si="325">T31/T25</f>
        <v>0</v>
      </c>
      <c r="U117" s="152">
        <f t="shared" si="325"/>
        <v>0</v>
      </c>
      <c r="V117" s="152">
        <f t="shared" si="325"/>
        <v>0</v>
      </c>
      <c r="W117" s="152">
        <f t="shared" si="325"/>
        <v>0</v>
      </c>
      <c r="X117" s="152">
        <f t="shared" si="325"/>
        <v>0</v>
      </c>
      <c r="Y117" s="152">
        <f t="shared" si="325"/>
        <v>0</v>
      </c>
      <c r="Z117" s="152">
        <f t="shared" si="325"/>
        <v>0</v>
      </c>
      <c r="AA117" s="152">
        <f t="shared" si="325"/>
        <v>0</v>
      </c>
      <c r="AB117" s="152">
        <f t="shared" si="325"/>
        <v>0</v>
      </c>
      <c r="AC117" s="152">
        <f t="shared" si="325"/>
        <v>0</v>
      </c>
      <c r="AD117" s="138" t="e">
        <f t="shared" si="247"/>
        <v>#DIV/0!</v>
      </c>
      <c r="AE117" s="20"/>
      <c r="AF117" s="20"/>
    </row>
    <row r="118" spans="2:32" x14ac:dyDescent="0.2">
      <c r="B118" s="20" t="s">
        <v>330</v>
      </c>
      <c r="C118" s="152"/>
      <c r="D118" s="152"/>
      <c r="E118" s="152"/>
      <c r="F118" s="152" t="e">
        <f>F32/F25</f>
        <v>#DIV/0!</v>
      </c>
      <c r="G118" s="152">
        <f>G32/G25</f>
        <v>0</v>
      </c>
      <c r="H118" s="152">
        <f t="shared" ref="H118:P118" si="326">H32/H25</f>
        <v>0</v>
      </c>
      <c r="I118" s="152">
        <f t="shared" si="326"/>
        <v>0</v>
      </c>
      <c r="J118" s="152">
        <f t="shared" si="326"/>
        <v>0</v>
      </c>
      <c r="K118" s="152">
        <f t="shared" si="326"/>
        <v>0</v>
      </c>
      <c r="L118" s="152">
        <f t="shared" si="326"/>
        <v>0</v>
      </c>
      <c r="M118" s="152">
        <f t="shared" si="326"/>
        <v>0</v>
      </c>
      <c r="N118" s="152">
        <f t="shared" si="326"/>
        <v>0</v>
      </c>
      <c r="O118" s="152">
        <f t="shared" si="326"/>
        <v>0</v>
      </c>
      <c r="P118" s="152">
        <f t="shared" si="326"/>
        <v>0</v>
      </c>
      <c r="Q118" s="152">
        <f t="shared" ref="Q118" si="327">Q32/Q25</f>
        <v>0</v>
      </c>
      <c r="R118" s="118" t="e">
        <f t="shared" si="245"/>
        <v>#DIV/0!</v>
      </c>
      <c r="S118" s="20"/>
      <c r="T118" s="152">
        <f t="shared" ref="T118:AC118" si="328">T32/T25</f>
        <v>0</v>
      </c>
      <c r="U118" s="152">
        <f t="shared" si="328"/>
        <v>0</v>
      </c>
      <c r="V118" s="152">
        <f t="shared" si="328"/>
        <v>0</v>
      </c>
      <c r="W118" s="152">
        <f t="shared" si="328"/>
        <v>0</v>
      </c>
      <c r="X118" s="152">
        <f t="shared" si="328"/>
        <v>0</v>
      </c>
      <c r="Y118" s="152">
        <f t="shared" si="328"/>
        <v>0</v>
      </c>
      <c r="Z118" s="152">
        <f t="shared" si="328"/>
        <v>0</v>
      </c>
      <c r="AA118" s="152">
        <f t="shared" si="328"/>
        <v>0</v>
      </c>
      <c r="AB118" s="152">
        <f t="shared" si="328"/>
        <v>0</v>
      </c>
      <c r="AC118" s="152">
        <f t="shared" si="328"/>
        <v>0</v>
      </c>
      <c r="AD118" s="138" t="e">
        <f t="shared" si="247"/>
        <v>#DIV/0!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 x14ac:dyDescent="0.2">
      <c r="B120" s="20" t="s">
        <v>354</v>
      </c>
      <c r="C120" s="20"/>
      <c r="D120" s="20"/>
      <c r="E120" s="20"/>
      <c r="F120" s="20"/>
      <c r="G120" s="152">
        <f>G27/G25</f>
        <v>0.81002638522427439</v>
      </c>
      <c r="H120" s="152">
        <f t="shared" ref="H120:P120" si="329">H27/H25</f>
        <v>0.75347912524850891</v>
      </c>
      <c r="I120" s="152">
        <f t="shared" si="329"/>
        <v>0.77223088923556937</v>
      </c>
      <c r="J120" s="152">
        <f t="shared" si="329"/>
        <v>0.7903780068728522</v>
      </c>
      <c r="K120" s="152">
        <f t="shared" si="329"/>
        <v>0.79077711357813829</v>
      </c>
      <c r="L120" s="152">
        <f t="shared" si="329"/>
        <v>0.84536834427425234</v>
      </c>
      <c r="M120" s="152">
        <f t="shared" si="329"/>
        <v>0.73753943217665618</v>
      </c>
      <c r="N120" s="152">
        <f t="shared" si="329"/>
        <v>0.82483069977426637</v>
      </c>
      <c r="O120" s="152">
        <f t="shared" si="329"/>
        <v>0.83203125</v>
      </c>
      <c r="P120" s="152">
        <f t="shared" si="329"/>
        <v>0.80401863715783339</v>
      </c>
      <c r="Q120" s="152">
        <f t="shared" ref="Q120" si="330">Q27/Q25</f>
        <v>0.80401863715783339</v>
      </c>
      <c r="R120" s="118">
        <f t="shared" si="245"/>
        <v>-8.2681045171884016E-4</v>
      </c>
      <c r="S120" s="20"/>
      <c r="T120" s="152">
        <f t="shared" ref="T120:AC120" si="331">T27/T25</f>
        <v>0.80401863715783339</v>
      </c>
      <c r="U120" s="152">
        <f t="shared" si="331"/>
        <v>0.80401863715783339</v>
      </c>
      <c r="V120" s="152">
        <f t="shared" si="331"/>
        <v>0.80401863715783328</v>
      </c>
      <c r="W120" s="152">
        <f t="shared" si="331"/>
        <v>0.80401863715783328</v>
      </c>
      <c r="X120" s="152">
        <f t="shared" si="331"/>
        <v>0.80401863715783317</v>
      </c>
      <c r="Y120" s="152">
        <f t="shared" si="331"/>
        <v>0.80401863715783317</v>
      </c>
      <c r="Z120" s="152">
        <f t="shared" si="331"/>
        <v>0.80401863715783317</v>
      </c>
      <c r="AA120" s="152">
        <f t="shared" si="331"/>
        <v>0.80401863715783328</v>
      </c>
      <c r="AB120" s="152">
        <f t="shared" si="331"/>
        <v>0.80401863715783317</v>
      </c>
      <c r="AC120" s="152">
        <f t="shared" si="331"/>
        <v>0.80401863715783328</v>
      </c>
      <c r="AD120" s="138">
        <f t="shared" si="247"/>
        <v>-3.7214933685236762E-4</v>
      </c>
      <c r="AE120" s="20"/>
      <c r="AF120" s="20"/>
    </row>
    <row r="121" spans="2:32" x14ac:dyDescent="0.2">
      <c r="B121" s="20" t="str">
        <f>B33</f>
        <v>Top Expenses ( Raw material )</v>
      </c>
      <c r="C121" s="20"/>
      <c r="D121" s="20"/>
      <c r="E121" s="20"/>
      <c r="F121" s="20"/>
      <c r="G121" s="152">
        <f>G33/G25</f>
        <v>0.53825857519788922</v>
      </c>
      <c r="H121" s="152">
        <f t="shared" ref="H121:P121" si="332">H33/H25</f>
        <v>0.50695825049701793</v>
      </c>
      <c r="I121" s="152">
        <f t="shared" si="332"/>
        <v>0.53666146645865831</v>
      </c>
      <c r="J121" s="152">
        <f t="shared" si="332"/>
        <v>0.57502863688430694</v>
      </c>
      <c r="K121" s="152">
        <f t="shared" si="332"/>
        <v>0.57984628522630233</v>
      </c>
      <c r="L121" s="152">
        <f t="shared" si="332"/>
        <v>0.61925601750547044</v>
      </c>
      <c r="M121" s="152">
        <f t="shared" si="332"/>
        <v>0.52681388012618302</v>
      </c>
      <c r="N121" s="152">
        <f t="shared" si="332"/>
        <v>0.67765237020316027</v>
      </c>
      <c r="O121" s="152">
        <f t="shared" si="332"/>
        <v>0.64453125</v>
      </c>
      <c r="P121" s="152">
        <f t="shared" si="332"/>
        <v>0.60104834012813046</v>
      </c>
      <c r="Q121" s="152">
        <f t="shared" ref="Q121" si="333">Q33/Q25</f>
        <v>0.60104834012813046</v>
      </c>
      <c r="R121" s="118">
        <f t="shared" si="245"/>
        <v>1.2335045282988677E-2</v>
      </c>
      <c r="S121" s="20"/>
      <c r="T121" s="152">
        <f t="shared" ref="T121:AC121" si="334">T33/T25</f>
        <v>0.60104834012813046</v>
      </c>
      <c r="U121" s="152">
        <f t="shared" si="334"/>
        <v>0.60104834012813046</v>
      </c>
      <c r="V121" s="152">
        <f t="shared" si="334"/>
        <v>0.60104834012813035</v>
      </c>
      <c r="W121" s="152">
        <f t="shared" si="334"/>
        <v>0.60104834012813035</v>
      </c>
      <c r="X121" s="152">
        <f t="shared" si="334"/>
        <v>0.60104834012813035</v>
      </c>
      <c r="Y121" s="152">
        <f t="shared" si="334"/>
        <v>0.60104834012813035</v>
      </c>
      <c r="Z121" s="152">
        <f t="shared" si="334"/>
        <v>0.60104834012813035</v>
      </c>
      <c r="AA121" s="152">
        <f t="shared" si="334"/>
        <v>0.60104834012813046</v>
      </c>
      <c r="AB121" s="152">
        <f t="shared" si="334"/>
        <v>0.60104834012813035</v>
      </c>
      <c r="AC121" s="152">
        <f t="shared" si="334"/>
        <v>0.60104834012813046</v>
      </c>
      <c r="AD121" s="138">
        <f t="shared" si="247"/>
        <v>5.532060464894073E-3</v>
      </c>
      <c r="AE121" s="20"/>
      <c r="AF121" s="20"/>
    </row>
    <row r="122" spans="2:32" x14ac:dyDescent="0.2">
      <c r="B122" s="20" t="str">
        <f>B34</f>
        <v>2nd highest Expenses Comp. ( Empl )</v>
      </c>
      <c r="C122" s="20"/>
      <c r="D122" s="20"/>
      <c r="E122" s="20"/>
      <c r="F122" s="20"/>
      <c r="G122" s="152">
        <f>G34/G25</f>
        <v>3.9577836411609502E-2</v>
      </c>
      <c r="H122" s="152">
        <f t="shared" ref="H122:P122" si="335">H34/H25</f>
        <v>3.3797216699801194E-2</v>
      </c>
      <c r="I122" s="152">
        <f t="shared" si="335"/>
        <v>3.1201248049921998E-2</v>
      </c>
      <c r="J122" s="152">
        <f t="shared" si="335"/>
        <v>2.8636884306987399E-2</v>
      </c>
      <c r="K122" s="152">
        <f t="shared" si="335"/>
        <v>3.0742954739538857E-2</v>
      </c>
      <c r="L122" s="152">
        <f t="shared" si="335"/>
        <v>3.2093362509117436E-2</v>
      </c>
      <c r="M122" s="152">
        <f t="shared" si="335"/>
        <v>3.5962145110410092E-2</v>
      </c>
      <c r="N122" s="152">
        <f t="shared" si="335"/>
        <v>3.2054176072234764E-2</v>
      </c>
      <c r="O122" s="152">
        <f t="shared" si="335"/>
        <v>3.02734375E-2</v>
      </c>
      <c r="P122" s="152">
        <f t="shared" si="335"/>
        <v>3.9021549213744906E-2</v>
      </c>
      <c r="Q122" s="152">
        <f t="shared" ref="Q122" si="336">Q34/Q25</f>
        <v>3.9021549213744906E-2</v>
      </c>
      <c r="R122" s="118">
        <f t="shared" si="245"/>
        <v>-1.5715679612996469E-3</v>
      </c>
      <c r="S122" s="20"/>
      <c r="T122" s="152">
        <f t="shared" ref="T122:AC122" si="337">T34/T25</f>
        <v>3.9021549213744906E-2</v>
      </c>
      <c r="U122" s="152">
        <f t="shared" si="337"/>
        <v>3.9021549213744899E-2</v>
      </c>
      <c r="V122" s="152">
        <f t="shared" si="337"/>
        <v>3.9021549213744899E-2</v>
      </c>
      <c r="W122" s="152">
        <f t="shared" si="337"/>
        <v>3.9021549213744892E-2</v>
      </c>
      <c r="X122" s="152">
        <f t="shared" si="337"/>
        <v>3.9021549213744892E-2</v>
      </c>
      <c r="Y122" s="152">
        <f t="shared" si="337"/>
        <v>3.9021549213744892E-2</v>
      </c>
      <c r="Z122" s="152">
        <f t="shared" si="337"/>
        <v>3.9021549213744892E-2</v>
      </c>
      <c r="AA122" s="152">
        <f t="shared" si="337"/>
        <v>3.9021549213744892E-2</v>
      </c>
      <c r="AB122" s="152">
        <f t="shared" si="337"/>
        <v>3.9021549213744892E-2</v>
      </c>
      <c r="AC122" s="152">
        <f t="shared" si="337"/>
        <v>3.9021549213744892E-2</v>
      </c>
      <c r="AD122" s="138">
        <f t="shared" si="247"/>
        <v>-7.07511471956912E-4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 x14ac:dyDescent="0.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 x14ac:dyDescent="0.2">
      <c r="B125" s="20" t="s">
        <v>365</v>
      </c>
      <c r="C125" s="20"/>
      <c r="D125" s="20"/>
      <c r="E125" s="20"/>
      <c r="F125" s="20"/>
      <c r="G125" s="25">
        <f>G15/G9</f>
        <v>1.4057971014492754</v>
      </c>
      <c r="H125" s="25">
        <f t="shared" ref="H125:AC125" si="338">H15/H9</f>
        <v>1.375</v>
      </c>
      <c r="I125" s="25">
        <f t="shared" si="338"/>
        <v>2.032258064516129</v>
      </c>
      <c r="J125" s="25">
        <f t="shared" si="338"/>
        <v>2.3983739837398375</v>
      </c>
      <c r="K125" s="25">
        <f t="shared" si="338"/>
        <v>2.473372781065089</v>
      </c>
      <c r="L125" s="25">
        <f t="shared" si="338"/>
        <v>2.510344827586207</v>
      </c>
      <c r="M125" s="25">
        <f t="shared" si="338"/>
        <v>2.4663212435233159</v>
      </c>
      <c r="N125" s="25">
        <f t="shared" si="338"/>
        <v>2.4353312302839116</v>
      </c>
      <c r="O125" s="25">
        <f t="shared" si="338"/>
        <v>3.5364583333333335</v>
      </c>
      <c r="P125" s="25">
        <f t="shared" si="338"/>
        <v>2.3308550185873607</v>
      </c>
      <c r="Q125" s="25">
        <f t="shared" ref="Q125" si="339">Q15/Q9</f>
        <v>2.3308550185873607</v>
      </c>
      <c r="R125" s="118">
        <f t="shared" si="245"/>
        <v>5.778932453379193E-2</v>
      </c>
      <c r="S125" s="20"/>
      <c r="T125" s="20">
        <f t="shared" si="338"/>
        <v>2.3308550185873607</v>
      </c>
      <c r="U125" s="20">
        <f t="shared" si="338"/>
        <v>2.3308550185873607</v>
      </c>
      <c r="V125" s="20">
        <f t="shared" si="338"/>
        <v>2.3308550185873607</v>
      </c>
      <c r="W125" s="20">
        <f t="shared" si="338"/>
        <v>2.3308550185873602</v>
      </c>
      <c r="X125" s="20">
        <f t="shared" si="338"/>
        <v>2.3308550185873602</v>
      </c>
      <c r="Y125" s="20">
        <f t="shared" si="338"/>
        <v>2.3308550185873602</v>
      </c>
      <c r="Z125" s="20">
        <f t="shared" si="338"/>
        <v>2.3308550185873602</v>
      </c>
      <c r="AA125" s="20">
        <f t="shared" si="338"/>
        <v>2.3308550185873602</v>
      </c>
      <c r="AB125" s="20">
        <f t="shared" si="338"/>
        <v>2.3308550185873602</v>
      </c>
      <c r="AC125" s="20">
        <f t="shared" si="338"/>
        <v>2.3308550185873602</v>
      </c>
      <c r="AD125" s="138">
        <f t="shared" si="247"/>
        <v>2.5603822594705727E-2</v>
      </c>
      <c r="AE125" s="20"/>
      <c r="AF125" s="20"/>
    </row>
    <row r="126" spans="2:32" x14ac:dyDescent="0.2">
      <c r="B126" s="20" t="s">
        <v>355</v>
      </c>
      <c r="C126" s="20"/>
      <c r="D126" s="20"/>
      <c r="E126" s="20"/>
      <c r="F126" s="20"/>
      <c r="G126" s="25">
        <f>G12/G9</f>
        <v>1.4202898550724639</v>
      </c>
      <c r="H126" s="25">
        <f t="shared" ref="H126:P126" si="340">H12/H9</f>
        <v>1.3854166666666667</v>
      </c>
      <c r="I126" s="25">
        <f t="shared" si="340"/>
        <v>0.82795698924731187</v>
      </c>
      <c r="J126" s="25">
        <f t="shared" si="340"/>
        <v>4.878048780487805E-2</v>
      </c>
      <c r="K126" s="25">
        <f t="shared" si="340"/>
        <v>5.9171597633136092E-2</v>
      </c>
      <c r="L126" s="25">
        <f t="shared" si="340"/>
        <v>7.586206896551724E-2</v>
      </c>
      <c r="M126" s="25">
        <f t="shared" si="340"/>
        <v>2.5906735751295335E-2</v>
      </c>
      <c r="N126" s="25">
        <f t="shared" si="340"/>
        <v>3.7854889589905363E-2</v>
      </c>
      <c r="O126" s="25">
        <f t="shared" si="340"/>
        <v>0.96354166666666663</v>
      </c>
      <c r="P126" s="25">
        <f t="shared" si="340"/>
        <v>0.51672862453531598</v>
      </c>
      <c r="Q126" s="25">
        <f t="shared" ref="Q126" si="341">Q12/Q9</f>
        <v>0.51672862453531598</v>
      </c>
      <c r="R126" s="118">
        <f t="shared" si="245"/>
        <v>-0.10626348120139639</v>
      </c>
      <c r="S126" s="128"/>
      <c r="T126" s="20">
        <f t="shared" ref="T126:AC126" si="342">T12/T9</f>
        <v>0.51672862453531598</v>
      </c>
      <c r="U126" s="20">
        <f t="shared" si="342"/>
        <v>0.51672862453531598</v>
      </c>
      <c r="V126" s="20">
        <f t="shared" si="342"/>
        <v>0.51672862453531598</v>
      </c>
      <c r="W126" s="20">
        <f t="shared" si="342"/>
        <v>0.51672862453531598</v>
      </c>
      <c r="X126" s="20">
        <f t="shared" si="342"/>
        <v>0.51672862453531598</v>
      </c>
      <c r="Y126" s="20">
        <f t="shared" si="342"/>
        <v>0.51672862453531598</v>
      </c>
      <c r="Z126" s="20">
        <f t="shared" si="342"/>
        <v>0.51672862453531609</v>
      </c>
      <c r="AA126" s="20">
        <f t="shared" si="342"/>
        <v>0.51672862453531609</v>
      </c>
      <c r="AB126" s="20">
        <f t="shared" si="342"/>
        <v>0.51672862453531609</v>
      </c>
      <c r="AC126" s="20">
        <f t="shared" si="342"/>
        <v>0.51672862453531609</v>
      </c>
      <c r="AD126" s="118">
        <f t="shared" ref="AD126" si="343">((AC126/T126)^(1/($H$2-$H$1) ))-1</f>
        <v>0</v>
      </c>
      <c r="AE126" s="20"/>
      <c r="AF126" s="20"/>
    </row>
    <row r="127" spans="2:32" x14ac:dyDescent="0.2">
      <c r="B127" s="20" t="s">
        <v>357</v>
      </c>
      <c r="C127" s="20"/>
      <c r="D127" s="20"/>
      <c r="E127" s="20"/>
      <c r="F127" s="20"/>
      <c r="G127" s="25">
        <f>G25/360</f>
        <v>1.0527777777777778</v>
      </c>
      <c r="H127" s="25">
        <f t="shared" ref="H127:P127" si="344">H25/360</f>
        <v>1.3972222222222221</v>
      </c>
      <c r="I127" s="25">
        <f t="shared" si="344"/>
        <v>1.7805555555555554</v>
      </c>
      <c r="J127" s="25">
        <f t="shared" si="344"/>
        <v>2.4249999999999998</v>
      </c>
      <c r="K127" s="25">
        <f t="shared" si="344"/>
        <v>3.2527777777777778</v>
      </c>
      <c r="L127" s="25">
        <f t="shared" si="344"/>
        <v>3.8083333333333331</v>
      </c>
      <c r="M127" s="25">
        <f t="shared" si="344"/>
        <v>4.4027777777777777</v>
      </c>
      <c r="N127" s="25">
        <f t="shared" si="344"/>
        <v>6.1527777777777777</v>
      </c>
      <c r="O127" s="25">
        <f t="shared" si="344"/>
        <v>8.5333333333333332</v>
      </c>
      <c r="P127" s="25">
        <f t="shared" si="344"/>
        <v>9.5388888888888896</v>
      </c>
      <c r="Q127" s="25">
        <f t="shared" ref="Q127" si="345">Q25/360</f>
        <v>9.5388888888888896</v>
      </c>
      <c r="R127" s="118">
        <f t="shared" si="245"/>
        <v>0.27747153314783679</v>
      </c>
      <c r="S127" s="128"/>
      <c r="T127" s="25">
        <f t="shared" ref="T127:AC127" si="346">T25/360</f>
        <v>10.683555555555557</v>
      </c>
      <c r="U127" s="25">
        <f t="shared" si="346"/>
        <v>11.965582222222224</v>
      </c>
      <c r="V127" s="25">
        <f t="shared" si="346"/>
        <v>13.401452088888893</v>
      </c>
      <c r="W127" s="25">
        <f t="shared" si="346"/>
        <v>15.009626339555563</v>
      </c>
      <c r="X127" s="25">
        <f t="shared" si="346"/>
        <v>16.810781500302234</v>
      </c>
      <c r="Y127" s="25">
        <f t="shared" si="346"/>
        <v>18.828075280338503</v>
      </c>
      <c r="Z127" s="25">
        <f t="shared" si="346"/>
        <v>21.087444313979123</v>
      </c>
      <c r="AA127" s="25">
        <f t="shared" si="346"/>
        <v>23.61793763165662</v>
      </c>
      <c r="AB127" s="25">
        <f t="shared" si="346"/>
        <v>26.452090147455419</v>
      </c>
      <c r="AC127" s="25">
        <f t="shared" si="346"/>
        <v>29.626340965150071</v>
      </c>
      <c r="AD127" s="118">
        <f t="shared" ref="AD127:AD138" si="347">((AC127/T127)^(1/($H$2-$H$1) ))-1</f>
        <v>0.12000000000000011</v>
      </c>
      <c r="AE127" s="20"/>
      <c r="AF127" s="20"/>
    </row>
    <row r="128" spans="2:32" x14ac:dyDescent="0.2">
      <c r="B128" s="20" t="s">
        <v>356</v>
      </c>
      <c r="C128" s="20"/>
      <c r="D128" s="20"/>
      <c r="E128" s="20"/>
      <c r="F128" s="20"/>
      <c r="G128" s="25">
        <f>G27/360</f>
        <v>0.85277777777777775</v>
      </c>
      <c r="H128" s="25">
        <f t="shared" ref="H128:P128" si="348">H27/360</f>
        <v>1.0527777777777778</v>
      </c>
      <c r="I128" s="25">
        <f t="shared" si="348"/>
        <v>1.375</v>
      </c>
      <c r="J128" s="25">
        <f t="shared" si="348"/>
        <v>1.9166666666666667</v>
      </c>
      <c r="K128" s="25">
        <f t="shared" si="348"/>
        <v>2.5722222222222224</v>
      </c>
      <c r="L128" s="25">
        <f t="shared" si="348"/>
        <v>3.2194444444444446</v>
      </c>
      <c r="M128" s="25">
        <f t="shared" si="348"/>
        <v>3.2472222222222222</v>
      </c>
      <c r="N128" s="25">
        <f t="shared" si="348"/>
        <v>5.0750000000000002</v>
      </c>
      <c r="O128" s="25">
        <f t="shared" si="348"/>
        <v>7.1</v>
      </c>
      <c r="P128" s="25">
        <f t="shared" si="348"/>
        <v>7.6694444444444443</v>
      </c>
      <c r="Q128" s="25">
        <f t="shared" ref="Q128" si="349">Q27/360</f>
        <v>7.6694444444444443</v>
      </c>
      <c r="R128" s="118">
        <f t="shared" si="245"/>
        <v>0.27641530633245703</v>
      </c>
      <c r="S128" s="128"/>
      <c r="T128" s="25">
        <f t="shared" ref="T128:AC128" si="350">T27/360</f>
        <v>8.589777777777778</v>
      </c>
      <c r="U128" s="25">
        <f t="shared" si="350"/>
        <v>9.6205511111111122</v>
      </c>
      <c r="V128" s="25">
        <f t="shared" si="350"/>
        <v>10.775017244444447</v>
      </c>
      <c r="W128" s="25">
        <f t="shared" si="350"/>
        <v>12.06801931377778</v>
      </c>
      <c r="X128" s="25">
        <f t="shared" si="350"/>
        <v>13.516181631431115</v>
      </c>
      <c r="Y128" s="25">
        <f t="shared" si="350"/>
        <v>15.138123427202849</v>
      </c>
      <c r="Z128" s="25">
        <f t="shared" si="350"/>
        <v>16.954698238467195</v>
      </c>
      <c r="AA128" s="25">
        <f t="shared" si="350"/>
        <v>18.98926202708326</v>
      </c>
      <c r="AB128" s="25">
        <f t="shared" si="350"/>
        <v>21.267973470333253</v>
      </c>
      <c r="AC128" s="25">
        <f t="shared" si="350"/>
        <v>23.820130286773246</v>
      </c>
      <c r="AD128" s="118">
        <f t="shared" si="347"/>
        <v>0.12000000000000011</v>
      </c>
      <c r="AE128" s="20"/>
      <c r="AF128" s="20"/>
    </row>
    <row r="129" spans="2:32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 x14ac:dyDescent="0.2">
      <c r="B130" s="20" t="s">
        <v>366</v>
      </c>
      <c r="C130" s="20"/>
      <c r="D130" s="20"/>
      <c r="E130" s="20"/>
      <c r="F130" s="20"/>
      <c r="G130" s="25">
        <f>G10/G7</f>
        <v>1.1926605504587156</v>
      </c>
      <c r="H130" s="25">
        <f t="shared" ref="H130:P130" si="351">H10/H7</f>
        <v>1.0632911392405062</v>
      </c>
      <c r="I130" s="25">
        <f t="shared" si="351"/>
        <v>1.0278745644599303</v>
      </c>
      <c r="J130" s="25">
        <f t="shared" si="351"/>
        <v>1.1469740634005763</v>
      </c>
      <c r="K130" s="25">
        <f t="shared" si="351"/>
        <v>1.3021582733812949</v>
      </c>
      <c r="L130" s="25">
        <f t="shared" si="351"/>
        <v>1.006276150627615</v>
      </c>
      <c r="M130" s="25">
        <f t="shared" si="351"/>
        <v>0.69897209985315711</v>
      </c>
      <c r="N130" s="25">
        <f t="shared" si="351"/>
        <v>0.72125435540069682</v>
      </c>
      <c r="O130" s="25">
        <f t="shared" si="351"/>
        <v>1.5279279279279279</v>
      </c>
      <c r="P130" s="25">
        <f t="shared" si="351"/>
        <v>1.4871794871794872</v>
      </c>
      <c r="Q130" s="25">
        <f t="shared" ref="Q130" si="352">Q10/Q7</f>
        <v>1.4871794871794872</v>
      </c>
      <c r="R130" s="118">
        <f t="shared" si="245"/>
        <v>2.4824772196196498E-2</v>
      </c>
      <c r="S130" s="128"/>
      <c r="T130" s="25">
        <f t="shared" ref="T130:AC130" si="353">T10/T7</f>
        <v>1.4871794871794874</v>
      </c>
      <c r="U130" s="25">
        <f t="shared" si="353"/>
        <v>1.4871794871794874</v>
      </c>
      <c r="V130" s="25">
        <f t="shared" si="353"/>
        <v>1.4871794871794874</v>
      </c>
      <c r="W130" s="25">
        <f t="shared" si="353"/>
        <v>1.4871794871794874</v>
      </c>
      <c r="X130" s="25">
        <f t="shared" si="353"/>
        <v>1.4871794871794874</v>
      </c>
      <c r="Y130" s="25">
        <f t="shared" si="353"/>
        <v>1.4871794871794877</v>
      </c>
      <c r="Z130" s="25">
        <f t="shared" si="353"/>
        <v>1.4871794871794877</v>
      </c>
      <c r="AA130" s="25">
        <f t="shared" si="353"/>
        <v>1.4871794871794877</v>
      </c>
      <c r="AB130" s="25">
        <f t="shared" si="353"/>
        <v>1.4871794871794877</v>
      </c>
      <c r="AC130" s="25">
        <f t="shared" si="353"/>
        <v>1.4871794871794877</v>
      </c>
      <c r="AD130" s="118">
        <f t="shared" si="347"/>
        <v>0</v>
      </c>
      <c r="AE130" s="20"/>
      <c r="AF130" s="20"/>
    </row>
    <row r="131" spans="2:32" x14ac:dyDescent="0.2">
      <c r="B131" s="20" t="s">
        <v>358</v>
      </c>
      <c r="C131" s="20"/>
      <c r="D131" s="20"/>
      <c r="E131" s="20"/>
      <c r="F131" s="20"/>
      <c r="G131" s="25">
        <f>G10/(G10+G7)</f>
        <v>0.54393305439330542</v>
      </c>
      <c r="H131" s="25">
        <f t="shared" ref="H131:P131" si="354">H10/(H10+H7)</f>
        <v>0.51533742331288346</v>
      </c>
      <c r="I131" s="25">
        <f t="shared" si="354"/>
        <v>0.50687285223367695</v>
      </c>
      <c r="J131" s="25">
        <f t="shared" si="354"/>
        <v>0.53422818791946314</v>
      </c>
      <c r="K131" s="25">
        <f t="shared" si="354"/>
        <v>0.56562500000000004</v>
      </c>
      <c r="L131" s="25">
        <f t="shared" si="354"/>
        <v>0.50156412930135563</v>
      </c>
      <c r="M131" s="25">
        <f t="shared" si="354"/>
        <v>0.41140881590319794</v>
      </c>
      <c r="N131" s="25">
        <f t="shared" si="354"/>
        <v>0.41902834008097167</v>
      </c>
      <c r="O131" s="25">
        <f t="shared" si="354"/>
        <v>0.60441910192444759</v>
      </c>
      <c r="P131" s="25">
        <f t="shared" si="354"/>
        <v>0.59793814432989689</v>
      </c>
      <c r="Q131" s="25">
        <f t="shared" ref="Q131" si="355">Q10/(Q10+Q7)</f>
        <v>0.59793814432989689</v>
      </c>
      <c r="R131" s="118">
        <f t="shared" si="245"/>
        <v>1.0573411310831782E-2</v>
      </c>
      <c r="S131" s="128"/>
      <c r="T131" s="25">
        <f t="shared" ref="T131:AC131" si="356">T10/(T10+T7)</f>
        <v>0.597938144329897</v>
      </c>
      <c r="U131" s="25">
        <f t="shared" si="356"/>
        <v>0.59793814432989689</v>
      </c>
      <c r="V131" s="25">
        <f t="shared" si="356"/>
        <v>0.59793814432989689</v>
      </c>
      <c r="W131" s="25">
        <f t="shared" si="356"/>
        <v>0.597938144329897</v>
      </c>
      <c r="X131" s="25">
        <f t="shared" si="356"/>
        <v>0.597938144329897</v>
      </c>
      <c r="Y131" s="25">
        <f t="shared" si="356"/>
        <v>0.597938144329897</v>
      </c>
      <c r="Z131" s="25">
        <f t="shared" si="356"/>
        <v>0.59793814432989689</v>
      </c>
      <c r="AA131" s="25">
        <f t="shared" si="356"/>
        <v>0.597938144329897</v>
      </c>
      <c r="AB131" s="25">
        <f t="shared" si="356"/>
        <v>0.59793814432989689</v>
      </c>
      <c r="AC131" s="25">
        <f t="shared" si="356"/>
        <v>0.597938144329897</v>
      </c>
      <c r="AD131" s="118">
        <f t="shared" si="347"/>
        <v>0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 x14ac:dyDescent="0.2">
      <c r="B133" s="20" t="s">
        <v>363</v>
      </c>
      <c r="C133" s="20"/>
      <c r="D133" s="20"/>
      <c r="E133" s="20"/>
      <c r="F133" s="20"/>
      <c r="G133" s="25">
        <f>G16</f>
        <v>66</v>
      </c>
      <c r="H133" s="25">
        <f t="shared" ref="H133:P133" si="357">H16</f>
        <v>87</v>
      </c>
      <c r="I133" s="25">
        <f t="shared" si="357"/>
        <v>248</v>
      </c>
      <c r="J133" s="25">
        <f t="shared" si="357"/>
        <v>269</v>
      </c>
      <c r="K133" s="25">
        <f t="shared" si="357"/>
        <v>374</v>
      </c>
      <c r="L133" s="25">
        <f t="shared" si="357"/>
        <v>310</v>
      </c>
      <c r="M133" s="25">
        <f t="shared" si="357"/>
        <v>380</v>
      </c>
      <c r="N133" s="25">
        <f t="shared" si="357"/>
        <v>583</v>
      </c>
      <c r="O133" s="25">
        <f t="shared" si="357"/>
        <v>1454</v>
      </c>
      <c r="P133" s="25">
        <f t="shared" si="357"/>
        <v>1238</v>
      </c>
      <c r="Q133" s="25">
        <f t="shared" ref="Q133" si="358">Q16</f>
        <v>1238</v>
      </c>
      <c r="R133" s="118">
        <f t="shared" si="245"/>
        <v>0.38504562179950552</v>
      </c>
      <c r="S133" s="128"/>
      <c r="T133" s="25">
        <f t="shared" ref="T133:AC133" si="359">T16</f>
        <v>1386.5600000000002</v>
      </c>
      <c r="U133" s="25">
        <f t="shared" si="359"/>
        <v>1552.9472000000003</v>
      </c>
      <c r="V133" s="25">
        <f t="shared" si="359"/>
        <v>1739.3008640000005</v>
      </c>
      <c r="W133" s="25">
        <f t="shared" si="359"/>
        <v>1948.0169676800008</v>
      </c>
      <c r="X133" s="25">
        <f t="shared" si="359"/>
        <v>2181.779003801601</v>
      </c>
      <c r="Y133" s="25">
        <f t="shared" si="359"/>
        <v>2443.5924842577933</v>
      </c>
      <c r="Z133" s="25">
        <f t="shared" si="359"/>
        <v>2736.8235823687287</v>
      </c>
      <c r="AA133" s="25">
        <f t="shared" si="359"/>
        <v>3065.2424122529765</v>
      </c>
      <c r="AB133" s="25">
        <f t="shared" si="359"/>
        <v>3433.0715017233338</v>
      </c>
      <c r="AC133" s="25">
        <f t="shared" si="359"/>
        <v>3845.040081930134</v>
      </c>
      <c r="AD133" s="118">
        <f t="shared" si="347"/>
        <v>0.12000000000000011</v>
      </c>
      <c r="AE133" s="20"/>
      <c r="AF133" s="20"/>
    </row>
    <row r="134" spans="2:32" x14ac:dyDescent="0.2">
      <c r="B134" s="20" t="s">
        <v>364</v>
      </c>
      <c r="C134" s="20"/>
      <c r="D134" s="20"/>
      <c r="E134" s="20"/>
      <c r="F134" s="20"/>
      <c r="G134" s="119">
        <f t="shared" ref="G134:P134" si="360">G133*365/G25</f>
        <v>63.562005277044854</v>
      </c>
      <c r="H134" s="119">
        <f t="shared" si="360"/>
        <v>63.131212723658052</v>
      </c>
      <c r="I134" s="119">
        <f t="shared" si="360"/>
        <v>141.21684867394697</v>
      </c>
      <c r="J134" s="119">
        <f t="shared" si="360"/>
        <v>112.46849942726232</v>
      </c>
      <c r="K134" s="119">
        <f t="shared" si="360"/>
        <v>116.57557643040137</v>
      </c>
      <c r="L134" s="119">
        <f t="shared" si="360"/>
        <v>82.530999270605392</v>
      </c>
      <c r="M134" s="119">
        <f t="shared" si="360"/>
        <v>87.50788643533123</v>
      </c>
      <c r="N134" s="119">
        <f t="shared" si="360"/>
        <v>96.069977426636569</v>
      </c>
      <c r="O134" s="119">
        <f t="shared" si="360"/>
        <v>172.75716145833334</v>
      </c>
      <c r="P134" s="119">
        <f t="shared" si="360"/>
        <v>131.58707047175307</v>
      </c>
      <c r="Q134" s="119">
        <f t="shared" ref="Q134" si="361">Q133*365/Q25</f>
        <v>131.58707047175307</v>
      </c>
      <c r="R134" s="118">
        <f t="shared" si="245"/>
        <v>8.420859945629755E-2</v>
      </c>
      <c r="S134" s="128"/>
      <c r="T134" s="119">
        <f t="shared" ref="T134:AC134" si="362">T133*365/T25</f>
        <v>131.58707047175307</v>
      </c>
      <c r="U134" s="119">
        <f t="shared" si="362"/>
        <v>131.58707047175307</v>
      </c>
      <c r="V134" s="119">
        <f t="shared" si="362"/>
        <v>131.58707047175307</v>
      </c>
      <c r="W134" s="119">
        <f t="shared" si="362"/>
        <v>131.58707047175304</v>
      </c>
      <c r="X134" s="119">
        <f t="shared" si="362"/>
        <v>131.58707047175304</v>
      </c>
      <c r="Y134" s="119">
        <f t="shared" si="362"/>
        <v>131.58707047175307</v>
      </c>
      <c r="Z134" s="119">
        <f t="shared" si="362"/>
        <v>131.58707047175304</v>
      </c>
      <c r="AA134" s="119">
        <f t="shared" si="362"/>
        <v>131.58707047175307</v>
      </c>
      <c r="AB134" s="119">
        <f t="shared" si="362"/>
        <v>131.58707047175301</v>
      </c>
      <c r="AC134" s="119">
        <f t="shared" si="362"/>
        <v>131.58707047175301</v>
      </c>
      <c r="AD134" s="118">
        <f t="shared" si="347"/>
        <v>0</v>
      </c>
      <c r="AE134" s="20"/>
      <c r="AF134" s="20"/>
    </row>
    <row r="135" spans="2:32" x14ac:dyDescent="0.2">
      <c r="B135" s="20" t="s">
        <v>367</v>
      </c>
      <c r="C135" s="20"/>
      <c r="D135" s="20"/>
      <c r="E135" s="20"/>
      <c r="F135" s="20"/>
      <c r="G135" s="133">
        <f>G80/G29</f>
        <v>5.9905862216516903</v>
      </c>
      <c r="H135" s="133">
        <f t="shared" ref="H135:P135" si="363">H80/H29</f>
        <v>11.382113821138212</v>
      </c>
      <c r="I135" s="133">
        <f t="shared" si="363"/>
        <v>6.0449050086355784</v>
      </c>
      <c r="J135" s="133">
        <f t="shared" si="363"/>
        <v>5.4251752514477296</v>
      </c>
      <c r="K135" s="133">
        <f t="shared" si="363"/>
        <v>4.3561696411437349</v>
      </c>
      <c r="L135" s="133">
        <f t="shared" si="363"/>
        <v>3.3406053995091356</v>
      </c>
      <c r="M135" s="133">
        <f t="shared" si="363"/>
        <v>10.526315789473685</v>
      </c>
      <c r="N135" s="133">
        <f t="shared" si="363"/>
        <v>1.7268962921136835</v>
      </c>
      <c r="O135" s="133">
        <f t="shared" si="363"/>
        <v>1.8276575997715427</v>
      </c>
      <c r="P135" s="133">
        <f t="shared" si="363"/>
        <v>2.564987347596043</v>
      </c>
      <c r="Q135" s="133">
        <f t="shared" ref="Q135" si="364">Q80/Q29</f>
        <v>2.564987347596043</v>
      </c>
      <c r="R135" s="118">
        <f t="shared" si="245"/>
        <v>-8.9943336875422886E-2</v>
      </c>
      <c r="S135" s="128"/>
      <c r="T135" s="133">
        <f t="shared" ref="T135:AC135" si="365">T80/T29</f>
        <v>2.5395914332634089</v>
      </c>
      <c r="U135" s="133">
        <f t="shared" si="365"/>
        <v>2.5144469636271372</v>
      </c>
      <c r="V135" s="133">
        <f t="shared" si="365"/>
        <v>2.4895514491357793</v>
      </c>
      <c r="W135" s="133">
        <f t="shared" si="365"/>
        <v>2.4649024248869105</v>
      </c>
      <c r="X135" s="133">
        <f t="shared" si="365"/>
        <v>2.4404974503830794</v>
      </c>
      <c r="Y135" s="133">
        <f t="shared" si="365"/>
        <v>2.4163341092901773</v>
      </c>
      <c r="Z135" s="133">
        <f t="shared" si="365"/>
        <v>2.3924100091981959</v>
      </c>
      <c r="AA135" s="133">
        <f t="shared" si="365"/>
        <v>2.3687227813843523</v>
      </c>
      <c r="AB135" s="133">
        <f t="shared" si="365"/>
        <v>2.3452700805785671</v>
      </c>
      <c r="AC135" s="133">
        <f t="shared" si="365"/>
        <v>2.3220495847312543</v>
      </c>
      <c r="AD135" s="118">
        <f t="shared" si="347"/>
        <v>-9.9009900990099098E-3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 x14ac:dyDescent="0.2">
      <c r="B137" s="20" t="s">
        <v>374</v>
      </c>
      <c r="C137" s="20"/>
      <c r="D137" s="20"/>
      <c r="E137" s="20"/>
      <c r="F137" s="20"/>
      <c r="G137" s="180">
        <f>G25/G14</f>
        <v>6.7678571428571432</v>
      </c>
      <c r="H137" s="180">
        <f t="shared" ref="H137:P137" si="366">H25/H14</f>
        <v>7.7384615384615385</v>
      </c>
      <c r="I137" s="180">
        <f t="shared" si="366"/>
        <v>5.990654205607477</v>
      </c>
      <c r="J137" s="180">
        <f t="shared" si="366"/>
        <v>7.1557377049180326</v>
      </c>
      <c r="K137" s="180">
        <f t="shared" si="366"/>
        <v>5.8550000000000004</v>
      </c>
      <c r="L137" s="180">
        <f t="shared" si="366"/>
        <v>10.308270676691729</v>
      </c>
      <c r="M137" s="180">
        <f t="shared" si="366"/>
        <v>7.3041474654377883</v>
      </c>
      <c r="N137" s="180">
        <f t="shared" si="366"/>
        <v>5.2364066193853427</v>
      </c>
      <c r="O137" s="180">
        <f t="shared" si="366"/>
        <v>6.168674698795181</v>
      </c>
      <c r="P137" s="180">
        <f t="shared" si="366"/>
        <v>7.5307017543859649</v>
      </c>
      <c r="Q137" s="180">
        <f t="shared" ref="Q137" si="367">Q25/Q14</f>
        <v>7.5307017543859649</v>
      </c>
      <c r="R137" s="118">
        <f t="shared" si="245"/>
        <v>1.1937772887226528E-2</v>
      </c>
      <c r="S137" s="128"/>
      <c r="T137" s="20">
        <f t="shared" ref="T137" si="368">T25/T14</f>
        <v>7.5307017543859649</v>
      </c>
      <c r="U137" s="20">
        <f t="shared" ref="U137:AC137" si="369">U25/U14</f>
        <v>7.5307017543859649</v>
      </c>
      <c r="V137" s="20">
        <f t="shared" si="369"/>
        <v>7.5307017543859649</v>
      </c>
      <c r="W137" s="20">
        <f t="shared" si="369"/>
        <v>7.5307017543859649</v>
      </c>
      <c r="X137" s="20">
        <f t="shared" si="369"/>
        <v>7.5307017543859658</v>
      </c>
      <c r="Y137" s="20">
        <f t="shared" si="369"/>
        <v>7.5307017543859649</v>
      </c>
      <c r="Z137" s="20">
        <f t="shared" si="369"/>
        <v>7.5307017543859658</v>
      </c>
      <c r="AA137" s="20">
        <f t="shared" si="369"/>
        <v>7.5307017543859658</v>
      </c>
      <c r="AB137" s="20">
        <f t="shared" si="369"/>
        <v>7.5307017543859667</v>
      </c>
      <c r="AC137" s="20">
        <f t="shared" si="369"/>
        <v>7.5307017543859658</v>
      </c>
      <c r="AD137" s="118">
        <f t="shared" si="347"/>
        <v>0</v>
      </c>
      <c r="AE137" s="20"/>
      <c r="AF137" s="20"/>
    </row>
    <row r="138" spans="2:32" x14ac:dyDescent="0.2">
      <c r="B138" s="20" t="s">
        <v>375</v>
      </c>
      <c r="C138" s="20"/>
      <c r="D138" s="20"/>
      <c r="E138" s="20"/>
      <c r="F138" s="20"/>
      <c r="G138" s="180">
        <f>G27/G14</f>
        <v>5.4821428571428568</v>
      </c>
      <c r="H138" s="180">
        <f t="shared" ref="H138:P138" si="370">H27/H14</f>
        <v>5.8307692307692305</v>
      </c>
      <c r="I138" s="180">
        <f t="shared" si="370"/>
        <v>4.6261682242990654</v>
      </c>
      <c r="J138" s="180">
        <f t="shared" si="370"/>
        <v>5.6557377049180326</v>
      </c>
      <c r="K138" s="180">
        <f t="shared" si="370"/>
        <v>4.63</v>
      </c>
      <c r="L138" s="180">
        <f t="shared" si="370"/>
        <v>8.7142857142857135</v>
      </c>
      <c r="M138" s="180">
        <f t="shared" si="370"/>
        <v>5.387096774193548</v>
      </c>
      <c r="N138" s="180">
        <f t="shared" si="370"/>
        <v>4.3191489361702127</v>
      </c>
      <c r="O138" s="180">
        <f t="shared" si="370"/>
        <v>5.1325301204819276</v>
      </c>
      <c r="P138" s="180">
        <f t="shared" si="370"/>
        <v>6.0548245614035086</v>
      </c>
      <c r="Q138" s="180">
        <f t="shared" ref="Q138" si="371">Q27/Q14</f>
        <v>6.0548245614035086</v>
      </c>
      <c r="R138" s="118">
        <f t="shared" si="245"/>
        <v>1.1101092160114456E-2</v>
      </c>
      <c r="S138" s="128"/>
      <c r="T138" s="20">
        <f t="shared" ref="T138:AC138" si="372">T27/T14</f>
        <v>6.0548245614035086</v>
      </c>
      <c r="U138" s="20">
        <f t="shared" si="372"/>
        <v>6.0548245614035086</v>
      </c>
      <c r="V138" s="20">
        <f t="shared" si="372"/>
        <v>6.0548245614035077</v>
      </c>
      <c r="W138" s="20">
        <f t="shared" si="372"/>
        <v>6.0548245614035077</v>
      </c>
      <c r="X138" s="20">
        <f t="shared" si="372"/>
        <v>6.0548245614035077</v>
      </c>
      <c r="Y138" s="20">
        <f t="shared" si="372"/>
        <v>6.0548245614035077</v>
      </c>
      <c r="Z138" s="20">
        <f t="shared" si="372"/>
        <v>6.0548245614035077</v>
      </c>
      <c r="AA138" s="20">
        <f t="shared" si="372"/>
        <v>6.0548245614035086</v>
      </c>
      <c r="AB138" s="20">
        <f t="shared" si="372"/>
        <v>6.0548245614035077</v>
      </c>
      <c r="AC138" s="20">
        <f t="shared" si="372"/>
        <v>6.0548245614035086</v>
      </c>
      <c r="AD138" s="118">
        <f t="shared" si="347"/>
        <v>0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>
        <f>AVERAGE(G54:Q54)</f>
        <v>44.0882696919818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>T142+U142</f>
        <v>122.10398561066934</v>
      </c>
      <c r="T142" s="133">
        <f>PV($C$1, ($AC$3-$T$3), 0, -AC54)</f>
        <v>17.014489798208022</v>
      </c>
      <c r="U142" s="133">
        <f>PV($C$1, ($AC$3-$T$3), 0, -AF54)</f>
        <v>105.08949581246132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ref="S143:S161" si="373">T143+U143</f>
        <v>503.41728924627404</v>
      </c>
      <c r="T143" s="133">
        <f>PV($C$1, ($AC$3-$T$3), 0, -AC56)</f>
        <v>70.148310796611938</v>
      </c>
      <c r="U143" s="133">
        <f>PV($C$1, ($AC$3-$T$3), 0, -AF56)</f>
        <v>433.26897844966209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73"/>
        <v>496.43991863994995</v>
      </c>
      <c r="T144" s="133">
        <f>PV($C$1, ($AC$3-$T$3), 0, -AC57)</f>
        <v>69.176054236714336</v>
      </c>
      <c r="U144" s="133">
        <f>PV($C$1, ($AC$3-$T$3), 0, -AF57)</f>
        <v>427.26386440323563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73"/>
        <v>748.67186605856159</v>
      </c>
      <c r="T145" s="133">
        <f>PV($C$1, ($AC$3-$T$3), 0, -AC58)</f>
        <v>104.32312887701266</v>
      </c>
      <c r="U145" s="133">
        <f>PV($C$1, ($AC$3-$T$3), 0, -AF58)</f>
        <v>644.34873718154893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si="373"/>
        <v>96.985451427903101</v>
      </c>
      <c r="T146" s="133">
        <f>PV($C$1, ($AC$3-$T$3), 0, -AC64)</f>
        <v>13.51436618257666</v>
      </c>
      <c r="U146" s="133">
        <f>PV($C$1, ($AC$3-$T$3), 0, -AF64)</f>
        <v>83.471085245326435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73"/>
        <v>-245.2545768122875</v>
      </c>
      <c r="T148" s="133">
        <f>PV($C$1, ($AC$3-$T$3), 0, -AC60)</f>
        <v>-34.174818080400719</v>
      </c>
      <c r="U148" s="133">
        <f>PV($C$1, ($AC$3-$T$3), 0, -$AF$60)</f>
        <v>-211.07975873188678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73"/>
        <v>-432.94584612240214</v>
      </c>
      <c r="T149" s="133">
        <f>PV($C$1, ($AC$3-$T$3), 0, -AC61)</f>
        <v>-60.328519541646187</v>
      </c>
      <c r="U149" s="133">
        <f>PV($C$1, ($AC$3-$T$3), 0, -$AF$61)</f>
        <v>-372.61732658075596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>
        <f t="shared" si="373"/>
        <v>4.5352908941102097</v>
      </c>
      <c r="T150" s="133">
        <f>PV($C$1, ($AC$3-$T$3), 0, -AC62)</f>
        <v>0.63196676393338991</v>
      </c>
      <c r="U150" s="133">
        <f>PV($C$1, ($AC$3-$T$3), 0, -$AF$62)</f>
        <v>3.90332413017682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73"/>
        <v>437.48113701651243</v>
      </c>
      <c r="T152" s="133">
        <f>PV($C$1, ($AC$3-$T$3), 0, -AC67)</f>
        <v>60.9604863055796</v>
      </c>
      <c r="U152" s="133">
        <f>PV($C$1, ($AC$3-$T$3), 0, -AF67)</f>
        <v>376.52065071093284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373"/>
        <v>333.74032222885023</v>
      </c>
      <c r="T153" s="133">
        <f>PV($C$1, ($AC$3-$T$3), 0, -AC68)</f>
        <v>60.182681057661512</v>
      </c>
      <c r="U153" s="133">
        <f>PV($C$1, ($AC$3-$T$3), 0, -AF68)</f>
        <v>273.55764117118872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374">T155+U155</f>
        <v>1034.897781235868</v>
      </c>
      <c r="T155" s="133">
        <f>PV($C$1, ($AC$3-$T$3), 0, -AC12)</f>
        <v>144.20706787712913</v>
      </c>
      <c r="U155" s="133">
        <f>PV($C$1, ($AC$3-$T$3), 0, -AF12)</f>
        <v>890.69071335873878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>T156+U156</f>
        <v>107.13227549025548</v>
      </c>
      <c r="T156" s="140">
        <f>T155/P42</f>
        <v>14.92826789618314</v>
      </c>
      <c r="U156" s="140">
        <f>U155/P42</f>
        <v>92.204007594072337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375">T159+U159</f>
        <v>14.21502740475464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11.694530599091259</v>
      </c>
      <c r="U159" s="133">
        <f>PV($C$1, ($AC$3-$T$3), 0, -AF70)</f>
        <v>2.5204968056633814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373"/>
        <v>-7390.3836865297799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-6079.9790039264544</v>
      </c>
      <c r="U161" s="133">
        <f>PV($C$1, ($AC$3-$T$3), 0, -AF72)</f>
        <v>-1310.4046826033252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ref="S163:S166" si="376">T163+U163</f>
        <v>-692.58984902600901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-569.78526677658976</v>
      </c>
      <c r="U163" s="133">
        <f>PV($C$1, ($AC$3-$T$3), 0, -AF74)</f>
        <v>-122.80458224941921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76"/>
        <v>931.35554270001137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766.21490642328638</v>
      </c>
      <c r="U164" s="133">
        <f>PV($C$1, ($AC$3-$T$3), 0, -AF75)</f>
        <v>165.14063627672496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76"/>
        <v>-1623.94539172602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-1336.0001731998759</v>
      </c>
      <c r="U165" s="133">
        <f>PV($C$1, ($AC$3-$T$3), 0, -AF76)</f>
        <v>-287.94521852614417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si="376"/>
        <v>538.49284105200661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443.01152771382743</v>
      </c>
      <c r="U166" s="133">
        <f>PV($C$1, ($AC$3-$T$3), 0, -AF77)</f>
        <v>95.481313338179163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 t="s">
        <v>298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>
        <f>T168+U168</f>
        <v>450.43740792400541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370.56939110653479</v>
      </c>
      <c r="U168" s="133">
        <f>PV($C$1, ($AC$3-$T$3), 0, -AF78)</f>
        <v>79.868016817470604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83">
        <v>41729</v>
      </c>
      <c r="P169" s="20">
        <v>407</v>
      </c>
      <c r="Q169" s="20"/>
      <c r="R169" s="20"/>
      <c r="S169" s="20"/>
      <c r="T169" s="121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108" t="s">
        <v>251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3" t="s">
        <v>390</v>
      </c>
      <c r="P170" s="20">
        <v>750</v>
      </c>
      <c r="Q170" s="20"/>
      <c r="R170" s="20" t="s">
        <v>392</v>
      </c>
      <c r="S170" s="23" t="s">
        <v>391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20" t="s">
        <v>204</v>
      </c>
      <c r="C171" s="22">
        <v>0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615</v>
      </c>
      <c r="J171" s="22">
        <v>415</v>
      </c>
      <c r="K171" s="22">
        <v>505</v>
      </c>
      <c r="L171" s="22">
        <v>120</v>
      </c>
      <c r="M171" s="22">
        <v>585</v>
      </c>
      <c r="N171" s="22">
        <v>122</v>
      </c>
      <c r="O171" s="22">
        <v>220</v>
      </c>
      <c r="P171" s="22">
        <v>248</v>
      </c>
      <c r="Q171" s="22">
        <v>750</v>
      </c>
      <c r="R171" s="118" t="e">
        <f t="shared" ref="R171:R176" si="377">((P171/G171)^(1/($H$2-$H$1) ))-1</f>
        <v>#DIV/0!</v>
      </c>
      <c r="S171" s="31">
        <f>L2-3%</f>
        <v>0.09</v>
      </c>
      <c r="T171" s="119">
        <f t="shared" ref="T171" si="378">P171*(1+$S171)</f>
        <v>270.32</v>
      </c>
      <c r="U171" s="119">
        <f t="shared" ref="U171:AC171" si="379">T171*(1+$S171)</f>
        <v>294.64879999999999</v>
      </c>
      <c r="V171" s="119">
        <f t="shared" si="379"/>
        <v>321.167192</v>
      </c>
      <c r="W171" s="119">
        <f t="shared" si="379"/>
        <v>350.07223928000002</v>
      </c>
      <c r="X171" s="119">
        <f t="shared" si="379"/>
        <v>381.57874081520004</v>
      </c>
      <c r="Y171" s="119">
        <f t="shared" si="379"/>
        <v>415.92082748856808</v>
      </c>
      <c r="Z171" s="119">
        <f t="shared" si="379"/>
        <v>453.35370196253922</v>
      </c>
      <c r="AA171" s="119">
        <f t="shared" si="379"/>
        <v>494.1555351391678</v>
      </c>
      <c r="AB171" s="119">
        <f t="shared" si="379"/>
        <v>538.62953330169296</v>
      </c>
      <c r="AC171" s="119">
        <f t="shared" si="379"/>
        <v>587.10619129884537</v>
      </c>
      <c r="AD171" s="138" t="e">
        <f t="shared" ref="AD171:AD176" si="380">((AC171/G171)^(1/($AC$3-$H$1) ))-1</f>
        <v>#DIV/0!</v>
      </c>
      <c r="AE171" s="31">
        <v>0.08</v>
      </c>
      <c r="AF171" s="127" t="e">
        <f t="shared" ref="AF171:AF179" si="381">(AC171*(1+AD171))/($C$1-AE171)</f>
        <v>#DIV/0!</v>
      </c>
    </row>
    <row r="172" spans="2:32" x14ac:dyDescent="0.2">
      <c r="B172" s="20" t="s">
        <v>361</v>
      </c>
      <c r="C172" s="25" t="e">
        <f t="shared" ref="C172:P172" si="382">C171/C50</f>
        <v>#DIV/0!</v>
      </c>
      <c r="D172" s="25" t="e">
        <f t="shared" si="382"/>
        <v>#DIV/0!</v>
      </c>
      <c r="E172" s="25" t="e">
        <f t="shared" si="382"/>
        <v>#DIV/0!</v>
      </c>
      <c r="F172" s="25" t="e">
        <f t="shared" si="382"/>
        <v>#DIV/0!</v>
      </c>
      <c r="G172" s="25">
        <f t="shared" si="382"/>
        <v>0</v>
      </c>
      <c r="H172" s="25">
        <f t="shared" si="382"/>
        <v>0</v>
      </c>
      <c r="I172" s="25">
        <f t="shared" si="382"/>
        <v>1.8517160686427456</v>
      </c>
      <c r="J172" s="25">
        <f t="shared" si="382"/>
        <v>0.91746849942726227</v>
      </c>
      <c r="K172" s="25">
        <f t="shared" si="382"/>
        <v>0.83232280102476508</v>
      </c>
      <c r="L172" s="25">
        <f t="shared" si="382"/>
        <v>0.16892778993435448</v>
      </c>
      <c r="M172" s="25">
        <f t="shared" si="382"/>
        <v>0.71233438485804412</v>
      </c>
      <c r="N172" s="25">
        <f t="shared" si="382"/>
        <v>0.53206320541760721</v>
      </c>
      <c r="O172" s="25">
        <f t="shared" si="382"/>
        <v>0.69179687500000009</v>
      </c>
      <c r="P172" s="25">
        <f t="shared" si="382"/>
        <v>0.69763541059988354</v>
      </c>
      <c r="Q172" s="25">
        <f t="shared" ref="Q172" si="383">Q171/Q50</f>
        <v>2.109784507862551</v>
      </c>
      <c r="R172" s="118" t="e">
        <f t="shared" ref="R172" si="384">((P172/G172)^(1/($H$2-$H$1) ))-1</f>
        <v>#DIV/0!</v>
      </c>
      <c r="S172" s="128"/>
      <c r="T172" s="25">
        <f t="shared" ref="T172:AC172" si="385">T171/T50</f>
        <v>0.6857382352941177</v>
      </c>
      <c r="U172" s="25">
        <f t="shared" si="385"/>
        <v>0.67404394931722689</v>
      </c>
      <c r="V172" s="25">
        <f t="shared" si="385"/>
        <v>0.66254909268154905</v>
      </c>
      <c r="W172" s="25">
        <f t="shared" si="385"/>
        <v>0.65125026440456901</v>
      </c>
      <c r="X172" s="25">
        <f t="shared" si="385"/>
        <v>0.64014412150266964</v>
      </c>
      <c r="Y172" s="25">
        <f t="shared" si="385"/>
        <v>0.62922737800204376</v>
      </c>
      <c r="Z172" s="25">
        <f t="shared" si="385"/>
        <v>0.61849680396647311</v>
      </c>
      <c r="AA172" s="25">
        <f t="shared" si="385"/>
        <v>0.60794922454168776</v>
      </c>
      <c r="AB172" s="25">
        <f t="shared" si="385"/>
        <v>0.5975815190160213</v>
      </c>
      <c r="AC172" s="25">
        <f t="shared" si="385"/>
        <v>0.58739061989708752</v>
      </c>
      <c r="AD172" s="138" t="e">
        <f t="shared" ref="AD172" si="386">((AC172/G172)^(1/($AC$3-$H$1) ))-1</f>
        <v>#DIV/0!</v>
      </c>
      <c r="AE172" s="31">
        <v>0.08</v>
      </c>
      <c r="AF172" s="127" t="e">
        <f t="shared" ref="AF172" si="387">(AC172*(1+AD172))/($C$1-AE172)</f>
        <v>#DIV/0!</v>
      </c>
    </row>
    <row r="173" spans="2:32" x14ac:dyDescent="0.2">
      <c r="B173" s="20" t="s">
        <v>389</v>
      </c>
      <c r="C173" s="25" t="e">
        <f t="shared" ref="C173:P173" si="388">C171/C54</f>
        <v>#DIV/0!</v>
      </c>
      <c r="D173" s="25" t="e">
        <f t="shared" si="388"/>
        <v>#DIV/0!</v>
      </c>
      <c r="E173" s="25" t="e">
        <f t="shared" si="388"/>
        <v>#DIV/0!</v>
      </c>
      <c r="F173" s="25" t="e">
        <f t="shared" si="388"/>
        <v>#DIV/0!</v>
      </c>
      <c r="G173" s="25">
        <f t="shared" si="388"/>
        <v>0</v>
      </c>
      <c r="H173" s="25">
        <f t="shared" si="388"/>
        <v>0</v>
      </c>
      <c r="I173" s="25">
        <f t="shared" si="388"/>
        <v>17.202173913043477</v>
      </c>
      <c r="J173" s="25">
        <f t="shared" si="388"/>
        <v>9.2063218390804593</v>
      </c>
      <c r="K173" s="25">
        <f t="shared" si="388"/>
        <v>8.6252212389380531</v>
      </c>
      <c r="L173" s="25">
        <f t="shared" si="388"/>
        <v>3.0879999999999996</v>
      </c>
      <c r="M173" s="25">
        <f t="shared" si="388"/>
        <v>5.1554794520547942</v>
      </c>
      <c r="N173" s="25">
        <f t="shared" si="388"/>
        <v>6.0436923076923073</v>
      </c>
      <c r="O173" s="25">
        <f t="shared" si="388"/>
        <v>7.9003717472118957</v>
      </c>
      <c r="P173" s="25">
        <f t="shared" si="388"/>
        <v>6.8448000000000002</v>
      </c>
      <c r="Q173" s="25">
        <f t="shared" ref="Q173" si="389">Q171/Q54</f>
        <v>20.7</v>
      </c>
      <c r="R173" s="118" t="e">
        <f t="shared" si="377"/>
        <v>#DIV/0!</v>
      </c>
      <c r="S173" s="128"/>
      <c r="T173" s="119">
        <f t="shared" ref="T173:AC173" si="390">T171/T54</f>
        <v>6.728071714285714</v>
      </c>
      <c r="U173" s="119">
        <f t="shared" si="390"/>
        <v>6.6133340627295922</v>
      </c>
      <c r="V173" s="119">
        <f t="shared" si="390"/>
        <v>6.5005530979098278</v>
      </c>
      <c r="W173" s="119">
        <f t="shared" si="390"/>
        <v>6.3896954513294011</v>
      </c>
      <c r="X173" s="119">
        <f t="shared" si="390"/>
        <v>6.280728323543336</v>
      </c>
      <c r="Y173" s="119">
        <f t="shared" si="390"/>
        <v>6.1736194744543393</v>
      </c>
      <c r="Z173" s="119">
        <f t="shared" si="390"/>
        <v>6.068337213773912</v>
      </c>
      <c r="AA173" s="119">
        <f t="shared" si="390"/>
        <v>5.9648503916461593</v>
      </c>
      <c r="AB173" s="119">
        <f t="shared" si="390"/>
        <v>5.8631283894314796</v>
      </c>
      <c r="AC173" s="119">
        <f t="shared" si="390"/>
        <v>5.7631411106474255</v>
      </c>
      <c r="AD173" s="138" t="e">
        <f t="shared" si="380"/>
        <v>#DIV/0!</v>
      </c>
      <c r="AE173" s="31">
        <v>0.08</v>
      </c>
      <c r="AF173" s="127" t="e">
        <f t="shared" si="381"/>
        <v>#DIV/0!</v>
      </c>
    </row>
    <row r="174" spans="2:32" x14ac:dyDescent="0.2">
      <c r="B174" s="20" t="s">
        <v>258</v>
      </c>
      <c r="C174" s="25" t="e">
        <f t="shared" ref="C174:P174" si="391">C171/C57</f>
        <v>#DIV/0!</v>
      </c>
      <c r="D174" s="25" t="e">
        <f t="shared" si="391"/>
        <v>#DIV/0!</v>
      </c>
      <c r="E174" s="25" t="e">
        <f t="shared" si="391"/>
        <v>#DIV/0!</v>
      </c>
      <c r="F174" s="25" t="e">
        <f t="shared" si="391"/>
        <v>#DIV/0!</v>
      </c>
      <c r="G174" s="25">
        <f t="shared" si="391"/>
        <v>0</v>
      </c>
      <c r="H174" s="25">
        <f t="shared" si="391"/>
        <v>0</v>
      </c>
      <c r="I174" s="25">
        <f t="shared" si="391"/>
        <v>4.428917910447761</v>
      </c>
      <c r="J174" s="25">
        <f t="shared" si="391"/>
        <v>2.441920731707317</v>
      </c>
      <c r="K174" s="25">
        <f t="shared" si="391"/>
        <v>2.4488693467336686</v>
      </c>
      <c r="L174" s="25">
        <f t="shared" si="391"/>
        <v>0.50457516339869279</v>
      </c>
      <c r="M174" s="25">
        <f t="shared" si="391"/>
        <v>1.7055135951661631</v>
      </c>
      <c r="N174" s="25">
        <f t="shared" si="391"/>
        <v>1.3996674584323041</v>
      </c>
      <c r="O174" s="25">
        <f t="shared" si="391"/>
        <v>1.9497247706422018</v>
      </c>
      <c r="P174" s="25">
        <f t="shared" si="391"/>
        <v>1.6835418130709767</v>
      </c>
      <c r="Q174" s="25">
        <f t="shared" ref="Q174" si="392">Q171/Q57</f>
        <v>5.0913562895291635</v>
      </c>
      <c r="R174" s="118" t="e">
        <f t="shared" si="377"/>
        <v>#DIV/0!</v>
      </c>
      <c r="S174" s="128"/>
      <c r="T174" s="119">
        <f t="shared" ref="T174:AC174" si="393">T171/T57</f>
        <v>1.6548314125087842</v>
      </c>
      <c r="U174" s="119">
        <f t="shared" si="393"/>
        <v>1.6266106268133218</v>
      </c>
      <c r="V174" s="119">
        <f t="shared" si="393"/>
        <v>1.5988711063024874</v>
      </c>
      <c r="W174" s="119">
        <f t="shared" si="393"/>
        <v>1.5716046436860787</v>
      </c>
      <c r="X174" s="119">
        <f t="shared" si="393"/>
        <v>1.5448031716375037</v>
      </c>
      <c r="Y174" s="119">
        <f t="shared" si="393"/>
        <v>1.5184587604069</v>
      </c>
      <c r="Z174" s="119">
        <f t="shared" si="393"/>
        <v>1.4925636154749606</v>
      </c>
      <c r="AA174" s="119">
        <f t="shared" si="393"/>
        <v>1.4671100752467716</v>
      </c>
      <c r="AB174" s="119">
        <f t="shared" si="393"/>
        <v>1.4420906087849741</v>
      </c>
      <c r="AC174" s="119">
        <f t="shared" si="393"/>
        <v>1.4174978135815874</v>
      </c>
      <c r="AD174" s="138" t="e">
        <f t="shared" si="380"/>
        <v>#DIV/0!</v>
      </c>
      <c r="AE174" s="31">
        <v>0.08</v>
      </c>
      <c r="AF174" s="127" t="e">
        <f t="shared" si="381"/>
        <v>#DIV/0!</v>
      </c>
    </row>
    <row r="175" spans="2:32" x14ac:dyDescent="0.2">
      <c r="B175" s="20" t="s">
        <v>259</v>
      </c>
      <c r="C175" s="25" t="e">
        <f t="shared" ref="C175:P175" si="394">C171/C66</f>
        <v>#DIV/0!</v>
      </c>
      <c r="D175" s="25" t="e">
        <f t="shared" si="394"/>
        <v>#DIV/0!</v>
      </c>
      <c r="E175" s="25" t="e">
        <f t="shared" si="394"/>
        <v>#DIV/0!</v>
      </c>
      <c r="F175" s="25" t="e">
        <f t="shared" si="394"/>
        <v>#DIV/0!</v>
      </c>
      <c r="G175" s="25">
        <f t="shared" si="394"/>
        <v>0</v>
      </c>
      <c r="H175" s="25">
        <f t="shared" si="394"/>
        <v>0</v>
      </c>
      <c r="I175" s="25">
        <f t="shared" si="394"/>
        <v>14.475</v>
      </c>
      <c r="J175" s="25">
        <f t="shared" si="394"/>
        <v>100.11874999999999</v>
      </c>
      <c r="K175" s="25">
        <f t="shared" si="394"/>
        <v>69.617857142857147</v>
      </c>
      <c r="L175" s="25">
        <f t="shared" si="394"/>
        <v>15.44</v>
      </c>
      <c r="M175" s="25">
        <f t="shared" si="394"/>
        <v>16.851492537313433</v>
      </c>
      <c r="N175" s="25">
        <f t="shared" si="394"/>
        <v>45.32769230769231</v>
      </c>
      <c r="O175" s="25">
        <f t="shared" si="394"/>
        <v>5.7067669172932325</v>
      </c>
      <c r="P175" s="25">
        <f t="shared" si="394"/>
        <v>8.5255516014234889</v>
      </c>
      <c r="Q175" s="25">
        <f t="shared" ref="Q175" si="395">Q171/Q66</f>
        <v>25.782918149466195</v>
      </c>
      <c r="R175" s="118" t="e">
        <f t="shared" si="377"/>
        <v>#DIV/0!</v>
      </c>
      <c r="S175" s="128"/>
      <c r="T175" s="119">
        <f t="shared" ref="T175:AC175" si="396">T171/T66</f>
        <v>8.3801604982206417</v>
      </c>
      <c r="U175" s="119">
        <f t="shared" si="396"/>
        <v>8.23724883258134</v>
      </c>
      <c r="V175" s="119">
        <f t="shared" si="396"/>
        <v>8.0967743212399981</v>
      </c>
      <c r="W175" s="119">
        <f t="shared" si="396"/>
        <v>7.9586954020117071</v>
      </c>
      <c r="X175" s="119">
        <f t="shared" si="396"/>
        <v>7.8229712214952576</v>
      </c>
      <c r="Y175" s="119">
        <f t="shared" si="396"/>
        <v>7.6895616229858303</v>
      </c>
      <c r="Z175" s="119">
        <f t="shared" si="396"/>
        <v>7.5584271345938383</v>
      </c>
      <c r="AA175" s="119">
        <f t="shared" si="396"/>
        <v>7.4295289575663892</v>
      </c>
      <c r="AB175" s="119">
        <f t="shared" si="396"/>
        <v>7.3028289548078904</v>
      </c>
      <c r="AC175" s="119">
        <f t="shared" si="396"/>
        <v>7.1782896395964348</v>
      </c>
      <c r="AD175" s="138" t="e">
        <f t="shared" si="380"/>
        <v>#DIV/0!</v>
      </c>
      <c r="AE175" s="31">
        <v>0.08</v>
      </c>
      <c r="AF175" s="127" t="e">
        <f t="shared" si="381"/>
        <v>#DIV/0!</v>
      </c>
    </row>
    <row r="176" spans="2:32" x14ac:dyDescent="0.2">
      <c r="B176" s="20" t="s">
        <v>260</v>
      </c>
      <c r="C176" s="25" t="e">
        <f t="shared" ref="C176:P176" si="397">C171/C68</f>
        <v>#DIV/0!</v>
      </c>
      <c r="D176" s="25" t="e">
        <f t="shared" si="397"/>
        <v>#DIV/0!</v>
      </c>
      <c r="E176" s="25" t="e">
        <f t="shared" si="397"/>
        <v>#DIV/0!</v>
      </c>
      <c r="F176" s="25" t="e">
        <f t="shared" si="397"/>
        <v>#DIV/0!</v>
      </c>
      <c r="G176" s="25">
        <f t="shared" si="397"/>
        <v>0</v>
      </c>
      <c r="H176" s="25">
        <f t="shared" si="397"/>
        <v>0</v>
      </c>
      <c r="I176" s="25">
        <f t="shared" si="397"/>
        <v>4.7860887096774194</v>
      </c>
      <c r="J176" s="25">
        <f t="shared" si="397"/>
        <v>2.9775092936802974</v>
      </c>
      <c r="K176" s="25">
        <f t="shared" si="397"/>
        <v>2.6060160427807486</v>
      </c>
      <c r="L176" s="25">
        <f t="shared" si="397"/>
        <v>0.74709677419354836</v>
      </c>
      <c r="M176" s="25">
        <f t="shared" si="397"/>
        <v>2.9711842105263155</v>
      </c>
      <c r="N176" s="25">
        <f t="shared" si="397"/>
        <v>2.0214751286449402</v>
      </c>
      <c r="O176" s="25">
        <f t="shared" si="397"/>
        <v>1.4616231086657496</v>
      </c>
      <c r="P176" s="25">
        <f t="shared" si="397"/>
        <v>1.9351211631663976</v>
      </c>
      <c r="Q176" s="25">
        <f t="shared" ref="Q176" si="398">Q171/Q68</f>
        <v>5.8521809369951541</v>
      </c>
      <c r="R176" s="118" t="e">
        <f t="shared" si="377"/>
        <v>#DIV/0!</v>
      </c>
      <c r="S176" s="128"/>
      <c r="T176" s="119">
        <f t="shared" ref="T176:AC176" si="399">T171/T68</f>
        <v>1.9021204361873987</v>
      </c>
      <c r="U176" s="119">
        <f t="shared" si="399"/>
        <v>1.8696824894631314</v>
      </c>
      <c r="V176" s="119">
        <f t="shared" si="399"/>
        <v>1.8377977255803228</v>
      </c>
      <c r="W176" s="119">
        <f t="shared" si="399"/>
        <v>1.8064567107958724</v>
      </c>
      <c r="X176" s="119">
        <f t="shared" si="399"/>
        <v>1.775650172245693</v>
      </c>
      <c r="Y176" s="119">
        <f t="shared" si="399"/>
        <v>1.745368995201146</v>
      </c>
      <c r="Z176" s="119">
        <f t="shared" si="399"/>
        <v>1.715604220372269</v>
      </c>
      <c r="AA176" s="119">
        <f t="shared" si="399"/>
        <v>1.6863470412569919</v>
      </c>
      <c r="AB176" s="119">
        <f t="shared" si="399"/>
        <v>1.6575888015355558</v>
      </c>
      <c r="AC176" s="119">
        <f t="shared" si="399"/>
        <v>1.6293209925093692</v>
      </c>
      <c r="AD176" s="138" t="e">
        <f t="shared" si="380"/>
        <v>#DIV/0!</v>
      </c>
      <c r="AE176" s="31">
        <v>0.08</v>
      </c>
      <c r="AF176" s="127" t="e">
        <f t="shared" si="381"/>
        <v>#DIV/0!</v>
      </c>
    </row>
    <row r="177" spans="2:46" x14ac:dyDescent="0.2">
      <c r="B177" s="20" t="s">
        <v>281</v>
      </c>
      <c r="C177" s="25" t="e">
        <f>C173/C123</f>
        <v>#DIV/0!</v>
      </c>
      <c r="D177" s="25" t="e">
        <f>D173/D123</f>
        <v>#DIV/0!</v>
      </c>
      <c r="E177" s="25" t="e">
        <f>E173/E123</f>
        <v>#DIV/0!</v>
      </c>
      <c r="F177" s="25" t="e">
        <f>F173/F123</f>
        <v>#DIV/0!</v>
      </c>
      <c r="G177" s="182">
        <f t="shared" ref="G177:P177" si="400">G171/G62</f>
        <v>0</v>
      </c>
      <c r="H177" s="182">
        <f t="shared" si="400"/>
        <v>0</v>
      </c>
      <c r="I177" s="182">
        <f t="shared" si="400"/>
        <v>13.488068181818182</v>
      </c>
      <c r="J177" s="182">
        <f t="shared" si="400"/>
        <v>6.6194214876033053</v>
      </c>
      <c r="K177" s="182">
        <f t="shared" si="400"/>
        <v>7.9239837398373982</v>
      </c>
      <c r="L177" s="182">
        <f t="shared" si="400"/>
        <v>1.0722222222222222</v>
      </c>
      <c r="M177" s="182">
        <f t="shared" si="400"/>
        <v>2.3136270491803277</v>
      </c>
      <c r="N177" s="182">
        <f t="shared" si="400"/>
        <v>1.6957122302158274</v>
      </c>
      <c r="O177" s="182">
        <f t="shared" si="400"/>
        <v>5.4773195876288661</v>
      </c>
      <c r="P177" s="182">
        <f t="shared" si="400"/>
        <v>184.28307692307692</v>
      </c>
      <c r="Q177" s="182">
        <f t="shared" ref="Q177" si="401">Q171/Q62</f>
        <v>557.30769230769238</v>
      </c>
      <c r="R177" s="118" t="e">
        <f t="shared" ref="R177:R180" si="402">((P177/G177)^(1/($H$2-$H$1) ))-1</f>
        <v>#DIV/0!</v>
      </c>
      <c r="S177" s="128"/>
      <c r="T177" s="135">
        <f t="shared" ref="T177:AC177" si="403">T171/T62</f>
        <v>181.14039230769438</v>
      </c>
      <c r="U177" s="135">
        <f t="shared" si="403"/>
        <v>178.05130168887649</v>
      </c>
      <c r="V177" s="135">
        <f t="shared" si="403"/>
        <v>175.01489109758032</v>
      </c>
      <c r="W177" s="135">
        <f t="shared" si="403"/>
        <v>172.03026215118348</v>
      </c>
      <c r="X177" s="135">
        <f t="shared" si="403"/>
        <v>169.09653178771259</v>
      </c>
      <c r="Y177" s="135">
        <f t="shared" si="403"/>
        <v>166.21283200455099</v>
      </c>
      <c r="Z177" s="135">
        <f t="shared" si="403"/>
        <v>163.37830960161483</v>
      </c>
      <c r="AA177" s="135">
        <f t="shared" si="403"/>
        <v>160.59212592894966</v>
      </c>
      <c r="AB177" s="135">
        <f t="shared" si="403"/>
        <v>157.85345663854724</v>
      </c>
      <c r="AC177" s="135">
        <f t="shared" si="403"/>
        <v>155.16149144052011</v>
      </c>
      <c r="AD177" s="138" t="e">
        <f t="shared" ref="AD177" si="404">((AC177/G177)^(1/($AC$3-$H$1) ))-1</f>
        <v>#DIV/0!</v>
      </c>
      <c r="AE177" s="31">
        <v>0.08</v>
      </c>
      <c r="AF177" s="127" t="e">
        <f t="shared" si="381"/>
        <v>#DIV/0!</v>
      </c>
    </row>
    <row r="178" spans="2:46" x14ac:dyDescent="0.2">
      <c r="B178" s="20" t="s">
        <v>371</v>
      </c>
      <c r="C178" s="161" t="e">
        <f t="shared" ref="C178:P178" si="405">C54/C171</f>
        <v>#DIV/0!</v>
      </c>
      <c r="D178" s="161" t="e">
        <f t="shared" si="405"/>
        <v>#DIV/0!</v>
      </c>
      <c r="E178" s="161" t="e">
        <f t="shared" si="405"/>
        <v>#DIV/0!</v>
      </c>
      <c r="F178" s="161" t="e">
        <f t="shared" si="405"/>
        <v>#DIV/0!</v>
      </c>
      <c r="G178" s="161" t="e">
        <f t="shared" si="405"/>
        <v>#DIV/0!</v>
      </c>
      <c r="H178" s="161" t="e">
        <f t="shared" si="405"/>
        <v>#DIV/0!</v>
      </c>
      <c r="I178" s="161">
        <f t="shared" si="405"/>
        <v>5.8132187539491974E-2</v>
      </c>
      <c r="J178" s="161">
        <f t="shared" si="405"/>
        <v>0.10862101254759973</v>
      </c>
      <c r="K178" s="161">
        <f t="shared" si="405"/>
        <v>0.11593905504540092</v>
      </c>
      <c r="L178" s="161">
        <f t="shared" si="405"/>
        <v>0.32383419689119175</v>
      </c>
      <c r="M178" s="161">
        <f t="shared" si="405"/>
        <v>0.19396838049687792</v>
      </c>
      <c r="N178" s="161">
        <f t="shared" si="405"/>
        <v>0.16546176560431727</v>
      </c>
      <c r="O178" s="161">
        <f t="shared" si="405"/>
        <v>0.12657632222849613</v>
      </c>
      <c r="P178" s="161">
        <f t="shared" si="405"/>
        <v>0.14609630668536699</v>
      </c>
      <c r="Q178" s="161">
        <f t="shared" ref="Q178" si="406">Q54/Q171</f>
        <v>4.8309178743961352E-2</v>
      </c>
      <c r="R178" s="118" t="e">
        <f t="shared" si="402"/>
        <v>#DIV/0!</v>
      </c>
      <c r="S178" s="128"/>
      <c r="T178" s="161">
        <f t="shared" ref="T178:AC178" si="407">T54/T171</f>
        <v>0.14863099599201657</v>
      </c>
      <c r="U178" s="161">
        <f t="shared" si="407"/>
        <v>0.15120966074217326</v>
      </c>
      <c r="V178" s="161">
        <f t="shared" si="407"/>
        <v>0.15383306388521581</v>
      </c>
      <c r="W178" s="161">
        <f t="shared" si="407"/>
        <v>0.15650198160726833</v>
      </c>
      <c r="X178" s="161">
        <f t="shared" si="407"/>
        <v>0.1592172035608507</v>
      </c>
      <c r="Y178" s="161">
        <f t="shared" si="407"/>
        <v>0.16197953309851282</v>
      </c>
      <c r="Z178" s="161">
        <f t="shared" si="407"/>
        <v>0.16478978751052265</v>
      </c>
      <c r="AA178" s="161">
        <f t="shared" si="407"/>
        <v>0.16764879826667761</v>
      </c>
      <c r="AB178" s="161">
        <f t="shared" si="407"/>
        <v>0.17055741126231166</v>
      </c>
      <c r="AC178" s="161">
        <f t="shared" si="407"/>
        <v>0.17351648706857034</v>
      </c>
      <c r="AD178" s="138" t="e">
        <f t="shared" ref="AD178:AD180" si="408">((AC178/G178)^(1/($AC$3-$H$1) ))-1</f>
        <v>#DIV/0!</v>
      </c>
      <c r="AE178" s="31">
        <v>0.08</v>
      </c>
      <c r="AF178" s="127" t="e">
        <f t="shared" si="381"/>
        <v>#DIV/0!</v>
      </c>
    </row>
    <row r="179" spans="2:46" x14ac:dyDescent="0.2">
      <c r="B179" s="20" t="s">
        <v>320</v>
      </c>
      <c r="C179" s="152" t="e">
        <f t="shared" ref="C179:P179" si="409">C44/C171</f>
        <v>#DIV/0!</v>
      </c>
      <c r="D179" s="152" t="e">
        <f t="shared" si="409"/>
        <v>#DIV/0!</v>
      </c>
      <c r="E179" s="152" t="e">
        <f t="shared" si="409"/>
        <v>#DIV/0!</v>
      </c>
      <c r="F179" s="152" t="e">
        <f t="shared" si="409"/>
        <v>#DIV/0!</v>
      </c>
      <c r="G179" s="152" t="e">
        <f t="shared" si="409"/>
        <v>#DIV/0!</v>
      </c>
      <c r="H179" s="152" t="e">
        <f t="shared" si="409"/>
        <v>#DIV/0!</v>
      </c>
      <c r="I179" s="152">
        <f t="shared" si="409"/>
        <v>1.6260162601626018E-2</v>
      </c>
      <c r="J179" s="152">
        <f t="shared" si="409"/>
        <v>2.5301204819277109E-2</v>
      </c>
      <c r="K179" s="152">
        <f t="shared" si="409"/>
        <v>2.0792079207920793E-2</v>
      </c>
      <c r="L179" s="152">
        <f t="shared" si="409"/>
        <v>0.05</v>
      </c>
      <c r="M179" s="152">
        <f t="shared" si="409"/>
        <v>1.1965811965811967E-2</v>
      </c>
      <c r="N179" s="152">
        <f t="shared" si="409"/>
        <v>1.1475409836065573E-2</v>
      </c>
      <c r="O179" s="152">
        <f t="shared" si="409"/>
        <v>6.8181818181818179E-3</v>
      </c>
      <c r="P179" s="152">
        <f t="shared" si="409"/>
        <v>6.0483870967741934E-3</v>
      </c>
      <c r="Q179" s="152">
        <f t="shared" ref="Q179" si="410">Q44/Q171</f>
        <v>2E-3</v>
      </c>
      <c r="R179" s="118" t="e">
        <f t="shared" si="402"/>
        <v>#DIV/0!</v>
      </c>
      <c r="S179" s="128"/>
      <c r="T179" s="152">
        <f t="shared" ref="T179:AC179" si="411">T44/T171</f>
        <v>5.8264279372595446E-3</v>
      </c>
      <c r="U179" s="152">
        <f t="shared" si="411"/>
        <v>5.612614068002314E-3</v>
      </c>
      <c r="V179" s="152">
        <f t="shared" si="411"/>
        <v>5.4066465792682846E-3</v>
      </c>
      <c r="W179" s="152">
        <f t="shared" si="411"/>
        <v>5.208237530487797E-3</v>
      </c>
      <c r="X179" s="152">
        <f t="shared" si="411"/>
        <v>5.0171095477176027E-3</v>
      </c>
      <c r="Y179" s="152">
        <f t="shared" si="411"/>
        <v>4.8329954358747552E-3</v>
      </c>
      <c r="Z179" s="152">
        <f t="shared" si="411"/>
        <v>4.6556378052004521E-3</v>
      </c>
      <c r="AA179" s="152">
        <f t="shared" si="411"/>
        <v>4.484788711431628E-3</v>
      </c>
      <c r="AB179" s="152">
        <f t="shared" si="411"/>
        <v>4.320209309177256E-3</v>
      </c>
      <c r="AC179" s="152">
        <f t="shared" si="411"/>
        <v>4.1616695180147871E-3</v>
      </c>
      <c r="AD179" s="138" t="e">
        <f t="shared" si="408"/>
        <v>#DIV/0!</v>
      </c>
      <c r="AE179" s="31">
        <v>0.08</v>
      </c>
      <c r="AF179" s="127" t="e">
        <f t="shared" si="381"/>
        <v>#DIV/0!</v>
      </c>
    </row>
    <row r="180" spans="2:46" x14ac:dyDescent="0.2">
      <c r="B180" s="20" t="s">
        <v>447</v>
      </c>
      <c r="C180" s="181" t="e">
        <f t="shared" ref="C180:O180" si="412">(C173)/($L$2*100)</f>
        <v>#DIV/0!</v>
      </c>
      <c r="D180" s="181" t="e">
        <f t="shared" si="412"/>
        <v>#DIV/0!</v>
      </c>
      <c r="E180" s="181" t="e">
        <f t="shared" si="412"/>
        <v>#DIV/0!</v>
      </c>
      <c r="F180" s="181" t="e">
        <f t="shared" si="412"/>
        <v>#DIV/0!</v>
      </c>
      <c r="G180" s="181">
        <f t="shared" si="412"/>
        <v>0</v>
      </c>
      <c r="H180" s="181">
        <f t="shared" si="412"/>
        <v>0</v>
      </c>
      <c r="I180" s="181">
        <f t="shared" si="412"/>
        <v>1.4335144927536232</v>
      </c>
      <c r="J180" s="181">
        <f t="shared" si="412"/>
        <v>0.76719348659003828</v>
      </c>
      <c r="K180" s="181">
        <f t="shared" si="412"/>
        <v>0.71876843657817113</v>
      </c>
      <c r="L180" s="181">
        <f t="shared" si="412"/>
        <v>0.2573333333333333</v>
      </c>
      <c r="M180" s="181">
        <f t="shared" si="412"/>
        <v>0.42962328767123287</v>
      </c>
      <c r="N180" s="181">
        <f t="shared" si="412"/>
        <v>0.50364102564102564</v>
      </c>
      <c r="O180" s="181">
        <f t="shared" si="412"/>
        <v>0.65836431226765801</v>
      </c>
      <c r="P180" s="181">
        <f>(P173)/($L$2*100)</f>
        <v>0.57040000000000002</v>
      </c>
      <c r="Q180" s="181">
        <f>(Q173)/($L$2*100)</f>
        <v>1.7249999999999999</v>
      </c>
      <c r="R180" s="118" t="e">
        <f t="shared" si="402"/>
        <v>#DIV/0!</v>
      </c>
      <c r="S180" s="128"/>
      <c r="T180" s="181">
        <f>(T173)/($L$2*100)</f>
        <v>0.5606726428571428</v>
      </c>
      <c r="U180" s="181">
        <f t="shared" ref="U180:AC180" si="413">(U173)/($L$2*100)</f>
        <v>0.55111117189413272</v>
      </c>
      <c r="V180" s="181">
        <f t="shared" si="413"/>
        <v>0.54171275815915232</v>
      </c>
      <c r="W180" s="181">
        <f t="shared" si="413"/>
        <v>0.53247462094411679</v>
      </c>
      <c r="X180" s="181">
        <f t="shared" si="413"/>
        <v>0.5233940269619447</v>
      </c>
      <c r="Y180" s="181">
        <f t="shared" si="413"/>
        <v>0.51446828953786161</v>
      </c>
      <c r="Z180" s="181">
        <f t="shared" si="413"/>
        <v>0.50569476781449263</v>
      </c>
      <c r="AA180" s="181">
        <f t="shared" si="413"/>
        <v>0.49707086597051325</v>
      </c>
      <c r="AB180" s="181">
        <f t="shared" si="413"/>
        <v>0.48859403245262328</v>
      </c>
      <c r="AC180" s="181">
        <f t="shared" si="413"/>
        <v>0.48026175922061881</v>
      </c>
      <c r="AD180" s="138" t="e">
        <f t="shared" si="408"/>
        <v>#DIV/0!</v>
      </c>
      <c r="AE180" s="31">
        <v>0.08</v>
      </c>
      <c r="AF180" s="181" t="e">
        <f>(AF173)/($L$2*100)</f>
        <v>#DIV/0!</v>
      </c>
    </row>
    <row r="181" spans="2:46" x14ac:dyDescent="0.2">
      <c r="B181" s="20" t="s">
        <v>448</v>
      </c>
      <c r="C181" s="152"/>
      <c r="D181" s="152"/>
      <c r="E181" s="152"/>
      <c r="F181" s="152"/>
      <c r="G181" s="152">
        <f t="shared" ref="G181:P181" si="414">G180-1</f>
        <v>-1</v>
      </c>
      <c r="H181" s="152">
        <f t="shared" si="414"/>
        <v>-1</v>
      </c>
      <c r="I181" s="152">
        <f t="shared" si="414"/>
        <v>0.43351449275362319</v>
      </c>
      <c r="J181" s="152">
        <f t="shared" si="414"/>
        <v>-0.23280651340996172</v>
      </c>
      <c r="K181" s="152">
        <f t="shared" si="414"/>
        <v>-0.28123156342182887</v>
      </c>
      <c r="L181" s="152">
        <f t="shared" si="414"/>
        <v>-0.7426666666666667</v>
      </c>
      <c r="M181" s="152">
        <f t="shared" si="414"/>
        <v>-0.57037671232876708</v>
      </c>
      <c r="N181" s="152">
        <f t="shared" si="414"/>
        <v>-0.49635897435897436</v>
      </c>
      <c r="O181" s="152">
        <f t="shared" si="414"/>
        <v>-0.34163568773234199</v>
      </c>
      <c r="P181" s="152">
        <f t="shared" si="414"/>
        <v>-0.42959999999999998</v>
      </c>
      <c r="Q181" s="152">
        <f>Q180-1</f>
        <v>0.72499999999999987</v>
      </c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127"/>
    </row>
    <row r="182" spans="2:46" x14ac:dyDescent="0.2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20"/>
    </row>
    <row r="183" spans="2:46" x14ac:dyDescent="0.2">
      <c r="B183" s="108" t="s">
        <v>301</v>
      </c>
      <c r="C183" s="20"/>
      <c r="D183" s="20"/>
      <c r="E183" s="20"/>
      <c r="F183" s="20"/>
      <c r="G183" s="20"/>
      <c r="H183" s="20"/>
      <c r="I183" s="20"/>
      <c r="J183" s="20"/>
      <c r="K183" s="203" t="s">
        <v>351</v>
      </c>
      <c r="L183" s="204"/>
      <c r="M183" s="20"/>
      <c r="N183" s="20"/>
      <c r="O183" s="20"/>
      <c r="P183" s="108" t="s">
        <v>431</v>
      </c>
      <c r="Q183" s="108" t="s">
        <v>430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299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20" t="s">
        <v>352</v>
      </c>
      <c r="L184" s="22">
        <v>1</v>
      </c>
      <c r="M184" s="20"/>
      <c r="N184" s="20"/>
      <c r="O184" s="20"/>
      <c r="P184" s="128">
        <f>(Q171-S159)/Q171</f>
        <v>0.98104663012699378</v>
      </c>
      <c r="Q184" s="128">
        <f>(Q171-T159)/Q171</f>
        <v>0.98440729253454495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349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$L$184</f>
        <v>1</v>
      </c>
      <c r="L185" s="20"/>
      <c r="M185" s="128">
        <f>(P171-(K185*S150))/P171</f>
        <v>0.98171253671729752</v>
      </c>
      <c r="N185" s="20"/>
      <c r="O185" s="20"/>
      <c r="P185" s="128">
        <f>(Q171-S150)/Q171</f>
        <v>0.99395294547451973</v>
      </c>
      <c r="Q185" s="128">
        <f>(Q171-T150)/Q171</f>
        <v>0.99915737764808876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350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$L$184</f>
        <v>1</v>
      </c>
      <c r="L186" s="20"/>
      <c r="M186" s="128">
        <f>(P171-(K186*S143))/P171</f>
        <v>-1.0299084243801373</v>
      </c>
      <c r="N186" s="20"/>
      <c r="O186" s="20"/>
      <c r="P186" s="128">
        <f>(Q171-S143)/Q171</f>
        <v>0.32877694767163462</v>
      </c>
      <c r="Q186" s="128">
        <f>(Q171-T143)/Q171</f>
        <v>0.90646891893785075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353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$L$184</f>
        <v>1</v>
      </c>
      <c r="L187" s="20"/>
      <c r="M187" s="128">
        <f>(P171-(K187*S156))/P171</f>
        <v>0.56801501818445366</v>
      </c>
      <c r="N187" s="20"/>
      <c r="O187" s="20"/>
      <c r="P187" s="128">
        <f>(Q171-S156)/Q171</f>
        <v>0.85715696601299274</v>
      </c>
      <c r="Q187" s="128">
        <f>(Q171-T156)/Q171</f>
        <v>0.98009564280508921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400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2">
        <f>$L$184</f>
        <v>1</v>
      </c>
      <c r="L188" s="20"/>
      <c r="M188" s="128">
        <f>(P171-(K188*S168))/P171</f>
        <v>-0.81627987066131213</v>
      </c>
      <c r="N188" s="20"/>
      <c r="O188" s="20"/>
      <c r="P188" s="128">
        <f>(Q171-S168)/Q171</f>
        <v>0.39941678943465947</v>
      </c>
      <c r="Q188" s="128">
        <f>(Q171-T168)/Q171</f>
        <v>0.50590747852462026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 x14ac:dyDescent="0.2">
      <c r="B189" s="20" t="s">
        <v>300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5">
        <f>Q171/S142</f>
        <v>6.1423056442349715</v>
      </c>
      <c r="Q189" s="25">
        <f>Q171/T142</f>
        <v>44.080075799803915</v>
      </c>
      <c r="R189" s="20"/>
      <c r="S189" s="20"/>
      <c r="T189" s="115" t="s">
        <v>11</v>
      </c>
      <c r="U189" s="115" t="s">
        <v>12</v>
      </c>
      <c r="V189" s="115" t="s">
        <v>13</v>
      </c>
      <c r="W189" s="115" t="s">
        <v>14</v>
      </c>
      <c r="X189" s="115" t="s">
        <v>15</v>
      </c>
      <c r="Y189" s="115" t="s">
        <v>234</v>
      </c>
      <c r="Z189" s="115" t="s">
        <v>235</v>
      </c>
      <c r="AA189" s="115" t="s">
        <v>236</v>
      </c>
      <c r="AB189" s="115" t="s">
        <v>237</v>
      </c>
      <c r="AC189" s="115" t="s">
        <v>238</v>
      </c>
      <c r="AD189" s="115" t="s">
        <v>408</v>
      </c>
      <c r="AE189" s="115" t="s">
        <v>409</v>
      </c>
      <c r="AF189" s="115" t="s">
        <v>410</v>
      </c>
      <c r="AG189" s="115" t="s">
        <v>411</v>
      </c>
      <c r="AH189" s="115" t="s">
        <v>412</v>
      </c>
      <c r="AI189" s="115" t="s">
        <v>413</v>
      </c>
      <c r="AJ189" s="115" t="s">
        <v>414</v>
      </c>
      <c r="AK189" s="115" t="s">
        <v>415</v>
      </c>
      <c r="AL189" s="115" t="s">
        <v>416</v>
      </c>
      <c r="AM189" s="115" t="s">
        <v>417</v>
      </c>
      <c r="AN189" s="115" t="s">
        <v>418</v>
      </c>
      <c r="AO189" s="115" t="s">
        <v>419</v>
      </c>
      <c r="AP189" s="115" t="s">
        <v>420</v>
      </c>
      <c r="AQ189" s="115" t="s">
        <v>421</v>
      </c>
      <c r="AR189" s="115" t="s">
        <v>422</v>
      </c>
      <c r="AS189" s="115" t="s">
        <v>423</v>
      </c>
      <c r="AT189" s="115" t="s">
        <v>424</v>
      </c>
    </row>
    <row r="190" spans="2:46" x14ac:dyDescent="0.2">
      <c r="B190" s="20" t="s">
        <v>371</v>
      </c>
      <c r="C190" s="20"/>
      <c r="D190" s="20"/>
      <c r="E190" s="20"/>
      <c r="F190" s="20"/>
      <c r="G190" s="189" t="s">
        <v>449</v>
      </c>
      <c r="H190" s="190"/>
      <c r="I190" s="189" t="s">
        <v>450</v>
      </c>
      <c r="J190" s="190"/>
      <c r="K190" s="20"/>
      <c r="L190" s="189" t="s">
        <v>451</v>
      </c>
      <c r="M190" s="190"/>
      <c r="N190" s="189" t="s">
        <v>452</v>
      </c>
      <c r="O190" s="190"/>
      <c r="P190" s="152">
        <f>1/P189</f>
        <v>0.16280531414755911</v>
      </c>
      <c r="Q190" s="152">
        <f>1/Q189</f>
        <v>2.2685986397610696E-2</v>
      </c>
      <c r="R190" s="20"/>
      <c r="S190" s="20"/>
      <c r="T190" s="129">
        <f>Q171-T191</f>
        <v>703.70731682341909</v>
      </c>
      <c r="U190" s="185">
        <f>T190-U191</f>
        <v>655.09999948800919</v>
      </c>
      <c r="V190" s="185">
        <f t="shared" ref="V190:X190" si="415">U190-V191</f>
        <v>604.06231628582873</v>
      </c>
      <c r="W190" s="185">
        <f t="shared" si="415"/>
        <v>550.47274892353926</v>
      </c>
      <c r="X190" s="185">
        <f t="shared" si="415"/>
        <v>494.20370319313531</v>
      </c>
      <c r="Y190" s="185">
        <f>X190-Y191</f>
        <v>435.12120517621116</v>
      </c>
      <c r="Z190" s="185">
        <f t="shared" ref="Z190:AC190" si="416">Y190-Z191</f>
        <v>373.08458225844083</v>
      </c>
      <c r="AA190" s="185">
        <f t="shared" si="416"/>
        <v>307.94612819478198</v>
      </c>
      <c r="AB190" s="185">
        <f t="shared" si="416"/>
        <v>239.55075142794016</v>
      </c>
      <c r="AC190" s="185">
        <f t="shared" si="416"/>
        <v>167.73560582275624</v>
      </c>
      <c r="AD190" s="185">
        <f t="shared" ref="AD190" si="417">AC190-AD191</f>
        <v>92.329702937313129</v>
      </c>
      <c r="AE190" s="185">
        <f t="shared" ref="AE190" si="418">AD190-AE191</f>
        <v>13.153504907597863</v>
      </c>
      <c r="AF190" s="185">
        <f t="shared" ref="AF190" si="419">AE190-AF191</f>
        <v>-69.981503023603167</v>
      </c>
      <c r="AG190" s="185">
        <f t="shared" ref="AG190" si="420">AF190-AG191</f>
        <v>-157.27326135136425</v>
      </c>
      <c r="AH190" s="185">
        <f t="shared" ref="AH190" si="421">AG190-AH191</f>
        <v>-248.9296075955134</v>
      </c>
      <c r="AI190" s="185">
        <f t="shared" ref="AI190" si="422">AH190-AI191</f>
        <v>-345.16877115187003</v>
      </c>
      <c r="AJ190" s="185">
        <f t="shared" ref="AJ190" si="423">AI190-AJ191</f>
        <v>-446.21989288604448</v>
      </c>
      <c r="AK190" s="185">
        <f t="shared" ref="AK190" si="424">AJ190-AK191</f>
        <v>-552.32357070692763</v>
      </c>
      <c r="AL190" s="185">
        <f t="shared" ref="AL190" si="425">AK190-AL191</f>
        <v>-663.73243241885496</v>
      </c>
      <c r="AM190" s="185">
        <f t="shared" ref="AM190" si="426">AL190-AM191</f>
        <v>-780.71173721637865</v>
      </c>
      <c r="AN190" s="185">
        <f t="shared" ref="AN190" si="427">AM190-AN191</f>
        <v>-903.54000725377853</v>
      </c>
      <c r="AO190" s="185">
        <f t="shared" ref="AO190" si="428">AN190-AO191</f>
        <v>-1032.5096907930483</v>
      </c>
      <c r="AP190" s="185">
        <f t="shared" ref="AP190" si="429">AO190-AP191</f>
        <v>-1167.9278585092818</v>
      </c>
      <c r="AQ190" s="185">
        <f t="shared" ref="AQ190" si="430">AP190-AQ191</f>
        <v>-1310.116934611327</v>
      </c>
      <c r="AR190" s="185">
        <f t="shared" ref="AR190" si="431">AQ190-AR191</f>
        <v>-1459.4154645184744</v>
      </c>
      <c r="AS190" s="185">
        <f t="shared" ref="AS190" si="432">AR190-AS191</f>
        <v>-1616.1789209209792</v>
      </c>
      <c r="AT190" s="185">
        <f t="shared" ref="AT190" si="433">AS190-AT191</f>
        <v>-1780.7805501436092</v>
      </c>
    </row>
    <row r="191" spans="2:46" x14ac:dyDescent="0.2">
      <c r="B191" s="20" t="s">
        <v>397</v>
      </c>
      <c r="C191" s="20"/>
      <c r="D191" s="20"/>
      <c r="E191" s="20"/>
      <c r="F191" s="20"/>
      <c r="G191" s="191">
        <v>0</v>
      </c>
      <c r="H191" s="190"/>
      <c r="I191" s="191">
        <v>0.05</v>
      </c>
      <c r="J191" s="190"/>
      <c r="K191" s="184">
        <f>P1</f>
        <v>0.05</v>
      </c>
      <c r="L191" s="191">
        <v>0.12</v>
      </c>
      <c r="M191" s="190"/>
      <c r="N191" s="191">
        <v>0.2</v>
      </c>
      <c r="O191" s="190"/>
      <c r="P191" s="181">
        <f>Q171/R141</f>
        <v>17.011327621605442</v>
      </c>
      <c r="Q191" s="181">
        <f>Q171/R141</f>
        <v>17.011327621605442</v>
      </c>
      <c r="R191" s="20"/>
      <c r="S191" s="20"/>
      <c r="T191" s="186">
        <f>R141*(1+$K$191)</f>
        <v>46.292683176580894</v>
      </c>
      <c r="U191" s="186">
        <f>T191*(1+$K$191)</f>
        <v>48.607317335409938</v>
      </c>
      <c r="V191" s="186">
        <f t="shared" ref="V191:AC191" si="434">U191*(1+$K$191)</f>
        <v>51.037683202180439</v>
      </c>
      <c r="W191" s="186">
        <f t="shared" si="434"/>
        <v>53.589567362289465</v>
      </c>
      <c r="X191" s="186">
        <f t="shared" si="434"/>
        <v>56.269045730403938</v>
      </c>
      <c r="Y191" s="186">
        <f t="shared" si="434"/>
        <v>59.082498016924141</v>
      </c>
      <c r="Z191" s="186">
        <f t="shared" si="434"/>
        <v>62.036622917770352</v>
      </c>
      <c r="AA191" s="186">
        <f t="shared" si="434"/>
        <v>65.13845406365887</v>
      </c>
      <c r="AB191" s="186">
        <f t="shared" si="434"/>
        <v>68.395376766841821</v>
      </c>
      <c r="AC191" s="186">
        <f t="shared" si="434"/>
        <v>71.815145605183915</v>
      </c>
      <c r="AD191" s="186">
        <f t="shared" ref="AD191" si="435">AC191*(1+$K$191)</f>
        <v>75.405902885443112</v>
      </c>
      <c r="AE191" s="186">
        <f t="shared" ref="AE191" si="436">AD191*(1+$K$191)</f>
        <v>79.176198029715266</v>
      </c>
      <c r="AF191" s="186">
        <f t="shared" ref="AF191" si="437">AE191*(1+$K$191)</f>
        <v>83.135007931201031</v>
      </c>
      <c r="AG191" s="186">
        <f t="shared" ref="AG191" si="438">AF191*(1+$K$191)</f>
        <v>87.291758327761087</v>
      </c>
      <c r="AH191" s="186">
        <f t="shared" ref="AH191" si="439">AG191*(1+$K$191)</f>
        <v>91.656346244149148</v>
      </c>
      <c r="AI191" s="186">
        <f t="shared" ref="AI191" si="440">AH191*(1+$K$191)</f>
        <v>96.239163556356615</v>
      </c>
      <c r="AJ191" s="186">
        <f t="shared" ref="AJ191" si="441">AI191*(1+$K$191)</f>
        <v>101.05112173417444</v>
      </c>
      <c r="AK191" s="186">
        <f t="shared" ref="AK191" si="442">AJ191*(1+$K$191)</f>
        <v>106.10367782088318</v>
      </c>
      <c r="AL191" s="186">
        <f t="shared" ref="AL191" si="443">AK191*(1+$K$191)</f>
        <v>111.40886171192734</v>
      </c>
      <c r="AM191" s="186">
        <f t="shared" ref="AM191" si="444">AL191*(1+$K$191)</f>
        <v>116.97930479752371</v>
      </c>
      <c r="AN191" s="186">
        <f t="shared" ref="AN191" si="445">AM191*(1+$K$191)</f>
        <v>122.8282700373999</v>
      </c>
      <c r="AO191" s="186">
        <f t="shared" ref="AO191" si="446">AN191*(1+$K$191)</f>
        <v>128.96968353926991</v>
      </c>
      <c r="AP191" s="186">
        <f t="shared" ref="AP191" si="447">AO191*(1+$K$191)</f>
        <v>135.4181677162334</v>
      </c>
      <c r="AQ191" s="186">
        <f t="shared" ref="AQ191" si="448">AP191*(1+$K$191)</f>
        <v>142.18907610204508</v>
      </c>
      <c r="AR191" s="186">
        <f t="shared" ref="AR191" si="449">AQ191*(1+$K$191)</f>
        <v>149.29852990714733</v>
      </c>
      <c r="AS191" s="186">
        <f t="shared" ref="AS191" si="450">AR191*(1+$K$191)</f>
        <v>156.76345640250469</v>
      </c>
      <c r="AT191" s="186">
        <f t="shared" ref="AT191" si="451">AS191*(1+$K$191)</f>
        <v>164.60162922262992</v>
      </c>
    </row>
    <row r="192" spans="2:46" x14ac:dyDescent="0.2">
      <c r="B192" s="20" t="s">
        <v>396</v>
      </c>
      <c r="C192" s="20"/>
      <c r="D192" s="20"/>
      <c r="E192" s="23" t="s">
        <v>391</v>
      </c>
      <c r="F192" s="22">
        <v>200</v>
      </c>
      <c r="G192" s="191">
        <v>0</v>
      </c>
      <c r="H192" s="192">
        <f>Q173</f>
        <v>20.7</v>
      </c>
      <c r="I192" s="191">
        <v>0.05</v>
      </c>
      <c r="J192" s="190">
        <v>4</v>
      </c>
      <c r="K192" s="184">
        <v>0.2</v>
      </c>
      <c r="L192" s="191">
        <v>0.12</v>
      </c>
      <c r="M192" s="190">
        <v>4</v>
      </c>
      <c r="N192" s="191">
        <v>0.2</v>
      </c>
      <c r="O192" s="190">
        <v>3</v>
      </c>
      <c r="P192" s="181">
        <f>Q171/Q54</f>
        <v>20.7</v>
      </c>
      <c r="Q192" s="181">
        <f>Q171/Q54</f>
        <v>20.7</v>
      </c>
      <c r="R192" s="20"/>
      <c r="S192" s="20"/>
      <c r="T192" s="186">
        <f>Q54*(1+$K$192)</f>
        <v>43.478260869565219</v>
      </c>
      <c r="U192" s="186">
        <f>T192*(1+$K$192)</f>
        <v>52.173913043478258</v>
      </c>
      <c r="V192" s="186">
        <f t="shared" ref="V192:AC192" si="452">U192*(1+$K$192)</f>
        <v>62.608695652173907</v>
      </c>
      <c r="W192" s="186">
        <f t="shared" si="452"/>
        <v>75.130434782608688</v>
      </c>
      <c r="X192" s="186">
        <f t="shared" si="452"/>
        <v>90.156521739130426</v>
      </c>
      <c r="Y192" s="186">
        <f t="shared" si="452"/>
        <v>108.18782608695651</v>
      </c>
      <c r="Z192" s="186">
        <f t="shared" si="452"/>
        <v>129.82539130434779</v>
      </c>
      <c r="AA192" s="186">
        <f t="shared" si="452"/>
        <v>155.79046956521734</v>
      </c>
      <c r="AB192" s="186">
        <f t="shared" si="452"/>
        <v>186.94856347826081</v>
      </c>
      <c r="AC192" s="186">
        <f t="shared" si="452"/>
        <v>224.33827617391296</v>
      </c>
      <c r="AD192" s="186">
        <f t="shared" ref="AD192" si="453">AC192*(1+$K$192)</f>
        <v>269.20593140869556</v>
      </c>
      <c r="AE192" s="186">
        <f t="shared" ref="AE192" si="454">AD192*(1+$K$192)</f>
        <v>323.04711769043467</v>
      </c>
      <c r="AF192" s="186">
        <f t="shared" ref="AF192" si="455">AE192*(1+$K$192)</f>
        <v>387.65654122852158</v>
      </c>
      <c r="AG192" s="186">
        <f t="shared" ref="AG192" si="456">AF192*(1+$K$192)</f>
        <v>465.18784947422586</v>
      </c>
      <c r="AH192" s="186">
        <f t="shared" ref="AH192" si="457">AG192*(1+$K$192)</f>
        <v>558.22541936907101</v>
      </c>
      <c r="AI192" s="186">
        <f t="shared" ref="AI192" si="458">AH192*(1+$K$192)</f>
        <v>669.87050324288521</v>
      </c>
      <c r="AJ192" s="186">
        <f t="shared" ref="AJ192" si="459">AI192*(1+$K$192)</f>
        <v>803.84460389146227</v>
      </c>
      <c r="AK192" s="186">
        <f t="shared" ref="AK192" si="460">AJ192*(1+$K$192)</f>
        <v>964.61352466975472</v>
      </c>
      <c r="AL192" s="186">
        <f t="shared" ref="AL192" si="461">AK192*(1+$K$192)</f>
        <v>1157.5362296037056</v>
      </c>
      <c r="AM192" s="186">
        <f t="shared" ref="AM192" si="462">AL192*(1+$K$192)</f>
        <v>1389.0434755244466</v>
      </c>
      <c r="AN192" s="186">
        <f t="shared" ref="AN192" si="463">AM192*(1+$K$192)</f>
        <v>1666.8521706293359</v>
      </c>
      <c r="AO192" s="186">
        <f t="shared" ref="AO192" si="464">AN192*(1+$K$192)</f>
        <v>2000.2226047552031</v>
      </c>
      <c r="AP192" s="186">
        <f t="shared" ref="AP192" si="465">AO192*(1+$K$192)</f>
        <v>2400.2671257062434</v>
      </c>
      <c r="AQ192" s="186">
        <f t="shared" ref="AQ192" si="466">AP192*(1+$K$192)</f>
        <v>2880.3205508474921</v>
      </c>
      <c r="AR192" s="186">
        <f t="shared" ref="AR192" si="467">AQ192*(1+$K$192)</f>
        <v>3456.3846610169903</v>
      </c>
      <c r="AS192" s="186">
        <f t="shared" ref="AS192" si="468">AR192*(1+$K$192)</f>
        <v>4147.6615932203886</v>
      </c>
      <c r="AT192" s="186">
        <f t="shared" ref="AT192" si="469">AS192*(1+$K$192)</f>
        <v>4977.1939118644659</v>
      </c>
    </row>
    <row r="193" spans="2:46" x14ac:dyDescent="0.2">
      <c r="B193" s="20"/>
      <c r="C193" s="20"/>
      <c r="D193" s="20"/>
      <c r="E193" s="23" t="s">
        <v>455</v>
      </c>
      <c r="F193" s="22">
        <v>750</v>
      </c>
      <c r="G193" s="191">
        <v>0</v>
      </c>
      <c r="H193" s="192">
        <v>21</v>
      </c>
      <c r="I193" s="191">
        <v>0.05</v>
      </c>
      <c r="J193" s="190">
        <v>14</v>
      </c>
      <c r="K193" s="190"/>
      <c r="L193" s="191">
        <v>0.12</v>
      </c>
      <c r="M193" s="190">
        <v>10</v>
      </c>
      <c r="N193" s="191">
        <v>0.2</v>
      </c>
      <c r="O193" s="190">
        <v>8</v>
      </c>
      <c r="P193" s="20"/>
      <c r="Q193" s="20"/>
      <c r="R193" s="20"/>
      <c r="S193" s="20"/>
      <c r="T193" s="129">
        <f>Q171-T192</f>
        <v>706.52173913043475</v>
      </c>
      <c r="U193" s="185">
        <f>T193-U192</f>
        <v>654.3478260869565</v>
      </c>
      <c r="V193" s="185">
        <f t="shared" ref="V193:AA193" si="470">U193-V192</f>
        <v>591.73913043478262</v>
      </c>
      <c r="W193" s="185">
        <f t="shared" si="470"/>
        <v>516.60869565217399</v>
      </c>
      <c r="X193" s="185">
        <f t="shared" si="470"/>
        <v>426.45217391304357</v>
      </c>
      <c r="Y193" s="185">
        <f t="shared" si="470"/>
        <v>318.26434782608703</v>
      </c>
      <c r="Z193" s="185">
        <f t="shared" si="470"/>
        <v>188.43895652173924</v>
      </c>
      <c r="AA193" s="185">
        <f t="shared" si="470"/>
        <v>32.648486956521907</v>
      </c>
      <c r="AB193" s="185">
        <f>AA193-AB192</f>
        <v>-154.3000765217389</v>
      </c>
      <c r="AC193" s="185">
        <f t="shared" ref="AC193" si="471">AB193-AC192</f>
        <v>-378.63835269565186</v>
      </c>
      <c r="AD193" s="185">
        <f t="shared" ref="AD193" si="472">AC193-AD192</f>
        <v>-647.84428410434748</v>
      </c>
      <c r="AE193" s="185">
        <f t="shared" ref="AE193" si="473">AD193-AE192</f>
        <v>-970.89140179478215</v>
      </c>
      <c r="AF193" s="185">
        <f t="shared" ref="AF193" si="474">AE193-AF192</f>
        <v>-1358.5479430233038</v>
      </c>
      <c r="AG193" s="185">
        <f t="shared" ref="AG193" si="475">AF193-AG192</f>
        <v>-1823.7357924975297</v>
      </c>
      <c r="AH193" s="185">
        <f t="shared" ref="AH193" si="476">AG193-AH192</f>
        <v>-2381.9612118666009</v>
      </c>
      <c r="AI193" s="185">
        <f t="shared" ref="AI193" si="477">AH193-AI192</f>
        <v>-3051.8317151094861</v>
      </c>
      <c r="AJ193" s="185">
        <f t="shared" ref="AJ193" si="478">AI193-AJ192</f>
        <v>-3855.6763190009483</v>
      </c>
      <c r="AK193" s="185">
        <f t="shared" ref="AK193" si="479">AJ193-AK192</f>
        <v>-4820.2898436707028</v>
      </c>
      <c r="AL193" s="185">
        <f t="shared" ref="AL193" si="480">AK193-AL192</f>
        <v>-5977.8260732744084</v>
      </c>
      <c r="AM193" s="185">
        <f t="shared" ref="AM193" si="481">AL193-AM192</f>
        <v>-7366.8695487988552</v>
      </c>
      <c r="AN193" s="185">
        <f t="shared" ref="AN193" si="482">AM193-AN192</f>
        <v>-9033.7217194281911</v>
      </c>
      <c r="AO193" s="185">
        <f t="shared" ref="AO193" si="483">AN193-AO192</f>
        <v>-11033.944324183394</v>
      </c>
      <c r="AP193" s="185">
        <f t="shared" ref="AP193" si="484">AO193-AP192</f>
        <v>-13434.211449889637</v>
      </c>
      <c r="AQ193" s="185">
        <f t="shared" ref="AQ193" si="485">AP193-AQ192</f>
        <v>-16314.53200073713</v>
      </c>
      <c r="AR193" s="185">
        <f t="shared" ref="AR193" si="486">AQ193-AR192</f>
        <v>-19770.91666175412</v>
      </c>
      <c r="AS193" s="185">
        <f t="shared" ref="AS193" si="487">AR193-AS192</f>
        <v>-23918.578254974509</v>
      </c>
      <c r="AT193" s="185">
        <f t="shared" ref="AT193" si="488">AS193-AT192</f>
        <v>-28895.772166838975</v>
      </c>
    </row>
    <row r="194" spans="2:46" x14ac:dyDescent="0.2">
      <c r="B194" s="108" t="s">
        <v>302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46" x14ac:dyDescent="0.2">
      <c r="B195" s="20" t="s">
        <v>305</v>
      </c>
      <c r="C195" s="25" t="e">
        <f t="shared" ref="C195:P195" si="489">C10/C7</f>
        <v>#DIV/0!</v>
      </c>
      <c r="D195" s="25" t="e">
        <f t="shared" si="489"/>
        <v>#DIV/0!</v>
      </c>
      <c r="E195" s="25" t="e">
        <f t="shared" si="489"/>
        <v>#DIV/0!</v>
      </c>
      <c r="F195" s="25" t="e">
        <f t="shared" si="489"/>
        <v>#DIV/0!</v>
      </c>
      <c r="G195" s="25">
        <f t="shared" si="489"/>
        <v>1.1926605504587156</v>
      </c>
      <c r="H195" s="25">
        <f t="shared" si="489"/>
        <v>1.0632911392405062</v>
      </c>
      <c r="I195" s="25">
        <f t="shared" si="489"/>
        <v>1.0278745644599303</v>
      </c>
      <c r="J195" s="25">
        <f t="shared" si="489"/>
        <v>1.1469740634005763</v>
      </c>
      <c r="K195" s="25">
        <f t="shared" si="489"/>
        <v>1.3021582733812949</v>
      </c>
      <c r="L195" s="25">
        <f t="shared" si="489"/>
        <v>1.006276150627615</v>
      </c>
      <c r="M195" s="25">
        <f t="shared" si="489"/>
        <v>0.69897209985315711</v>
      </c>
      <c r="N195" s="25">
        <f t="shared" si="489"/>
        <v>0.72125435540069682</v>
      </c>
      <c r="O195" s="25">
        <f t="shared" si="489"/>
        <v>1.5279279279279279</v>
      </c>
      <c r="P195" s="25">
        <f t="shared" si="489"/>
        <v>1.4871794871794872</v>
      </c>
      <c r="Q195" s="25">
        <f t="shared" ref="Q195" si="490">Q10/Q7</f>
        <v>1.4871794871794872</v>
      </c>
      <c r="R195" s="118">
        <f t="shared" ref="R195:R197" si="491">((P195/G195)^(1/($H$2-$H$1) ))-1</f>
        <v>2.4824772196196498E-2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 x14ac:dyDescent="0.2">
      <c r="B196" s="20" t="s">
        <v>306</v>
      </c>
      <c r="C196" s="112" t="e">
        <f>C10/C12</f>
        <v>#DIV/0!</v>
      </c>
      <c r="D196" s="112" t="e">
        <f>D10/D12</f>
        <v>#DIV/0!</v>
      </c>
      <c r="E196" s="112" t="e">
        <f>E10/E12</f>
        <v>#DIV/0!</v>
      </c>
      <c r="F196" s="112" t="e">
        <f>F10/F12</f>
        <v>#DIV/0!</v>
      </c>
      <c r="G196" s="112">
        <f>G10/G12</f>
        <v>1.3265306122448979</v>
      </c>
      <c r="H196" s="112">
        <f t="shared" ref="H196:P196" si="492">H10/H12</f>
        <v>1.263157894736842</v>
      </c>
      <c r="I196" s="112">
        <f t="shared" si="492"/>
        <v>3.831168831168831</v>
      </c>
      <c r="J196" s="112">
        <f t="shared" si="492"/>
        <v>66.333333333333329</v>
      </c>
      <c r="K196" s="112">
        <f t="shared" si="492"/>
        <v>54.3</v>
      </c>
      <c r="L196" s="112">
        <f t="shared" si="492"/>
        <v>43.727272727272727</v>
      </c>
      <c r="M196" s="112">
        <f t="shared" si="492"/>
        <v>95.2</v>
      </c>
      <c r="N196" s="112">
        <f t="shared" si="492"/>
        <v>51.75</v>
      </c>
      <c r="O196" s="112">
        <f t="shared" si="492"/>
        <v>4.583783783783784</v>
      </c>
      <c r="P196" s="112">
        <f t="shared" si="492"/>
        <v>7.7194244604316546</v>
      </c>
      <c r="Q196" s="112">
        <f t="shared" ref="Q196" si="493">Q10/Q12</f>
        <v>7.7194244604316546</v>
      </c>
      <c r="R196" s="118">
        <f t="shared" si="491"/>
        <v>0.21614481879577729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307</v>
      </c>
      <c r="C197" s="25" t="e">
        <f>C10/(C12+C13)</f>
        <v>#DIV/0!</v>
      </c>
      <c r="D197" s="25" t="e">
        <f>D10/(D12+D13)</f>
        <v>#DIV/0!</v>
      </c>
      <c r="E197" s="25" t="e">
        <f>E10/(E12+E13)</f>
        <v>#DIV/0!</v>
      </c>
      <c r="F197" s="25" t="e">
        <f>F10/(F12+F13)</f>
        <v>#DIV/0!</v>
      </c>
      <c r="G197" s="25">
        <f>G10/(G12+G13)</f>
        <v>1.3</v>
      </c>
      <c r="H197" s="25">
        <f t="shared" ref="H197:P197" si="494">H10/(H12+H13)</f>
        <v>1.2437995113644778</v>
      </c>
      <c r="I197" s="25">
        <f t="shared" si="494"/>
        <v>3.5975609756097562</v>
      </c>
      <c r="J197" s="25">
        <f t="shared" si="494"/>
        <v>49.75</v>
      </c>
      <c r="K197" s="25">
        <f t="shared" si="494"/>
        <v>38.785714285714285</v>
      </c>
      <c r="L197" s="25">
        <f t="shared" si="494"/>
        <v>32.06666666666667</v>
      </c>
      <c r="M197" s="25">
        <f t="shared" si="494"/>
        <v>7.1044776119402986</v>
      </c>
      <c r="N197" s="25">
        <f t="shared" si="494"/>
        <v>23.884615384615383</v>
      </c>
      <c r="O197" s="25">
        <f t="shared" si="494"/>
        <v>4.5542427497314719</v>
      </c>
      <c r="P197" s="25">
        <f t="shared" si="494"/>
        <v>7.6370106761565832</v>
      </c>
      <c r="Q197" s="25">
        <f t="shared" ref="Q197" si="495">Q10/(Q12+Q13)</f>
        <v>7.6370106761565832</v>
      </c>
      <c r="R197" s="118">
        <f t="shared" si="491"/>
        <v>0.21742503212371544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174" t="s">
        <v>377</v>
      </c>
      <c r="D200" s="175"/>
      <c r="E200" s="175"/>
      <c r="F200" s="175"/>
      <c r="G200" s="175"/>
      <c r="H200" s="175"/>
      <c r="I200" s="175"/>
      <c r="J200" s="175"/>
      <c r="K200" s="20"/>
      <c r="L200" s="200" t="s">
        <v>337</v>
      </c>
      <c r="M200" s="201"/>
      <c r="N200" s="202"/>
      <c r="O200" s="23" t="s">
        <v>340</v>
      </c>
      <c r="P200" s="20"/>
      <c r="Q200" s="137"/>
      <c r="R200" s="200" t="s">
        <v>338</v>
      </c>
      <c r="S200" s="201"/>
      <c r="T200" s="202"/>
      <c r="U200" s="23" t="s">
        <v>340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166" t="s">
        <v>339</v>
      </c>
      <c r="D201" s="166" t="s">
        <v>0</v>
      </c>
      <c r="E201" s="166" t="s">
        <v>378</v>
      </c>
      <c r="F201" s="166" t="s">
        <v>379</v>
      </c>
      <c r="G201" s="166" t="s">
        <v>380</v>
      </c>
      <c r="H201" s="166" t="s">
        <v>381</v>
      </c>
      <c r="I201" s="166" t="s">
        <v>382</v>
      </c>
      <c r="J201" s="166" t="s">
        <v>383</v>
      </c>
      <c r="K201" s="20"/>
      <c r="L201" s="166" t="s">
        <v>339</v>
      </c>
      <c r="M201" s="166"/>
      <c r="N201" s="166" t="s">
        <v>0</v>
      </c>
      <c r="O201" s="166" t="s">
        <v>372</v>
      </c>
      <c r="P201" s="20"/>
      <c r="Q201" s="20"/>
      <c r="R201" s="166" t="s">
        <v>339</v>
      </c>
      <c r="S201" s="166"/>
      <c r="T201" s="166" t="s">
        <v>0</v>
      </c>
      <c r="U201" s="166" t="s">
        <v>372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67" t="s">
        <v>341</v>
      </c>
      <c r="D202" s="21">
        <v>300</v>
      </c>
      <c r="E202" s="176" t="s">
        <v>384</v>
      </c>
      <c r="F202" s="22">
        <v>1</v>
      </c>
      <c r="G202" s="22">
        <v>1</v>
      </c>
      <c r="H202" s="167">
        <f>F202/G202</f>
        <v>1</v>
      </c>
      <c r="I202" s="167">
        <f>H202*D203</f>
        <v>1</v>
      </c>
      <c r="J202" s="177">
        <f>I202+D203</f>
        <v>2</v>
      </c>
      <c r="K202" s="20"/>
      <c r="L202" s="167" t="s">
        <v>341</v>
      </c>
      <c r="M202" s="167"/>
      <c r="N202" s="21">
        <v>31</v>
      </c>
      <c r="O202" s="173">
        <f>N202</f>
        <v>31</v>
      </c>
      <c r="P202" s="20"/>
      <c r="Q202" s="20"/>
      <c r="R202" s="167" t="s">
        <v>341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7" t="s">
        <v>342</v>
      </c>
      <c r="D203" s="21">
        <v>1</v>
      </c>
      <c r="E203" s="176" t="s">
        <v>385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2</v>
      </c>
      <c r="K203" s="20"/>
      <c r="L203" s="167" t="s">
        <v>342</v>
      </c>
      <c r="M203" s="167"/>
      <c r="N203" s="21">
        <v>1</v>
      </c>
      <c r="O203" s="173">
        <f>N203</f>
        <v>1</v>
      </c>
      <c r="P203" s="20"/>
      <c r="Q203" s="20"/>
      <c r="R203" s="167" t="s">
        <v>342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7" t="s">
        <v>344</v>
      </c>
      <c r="D204" s="168">
        <f>D202*D203</f>
        <v>300</v>
      </c>
      <c r="E204" s="176" t="s">
        <v>398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2</v>
      </c>
      <c r="K204" s="20"/>
      <c r="L204" s="167" t="s">
        <v>343</v>
      </c>
      <c r="M204" s="167"/>
      <c r="N204" s="168">
        <f>N202*N203</f>
        <v>31</v>
      </c>
      <c r="O204" s="173">
        <f>N204</f>
        <v>31</v>
      </c>
      <c r="P204" s="20"/>
      <c r="Q204" s="20"/>
      <c r="R204" s="167" t="s">
        <v>344</v>
      </c>
      <c r="S204" s="167"/>
      <c r="T204" s="168">
        <f>T202*T203</f>
        <v>1</v>
      </c>
      <c r="U204" s="173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7"/>
      <c r="D205" s="168"/>
      <c r="E205" s="176" t="s">
        <v>386</v>
      </c>
      <c r="F205" s="22">
        <v>10</v>
      </c>
      <c r="G205" s="22">
        <v>2</v>
      </c>
      <c r="H205" s="167">
        <f>F205/G205</f>
        <v>5</v>
      </c>
      <c r="I205" s="167">
        <f>H205*J204</f>
        <v>10</v>
      </c>
      <c r="J205" s="167">
        <f>I205</f>
        <v>10</v>
      </c>
      <c r="K205" s="20"/>
      <c r="L205" s="167" t="s">
        <v>345</v>
      </c>
      <c r="M205" s="167"/>
      <c r="N205" s="21">
        <v>250</v>
      </c>
      <c r="O205" s="21">
        <v>772</v>
      </c>
      <c r="P205" s="20"/>
      <c r="Q205" s="20"/>
      <c r="R205" s="167" t="s">
        <v>345</v>
      </c>
      <c r="S205" s="167"/>
      <c r="T205" s="21">
        <v>1</v>
      </c>
      <c r="U205" s="21"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7" t="s">
        <v>345</v>
      </c>
      <c r="D206" s="21">
        <v>750</v>
      </c>
      <c r="E206" s="176"/>
      <c r="F206" s="167"/>
      <c r="G206" s="167"/>
      <c r="H206" s="169" t="s">
        <v>387</v>
      </c>
      <c r="I206" s="167"/>
      <c r="J206" s="167">
        <f>J205</f>
        <v>10</v>
      </c>
      <c r="K206" s="20"/>
      <c r="L206" s="167" t="s">
        <v>346</v>
      </c>
      <c r="M206" s="167"/>
      <c r="N206" s="168">
        <f>N205*N203</f>
        <v>250</v>
      </c>
      <c r="O206" s="168">
        <f>O205*O203</f>
        <v>772</v>
      </c>
      <c r="P206" s="20"/>
      <c r="Q206" s="20"/>
      <c r="R206" s="167" t="s">
        <v>342</v>
      </c>
      <c r="S206" s="167"/>
      <c r="T206" s="21">
        <v>1</v>
      </c>
      <c r="U206" s="127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7" t="s">
        <v>342</v>
      </c>
      <c r="D207" s="21">
        <v>5</v>
      </c>
      <c r="E207" s="176" t="s">
        <v>386</v>
      </c>
      <c r="F207" s="22">
        <v>10</v>
      </c>
      <c r="G207" s="22">
        <v>2</v>
      </c>
      <c r="H207" s="167">
        <f>F207/G207</f>
        <v>5</v>
      </c>
      <c r="I207" s="177">
        <f>H207*D203</f>
        <v>5</v>
      </c>
      <c r="J207" s="177">
        <f>I207</f>
        <v>5</v>
      </c>
      <c r="K207" s="20"/>
      <c r="L207" s="167"/>
      <c r="M207" s="167"/>
      <c r="N207" s="168"/>
      <c r="O207" s="168"/>
      <c r="P207" s="20"/>
      <c r="Q207" s="20"/>
      <c r="R207" s="167" t="s">
        <v>344</v>
      </c>
      <c r="S207" s="167"/>
      <c r="T207" s="168">
        <f>T206*T205</f>
        <v>1</v>
      </c>
      <c r="U207" s="168">
        <f>U206*U205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 t="s">
        <v>344</v>
      </c>
      <c r="D208" s="168">
        <f>D207*D206</f>
        <v>3750</v>
      </c>
      <c r="E208" s="167"/>
      <c r="F208" s="167"/>
      <c r="G208" s="167"/>
      <c r="H208" s="169" t="s">
        <v>387</v>
      </c>
      <c r="I208" s="167"/>
      <c r="J208" s="167">
        <f>J207</f>
        <v>5</v>
      </c>
      <c r="K208" s="20"/>
      <c r="L208" s="167"/>
      <c r="M208" s="167"/>
      <c r="N208" s="168"/>
      <c r="O208" s="168"/>
      <c r="P208" s="20"/>
      <c r="Q208" s="20"/>
      <c r="R208" s="167"/>
      <c r="S208" s="167"/>
      <c r="T208" s="168"/>
      <c r="U208" s="168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/>
      <c r="D209" s="168"/>
      <c r="E209" s="176" t="s">
        <v>386</v>
      </c>
      <c r="F209" s="22">
        <v>10</v>
      </c>
      <c r="G209" s="22">
        <v>2</v>
      </c>
      <c r="H209" s="167">
        <f>F209/G209</f>
        <v>5</v>
      </c>
      <c r="I209" s="167">
        <f>H209*J208</f>
        <v>25</v>
      </c>
      <c r="J209" s="167">
        <f>I209</f>
        <v>25</v>
      </c>
      <c r="K209" s="20"/>
      <c r="L209" s="169" t="s">
        <v>347</v>
      </c>
      <c r="M209" s="169"/>
      <c r="N209" s="170">
        <f>N206/N204</f>
        <v>8.064516129032258</v>
      </c>
      <c r="O209" s="170">
        <f>O206/O204</f>
        <v>24.903225806451612</v>
      </c>
      <c r="P209" s="20"/>
      <c r="Q209" s="20"/>
      <c r="R209" s="169" t="s">
        <v>347</v>
      </c>
      <c r="S209" s="169"/>
      <c r="T209" s="170">
        <f>T207/T204</f>
        <v>1</v>
      </c>
      <c r="U209" s="170">
        <f>U207/U204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9" t="s">
        <v>347</v>
      </c>
      <c r="D210" s="170">
        <f>D208/D204</f>
        <v>12.5</v>
      </c>
      <c r="E210" s="176"/>
      <c r="F210" s="167"/>
      <c r="G210" s="167"/>
      <c r="H210" s="169" t="s">
        <v>387</v>
      </c>
      <c r="I210" s="167"/>
      <c r="J210" s="167">
        <f>J209</f>
        <v>25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"/>
      <c r="D212" s="137"/>
      <c r="E212" s="178"/>
      <c r="F212" s="178"/>
      <c r="G212" s="179"/>
      <c r="H212" s="20"/>
      <c r="I212" s="137"/>
      <c r="J212" s="178"/>
      <c r="K212" s="17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ht="14.25" x14ac:dyDescent="0.2">
      <c r="B213" s="20"/>
      <c r="C213" s="20"/>
      <c r="D213" s="193" t="s">
        <v>27</v>
      </c>
      <c r="E213" s="194"/>
      <c r="F213" s="194"/>
      <c r="G213" s="195"/>
      <c r="H213" s="20"/>
      <c r="I213" s="193" t="s">
        <v>393</v>
      </c>
      <c r="J213" s="194"/>
      <c r="K213" s="195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28</v>
      </c>
      <c r="E214" s="127"/>
      <c r="F214" s="127"/>
      <c r="G214" s="21">
        <f>D204</f>
        <v>300</v>
      </c>
      <c r="H214" s="20"/>
      <c r="I214" s="20" t="s">
        <v>28</v>
      </c>
      <c r="J214" s="127"/>
      <c r="K214" s="21">
        <f>G214</f>
        <v>300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29</v>
      </c>
      <c r="E215" s="127"/>
      <c r="F215" s="127"/>
      <c r="G215" s="21">
        <f>D208</f>
        <v>3750</v>
      </c>
      <c r="H215" s="20"/>
      <c r="I215" s="20" t="s">
        <v>29</v>
      </c>
      <c r="J215" s="20"/>
      <c r="K215" s="21">
        <f>G215</f>
        <v>3750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0" t="s">
        <v>30</v>
      </c>
      <c r="E216" s="20"/>
      <c r="F216" s="20"/>
      <c r="G216" s="22">
        <v>1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31</v>
      </c>
      <c r="E217" s="3"/>
      <c r="F217" s="3"/>
      <c r="G217" s="3">
        <f>((G215/G214)^(1/G216))-1</f>
        <v>11.5</v>
      </c>
      <c r="H217" s="20"/>
      <c r="I217" s="23" t="s">
        <v>394</v>
      </c>
      <c r="J217" s="23"/>
      <c r="K217" s="23">
        <f>(K215-K214)/K214</f>
        <v>11.5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3" t="s">
        <v>32</v>
      </c>
      <c r="E218" s="165"/>
      <c r="F218" s="165"/>
      <c r="G218" s="24">
        <f>G216*12</f>
        <v>12</v>
      </c>
      <c r="H218" s="20"/>
      <c r="I218" s="23" t="s">
        <v>395</v>
      </c>
      <c r="J218" s="23"/>
      <c r="K218" s="23">
        <f>K215/K214</f>
        <v>12.5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0" t="s">
        <v>30</v>
      </c>
      <c r="E219" s="25"/>
      <c r="F219" s="25"/>
      <c r="G219" s="25">
        <f>G218/12</f>
        <v>1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3" t="s">
        <v>33</v>
      </c>
      <c r="E220" s="3"/>
      <c r="F220" s="3"/>
      <c r="G220" s="3">
        <f>((G215/G214)^(1/G219))-1</f>
        <v>11.5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7">
    <mergeCell ref="D213:G213"/>
    <mergeCell ref="I213:K213"/>
    <mergeCell ref="AE2:AF2"/>
    <mergeCell ref="AE3:AF3"/>
    <mergeCell ref="L200:N200"/>
    <mergeCell ref="R200:T200"/>
    <mergeCell ref="K183:L183"/>
  </mergeCells>
  <pageMargins left="0.7" right="0.7" top="0.75" bottom="0.75" header="0.3" footer="0.3"/>
  <pageSetup orientation="portrait" r:id="rId1"/>
  <ignoredErrors>
    <ignoredError sqref="C173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5" t="s">
        <v>27</v>
      </c>
      <c r="K5" s="205"/>
      <c r="M5" s="205" t="s">
        <v>65</v>
      </c>
      <c r="N5" s="205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5" t="s">
        <v>36</v>
      </c>
      <c r="K14" s="205"/>
      <c r="L14" s="205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5" t="s">
        <v>27</v>
      </c>
      <c r="S5" s="205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5" t="s">
        <v>36</v>
      </c>
      <c r="S14" s="205"/>
      <c r="T14" s="205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5" t="s">
        <v>27</v>
      </c>
      <c r="C2" s="205"/>
      <c r="E2" s="205" t="s">
        <v>65</v>
      </c>
      <c r="F2" s="205"/>
      <c r="H2" s="209" t="s">
        <v>36</v>
      </c>
      <c r="I2" s="210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6" t="s">
        <v>68</v>
      </c>
      <c r="E10" s="207"/>
      <c r="F10" s="207"/>
      <c r="G10" s="207"/>
      <c r="H10" s="208"/>
      <c r="I10" s="206" t="s">
        <v>72</v>
      </c>
      <c r="J10" s="207"/>
      <c r="K10" s="207"/>
      <c r="L10" s="208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1" t="s">
        <v>432</v>
      </c>
      <c r="C3" s="212"/>
      <c r="F3" s="211" t="s">
        <v>433</v>
      </c>
      <c r="G3" s="212"/>
    </row>
    <row r="4" spans="2:7" x14ac:dyDescent="0.2">
      <c r="B4" s="188" t="s">
        <v>434</v>
      </c>
      <c r="C4" s="188"/>
      <c r="F4" s="188" t="s">
        <v>435</v>
      </c>
      <c r="G4" s="188"/>
    </row>
    <row r="5" spans="2:7" x14ac:dyDescent="0.2">
      <c r="B5" s="188" t="s">
        <v>436</v>
      </c>
      <c r="C5" s="188"/>
      <c r="F5" s="188" t="s">
        <v>292</v>
      </c>
      <c r="G5" s="188"/>
    </row>
    <row r="6" spans="2:7" x14ac:dyDescent="0.2">
      <c r="B6" s="188" t="s">
        <v>437</v>
      </c>
      <c r="C6" s="188"/>
      <c r="F6" s="188" t="s">
        <v>438</v>
      </c>
      <c r="G6" s="188"/>
    </row>
    <row r="7" spans="2:7" x14ac:dyDescent="0.2">
      <c r="B7" s="188" t="s">
        <v>439</v>
      </c>
      <c r="C7" s="188"/>
      <c r="F7" s="188" t="s">
        <v>440</v>
      </c>
      <c r="G7" s="188"/>
    </row>
    <row r="8" spans="2:7" x14ac:dyDescent="0.2">
      <c r="B8" s="188" t="s">
        <v>441</v>
      </c>
      <c r="C8" s="188"/>
      <c r="F8" s="188" t="s">
        <v>442</v>
      </c>
      <c r="G8" s="188"/>
    </row>
    <row r="9" spans="2:7" x14ac:dyDescent="0.2">
      <c r="B9" s="188" t="s">
        <v>443</v>
      </c>
      <c r="C9" s="188"/>
      <c r="F9" s="188" t="s">
        <v>444</v>
      </c>
      <c r="G9" s="188"/>
    </row>
    <row r="10" spans="2:7" x14ac:dyDescent="0.2">
      <c r="B10" s="188" t="s">
        <v>442</v>
      </c>
      <c r="C10" s="188"/>
      <c r="F10" s="188"/>
      <c r="G10" s="188"/>
    </row>
    <row r="11" spans="2:7" x14ac:dyDescent="0.2">
      <c r="B11" s="188" t="s">
        <v>445</v>
      </c>
      <c r="C11" s="188"/>
      <c r="F11" s="188"/>
      <c r="G11" s="188"/>
    </row>
    <row r="12" spans="2:7" x14ac:dyDescent="0.2">
      <c r="B12" s="188" t="s">
        <v>446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2014-06-21T17:42:14Z</dcterms:modified>
</cp:coreProperties>
</file>
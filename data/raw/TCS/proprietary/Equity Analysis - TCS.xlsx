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Sheet1" sheetId="11" r:id="rId4"/>
    <sheet name="IOB" sheetId="9" r:id="rId5"/>
    <sheet name="BV calc" sheetId="8" r:id="rId6"/>
    <sheet name="Template" sheetId="12" r:id="rId7"/>
  </sheets>
  <calcPr calcId="145621"/>
</workbook>
</file>

<file path=xl/calcChain.xml><?xml version="1.0" encoding="utf-8"?>
<calcChain xmlns="http://schemas.openxmlformats.org/spreadsheetml/2006/main">
  <c r="C45" i="15" l="1"/>
  <c r="P18" i="18"/>
  <c r="P38" i="18"/>
  <c r="P39" i="18"/>
  <c r="P40" i="18"/>
  <c r="P41" i="18"/>
  <c r="P42" i="18"/>
  <c r="P43" i="18"/>
  <c r="P37" i="18"/>
  <c r="P22" i="18"/>
  <c r="P20" i="18"/>
  <c r="P16" i="18"/>
  <c r="P17" i="18"/>
  <c r="P15" i="18"/>
  <c r="P8" i="18"/>
  <c r="P9" i="18"/>
  <c r="P10" i="18"/>
  <c r="P11" i="18"/>
  <c r="P12" i="18"/>
  <c r="P13" i="18"/>
  <c r="P7" i="18"/>
  <c r="R41" i="18" l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P58" i="18"/>
  <c r="R58" i="18" s="1"/>
  <c r="S58" i="18" s="1"/>
  <c r="T58" i="18" s="1"/>
  <c r="U58" i="18" s="1"/>
  <c r="V58" i="18" s="1"/>
  <c r="W58" i="18" s="1"/>
  <c r="X58" i="18" s="1"/>
  <c r="Y58" i="18" s="1"/>
  <c r="Z58" i="18" s="1"/>
  <c r="AA58" i="18" s="1"/>
  <c r="AB58" i="18" s="1"/>
  <c r="D62" i="18"/>
  <c r="E62" i="18"/>
  <c r="F62" i="18"/>
  <c r="G62" i="18"/>
  <c r="H62" i="18"/>
  <c r="I62" i="18"/>
  <c r="J62" i="18"/>
  <c r="K62" i="18"/>
  <c r="C62" i="18"/>
  <c r="D61" i="18"/>
  <c r="E61" i="18"/>
  <c r="F61" i="18"/>
  <c r="G61" i="18"/>
  <c r="H61" i="18"/>
  <c r="I61" i="18"/>
  <c r="J61" i="18"/>
  <c r="K61" i="18"/>
  <c r="C61" i="18"/>
  <c r="D60" i="18"/>
  <c r="E60" i="18"/>
  <c r="F60" i="18"/>
  <c r="G60" i="18"/>
  <c r="H60" i="18"/>
  <c r="I60" i="18"/>
  <c r="J60" i="18"/>
  <c r="K60" i="18"/>
  <c r="C60" i="18"/>
  <c r="D59" i="18"/>
  <c r="E59" i="18"/>
  <c r="F59" i="18"/>
  <c r="G59" i="18"/>
  <c r="H59" i="18"/>
  <c r="I59" i="18"/>
  <c r="J59" i="18"/>
  <c r="K59" i="18"/>
  <c r="C59" i="18"/>
  <c r="C25" i="18"/>
  <c r="D25" i="18"/>
  <c r="E25" i="18"/>
  <c r="F25" i="18"/>
  <c r="G25" i="18"/>
  <c r="H25" i="18"/>
  <c r="I25" i="18"/>
  <c r="J25" i="18"/>
  <c r="K25" i="18"/>
  <c r="L25" i="18"/>
  <c r="M25" i="18"/>
  <c r="M59" i="18" s="1"/>
  <c r="N25" i="18"/>
  <c r="N59" i="18" s="1"/>
  <c r="O25" i="18"/>
  <c r="O59" i="18" s="1"/>
  <c r="D34" i="18"/>
  <c r="E34" i="18"/>
  <c r="F34" i="18"/>
  <c r="G34" i="18"/>
  <c r="H34" i="18"/>
  <c r="I34" i="18"/>
  <c r="J34" i="18"/>
  <c r="K34" i="18"/>
  <c r="L34" i="18"/>
  <c r="L62" i="18" s="1"/>
  <c r="M34" i="18"/>
  <c r="M62" i="18" s="1"/>
  <c r="N34" i="18"/>
  <c r="N62" i="18" s="1"/>
  <c r="O34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D32" i="18"/>
  <c r="H32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D30" i="18"/>
  <c r="E30" i="18"/>
  <c r="E32" i="18" s="1"/>
  <c r="F30" i="18"/>
  <c r="F32" i="18" s="1"/>
  <c r="G30" i="18"/>
  <c r="G32" i="18" s="1"/>
  <c r="H30" i="18"/>
  <c r="I30" i="18"/>
  <c r="I32" i="18" s="1"/>
  <c r="J30" i="18"/>
  <c r="J32" i="18" s="1"/>
  <c r="K30" i="18"/>
  <c r="K32" i="18" s="1"/>
  <c r="L30" i="18"/>
  <c r="L32" i="18" s="1"/>
  <c r="L61" i="18" s="1"/>
  <c r="M30" i="18"/>
  <c r="N30" i="18"/>
  <c r="O30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D27" i="18"/>
  <c r="E27" i="18"/>
  <c r="F27" i="18"/>
  <c r="G27" i="18"/>
  <c r="H27" i="18"/>
  <c r="I27" i="18"/>
  <c r="J27" i="18"/>
  <c r="K27" i="18"/>
  <c r="L27" i="18"/>
  <c r="L60" i="18" s="1"/>
  <c r="M27" i="18"/>
  <c r="M60" i="18" s="1"/>
  <c r="N27" i="18"/>
  <c r="N60" i="18" s="1"/>
  <c r="O27" i="18"/>
  <c r="C34" i="18"/>
  <c r="C33" i="18"/>
  <c r="C31" i="18"/>
  <c r="C30" i="18"/>
  <c r="C32" i="18" s="1"/>
  <c r="C28" i="18"/>
  <c r="C27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C26" i="18"/>
  <c r="R12" i="18"/>
  <c r="S12" i="18" s="1"/>
  <c r="T12" i="18" s="1"/>
  <c r="U12" i="18" s="1"/>
  <c r="V12" i="18" s="1"/>
  <c r="W12" i="18" s="1"/>
  <c r="X12" i="18" s="1"/>
  <c r="Y12" i="18" s="1"/>
  <c r="Z12" i="18" s="1"/>
  <c r="AA12" i="18" s="1"/>
  <c r="AB12" i="18" s="1"/>
  <c r="R13" i="18"/>
  <c r="S13" i="18" s="1"/>
  <c r="T13" i="18" s="1"/>
  <c r="U13" i="18" s="1"/>
  <c r="V13" i="18" s="1"/>
  <c r="W13" i="18" s="1"/>
  <c r="X13" i="18" s="1"/>
  <c r="Y13" i="18" s="1"/>
  <c r="Z13" i="18" s="1"/>
  <c r="AA13" i="18" s="1"/>
  <c r="AB13" i="18" s="1"/>
  <c r="R20" i="18"/>
  <c r="S20" i="18" s="1"/>
  <c r="T20" i="18" s="1"/>
  <c r="U20" i="18" s="1"/>
  <c r="V20" i="18" s="1"/>
  <c r="W20" i="18" s="1"/>
  <c r="X20" i="18" s="1"/>
  <c r="Y20" i="18" s="1"/>
  <c r="Z20" i="18" s="1"/>
  <c r="AA20" i="18" s="1"/>
  <c r="AB20" i="18" s="1"/>
  <c r="R9" i="18"/>
  <c r="S9" i="18" s="1"/>
  <c r="T9" i="18" s="1"/>
  <c r="U9" i="18" s="1"/>
  <c r="V9" i="18" s="1"/>
  <c r="W9" i="18" s="1"/>
  <c r="X9" i="18" s="1"/>
  <c r="Y9" i="18" s="1"/>
  <c r="Z9" i="18" s="1"/>
  <c r="AA9" i="18" s="1"/>
  <c r="AB9" i="18" s="1"/>
  <c r="R10" i="18"/>
  <c r="S10" i="18" s="1"/>
  <c r="T10" i="18" s="1"/>
  <c r="U10" i="18" s="1"/>
  <c r="V10" i="18" s="1"/>
  <c r="W10" i="18" s="1"/>
  <c r="X10" i="18" s="1"/>
  <c r="Y10" i="18" s="1"/>
  <c r="Z10" i="18" s="1"/>
  <c r="AA10" i="18" s="1"/>
  <c r="AB10" i="18" s="1"/>
  <c r="R11" i="18"/>
  <c r="S11" i="18" s="1"/>
  <c r="T11" i="18" s="1"/>
  <c r="U11" i="18" s="1"/>
  <c r="V11" i="18" s="1"/>
  <c r="W11" i="18" s="1"/>
  <c r="X11" i="18" s="1"/>
  <c r="Y11" i="18" s="1"/>
  <c r="Z11" i="18" s="1"/>
  <c r="AA11" i="18" s="1"/>
  <c r="AB11" i="18" s="1"/>
  <c r="R8" i="18"/>
  <c r="S8" i="18" s="1"/>
  <c r="T8" i="18" s="1"/>
  <c r="U8" i="18" s="1"/>
  <c r="V8" i="18" s="1"/>
  <c r="W8" i="18" s="1"/>
  <c r="X8" i="18" s="1"/>
  <c r="Y8" i="18" s="1"/>
  <c r="Z8" i="18" s="1"/>
  <c r="AA8" i="18" s="1"/>
  <c r="AB8" i="18" s="1"/>
  <c r="R7" i="18"/>
  <c r="S7" i="18" s="1"/>
  <c r="T7" i="18" s="1"/>
  <c r="U7" i="18" s="1"/>
  <c r="V7" i="18" s="1"/>
  <c r="W7" i="18" s="1"/>
  <c r="X7" i="18" s="1"/>
  <c r="Y7" i="18" s="1"/>
  <c r="Z7" i="18" s="1"/>
  <c r="AA7" i="18" s="1"/>
  <c r="P26" i="18" l="1"/>
  <c r="P33" i="18"/>
  <c r="R33" i="18" s="1"/>
  <c r="S33" i="18" s="1"/>
  <c r="T33" i="18" s="1"/>
  <c r="U33" i="18" s="1"/>
  <c r="V33" i="18" s="1"/>
  <c r="W33" i="18" s="1"/>
  <c r="X33" i="18" s="1"/>
  <c r="Y33" i="18" s="1"/>
  <c r="Z33" i="18" s="1"/>
  <c r="AA33" i="18" s="1"/>
  <c r="AB33" i="18" s="1"/>
  <c r="P34" i="18"/>
  <c r="R34" i="18" s="1"/>
  <c r="S34" i="18" s="1"/>
  <c r="T34" i="18" s="1"/>
  <c r="U34" i="18" s="1"/>
  <c r="V34" i="18" s="1"/>
  <c r="W34" i="18" s="1"/>
  <c r="X34" i="18" s="1"/>
  <c r="Y34" i="18" s="1"/>
  <c r="Z34" i="18" s="1"/>
  <c r="AA34" i="18" s="1"/>
  <c r="AB34" i="18" s="1"/>
  <c r="P28" i="18"/>
  <c r="R28" i="18" s="1"/>
  <c r="S28" i="18" s="1"/>
  <c r="T28" i="18" s="1"/>
  <c r="U28" i="18" s="1"/>
  <c r="V28" i="18" s="1"/>
  <c r="W28" i="18" s="1"/>
  <c r="X28" i="18" s="1"/>
  <c r="Y28" i="18" s="1"/>
  <c r="Z28" i="18" s="1"/>
  <c r="AA28" i="18" s="1"/>
  <c r="AB28" i="18" s="1"/>
  <c r="P31" i="18"/>
  <c r="O60" i="18"/>
  <c r="P27" i="18"/>
  <c r="P30" i="18"/>
  <c r="R30" i="18" s="1"/>
  <c r="S30" i="18" s="1"/>
  <c r="T30" i="18" s="1"/>
  <c r="U30" i="18" s="1"/>
  <c r="V30" i="18" s="1"/>
  <c r="W30" i="18" s="1"/>
  <c r="X30" i="18" s="1"/>
  <c r="Y30" i="18" s="1"/>
  <c r="Z30" i="18" s="1"/>
  <c r="AA30" i="18" s="1"/>
  <c r="AB30" i="18" s="1"/>
  <c r="P25" i="18"/>
  <c r="L59" i="18"/>
  <c r="P59" i="18"/>
  <c r="R59" i="18" s="1"/>
  <c r="S59" i="18" s="1"/>
  <c r="T59" i="18" s="1"/>
  <c r="U59" i="18" s="1"/>
  <c r="V59" i="18" s="1"/>
  <c r="W59" i="18" s="1"/>
  <c r="X59" i="18" s="1"/>
  <c r="Y59" i="18" s="1"/>
  <c r="Z59" i="18" s="1"/>
  <c r="AA59" i="18" s="1"/>
  <c r="AB59" i="18" s="1"/>
  <c r="N32" i="18"/>
  <c r="N61" i="18" s="1"/>
  <c r="R31" i="18"/>
  <c r="S31" i="18" s="1"/>
  <c r="T31" i="18" s="1"/>
  <c r="U31" i="18" s="1"/>
  <c r="V31" i="18" s="1"/>
  <c r="W31" i="18" s="1"/>
  <c r="X31" i="18" s="1"/>
  <c r="Y31" i="18" s="1"/>
  <c r="Z31" i="18" s="1"/>
  <c r="AA31" i="18" s="1"/>
  <c r="AB31" i="18" s="1"/>
  <c r="M32" i="18"/>
  <c r="M61" i="18" s="1"/>
  <c r="O62" i="18"/>
  <c r="P62" i="18" s="1"/>
  <c r="R62" i="18" s="1"/>
  <c r="S62" i="18" s="1"/>
  <c r="T62" i="18" s="1"/>
  <c r="U62" i="18" s="1"/>
  <c r="V62" i="18" s="1"/>
  <c r="W62" i="18" s="1"/>
  <c r="X62" i="18" s="1"/>
  <c r="Y62" i="18" s="1"/>
  <c r="Z62" i="18" s="1"/>
  <c r="AA62" i="18" s="1"/>
  <c r="AB62" i="18" s="1"/>
  <c r="P60" i="18"/>
  <c r="R60" i="18" s="1"/>
  <c r="S60" i="18" s="1"/>
  <c r="T60" i="18" s="1"/>
  <c r="U60" i="18" s="1"/>
  <c r="V60" i="18" s="1"/>
  <c r="W60" i="18" s="1"/>
  <c r="X60" i="18" s="1"/>
  <c r="Y60" i="18" s="1"/>
  <c r="Z60" i="18" s="1"/>
  <c r="AA60" i="18" s="1"/>
  <c r="AB60" i="18" s="1"/>
  <c r="O32" i="18"/>
  <c r="P32" i="18" s="1"/>
  <c r="R42" i="18"/>
  <c r="S42" i="18" s="1"/>
  <c r="T42" i="18" s="1"/>
  <c r="U42" i="18" s="1"/>
  <c r="V42" i="18" s="1"/>
  <c r="W42" i="18" s="1"/>
  <c r="X42" i="18" s="1"/>
  <c r="Y42" i="18" s="1"/>
  <c r="Z42" i="18" s="1"/>
  <c r="AA42" i="18" s="1"/>
  <c r="AB42" i="18" s="1"/>
  <c r="R43" i="18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R22" i="18"/>
  <c r="S22" i="18" s="1"/>
  <c r="T22" i="18" s="1"/>
  <c r="U22" i="18" s="1"/>
  <c r="V22" i="18" s="1"/>
  <c r="W22" i="18" s="1"/>
  <c r="X22" i="18" s="1"/>
  <c r="Y22" i="18" s="1"/>
  <c r="Z22" i="18" s="1"/>
  <c r="AA22" i="18" s="1"/>
  <c r="AB22" i="18" s="1"/>
  <c r="C6" i="12"/>
  <c r="C25" i="15"/>
  <c r="C57" i="15"/>
  <c r="C56" i="15"/>
  <c r="C53" i="15"/>
  <c r="C52" i="15"/>
  <c r="C49" i="15"/>
  <c r="C48" i="15"/>
  <c r="C44" i="15"/>
  <c r="O61" i="18" l="1"/>
  <c r="P61" i="18" s="1"/>
  <c r="R61" i="18" s="1"/>
  <c r="S61" i="18" s="1"/>
  <c r="T61" i="18" s="1"/>
  <c r="U61" i="18" s="1"/>
  <c r="V61" i="18" s="1"/>
  <c r="W61" i="18" s="1"/>
  <c r="X61" i="18" s="1"/>
  <c r="Y61" i="18" s="1"/>
  <c r="Z61" i="18" s="1"/>
  <c r="AA61" i="18" s="1"/>
  <c r="AB61" i="18" s="1"/>
  <c r="R32" i="18"/>
  <c r="S32" i="18" s="1"/>
  <c r="T32" i="18" s="1"/>
  <c r="U32" i="18" s="1"/>
  <c r="V32" i="18" s="1"/>
  <c r="W32" i="18" s="1"/>
  <c r="X32" i="18" s="1"/>
  <c r="Y32" i="18" s="1"/>
  <c r="Z32" i="18" s="1"/>
  <c r="AA32" i="18" s="1"/>
  <c r="AB32" i="18" s="1"/>
  <c r="R40" i="18"/>
  <c r="S40" i="18" s="1"/>
  <c r="T40" i="18" s="1"/>
  <c r="U40" i="18" s="1"/>
  <c r="V40" i="18" s="1"/>
  <c r="W40" i="18" s="1"/>
  <c r="X40" i="18" s="1"/>
  <c r="Y40" i="18" s="1"/>
  <c r="Z40" i="18" s="1"/>
  <c r="AA40" i="18" s="1"/>
  <c r="AB40" i="18" s="1"/>
  <c r="R27" i="18"/>
  <c r="S27" i="18" s="1"/>
  <c r="T27" i="18" s="1"/>
  <c r="U27" i="18" s="1"/>
  <c r="V27" i="18" s="1"/>
  <c r="W27" i="18" s="1"/>
  <c r="X27" i="18" s="1"/>
  <c r="Y27" i="18" s="1"/>
  <c r="Z27" i="18" s="1"/>
  <c r="AA27" i="18" s="1"/>
  <c r="AB27" i="18" s="1"/>
  <c r="R37" i="18"/>
  <c r="S37" i="18" s="1"/>
  <c r="T37" i="18" s="1"/>
  <c r="U37" i="18" s="1"/>
  <c r="V37" i="18" s="1"/>
  <c r="W37" i="18" s="1"/>
  <c r="X37" i="18" s="1"/>
  <c r="Y37" i="18" s="1"/>
  <c r="Z37" i="18" s="1"/>
  <c r="AA37" i="18" s="1"/>
  <c r="AB37" i="18" s="1"/>
  <c r="R25" i="18"/>
  <c r="S25" i="18" s="1"/>
  <c r="T25" i="18" s="1"/>
  <c r="U25" i="18" s="1"/>
  <c r="V25" i="18" s="1"/>
  <c r="W25" i="18" s="1"/>
  <c r="X25" i="18" s="1"/>
  <c r="Y25" i="18" s="1"/>
  <c r="Z25" i="18" s="1"/>
  <c r="AA25" i="18" s="1"/>
  <c r="AB25" i="18" s="1"/>
  <c r="R39" i="18"/>
  <c r="S39" i="18" s="1"/>
  <c r="T39" i="18" s="1"/>
  <c r="U39" i="18" s="1"/>
  <c r="V39" i="18" s="1"/>
  <c r="W39" i="18" s="1"/>
  <c r="X39" i="18" s="1"/>
  <c r="Y39" i="18" s="1"/>
  <c r="Z39" i="18" s="1"/>
  <c r="AA39" i="18" s="1"/>
  <c r="AB39" i="18" s="1"/>
  <c r="R38" i="18"/>
  <c r="S38" i="18" s="1"/>
  <c r="T38" i="18" s="1"/>
  <c r="U38" i="18" s="1"/>
  <c r="V38" i="18" s="1"/>
  <c r="W38" i="18" s="1"/>
  <c r="X38" i="18" s="1"/>
  <c r="Y38" i="18" s="1"/>
  <c r="Z38" i="18" s="1"/>
  <c r="AA38" i="18" s="1"/>
  <c r="AB38" i="18" s="1"/>
  <c r="R53" i="18"/>
  <c r="R26" i="18"/>
  <c r="S26" i="18" s="1"/>
  <c r="T26" i="18" s="1"/>
  <c r="U26" i="18" s="1"/>
  <c r="V26" i="18" s="1"/>
  <c r="W26" i="18" s="1"/>
  <c r="X26" i="18" s="1"/>
  <c r="Y26" i="18" s="1"/>
  <c r="Z26" i="18" s="1"/>
  <c r="AA26" i="18" s="1"/>
  <c r="AB26" i="18" s="1"/>
  <c r="AB7" i="18"/>
  <c r="C15" i="15"/>
  <c r="C20" i="15"/>
  <c r="C9" i="15"/>
  <c r="R47" i="18" l="1"/>
  <c r="R48" i="18"/>
  <c r="R55" i="18"/>
  <c r="R51" i="18"/>
  <c r="R50" i="18"/>
  <c r="R49" i="18"/>
  <c r="D31" i="8"/>
  <c r="D29" i="8"/>
  <c r="D28" i="8"/>
  <c r="D13" i="8"/>
  <c r="D30" i="8" s="1"/>
  <c r="E14" i="8"/>
  <c r="F14" i="8" s="1"/>
  <c r="G14" i="8" s="1"/>
  <c r="H14" i="8" s="1"/>
  <c r="I14" i="8" s="1"/>
  <c r="K37" i="12" l="1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G40" i="12" l="1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G39" i="11"/>
  <c r="K39" i="11" s="1"/>
  <c r="F39" i="1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42" i="9"/>
  <c r="O32" i="9"/>
  <c r="P32" i="9"/>
  <c r="P31" i="9"/>
  <c r="O31" i="9"/>
  <c r="N33" i="9"/>
  <c r="N34" i="9" s="1"/>
  <c r="N35" i="9" s="1"/>
  <c r="N36" i="9" s="1"/>
  <c r="N37" i="9" s="1"/>
  <c r="N38" i="9" s="1"/>
  <c r="N39" i="9" s="1"/>
  <c r="N40" i="9" s="1"/>
  <c r="N41" i="9" s="1"/>
  <c r="N32" i="9"/>
  <c r="N31" i="9"/>
  <c r="M34" i="9"/>
  <c r="M35" i="9"/>
  <c r="M36" i="9"/>
  <c r="M37" i="9"/>
  <c r="M38" i="9" s="1"/>
  <c r="M39" i="9" s="1"/>
  <c r="M40" i="9" s="1"/>
  <c r="M41" i="9" s="1"/>
  <c r="M33" i="9"/>
  <c r="M45" i="9"/>
  <c r="M32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1" i="11" l="1"/>
  <c r="N32" i="11"/>
  <c r="T19" i="9"/>
  <c r="D22" i="9"/>
  <c r="N33" i="11" l="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N34" i="11" l="1"/>
  <c r="O33" i="11"/>
  <c r="D25" i="8"/>
  <c r="D23" i="8"/>
  <c r="N35" i="11" l="1"/>
  <c r="O34" i="11"/>
  <c r="D35" i="8"/>
  <c r="E5" i="8"/>
  <c r="E18" i="8" s="1"/>
  <c r="D18" i="8"/>
  <c r="D19" i="8"/>
  <c r="D21" i="8"/>
  <c r="D20" i="8"/>
  <c r="N36" i="11" l="1"/>
  <c r="O35" i="11"/>
  <c r="F5" i="8"/>
  <c r="G5" i="8" s="1"/>
  <c r="H5" i="8" s="1"/>
  <c r="I5" i="8" s="1"/>
  <c r="N37" i="11" l="1"/>
  <c r="O36" i="11"/>
  <c r="F18" i="8"/>
  <c r="G18" i="8"/>
  <c r="N38" i="11" l="1"/>
  <c r="O37" i="11"/>
  <c r="H18" i="8"/>
  <c r="N39" i="11" l="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<sst xmlns="http://schemas.openxmlformats.org/spreadsheetml/2006/main" count="417" uniqueCount="273">
  <si>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</si>
  <si>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</si>
  <si>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</si>
  <si>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</si>
  <si>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</si>
  <si>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</si>
  <si>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</si>
  <si>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</si>
  <si>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</si>
  <si>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</si>
  <si>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</si>
  <si>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</si>
  <si>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</si>
  <si>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</si>
  <si>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</si>
  <si>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</si>
  <si>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</si>
  <si>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</si>
  <si>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</si>
  <si>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</si>
  <si>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</si>
  <si>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</si>
  <si>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</si>
  <si>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</si>
  <si>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</si>
  <si>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</si>
  <si>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</si>
  <si>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</si>
  <si>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</si>
  <si>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</si>
  <si>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</si>
  <si>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</si>
  <si>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</si>
  <si>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</si>
  <si>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</si>
  <si>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</si>
  <si>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</si>
  <si>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</si>
  <si>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</si>
  <si>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</si>
  <si>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</si>
  <si>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</si>
  <si>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</si>
  <si>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</si>
  <si>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</si>
  <si>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</si>
  <si>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</si>
  <si>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</si>
  <si>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</si>
  <si>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</si>
  <si>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</si>
  <si>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</si>
  <si>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</si>
  <si>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</si>
  <si>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</si>
  <si>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</si>
  <si>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</si>
  <si>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</si>
  <si>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</si>
  <si>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</si>
  <si>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</si>
  <si>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</si>
  <si>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</si>
  <si>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</si>
  <si>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</si>
  <si>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</si>
  <si>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</si>
  <si>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</si>
  <si>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</si>
  <si>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</si>
  <si>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</si>
  <si>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</si>
  <si>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</si>
  <si>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</si>
  <si>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</si>
  <si>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</si>
  <si>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</si>
  <si>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</si>
  <si>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</si>
  <si>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</si>
  <si>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</si>
  <si>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</si>
  <si>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</si>
  <si>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</si>
  <si>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</si>
  <si>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</si>
  <si>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</si>
  <si>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</si>
  <si>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</si>
  <si>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</si>
  <si>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</si>
  <si>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</si>
  <si>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</si>
  <si>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</si>
  <si>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</si>
  <si>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</si>
  <si>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</si>
  <si>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</si>
  <si>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</si>
  <si>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</si>
  <si>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</si>
  <si>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</si>
  <si>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</si>
  <si>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</si>
  <si>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</si>
  <si>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</si>
  <si>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</si>
  <si>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</si>
  <si>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</si>
  <si>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</si>
  <si>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</si>
  <si>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</si>
  <si>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</si>
  <si>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</si>
  <si>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</si>
  <si>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</si>
  <si>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</si>
  <si>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</si>
  <si>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</si>
  <si>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</si>
  <si>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</si>
  <si>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</si>
  <si>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</si>
  <si>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</si>
  <si>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</si>
  <si>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</si>
  <si>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</si>
  <si>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</si>
  <si>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</si>
  <si>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</si>
  <si>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</si>
  <si>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</si>
  <si>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</si>
  <si>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</si>
  <si>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</si>
  <si>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</si>
  <si>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</si>
  <si>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</si>
  <si>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</si>
  <si>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</si>
  <si>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</si>
  <si>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</si>
  <si>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</si>
  <si>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</si>
  <si>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</si>
  <si>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</si>
  <si>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</si>
  <si>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</si>
  <si>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</si>
  <si>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</si>
  <si>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</si>
  <si>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</si>
  <si>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</si>
  <si>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</si>
  <si>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</si>
  <si>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</si>
  <si>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</si>
  <si>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</si>
  <si>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</si>
  <si>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</si>
  <si>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</si>
  <si>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</si>
  <si>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</si>
  <si>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</si>
  <si>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</si>
  <si>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</si>
  <si>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</si>
  <si>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</si>
  <si>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</si>
  <si>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</si>
  <si>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</si>
  <si>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</si>
  <si>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</si>
  <si>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</si>
  <si>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</si>
  <si>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</si>
  <si>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</si>
  <si>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</si>
  <si>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</si>
  <si>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</si>
  <si>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</si>
  <si>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</si>
  <si>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</si>
  <si>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</si>
  <si>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</si>
  <si>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</si>
  <si>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</si>
  <si>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</si>
  <si>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</si>
  <si>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</si>
  <si>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</si>
  <si>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</si>
  <si>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</si>
  <si>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</si>
  <si>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</si>
  <si>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</si>
  <si>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</si>
  <si>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</si>
  <si>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</si>
  <si>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</si>
  <si>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</si>
  <si>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</si>
  <si>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</si>
  <si>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</si>
  <si>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</si>
  <si>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</si>
  <si>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</si>
  <si>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</si>
  <si>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</si>
  <si>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</si>
  <si>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</si>
  <si>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</si>
  <si>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</si>
  <si>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</si>
  <si>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</si>
  <si>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</si>
  <si>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</si>
  <si>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</si>
  <si>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</si>
  <si>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</si>
  <si>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</si>
  <si>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</si>
  <si>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</si>
  <si>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</si>
  <si>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</si>
  <si>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</si>
  <si>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</si>
  <si>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</si>
  <si>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</si>
  <si>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</si>
  <si>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</si>
  <si>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</si>
  <si>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</si>
  <si>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</si>
  <si>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</si>
  <si>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</si>
  <si>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</si>
  <si>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</si>
  <si>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</si>
  <si>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</si>
  <si>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</si>
  <si>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</si>
  <si>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</si>
  <si>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</si>
  <si>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</si>
  <si>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</si>
  <si>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</si>
  <si>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</si>
  <si>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</si>
  <si>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</si>
  <si>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</si>
  <si>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</si>
  <si>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</si>
  <si>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</si>
  <si>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</si>
  <si>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</si>
  <si>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</si>
  <si>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</si>
  <si>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</si>
  <si>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</si>
  <si>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</si>
  <si>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</si>
  <si>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</si>
  <si>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DB Reality</t>
  </si>
  <si>
    <t>Top Expenses (Mfg expense)</t>
  </si>
  <si>
    <t>2nd highest Expenses Comp. (Marketing)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</si>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</sst>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1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" fontId="4" fillId="5" borderId="1" xfId="2" applyNumberFormat="1" applyFont="1" applyFill="1" applyBorder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4" fontId="4" fillId="5" borderId="1" xfId="0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1">
                  <c:v>2.61</c:v>
                </c:pt>
                <c:pt idx="2">
                  <c:v>5.18</c:v>
                </c:pt>
                <c:pt idx="3">
                  <c:v>9.35</c:v>
                </c:pt>
                <c:pt idx="4">
                  <c:v>9.41</c:v>
                </c:pt>
                <c:pt idx="5">
                  <c:v>11.96</c:v>
                </c:pt>
                <c:pt idx="6">
                  <c:v>14.38</c:v>
                </c:pt>
                <c:pt idx="7">
                  <c:v>18.510000000000002</c:v>
                </c:pt>
                <c:pt idx="8">
                  <c:v>22.07</c:v>
                </c:pt>
                <c:pt idx="9">
                  <c:v>24.34</c:v>
                </c:pt>
                <c:pt idx="10">
                  <c:v>12.98</c:v>
                </c:pt>
                <c:pt idx="11">
                  <c:v>17.329999999999998</c:v>
                </c:pt>
                <c:pt idx="12">
                  <c:v>13.18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29984"/>
        <c:axId val="60735872"/>
      </c:lineChart>
      <c:catAx>
        <c:axId val="60729984"/>
        <c:scaling>
          <c:orientation val="minMax"/>
        </c:scaling>
        <c:delete val="0"/>
        <c:axPos val="b"/>
        <c:majorTickMark val="out"/>
        <c:minorTickMark val="none"/>
        <c:tickLblPos val="nextTo"/>
        <c:crossAx val="60735872"/>
        <c:crosses val="autoZero"/>
        <c:auto val="1"/>
        <c:lblAlgn val="ctr"/>
        <c:lblOffset val="100"/>
        <c:noMultiLvlLbl val="0"/>
      </c:catAx>
      <c:valAx>
        <c:axId val="60735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7299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34" zoomScale="80" zoomScaleNormal="80" workbookViewId="0">
      <selection activeCell="C70" sqref="C70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263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136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1">
        <v>125</v>
      </c>
      <c r="D7" s="20"/>
      <c r="E7" s="20"/>
      <c r="F7" s="20"/>
      <c r="G7" s="20"/>
    </row>
    <row r="8" spans="2:7" x14ac:dyDescent="0.2">
      <c r="B8" s="20" t="s">
        <v>25</v>
      </c>
      <c r="C8" s="131">
        <v>136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0.91911764705882348</v>
      </c>
      <c r="D9" s="20" t="s">
        <v>272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1">
        <v>136</v>
      </c>
      <c r="D12" s="20"/>
      <c r="E12" s="20"/>
      <c r="F12" s="20"/>
      <c r="G12" s="20"/>
    </row>
    <row r="13" spans="2:7" x14ac:dyDescent="0.2">
      <c r="B13" s="20" t="s">
        <v>102</v>
      </c>
      <c r="C13" s="131">
        <v>136</v>
      </c>
      <c r="D13" s="20"/>
      <c r="E13" s="20"/>
      <c r="F13" s="20"/>
      <c r="G13" s="20"/>
    </row>
    <row r="14" spans="2:7" x14ac:dyDescent="0.2">
      <c r="B14" s="20" t="s">
        <v>103</v>
      </c>
      <c r="C14" s="131">
        <v>100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13600</v>
      </c>
      <c r="D15" s="20" t="s">
        <v>272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1">
        <v>136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1700</v>
      </c>
      <c r="D20" s="20" t="s">
        <v>272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1">
        <v>125</v>
      </c>
      <c r="D23" s="20"/>
      <c r="E23" s="20"/>
      <c r="F23" s="20"/>
      <c r="G23" s="20"/>
    </row>
    <row r="24" spans="2:7" x14ac:dyDescent="0.2">
      <c r="B24" s="20" t="s">
        <v>114</v>
      </c>
      <c r="C24" s="131">
        <v>136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0.91911764705882348</v>
      </c>
      <c r="D25" s="20"/>
      <c r="E25" s="20"/>
      <c r="F25" s="20"/>
      <c r="G25" s="20"/>
    </row>
    <row r="26" spans="2:7" x14ac:dyDescent="0.2">
      <c r="B26" s="20" t="s">
        <v>77</v>
      </c>
      <c r="C26" s="131">
        <v>136</v>
      </c>
      <c r="D26" s="20"/>
      <c r="E26" s="20"/>
      <c r="F26" s="20"/>
      <c r="G26" s="20"/>
    </row>
    <row r="27" spans="2:7" x14ac:dyDescent="0.2">
      <c r="B27" s="20" t="s">
        <v>229</v>
      </c>
      <c r="C27" s="132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3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3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3"/>
      <c r="D31" s="20"/>
      <c r="E31" s="20"/>
      <c r="F31" s="20"/>
      <c r="G31" s="20"/>
    </row>
    <row r="32" spans="2:7" x14ac:dyDescent="0.2">
      <c r="B32" s="20" t="s">
        <v>271</v>
      </c>
      <c r="C32" s="133">
        <v>3.44E-2</v>
      </c>
      <c r="D32" s="20"/>
      <c r="E32" s="20"/>
      <c r="F32" s="20"/>
      <c r="G32" s="20"/>
    </row>
    <row r="33" spans="2:7" x14ac:dyDescent="0.2">
      <c r="B33" s="20" t="s">
        <v>270</v>
      </c>
      <c r="C33" s="133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1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1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1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1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1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1">
        <v>281.95</v>
      </c>
      <c r="D43" s="20"/>
      <c r="E43" s="20"/>
      <c r="F43" s="20"/>
      <c r="G43" s="20"/>
    </row>
    <row r="44" spans="2:7" x14ac:dyDescent="0.2">
      <c r="B44" s="20" t="s">
        <v>266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1">
        <v>171.6</v>
      </c>
      <c r="D47" s="20"/>
      <c r="E47" s="20"/>
      <c r="F47" s="20"/>
      <c r="G47" s="20"/>
    </row>
    <row r="48" spans="2:7" x14ac:dyDescent="0.2">
      <c r="B48" s="20" t="s">
        <v>267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1">
        <v>110.33</v>
      </c>
      <c r="D51" s="20"/>
      <c r="E51" s="20"/>
      <c r="F51" s="20"/>
      <c r="G51" s="20"/>
    </row>
    <row r="52" spans="2:7" x14ac:dyDescent="0.2">
      <c r="B52" s="20" t="s">
        <v>268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1">
        <v>1320.99</v>
      </c>
      <c r="D55" s="20"/>
      <c r="E55" s="20"/>
      <c r="F55" s="20"/>
      <c r="G55" s="20"/>
    </row>
    <row r="56" spans="2:7" x14ac:dyDescent="0.2">
      <c r="B56" s="20" t="s">
        <v>269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67"/>
  <sheetViews>
    <sheetView tabSelected="1" topLeftCell="A10" zoomScale="80" zoomScaleNormal="80" workbookViewId="0">
      <selection activeCell="O31" sqref="O31"/>
    </sheetView>
  </sheetViews>
  <sheetFormatPr defaultRowHeight="12.75" x14ac:dyDescent="0.2"/>
  <cols>
    <col min="1" max="1" width="4.7109375" style="104" customWidth="1"/>
    <col min="2" max="2" width="41" style="104" bestFit="1" customWidth="1"/>
    <col min="3" max="4" width="8.140625" style="104" bestFit="1" customWidth="1"/>
    <col min="5" max="14" width="8.7109375" style="104" bestFit="1" customWidth="1"/>
    <col min="15" max="15" width="9.42578125" style="104" bestFit="1" customWidth="1"/>
    <col min="16" max="16" width="9.85546875" style="104" bestFit="1" customWidth="1"/>
    <col min="17" max="17" width="10.5703125" style="104" bestFit="1" customWidth="1"/>
    <col min="18" max="18" width="12" style="104" bestFit="1" customWidth="1"/>
    <col min="19" max="16384" width="9.140625" style="104"/>
  </cols>
  <sheetData>
    <row r="2" spans="2:28" x14ac:dyDescent="0.2">
      <c r="B2" s="123" t="s">
        <v>241</v>
      </c>
      <c r="C2" s="124">
        <v>0.15</v>
      </c>
      <c r="F2" s="104" t="s">
        <v>252</v>
      </c>
      <c r="H2" s="126">
        <v>2009</v>
      </c>
    </row>
    <row r="3" spans="2:28" x14ac:dyDescent="0.2">
      <c r="C3" s="120"/>
      <c r="F3" s="104" t="s">
        <v>253</v>
      </c>
      <c r="H3" s="126">
        <v>2012</v>
      </c>
      <c r="R3" s="115" t="s">
        <v>11</v>
      </c>
      <c r="S3" s="115" t="s">
        <v>12</v>
      </c>
      <c r="T3" s="115" t="s">
        <v>13</v>
      </c>
      <c r="U3" s="115" t="s">
        <v>14</v>
      </c>
      <c r="V3" s="115" t="s">
        <v>15</v>
      </c>
      <c r="W3" s="115" t="s">
        <v>234</v>
      </c>
      <c r="X3" s="115" t="s">
        <v>235</v>
      </c>
      <c r="Y3" s="115" t="s">
        <v>236</v>
      </c>
      <c r="Z3" s="115" t="s">
        <v>237</v>
      </c>
      <c r="AA3" s="115" t="s">
        <v>238</v>
      </c>
    </row>
    <row r="4" spans="2:28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6" t="s">
        <v>1</v>
      </c>
      <c r="Q4" s="116" t="s">
        <v>254</v>
      </c>
      <c r="R4" s="115">
        <v>2013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6" t="s">
        <v>1</v>
      </c>
    </row>
    <row r="5" spans="2:28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117"/>
      <c r="S5" s="117"/>
      <c r="T5" s="117"/>
      <c r="U5" s="117"/>
      <c r="V5" s="117"/>
      <c r="W5" s="117"/>
      <c r="X5" s="117"/>
      <c r="Y5" s="117"/>
      <c r="Z5" s="117"/>
      <c r="AA5" s="117"/>
      <c r="AB5" s="20"/>
    </row>
    <row r="6" spans="2:28" x14ac:dyDescent="0.2">
      <c r="B6" s="108" t="s">
        <v>242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20"/>
    </row>
    <row r="7" spans="2:28" x14ac:dyDescent="0.2">
      <c r="B7" s="20" t="s">
        <v>16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40">
        <v>29283</v>
      </c>
      <c r="P7" s="118" t="e">
        <f>((O7/L7)^(1/($H$3-$H$2) ))-1</f>
        <v>#DIV/0!</v>
      </c>
      <c r="Q7" s="31">
        <v>0.1</v>
      </c>
      <c r="R7" s="119">
        <f>O7*(1+$Q7)</f>
        <v>32211.300000000003</v>
      </c>
      <c r="S7" s="119">
        <f>R7*(1+$Q7)</f>
        <v>35432.430000000008</v>
      </c>
      <c r="T7" s="119">
        <f t="shared" ref="T7:AA7" si="0">S7*(1+$Q7)</f>
        <v>38975.67300000001</v>
      </c>
      <c r="U7" s="119">
        <f t="shared" si="0"/>
        <v>42873.240300000012</v>
      </c>
      <c r="V7" s="119">
        <f t="shared" si="0"/>
        <v>47160.564330000016</v>
      </c>
      <c r="W7" s="119">
        <f t="shared" si="0"/>
        <v>51876.620763000021</v>
      </c>
      <c r="X7" s="119">
        <f t="shared" si="0"/>
        <v>57064.282839300031</v>
      </c>
      <c r="Y7" s="119">
        <f t="shared" si="0"/>
        <v>62770.711123230038</v>
      </c>
      <c r="Z7" s="119">
        <f t="shared" si="0"/>
        <v>69047.782235553052</v>
      </c>
      <c r="AA7" s="119">
        <f t="shared" si="0"/>
        <v>75952.560459108368</v>
      </c>
      <c r="AB7" s="118" t="e">
        <f>((AA7/M7)^(1/($AA$4-$H$2) ))-1</f>
        <v>#DIV/0!</v>
      </c>
    </row>
    <row r="8" spans="2:28" x14ac:dyDescent="0.2">
      <c r="B8" s="20" t="s">
        <v>240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140">
        <v>29579.23</v>
      </c>
      <c r="P8" s="118" t="e">
        <f t="shared" ref="P8:P22" si="1">((O8/L8)^(1/($H$3-$H$2) ))-1</f>
        <v>#DIV/0!</v>
      </c>
      <c r="Q8" s="31">
        <v>0.1</v>
      </c>
      <c r="R8" s="119">
        <f t="shared" ref="R8:R13" si="2">O8*(1+$Q8)</f>
        <v>32537.153000000002</v>
      </c>
      <c r="S8" s="119">
        <f t="shared" ref="S8:AA8" si="3">R8*(1+$Q8)</f>
        <v>35790.868300000002</v>
      </c>
      <c r="T8" s="119">
        <f t="shared" si="3"/>
        <v>39369.955130000002</v>
      </c>
      <c r="U8" s="119">
        <f t="shared" si="3"/>
        <v>43306.950643000004</v>
      </c>
      <c r="V8" s="119">
        <f t="shared" si="3"/>
        <v>47637.645707300006</v>
      </c>
      <c r="W8" s="119">
        <f t="shared" si="3"/>
        <v>52401.410278030009</v>
      </c>
      <c r="X8" s="119">
        <f t="shared" si="3"/>
        <v>57641.551305833018</v>
      </c>
      <c r="Y8" s="119">
        <f t="shared" si="3"/>
        <v>63405.706436416323</v>
      </c>
      <c r="Z8" s="119">
        <f t="shared" si="3"/>
        <v>69746.27708005796</v>
      </c>
      <c r="AA8" s="119">
        <f t="shared" si="3"/>
        <v>76720.904788063766</v>
      </c>
      <c r="AB8" s="118" t="e">
        <f t="shared" ref="AB8:AB22" si="4">((AA8/M8)^(1/($AA$4-$H$2) ))-1</f>
        <v>#DIV/0!</v>
      </c>
    </row>
    <row r="9" spans="2:28" x14ac:dyDescent="0.2">
      <c r="B9" s="20" t="s">
        <v>4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>
        <v>116.26</v>
      </c>
      <c r="P9" s="118" t="e">
        <f t="shared" si="1"/>
        <v>#DIV/0!</v>
      </c>
      <c r="Q9" s="31">
        <v>0.1</v>
      </c>
      <c r="R9" s="119">
        <f t="shared" si="2"/>
        <v>127.88600000000001</v>
      </c>
      <c r="S9" s="119">
        <f t="shared" ref="S9:AA9" si="5">R9*(1+$Q9)</f>
        <v>140.67460000000003</v>
      </c>
      <c r="T9" s="119">
        <f t="shared" si="5"/>
        <v>154.74206000000004</v>
      </c>
      <c r="U9" s="119">
        <f t="shared" si="5"/>
        <v>170.21626600000005</v>
      </c>
      <c r="V9" s="119">
        <f t="shared" si="5"/>
        <v>187.23789260000007</v>
      </c>
      <c r="W9" s="119">
        <f t="shared" si="5"/>
        <v>205.96168186000008</v>
      </c>
      <c r="X9" s="119">
        <f t="shared" si="5"/>
        <v>226.55785004600011</v>
      </c>
      <c r="Y9" s="119">
        <f t="shared" si="5"/>
        <v>249.21363505060015</v>
      </c>
      <c r="Z9" s="119">
        <f t="shared" si="5"/>
        <v>274.13499855566016</v>
      </c>
      <c r="AA9" s="119">
        <f t="shared" si="5"/>
        <v>301.54849841122621</v>
      </c>
      <c r="AB9" s="118" t="e">
        <f t="shared" si="4"/>
        <v>#DIV/0!</v>
      </c>
    </row>
    <row r="10" spans="2:28" x14ac:dyDescent="0.2">
      <c r="B10" s="20" t="s">
        <v>2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140">
        <v>6003.47</v>
      </c>
      <c r="P10" s="118" t="e">
        <f t="shared" si="1"/>
        <v>#DIV/0!</v>
      </c>
      <c r="Q10" s="31">
        <v>0.1</v>
      </c>
      <c r="R10" s="119">
        <f t="shared" si="2"/>
        <v>6603.8170000000009</v>
      </c>
      <c r="S10" s="119">
        <f t="shared" ref="S10:AA10" si="6">R10*(1+$Q10)</f>
        <v>7264.1987000000017</v>
      </c>
      <c r="T10" s="119">
        <f t="shared" si="6"/>
        <v>7990.6185700000024</v>
      </c>
      <c r="U10" s="119">
        <f t="shared" si="6"/>
        <v>8789.680427000003</v>
      </c>
      <c r="V10" s="119">
        <f t="shared" si="6"/>
        <v>9668.6484697000033</v>
      </c>
      <c r="W10" s="119">
        <f t="shared" si="6"/>
        <v>10635.513316670005</v>
      </c>
      <c r="X10" s="119">
        <f t="shared" si="6"/>
        <v>11699.064648337007</v>
      </c>
      <c r="Y10" s="119">
        <f t="shared" si="6"/>
        <v>12868.97111317071</v>
      </c>
      <c r="Z10" s="119">
        <f t="shared" si="6"/>
        <v>14155.868224487782</v>
      </c>
      <c r="AA10" s="119">
        <f t="shared" si="6"/>
        <v>15571.45504693656</v>
      </c>
      <c r="AB10" s="118" t="e">
        <f t="shared" si="4"/>
        <v>#DIV/0!</v>
      </c>
    </row>
    <row r="11" spans="2:28" x14ac:dyDescent="0.2">
      <c r="B11" s="20" t="s">
        <v>218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40">
        <v>1350.33</v>
      </c>
      <c r="P11" s="118" t="e">
        <f t="shared" si="1"/>
        <v>#DIV/0!</v>
      </c>
      <c r="Q11" s="31">
        <v>0.1</v>
      </c>
      <c r="R11" s="119">
        <f t="shared" si="2"/>
        <v>1485.3630000000001</v>
      </c>
      <c r="S11" s="119">
        <f t="shared" ref="S11:AA11" si="7">R11*(1+$Q11)</f>
        <v>1633.8993000000003</v>
      </c>
      <c r="T11" s="119">
        <f t="shared" si="7"/>
        <v>1797.2892300000005</v>
      </c>
      <c r="U11" s="119">
        <f t="shared" si="7"/>
        <v>1977.0181530000007</v>
      </c>
      <c r="V11" s="119">
        <f t="shared" si="7"/>
        <v>2174.7199683000008</v>
      </c>
      <c r="W11" s="119">
        <f t="shared" si="7"/>
        <v>2392.1919651300009</v>
      </c>
      <c r="X11" s="119">
        <f t="shared" si="7"/>
        <v>2631.4111616430014</v>
      </c>
      <c r="Y11" s="119">
        <f t="shared" si="7"/>
        <v>2894.5522778073018</v>
      </c>
      <c r="Z11" s="119">
        <f t="shared" si="7"/>
        <v>3184.0075055880325</v>
      </c>
      <c r="AA11" s="119">
        <f t="shared" si="7"/>
        <v>3502.4082561468358</v>
      </c>
      <c r="AB11" s="118" t="e">
        <f t="shared" si="4"/>
        <v>#DIV/0!</v>
      </c>
    </row>
    <row r="12" spans="2:28" x14ac:dyDescent="0.2">
      <c r="B12" s="20" t="s">
        <v>19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140">
        <v>29935.73</v>
      </c>
      <c r="P12" s="118" t="e">
        <f t="shared" si="1"/>
        <v>#DIV/0!</v>
      </c>
      <c r="Q12" s="31">
        <v>0.1</v>
      </c>
      <c r="R12" s="119">
        <f t="shared" si="2"/>
        <v>32929.303</v>
      </c>
      <c r="S12" s="119">
        <f t="shared" ref="S12:AA12" si="8">R12*(1+$Q12)</f>
        <v>36222.2333</v>
      </c>
      <c r="T12" s="119">
        <f t="shared" si="8"/>
        <v>39844.456630000001</v>
      </c>
      <c r="U12" s="119">
        <f t="shared" si="8"/>
        <v>43828.902293000006</v>
      </c>
      <c r="V12" s="119">
        <f t="shared" si="8"/>
        <v>48211.792522300013</v>
      </c>
      <c r="W12" s="119">
        <f t="shared" si="8"/>
        <v>53032.971774530015</v>
      </c>
      <c r="X12" s="119">
        <f t="shared" si="8"/>
        <v>58336.268951983024</v>
      </c>
      <c r="Y12" s="119">
        <f t="shared" si="8"/>
        <v>64169.895847181331</v>
      </c>
      <c r="Z12" s="119">
        <f t="shared" si="8"/>
        <v>70586.885431899471</v>
      </c>
      <c r="AA12" s="119">
        <f t="shared" si="8"/>
        <v>77645.573975089428</v>
      </c>
      <c r="AB12" s="118" t="e">
        <f t="shared" si="4"/>
        <v>#DIV/0!</v>
      </c>
    </row>
    <row r="13" spans="2:28" x14ac:dyDescent="0.2">
      <c r="B13" s="20" t="s">
        <v>23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140">
        <v>18795.5</v>
      </c>
      <c r="P13" s="118" t="e">
        <f t="shared" si="1"/>
        <v>#DIV/0!</v>
      </c>
      <c r="Q13" s="31">
        <v>0.1</v>
      </c>
      <c r="R13" s="119">
        <f t="shared" si="2"/>
        <v>20675.050000000003</v>
      </c>
      <c r="S13" s="119">
        <f t="shared" ref="S13:AA13" si="9">R13*(1+$Q13)</f>
        <v>22742.555000000004</v>
      </c>
      <c r="T13" s="119">
        <f t="shared" si="9"/>
        <v>25016.810500000007</v>
      </c>
      <c r="U13" s="119">
        <f t="shared" si="9"/>
        <v>27518.49155000001</v>
      </c>
      <c r="V13" s="119">
        <f t="shared" si="9"/>
        <v>30270.340705000013</v>
      </c>
      <c r="W13" s="119">
        <f t="shared" si="9"/>
        <v>33297.374775500015</v>
      </c>
      <c r="X13" s="119">
        <f t="shared" si="9"/>
        <v>36627.112253050022</v>
      </c>
      <c r="Y13" s="119">
        <f t="shared" si="9"/>
        <v>40289.823478355029</v>
      </c>
      <c r="Z13" s="119">
        <f t="shared" si="9"/>
        <v>44318.805826190532</v>
      </c>
      <c r="AA13" s="119">
        <f t="shared" si="9"/>
        <v>48750.68640880959</v>
      </c>
      <c r="AB13" s="118" t="e">
        <f t="shared" si="4"/>
        <v>#DIV/0!</v>
      </c>
    </row>
    <row r="14" spans="2:28" x14ac:dyDescent="0.2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129"/>
      <c r="Q14" s="12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8"/>
    </row>
    <row r="15" spans="2:28" x14ac:dyDescent="0.2">
      <c r="B15" s="20" t="s">
        <v>89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40">
        <v>48893.83</v>
      </c>
      <c r="P15" s="118" t="e">
        <f t="shared" si="1"/>
        <v>#DIV/0!</v>
      </c>
      <c r="Q15" s="31">
        <v>0.1</v>
      </c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8"/>
    </row>
    <row r="16" spans="2:28" x14ac:dyDescent="0.2">
      <c r="B16" s="20" t="s">
        <v>262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140">
        <v>34458.519999999997</v>
      </c>
      <c r="P16" s="118" t="e">
        <f t="shared" si="1"/>
        <v>#DIV/0!</v>
      </c>
      <c r="Q16" s="31">
        <v>0.1</v>
      </c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8"/>
    </row>
    <row r="17" spans="2:28" x14ac:dyDescent="0.2">
      <c r="B17" s="20" t="s">
        <v>264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140">
        <v>18571.88</v>
      </c>
      <c r="P17" s="118" t="e">
        <f t="shared" si="1"/>
        <v>#DIV/0!</v>
      </c>
      <c r="Q17" s="31">
        <v>0.1</v>
      </c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8"/>
    </row>
    <row r="18" spans="2:28" x14ac:dyDescent="0.2">
      <c r="B18" s="20" t="s">
        <v>265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140">
        <v>11413.66</v>
      </c>
      <c r="P18" s="118" t="e">
        <f t="shared" si="1"/>
        <v>#DIV/0!</v>
      </c>
      <c r="Q18" s="31">
        <v>0.1</v>
      </c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8"/>
    </row>
    <row r="19" spans="2:28" x14ac:dyDescent="0.2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129"/>
      <c r="Q19" s="12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8"/>
    </row>
    <row r="20" spans="2:28" x14ac:dyDescent="0.2">
      <c r="B20" s="20" t="s">
        <v>257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140">
        <v>10523.45</v>
      </c>
      <c r="P20" s="118" t="e">
        <f t="shared" si="1"/>
        <v>#DIV/0!</v>
      </c>
      <c r="Q20" s="31">
        <v>0.1</v>
      </c>
      <c r="R20" s="119">
        <f>O20*(1+$Q20)</f>
        <v>11575.795000000002</v>
      </c>
      <c r="S20" s="119">
        <f t="shared" ref="S20:AA20" si="10">R20*(1+$Q20)</f>
        <v>12733.374500000004</v>
      </c>
      <c r="T20" s="119">
        <f t="shared" si="10"/>
        <v>14006.711950000004</v>
      </c>
      <c r="U20" s="119">
        <f t="shared" si="10"/>
        <v>15407.383145000005</v>
      </c>
      <c r="V20" s="119">
        <f t="shared" si="10"/>
        <v>16948.121459500006</v>
      </c>
      <c r="W20" s="119">
        <f t="shared" si="10"/>
        <v>18642.933605450009</v>
      </c>
      <c r="X20" s="119">
        <f t="shared" si="10"/>
        <v>20507.226965995011</v>
      </c>
      <c r="Y20" s="119">
        <f t="shared" si="10"/>
        <v>22557.949662594514</v>
      </c>
      <c r="Z20" s="119">
        <f t="shared" si="10"/>
        <v>24813.744628853969</v>
      </c>
      <c r="AA20" s="119">
        <f t="shared" si="10"/>
        <v>27295.119091739369</v>
      </c>
      <c r="AB20" s="118" t="e">
        <f t="shared" si="4"/>
        <v>#DIV/0!</v>
      </c>
    </row>
    <row r="21" spans="2:28" x14ac:dyDescent="0.2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129"/>
      <c r="Q21" s="12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8"/>
    </row>
    <row r="22" spans="2:28" x14ac:dyDescent="0.2">
      <c r="B22" s="20" t="s">
        <v>239</v>
      </c>
      <c r="C22" s="119">
        <v>1</v>
      </c>
      <c r="D22" s="119">
        <v>1</v>
      </c>
      <c r="E22" s="127">
        <v>1</v>
      </c>
      <c r="F22" s="127">
        <v>1</v>
      </c>
      <c r="G22" s="127">
        <v>1</v>
      </c>
      <c r="H22" s="119">
        <v>1</v>
      </c>
      <c r="I22" s="119">
        <v>1</v>
      </c>
      <c r="J22" s="119">
        <v>1</v>
      </c>
      <c r="K22" s="119">
        <v>1</v>
      </c>
      <c r="L22" s="25">
        <v>0.83</v>
      </c>
      <c r="M22" s="112">
        <v>24.3</v>
      </c>
      <c r="N22" s="112">
        <v>24.3</v>
      </c>
      <c r="O22" s="112">
        <v>195</v>
      </c>
      <c r="P22" s="118">
        <f t="shared" si="1"/>
        <v>5.1704784465262632</v>
      </c>
      <c r="Q22" s="31">
        <v>0.1</v>
      </c>
      <c r="R22" s="119">
        <f t="shared" ref="R22" si="11">O22*(1+$Q22)</f>
        <v>214.50000000000003</v>
      </c>
      <c r="S22" s="119">
        <f t="shared" ref="S22:AA22" si="12">R22*(1+$Q22)</f>
        <v>235.95000000000005</v>
      </c>
      <c r="T22" s="119">
        <f t="shared" si="12"/>
        <v>259.54500000000007</v>
      </c>
      <c r="U22" s="119">
        <f t="shared" si="12"/>
        <v>285.49950000000013</v>
      </c>
      <c r="V22" s="119">
        <f t="shared" si="12"/>
        <v>314.04945000000015</v>
      </c>
      <c r="W22" s="119">
        <f t="shared" si="12"/>
        <v>345.4543950000002</v>
      </c>
      <c r="X22" s="119">
        <f t="shared" si="12"/>
        <v>379.99983450000025</v>
      </c>
      <c r="Y22" s="119">
        <f t="shared" si="12"/>
        <v>417.99981795000031</v>
      </c>
      <c r="Z22" s="119">
        <f t="shared" si="12"/>
        <v>459.79979974500037</v>
      </c>
      <c r="AA22" s="119">
        <f t="shared" si="12"/>
        <v>505.77977971950043</v>
      </c>
      <c r="AB22" s="118">
        <f t="shared" si="4"/>
        <v>0.26302497291165672</v>
      </c>
    </row>
    <row r="23" spans="2:28" x14ac:dyDescent="0.2">
      <c r="B23" s="20"/>
      <c r="C23" s="20"/>
      <c r="D23" s="20"/>
      <c r="E23" s="128"/>
      <c r="F23" s="128"/>
      <c r="G23" s="128"/>
      <c r="H23" s="20"/>
      <c r="I23" s="20"/>
      <c r="J23" s="20"/>
      <c r="K23" s="20"/>
      <c r="L23" s="20"/>
      <c r="M23" s="20"/>
      <c r="N23" s="20"/>
      <c r="O23" s="20"/>
      <c r="P23" s="129"/>
      <c r="Q23" s="12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8"/>
    </row>
    <row r="24" spans="2:28" x14ac:dyDescent="0.2">
      <c r="B24" s="108" t="s">
        <v>243</v>
      </c>
      <c r="C24" s="20"/>
      <c r="D24" s="20"/>
      <c r="E24" s="128"/>
      <c r="F24" s="128"/>
      <c r="G24" s="128"/>
      <c r="H24" s="20"/>
      <c r="I24" s="20"/>
      <c r="J24" s="20"/>
      <c r="K24" s="20"/>
      <c r="L24" s="20"/>
      <c r="M24" s="20"/>
      <c r="N24" s="20"/>
      <c r="O24" s="20"/>
      <c r="P24" s="129"/>
      <c r="Q24" s="12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8"/>
    </row>
    <row r="25" spans="2:28" x14ac:dyDescent="0.2">
      <c r="B25" s="20" t="s">
        <v>258</v>
      </c>
      <c r="C25" s="25">
        <f t="shared" ref="C25:M25" si="13">C20/C22</f>
        <v>0</v>
      </c>
      <c r="D25" s="25">
        <f t="shared" si="13"/>
        <v>0</v>
      </c>
      <c r="E25" s="25">
        <f t="shared" si="13"/>
        <v>0</v>
      </c>
      <c r="F25" s="25">
        <f t="shared" si="13"/>
        <v>0</v>
      </c>
      <c r="G25" s="25">
        <f t="shared" si="13"/>
        <v>0</v>
      </c>
      <c r="H25" s="25">
        <f t="shared" si="13"/>
        <v>0</v>
      </c>
      <c r="I25" s="25">
        <f t="shared" si="13"/>
        <v>0</v>
      </c>
      <c r="J25" s="25">
        <f t="shared" si="13"/>
        <v>0</v>
      </c>
      <c r="K25" s="25">
        <f t="shared" si="13"/>
        <v>0</v>
      </c>
      <c r="L25" s="25">
        <f t="shared" si="13"/>
        <v>0</v>
      </c>
      <c r="M25" s="25">
        <f t="shared" si="13"/>
        <v>0</v>
      </c>
      <c r="N25" s="25">
        <f>N20/N22</f>
        <v>0</v>
      </c>
      <c r="O25" s="25">
        <f>O20/O22</f>
        <v>53.966410256410263</v>
      </c>
      <c r="P25" s="118" t="e">
        <f t="shared" ref="P25:P34" si="14">((O25/L25)^(1/($H$3-$H$2) ))-1</f>
        <v>#DIV/0!</v>
      </c>
      <c r="Q25" s="31">
        <v>0.3</v>
      </c>
      <c r="R25" s="119">
        <f t="shared" ref="R25:R28" si="15">O25*(1+$Q25)</f>
        <v>70.15633333333335</v>
      </c>
      <c r="S25" s="119">
        <f t="shared" ref="S25:AA28" si="16">R25*(1+$Q25)</f>
        <v>91.203233333333358</v>
      </c>
      <c r="T25" s="119">
        <f t="shared" si="16"/>
        <v>118.56420333333337</v>
      </c>
      <c r="U25" s="119">
        <f t="shared" si="16"/>
        <v>154.13346433333339</v>
      </c>
      <c r="V25" s="119">
        <f t="shared" si="16"/>
        <v>200.37350363333343</v>
      </c>
      <c r="W25" s="119">
        <f t="shared" si="16"/>
        <v>260.48555472333345</v>
      </c>
      <c r="X25" s="119">
        <f t="shared" si="16"/>
        <v>338.63122114033348</v>
      </c>
      <c r="Y25" s="119">
        <f t="shared" si="16"/>
        <v>440.22058748243353</v>
      </c>
      <c r="Z25" s="119">
        <f t="shared" si="16"/>
        <v>572.28676372716359</v>
      </c>
      <c r="AA25" s="119">
        <f t="shared" si="16"/>
        <v>743.97279284531271</v>
      </c>
      <c r="AB25" s="118" t="e">
        <f t="shared" ref="AB25:AB34" si="17">((AA25/M25)^(1/($AA$4-$H$2) ))-1</f>
        <v>#DIV/0!</v>
      </c>
    </row>
    <row r="26" spans="2:28" x14ac:dyDescent="0.2">
      <c r="B26" s="20" t="s">
        <v>245</v>
      </c>
      <c r="C26" s="25">
        <f t="shared" ref="C26:O26" si="18">C8/C22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151.68835897435898</v>
      </c>
      <c r="P26" s="118" t="e">
        <f t="shared" si="14"/>
        <v>#DIV/0!</v>
      </c>
      <c r="Q26" s="31">
        <v>0.3</v>
      </c>
      <c r="R26" s="119">
        <f t="shared" si="15"/>
        <v>197.19486666666668</v>
      </c>
      <c r="S26" s="119">
        <f t="shared" si="16"/>
        <v>256.3533266666667</v>
      </c>
      <c r="T26" s="119">
        <f t="shared" si="16"/>
        <v>333.25932466666671</v>
      </c>
      <c r="U26" s="119">
        <f t="shared" si="16"/>
        <v>433.23712206666676</v>
      </c>
      <c r="V26" s="119">
        <f t="shared" si="16"/>
        <v>563.2082586866668</v>
      </c>
      <c r="W26" s="119">
        <f t="shared" si="16"/>
        <v>732.1707362926669</v>
      </c>
      <c r="X26" s="119">
        <f t="shared" si="16"/>
        <v>951.82195718046705</v>
      </c>
      <c r="Y26" s="119">
        <f t="shared" si="16"/>
        <v>1237.3685443346071</v>
      </c>
      <c r="Z26" s="119">
        <f t="shared" si="16"/>
        <v>1608.5791076349892</v>
      </c>
      <c r="AA26" s="119">
        <f t="shared" si="16"/>
        <v>2091.1528399254862</v>
      </c>
      <c r="AB26" s="118" t="e">
        <f t="shared" si="17"/>
        <v>#DIV/0!</v>
      </c>
    </row>
    <row r="27" spans="2:28" x14ac:dyDescent="0.2">
      <c r="B27" s="20" t="s">
        <v>246</v>
      </c>
      <c r="C27" s="128">
        <f t="shared" ref="C27:O27" si="19">C7/C22</f>
        <v>0</v>
      </c>
      <c r="D27" s="128">
        <f t="shared" si="19"/>
        <v>0</v>
      </c>
      <c r="E27" s="128">
        <f t="shared" si="19"/>
        <v>0</v>
      </c>
      <c r="F27" s="128">
        <f t="shared" si="19"/>
        <v>0</v>
      </c>
      <c r="G27" s="128">
        <f t="shared" si="19"/>
        <v>0</v>
      </c>
      <c r="H27" s="128">
        <f t="shared" si="19"/>
        <v>0</v>
      </c>
      <c r="I27" s="128">
        <f t="shared" si="19"/>
        <v>0</v>
      </c>
      <c r="J27" s="128">
        <f t="shared" si="19"/>
        <v>0</v>
      </c>
      <c r="K27" s="128">
        <f t="shared" si="19"/>
        <v>0</v>
      </c>
      <c r="L27" s="128">
        <f t="shared" si="19"/>
        <v>0</v>
      </c>
      <c r="M27" s="128">
        <f t="shared" si="19"/>
        <v>0</v>
      </c>
      <c r="N27" s="128">
        <f t="shared" si="19"/>
        <v>0</v>
      </c>
      <c r="O27" s="128">
        <f t="shared" si="19"/>
        <v>150.16923076923078</v>
      </c>
      <c r="P27" s="118" t="e">
        <f t="shared" si="14"/>
        <v>#DIV/0!</v>
      </c>
      <c r="Q27" s="31">
        <v>0.3</v>
      </c>
      <c r="R27" s="119">
        <f t="shared" si="15"/>
        <v>195.22000000000003</v>
      </c>
      <c r="S27" s="119">
        <f t="shared" si="16"/>
        <v>253.78600000000006</v>
      </c>
      <c r="T27" s="119">
        <f t="shared" si="16"/>
        <v>329.92180000000008</v>
      </c>
      <c r="U27" s="119">
        <f t="shared" si="16"/>
        <v>428.89834000000013</v>
      </c>
      <c r="V27" s="119">
        <f t="shared" si="16"/>
        <v>557.56784200000016</v>
      </c>
      <c r="W27" s="119">
        <f t="shared" si="16"/>
        <v>724.83819460000018</v>
      </c>
      <c r="X27" s="119">
        <f t="shared" si="16"/>
        <v>942.28965298000026</v>
      </c>
      <c r="Y27" s="119">
        <f t="shared" si="16"/>
        <v>1224.9765488740004</v>
      </c>
      <c r="Z27" s="119">
        <f t="shared" si="16"/>
        <v>1592.4695135362006</v>
      </c>
      <c r="AA27" s="119">
        <f t="shared" si="16"/>
        <v>2070.2103675970607</v>
      </c>
      <c r="AB27" s="118" t="e">
        <f t="shared" si="17"/>
        <v>#DIV/0!</v>
      </c>
    </row>
    <row r="28" spans="2:28" x14ac:dyDescent="0.2">
      <c r="B28" s="20" t="s">
        <v>247</v>
      </c>
      <c r="C28" s="128">
        <f t="shared" ref="C28:O28" si="20">C9/C22</f>
        <v>0</v>
      </c>
      <c r="D28" s="128">
        <f t="shared" si="20"/>
        <v>0</v>
      </c>
      <c r="E28" s="128">
        <f t="shared" si="20"/>
        <v>0</v>
      </c>
      <c r="F28" s="128">
        <f t="shared" si="20"/>
        <v>0</v>
      </c>
      <c r="G28" s="128">
        <f t="shared" si="20"/>
        <v>0</v>
      </c>
      <c r="H28" s="128">
        <f t="shared" si="20"/>
        <v>0</v>
      </c>
      <c r="I28" s="128">
        <f t="shared" si="20"/>
        <v>0</v>
      </c>
      <c r="J28" s="128">
        <f t="shared" si="20"/>
        <v>0</v>
      </c>
      <c r="K28" s="128">
        <f t="shared" si="20"/>
        <v>0</v>
      </c>
      <c r="L28" s="128">
        <f t="shared" si="20"/>
        <v>0</v>
      </c>
      <c r="M28" s="128">
        <f t="shared" si="20"/>
        <v>0</v>
      </c>
      <c r="N28" s="128">
        <f t="shared" si="20"/>
        <v>0</v>
      </c>
      <c r="O28" s="128">
        <f t="shared" si="20"/>
        <v>0.59620512820512828</v>
      </c>
      <c r="P28" s="118" t="e">
        <f t="shared" si="14"/>
        <v>#DIV/0!</v>
      </c>
      <c r="Q28" s="31">
        <v>0.4</v>
      </c>
      <c r="R28" s="119">
        <f t="shared" si="15"/>
        <v>0.83468717948717952</v>
      </c>
      <c r="S28" s="119">
        <f t="shared" si="16"/>
        <v>1.1685620512820512</v>
      </c>
      <c r="T28" s="119">
        <f t="shared" si="16"/>
        <v>1.6359868717948716</v>
      </c>
      <c r="U28" s="119">
        <f t="shared" si="16"/>
        <v>2.2903816205128202</v>
      </c>
      <c r="V28" s="119">
        <f t="shared" si="16"/>
        <v>3.2065342687179483</v>
      </c>
      <c r="W28" s="119">
        <f t="shared" si="16"/>
        <v>4.4891479762051274</v>
      </c>
      <c r="X28" s="119">
        <f t="shared" si="16"/>
        <v>6.2848071666871776</v>
      </c>
      <c r="Y28" s="119">
        <f t="shared" si="16"/>
        <v>8.7987300333620482</v>
      </c>
      <c r="Z28" s="119">
        <f t="shared" si="16"/>
        <v>12.318222046706866</v>
      </c>
      <c r="AA28" s="119">
        <f t="shared" si="16"/>
        <v>17.245510865389612</v>
      </c>
      <c r="AB28" s="118" t="e">
        <f t="shared" si="17"/>
        <v>#DIV/0!</v>
      </c>
    </row>
    <row r="29" spans="2:28" x14ac:dyDescent="0.2">
      <c r="B29" s="20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9"/>
      <c r="Q29" s="12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8"/>
    </row>
    <row r="30" spans="2:28" x14ac:dyDescent="0.2">
      <c r="B30" s="20" t="s">
        <v>248</v>
      </c>
      <c r="C30" s="128">
        <f t="shared" ref="C30:O30" si="21">C10/C22</f>
        <v>0</v>
      </c>
      <c r="D30" s="128">
        <f t="shared" si="21"/>
        <v>0</v>
      </c>
      <c r="E30" s="128">
        <f t="shared" si="21"/>
        <v>0</v>
      </c>
      <c r="F30" s="128">
        <f t="shared" si="21"/>
        <v>0</v>
      </c>
      <c r="G30" s="128">
        <f t="shared" si="21"/>
        <v>0</v>
      </c>
      <c r="H30" s="128">
        <f t="shared" si="21"/>
        <v>0</v>
      </c>
      <c r="I30" s="128">
        <f t="shared" si="21"/>
        <v>0</v>
      </c>
      <c r="J30" s="128">
        <f t="shared" si="21"/>
        <v>0</v>
      </c>
      <c r="K30" s="128">
        <f t="shared" si="21"/>
        <v>0</v>
      </c>
      <c r="L30" s="128">
        <f t="shared" si="21"/>
        <v>0</v>
      </c>
      <c r="M30" s="128">
        <f t="shared" si="21"/>
        <v>0</v>
      </c>
      <c r="N30" s="128">
        <f t="shared" si="21"/>
        <v>0</v>
      </c>
      <c r="O30" s="128">
        <f t="shared" si="21"/>
        <v>30.787025641025643</v>
      </c>
      <c r="P30" s="118" t="e">
        <f t="shared" si="14"/>
        <v>#DIV/0!</v>
      </c>
      <c r="Q30" s="31">
        <v>0.1</v>
      </c>
      <c r="R30" s="119">
        <f t="shared" ref="R30:R34" si="22">O30*(1+$Q30)</f>
        <v>33.865728205128207</v>
      </c>
      <c r="S30" s="119">
        <f t="shared" ref="S30:AA34" si="23">R30*(1+$Q30)</f>
        <v>37.252301025641032</v>
      </c>
      <c r="T30" s="119">
        <f t="shared" si="23"/>
        <v>40.977531128205136</v>
      </c>
      <c r="U30" s="119">
        <f t="shared" si="23"/>
        <v>45.075284241025656</v>
      </c>
      <c r="V30" s="119">
        <f t="shared" si="23"/>
        <v>49.582812665128223</v>
      </c>
      <c r="W30" s="119">
        <f t="shared" si="23"/>
        <v>54.541093931641051</v>
      </c>
      <c r="X30" s="119">
        <f t="shared" si="23"/>
        <v>59.995203324805161</v>
      </c>
      <c r="Y30" s="119">
        <f t="shared" si="23"/>
        <v>65.994723657285675</v>
      </c>
      <c r="Z30" s="119">
        <f t="shared" si="23"/>
        <v>72.594196023014248</v>
      </c>
      <c r="AA30" s="119">
        <f t="shared" si="23"/>
        <v>79.853615625315683</v>
      </c>
      <c r="AB30" s="118" t="e">
        <f t="shared" si="17"/>
        <v>#DIV/0!</v>
      </c>
    </row>
    <row r="31" spans="2:28" x14ac:dyDescent="0.2">
      <c r="B31" s="20" t="s">
        <v>255</v>
      </c>
      <c r="C31" s="128">
        <f t="shared" ref="C31:O31" si="24">C11/C22</f>
        <v>0</v>
      </c>
      <c r="D31" s="128">
        <f t="shared" si="24"/>
        <v>0</v>
      </c>
      <c r="E31" s="128">
        <f t="shared" si="24"/>
        <v>0</v>
      </c>
      <c r="F31" s="128">
        <f t="shared" si="24"/>
        <v>0</v>
      </c>
      <c r="G31" s="128">
        <f t="shared" si="24"/>
        <v>0</v>
      </c>
      <c r="H31" s="128">
        <f t="shared" si="24"/>
        <v>0</v>
      </c>
      <c r="I31" s="128">
        <f t="shared" si="24"/>
        <v>0</v>
      </c>
      <c r="J31" s="128">
        <f t="shared" si="24"/>
        <v>0</v>
      </c>
      <c r="K31" s="128">
        <f t="shared" si="24"/>
        <v>0</v>
      </c>
      <c r="L31" s="128">
        <f t="shared" si="24"/>
        <v>0</v>
      </c>
      <c r="M31" s="128">
        <f t="shared" si="24"/>
        <v>0</v>
      </c>
      <c r="N31" s="128">
        <f t="shared" si="24"/>
        <v>0</v>
      </c>
      <c r="O31" s="128">
        <f t="shared" si="24"/>
        <v>6.9247692307692308</v>
      </c>
      <c r="P31" s="118" t="e">
        <f t="shared" si="14"/>
        <v>#DIV/0!</v>
      </c>
      <c r="Q31" s="31">
        <v>0.1</v>
      </c>
      <c r="R31" s="119">
        <f t="shared" si="22"/>
        <v>7.6172461538461542</v>
      </c>
      <c r="S31" s="119">
        <f t="shared" si="23"/>
        <v>8.3789707692307704</v>
      </c>
      <c r="T31" s="119">
        <f t="shared" si="23"/>
        <v>9.216867846153848</v>
      </c>
      <c r="U31" s="119">
        <f t="shared" si="23"/>
        <v>10.138554630769233</v>
      </c>
      <c r="V31" s="119">
        <f t="shared" si="23"/>
        <v>11.152410093846157</v>
      </c>
      <c r="W31" s="119">
        <f t="shared" si="23"/>
        <v>12.267651103230774</v>
      </c>
      <c r="X31" s="119">
        <f t="shared" si="23"/>
        <v>13.494416213553853</v>
      </c>
      <c r="Y31" s="119">
        <f t="shared" si="23"/>
        <v>14.84385783490924</v>
      </c>
      <c r="Z31" s="119">
        <f t="shared" si="23"/>
        <v>16.328243618400165</v>
      </c>
      <c r="AA31" s="119">
        <f t="shared" si="23"/>
        <v>17.961067980240184</v>
      </c>
      <c r="AB31" s="118" t="e">
        <f t="shared" si="17"/>
        <v>#DIV/0!</v>
      </c>
    </row>
    <row r="32" spans="2:28" x14ac:dyDescent="0.2">
      <c r="B32" s="20" t="s">
        <v>256</v>
      </c>
      <c r="C32" s="128">
        <f>(C30+C31)</f>
        <v>0</v>
      </c>
      <c r="D32" s="128">
        <f t="shared" ref="D32:O32" si="25">(D30+D31)</f>
        <v>0</v>
      </c>
      <c r="E32" s="128">
        <f t="shared" si="25"/>
        <v>0</v>
      </c>
      <c r="F32" s="128">
        <f t="shared" si="25"/>
        <v>0</v>
      </c>
      <c r="G32" s="128">
        <f t="shared" si="25"/>
        <v>0</v>
      </c>
      <c r="H32" s="128">
        <f t="shared" si="25"/>
        <v>0</v>
      </c>
      <c r="I32" s="128">
        <f t="shared" si="25"/>
        <v>0</v>
      </c>
      <c r="J32" s="128">
        <f t="shared" si="25"/>
        <v>0</v>
      </c>
      <c r="K32" s="128">
        <f t="shared" si="25"/>
        <v>0</v>
      </c>
      <c r="L32" s="128">
        <f t="shared" si="25"/>
        <v>0</v>
      </c>
      <c r="M32" s="128">
        <f t="shared" si="25"/>
        <v>0</v>
      </c>
      <c r="N32" s="128">
        <f t="shared" si="25"/>
        <v>0</v>
      </c>
      <c r="O32" s="128">
        <f t="shared" si="25"/>
        <v>37.711794871794872</v>
      </c>
      <c r="P32" s="118" t="e">
        <f t="shared" si="14"/>
        <v>#DIV/0!</v>
      </c>
      <c r="Q32" s="31">
        <v>0.1</v>
      </c>
      <c r="R32" s="119">
        <f t="shared" si="22"/>
        <v>41.48297435897436</v>
      </c>
      <c r="S32" s="119">
        <f t="shared" si="23"/>
        <v>45.6312717948718</v>
      </c>
      <c r="T32" s="119">
        <f t="shared" si="23"/>
        <v>50.194398974358982</v>
      </c>
      <c r="U32" s="119">
        <f t="shared" si="23"/>
        <v>55.213838871794884</v>
      </c>
      <c r="V32" s="119">
        <f t="shared" si="23"/>
        <v>60.73522275897438</v>
      </c>
      <c r="W32" s="119">
        <f t="shared" si="23"/>
        <v>66.808745034871819</v>
      </c>
      <c r="X32" s="119">
        <f t="shared" si="23"/>
        <v>73.489619538359008</v>
      </c>
      <c r="Y32" s="119">
        <f t="shared" si="23"/>
        <v>80.838581492194919</v>
      </c>
      <c r="Z32" s="119">
        <f t="shared" si="23"/>
        <v>88.922439641414414</v>
      </c>
      <c r="AA32" s="119">
        <f t="shared" si="23"/>
        <v>97.814683605555857</v>
      </c>
      <c r="AB32" s="118" t="e">
        <f t="shared" si="17"/>
        <v>#DIV/0!</v>
      </c>
    </row>
    <row r="33" spans="2:28" x14ac:dyDescent="0.2">
      <c r="B33" s="20" t="s">
        <v>249</v>
      </c>
      <c r="C33" s="128">
        <f t="shared" ref="C33:O33" si="26">C12/C22</f>
        <v>0</v>
      </c>
      <c r="D33" s="128">
        <f t="shared" si="26"/>
        <v>0</v>
      </c>
      <c r="E33" s="128">
        <f t="shared" si="26"/>
        <v>0</v>
      </c>
      <c r="F33" s="128">
        <f t="shared" si="26"/>
        <v>0</v>
      </c>
      <c r="G33" s="128">
        <f t="shared" si="26"/>
        <v>0</v>
      </c>
      <c r="H33" s="128">
        <f t="shared" si="26"/>
        <v>0</v>
      </c>
      <c r="I33" s="128">
        <f t="shared" si="26"/>
        <v>0</v>
      </c>
      <c r="J33" s="128">
        <f t="shared" si="26"/>
        <v>0</v>
      </c>
      <c r="K33" s="128">
        <f t="shared" si="26"/>
        <v>0</v>
      </c>
      <c r="L33" s="128">
        <f t="shared" si="26"/>
        <v>0</v>
      </c>
      <c r="M33" s="128">
        <f t="shared" si="26"/>
        <v>0</v>
      </c>
      <c r="N33" s="128">
        <f t="shared" si="26"/>
        <v>0</v>
      </c>
      <c r="O33" s="128">
        <f t="shared" si="26"/>
        <v>153.5165641025641</v>
      </c>
      <c r="P33" s="118" t="e">
        <f t="shared" si="14"/>
        <v>#DIV/0!</v>
      </c>
      <c r="Q33" s="31">
        <v>0.1</v>
      </c>
      <c r="R33" s="119">
        <f t="shared" si="22"/>
        <v>168.86822051282053</v>
      </c>
      <c r="S33" s="119">
        <f t="shared" si="23"/>
        <v>185.75504256410261</v>
      </c>
      <c r="T33" s="119">
        <f t="shared" si="23"/>
        <v>204.33054682051289</v>
      </c>
      <c r="U33" s="119">
        <f t="shared" si="23"/>
        <v>224.7636015025642</v>
      </c>
      <c r="V33" s="119">
        <f t="shared" si="23"/>
        <v>247.23996165282065</v>
      </c>
      <c r="W33" s="119">
        <f t="shared" si="23"/>
        <v>271.96395781810276</v>
      </c>
      <c r="X33" s="119">
        <f t="shared" si="23"/>
        <v>299.16035359991304</v>
      </c>
      <c r="Y33" s="119">
        <f t="shared" si="23"/>
        <v>329.07638895990436</v>
      </c>
      <c r="Z33" s="119">
        <f t="shared" si="23"/>
        <v>361.98402785589485</v>
      </c>
      <c r="AA33" s="119">
        <f t="shared" si="23"/>
        <v>398.18243064148436</v>
      </c>
      <c r="AB33" s="118" t="e">
        <f t="shared" si="17"/>
        <v>#DIV/0!</v>
      </c>
    </row>
    <row r="34" spans="2:28" x14ac:dyDescent="0.2">
      <c r="B34" s="20" t="s">
        <v>250</v>
      </c>
      <c r="C34" s="128">
        <f t="shared" ref="C34:O34" si="27">C13/C22</f>
        <v>0</v>
      </c>
      <c r="D34" s="128">
        <f t="shared" si="27"/>
        <v>0</v>
      </c>
      <c r="E34" s="128">
        <f t="shared" si="27"/>
        <v>0</v>
      </c>
      <c r="F34" s="128">
        <f t="shared" si="27"/>
        <v>0</v>
      </c>
      <c r="G34" s="128">
        <f t="shared" si="27"/>
        <v>0</v>
      </c>
      <c r="H34" s="128">
        <f t="shared" si="27"/>
        <v>0</v>
      </c>
      <c r="I34" s="128">
        <f t="shared" si="27"/>
        <v>0</v>
      </c>
      <c r="J34" s="128">
        <f t="shared" si="27"/>
        <v>0</v>
      </c>
      <c r="K34" s="128">
        <f t="shared" si="27"/>
        <v>0</v>
      </c>
      <c r="L34" s="128">
        <f t="shared" si="27"/>
        <v>0</v>
      </c>
      <c r="M34" s="128">
        <f t="shared" si="27"/>
        <v>0</v>
      </c>
      <c r="N34" s="128">
        <f t="shared" si="27"/>
        <v>0</v>
      </c>
      <c r="O34" s="128">
        <f t="shared" si="27"/>
        <v>96.38717948717948</v>
      </c>
      <c r="P34" s="118" t="e">
        <f t="shared" si="14"/>
        <v>#DIV/0!</v>
      </c>
      <c r="Q34" s="31">
        <v>0.1</v>
      </c>
      <c r="R34" s="119">
        <f t="shared" si="22"/>
        <v>106.02589743589743</v>
      </c>
      <c r="S34" s="119">
        <f t="shared" si="23"/>
        <v>116.62848717948718</v>
      </c>
      <c r="T34" s="119">
        <f t="shared" si="23"/>
        <v>128.29133589743591</v>
      </c>
      <c r="U34" s="119">
        <f t="shared" si="23"/>
        <v>141.12046948717952</v>
      </c>
      <c r="V34" s="119">
        <f t="shared" si="23"/>
        <v>155.23251643589748</v>
      </c>
      <c r="W34" s="119">
        <f t="shared" si="23"/>
        <v>170.75576807948724</v>
      </c>
      <c r="X34" s="119">
        <f t="shared" si="23"/>
        <v>187.83134488743599</v>
      </c>
      <c r="Y34" s="119">
        <f t="shared" si="23"/>
        <v>206.61447937617962</v>
      </c>
      <c r="Z34" s="119">
        <f t="shared" si="23"/>
        <v>227.27592731379761</v>
      </c>
      <c r="AA34" s="119">
        <f t="shared" si="23"/>
        <v>250.0035200451774</v>
      </c>
      <c r="AB34" s="118" t="e">
        <f t="shared" si="17"/>
        <v>#DIV/0!</v>
      </c>
    </row>
    <row r="35" spans="2:28" x14ac:dyDescent="0.2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129"/>
      <c r="Q35" s="12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29"/>
    </row>
    <row r="36" spans="2:28" x14ac:dyDescent="0.2">
      <c r="B36" s="108" t="s">
        <v>83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129"/>
      <c r="Q36" s="12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29"/>
    </row>
    <row r="37" spans="2:28" x14ac:dyDescent="0.2">
      <c r="B37" s="20" t="s">
        <v>82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118" t="e">
        <f t="shared" ref="P37:P43" si="28">((O37/L37)^(1/($H$3-$H$2) ))-1</f>
        <v>#DIV/0!</v>
      </c>
      <c r="Q37" s="31">
        <v>0.1</v>
      </c>
      <c r="R37" s="119">
        <f t="shared" ref="R37:R43" si="29">O37*(1+$Q37)</f>
        <v>0</v>
      </c>
      <c r="S37" s="119">
        <f t="shared" ref="S37:AA43" si="30">R37*(1+$Q37)</f>
        <v>0</v>
      </c>
      <c r="T37" s="119">
        <f t="shared" si="30"/>
        <v>0</v>
      </c>
      <c r="U37" s="119">
        <f t="shared" si="30"/>
        <v>0</v>
      </c>
      <c r="V37" s="119">
        <f t="shared" si="30"/>
        <v>0</v>
      </c>
      <c r="W37" s="119">
        <f t="shared" si="30"/>
        <v>0</v>
      </c>
      <c r="X37" s="119">
        <f t="shared" si="30"/>
        <v>0</v>
      </c>
      <c r="Y37" s="119">
        <f t="shared" si="30"/>
        <v>0</v>
      </c>
      <c r="Z37" s="119">
        <f t="shared" si="30"/>
        <v>0</v>
      </c>
      <c r="AA37" s="119">
        <f t="shared" si="30"/>
        <v>0</v>
      </c>
      <c r="AB37" s="118" t="e">
        <f t="shared" ref="AB37:AB43" si="31">((AA37/M37)^(1/($AA$4-$H$2) ))-1</f>
        <v>#DIV/0!</v>
      </c>
    </row>
    <row r="38" spans="2:28" x14ac:dyDescent="0.2">
      <c r="B38" s="20" t="s">
        <v>84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18" t="e">
        <f t="shared" si="28"/>
        <v>#DIV/0!</v>
      </c>
      <c r="Q38" s="31">
        <v>0.1</v>
      </c>
      <c r="R38" s="119">
        <f t="shared" si="29"/>
        <v>0</v>
      </c>
      <c r="S38" s="119">
        <f t="shared" si="30"/>
        <v>0</v>
      </c>
      <c r="T38" s="119">
        <f t="shared" si="30"/>
        <v>0</v>
      </c>
      <c r="U38" s="119">
        <f t="shared" si="30"/>
        <v>0</v>
      </c>
      <c r="V38" s="119">
        <f t="shared" si="30"/>
        <v>0</v>
      </c>
      <c r="W38" s="119">
        <f t="shared" si="30"/>
        <v>0</v>
      </c>
      <c r="X38" s="119">
        <f t="shared" si="30"/>
        <v>0</v>
      </c>
      <c r="Y38" s="119">
        <f t="shared" si="30"/>
        <v>0</v>
      </c>
      <c r="Z38" s="119">
        <f t="shared" si="30"/>
        <v>0</v>
      </c>
      <c r="AA38" s="119">
        <f t="shared" si="30"/>
        <v>0</v>
      </c>
      <c r="AB38" s="118" t="e">
        <f t="shared" si="31"/>
        <v>#DIV/0!</v>
      </c>
    </row>
    <row r="39" spans="2:28" x14ac:dyDescent="0.2">
      <c r="B39" s="20" t="s">
        <v>85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118" t="e">
        <f t="shared" si="28"/>
        <v>#DIV/0!</v>
      </c>
      <c r="Q39" s="31">
        <v>0.1</v>
      </c>
      <c r="R39" s="119">
        <f t="shared" si="29"/>
        <v>0</v>
      </c>
      <c r="S39" s="119">
        <f t="shared" si="30"/>
        <v>0</v>
      </c>
      <c r="T39" s="119">
        <f t="shared" si="30"/>
        <v>0</v>
      </c>
      <c r="U39" s="119">
        <f t="shared" si="30"/>
        <v>0</v>
      </c>
      <c r="V39" s="119">
        <f t="shared" si="30"/>
        <v>0</v>
      </c>
      <c r="W39" s="119">
        <f t="shared" si="30"/>
        <v>0</v>
      </c>
      <c r="X39" s="119">
        <f t="shared" si="30"/>
        <v>0</v>
      </c>
      <c r="Y39" s="119">
        <f t="shared" si="30"/>
        <v>0</v>
      </c>
      <c r="Z39" s="119">
        <f t="shared" si="30"/>
        <v>0</v>
      </c>
      <c r="AA39" s="119">
        <f t="shared" si="30"/>
        <v>0</v>
      </c>
      <c r="AB39" s="118" t="e">
        <f t="shared" si="31"/>
        <v>#DIV/0!</v>
      </c>
    </row>
    <row r="40" spans="2:28" x14ac:dyDescent="0.2">
      <c r="B40" s="20" t="s">
        <v>81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118" t="e">
        <f t="shared" si="28"/>
        <v>#DIV/0!</v>
      </c>
      <c r="Q40" s="31">
        <v>0.1</v>
      </c>
      <c r="R40" s="119">
        <f t="shared" si="29"/>
        <v>0</v>
      </c>
      <c r="S40" s="119">
        <f t="shared" si="30"/>
        <v>0</v>
      </c>
      <c r="T40" s="119">
        <f t="shared" si="30"/>
        <v>0</v>
      </c>
      <c r="U40" s="119">
        <f t="shared" si="30"/>
        <v>0</v>
      </c>
      <c r="V40" s="119">
        <f t="shared" si="30"/>
        <v>0</v>
      </c>
      <c r="W40" s="119">
        <f t="shared" si="30"/>
        <v>0</v>
      </c>
      <c r="X40" s="119">
        <f t="shared" si="30"/>
        <v>0</v>
      </c>
      <c r="Y40" s="119">
        <f t="shared" si="30"/>
        <v>0</v>
      </c>
      <c r="Z40" s="119">
        <f t="shared" si="30"/>
        <v>0</v>
      </c>
      <c r="AA40" s="119">
        <f t="shared" si="30"/>
        <v>0</v>
      </c>
      <c r="AB40" s="118" t="e">
        <f t="shared" si="31"/>
        <v>#DIV/0!</v>
      </c>
    </row>
    <row r="41" spans="2:28" x14ac:dyDescent="0.2">
      <c r="B41" s="20" t="s">
        <v>78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118" t="e">
        <f t="shared" si="28"/>
        <v>#DIV/0!</v>
      </c>
      <c r="Q41" s="31">
        <v>0.1</v>
      </c>
      <c r="R41" s="119">
        <f t="shared" si="29"/>
        <v>0</v>
      </c>
      <c r="S41" s="119">
        <f t="shared" si="30"/>
        <v>0</v>
      </c>
      <c r="T41" s="119">
        <f t="shared" si="30"/>
        <v>0</v>
      </c>
      <c r="U41" s="119">
        <f t="shared" si="30"/>
        <v>0</v>
      </c>
      <c r="V41" s="119">
        <f t="shared" si="30"/>
        <v>0</v>
      </c>
      <c r="W41" s="119">
        <f t="shared" si="30"/>
        <v>0</v>
      </c>
      <c r="X41" s="119">
        <f t="shared" si="30"/>
        <v>0</v>
      </c>
      <c r="Y41" s="119">
        <f t="shared" si="30"/>
        <v>0</v>
      </c>
      <c r="Z41" s="119">
        <f t="shared" si="30"/>
        <v>0</v>
      </c>
      <c r="AA41" s="119">
        <f t="shared" si="30"/>
        <v>0</v>
      </c>
      <c r="AB41" s="118" t="e">
        <f t="shared" si="31"/>
        <v>#DIV/0!</v>
      </c>
    </row>
    <row r="42" spans="2:28" x14ac:dyDescent="0.2">
      <c r="B42" s="20" t="s">
        <v>79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118" t="e">
        <f t="shared" si="28"/>
        <v>#DIV/0!</v>
      </c>
      <c r="Q42" s="31">
        <v>0.1</v>
      </c>
      <c r="R42" s="119">
        <f t="shared" si="29"/>
        <v>0</v>
      </c>
      <c r="S42" s="119">
        <f t="shared" si="30"/>
        <v>0</v>
      </c>
      <c r="T42" s="119">
        <f t="shared" si="30"/>
        <v>0</v>
      </c>
      <c r="U42" s="119">
        <f t="shared" si="30"/>
        <v>0</v>
      </c>
      <c r="V42" s="119">
        <f t="shared" si="30"/>
        <v>0</v>
      </c>
      <c r="W42" s="119">
        <f t="shared" si="30"/>
        <v>0</v>
      </c>
      <c r="X42" s="119">
        <f t="shared" si="30"/>
        <v>0</v>
      </c>
      <c r="Y42" s="119">
        <f t="shared" si="30"/>
        <v>0</v>
      </c>
      <c r="Z42" s="119">
        <f t="shared" si="30"/>
        <v>0</v>
      </c>
      <c r="AA42" s="119">
        <f t="shared" si="30"/>
        <v>0</v>
      </c>
      <c r="AB42" s="118" t="e">
        <f t="shared" si="31"/>
        <v>#DIV/0!</v>
      </c>
    </row>
    <row r="43" spans="2:28" x14ac:dyDescent="0.2">
      <c r="B43" s="20" t="s">
        <v>80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118" t="e">
        <f t="shared" si="28"/>
        <v>#DIV/0!</v>
      </c>
      <c r="Q43" s="31">
        <v>0.1</v>
      </c>
      <c r="R43" s="119">
        <f t="shared" si="29"/>
        <v>0</v>
      </c>
      <c r="S43" s="119">
        <f t="shared" si="30"/>
        <v>0</v>
      </c>
      <c r="T43" s="119">
        <f t="shared" si="30"/>
        <v>0</v>
      </c>
      <c r="U43" s="119">
        <f t="shared" si="30"/>
        <v>0</v>
      </c>
      <c r="V43" s="119">
        <f t="shared" si="30"/>
        <v>0</v>
      </c>
      <c r="W43" s="119">
        <f t="shared" si="30"/>
        <v>0</v>
      </c>
      <c r="X43" s="119">
        <f t="shared" si="30"/>
        <v>0</v>
      </c>
      <c r="Y43" s="119">
        <f t="shared" si="30"/>
        <v>0</v>
      </c>
      <c r="Z43" s="119">
        <f t="shared" si="30"/>
        <v>0</v>
      </c>
      <c r="AA43" s="119">
        <f t="shared" si="30"/>
        <v>0</v>
      </c>
      <c r="AB43" s="118" t="e">
        <f t="shared" si="31"/>
        <v>#DIV/0!</v>
      </c>
    </row>
    <row r="44" spans="2:28" x14ac:dyDescent="0.2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 spans="2:28" x14ac:dyDescent="0.2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 spans="2:28" x14ac:dyDescent="0.2">
      <c r="B46" s="108" t="s">
        <v>244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3"/>
      <c r="Q46" s="23"/>
      <c r="R46" s="122" t="s">
        <v>66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 spans="2:28" x14ac:dyDescent="0.2">
      <c r="B47" s="20" t="s">
        <v>25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121">
        <f>PV($C$2, ($AA$4-$R$4), 0, -AA25)</f>
        <v>211.48350058645227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 spans="2:28" x14ac:dyDescent="0.2">
      <c r="B48" s="20" t="s">
        <v>18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1">
        <f>PV($C$2, ($AA$4-$R$4), 0, -AA26)</f>
        <v>594.43615022181939</v>
      </c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 spans="2:28" x14ac:dyDescent="0.2">
      <c r="B49" s="20" t="s">
        <v>8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1">
        <f>PV($C$2, ($AA$4-$R$4), 0, -AA27)</f>
        <v>588.48299252365723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 spans="2:28" x14ac:dyDescent="0.2">
      <c r="B50" s="20" t="s">
        <v>9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121">
        <f>PV($C$2, ($AA$4-$R$4), 0, -AA28)</f>
        <v>4.9022505154601914</v>
      </c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 spans="2:28" x14ac:dyDescent="0.2">
      <c r="B51" s="20" t="s">
        <v>10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121">
        <f>PV($C$2, ($AA$4-$R$4), 0, -AA30)</f>
        <v>22.699381387778907</v>
      </c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2:28" x14ac:dyDescent="0.2"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121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 spans="2:28" x14ac:dyDescent="0.2">
      <c r="B53" s="20" t="s">
        <v>249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121">
        <f>PV($C$2, ($AA$4-$R$4), 0, -AA33)</f>
        <v>113.18829816615637</v>
      </c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 spans="2:28" x14ac:dyDescent="0.2"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121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 spans="2:28" x14ac:dyDescent="0.2">
      <c r="B55" s="20" t="s">
        <v>250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121">
        <f>PV($C$2, ($AA$4-$R$4), 0, -AA34)</f>
        <v>71.066603626569048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 spans="2:28" x14ac:dyDescent="0.2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121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 spans="2:28" x14ac:dyDescent="0.2">
      <c r="B57" s="108" t="s">
        <v>251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 spans="2:28" x14ac:dyDescent="0.2">
      <c r="B58" s="20" t="s">
        <v>204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>
        <v>455</v>
      </c>
      <c r="N58" s="22">
        <v>115</v>
      </c>
      <c r="O58" s="22">
        <v>1200</v>
      </c>
      <c r="P58" s="118">
        <f t="shared" ref="P58:P62" si="32">((O58/M58)^(1/($H$3-$H$2) ))-1</f>
        <v>0.38162425801147748</v>
      </c>
      <c r="Q58" s="31">
        <v>0.1</v>
      </c>
      <c r="R58" s="119">
        <f t="shared" ref="R58:R62" si="33">O58*(1+$Q58)</f>
        <v>1320</v>
      </c>
      <c r="S58" s="119">
        <f t="shared" ref="S58:AA62" si="34">R58*(1+$Q58)</f>
        <v>1452.0000000000002</v>
      </c>
      <c r="T58" s="119">
        <f t="shared" si="34"/>
        <v>1597.2000000000003</v>
      </c>
      <c r="U58" s="119">
        <f t="shared" si="34"/>
        <v>1756.9200000000005</v>
      </c>
      <c r="V58" s="119">
        <f t="shared" si="34"/>
        <v>1932.6120000000008</v>
      </c>
      <c r="W58" s="119">
        <f t="shared" si="34"/>
        <v>2125.8732000000009</v>
      </c>
      <c r="X58" s="119">
        <f t="shared" si="34"/>
        <v>2338.460520000001</v>
      </c>
      <c r="Y58" s="119">
        <f t="shared" si="34"/>
        <v>2572.3065720000013</v>
      </c>
      <c r="Z58" s="119">
        <f t="shared" si="34"/>
        <v>2829.5372292000015</v>
      </c>
      <c r="AA58" s="119">
        <f t="shared" si="34"/>
        <v>3112.490952120002</v>
      </c>
      <c r="AB58" s="118">
        <f t="shared" ref="AB58:AB62" si="35">((AA58/M58)^(1/($AA$4-$H$2) ))-1</f>
        <v>0.15941311251918777</v>
      </c>
    </row>
    <row r="59" spans="2:28" x14ac:dyDescent="0.2">
      <c r="B59" s="20" t="s">
        <v>42</v>
      </c>
      <c r="C59" s="25" t="e">
        <f>C58/C25</f>
        <v>#DIV/0!</v>
      </c>
      <c r="D59" s="25" t="e">
        <f t="shared" ref="D59:O59" si="36">D58/D25</f>
        <v>#DIV/0!</v>
      </c>
      <c r="E59" s="25" t="e">
        <f t="shared" si="36"/>
        <v>#DIV/0!</v>
      </c>
      <c r="F59" s="25" t="e">
        <f t="shared" si="36"/>
        <v>#DIV/0!</v>
      </c>
      <c r="G59" s="25" t="e">
        <f t="shared" si="36"/>
        <v>#DIV/0!</v>
      </c>
      <c r="H59" s="25" t="e">
        <f t="shared" si="36"/>
        <v>#DIV/0!</v>
      </c>
      <c r="I59" s="25" t="e">
        <f t="shared" si="36"/>
        <v>#DIV/0!</v>
      </c>
      <c r="J59" s="25" t="e">
        <f t="shared" si="36"/>
        <v>#DIV/0!</v>
      </c>
      <c r="K59" s="25" t="e">
        <f t="shared" si="36"/>
        <v>#DIV/0!</v>
      </c>
      <c r="L59" s="25" t="e">
        <f t="shared" si="36"/>
        <v>#DIV/0!</v>
      </c>
      <c r="M59" s="25" t="e">
        <f t="shared" si="36"/>
        <v>#DIV/0!</v>
      </c>
      <c r="N59" s="25" t="e">
        <f t="shared" si="36"/>
        <v>#DIV/0!</v>
      </c>
      <c r="O59" s="25">
        <f t="shared" si="36"/>
        <v>22.236053765637692</v>
      </c>
      <c r="P59" s="118" t="e">
        <f t="shared" si="32"/>
        <v>#DIV/0!</v>
      </c>
      <c r="Q59" s="31">
        <v>0.1</v>
      </c>
      <c r="R59" s="119">
        <f t="shared" si="33"/>
        <v>24.459659142201463</v>
      </c>
      <c r="S59" s="119">
        <f t="shared" si="34"/>
        <v>26.905625056421613</v>
      </c>
      <c r="T59" s="119">
        <f t="shared" si="34"/>
        <v>29.596187562063776</v>
      </c>
      <c r="U59" s="119">
        <f t="shared" si="34"/>
        <v>32.555806318270157</v>
      </c>
      <c r="V59" s="119">
        <f t="shared" si="34"/>
        <v>35.811386950097173</v>
      </c>
      <c r="W59" s="119">
        <f t="shared" si="34"/>
        <v>39.392525645106893</v>
      </c>
      <c r="X59" s="119">
        <f t="shared" si="34"/>
        <v>43.331778209617589</v>
      </c>
      <c r="Y59" s="119">
        <f t="shared" si="34"/>
        <v>47.664956030579354</v>
      </c>
      <c r="Z59" s="119">
        <f t="shared" si="34"/>
        <v>52.431451633637295</v>
      </c>
      <c r="AA59" s="119">
        <f t="shared" si="34"/>
        <v>57.67459679700103</v>
      </c>
      <c r="AB59" s="118" t="e">
        <f t="shared" si="35"/>
        <v>#DIV/0!</v>
      </c>
    </row>
    <row r="60" spans="2:28" x14ac:dyDescent="0.2">
      <c r="B60" s="20" t="s">
        <v>259</v>
      </c>
      <c r="C60" s="25" t="e">
        <f>C58/C27</f>
        <v>#DIV/0!</v>
      </c>
      <c r="D60" s="25" t="e">
        <f t="shared" ref="D60:O60" si="37">D58/D27</f>
        <v>#DIV/0!</v>
      </c>
      <c r="E60" s="25" t="e">
        <f t="shared" si="37"/>
        <v>#DIV/0!</v>
      </c>
      <c r="F60" s="25" t="e">
        <f t="shared" si="37"/>
        <v>#DIV/0!</v>
      </c>
      <c r="G60" s="25" t="e">
        <f t="shared" si="37"/>
        <v>#DIV/0!</v>
      </c>
      <c r="H60" s="25" t="e">
        <f t="shared" si="37"/>
        <v>#DIV/0!</v>
      </c>
      <c r="I60" s="25" t="e">
        <f t="shared" si="37"/>
        <v>#DIV/0!</v>
      </c>
      <c r="J60" s="25" t="e">
        <f t="shared" si="37"/>
        <v>#DIV/0!</v>
      </c>
      <c r="K60" s="25" t="e">
        <f t="shared" si="37"/>
        <v>#DIV/0!</v>
      </c>
      <c r="L60" s="25" t="e">
        <f t="shared" si="37"/>
        <v>#DIV/0!</v>
      </c>
      <c r="M60" s="25" t="e">
        <f t="shared" si="37"/>
        <v>#DIV/0!</v>
      </c>
      <c r="N60" s="25" t="e">
        <f t="shared" si="37"/>
        <v>#DIV/0!</v>
      </c>
      <c r="O60" s="25">
        <f t="shared" si="37"/>
        <v>7.9909845302735372</v>
      </c>
      <c r="P60" s="118" t="e">
        <f t="shared" si="32"/>
        <v>#DIV/0!</v>
      </c>
      <c r="Q60" s="31">
        <v>0.1</v>
      </c>
      <c r="R60" s="119">
        <f t="shared" si="33"/>
        <v>8.7900829833008913</v>
      </c>
      <c r="S60" s="119">
        <f t="shared" si="34"/>
        <v>9.6690912816309815</v>
      </c>
      <c r="T60" s="119">
        <f t="shared" si="34"/>
        <v>10.636000409794081</v>
      </c>
      <c r="U60" s="119">
        <f t="shared" si="34"/>
        <v>11.69960045077349</v>
      </c>
      <c r="V60" s="119">
        <f t="shared" si="34"/>
        <v>12.869560495850839</v>
      </c>
      <c r="W60" s="119">
        <f t="shared" si="34"/>
        <v>14.156516545435924</v>
      </c>
      <c r="X60" s="119">
        <f t="shared" si="34"/>
        <v>15.572168199979517</v>
      </c>
      <c r="Y60" s="119">
        <f t="shared" si="34"/>
        <v>17.12938501997747</v>
      </c>
      <c r="Z60" s="119">
        <f t="shared" si="34"/>
        <v>18.842323521975217</v>
      </c>
      <c r="AA60" s="119">
        <f t="shared" si="34"/>
        <v>20.726555874172739</v>
      </c>
      <c r="AB60" s="118" t="e">
        <f t="shared" si="35"/>
        <v>#DIV/0!</v>
      </c>
    </row>
    <row r="61" spans="2:28" x14ac:dyDescent="0.2">
      <c r="B61" s="20" t="s">
        <v>260</v>
      </c>
      <c r="C61" s="130" t="e">
        <f>C58/C32</f>
        <v>#DIV/0!</v>
      </c>
      <c r="D61" s="130" t="e">
        <f t="shared" ref="D61:O61" si="38">D58/D32</f>
        <v>#DIV/0!</v>
      </c>
      <c r="E61" s="130" t="e">
        <f t="shared" si="38"/>
        <v>#DIV/0!</v>
      </c>
      <c r="F61" s="130" t="e">
        <f t="shared" si="38"/>
        <v>#DIV/0!</v>
      </c>
      <c r="G61" s="130" t="e">
        <f t="shared" si="38"/>
        <v>#DIV/0!</v>
      </c>
      <c r="H61" s="130" t="e">
        <f t="shared" si="38"/>
        <v>#DIV/0!</v>
      </c>
      <c r="I61" s="130" t="e">
        <f t="shared" si="38"/>
        <v>#DIV/0!</v>
      </c>
      <c r="J61" s="130" t="e">
        <f t="shared" si="38"/>
        <v>#DIV/0!</v>
      </c>
      <c r="K61" s="130" t="e">
        <f t="shared" si="38"/>
        <v>#DIV/0!</v>
      </c>
      <c r="L61" s="130" t="e">
        <f t="shared" si="38"/>
        <v>#DIV/0!</v>
      </c>
      <c r="M61" s="25" t="e">
        <f t="shared" si="38"/>
        <v>#DIV/0!</v>
      </c>
      <c r="N61" s="25" t="e">
        <f t="shared" si="38"/>
        <v>#DIV/0!</v>
      </c>
      <c r="O61" s="25">
        <f t="shared" si="38"/>
        <v>31.820283390899942</v>
      </c>
      <c r="P61" s="118" t="e">
        <f t="shared" si="32"/>
        <v>#DIV/0!</v>
      </c>
      <c r="Q61" s="31">
        <v>0.1</v>
      </c>
      <c r="R61" s="119">
        <f t="shared" si="33"/>
        <v>35.002311729989941</v>
      </c>
      <c r="S61" s="119">
        <f t="shared" si="34"/>
        <v>38.502542902988935</v>
      </c>
      <c r="T61" s="119">
        <f t="shared" si="34"/>
        <v>42.352797193287834</v>
      </c>
      <c r="U61" s="119">
        <f t="shared" si="34"/>
        <v>46.588076912616621</v>
      </c>
      <c r="V61" s="119">
        <f t="shared" si="34"/>
        <v>51.246884603878286</v>
      </c>
      <c r="W61" s="119">
        <f t="shared" si="34"/>
        <v>56.371573064266116</v>
      </c>
      <c r="X61" s="119">
        <f t="shared" si="34"/>
        <v>62.008730370692732</v>
      </c>
      <c r="Y61" s="119">
        <f t="shared" si="34"/>
        <v>68.209603407762003</v>
      </c>
      <c r="Z61" s="119">
        <f t="shared" si="34"/>
        <v>75.030563748538214</v>
      </c>
      <c r="AA61" s="119">
        <f t="shared" si="34"/>
        <v>82.533620123392041</v>
      </c>
      <c r="AB61" s="118" t="e">
        <f t="shared" si="35"/>
        <v>#DIV/0!</v>
      </c>
    </row>
    <row r="62" spans="2:28" x14ac:dyDescent="0.2">
      <c r="B62" s="20" t="s">
        <v>261</v>
      </c>
      <c r="C62" s="130" t="e">
        <f>C58/C34</f>
        <v>#DIV/0!</v>
      </c>
      <c r="D62" s="130" t="e">
        <f t="shared" ref="D62:O62" si="39">D58/D34</f>
        <v>#DIV/0!</v>
      </c>
      <c r="E62" s="130" t="e">
        <f t="shared" si="39"/>
        <v>#DIV/0!</v>
      </c>
      <c r="F62" s="130" t="e">
        <f t="shared" si="39"/>
        <v>#DIV/0!</v>
      </c>
      <c r="G62" s="130" t="e">
        <f t="shared" si="39"/>
        <v>#DIV/0!</v>
      </c>
      <c r="H62" s="130" t="e">
        <f t="shared" si="39"/>
        <v>#DIV/0!</v>
      </c>
      <c r="I62" s="130" t="e">
        <f t="shared" si="39"/>
        <v>#DIV/0!</v>
      </c>
      <c r="J62" s="130" t="e">
        <f t="shared" si="39"/>
        <v>#DIV/0!</v>
      </c>
      <c r="K62" s="130" t="e">
        <f t="shared" si="39"/>
        <v>#DIV/0!</v>
      </c>
      <c r="L62" s="130" t="e">
        <f t="shared" si="39"/>
        <v>#DIV/0!</v>
      </c>
      <c r="M62" s="25" t="e">
        <f t="shared" si="39"/>
        <v>#DIV/0!</v>
      </c>
      <c r="N62" s="25" t="e">
        <f t="shared" si="39"/>
        <v>#DIV/0!</v>
      </c>
      <c r="O62" s="25">
        <f t="shared" si="39"/>
        <v>12.449788513207949</v>
      </c>
      <c r="P62" s="118" t="e">
        <f t="shared" si="32"/>
        <v>#DIV/0!</v>
      </c>
      <c r="Q62" s="31">
        <v>0.1</v>
      </c>
      <c r="R62" s="119">
        <f t="shared" si="33"/>
        <v>13.694767364528746</v>
      </c>
      <c r="S62" s="119">
        <f t="shared" si="34"/>
        <v>15.064244100981622</v>
      </c>
      <c r="T62" s="119">
        <f t="shared" si="34"/>
        <v>16.570668511079784</v>
      </c>
      <c r="U62" s="119">
        <f t="shared" si="34"/>
        <v>18.227735362187765</v>
      </c>
      <c r="V62" s="119">
        <f t="shared" si="34"/>
        <v>20.050508898406544</v>
      </c>
      <c r="W62" s="119">
        <f t="shared" si="34"/>
        <v>22.055559788247201</v>
      </c>
      <c r="X62" s="119">
        <f t="shared" si="34"/>
        <v>24.261115767071924</v>
      </c>
      <c r="Y62" s="119">
        <f t="shared" si="34"/>
        <v>26.687227343779121</v>
      </c>
      <c r="Z62" s="119">
        <f t="shared" si="34"/>
        <v>29.355950078157036</v>
      </c>
      <c r="AA62" s="119">
        <f t="shared" si="34"/>
        <v>32.291545085972743</v>
      </c>
      <c r="AB62" s="118" t="e">
        <f t="shared" si="35"/>
        <v>#DIV/0!</v>
      </c>
    </row>
    <row r="63" spans="2:28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 spans="2:28" x14ac:dyDescent="0.2"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 spans="2:28" x14ac:dyDescent="0.2"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 spans="2:28" x14ac:dyDescent="0.2"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 spans="2:28" x14ac:dyDescent="0.2"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</sheetData>
  <pageMargins left="0.7" right="0.7" top="0.75" bottom="0.75" header="0.3" footer="0.3"/>
  <pageSetup orientation="portrait" r:id="rId1"/>
  <ignoredErrors>
    <ignoredError sqref="C59 R37:AA43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34" t="s">
        <v>27</v>
      </c>
      <c r="K5" s="134"/>
      <c r="M5" s="134" t="s">
        <v>65</v>
      </c>
      <c r="N5" s="134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34" t="s">
        <v>36</v>
      </c>
      <c r="K14" s="134"/>
      <c r="L14" s="134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D20" sqref="D2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R5" s="134" t="s">
        <v>27</v>
      </c>
      <c r="S5" s="134"/>
    </row>
    <row r="6" spans="2:20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R14" s="134" t="s">
        <v>36</v>
      </c>
      <c r="S14" s="134"/>
      <c r="T14" s="134"/>
    </row>
    <row r="15" spans="2:20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B1" zoomScale="80" zoomScaleNormal="80" workbookViewId="0">
      <selection activeCell="C33" sqref="C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zoomScale="90" zoomScaleNormal="90" workbookViewId="0">
      <selection activeCell="C7" sqref="C7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34" t="s">
        <v>27</v>
      </c>
      <c r="C2" s="134"/>
      <c r="E2" s="134" t="s">
        <v>65</v>
      </c>
      <c r="F2" s="134"/>
      <c r="H2" s="138" t="s">
        <v>36</v>
      </c>
      <c r="I2" s="139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35" t="s">
        <v>68</v>
      </c>
      <c r="E10" s="136"/>
      <c r="F10" s="136"/>
      <c r="G10" s="136"/>
      <c r="H10" s="137"/>
      <c r="I10" s="135" t="s">
        <v>72</v>
      </c>
      <c r="J10" s="136"/>
      <c r="K10" s="136"/>
      <c r="L10" s="137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Sheet1</vt:lpstr>
      <vt:lpstr>IOB</vt:lpstr>
      <vt:lpstr>BV calc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2012-11-19T12:47:49Z</dcterms:modified>
</cp:coreProperties>
</file>
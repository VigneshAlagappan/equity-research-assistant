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6\July,2026\23.07.2026\ATM &amp; Card Statistics data - June 2026\Eng\"/>
    </mc:Choice>
  </mc:AlternateContent>
  <xr:revisionPtr revIDLastSave="0" documentId="13_ncr:1_{45CCC043-187B-4E93-8A76-9C2F78413E50}" xr6:coauthVersionLast="47" xr6:coauthVersionMax="47" xr10:uidLastSave="{00000000-0000-0000-0000-000000000000}"/>
  <bookViews>
    <workbookView xWindow="-120" yWindow="-120" windowWidth="29040" windowHeight="15720" xr2:uid="{7B286822-3BF4-4329-9AFA-6DF25F890019}"/>
  </bookViews>
  <sheets>
    <sheet name="June 2026" sheetId="1" r:id="rId1"/>
  </sheets>
  <definedNames>
    <definedName name="_xlnm._FilterDatabase" localSheetId="0" hidden="1">'June 2026'!$D$8:$AC$78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8" i="1" l="1"/>
  <c r="E78" i="1"/>
  <c r="D78" i="1"/>
  <c r="S78" i="1"/>
  <c r="R78" i="1"/>
  <c r="Q78" i="1"/>
  <c r="AC78" i="1"/>
  <c r="AB78" i="1"/>
  <c r="AA78" i="1"/>
  <c r="Z78" i="1"/>
  <c r="Y78" i="1"/>
  <c r="X78" i="1"/>
  <c r="W78" i="1"/>
  <c r="V78" i="1"/>
  <c r="U78" i="1"/>
  <c r="T78" i="1"/>
  <c r="O78" i="1"/>
  <c r="N78" i="1"/>
  <c r="M78" i="1"/>
  <c r="L78" i="1"/>
  <c r="K78" i="1"/>
  <c r="J78" i="1"/>
  <c r="I78" i="1"/>
  <c r="H78" i="1"/>
  <c r="G78" i="1"/>
  <c r="F78" i="1"/>
</calcChain>
</file>

<file path=xl/sharedStrings.xml><?xml version="1.0" encoding="utf-8"?>
<sst xmlns="http://schemas.openxmlformats.org/spreadsheetml/2006/main" count="147" uniqueCount="125">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</sst>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45">
    <xf numFmtId="0" fontId="0" fillId="0" borderId="0" xfId="0"/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1" fontId="8" fillId="2" borderId="1" xfId="0" applyNumberFormat="1" applyFont="1" applyFill="1" applyBorder="1"/>
    <xf numFmtId="0" fontId="8" fillId="2" borderId="1" xfId="0" applyFont="1" applyFill="1" applyBorder="1" applyAlignment="1" applyProtection="1">
      <alignment horizontal="left"/>
      <protection locked="0"/>
    </xf>
    <xf numFmtId="0" fontId="8" fillId="2" borderId="1" xfId="0" applyFont="1" applyFill="1" applyBorder="1" applyAlignment="1">
      <alignment horizontal="right"/>
    </xf>
    <xf numFmtId="0" fontId="0" fillId="2" borderId="0" xfId="0" applyFill="1"/>
    <xf numFmtId="0" fontId="6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0" fillId="2" borderId="0" xfId="0" applyFill="1" applyAlignment="1">
      <alignment horizontal="left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 applyAlignment="1">
      <alignment horizontal="right" vertical="top"/>
    </xf>
    <xf numFmtId="1" fontId="8" fillId="2" borderId="1" xfId="0" applyNumberFormat="1" applyFont="1" applyFill="1" applyBorder="1" applyAlignment="1">
      <alignment vertical="top"/>
    </xf>
    <xf numFmtId="1" fontId="6" fillId="2" borderId="1" xfId="0" applyNumberFormat="1" applyFont="1" applyFill="1" applyBorder="1" applyAlignment="1" applyProtection="1">
      <alignment horizontal="right" vertical="center"/>
    </xf>
    <xf numFmtId="0" fontId="11" fillId="2" borderId="0" xfId="1" applyFont="1" applyFill="1" applyBorder="1" applyAlignment="1">
      <alignment horizontal="left" vertical="center" wrapText="1"/>
    </xf>
    <xf numFmtId="0" fontId="11" fillId="2" borderId="0" xfId="1" applyFont="1" applyFill="1" applyBorder="1" applyAlignment="1">
      <alignment vertical="center" wrapText="1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9" fillId="2" borderId="1" xfId="1" applyFont="1" applyFill="1" applyBorder="1" applyAlignment="1" applyProtection="1">
      <alignment vertical="center" wrapText="1"/>
      <protection locked="0"/>
    </xf>
    <xf numFmtId="164" fontId="9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9" fillId="2" borderId="1" xfId="1" applyFont="1" applyFill="1" applyBorder="1" applyAlignment="1" applyProtection="1">
      <alignment horizontal="left" vertical="center" wrapText="1"/>
      <protection locked="0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/>
    <xf numFmtId="0" fontId="0" fillId="2" borderId="0" xfId="0" applyFill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/>
  </cellXfs>
  <cellStyles count="3">
    <cellStyle name="Normal" xfId="0" builtinId="0"/>
    <cellStyle name="Normal 2 10" xfId="2" xr:uid="{9B4F6F85-6DBB-4AB2-9840-DCE21FB4D02F}"/>
    <cellStyle name="Normal 2 2" xfId="1" xr:uid="{4125CD99-13D0-4269-B68E-C5DE00EFF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8ECC-349C-42D9-881E-F2CF70BB1DCE}">
  <dimension ref="A2:AE107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5" x14ac:dyDescent="0.25"/>
  <cols>
    <col min="1" max="1" width="5.140625" style="11" bestFit="1" customWidth="1"/>
    <col min="2" max="2" width="8.7109375" style="8" customWidth="1"/>
    <col min="3" max="3" width="44" style="8" bestFit="1" customWidth="1"/>
    <col min="4" max="4" width="9.42578125" style="32" customWidth="1"/>
    <col min="5" max="5" width="9.28515625" style="32" customWidth="1"/>
    <col min="6" max="6" width="9.7109375" style="8" customWidth="1"/>
    <col min="7" max="7" width="9.28515625" style="8" customWidth="1"/>
    <col min="8" max="8" width="10.42578125" style="8" customWidth="1"/>
    <col min="9" max="9" width="11.5703125" style="8" customWidth="1"/>
    <col min="10" max="10" width="11" style="8" customWidth="1"/>
    <col min="11" max="11" width="10.7109375" style="8" customWidth="1"/>
    <col min="12" max="12" width="10.28515625" style="8" bestFit="1" customWidth="1"/>
    <col min="13" max="13" width="12" style="8" bestFit="1" customWidth="1"/>
    <col min="14" max="14" width="10" style="8" bestFit="1" customWidth="1"/>
    <col min="15" max="15" width="12" style="8" bestFit="1" customWidth="1"/>
    <col min="16" max="16" width="10.7109375" style="8" customWidth="1"/>
    <col min="17" max="17" width="10" style="8" bestFit="1" customWidth="1"/>
    <col min="18" max="18" width="10" style="8" customWidth="1"/>
    <col min="19" max="19" width="12" style="8" bestFit="1" customWidth="1"/>
    <col min="20" max="20" width="10" style="8" bestFit="1" customWidth="1"/>
    <col min="21" max="23" width="12" style="8" bestFit="1" customWidth="1"/>
    <col min="24" max="24" width="10.85546875" style="8" customWidth="1"/>
    <col min="25" max="25" width="12" style="8" bestFit="1" customWidth="1"/>
    <col min="26" max="26" width="10" style="8" bestFit="1" customWidth="1"/>
    <col min="27" max="27" width="11" style="8" bestFit="1" customWidth="1"/>
    <col min="28" max="28" width="10.140625" style="8" customWidth="1"/>
    <col min="29" max="29" width="12" style="8" bestFit="1" customWidth="1"/>
    <col min="30" max="30" width="12.28515625" style="8" customWidth="1"/>
    <col min="31" max="16384" width="8.85546875" style="8"/>
  </cols>
  <sheetData>
    <row r="2" spans="1:29" x14ac:dyDescent="0.25">
      <c r="B2" s="25" t="s">
        <v>124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x14ac:dyDescent="0.25">
      <c r="B3" s="25" t="s">
        <v>0</v>
      </c>
      <c r="C3" s="25" t="s">
        <v>1</v>
      </c>
      <c r="D3" s="26" t="s">
        <v>2</v>
      </c>
      <c r="E3" s="26"/>
      <c r="F3" s="26"/>
      <c r="G3" s="26"/>
      <c r="H3" s="26"/>
      <c r="I3" s="26"/>
      <c r="J3" s="26"/>
      <c r="K3" s="26"/>
      <c r="L3" s="25" t="s">
        <v>3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x14ac:dyDescent="0.25">
      <c r="B4" s="25"/>
      <c r="C4" s="25"/>
      <c r="D4" s="27" t="s">
        <v>4</v>
      </c>
      <c r="E4" s="27"/>
      <c r="F4" s="27"/>
      <c r="G4" s="27"/>
      <c r="H4" s="27"/>
      <c r="I4" s="27"/>
      <c r="J4" s="27"/>
      <c r="K4" s="27"/>
      <c r="L4" s="25" t="s">
        <v>5</v>
      </c>
      <c r="M4" s="25"/>
      <c r="N4" s="25"/>
      <c r="O4" s="25"/>
      <c r="P4" s="25"/>
      <c r="Q4" s="25"/>
      <c r="R4" s="25"/>
      <c r="S4" s="25"/>
      <c r="T4" s="25" t="s">
        <v>6</v>
      </c>
      <c r="U4" s="25"/>
      <c r="V4" s="25"/>
      <c r="W4" s="25"/>
      <c r="X4" s="25"/>
      <c r="Y4" s="25"/>
      <c r="Z4" s="25"/>
      <c r="AA4" s="25"/>
      <c r="AB4" s="25"/>
      <c r="AC4" s="25"/>
    </row>
    <row r="5" spans="1:29" x14ac:dyDescent="0.25">
      <c r="B5" s="25"/>
      <c r="C5" s="25"/>
      <c r="D5" s="27" t="s">
        <v>7</v>
      </c>
      <c r="E5" s="27"/>
      <c r="F5" s="27" t="s">
        <v>8</v>
      </c>
      <c r="G5" s="27" t="s">
        <v>9</v>
      </c>
      <c r="H5" s="27" t="s">
        <v>10</v>
      </c>
      <c r="I5" s="27" t="s">
        <v>11</v>
      </c>
      <c r="J5" s="27" t="s">
        <v>12</v>
      </c>
      <c r="K5" s="27" t="s">
        <v>13</v>
      </c>
      <c r="L5" s="25" t="s">
        <v>14</v>
      </c>
      <c r="M5" s="25"/>
      <c r="N5" s="25"/>
      <c r="O5" s="25"/>
      <c r="P5" s="25"/>
      <c r="Q5" s="25"/>
      <c r="R5" s="25" t="s">
        <v>15</v>
      </c>
      <c r="S5" s="25"/>
      <c r="T5" s="25" t="s">
        <v>14</v>
      </c>
      <c r="U5" s="25"/>
      <c r="V5" s="25"/>
      <c r="W5" s="25"/>
      <c r="X5" s="25"/>
      <c r="Y5" s="25"/>
      <c r="Z5" s="25" t="s">
        <v>15</v>
      </c>
      <c r="AA5" s="25"/>
      <c r="AB5" s="25"/>
      <c r="AC5" s="25"/>
    </row>
    <row r="6" spans="1:29" x14ac:dyDescent="0.25">
      <c r="B6" s="25"/>
      <c r="C6" s="25"/>
      <c r="D6" s="27"/>
      <c r="E6" s="27"/>
      <c r="F6" s="27"/>
      <c r="G6" s="27"/>
      <c r="H6" s="27"/>
      <c r="I6" s="27"/>
      <c r="J6" s="27"/>
      <c r="K6" s="27"/>
      <c r="L6" s="27" t="s">
        <v>16</v>
      </c>
      <c r="M6" s="27"/>
      <c r="N6" s="27" t="s">
        <v>17</v>
      </c>
      <c r="O6" s="27"/>
      <c r="P6" s="25" t="s">
        <v>18</v>
      </c>
      <c r="Q6" s="25"/>
      <c r="R6" s="25" t="s">
        <v>19</v>
      </c>
      <c r="S6" s="25"/>
      <c r="T6" s="27" t="s">
        <v>16</v>
      </c>
      <c r="U6" s="27"/>
      <c r="V6" s="27" t="s">
        <v>17</v>
      </c>
      <c r="W6" s="27"/>
      <c r="X6" s="25" t="s">
        <v>18</v>
      </c>
      <c r="Y6" s="25"/>
      <c r="Z6" s="27" t="s">
        <v>20</v>
      </c>
      <c r="AA6" s="27"/>
      <c r="AB6" s="27" t="s">
        <v>8</v>
      </c>
      <c r="AC6" s="27"/>
    </row>
    <row r="7" spans="1:29" s="34" customFormat="1" ht="45" x14ac:dyDescent="0.25">
      <c r="A7" s="33"/>
      <c r="B7" s="25"/>
      <c r="C7" s="25"/>
      <c r="D7" s="18" t="s">
        <v>21</v>
      </c>
      <c r="E7" s="19" t="s">
        <v>22</v>
      </c>
      <c r="F7" s="27"/>
      <c r="G7" s="27"/>
      <c r="H7" s="27"/>
      <c r="I7" s="27"/>
      <c r="J7" s="27"/>
      <c r="K7" s="27"/>
      <c r="L7" s="20" t="s">
        <v>23</v>
      </c>
      <c r="M7" s="20" t="s">
        <v>24</v>
      </c>
      <c r="N7" s="20" t="s">
        <v>23</v>
      </c>
      <c r="O7" s="20" t="s">
        <v>24</v>
      </c>
      <c r="P7" s="20" t="s">
        <v>23</v>
      </c>
      <c r="Q7" s="20" t="s">
        <v>24</v>
      </c>
      <c r="R7" s="20" t="s">
        <v>23</v>
      </c>
      <c r="S7" s="20" t="s">
        <v>24</v>
      </c>
      <c r="T7" s="20" t="s">
        <v>23</v>
      </c>
      <c r="U7" s="20" t="s">
        <v>24</v>
      </c>
      <c r="V7" s="20" t="s">
        <v>23</v>
      </c>
      <c r="W7" s="20" t="s">
        <v>24</v>
      </c>
      <c r="X7" s="20" t="s">
        <v>23</v>
      </c>
      <c r="Y7" s="20" t="s">
        <v>24</v>
      </c>
      <c r="Z7" s="20" t="s">
        <v>23</v>
      </c>
      <c r="AA7" s="20" t="s">
        <v>24</v>
      </c>
      <c r="AB7" s="20" t="s">
        <v>23</v>
      </c>
      <c r="AC7" s="20" t="s">
        <v>24</v>
      </c>
    </row>
    <row r="8" spans="1:29" x14ac:dyDescent="0.25">
      <c r="B8" s="21"/>
      <c r="C8" s="21"/>
      <c r="D8" s="18">
        <v>1</v>
      </c>
      <c r="E8" s="18">
        <v>2</v>
      </c>
      <c r="F8" s="18">
        <v>3</v>
      </c>
      <c r="G8" s="18">
        <v>4</v>
      </c>
      <c r="H8" s="18">
        <v>5</v>
      </c>
      <c r="I8" s="18">
        <v>6</v>
      </c>
      <c r="J8" s="18">
        <v>7</v>
      </c>
      <c r="K8" s="18">
        <v>8</v>
      </c>
      <c r="L8" s="18">
        <v>9</v>
      </c>
      <c r="M8" s="18">
        <v>10</v>
      </c>
      <c r="N8" s="18">
        <v>11</v>
      </c>
      <c r="O8" s="18">
        <v>12</v>
      </c>
      <c r="P8" s="18">
        <v>13</v>
      </c>
      <c r="Q8" s="18">
        <v>14</v>
      </c>
      <c r="R8" s="18">
        <v>15</v>
      </c>
      <c r="S8" s="18">
        <v>16</v>
      </c>
      <c r="T8" s="18">
        <v>17</v>
      </c>
      <c r="U8" s="18">
        <v>18</v>
      </c>
      <c r="V8" s="18">
        <v>19</v>
      </c>
      <c r="W8" s="18">
        <v>20</v>
      </c>
      <c r="X8" s="18">
        <v>21</v>
      </c>
      <c r="Y8" s="18">
        <v>22</v>
      </c>
      <c r="Z8" s="18">
        <v>23</v>
      </c>
      <c r="AA8" s="18">
        <v>24</v>
      </c>
      <c r="AB8" s="18">
        <v>25</v>
      </c>
      <c r="AC8" s="18">
        <v>26</v>
      </c>
    </row>
    <row r="9" spans="1:29" x14ac:dyDescent="0.25">
      <c r="B9" s="9" t="s">
        <v>25</v>
      </c>
      <c r="C9" s="9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5">
      <c r="B10" s="9" t="s">
        <v>26</v>
      </c>
      <c r="C10" s="1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5">
      <c r="B11" s="22">
        <v>1</v>
      </c>
      <c r="C11" s="3" t="s">
        <v>27</v>
      </c>
      <c r="D11" s="4">
        <v>9125</v>
      </c>
      <c r="E11" s="4">
        <v>2504</v>
      </c>
      <c r="F11" s="4">
        <v>60916</v>
      </c>
      <c r="G11" s="4">
        <v>40967</v>
      </c>
      <c r="H11" s="4">
        <v>28818</v>
      </c>
      <c r="I11" s="4">
        <v>3402865</v>
      </c>
      <c r="J11" s="4">
        <v>3212862</v>
      </c>
      <c r="K11" s="4">
        <v>83148615</v>
      </c>
      <c r="L11" s="5">
        <v>11033566</v>
      </c>
      <c r="M11" s="5">
        <v>18778857.665770002</v>
      </c>
      <c r="N11" s="5">
        <v>4313453</v>
      </c>
      <c r="O11" s="5">
        <v>16525463.87974</v>
      </c>
      <c r="P11" s="5">
        <v>0</v>
      </c>
      <c r="Q11" s="5">
        <v>0</v>
      </c>
      <c r="R11" s="5">
        <v>11247</v>
      </c>
      <c r="S11" s="5">
        <v>62534.5</v>
      </c>
      <c r="T11" s="5">
        <v>2618768</v>
      </c>
      <c r="U11" s="5">
        <v>6405279.5859299973</v>
      </c>
      <c r="V11" s="5">
        <v>359568</v>
      </c>
      <c r="W11" s="5">
        <v>2110649.4886700003</v>
      </c>
      <c r="X11" s="5">
        <v>30</v>
      </c>
      <c r="Y11" s="5">
        <v>86.55</v>
      </c>
      <c r="Z11" s="5">
        <v>20204798</v>
      </c>
      <c r="AA11" s="5">
        <v>105857340.59100001</v>
      </c>
      <c r="AB11" s="5">
        <v>0</v>
      </c>
      <c r="AC11" s="5">
        <v>0</v>
      </c>
    </row>
    <row r="12" spans="1:29" x14ac:dyDescent="0.25">
      <c r="B12" s="22">
        <v>2</v>
      </c>
      <c r="C12" s="3" t="s">
        <v>28</v>
      </c>
      <c r="D12" s="4">
        <v>5225</v>
      </c>
      <c r="E12" s="4">
        <v>2460</v>
      </c>
      <c r="F12" s="4">
        <v>19836</v>
      </c>
      <c r="G12" s="4">
        <v>26160</v>
      </c>
      <c r="H12" s="4">
        <v>0</v>
      </c>
      <c r="I12" s="4">
        <v>1481750</v>
      </c>
      <c r="J12" s="4">
        <v>127185</v>
      </c>
      <c r="K12" s="4">
        <v>38476389</v>
      </c>
      <c r="L12" s="5">
        <v>114877</v>
      </c>
      <c r="M12" s="5">
        <v>584265.21123999998</v>
      </c>
      <c r="N12" s="5">
        <v>562924</v>
      </c>
      <c r="O12" s="5">
        <v>1021562.8084600001</v>
      </c>
      <c r="P12" s="5">
        <v>0</v>
      </c>
      <c r="Q12" s="5">
        <v>0</v>
      </c>
      <c r="R12" s="5">
        <v>8129</v>
      </c>
      <c r="S12" s="5">
        <v>48443.63968</v>
      </c>
      <c r="T12" s="5">
        <v>1660289</v>
      </c>
      <c r="U12" s="5">
        <v>3876093.7080000001</v>
      </c>
      <c r="V12" s="5">
        <v>284697</v>
      </c>
      <c r="W12" s="5">
        <v>918324.88</v>
      </c>
      <c r="X12" s="5">
        <v>0</v>
      </c>
      <c r="Y12" s="5">
        <v>0</v>
      </c>
      <c r="Z12" s="5">
        <v>12702420</v>
      </c>
      <c r="AA12" s="5">
        <v>56819911.761</v>
      </c>
      <c r="AB12" s="5">
        <v>0</v>
      </c>
      <c r="AC12" s="5">
        <v>0</v>
      </c>
    </row>
    <row r="13" spans="1:29" s="36" customFormat="1" ht="16.5" customHeight="1" x14ac:dyDescent="0.2">
      <c r="A13" s="35"/>
      <c r="B13" s="22">
        <v>3</v>
      </c>
      <c r="C13" s="6" t="s">
        <v>29</v>
      </c>
      <c r="D13" s="7">
        <v>2485</v>
      </c>
      <c r="E13" s="7">
        <v>246</v>
      </c>
      <c r="F13" s="7">
        <v>911</v>
      </c>
      <c r="G13" s="7">
        <v>8442</v>
      </c>
      <c r="H13" s="7">
        <v>355014</v>
      </c>
      <c r="I13" s="7">
        <v>971480</v>
      </c>
      <c r="J13" s="7">
        <v>0</v>
      </c>
      <c r="K13" s="7">
        <v>10231809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805769</v>
      </c>
      <c r="U13" s="5">
        <v>1940059.99899</v>
      </c>
      <c r="V13" s="5">
        <v>88456</v>
      </c>
      <c r="W13" s="5">
        <v>381029.12813999999</v>
      </c>
      <c r="X13" s="5">
        <v>5429</v>
      </c>
      <c r="Y13" s="5">
        <v>55651.61505</v>
      </c>
      <c r="Z13" s="5">
        <v>5029804</v>
      </c>
      <c r="AA13" s="5">
        <v>26243509.03486</v>
      </c>
      <c r="AB13" s="5">
        <v>0</v>
      </c>
      <c r="AC13" s="5">
        <v>0</v>
      </c>
    </row>
    <row r="14" spans="1:29" x14ac:dyDescent="0.25">
      <c r="B14" s="22">
        <v>4</v>
      </c>
      <c r="C14" s="3" t="s">
        <v>30</v>
      </c>
      <c r="D14" s="4">
        <v>8012</v>
      </c>
      <c r="E14" s="4">
        <v>3035</v>
      </c>
      <c r="F14" s="4">
        <v>94624</v>
      </c>
      <c r="G14" s="4">
        <v>12490</v>
      </c>
      <c r="H14" s="4">
        <v>0</v>
      </c>
      <c r="I14" s="4">
        <v>4331819</v>
      </c>
      <c r="J14" s="4">
        <v>1202568</v>
      </c>
      <c r="K14" s="4">
        <v>60200884</v>
      </c>
      <c r="L14" s="5">
        <v>1098771</v>
      </c>
      <c r="M14" s="5">
        <v>4625040.3363000005</v>
      </c>
      <c r="N14" s="5">
        <v>540534</v>
      </c>
      <c r="O14" s="5">
        <v>3127369.13803</v>
      </c>
      <c r="P14" s="5">
        <v>0</v>
      </c>
      <c r="Q14" s="5">
        <v>0</v>
      </c>
      <c r="R14" s="5">
        <v>81083</v>
      </c>
      <c r="S14" s="5">
        <v>483100.2</v>
      </c>
      <c r="T14" s="5">
        <v>4582042</v>
      </c>
      <c r="U14" s="5">
        <v>13932898.727829996</v>
      </c>
      <c r="V14" s="5">
        <v>825050</v>
      </c>
      <c r="W14" s="5">
        <v>4754283.1958599994</v>
      </c>
      <c r="X14" s="5">
        <v>4702</v>
      </c>
      <c r="Y14" s="5">
        <v>93886.793999999994</v>
      </c>
      <c r="Z14" s="5">
        <v>26128247</v>
      </c>
      <c r="AA14" s="5">
        <v>135594007.301</v>
      </c>
      <c r="AB14" s="5">
        <v>5</v>
      </c>
      <c r="AC14" s="5">
        <v>6.20655</v>
      </c>
    </row>
    <row r="15" spans="1:29" x14ac:dyDescent="0.25">
      <c r="B15" s="22">
        <v>5</v>
      </c>
      <c r="C15" s="3" t="s">
        <v>31</v>
      </c>
      <c r="D15" s="4">
        <v>2871</v>
      </c>
      <c r="E15" s="4">
        <v>948</v>
      </c>
      <c r="F15" s="4">
        <v>3143</v>
      </c>
      <c r="G15" s="4">
        <v>2562</v>
      </c>
      <c r="H15" s="4">
        <v>38138</v>
      </c>
      <c r="I15" s="4">
        <v>1572141</v>
      </c>
      <c r="J15" s="4">
        <v>0</v>
      </c>
      <c r="K15" s="4">
        <v>31501383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873532</v>
      </c>
      <c r="U15" s="5">
        <v>2182719.1887500007</v>
      </c>
      <c r="V15" s="5">
        <v>150494</v>
      </c>
      <c r="W15" s="5">
        <v>1026900.885</v>
      </c>
      <c r="X15" s="5">
        <v>0</v>
      </c>
      <c r="Y15" s="5">
        <v>0</v>
      </c>
      <c r="Z15" s="5">
        <v>5043369</v>
      </c>
      <c r="AA15" s="5">
        <v>25290273.350000001</v>
      </c>
      <c r="AB15" s="5">
        <v>8</v>
      </c>
      <c r="AC15" s="5">
        <v>150.494</v>
      </c>
    </row>
    <row r="16" spans="1:29" x14ac:dyDescent="0.25">
      <c r="B16" s="22">
        <v>6</v>
      </c>
      <c r="C16" s="3" t="s">
        <v>32</v>
      </c>
      <c r="D16" s="4">
        <v>5029</v>
      </c>
      <c r="E16" s="4">
        <v>647</v>
      </c>
      <c r="F16" s="4">
        <v>27922</v>
      </c>
      <c r="G16" s="4">
        <v>17314</v>
      </c>
      <c r="H16" s="4">
        <v>0</v>
      </c>
      <c r="I16" s="4">
        <v>2757296</v>
      </c>
      <c r="J16" s="4">
        <v>264384</v>
      </c>
      <c r="K16" s="4">
        <v>37552695</v>
      </c>
      <c r="L16" s="5">
        <v>157641</v>
      </c>
      <c r="M16" s="5">
        <v>774064.43867000006</v>
      </c>
      <c r="N16" s="5">
        <v>133096</v>
      </c>
      <c r="O16" s="5">
        <v>828947.86251000001</v>
      </c>
      <c r="P16" s="5">
        <v>0</v>
      </c>
      <c r="Q16" s="5">
        <v>0</v>
      </c>
      <c r="R16" s="5">
        <v>3096</v>
      </c>
      <c r="S16" s="5">
        <v>26772.174999999999</v>
      </c>
      <c r="T16" s="5">
        <v>2219752</v>
      </c>
      <c r="U16" s="5">
        <v>5991353.3135799989</v>
      </c>
      <c r="V16" s="5">
        <v>320800</v>
      </c>
      <c r="W16" s="5">
        <v>983473.62699999998</v>
      </c>
      <c r="X16" s="5">
        <v>138</v>
      </c>
      <c r="Y16" s="5">
        <v>421.87599999999998</v>
      </c>
      <c r="Z16" s="5">
        <v>15744450</v>
      </c>
      <c r="AA16" s="5">
        <v>80730599.531669989</v>
      </c>
      <c r="AB16" s="5">
        <v>1</v>
      </c>
      <c r="AC16" s="5">
        <v>0.7</v>
      </c>
    </row>
    <row r="17" spans="2:29" x14ac:dyDescent="0.25">
      <c r="B17" s="22">
        <v>7</v>
      </c>
      <c r="C17" s="3" t="s">
        <v>33</v>
      </c>
      <c r="D17" s="4">
        <v>2959</v>
      </c>
      <c r="E17" s="4">
        <v>732</v>
      </c>
      <c r="F17" s="4">
        <v>22078</v>
      </c>
      <c r="G17" s="4">
        <v>13401</v>
      </c>
      <c r="H17" s="4">
        <v>0</v>
      </c>
      <c r="I17" s="4">
        <v>593005</v>
      </c>
      <c r="J17" s="4">
        <v>174755</v>
      </c>
      <c r="K17" s="4">
        <v>22709268</v>
      </c>
      <c r="L17" s="5">
        <v>825012</v>
      </c>
      <c r="M17" s="5">
        <v>1275506.7575999999</v>
      </c>
      <c r="N17" s="5">
        <v>67746</v>
      </c>
      <c r="O17" s="5">
        <v>327540.81449742004</v>
      </c>
      <c r="P17" s="5">
        <v>0</v>
      </c>
      <c r="Q17" s="5">
        <v>0</v>
      </c>
      <c r="R17" s="5">
        <v>9106</v>
      </c>
      <c r="S17" s="5">
        <v>48993.517</v>
      </c>
      <c r="T17" s="5">
        <v>1852107</v>
      </c>
      <c r="U17" s="5">
        <v>4759108.0537799997</v>
      </c>
      <c r="V17" s="5">
        <v>211978</v>
      </c>
      <c r="W17" s="5">
        <v>726478.47487000003</v>
      </c>
      <c r="X17" s="5">
        <v>0</v>
      </c>
      <c r="Y17" s="5">
        <v>0</v>
      </c>
      <c r="Z17" s="5">
        <v>10720187</v>
      </c>
      <c r="AA17" s="5">
        <v>50718697.265000001</v>
      </c>
      <c r="AB17" s="5">
        <v>0</v>
      </c>
      <c r="AC17" s="5">
        <v>0</v>
      </c>
    </row>
    <row r="18" spans="2:29" x14ac:dyDescent="0.25">
      <c r="B18" s="22">
        <v>8</v>
      </c>
      <c r="C18" s="3" t="s">
        <v>34</v>
      </c>
      <c r="D18" s="4">
        <v>1153</v>
      </c>
      <c r="E18" s="4">
        <v>35</v>
      </c>
      <c r="F18" s="4">
        <v>1352</v>
      </c>
      <c r="G18" s="4">
        <v>2255</v>
      </c>
      <c r="H18" s="4">
        <v>1512</v>
      </c>
      <c r="I18" s="4">
        <v>215074</v>
      </c>
      <c r="J18" s="4">
        <v>0</v>
      </c>
      <c r="K18" s="4">
        <v>4356588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45723</v>
      </c>
      <c r="U18" s="5">
        <v>126281.963</v>
      </c>
      <c r="V18" s="5">
        <v>194648</v>
      </c>
      <c r="W18" s="5">
        <v>474278.25599999999</v>
      </c>
      <c r="X18" s="5">
        <v>0</v>
      </c>
      <c r="Y18" s="5">
        <v>0</v>
      </c>
      <c r="Z18" s="5">
        <v>1128593</v>
      </c>
      <c r="AA18" s="5">
        <v>5700774.8360000001</v>
      </c>
      <c r="AB18" s="5">
        <v>0</v>
      </c>
      <c r="AC18" s="5">
        <v>0</v>
      </c>
    </row>
    <row r="19" spans="2:29" x14ac:dyDescent="0.25">
      <c r="B19" s="22">
        <v>9</v>
      </c>
      <c r="C19" s="3" t="s">
        <v>35</v>
      </c>
      <c r="D19" s="4">
        <v>7186</v>
      </c>
      <c r="E19" s="4">
        <v>3419</v>
      </c>
      <c r="F19" s="4">
        <v>28846</v>
      </c>
      <c r="G19" s="4">
        <v>0</v>
      </c>
      <c r="H19" s="4">
        <v>134079</v>
      </c>
      <c r="I19" s="4">
        <v>1137640</v>
      </c>
      <c r="J19" s="4">
        <v>966578</v>
      </c>
      <c r="K19" s="4">
        <v>42221225</v>
      </c>
      <c r="L19" s="5">
        <v>369786</v>
      </c>
      <c r="M19" s="5">
        <v>1801373.6672700001</v>
      </c>
      <c r="N19" s="5">
        <v>4366573</v>
      </c>
      <c r="O19" s="5">
        <v>6386311.8021800006</v>
      </c>
      <c r="P19" s="5">
        <v>5</v>
      </c>
      <c r="Q19" s="5">
        <v>507.584</v>
      </c>
      <c r="R19" s="5">
        <v>5226</v>
      </c>
      <c r="S19" s="5">
        <v>17666.400000000001</v>
      </c>
      <c r="T19" s="5">
        <v>3098216</v>
      </c>
      <c r="U19" s="5">
        <v>8248720.1040900005</v>
      </c>
      <c r="V19" s="5">
        <v>676391</v>
      </c>
      <c r="W19" s="5">
        <v>1920841.9299300001</v>
      </c>
      <c r="X19" s="5">
        <v>0</v>
      </c>
      <c r="Y19" s="5">
        <v>0</v>
      </c>
      <c r="Z19" s="5">
        <v>20047840</v>
      </c>
      <c r="AA19" s="5">
        <v>105342553.40000001</v>
      </c>
      <c r="AB19" s="5">
        <v>0</v>
      </c>
      <c r="AC19" s="5">
        <v>0</v>
      </c>
    </row>
    <row r="20" spans="2:29" x14ac:dyDescent="0.25">
      <c r="B20" s="22">
        <v>10</v>
      </c>
      <c r="C20" s="3" t="s">
        <v>36</v>
      </c>
      <c r="D20" s="4">
        <v>28942</v>
      </c>
      <c r="E20" s="4">
        <v>36157</v>
      </c>
      <c r="F20" s="4">
        <v>1740039</v>
      </c>
      <c r="G20" s="4">
        <v>56017</v>
      </c>
      <c r="H20" s="4">
        <v>1036406</v>
      </c>
      <c r="I20" s="4">
        <v>6046182</v>
      </c>
      <c r="J20" s="4">
        <v>22581547</v>
      </c>
      <c r="K20" s="4">
        <v>255765661</v>
      </c>
      <c r="L20" s="5">
        <v>24747786</v>
      </c>
      <c r="M20" s="5">
        <v>131317101.1197</v>
      </c>
      <c r="N20" s="5">
        <v>80197318</v>
      </c>
      <c r="O20" s="5">
        <v>279453614.42229998</v>
      </c>
      <c r="P20" s="5">
        <v>0</v>
      </c>
      <c r="Q20" s="5">
        <v>0</v>
      </c>
      <c r="R20" s="5">
        <v>115123</v>
      </c>
      <c r="S20" s="5">
        <v>517327.397</v>
      </c>
      <c r="T20" s="5">
        <v>23362283</v>
      </c>
      <c r="U20" s="5">
        <v>63112864.390000001</v>
      </c>
      <c r="V20" s="5">
        <v>5696365</v>
      </c>
      <c r="W20" s="5">
        <v>19886544.717</v>
      </c>
      <c r="X20" s="5">
        <v>458</v>
      </c>
      <c r="Y20" s="5">
        <v>6270.6250300000002</v>
      </c>
      <c r="Z20" s="5">
        <v>133067094</v>
      </c>
      <c r="AA20" s="5">
        <v>751797000</v>
      </c>
      <c r="AB20" s="5">
        <v>4424</v>
      </c>
      <c r="AC20" s="5">
        <v>3603.3676999999998</v>
      </c>
    </row>
    <row r="21" spans="2:29" x14ac:dyDescent="0.25">
      <c r="B21" s="22">
        <v>11</v>
      </c>
      <c r="C21" s="3" t="s">
        <v>37</v>
      </c>
      <c r="D21" s="4">
        <v>2422</v>
      </c>
      <c r="E21" s="4">
        <v>216</v>
      </c>
      <c r="F21" s="4">
        <v>4103</v>
      </c>
      <c r="G21" s="4">
        <v>3568</v>
      </c>
      <c r="H21" s="4">
        <v>0</v>
      </c>
      <c r="I21" s="4">
        <v>1504368</v>
      </c>
      <c r="J21" s="4">
        <v>0</v>
      </c>
      <c r="K21" s="4">
        <v>14610188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649256</v>
      </c>
      <c r="U21" s="5">
        <v>1774452.5515899998</v>
      </c>
      <c r="V21" s="5">
        <v>187326</v>
      </c>
      <c r="W21" s="5">
        <v>543205.00534000003</v>
      </c>
      <c r="X21" s="5">
        <v>2140</v>
      </c>
      <c r="Y21" s="5">
        <v>41578.503640000003</v>
      </c>
      <c r="Z21" s="5">
        <v>5464600</v>
      </c>
      <c r="AA21" s="5">
        <v>27147164.727249999</v>
      </c>
      <c r="AB21" s="5">
        <v>42</v>
      </c>
      <c r="AC21" s="5">
        <v>20.021239999999999</v>
      </c>
    </row>
    <row r="22" spans="2:29" x14ac:dyDescent="0.25">
      <c r="B22" s="22">
        <v>12</v>
      </c>
      <c r="C22" s="3" t="s">
        <v>38</v>
      </c>
      <c r="D22" s="4">
        <v>8021</v>
      </c>
      <c r="E22" s="4">
        <v>737</v>
      </c>
      <c r="F22" s="4">
        <v>38972</v>
      </c>
      <c r="G22" s="4">
        <v>8852</v>
      </c>
      <c r="H22" s="4">
        <v>472980</v>
      </c>
      <c r="I22" s="4">
        <v>296050</v>
      </c>
      <c r="J22" s="4">
        <v>508412</v>
      </c>
      <c r="K22" s="4">
        <v>57422263</v>
      </c>
      <c r="L22" s="5">
        <v>508836</v>
      </c>
      <c r="M22" s="5">
        <v>2416980.1436999999</v>
      </c>
      <c r="N22" s="5">
        <v>2506195</v>
      </c>
      <c r="O22" s="5">
        <v>3958869.8366099996</v>
      </c>
      <c r="P22" s="5">
        <v>0</v>
      </c>
      <c r="Q22" s="5">
        <v>0</v>
      </c>
      <c r="R22" s="5">
        <v>8267</v>
      </c>
      <c r="S22" s="5">
        <v>41185.547340000005</v>
      </c>
      <c r="T22" s="5">
        <v>3198591</v>
      </c>
      <c r="U22" s="5">
        <v>8084810.8434100021</v>
      </c>
      <c r="V22" s="5">
        <v>704194</v>
      </c>
      <c r="W22" s="5">
        <v>2223069.1438099998</v>
      </c>
      <c r="X22" s="5">
        <v>1762</v>
      </c>
      <c r="Y22" s="5">
        <v>6832.402</v>
      </c>
      <c r="Z22" s="5">
        <v>37063747</v>
      </c>
      <c r="AA22" s="5">
        <v>113573934.95</v>
      </c>
      <c r="AB22" s="5">
        <v>7</v>
      </c>
      <c r="AC22" s="5">
        <v>5.1669999999999998</v>
      </c>
    </row>
    <row r="23" spans="2:29" x14ac:dyDescent="0.25">
      <c r="B23" s="9" t="s">
        <v>39</v>
      </c>
      <c r="C23" s="1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5">
      <c r="B24" s="22">
        <v>13</v>
      </c>
      <c r="C24" s="3" t="s">
        <v>40</v>
      </c>
      <c r="D24" s="4">
        <v>6849</v>
      </c>
      <c r="E24" s="4">
        <v>5715</v>
      </c>
      <c r="F24" s="4">
        <v>2560277</v>
      </c>
      <c r="G24" s="4">
        <v>0</v>
      </c>
      <c r="H24" s="4">
        <v>450178</v>
      </c>
      <c r="I24" s="4">
        <v>127889289</v>
      </c>
      <c r="J24" s="4">
        <v>16190943</v>
      </c>
      <c r="K24" s="4">
        <v>46305884</v>
      </c>
      <c r="L24" s="5">
        <v>52883846</v>
      </c>
      <c r="M24" s="5">
        <v>109256174.34599</v>
      </c>
      <c r="N24" s="5">
        <v>27785958</v>
      </c>
      <c r="O24" s="5">
        <v>112491664.52665</v>
      </c>
      <c r="P24" s="5">
        <v>0</v>
      </c>
      <c r="Q24" s="5">
        <v>0</v>
      </c>
      <c r="R24" s="5">
        <v>60575</v>
      </c>
      <c r="S24" s="5">
        <v>345046.01799999998</v>
      </c>
      <c r="T24" s="5">
        <v>2961402</v>
      </c>
      <c r="U24" s="5">
        <v>12440788.80164003</v>
      </c>
      <c r="V24" s="5">
        <v>1693922</v>
      </c>
      <c r="W24" s="5">
        <v>13486303.174209995</v>
      </c>
      <c r="X24" s="5">
        <v>8579</v>
      </c>
      <c r="Y24" s="5">
        <v>224473.86799999999</v>
      </c>
      <c r="Z24" s="5">
        <v>13100247</v>
      </c>
      <c r="AA24" s="5">
        <v>92542118.158999994</v>
      </c>
      <c r="AB24" s="5">
        <v>0</v>
      </c>
      <c r="AC24" s="5">
        <v>0</v>
      </c>
    </row>
    <row r="25" spans="2:29" x14ac:dyDescent="0.25">
      <c r="B25" s="22">
        <v>14</v>
      </c>
      <c r="C25" s="3" t="s">
        <v>41</v>
      </c>
      <c r="D25" s="4">
        <v>431</v>
      </c>
      <c r="E25" s="4">
        <v>7</v>
      </c>
      <c r="F25" s="4">
        <v>74446</v>
      </c>
      <c r="G25" s="4">
        <v>0</v>
      </c>
      <c r="H25" s="4">
        <v>52169</v>
      </c>
      <c r="I25" s="4">
        <v>0</v>
      </c>
      <c r="J25" s="4">
        <v>20760</v>
      </c>
      <c r="K25" s="4">
        <v>6464044</v>
      </c>
      <c r="L25" s="5">
        <v>73390</v>
      </c>
      <c r="M25" s="5">
        <v>100976.62913</v>
      </c>
      <c r="N25" s="5">
        <v>5999</v>
      </c>
      <c r="O25" s="5">
        <v>41135.16605</v>
      </c>
      <c r="P25" s="5">
        <v>0</v>
      </c>
      <c r="Q25" s="5">
        <v>0</v>
      </c>
      <c r="R25" s="5">
        <v>225</v>
      </c>
      <c r="S25" s="5">
        <v>1178.5999999999999</v>
      </c>
      <c r="T25" s="5">
        <v>145008</v>
      </c>
      <c r="U25" s="5">
        <v>560569.16275999998</v>
      </c>
      <c r="V25" s="5">
        <v>42636</v>
      </c>
      <c r="W25" s="5">
        <v>243271.79341999997</v>
      </c>
      <c r="X25" s="5">
        <v>0</v>
      </c>
      <c r="Y25" s="5">
        <v>0</v>
      </c>
      <c r="Z25" s="5">
        <v>1579991</v>
      </c>
      <c r="AA25" s="5">
        <v>9510816.2970000003</v>
      </c>
      <c r="AB25" s="5">
        <v>2</v>
      </c>
      <c r="AC25" s="5">
        <v>1.5</v>
      </c>
    </row>
    <row r="26" spans="2:29" x14ac:dyDescent="0.25">
      <c r="B26" s="22">
        <v>15</v>
      </c>
      <c r="C26" s="3" t="s">
        <v>42</v>
      </c>
      <c r="D26" s="4">
        <v>1334</v>
      </c>
      <c r="E26" s="4">
        <v>487</v>
      </c>
      <c r="F26" s="4">
        <v>6521</v>
      </c>
      <c r="G26" s="4">
        <v>24629</v>
      </c>
      <c r="H26" s="4">
        <v>0</v>
      </c>
      <c r="I26" s="4">
        <v>71608</v>
      </c>
      <c r="J26" s="4">
        <v>56684</v>
      </c>
      <c r="K26" s="4">
        <v>3393178</v>
      </c>
      <c r="L26" s="5">
        <v>55327</v>
      </c>
      <c r="M26" s="5">
        <v>307491.15679999953</v>
      </c>
      <c r="N26" s="5">
        <v>37001</v>
      </c>
      <c r="O26" s="5">
        <v>372681.54215999943</v>
      </c>
      <c r="P26" s="5">
        <v>0</v>
      </c>
      <c r="Q26" s="5">
        <v>0</v>
      </c>
      <c r="R26" s="5">
        <v>185</v>
      </c>
      <c r="S26" s="5">
        <v>1018.1</v>
      </c>
      <c r="T26" s="5">
        <v>342647</v>
      </c>
      <c r="U26" s="5">
        <v>1222430.6108199998</v>
      </c>
      <c r="V26" s="5">
        <v>29070</v>
      </c>
      <c r="W26" s="5">
        <v>101521.23923000001</v>
      </c>
      <c r="X26" s="5">
        <v>0</v>
      </c>
      <c r="Y26" s="5">
        <v>0</v>
      </c>
      <c r="Z26" s="5">
        <v>1924852</v>
      </c>
      <c r="AA26" s="5">
        <v>12320993.490049999</v>
      </c>
      <c r="AB26" s="5">
        <v>0</v>
      </c>
      <c r="AC26" s="5">
        <v>0</v>
      </c>
    </row>
    <row r="27" spans="2:29" x14ac:dyDescent="0.25">
      <c r="B27" s="22">
        <v>16</v>
      </c>
      <c r="C27" s="3" t="s">
        <v>43</v>
      </c>
      <c r="D27" s="4">
        <v>799</v>
      </c>
      <c r="E27" s="4">
        <v>36</v>
      </c>
      <c r="F27" s="4">
        <v>0</v>
      </c>
      <c r="G27" s="4">
        <v>0</v>
      </c>
      <c r="H27" s="4">
        <v>19269</v>
      </c>
      <c r="I27" s="4">
        <v>0</v>
      </c>
      <c r="J27" s="4">
        <v>189381</v>
      </c>
      <c r="K27" s="4">
        <v>978726</v>
      </c>
      <c r="L27" s="5">
        <v>186270</v>
      </c>
      <c r="M27" s="5">
        <v>568047.53799999994</v>
      </c>
      <c r="N27" s="5">
        <v>2008298</v>
      </c>
      <c r="O27" s="5">
        <v>1744783.1491500002</v>
      </c>
      <c r="P27" s="5">
        <v>0</v>
      </c>
      <c r="Q27" s="5">
        <v>0</v>
      </c>
      <c r="R27" s="5">
        <v>0</v>
      </c>
      <c r="S27" s="5">
        <v>0</v>
      </c>
      <c r="T27" s="5">
        <v>86154</v>
      </c>
      <c r="U27" s="5">
        <v>252258.37015</v>
      </c>
      <c r="V27" s="5">
        <v>7320</v>
      </c>
      <c r="W27" s="5">
        <v>45956.218560000001</v>
      </c>
      <c r="X27" s="5">
        <v>0</v>
      </c>
      <c r="Y27" s="5">
        <v>0</v>
      </c>
      <c r="Z27" s="5">
        <v>324037</v>
      </c>
      <c r="AA27" s="5">
        <v>1872770.7</v>
      </c>
      <c r="AB27" s="5">
        <v>0</v>
      </c>
      <c r="AC27" s="5">
        <v>0</v>
      </c>
    </row>
    <row r="28" spans="2:29" x14ac:dyDescent="0.25">
      <c r="B28" s="22">
        <v>17</v>
      </c>
      <c r="C28" s="3" t="s">
        <v>44</v>
      </c>
      <c r="D28" s="4">
        <v>444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27539</v>
      </c>
      <c r="K28" s="4">
        <v>1452296</v>
      </c>
      <c r="L28" s="5">
        <v>6902</v>
      </c>
      <c r="M28" s="5">
        <v>20769.14429</v>
      </c>
      <c r="N28" s="5">
        <v>14649</v>
      </c>
      <c r="O28" s="5">
        <v>38711.634209999895</v>
      </c>
      <c r="P28" s="5">
        <v>54643</v>
      </c>
      <c r="Q28" s="5">
        <v>24294.22148</v>
      </c>
      <c r="R28" s="5">
        <v>117</v>
      </c>
      <c r="S28" s="5">
        <v>639.29999999999995</v>
      </c>
      <c r="T28" s="5">
        <v>69121</v>
      </c>
      <c r="U28" s="5">
        <v>246958.15624000001</v>
      </c>
      <c r="V28" s="5">
        <v>60191</v>
      </c>
      <c r="W28" s="5">
        <v>244872.19469</v>
      </c>
      <c r="X28" s="5">
        <v>180</v>
      </c>
      <c r="Y28" s="5">
        <v>5808.9930000000004</v>
      </c>
      <c r="Z28" s="5">
        <v>218359</v>
      </c>
      <c r="AA28" s="5">
        <v>1555794.2879999999</v>
      </c>
      <c r="AB28" s="5">
        <v>0</v>
      </c>
      <c r="AC28" s="5">
        <v>0</v>
      </c>
    </row>
    <row r="29" spans="2:29" x14ac:dyDescent="0.25">
      <c r="B29" s="22">
        <v>18</v>
      </c>
      <c r="C29" s="3" t="s">
        <v>45</v>
      </c>
      <c r="D29" s="4">
        <v>246</v>
      </c>
      <c r="E29" s="4">
        <v>37</v>
      </c>
      <c r="F29" s="4">
        <v>1670</v>
      </c>
      <c r="G29" s="4">
        <v>0</v>
      </c>
      <c r="H29" s="4">
        <v>0</v>
      </c>
      <c r="I29" s="4">
        <v>19413</v>
      </c>
      <c r="J29" s="4">
        <v>11644</v>
      </c>
      <c r="K29" s="4">
        <v>635733</v>
      </c>
      <c r="L29" s="5">
        <v>19974</v>
      </c>
      <c r="M29" s="5">
        <v>51984.699430000001</v>
      </c>
      <c r="N29" s="5">
        <v>6616</v>
      </c>
      <c r="O29" s="5">
        <v>27372.355030000002</v>
      </c>
      <c r="P29" s="5">
        <v>0</v>
      </c>
      <c r="Q29" s="5">
        <v>0</v>
      </c>
      <c r="R29" s="5">
        <v>224</v>
      </c>
      <c r="S29" s="5">
        <v>817.6</v>
      </c>
      <c r="T29" s="5">
        <v>97097</v>
      </c>
      <c r="U29" s="5">
        <v>221614.70405000006</v>
      </c>
      <c r="V29" s="5">
        <v>3223</v>
      </c>
      <c r="W29" s="5">
        <v>9755.0936300000012</v>
      </c>
      <c r="X29" s="5">
        <v>0</v>
      </c>
      <c r="Y29" s="5">
        <v>0</v>
      </c>
      <c r="Z29" s="5">
        <v>355006</v>
      </c>
      <c r="AA29" s="5">
        <v>1659513.3698800001</v>
      </c>
      <c r="AB29" s="5">
        <v>0</v>
      </c>
      <c r="AC29" s="5">
        <v>0</v>
      </c>
    </row>
    <row r="30" spans="2:29" x14ac:dyDescent="0.25">
      <c r="B30" s="22">
        <v>19</v>
      </c>
      <c r="C30" s="3" t="s">
        <v>46</v>
      </c>
      <c r="D30" s="4">
        <v>1847</v>
      </c>
      <c r="E30" s="4">
        <v>288</v>
      </c>
      <c r="F30" s="4">
        <v>27564</v>
      </c>
      <c r="G30" s="4">
        <v>2954</v>
      </c>
      <c r="H30" s="4">
        <v>0</v>
      </c>
      <c r="I30" s="4">
        <v>6413838</v>
      </c>
      <c r="J30" s="4">
        <v>2533820</v>
      </c>
      <c r="K30" s="4">
        <v>14111674</v>
      </c>
      <c r="L30" s="5">
        <v>4110820</v>
      </c>
      <c r="M30" s="5">
        <v>10768185.11211</v>
      </c>
      <c r="N30" s="5">
        <v>7276471</v>
      </c>
      <c r="O30" s="5">
        <v>15425941.57815</v>
      </c>
      <c r="P30" s="5">
        <v>0</v>
      </c>
      <c r="Q30" s="5">
        <v>0</v>
      </c>
      <c r="R30" s="5">
        <v>5851</v>
      </c>
      <c r="S30" s="5">
        <v>29221.093780000003</v>
      </c>
      <c r="T30" s="5">
        <v>1986121</v>
      </c>
      <c r="U30" s="5">
        <v>6577859.4806899996</v>
      </c>
      <c r="V30" s="5">
        <v>947641</v>
      </c>
      <c r="W30" s="5">
        <v>4561238.9916199995</v>
      </c>
      <c r="X30" s="5">
        <v>3095</v>
      </c>
      <c r="Y30" s="5">
        <v>46717.907359999997</v>
      </c>
      <c r="Z30" s="5">
        <v>6120243</v>
      </c>
      <c r="AA30" s="5">
        <v>34941892.152000003</v>
      </c>
      <c r="AB30" s="5">
        <v>0</v>
      </c>
      <c r="AC30" s="5">
        <v>0</v>
      </c>
    </row>
    <row r="31" spans="2:29" x14ac:dyDescent="0.25">
      <c r="B31" s="22">
        <v>20</v>
      </c>
      <c r="C31" s="3" t="s">
        <v>47</v>
      </c>
      <c r="D31" s="4">
        <v>13138</v>
      </c>
      <c r="E31" s="4">
        <v>7820</v>
      </c>
      <c r="F31" s="4">
        <v>1935776</v>
      </c>
      <c r="G31" s="4">
        <v>1727</v>
      </c>
      <c r="H31" s="4">
        <v>2292192</v>
      </c>
      <c r="I31" s="4">
        <v>1219780</v>
      </c>
      <c r="J31" s="4">
        <v>26746848</v>
      </c>
      <c r="K31" s="4">
        <v>63851475</v>
      </c>
      <c r="L31" s="5">
        <v>104537466</v>
      </c>
      <c r="M31" s="5">
        <v>204980218.19683</v>
      </c>
      <c r="N31" s="5">
        <v>41566047</v>
      </c>
      <c r="O31" s="5">
        <v>389344435.02050006</v>
      </c>
      <c r="P31" s="5">
        <v>0</v>
      </c>
      <c r="Q31" s="5">
        <v>0</v>
      </c>
      <c r="R31" s="5">
        <v>151400</v>
      </c>
      <c r="S31" s="5">
        <v>1033323.574</v>
      </c>
      <c r="T31" s="5">
        <v>6477487</v>
      </c>
      <c r="U31" s="5">
        <v>31075292.447349999</v>
      </c>
      <c r="V31" s="5">
        <v>5762538</v>
      </c>
      <c r="W31" s="5">
        <v>38077531.991979986</v>
      </c>
      <c r="X31" s="5">
        <v>44867</v>
      </c>
      <c r="Y31" s="5">
        <v>1462231.1249900002</v>
      </c>
      <c r="Z31" s="5">
        <v>26047044</v>
      </c>
      <c r="AA31" s="5">
        <v>192684928.60646001</v>
      </c>
      <c r="AB31" s="5">
        <v>3</v>
      </c>
      <c r="AC31" s="5">
        <v>2.2000000000000002</v>
      </c>
    </row>
    <row r="32" spans="2:29" x14ac:dyDescent="0.25">
      <c r="B32" s="22">
        <v>21</v>
      </c>
      <c r="C32" s="3" t="s">
        <v>48</v>
      </c>
      <c r="D32" s="4">
        <v>9679</v>
      </c>
      <c r="E32" s="4">
        <v>2509</v>
      </c>
      <c r="F32" s="4">
        <v>164069</v>
      </c>
      <c r="G32" s="4">
        <v>7414</v>
      </c>
      <c r="H32" s="4">
        <v>0</v>
      </c>
      <c r="I32" s="4">
        <v>3851053</v>
      </c>
      <c r="J32" s="4">
        <v>19522611</v>
      </c>
      <c r="K32" s="4">
        <v>31816341</v>
      </c>
      <c r="L32" s="5">
        <v>16306847</v>
      </c>
      <c r="M32" s="5">
        <v>92232621.220370635</v>
      </c>
      <c r="N32" s="5">
        <v>79193168</v>
      </c>
      <c r="O32" s="5">
        <v>221876694.59958705</v>
      </c>
      <c r="P32" s="5">
        <v>90</v>
      </c>
      <c r="Q32" s="5">
        <v>9325.26</v>
      </c>
      <c r="R32" s="5">
        <v>42499</v>
      </c>
      <c r="S32" s="5">
        <v>219396.50399999999</v>
      </c>
      <c r="T32" s="5">
        <v>3514663</v>
      </c>
      <c r="U32" s="5">
        <v>19358925.845469885</v>
      </c>
      <c r="V32" s="5">
        <v>2971182</v>
      </c>
      <c r="W32" s="5">
        <v>22834596.088369839</v>
      </c>
      <c r="X32" s="5">
        <v>2534</v>
      </c>
      <c r="Y32" s="5">
        <v>70704.573000000004</v>
      </c>
      <c r="Z32" s="5">
        <v>9988391</v>
      </c>
      <c r="AA32" s="5">
        <v>85862246.248999998</v>
      </c>
      <c r="AB32" s="5">
        <v>0</v>
      </c>
      <c r="AC32" s="5">
        <v>0</v>
      </c>
    </row>
    <row r="33" spans="2:29" x14ac:dyDescent="0.25">
      <c r="B33" s="22">
        <v>22</v>
      </c>
      <c r="C33" s="3" t="s">
        <v>49</v>
      </c>
      <c r="D33" s="4">
        <v>2471</v>
      </c>
      <c r="E33" s="4">
        <v>581</v>
      </c>
      <c r="F33" s="4">
        <v>13171</v>
      </c>
      <c r="G33" s="4">
        <v>2775</v>
      </c>
      <c r="H33" s="4">
        <v>0</v>
      </c>
      <c r="I33" s="4">
        <v>652045</v>
      </c>
      <c r="J33" s="4">
        <v>50052</v>
      </c>
      <c r="K33" s="4">
        <v>11262306</v>
      </c>
      <c r="L33" s="5">
        <v>79109</v>
      </c>
      <c r="M33" s="5">
        <v>381287.90006000001</v>
      </c>
      <c r="N33" s="5">
        <v>88278</v>
      </c>
      <c r="O33" s="5">
        <v>351935.23861</v>
      </c>
      <c r="P33" s="5">
        <v>0</v>
      </c>
      <c r="Q33" s="5">
        <v>0</v>
      </c>
      <c r="R33" s="5">
        <v>528</v>
      </c>
      <c r="S33" s="5">
        <v>3059.8927899999999</v>
      </c>
      <c r="T33" s="5">
        <v>738352</v>
      </c>
      <c r="U33" s="5">
        <v>1982721.7569800036</v>
      </c>
      <c r="V33" s="5">
        <v>132834</v>
      </c>
      <c r="W33" s="5">
        <v>491056.65684999374</v>
      </c>
      <c r="X33" s="5">
        <v>0</v>
      </c>
      <c r="Y33" s="5">
        <v>0</v>
      </c>
      <c r="Z33" s="5">
        <v>3727194</v>
      </c>
      <c r="AA33" s="5">
        <v>20662975.144000001</v>
      </c>
      <c r="AB33" s="5">
        <v>71</v>
      </c>
      <c r="AC33" s="5">
        <v>32.15</v>
      </c>
    </row>
    <row r="34" spans="2:29" x14ac:dyDescent="0.25">
      <c r="B34" s="22">
        <v>23</v>
      </c>
      <c r="C34" s="3" t="s">
        <v>50</v>
      </c>
      <c r="D34" s="4">
        <v>926</v>
      </c>
      <c r="E34" s="4">
        <v>184</v>
      </c>
      <c r="F34" s="4">
        <v>35709</v>
      </c>
      <c r="G34" s="4">
        <v>6370</v>
      </c>
      <c r="H34" s="4">
        <v>0</v>
      </c>
      <c r="I34" s="4">
        <v>272792</v>
      </c>
      <c r="J34" s="4">
        <v>4809102</v>
      </c>
      <c r="K34" s="4">
        <v>7248340</v>
      </c>
      <c r="L34" s="5">
        <v>17513542</v>
      </c>
      <c r="M34" s="5">
        <v>27048442.761999998</v>
      </c>
      <c r="N34" s="5">
        <v>3103878</v>
      </c>
      <c r="O34" s="5">
        <v>19167850.401999999</v>
      </c>
      <c r="P34" s="5">
        <v>0</v>
      </c>
      <c r="Q34" s="5">
        <v>0</v>
      </c>
      <c r="R34" s="5">
        <v>22839</v>
      </c>
      <c r="S34" s="5">
        <v>124732.8</v>
      </c>
      <c r="T34" s="5">
        <v>488998</v>
      </c>
      <c r="U34" s="5">
        <v>2015373.68407</v>
      </c>
      <c r="V34" s="5">
        <v>356721</v>
      </c>
      <c r="W34" s="5">
        <v>2754544.3224599999</v>
      </c>
      <c r="X34" s="5">
        <v>0</v>
      </c>
      <c r="Y34" s="5">
        <v>0</v>
      </c>
      <c r="Z34" s="5">
        <v>2545999</v>
      </c>
      <c r="AA34" s="5">
        <v>15854353.801999999</v>
      </c>
      <c r="AB34" s="5">
        <v>0</v>
      </c>
      <c r="AC34" s="5">
        <v>0</v>
      </c>
    </row>
    <row r="35" spans="2:29" x14ac:dyDescent="0.25">
      <c r="B35" s="22">
        <v>24</v>
      </c>
      <c r="C35" s="3" t="s">
        <v>51</v>
      </c>
      <c r="D35" s="4">
        <v>2142</v>
      </c>
      <c r="E35" s="4">
        <v>711</v>
      </c>
      <c r="F35" s="4">
        <v>93126</v>
      </c>
      <c r="G35" s="4">
        <v>0</v>
      </c>
      <c r="H35" s="4">
        <v>12164</v>
      </c>
      <c r="I35" s="4">
        <v>7091129</v>
      </c>
      <c r="J35" s="4">
        <v>2981955</v>
      </c>
      <c r="K35" s="4">
        <v>12228852</v>
      </c>
      <c r="L35" s="5">
        <v>2378853</v>
      </c>
      <c r="M35" s="5">
        <v>15755686.149440002</v>
      </c>
      <c r="N35" s="5">
        <v>10146697</v>
      </c>
      <c r="O35" s="5">
        <v>29236962.730999999</v>
      </c>
      <c r="P35" s="5">
        <v>0</v>
      </c>
      <c r="Q35" s="5">
        <v>0</v>
      </c>
      <c r="R35" s="5">
        <v>14671</v>
      </c>
      <c r="S35" s="5">
        <v>79902.288</v>
      </c>
      <c r="T35" s="5">
        <v>432769</v>
      </c>
      <c r="U35" s="5">
        <v>1527099.2688900002</v>
      </c>
      <c r="V35" s="5">
        <v>416631</v>
      </c>
      <c r="W35" s="5">
        <v>2109588.1911500003</v>
      </c>
      <c r="X35" s="5">
        <v>635</v>
      </c>
      <c r="Y35" s="5">
        <v>65417.897979999994</v>
      </c>
      <c r="Z35" s="5">
        <v>3971507</v>
      </c>
      <c r="AA35" s="5">
        <v>16082865.864559999</v>
      </c>
      <c r="AB35" s="5">
        <v>0</v>
      </c>
      <c r="AC35" s="5">
        <v>0</v>
      </c>
    </row>
    <row r="36" spans="2:29" x14ac:dyDescent="0.25">
      <c r="B36" s="22">
        <v>25</v>
      </c>
      <c r="C36" s="3" t="s">
        <v>52</v>
      </c>
      <c r="D36" s="4">
        <v>976</v>
      </c>
      <c r="E36" s="4">
        <v>644</v>
      </c>
      <c r="F36" s="4">
        <v>14156</v>
      </c>
      <c r="G36" s="4">
        <v>1432</v>
      </c>
      <c r="H36" s="4">
        <v>0</v>
      </c>
      <c r="I36" s="4">
        <v>653848</v>
      </c>
      <c r="J36" s="4">
        <v>178283</v>
      </c>
      <c r="K36" s="4">
        <v>5294352</v>
      </c>
      <c r="L36" s="5">
        <v>416999</v>
      </c>
      <c r="M36" s="5">
        <v>1800299.497</v>
      </c>
      <c r="N36" s="5">
        <v>81248</v>
      </c>
      <c r="O36" s="5">
        <v>364833.71028</v>
      </c>
      <c r="P36" s="5">
        <v>0</v>
      </c>
      <c r="Q36" s="5">
        <v>0</v>
      </c>
      <c r="R36" s="5">
        <v>10093</v>
      </c>
      <c r="S36" s="5">
        <v>45440.708579999999</v>
      </c>
      <c r="T36" s="5">
        <v>522099</v>
      </c>
      <c r="U36" s="5">
        <v>1325089.38475</v>
      </c>
      <c r="V36" s="5">
        <v>327819</v>
      </c>
      <c r="W36" s="5">
        <v>378100.30115000001</v>
      </c>
      <c r="X36" s="5">
        <v>0</v>
      </c>
      <c r="Y36" s="5">
        <v>0</v>
      </c>
      <c r="Z36" s="5">
        <v>4174967</v>
      </c>
      <c r="AA36" s="5">
        <v>23054765.502</v>
      </c>
      <c r="AB36" s="5">
        <v>0</v>
      </c>
      <c r="AC36" s="5">
        <v>0</v>
      </c>
    </row>
    <row r="37" spans="2:29" x14ac:dyDescent="0.25">
      <c r="B37" s="22">
        <v>26</v>
      </c>
      <c r="C37" s="3" t="s">
        <v>53</v>
      </c>
      <c r="D37" s="4">
        <v>977</v>
      </c>
      <c r="E37" s="4">
        <v>492</v>
      </c>
      <c r="F37" s="4">
        <v>9101</v>
      </c>
      <c r="G37" s="4">
        <v>0</v>
      </c>
      <c r="H37" s="4">
        <v>0</v>
      </c>
      <c r="I37" s="4">
        <v>148697</v>
      </c>
      <c r="J37" s="4">
        <v>0</v>
      </c>
      <c r="K37" s="4">
        <v>5551086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517713</v>
      </c>
      <c r="U37" s="5">
        <v>1106579.1828900001</v>
      </c>
      <c r="V37" s="5">
        <v>52023</v>
      </c>
      <c r="W37" s="5">
        <v>158794.41493</v>
      </c>
      <c r="X37" s="5">
        <v>0</v>
      </c>
      <c r="Y37" s="5">
        <v>0</v>
      </c>
      <c r="Z37" s="5">
        <v>3096927</v>
      </c>
      <c r="AA37" s="5">
        <v>15783474.27379</v>
      </c>
      <c r="AB37" s="5">
        <v>0</v>
      </c>
      <c r="AC37" s="5">
        <v>0</v>
      </c>
    </row>
    <row r="38" spans="2:29" x14ac:dyDescent="0.25">
      <c r="B38" s="22">
        <v>27</v>
      </c>
      <c r="C38" s="3" t="s">
        <v>54</v>
      </c>
      <c r="D38" s="4">
        <v>1588</v>
      </c>
      <c r="E38" s="4">
        <v>581</v>
      </c>
      <c r="F38" s="4">
        <v>7710</v>
      </c>
      <c r="G38" s="4">
        <v>162</v>
      </c>
      <c r="H38" s="4">
        <v>47249</v>
      </c>
      <c r="I38" s="4">
        <v>7328</v>
      </c>
      <c r="J38" s="4">
        <v>9510</v>
      </c>
      <c r="K38" s="4">
        <v>5153914</v>
      </c>
      <c r="L38" s="5">
        <v>20112</v>
      </c>
      <c r="M38" s="5">
        <v>137967.01754</v>
      </c>
      <c r="N38" s="5">
        <v>8031</v>
      </c>
      <c r="O38" s="5">
        <v>113523.70912999999</v>
      </c>
      <c r="P38" s="5">
        <v>0</v>
      </c>
      <c r="Q38" s="5">
        <v>0</v>
      </c>
      <c r="R38" s="5">
        <v>311</v>
      </c>
      <c r="S38" s="5">
        <v>2410.1999999999998</v>
      </c>
      <c r="T38" s="5">
        <v>623578</v>
      </c>
      <c r="U38" s="5">
        <v>1844466.3227500005</v>
      </c>
      <c r="V38" s="5">
        <v>76635</v>
      </c>
      <c r="W38" s="5">
        <v>406778.05355999968</v>
      </c>
      <c r="X38" s="5">
        <v>0</v>
      </c>
      <c r="Y38" s="5">
        <v>0</v>
      </c>
      <c r="Z38" s="5">
        <v>3131414</v>
      </c>
      <c r="AA38" s="5">
        <v>17287567.995650001</v>
      </c>
      <c r="AB38" s="5">
        <v>0</v>
      </c>
      <c r="AC38" s="5">
        <v>0</v>
      </c>
    </row>
    <row r="39" spans="2:29" x14ac:dyDescent="0.25">
      <c r="B39" s="22">
        <v>28</v>
      </c>
      <c r="C39" s="3" t="s">
        <v>55</v>
      </c>
      <c r="D39" s="4">
        <v>2076</v>
      </c>
      <c r="E39" s="4">
        <v>658</v>
      </c>
      <c r="F39" s="4">
        <v>74935</v>
      </c>
      <c r="G39" s="4">
        <v>0</v>
      </c>
      <c r="H39" s="4">
        <v>183302</v>
      </c>
      <c r="I39" s="4">
        <v>738856</v>
      </c>
      <c r="J39" s="4">
        <v>4783065</v>
      </c>
      <c r="K39" s="4">
        <v>37169703</v>
      </c>
      <c r="L39" s="5">
        <v>17023617</v>
      </c>
      <c r="M39" s="5">
        <v>29953503.451820001</v>
      </c>
      <c r="N39" s="5">
        <v>4228082</v>
      </c>
      <c r="O39" s="5">
        <v>32645908.074189998</v>
      </c>
      <c r="P39" s="5">
        <v>0</v>
      </c>
      <c r="Q39" s="5">
        <v>0</v>
      </c>
      <c r="R39" s="5">
        <v>28952</v>
      </c>
      <c r="S39" s="5">
        <v>159878.29689</v>
      </c>
      <c r="T39" s="5">
        <v>1696657</v>
      </c>
      <c r="U39" s="5">
        <v>4742634.0889999997</v>
      </c>
      <c r="V39" s="5">
        <v>2251856</v>
      </c>
      <c r="W39" s="5">
        <v>7534985.5300000003</v>
      </c>
      <c r="X39" s="5">
        <v>0</v>
      </c>
      <c r="Y39" s="5">
        <v>0</v>
      </c>
      <c r="Z39" s="5">
        <v>7906431</v>
      </c>
      <c r="AA39" s="5">
        <v>46344626.537800029</v>
      </c>
      <c r="AB39" s="5">
        <v>0</v>
      </c>
      <c r="AC39" s="5">
        <v>0</v>
      </c>
    </row>
    <row r="40" spans="2:29" x14ac:dyDescent="0.25">
      <c r="B40" s="22">
        <v>29</v>
      </c>
      <c r="C40" s="3" t="s">
        <v>56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1129</v>
      </c>
      <c r="J40" s="4">
        <v>0</v>
      </c>
      <c r="K40" s="4">
        <v>160413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9519</v>
      </c>
      <c r="U40" s="5">
        <v>19840.545340000001</v>
      </c>
      <c r="V40" s="5">
        <v>3228</v>
      </c>
      <c r="W40" s="5">
        <v>10124.822819999999</v>
      </c>
      <c r="X40" s="5">
        <v>0</v>
      </c>
      <c r="Y40" s="5">
        <v>0</v>
      </c>
      <c r="Z40" s="5">
        <v>54761</v>
      </c>
      <c r="AA40" s="5">
        <v>287153.61</v>
      </c>
      <c r="AB40" s="5">
        <v>0</v>
      </c>
      <c r="AC40" s="5">
        <v>0</v>
      </c>
    </row>
    <row r="41" spans="2:29" x14ac:dyDescent="0.25">
      <c r="B41" s="22">
        <v>30</v>
      </c>
      <c r="C41" s="3" t="s">
        <v>57</v>
      </c>
      <c r="D41" s="4">
        <v>386</v>
      </c>
      <c r="E41" s="4">
        <v>24</v>
      </c>
      <c r="F41" s="4">
        <v>2649609</v>
      </c>
      <c r="G41" s="4">
        <v>0</v>
      </c>
      <c r="H41" s="4">
        <v>1595</v>
      </c>
      <c r="I41" s="4">
        <v>50409</v>
      </c>
      <c r="J41" s="4">
        <v>4648468</v>
      </c>
      <c r="K41" s="4">
        <v>1611761</v>
      </c>
      <c r="L41" s="5">
        <v>4204453</v>
      </c>
      <c r="M41" s="5">
        <v>25202711.053580001</v>
      </c>
      <c r="N41" s="5">
        <v>6960581</v>
      </c>
      <c r="O41" s="5">
        <v>43525130.319100007</v>
      </c>
      <c r="P41" s="5">
        <v>0</v>
      </c>
      <c r="Q41" s="5">
        <v>0</v>
      </c>
      <c r="R41" s="5">
        <v>28947</v>
      </c>
      <c r="S41" s="5">
        <v>154829.01282</v>
      </c>
      <c r="T41" s="5">
        <v>95216</v>
      </c>
      <c r="U41" s="5">
        <v>348835.78888000001</v>
      </c>
      <c r="V41" s="5">
        <v>66312</v>
      </c>
      <c r="W41" s="5">
        <v>433312.04055000009</v>
      </c>
      <c r="X41" s="5">
        <v>41</v>
      </c>
      <c r="Y41" s="5">
        <v>1281.7909999999999</v>
      </c>
      <c r="Z41" s="5">
        <v>325559</v>
      </c>
      <c r="AA41" s="5">
        <v>1936310.9968800002</v>
      </c>
      <c r="AB41" s="5">
        <v>0</v>
      </c>
      <c r="AC41" s="5">
        <v>0</v>
      </c>
    </row>
    <row r="42" spans="2:29" x14ac:dyDescent="0.25">
      <c r="B42" s="22">
        <v>31</v>
      </c>
      <c r="C42" s="3" t="s">
        <v>58</v>
      </c>
      <c r="D42" s="4">
        <v>915</v>
      </c>
      <c r="E42" s="4">
        <v>359</v>
      </c>
      <c r="F42" s="4">
        <v>14118</v>
      </c>
      <c r="G42" s="4">
        <v>0</v>
      </c>
      <c r="H42" s="4">
        <v>32875</v>
      </c>
      <c r="I42" s="4">
        <v>120142</v>
      </c>
      <c r="J42" s="4">
        <v>334007</v>
      </c>
      <c r="K42" s="4">
        <v>4198190</v>
      </c>
      <c r="L42" s="5">
        <v>409314</v>
      </c>
      <c r="M42" s="5">
        <v>1873848.61628</v>
      </c>
      <c r="N42" s="5">
        <v>585809</v>
      </c>
      <c r="O42" s="5">
        <v>2705935.4836300001</v>
      </c>
      <c r="P42" s="5">
        <v>0</v>
      </c>
      <c r="Q42" s="5">
        <v>0</v>
      </c>
      <c r="R42" s="5">
        <v>0</v>
      </c>
      <c r="S42" s="5">
        <v>0</v>
      </c>
      <c r="T42" s="5">
        <v>690624</v>
      </c>
      <c r="U42" s="5">
        <v>2245427.2313800002</v>
      </c>
      <c r="V42" s="5">
        <v>142708</v>
      </c>
      <c r="W42" s="5">
        <v>935475.11950000003</v>
      </c>
      <c r="X42" s="5">
        <v>0</v>
      </c>
      <c r="Y42" s="5">
        <v>0</v>
      </c>
      <c r="Z42" s="5">
        <v>2200460</v>
      </c>
      <c r="AA42" s="5">
        <v>12022602.469000001</v>
      </c>
      <c r="AB42" s="5">
        <v>0</v>
      </c>
      <c r="AC42" s="5">
        <v>0</v>
      </c>
    </row>
    <row r="43" spans="2:29" x14ac:dyDescent="0.25">
      <c r="B43" s="22">
        <v>32</v>
      </c>
      <c r="C43" s="3" t="s">
        <v>59</v>
      </c>
      <c r="D43" s="4">
        <v>509</v>
      </c>
      <c r="E43" s="4">
        <v>641</v>
      </c>
      <c r="F43" s="4">
        <v>618</v>
      </c>
      <c r="G43" s="4">
        <v>0</v>
      </c>
      <c r="H43" s="4">
        <v>0</v>
      </c>
      <c r="I43" s="4">
        <v>206633</v>
      </c>
      <c r="J43" s="4">
        <v>17994</v>
      </c>
      <c r="K43" s="4">
        <v>2672300</v>
      </c>
      <c r="L43" s="5">
        <v>36029</v>
      </c>
      <c r="M43" s="5">
        <v>180287.55724000002</v>
      </c>
      <c r="N43" s="5">
        <v>13943</v>
      </c>
      <c r="O43" s="5">
        <v>95548.114220000003</v>
      </c>
      <c r="P43" s="5">
        <v>0</v>
      </c>
      <c r="Q43" s="5">
        <v>0</v>
      </c>
      <c r="R43" s="5">
        <v>1545</v>
      </c>
      <c r="S43" s="5">
        <v>7209.4</v>
      </c>
      <c r="T43" s="5">
        <v>243604</v>
      </c>
      <c r="U43" s="5">
        <v>1079346.6252300001</v>
      </c>
      <c r="V43" s="5">
        <v>23872</v>
      </c>
      <c r="W43" s="5">
        <v>226943.51869</v>
      </c>
      <c r="X43" s="5">
        <v>59</v>
      </c>
      <c r="Y43" s="5">
        <v>173.88</v>
      </c>
      <c r="Z43" s="5">
        <v>3657938</v>
      </c>
      <c r="AA43" s="5">
        <v>20670977.82</v>
      </c>
      <c r="AB43" s="5">
        <v>0</v>
      </c>
      <c r="AC43" s="5">
        <v>0</v>
      </c>
    </row>
    <row r="44" spans="2:29" x14ac:dyDescent="0.25">
      <c r="B44" s="22">
        <v>33</v>
      </c>
      <c r="C44" s="3" t="s">
        <v>60</v>
      </c>
      <c r="D44" s="4">
        <v>1258</v>
      </c>
      <c r="E44" s="4">
        <v>113</v>
      </c>
      <c r="F44" s="4">
        <v>182062</v>
      </c>
      <c r="G44" s="4">
        <v>72561</v>
      </c>
      <c r="H44" s="4">
        <v>107875</v>
      </c>
      <c r="I44" s="4">
        <v>612583311</v>
      </c>
      <c r="J44" s="4">
        <v>2991582</v>
      </c>
      <c r="K44" s="4">
        <v>5332598</v>
      </c>
      <c r="L44" s="5">
        <v>16580877</v>
      </c>
      <c r="M44" s="5">
        <v>26013264.716510002</v>
      </c>
      <c r="N44" s="5">
        <v>1840670</v>
      </c>
      <c r="O44" s="5">
        <v>13752697.396269996</v>
      </c>
      <c r="P44" s="5">
        <v>0</v>
      </c>
      <c r="Q44" s="5">
        <v>0</v>
      </c>
      <c r="R44" s="5">
        <v>8296</v>
      </c>
      <c r="S44" s="5">
        <v>45670.9</v>
      </c>
      <c r="T44" s="5">
        <v>367887</v>
      </c>
      <c r="U44" s="5">
        <v>1550093.5338100006</v>
      </c>
      <c r="V44" s="5">
        <v>78658</v>
      </c>
      <c r="W44" s="5">
        <v>583488.91892999527</v>
      </c>
      <c r="X44" s="5">
        <v>12</v>
      </c>
      <c r="Y44" s="5">
        <v>203.57900000000001</v>
      </c>
      <c r="Z44" s="5">
        <v>1400224</v>
      </c>
      <c r="AA44" s="5">
        <v>9246172.1799999997</v>
      </c>
      <c r="AB44" s="5">
        <v>0</v>
      </c>
      <c r="AC44" s="5">
        <v>0</v>
      </c>
    </row>
    <row r="45" spans="2:29" x14ac:dyDescent="0.25">
      <c r="B45" s="9" t="s">
        <v>61</v>
      </c>
      <c r="C45" s="1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5">
      <c r="B46" s="22">
        <v>34</v>
      </c>
      <c r="C46" s="3" t="s">
        <v>62</v>
      </c>
      <c r="D46" s="4">
        <v>0</v>
      </c>
      <c r="E46" s="4">
        <v>0</v>
      </c>
      <c r="F46" s="4">
        <v>11219</v>
      </c>
      <c r="G46" s="4">
        <v>0</v>
      </c>
      <c r="H46" s="4">
        <v>0</v>
      </c>
      <c r="I46" s="4">
        <v>0</v>
      </c>
      <c r="J46" s="4">
        <v>1300853</v>
      </c>
      <c r="K46" s="4">
        <v>0</v>
      </c>
      <c r="L46" s="5">
        <v>1677025</v>
      </c>
      <c r="M46" s="5">
        <v>16596266.494999999</v>
      </c>
      <c r="N46" s="5">
        <v>4194413</v>
      </c>
      <c r="O46" s="5">
        <v>42671231.057999998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5">
      <c r="B47" s="22">
        <v>35</v>
      </c>
      <c r="C47" s="3" t="s">
        <v>63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5">
      <c r="B48" s="22">
        <v>36</v>
      </c>
      <c r="C48" s="3" t="s">
        <v>64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1414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467</v>
      </c>
      <c r="U48" s="5">
        <v>1228.0039299999999</v>
      </c>
      <c r="V48" s="5">
        <v>961</v>
      </c>
      <c r="W48" s="5">
        <v>3516.02</v>
      </c>
      <c r="X48" s="5">
        <v>0</v>
      </c>
      <c r="Y48" s="5">
        <v>0</v>
      </c>
      <c r="Z48" s="5">
        <v>1038</v>
      </c>
      <c r="AA48" s="5">
        <v>4772.8</v>
      </c>
      <c r="AB48" s="5">
        <v>0</v>
      </c>
      <c r="AC48" s="5">
        <v>0</v>
      </c>
    </row>
    <row r="49" spans="1:29" x14ac:dyDescent="0.25">
      <c r="B49" s="22">
        <v>37</v>
      </c>
      <c r="C49" s="3" t="s">
        <v>65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422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62</v>
      </c>
      <c r="U49" s="5">
        <v>223.46952999999999</v>
      </c>
      <c r="V49" s="5">
        <v>0</v>
      </c>
      <c r="W49" s="5">
        <v>0</v>
      </c>
      <c r="X49" s="5">
        <v>0</v>
      </c>
      <c r="Y49" s="5">
        <v>0</v>
      </c>
      <c r="Z49" s="5">
        <v>575</v>
      </c>
      <c r="AA49" s="5">
        <v>5396.2</v>
      </c>
      <c r="AB49" s="5">
        <v>0</v>
      </c>
      <c r="AC49" s="5">
        <v>0</v>
      </c>
    </row>
    <row r="50" spans="1:29" x14ac:dyDescent="0.25">
      <c r="B50" s="22">
        <v>38</v>
      </c>
      <c r="C50" s="3" t="s">
        <v>66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279641</v>
      </c>
      <c r="K50" s="4">
        <v>0</v>
      </c>
      <c r="L50" s="5">
        <v>170844</v>
      </c>
      <c r="M50" s="5">
        <v>1200176.4302000301</v>
      </c>
      <c r="N50" s="5">
        <v>348629</v>
      </c>
      <c r="O50" s="5">
        <v>4523532.3129302645</v>
      </c>
      <c r="P50" s="5">
        <v>0</v>
      </c>
      <c r="Q50" s="5">
        <v>0</v>
      </c>
      <c r="R50" s="5">
        <v>466</v>
      </c>
      <c r="S50" s="5">
        <v>4040.3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B51" s="22">
        <v>39</v>
      </c>
      <c r="C51" s="3" t="s">
        <v>67</v>
      </c>
      <c r="D51" s="4">
        <v>413</v>
      </c>
      <c r="E51" s="4">
        <v>309</v>
      </c>
      <c r="F51" s="4">
        <v>660</v>
      </c>
      <c r="G51" s="4">
        <v>84</v>
      </c>
      <c r="H51" s="4">
        <v>0</v>
      </c>
      <c r="I51" s="4">
        <v>9402</v>
      </c>
      <c r="J51" s="4">
        <v>309649</v>
      </c>
      <c r="K51" s="4">
        <v>1599662</v>
      </c>
      <c r="L51" s="5">
        <v>316797</v>
      </c>
      <c r="M51" s="5">
        <v>1518558.4526500001</v>
      </c>
      <c r="N51" s="5">
        <v>243595</v>
      </c>
      <c r="O51" s="5">
        <v>1858996.3156400002</v>
      </c>
      <c r="P51" s="5">
        <v>0</v>
      </c>
      <c r="Q51" s="5">
        <v>0</v>
      </c>
      <c r="R51" s="5">
        <v>940</v>
      </c>
      <c r="S51" s="5">
        <v>3025.4</v>
      </c>
      <c r="T51" s="5">
        <v>117288</v>
      </c>
      <c r="U51" s="5">
        <v>417314.44694999891</v>
      </c>
      <c r="V51" s="5">
        <v>64420</v>
      </c>
      <c r="W51" s="5">
        <v>327244.81225999963</v>
      </c>
      <c r="X51" s="5">
        <v>0</v>
      </c>
      <c r="Y51" s="5">
        <v>0</v>
      </c>
      <c r="Z51" s="5">
        <v>549422</v>
      </c>
      <c r="AA51" s="5">
        <v>3555391.0510000172</v>
      </c>
      <c r="AB51" s="5">
        <v>0</v>
      </c>
      <c r="AC51" s="5">
        <v>0</v>
      </c>
    </row>
    <row r="52" spans="1:29" x14ac:dyDescent="0.25">
      <c r="B52" s="22">
        <v>40</v>
      </c>
      <c r="C52" s="3" t="s">
        <v>68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273</v>
      </c>
      <c r="J52" s="4">
        <v>0</v>
      </c>
      <c r="K52" s="4">
        <v>100876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14950</v>
      </c>
      <c r="U52" s="5">
        <v>58879.436769999957</v>
      </c>
      <c r="V52" s="5">
        <v>17236</v>
      </c>
      <c r="W52" s="5">
        <v>57285.503409999757</v>
      </c>
      <c r="X52" s="5">
        <v>0</v>
      </c>
      <c r="Y52" s="5">
        <v>0</v>
      </c>
      <c r="Z52" s="5">
        <v>18724</v>
      </c>
      <c r="AA52" s="5">
        <v>125098.39</v>
      </c>
      <c r="AB52" s="5">
        <v>0</v>
      </c>
      <c r="AC52" s="5">
        <v>0</v>
      </c>
    </row>
    <row r="53" spans="1:29" x14ac:dyDescent="0.25">
      <c r="B53" s="22">
        <v>41</v>
      </c>
      <c r="C53" s="3" t="s">
        <v>69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23598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542</v>
      </c>
      <c r="U53" s="5">
        <v>2113.3150699999997</v>
      </c>
      <c r="V53" s="5">
        <v>108</v>
      </c>
      <c r="W53" s="5">
        <v>214.87226000000001</v>
      </c>
      <c r="X53" s="5">
        <v>0</v>
      </c>
      <c r="Y53" s="5">
        <v>0</v>
      </c>
      <c r="Z53" s="5">
        <v>1203</v>
      </c>
      <c r="AA53" s="5">
        <v>7682.2</v>
      </c>
      <c r="AB53" s="5">
        <v>0</v>
      </c>
      <c r="AC53" s="5">
        <v>0</v>
      </c>
    </row>
    <row r="54" spans="1:29" x14ac:dyDescent="0.25">
      <c r="B54" s="22">
        <v>42</v>
      </c>
      <c r="C54" s="3" t="s">
        <v>70</v>
      </c>
      <c r="D54" s="37">
        <v>52</v>
      </c>
      <c r="E54" s="4">
        <v>25</v>
      </c>
      <c r="F54" s="4">
        <v>0</v>
      </c>
      <c r="G54" s="4">
        <v>0</v>
      </c>
      <c r="H54" s="4">
        <v>0</v>
      </c>
      <c r="I54" s="4">
        <v>6268</v>
      </c>
      <c r="J54" s="4">
        <v>979863</v>
      </c>
      <c r="K54" s="4">
        <v>978810</v>
      </c>
      <c r="L54" s="5">
        <v>1158265</v>
      </c>
      <c r="M54" s="5">
        <v>5197889.2299198098</v>
      </c>
      <c r="N54" s="5">
        <v>3496199</v>
      </c>
      <c r="O54" s="5">
        <v>12088595.440739235</v>
      </c>
      <c r="P54" s="5">
        <v>0</v>
      </c>
      <c r="Q54" s="5">
        <v>0</v>
      </c>
      <c r="R54" s="5">
        <v>2348</v>
      </c>
      <c r="S54" s="5">
        <v>16799.573550000001</v>
      </c>
      <c r="T54" s="5">
        <v>266637</v>
      </c>
      <c r="U54" s="5">
        <v>1619718.0572500001</v>
      </c>
      <c r="V54" s="5">
        <v>0</v>
      </c>
      <c r="W54" s="5">
        <v>0</v>
      </c>
      <c r="X54" s="5">
        <v>0</v>
      </c>
      <c r="Y54" s="5">
        <v>0</v>
      </c>
      <c r="Z54" s="5">
        <v>205134</v>
      </c>
      <c r="AA54" s="5">
        <v>1342825.1610199995</v>
      </c>
      <c r="AB54" s="5">
        <v>0</v>
      </c>
      <c r="AC54" s="5">
        <v>0</v>
      </c>
    </row>
    <row r="55" spans="1:29" x14ac:dyDescent="0.25">
      <c r="B55" s="22">
        <v>43</v>
      </c>
      <c r="C55" s="3" t="s">
        <v>71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2059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925</v>
      </c>
      <c r="U55" s="5">
        <v>3333.078</v>
      </c>
      <c r="V55" s="5">
        <v>83</v>
      </c>
      <c r="W55" s="5">
        <v>194.92400000000001</v>
      </c>
      <c r="X55" s="5">
        <v>0</v>
      </c>
      <c r="Y55" s="5">
        <v>0</v>
      </c>
      <c r="Z55" s="5">
        <v>299</v>
      </c>
      <c r="AA55" s="5">
        <v>1368.4949999999999</v>
      </c>
      <c r="AB55" s="5">
        <v>0</v>
      </c>
      <c r="AC55" s="5">
        <v>0</v>
      </c>
    </row>
    <row r="56" spans="1:29" x14ac:dyDescent="0.25">
      <c r="B56" s="22">
        <v>44</v>
      </c>
      <c r="C56" s="3" t="s">
        <v>72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413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250</v>
      </c>
      <c r="U56" s="5">
        <v>870.45312000000001</v>
      </c>
      <c r="V56" s="5">
        <v>87</v>
      </c>
      <c r="W56" s="5">
        <v>452.33458000000002</v>
      </c>
      <c r="X56" s="5">
        <v>0</v>
      </c>
      <c r="Y56" s="5">
        <v>0</v>
      </c>
      <c r="Z56" s="5">
        <v>40</v>
      </c>
      <c r="AA56" s="5">
        <v>240.3</v>
      </c>
      <c r="AB56" s="5">
        <v>0</v>
      </c>
      <c r="AC56" s="5">
        <v>0</v>
      </c>
    </row>
    <row r="57" spans="1:29" x14ac:dyDescent="0.25">
      <c r="A57" s="11" t="s">
        <v>73</v>
      </c>
      <c r="B57" s="22">
        <v>45</v>
      </c>
      <c r="C57" s="3" t="s">
        <v>74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93</v>
      </c>
      <c r="J57" s="4">
        <v>827762</v>
      </c>
      <c r="K57" s="4">
        <v>872488</v>
      </c>
      <c r="L57" s="5">
        <v>101629</v>
      </c>
      <c r="M57" s="5">
        <v>155781.58404999989</v>
      </c>
      <c r="N57" s="5">
        <v>312696</v>
      </c>
      <c r="O57" s="5">
        <v>372278.8862500001</v>
      </c>
      <c r="P57" s="5">
        <v>0</v>
      </c>
      <c r="Q57" s="5">
        <v>0</v>
      </c>
      <c r="R57" s="5">
        <v>1469</v>
      </c>
      <c r="S57" s="5">
        <v>5430.5187500000002</v>
      </c>
      <c r="T57" s="5">
        <v>7929</v>
      </c>
      <c r="U57" s="5">
        <v>28051.974710000002</v>
      </c>
      <c r="V57" s="5">
        <v>9920</v>
      </c>
      <c r="W57" s="5">
        <v>47424.49512</v>
      </c>
      <c r="X57" s="5">
        <v>0</v>
      </c>
      <c r="Y57" s="5">
        <v>0</v>
      </c>
      <c r="Z57" s="5">
        <v>19332</v>
      </c>
      <c r="AA57" s="5">
        <v>113291.84254</v>
      </c>
      <c r="AB57" s="5">
        <v>0</v>
      </c>
      <c r="AC57" s="5">
        <v>0</v>
      </c>
    </row>
    <row r="58" spans="1:29" x14ac:dyDescent="0.25">
      <c r="B58" s="22">
        <v>46</v>
      </c>
      <c r="C58" s="10" t="s">
        <v>75</v>
      </c>
      <c r="D58" s="4">
        <v>89</v>
      </c>
      <c r="E58" s="4">
        <v>32</v>
      </c>
      <c r="F58" s="4">
        <v>0</v>
      </c>
      <c r="G58" s="4">
        <v>0</v>
      </c>
      <c r="H58" s="4">
        <v>0</v>
      </c>
      <c r="I58" s="4">
        <v>0</v>
      </c>
      <c r="J58" s="4">
        <v>581288</v>
      </c>
      <c r="K58" s="4">
        <v>840112</v>
      </c>
      <c r="L58" s="5">
        <v>648969</v>
      </c>
      <c r="M58" s="5">
        <v>2655847.3165599825</v>
      </c>
      <c r="N58" s="5">
        <v>850704</v>
      </c>
      <c r="O58" s="5">
        <v>4271438.7705009403</v>
      </c>
      <c r="P58" s="5">
        <v>0</v>
      </c>
      <c r="Q58" s="5">
        <v>0</v>
      </c>
      <c r="R58" s="5">
        <v>967</v>
      </c>
      <c r="S58" s="5">
        <v>7056.2749999999996</v>
      </c>
      <c r="T58" s="5">
        <v>153082</v>
      </c>
      <c r="U58" s="5">
        <v>717698.76730999339</v>
      </c>
      <c r="V58" s="5">
        <v>107386</v>
      </c>
      <c r="W58" s="5">
        <v>451788.47413997282</v>
      </c>
      <c r="X58" s="5">
        <v>9</v>
      </c>
      <c r="Y58" s="5">
        <v>135.6</v>
      </c>
      <c r="Z58" s="5">
        <v>315095</v>
      </c>
      <c r="AA58" s="5">
        <v>1929346.2438399997</v>
      </c>
      <c r="AB58" s="5">
        <v>0</v>
      </c>
      <c r="AC58" s="5">
        <v>0</v>
      </c>
    </row>
    <row r="59" spans="1:29" x14ac:dyDescent="0.25">
      <c r="B59" s="22">
        <v>47</v>
      </c>
      <c r="C59" s="10" t="s">
        <v>76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1062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1095</v>
      </c>
      <c r="U59" s="5">
        <v>4148.4170899999999</v>
      </c>
      <c r="V59" s="5">
        <v>595</v>
      </c>
      <c r="W59" s="5">
        <v>2015.4451200000001</v>
      </c>
      <c r="X59" s="5">
        <v>0</v>
      </c>
      <c r="Y59" s="5">
        <v>0</v>
      </c>
      <c r="Z59" s="5">
        <v>188</v>
      </c>
      <c r="AA59" s="5">
        <v>1514.1</v>
      </c>
      <c r="AB59" s="5">
        <v>0</v>
      </c>
      <c r="AC59" s="5">
        <v>0</v>
      </c>
    </row>
    <row r="60" spans="1:29" x14ac:dyDescent="0.25">
      <c r="B60" s="9" t="s">
        <v>77</v>
      </c>
      <c r="C60" s="1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9" customFormat="1" x14ac:dyDescent="0.25">
      <c r="A61" s="38"/>
      <c r="B61" s="23">
        <v>48</v>
      </c>
      <c r="C61" s="12" t="s">
        <v>78</v>
      </c>
      <c r="D61" s="13">
        <v>0</v>
      </c>
      <c r="E61" s="13">
        <v>0</v>
      </c>
      <c r="F61" s="13">
        <v>0</v>
      </c>
      <c r="G61" s="13">
        <v>164148</v>
      </c>
      <c r="H61" s="13">
        <v>0</v>
      </c>
      <c r="I61" s="13">
        <v>989090</v>
      </c>
      <c r="J61" s="13">
        <v>0</v>
      </c>
      <c r="K61" s="13">
        <v>12023790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2947604</v>
      </c>
      <c r="U61" s="14">
        <v>125031.63052999999</v>
      </c>
      <c r="V61" s="14">
        <v>23699</v>
      </c>
      <c r="W61" s="14">
        <v>30430.337209999998</v>
      </c>
      <c r="X61" s="14">
        <v>0</v>
      </c>
      <c r="Y61" s="14">
        <v>0</v>
      </c>
      <c r="Z61" s="14">
        <v>545537</v>
      </c>
      <c r="AA61" s="14">
        <v>1924950.1580000001</v>
      </c>
      <c r="AB61" s="14">
        <v>0</v>
      </c>
      <c r="AC61" s="14">
        <v>0</v>
      </c>
    </row>
    <row r="62" spans="1:29" s="39" customFormat="1" x14ac:dyDescent="0.25">
      <c r="A62" s="38"/>
      <c r="B62" s="23">
        <v>49</v>
      </c>
      <c r="C62" s="12" t="s">
        <v>79</v>
      </c>
      <c r="D62" s="13">
        <v>0</v>
      </c>
      <c r="E62" s="13">
        <v>0</v>
      </c>
      <c r="F62" s="13">
        <v>0</v>
      </c>
      <c r="G62" s="13">
        <v>476449</v>
      </c>
      <c r="H62" s="13">
        <v>0</v>
      </c>
      <c r="I62" s="13">
        <v>14828</v>
      </c>
      <c r="J62" s="13">
        <v>0</v>
      </c>
      <c r="K62" s="13">
        <v>11457945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87063</v>
      </c>
      <c r="U62" s="14">
        <v>205561.64126000006</v>
      </c>
      <c r="V62" s="14">
        <v>1065</v>
      </c>
      <c r="W62" s="14">
        <v>2334.2833499999992</v>
      </c>
      <c r="X62" s="14">
        <v>0</v>
      </c>
      <c r="Y62" s="14">
        <v>0</v>
      </c>
      <c r="Z62" s="14">
        <v>1659827</v>
      </c>
      <c r="AA62" s="14">
        <v>5855760.0379999997</v>
      </c>
      <c r="AB62" s="14">
        <v>0</v>
      </c>
      <c r="AC62" s="14">
        <v>0</v>
      </c>
    </row>
    <row r="63" spans="1:29" s="39" customFormat="1" x14ac:dyDescent="0.25">
      <c r="A63" s="38"/>
      <c r="B63" s="23">
        <v>50</v>
      </c>
      <c r="C63" s="12" t="s">
        <v>80</v>
      </c>
      <c r="D63" s="13">
        <v>0</v>
      </c>
      <c r="E63" s="13">
        <v>0</v>
      </c>
      <c r="F63" s="13">
        <v>0</v>
      </c>
      <c r="G63" s="13">
        <v>175389</v>
      </c>
      <c r="H63" s="13">
        <v>0</v>
      </c>
      <c r="I63" s="13">
        <v>3395968</v>
      </c>
      <c r="J63" s="13">
        <v>0</v>
      </c>
      <c r="K63" s="13">
        <v>35236235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66268</v>
      </c>
      <c r="W63" s="14">
        <v>88759.156370000012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</row>
    <row r="64" spans="1:29" s="39" customFormat="1" x14ac:dyDescent="0.25">
      <c r="A64" s="38"/>
      <c r="B64" s="23">
        <v>51</v>
      </c>
      <c r="C64" s="12" t="s">
        <v>81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93724</v>
      </c>
      <c r="J64" s="13">
        <v>0</v>
      </c>
      <c r="K64" s="13">
        <v>1611643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12804</v>
      </c>
      <c r="U64" s="14">
        <v>24319.728899999998</v>
      </c>
      <c r="V64" s="14">
        <v>15999</v>
      </c>
      <c r="W64" s="14">
        <v>23567.07862</v>
      </c>
      <c r="X64" s="14">
        <v>2486</v>
      </c>
      <c r="Y64" s="14">
        <v>1548.65968</v>
      </c>
      <c r="Z64" s="14">
        <v>119648</v>
      </c>
      <c r="AA64" s="14">
        <v>585625.04</v>
      </c>
      <c r="AB64" s="14">
        <v>0</v>
      </c>
      <c r="AC64" s="14">
        <v>0</v>
      </c>
    </row>
    <row r="65" spans="1:29" s="39" customFormat="1" x14ac:dyDescent="0.25">
      <c r="A65" s="38"/>
      <c r="B65" s="23">
        <v>52</v>
      </c>
      <c r="C65" s="12" t="s">
        <v>82</v>
      </c>
      <c r="D65" s="13">
        <v>0</v>
      </c>
      <c r="E65" s="13">
        <v>0</v>
      </c>
      <c r="F65" s="13">
        <v>0</v>
      </c>
      <c r="G65" s="13">
        <v>203811</v>
      </c>
      <c r="H65" s="13">
        <v>0</v>
      </c>
      <c r="I65" s="13">
        <v>0</v>
      </c>
      <c r="J65" s="13">
        <v>0</v>
      </c>
      <c r="K65" s="13">
        <v>3850937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19370</v>
      </c>
      <c r="U65" s="14">
        <v>32159.053660000001</v>
      </c>
      <c r="V65" s="14">
        <v>16995</v>
      </c>
      <c r="W65" s="14">
        <v>44995.41</v>
      </c>
      <c r="X65" s="14">
        <v>0</v>
      </c>
      <c r="Y65" s="14">
        <v>0</v>
      </c>
      <c r="Z65" s="14">
        <v>482355</v>
      </c>
      <c r="AA65" s="14">
        <v>1415848.2</v>
      </c>
      <c r="AB65" s="14">
        <v>0</v>
      </c>
      <c r="AC65" s="14">
        <v>0</v>
      </c>
    </row>
    <row r="66" spans="1:29" x14ac:dyDescent="0.25">
      <c r="B66" s="9" t="s">
        <v>83</v>
      </c>
      <c r="C66" s="10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5">
      <c r="B67" s="22">
        <v>53</v>
      </c>
      <c r="C67" s="3" t="s">
        <v>84</v>
      </c>
      <c r="D67" s="4">
        <v>771</v>
      </c>
      <c r="E67" s="4">
        <v>6</v>
      </c>
      <c r="F67" s="4">
        <v>0</v>
      </c>
      <c r="G67" s="4">
        <v>964</v>
      </c>
      <c r="H67" s="4">
        <v>0</v>
      </c>
      <c r="I67" s="4">
        <v>162143</v>
      </c>
      <c r="J67" s="4">
        <v>1063117</v>
      </c>
      <c r="K67" s="4">
        <v>11827727</v>
      </c>
      <c r="L67" s="5">
        <v>771703</v>
      </c>
      <c r="M67" s="5">
        <v>4307191.4566399986</v>
      </c>
      <c r="N67" s="5">
        <v>3643345</v>
      </c>
      <c r="O67" s="5">
        <v>7264825.8347299872</v>
      </c>
      <c r="P67" s="5">
        <v>136</v>
      </c>
      <c r="Q67" s="5">
        <v>74.813999999999993</v>
      </c>
      <c r="R67" s="5">
        <v>2740</v>
      </c>
      <c r="S67" s="5">
        <v>17353.8</v>
      </c>
      <c r="T67" s="5">
        <v>167435</v>
      </c>
      <c r="U67" s="5">
        <v>515811.87524999998</v>
      </c>
      <c r="V67" s="5">
        <v>172593</v>
      </c>
      <c r="W67" s="5">
        <v>814965.86702999996</v>
      </c>
      <c r="X67" s="5">
        <v>88</v>
      </c>
      <c r="Y67" s="5">
        <v>1269.751</v>
      </c>
      <c r="Z67" s="5">
        <v>785081</v>
      </c>
      <c r="AA67" s="5">
        <v>5023573.0999999996</v>
      </c>
      <c r="AB67" s="5">
        <v>0</v>
      </c>
      <c r="AC67" s="5">
        <v>0</v>
      </c>
    </row>
    <row r="68" spans="1:29" x14ac:dyDescent="0.25">
      <c r="B68" s="22">
        <v>54</v>
      </c>
      <c r="C68" s="3" t="s">
        <v>85</v>
      </c>
      <c r="D68" s="4">
        <v>216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233312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19023</v>
      </c>
      <c r="U68" s="5">
        <v>60839.089390000001</v>
      </c>
      <c r="V68" s="5">
        <v>1974</v>
      </c>
      <c r="W68" s="5">
        <v>13978.329529999999</v>
      </c>
      <c r="X68" s="5">
        <v>0</v>
      </c>
      <c r="Y68" s="5">
        <v>0</v>
      </c>
      <c r="Z68" s="5">
        <v>92134</v>
      </c>
      <c r="AA68" s="5">
        <v>598343.84</v>
      </c>
      <c r="AB68" s="5">
        <v>0</v>
      </c>
      <c r="AC68" s="5">
        <v>0</v>
      </c>
    </row>
    <row r="69" spans="1:29" x14ac:dyDescent="0.25">
      <c r="B69" s="22">
        <v>55</v>
      </c>
      <c r="C69" s="3" t="s">
        <v>86</v>
      </c>
      <c r="D69" s="4">
        <v>394</v>
      </c>
      <c r="E69" s="4">
        <v>4</v>
      </c>
      <c r="F69" s="4">
        <v>2867</v>
      </c>
      <c r="G69" s="4">
        <v>368</v>
      </c>
      <c r="H69" s="4">
        <v>0</v>
      </c>
      <c r="I69" s="4">
        <v>52065</v>
      </c>
      <c r="J69" s="4">
        <v>25934</v>
      </c>
      <c r="K69" s="4">
        <v>1085458</v>
      </c>
      <c r="L69" s="5">
        <v>184446</v>
      </c>
      <c r="M69" s="5">
        <v>336725.24969999999</v>
      </c>
      <c r="N69" s="5">
        <v>15423</v>
      </c>
      <c r="O69" s="5">
        <v>211368.94667999999</v>
      </c>
      <c r="P69" s="5">
        <v>0</v>
      </c>
      <c r="Q69" s="5">
        <v>0</v>
      </c>
      <c r="R69" s="5">
        <v>455</v>
      </c>
      <c r="S69" s="5">
        <v>2473.9</v>
      </c>
      <c r="T69" s="5">
        <v>63881</v>
      </c>
      <c r="U69" s="5">
        <v>195555.51697999999</v>
      </c>
      <c r="V69" s="5">
        <v>19454</v>
      </c>
      <c r="W69" s="5">
        <v>127416.06925999999</v>
      </c>
      <c r="X69" s="5">
        <v>0</v>
      </c>
      <c r="Y69" s="5">
        <v>0</v>
      </c>
      <c r="Z69" s="5">
        <v>1494882</v>
      </c>
      <c r="AA69" s="5">
        <v>4647183.591</v>
      </c>
      <c r="AB69" s="5">
        <v>0</v>
      </c>
      <c r="AC69" s="5">
        <v>0</v>
      </c>
    </row>
    <row r="70" spans="1:29" x14ac:dyDescent="0.25">
      <c r="B70" s="22">
        <v>56</v>
      </c>
      <c r="C70" s="3" t="s">
        <v>87</v>
      </c>
      <c r="D70" s="4">
        <v>719</v>
      </c>
      <c r="E70" s="4">
        <v>2</v>
      </c>
      <c r="F70" s="4">
        <v>0</v>
      </c>
      <c r="G70" s="4">
        <v>2505</v>
      </c>
      <c r="H70" s="4">
        <v>0</v>
      </c>
      <c r="I70" s="4">
        <v>6168</v>
      </c>
      <c r="J70" s="4">
        <v>8468</v>
      </c>
      <c r="K70" s="4">
        <v>5325947</v>
      </c>
      <c r="L70" s="5">
        <v>6643</v>
      </c>
      <c r="M70" s="5">
        <v>17440.837489999998</v>
      </c>
      <c r="N70" s="5">
        <v>60631</v>
      </c>
      <c r="O70" s="5">
        <v>65820.354309999995</v>
      </c>
      <c r="P70" s="5">
        <v>0</v>
      </c>
      <c r="Q70" s="5">
        <v>0</v>
      </c>
      <c r="R70" s="5">
        <v>48</v>
      </c>
      <c r="S70" s="5">
        <v>166</v>
      </c>
      <c r="T70" s="5">
        <v>105032</v>
      </c>
      <c r="U70" s="5">
        <v>234164.24349999998</v>
      </c>
      <c r="V70" s="5">
        <v>8486</v>
      </c>
      <c r="W70" s="5">
        <v>34819.102039999998</v>
      </c>
      <c r="X70" s="5">
        <v>0</v>
      </c>
      <c r="Y70" s="5">
        <v>0</v>
      </c>
      <c r="Z70" s="5">
        <v>613025</v>
      </c>
      <c r="AA70" s="5">
        <v>3198291.75</v>
      </c>
      <c r="AB70" s="5">
        <v>0</v>
      </c>
      <c r="AC70" s="5">
        <v>0</v>
      </c>
    </row>
    <row r="71" spans="1:29" x14ac:dyDescent="0.25">
      <c r="B71" s="22">
        <v>57</v>
      </c>
      <c r="C71" s="3" t="s">
        <v>88</v>
      </c>
      <c r="D71" s="4">
        <v>57</v>
      </c>
      <c r="E71" s="4">
        <v>5</v>
      </c>
      <c r="F71" s="4">
        <v>0</v>
      </c>
      <c r="G71" s="4">
        <v>173</v>
      </c>
      <c r="H71" s="4">
        <v>0</v>
      </c>
      <c r="I71" s="4">
        <v>922331</v>
      </c>
      <c r="J71" s="4">
        <v>0</v>
      </c>
      <c r="K71" s="4">
        <v>4492362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37536</v>
      </c>
      <c r="U71" s="5">
        <v>94543.975120000003</v>
      </c>
      <c r="V71" s="5">
        <v>9128</v>
      </c>
      <c r="W71" s="5">
        <v>26180.056929999999</v>
      </c>
      <c r="X71" s="5">
        <v>0</v>
      </c>
      <c r="Y71" s="5">
        <v>0</v>
      </c>
      <c r="Z71" s="5">
        <v>390135</v>
      </c>
      <c r="AA71" s="5">
        <v>1848460.4227199999</v>
      </c>
      <c r="AB71" s="5">
        <v>0</v>
      </c>
      <c r="AC71" s="5">
        <v>0</v>
      </c>
    </row>
    <row r="72" spans="1:29" x14ac:dyDescent="0.25">
      <c r="B72" s="22">
        <v>58</v>
      </c>
      <c r="C72" s="3" t="s">
        <v>89</v>
      </c>
      <c r="D72" s="4">
        <v>5</v>
      </c>
      <c r="E72" s="4">
        <v>0</v>
      </c>
      <c r="F72" s="4">
        <v>0</v>
      </c>
      <c r="G72" s="4">
        <v>0</v>
      </c>
      <c r="H72" s="4">
        <v>0</v>
      </c>
      <c r="I72" s="4">
        <v>24953</v>
      </c>
      <c r="J72" s="4">
        <v>350941</v>
      </c>
      <c r="K72" s="4">
        <v>5969674</v>
      </c>
      <c r="L72" s="5">
        <v>4753523</v>
      </c>
      <c r="M72" s="5">
        <v>2174449.9829000002</v>
      </c>
      <c r="N72" s="5">
        <v>1030922</v>
      </c>
      <c r="O72" s="5">
        <v>1067850.4254999999</v>
      </c>
      <c r="P72" s="5">
        <v>0</v>
      </c>
      <c r="Q72" s="5">
        <v>0</v>
      </c>
      <c r="R72" s="5">
        <v>0</v>
      </c>
      <c r="S72" s="5">
        <v>0</v>
      </c>
      <c r="T72" s="5">
        <v>10367</v>
      </c>
      <c r="U72" s="5">
        <v>22479.372800000001</v>
      </c>
      <c r="V72" s="5">
        <v>48566</v>
      </c>
      <c r="W72" s="5">
        <v>152017.28141</v>
      </c>
      <c r="X72" s="5">
        <v>0</v>
      </c>
      <c r="Y72" s="5">
        <v>0</v>
      </c>
      <c r="Z72" s="5">
        <v>60789</v>
      </c>
      <c r="AA72" s="5">
        <v>300014.3</v>
      </c>
      <c r="AB72" s="5">
        <v>2234</v>
      </c>
      <c r="AC72" s="5">
        <v>8449.98</v>
      </c>
    </row>
    <row r="73" spans="1:29" x14ac:dyDescent="0.25">
      <c r="B73" s="22">
        <v>59</v>
      </c>
      <c r="C73" s="3" t="s">
        <v>90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37366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1420</v>
      </c>
      <c r="U73" s="5">
        <v>3961.60673</v>
      </c>
      <c r="V73" s="5">
        <v>367</v>
      </c>
      <c r="W73" s="5">
        <v>2140.6595499999999</v>
      </c>
      <c r="X73" s="5">
        <v>0</v>
      </c>
      <c r="Y73" s="5">
        <v>0</v>
      </c>
      <c r="Z73" s="5">
        <v>12856</v>
      </c>
      <c r="AA73" s="5">
        <v>65486.626280000004</v>
      </c>
      <c r="AB73" s="5">
        <v>0</v>
      </c>
      <c r="AC73" s="5">
        <v>0</v>
      </c>
    </row>
    <row r="74" spans="1:29" x14ac:dyDescent="0.25">
      <c r="B74" s="22">
        <v>60</v>
      </c>
      <c r="C74" s="3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50675</v>
      </c>
      <c r="K74" s="4">
        <v>1031724</v>
      </c>
      <c r="L74" s="5">
        <v>6882</v>
      </c>
      <c r="M74" s="5">
        <v>24488.002479999999</v>
      </c>
      <c r="N74" s="5">
        <v>22553</v>
      </c>
      <c r="O74" s="5">
        <v>48160.759810000003</v>
      </c>
      <c r="P74" s="5">
        <v>0</v>
      </c>
      <c r="Q74" s="5">
        <v>0</v>
      </c>
      <c r="R74" s="5">
        <v>0</v>
      </c>
      <c r="S74" s="5">
        <v>0</v>
      </c>
      <c r="T74" s="5">
        <v>4912</v>
      </c>
      <c r="U74" s="5">
        <v>10063.995999999999</v>
      </c>
      <c r="V74" s="5">
        <v>846</v>
      </c>
      <c r="W74" s="5">
        <v>3543.672</v>
      </c>
      <c r="X74" s="5">
        <v>0</v>
      </c>
      <c r="Y74" s="5">
        <v>0</v>
      </c>
      <c r="Z74" s="5">
        <v>39715</v>
      </c>
      <c r="AA74" s="5">
        <v>175822.9</v>
      </c>
      <c r="AB74" s="5">
        <v>0</v>
      </c>
      <c r="AC74" s="5">
        <v>0</v>
      </c>
    </row>
    <row r="75" spans="1:29" x14ac:dyDescent="0.25">
      <c r="B75" s="22">
        <v>61</v>
      </c>
      <c r="C75" s="3" t="s">
        <v>92</v>
      </c>
      <c r="D75" s="4">
        <v>602</v>
      </c>
      <c r="E75" s="4">
        <v>3</v>
      </c>
      <c r="F75" s="4">
        <v>0</v>
      </c>
      <c r="G75" s="4">
        <v>0</v>
      </c>
      <c r="H75" s="4">
        <v>0</v>
      </c>
      <c r="I75" s="4">
        <v>552798</v>
      </c>
      <c r="J75" s="4">
        <v>0</v>
      </c>
      <c r="K75" s="4">
        <v>6759795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119904</v>
      </c>
      <c r="U75" s="5">
        <v>292455.21414</v>
      </c>
      <c r="V75" s="5">
        <v>19578</v>
      </c>
      <c r="W75" s="5">
        <v>112935.99948</v>
      </c>
      <c r="X75" s="5">
        <v>0</v>
      </c>
      <c r="Y75" s="5">
        <v>0</v>
      </c>
      <c r="Z75" s="5">
        <v>2659952</v>
      </c>
      <c r="AA75" s="5">
        <v>12792135.785610002</v>
      </c>
      <c r="AB75" s="5">
        <v>0</v>
      </c>
      <c r="AC75" s="5">
        <v>0</v>
      </c>
    </row>
    <row r="76" spans="1:29" x14ac:dyDescent="0.25">
      <c r="B76" s="22">
        <v>62</v>
      </c>
      <c r="C76" s="3" t="s">
        <v>93</v>
      </c>
      <c r="D76" s="4">
        <v>188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330510</v>
      </c>
      <c r="K76" s="4">
        <v>122226</v>
      </c>
      <c r="L76" s="5">
        <v>47298</v>
      </c>
      <c r="M76" s="5">
        <v>191633.78869999998</v>
      </c>
      <c r="N76" s="5">
        <v>127357</v>
      </c>
      <c r="O76" s="5">
        <v>493480.08769999997</v>
      </c>
      <c r="P76" s="5">
        <v>0</v>
      </c>
      <c r="Q76" s="5">
        <v>0</v>
      </c>
      <c r="R76" s="5">
        <v>1747</v>
      </c>
      <c r="S76" s="5">
        <v>7960.37482</v>
      </c>
      <c r="T76" s="5">
        <v>7766</v>
      </c>
      <c r="U76" s="5">
        <v>17272.624149999985</v>
      </c>
      <c r="V76" s="5">
        <v>1295</v>
      </c>
      <c r="W76" s="5">
        <v>7890.754339999994</v>
      </c>
      <c r="X76" s="5">
        <v>0</v>
      </c>
      <c r="Y76" s="5">
        <v>0</v>
      </c>
      <c r="Z76" s="5">
        <v>34295</v>
      </c>
      <c r="AA76" s="5">
        <v>173784</v>
      </c>
      <c r="AB76" s="5">
        <v>0</v>
      </c>
      <c r="AC76" s="5">
        <v>0</v>
      </c>
    </row>
    <row r="77" spans="1:29" x14ac:dyDescent="0.25">
      <c r="B77" s="22">
        <v>63</v>
      </c>
      <c r="C77" s="3" t="s">
        <v>94</v>
      </c>
      <c r="D77" s="4">
        <v>365</v>
      </c>
      <c r="E77" s="4">
        <v>8</v>
      </c>
      <c r="F77" s="4">
        <v>0</v>
      </c>
      <c r="G77" s="4">
        <v>789</v>
      </c>
      <c r="H77" s="4">
        <v>0</v>
      </c>
      <c r="I77" s="4">
        <v>42673</v>
      </c>
      <c r="J77" s="4">
        <v>339592</v>
      </c>
      <c r="K77" s="4">
        <v>1288752</v>
      </c>
      <c r="L77" s="5">
        <v>20447</v>
      </c>
      <c r="M77" s="5">
        <v>37273.090649999998</v>
      </c>
      <c r="N77" s="5">
        <v>91075</v>
      </c>
      <c r="O77" s="5">
        <v>103641.8944</v>
      </c>
      <c r="P77" s="5">
        <v>3562913</v>
      </c>
      <c r="Q77" s="5">
        <v>967213.58210999996</v>
      </c>
      <c r="R77" s="5">
        <v>686</v>
      </c>
      <c r="S77" s="5">
        <v>1110.8</v>
      </c>
      <c r="T77" s="5">
        <v>15925</v>
      </c>
      <c r="U77" s="5">
        <v>51934.267210000027</v>
      </c>
      <c r="V77" s="5">
        <v>5364</v>
      </c>
      <c r="W77" s="5">
        <v>28977.76271000001</v>
      </c>
      <c r="X77" s="5">
        <v>0</v>
      </c>
      <c r="Y77" s="5">
        <v>0</v>
      </c>
      <c r="Z77" s="5">
        <v>130847</v>
      </c>
      <c r="AA77" s="5">
        <v>892533.85600000003</v>
      </c>
      <c r="AB77" s="5">
        <v>0</v>
      </c>
      <c r="AC77" s="5">
        <v>0</v>
      </c>
    </row>
    <row r="78" spans="1:29" s="41" customFormat="1" x14ac:dyDescent="0.25">
      <c r="A78" s="40"/>
      <c r="B78" s="9" t="s">
        <v>95</v>
      </c>
      <c r="C78" s="10"/>
      <c r="D78" s="15">
        <f t="shared" ref="D78:AC78" si="0">SUM(D11:D77)</f>
        <v>136307</v>
      </c>
      <c r="E78" s="15">
        <f t="shared" si="0"/>
        <v>73426</v>
      </c>
      <c r="F78" s="15">
        <f t="shared" si="0"/>
        <v>9922126</v>
      </c>
      <c r="G78" s="15">
        <f t="shared" si="0"/>
        <v>1336732</v>
      </c>
      <c r="H78" s="15">
        <f t="shared" si="0"/>
        <v>5265815</v>
      </c>
      <c r="I78" s="15">
        <f t="shared" si="0"/>
        <v>792573747</v>
      </c>
      <c r="J78" s="15">
        <f t="shared" si="0"/>
        <v>121590832</v>
      </c>
      <c r="K78" s="15">
        <f t="shared" si="0"/>
        <v>1031865943</v>
      </c>
      <c r="L78" s="15">
        <f t="shared" si="0"/>
        <v>285564493</v>
      </c>
      <c r="M78" s="15">
        <f t="shared" si="0"/>
        <v>742620678.0216105</v>
      </c>
      <c r="N78" s="15">
        <f t="shared" si="0"/>
        <v>292076805</v>
      </c>
      <c r="O78" s="15">
        <f t="shared" si="0"/>
        <v>1269994646.4014344</v>
      </c>
      <c r="P78" s="15">
        <f t="shared" si="0"/>
        <v>3617787</v>
      </c>
      <c r="Q78" s="15">
        <f t="shared" si="0"/>
        <v>1001415.46159</v>
      </c>
      <c r="R78" s="15">
        <f t="shared" si="0"/>
        <v>630401</v>
      </c>
      <c r="S78" s="15">
        <f t="shared" si="0"/>
        <v>3565214.6069999989</v>
      </c>
      <c r="T78" s="15">
        <f t="shared" si="0"/>
        <v>71256313</v>
      </c>
      <c r="U78" s="15">
        <f t="shared" si="0"/>
        <v>216918580.67743984</v>
      </c>
      <c r="V78" s="15">
        <f t="shared" si="0"/>
        <v>25759460</v>
      </c>
      <c r="W78" s="15">
        <f t="shared" si="0"/>
        <v>133982406.10863975</v>
      </c>
      <c r="X78" s="15">
        <f t="shared" si="0"/>
        <v>77244</v>
      </c>
      <c r="Y78" s="15">
        <f t="shared" si="0"/>
        <v>2084695.99073</v>
      </c>
      <c r="Z78" s="15">
        <f t="shared" si="0"/>
        <v>398428828</v>
      </c>
      <c r="AA78" s="15">
        <f t="shared" si="0"/>
        <v>2163585426.6458607</v>
      </c>
      <c r="AB78" s="15">
        <f t="shared" si="0"/>
        <v>6797</v>
      </c>
      <c r="AC78" s="15">
        <f t="shared" si="0"/>
        <v>12271.786489999999</v>
      </c>
    </row>
    <row r="79" spans="1:29" s="41" customFormat="1" x14ac:dyDescent="0.25">
      <c r="A79" s="40"/>
      <c r="B79" s="9"/>
      <c r="C79" s="10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x14ac:dyDescent="0.25">
      <c r="A80" s="42"/>
      <c r="B80" s="28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30" x14ac:dyDescent="0.25">
      <c r="A81" s="30" t="s">
        <v>96</v>
      </c>
      <c r="B81" s="31" t="s">
        <v>97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spans="1:30" x14ac:dyDescent="0.25">
      <c r="A82" s="43">
        <v>1</v>
      </c>
      <c r="B82" s="31" t="s">
        <v>98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spans="1:30" x14ac:dyDescent="0.25">
      <c r="A83" s="43">
        <v>2</v>
      </c>
      <c r="B83" s="31" t="s">
        <v>99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spans="1:30" s="44" customFormat="1" x14ac:dyDescent="0.25">
      <c r="A84" s="43">
        <v>3</v>
      </c>
      <c r="B84" s="31" t="s">
        <v>100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spans="1:30" s="44" customFormat="1" x14ac:dyDescent="0.25">
      <c r="A85" s="43">
        <v>4</v>
      </c>
      <c r="B85" s="31" t="s">
        <v>101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spans="1:30" s="44" customFormat="1" x14ac:dyDescent="0.25">
      <c r="A86" s="43">
        <v>5</v>
      </c>
      <c r="B86" s="31" t="s">
        <v>102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spans="1:30" s="44" customFormat="1" x14ac:dyDescent="0.25">
      <c r="A87" s="43">
        <v>6</v>
      </c>
      <c r="B87" s="31" t="s">
        <v>103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</row>
    <row r="88" spans="1:30" s="44" customFormat="1" x14ac:dyDescent="0.25">
      <c r="A88" s="43">
        <v>7</v>
      </c>
      <c r="B88" s="31" t="s">
        <v>104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</row>
    <row r="89" spans="1:30" s="44" customFormat="1" x14ac:dyDescent="0.25">
      <c r="A89" s="43">
        <v>8</v>
      </c>
      <c r="B89" s="31" t="s">
        <v>105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</row>
    <row r="90" spans="1:30" s="44" customFormat="1" x14ac:dyDescent="0.25">
      <c r="A90" s="43">
        <v>9</v>
      </c>
      <c r="B90" s="31" t="s">
        <v>106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16"/>
    </row>
    <row r="91" spans="1:30" s="44" customFormat="1" x14ac:dyDescent="0.25">
      <c r="A91" s="43">
        <v>10</v>
      </c>
      <c r="B91" s="31" t="s">
        <v>107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spans="1:30" s="44" customFormat="1" x14ac:dyDescent="0.25">
      <c r="A92" s="43">
        <v>11</v>
      </c>
      <c r="B92" s="31" t="s">
        <v>108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16"/>
    </row>
    <row r="93" spans="1:30" s="44" customFormat="1" x14ac:dyDescent="0.25">
      <c r="A93" s="43">
        <v>12</v>
      </c>
      <c r="B93" s="31" t="s">
        <v>109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spans="1:30" s="44" customFormat="1" x14ac:dyDescent="0.25">
      <c r="A94" s="43">
        <v>13</v>
      </c>
      <c r="B94" s="31" t="s">
        <v>110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spans="1:30" s="44" customFormat="1" x14ac:dyDescent="0.25">
      <c r="A95" s="43">
        <v>14</v>
      </c>
      <c r="B95" s="31" t="s">
        <v>111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spans="1:30" s="44" customFormat="1" x14ac:dyDescent="0.25">
      <c r="A96" s="43">
        <v>15</v>
      </c>
      <c r="B96" s="31" t="s">
        <v>112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spans="1:31" s="44" customFormat="1" x14ac:dyDescent="0.25">
      <c r="A97" s="43">
        <v>16</v>
      </c>
      <c r="B97" s="31" t="s">
        <v>113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spans="1:31" s="44" customFormat="1" x14ac:dyDescent="0.25">
      <c r="A98" s="43">
        <v>17</v>
      </c>
      <c r="B98" s="31" t="s">
        <v>114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spans="1:31" s="44" customFormat="1" x14ac:dyDescent="0.25">
      <c r="A99" s="43">
        <v>18</v>
      </c>
      <c r="B99" s="31" t="s">
        <v>115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spans="1:31" s="44" customFormat="1" x14ac:dyDescent="0.25">
      <c r="A100" s="43">
        <v>19</v>
      </c>
      <c r="B100" s="31" t="s">
        <v>116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spans="1:31" s="44" customFormat="1" x14ac:dyDescent="0.25">
      <c r="A101" s="24">
        <v>20</v>
      </c>
      <c r="B101" s="31" t="s">
        <v>117</v>
      </c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17"/>
      <c r="AE101" s="17"/>
    </row>
    <row r="102" spans="1:31" s="44" customFormat="1" x14ac:dyDescent="0.25">
      <c r="A102" s="43">
        <v>21</v>
      </c>
      <c r="B102" s="31" t="s">
        <v>118</v>
      </c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31" s="44" customFormat="1" x14ac:dyDescent="0.25">
      <c r="A103" s="43">
        <v>22</v>
      </c>
      <c r="B103" s="31" t="s">
        <v>119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31" s="44" customFormat="1" x14ac:dyDescent="0.25">
      <c r="A104" s="43">
        <v>23</v>
      </c>
      <c r="B104" s="31" t="s">
        <v>120</v>
      </c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31" s="44" customFormat="1" x14ac:dyDescent="0.25">
      <c r="A105" s="43">
        <v>24</v>
      </c>
      <c r="B105" s="31" t="s">
        <v>121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31" s="44" customFormat="1" x14ac:dyDescent="0.25">
      <c r="A106" s="43">
        <v>25</v>
      </c>
      <c r="B106" s="31" t="s">
        <v>122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31" s="44" customFormat="1" x14ac:dyDescent="0.25">
      <c r="A107" s="43">
        <v>26</v>
      </c>
      <c r="B107" s="31" t="s">
        <v>123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</sheetData>
  <mergeCells count="55">
    <mergeCell ref="B99:AC99"/>
    <mergeCell ref="B84:AC84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Z6:AA6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6:S6"/>
    <mergeCell ref="T6:U6"/>
    <mergeCell ref="V6:W6"/>
    <mergeCell ref="X6:Y6"/>
    <mergeCell ref="I5:I7"/>
    <mergeCell ref="J5:J7"/>
    <mergeCell ref="K5:K7"/>
    <mergeCell ref="N6:O6"/>
    <mergeCell ref="P6:Q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Nitin</cp:lastModifiedBy>
  <dcterms:created xsi:type="dcterms:W3CDTF">2026-07-15T05:03:53Z</dcterms:created>
  <dcterms:modified xsi:type="dcterms:W3CDTF">2026-07-23T11:39:34Z</dcterms:modified>
</cp:coreProperties>
</file>
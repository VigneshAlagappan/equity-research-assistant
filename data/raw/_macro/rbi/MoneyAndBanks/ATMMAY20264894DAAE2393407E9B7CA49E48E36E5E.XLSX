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6 June 2026\25-06-26\Upl\Interim Card Statistics for Website- May 2026\"/>
    </mc:Choice>
  </mc:AlternateContent>
  <xr:revisionPtr revIDLastSave="0" documentId="13_ncr:1_{ABD6127A-B809-4A22-B147-D304D0200A27}" xr6:coauthVersionLast="47" xr6:coauthVersionMax="47" xr10:uidLastSave="{00000000-0000-0000-0000-000000000000}"/>
  <bookViews>
    <workbookView xWindow="-120" yWindow="-120" windowWidth="29040" windowHeight="15720" xr2:uid="{DB6DF26E-6479-4D27-BCA7-69D545112F69}"/>
  </bookViews>
  <sheets>
    <sheet name="For Website May 2026" sheetId="1" r:id="rId1"/>
  </sheets>
  <definedNames>
    <definedName name="_xlnm._FilterDatabase" localSheetId="0" hidden="1">'For Website May 2026'!$A$8:$AE$78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78" i="1" l="1"/>
  <c r="P78" i="1"/>
  <c r="O78" i="1"/>
  <c r="H78" i="1"/>
  <c r="E78" i="1"/>
  <c r="D78" i="1"/>
  <c r="S78" i="1"/>
  <c r="AC78" i="1"/>
  <c r="AB78" i="1"/>
  <c r="AA78" i="1"/>
  <c r="Z78" i="1"/>
  <c r="Y78" i="1"/>
  <c r="W78" i="1"/>
  <c r="V78" i="1"/>
  <c r="U78" i="1"/>
  <c r="T78" i="1"/>
  <c r="R78" i="1"/>
  <c r="Q78" i="1"/>
  <c r="N78" i="1"/>
  <c r="M78" i="1"/>
  <c r="L78" i="1"/>
  <c r="K78" i="1"/>
  <c r="J78" i="1"/>
  <c r="I78" i="1"/>
  <c r="G78" i="1"/>
  <c r="F78" i="1"/>
</calcChain>
</file>

<file path=xl/sharedStrings.xml><?xml version="1.0" encoding="utf-8"?>
<sst xmlns="http://schemas.openxmlformats.org/spreadsheetml/2006/main" count="146" uniqueCount="124">
  <si>
    <t>ATM, Acceptance Infrastructure and Card Statistics for the Month of May 2026</t>
  </si>
  <si>
    <t>Sr. No.</t>
  </si>
  <si>
    <t>Bank Name</t>
  </si>
  <si>
    <t xml:space="preserve">Infrastructure </t>
  </si>
  <si>
    <t>Card Payments and Cash Withdrawal Transactions during the month</t>
  </si>
  <si>
    <t>Number - Outstanding (as on month end)</t>
  </si>
  <si>
    <t>Credit Card</t>
  </si>
  <si>
    <t>Debit Card</t>
  </si>
  <si>
    <t>ATMs &amp; CRMs</t>
  </si>
  <si>
    <t>PoS</t>
  </si>
  <si>
    <t>Micro ATMs</t>
  </si>
  <si>
    <t>Bharat QR Codes</t>
  </si>
  <si>
    <t>UPI QR Codes</t>
  </si>
  <si>
    <t>Credit Cards</t>
  </si>
  <si>
    <t>Debit Cards</t>
  </si>
  <si>
    <t>Card Payments Transactions</t>
  </si>
  <si>
    <t>Cash Withdrawal</t>
  </si>
  <si>
    <t>at PoS</t>
  </si>
  <si>
    <t>Online (e-com)</t>
  </si>
  <si>
    <t>Others</t>
  </si>
  <si>
    <t>At ATM</t>
  </si>
  <si>
    <t>ATM</t>
  </si>
  <si>
    <t>On-site</t>
  </si>
  <si>
    <t>Off-site</t>
  </si>
  <si>
    <t>Volume (in actuals)</t>
  </si>
  <si>
    <t>Value (in Rs'000)</t>
  </si>
  <si>
    <t>Scheduled Commercial Banks</t>
  </si>
  <si>
    <t>Public Sector Banks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</si>
  <si>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</si>
  <si>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</si>
  <si>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</si>
  <si>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</si>
  <si>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</si>
  <si>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</si>
  <si>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</si>
  <si>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</si>
  <si>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</si>
  <si>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</si>
  <si>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</si>
  <si>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</si>
  <si>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Private Sector Banks</t>
  </si>
  <si>
    <t>AXIS BANK LTD</t>
  </si>
  <si>
    <t>BANDHAN BANK LTD</t>
  </si>
  <si>
    <t>CITY UNION BANK LTD.</t>
  </si>
  <si>
    <t>CSB BANK LTD.</t>
  </si>
  <si>
    <t>DCB BANK LTD</t>
  </si>
  <si>
    <t>DHANALAXMI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</si>
  <si>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</si>
  <si>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</si>
  <si>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</si>
  <si>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</si>
  <si>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</si>
  <si>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</si>
  <si>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</si>
  <si>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</si>
  <si>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</si>
  <si>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</si>
  <si>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</si>
  <si>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</si>
  <si>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</si>
  <si>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</si>
  <si>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</si>
  <si>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Foreign Banks</t>
  </si>
  <si>
    <t>AMERICAN EXPRESS BANKING CORPORATION</t>
  </si>
  <si>
    <t>BANK OF AMERICA</t>
  </si>
  <si>
    <t>BANK OF BAHRAIN &amp; KUWAIT B.S.C.</t>
  </si>
  <si>
    <t>BARCLAYS BANK PLC</t>
  </si>
  <si>
    <t>CITI BANK</t>
  </si>
  <si>
    <t>DBS INDIA BANK LTD</t>
  </si>
  <si>
    <t>DEUTSCHE BANK LTD</t>
  </si>
  <si>
    <t>DOHA BANK Q.P.S.C.</t>
  </si>
  <si>
    <t>HSBC LTD</t>
  </si>
  <si>
    <t>KEB HANA BANK</t>
  </si>
  <si>
    <t>KOOKMIN BANK</t>
  </si>
  <si>
    <t xml:space="preserve"> </t>
  </si>
  <si>
    <t>SBM BANK INDIA LTD</t>
  </si>
  <si>
    <t>STANDARD CHARTERED BANK LTD</t>
  </si>
  <si>
    <t>WOORI BANK</t>
  </si>
  <si>
    <t>Payment Banks</t>
  </si>
  <si>
    <t>AIRTEL PAYMENTS BANK</t>
  </si>
  <si>
    <t>FINO PAYMENTS BANK</t>
  </si>
  <si>
    <t>INDIA POST PAYMENTS BANK</t>
  </si>
  <si>
    <t xml:space="preserve">JIO PAYMENTS BANK </t>
  </si>
  <si>
    <t>NSDL PAYMENTS BANK</t>
  </si>
  <si>
    <t>Small Finance Banks</t>
  </si>
  <si>
    <t>AU SMALL FINANCE BANK LTD</t>
  </si>
  <si>
    <t>CAPITAL SMALL FINANCE BANK LTD</t>
  </si>
  <si>
    <t>EQUITAS SMALL FINANCE BANK LTD</t>
  </si>
  <si>
    <t>ESAF SMALL FINANCE BANK LTD</t>
  </si>
  <si>
    <t>JANA SMALL FINANCE BANK LTD</t>
  </si>
  <si>
    <t>SLICE SMALL FINANCE BANK LTD</t>
  </si>
  <si>
    <t>SHIVALIK SMALL FINANCE BANK LTD</t>
  </si>
  <si>
    <t>SURYODAY SMALL FINANCE BANK LTD</t>
  </si>
  <si>
    <t>UJJIVAN SMALL FINANCE BANK LTD</t>
  </si>
  <si>
    <t>UNITY SMALL FINANCE BANK LTD</t>
  </si>
  <si>
    <t>UTKARSH SMALL FINANCE BANK LTD</t>
  </si>
  <si>
    <t>Total</t>
  </si>
  <si>
    <t>1 Total number of ATMs &amp; CRMs deployed on-site by the bank</t>
  </si>
  <si>
    <t>2 Total number of ATMs &amp; CRMs deployed off-site by the bank</t>
  </si>
  <si>
    <t>3 Total number of PoS terminals deployed by the bank</t>
  </si>
  <si>
    <t>4 Total number of Micro ATMs deployed by the bank</t>
  </si>
  <si>
    <t>5 Total number of Bharat QR Codes deployed by the bank</t>
  </si>
  <si>
    <t>6 Total number of UPI QR Codes deployed by the bank</t>
  </si>
  <si>
    <t>7 Total number of credit cards issued outstanding (after adjusting the number of cards withdrawan/cancelled)</t>
  </si>
  <si>
    <t>8 Total number of debit cards issued outstanding (after adjusting the number of cards withdrawan/cancelled)</t>
  </si>
  <si>
    <t>9 Total number of financial transactions done by the credit card issued by the bank at PoS terminals</t>
  </si>
  <si>
    <t>10 Total value of financial transactions done by the credit card issued by the bank at PoS terminals</t>
  </si>
  <si>
    <t>11 Total number of financial transactions done by the credit card issued by the bank at online and e-commerce sites</t>
  </si>
  <si>
    <t>12 Total value of financial transactions done by the credit card issued by the bank at online and e-commerce sites</t>
  </si>
  <si>
    <t>13 Total number of other financial transactions done by the credit card issued by the bank (example: Mail-Order and Tele-Order transactions)</t>
  </si>
  <si>
    <t>14 Total value of other financial transactions done by the credit card issued by the bank (example: Mail-Order and Tele-Order transactions)</t>
  </si>
  <si>
    <t>15 Total number of cash withdrawal transactions done by the credit card issued by the bank at ATMs</t>
  </si>
  <si>
    <t>16 Total value of cash withdrawal transactions done by the credit card issued by the bank at ATMs</t>
  </si>
  <si>
    <t>17 Total number of financial transactions done by the debit card issued by the bank at PoS terminals</t>
  </si>
  <si>
    <t>18 Total value of financial transactions done by the debit card issued by the bank at PoS terminals</t>
  </si>
  <si>
    <t>19 Total number of financial transactions done by the debit card issued by the bank at online and e-commerce sites</t>
  </si>
  <si>
    <t>20 Total value of financial transactions done by the debit card issued by the bank at online and e-commerce sites</t>
  </si>
  <si>
    <t>21 Total number of other financial transactions done by the debit card issued by the bank (example: debit card transactions done at ATMs viz card to card transactions, Bill Payments, Credit Card Payments, Mobile Recharge etc)</t>
  </si>
  <si>
    <t>22 Total value of other financial transactions done by the debit card issued by the bank (example: debit card transactions done at ATMs viz card to card transactions, Bill Payments, Credit Card Payments, Mobile Recharge etc)</t>
  </si>
  <si>
    <t>23 Total number of cash withdrawal transactions done by the debit card issued by the bank at ATMs</t>
  </si>
  <si>
    <t>24 Total value of cash withdrawal transactions done by the debit card issued by the bank at ATMs</t>
  </si>
  <si>
    <t>25 Total number of cash withdrawal transactions done by the debit card issued by the bank at PoS terminals</t>
  </si>
  <si>
    <t>26 Total value of cash withdrawal transactions done by the debit card issued by the bank at PoS terminals</t>
  </si>
  <si>
    <r>
      <rPr>
        <b/>
        <sz val="10"/>
        <rFont val="Arial"/>
        <family val="2"/>
      </rPr>
      <t>Note</t>
    </r>
    <r>
      <rPr>
        <sz val="10"/>
        <rFont val="Arial"/>
        <family val="2"/>
      </rPr>
      <t xml:space="preserve"> The data is provisional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</si>
</sst>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1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44">
    <xf numFmtId="0" fontId="0" fillId="0" borderId="0" xfId="0"/>
    <xf numFmtId="0" fontId="6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vertical="center"/>
    </xf>
    <xf numFmtId="0" fontId="4" fillId="2" borderId="1" xfId="0" applyFont="1" applyFill="1" applyBorder="1" applyAlignment="1" applyProtection="1">
      <alignment horizontal="left"/>
      <protection locked="0"/>
    </xf>
    <xf numFmtId="0" fontId="4" fillId="2" borderId="1" xfId="0" applyFont="1" applyFill="1" applyBorder="1" applyAlignment="1">
      <alignment horizontal="right"/>
    </xf>
    <xf numFmtId="1" fontId="8" fillId="2" borderId="1" xfId="0" applyNumberFormat="1" applyFont="1" applyFill="1" applyBorder="1"/>
    <xf numFmtId="0" fontId="8" fillId="2" borderId="1" xfId="0" applyFont="1" applyFill="1" applyBorder="1" applyAlignment="1" applyProtection="1">
      <alignment horizontal="left"/>
      <protection locked="0"/>
    </xf>
    <xf numFmtId="0" fontId="8" fillId="2" borderId="1" xfId="0" applyFont="1" applyFill="1" applyBorder="1" applyAlignment="1">
      <alignment horizontal="right"/>
    </xf>
    <xf numFmtId="0" fontId="0" fillId="2" borderId="0" xfId="0" applyFill="1"/>
    <xf numFmtId="0" fontId="6" fillId="2" borderId="1" xfId="0" applyFont="1" applyFill="1" applyBorder="1" applyAlignment="1" applyProtection="1">
      <alignment vertical="center"/>
      <protection locked="0"/>
    </xf>
    <xf numFmtId="0" fontId="0" fillId="2" borderId="1" xfId="0" applyFill="1" applyBorder="1" applyProtection="1">
      <protection locked="0"/>
    </xf>
    <xf numFmtId="0" fontId="0" fillId="2" borderId="0" xfId="0" applyFill="1" applyAlignment="1">
      <alignment horizontal="left"/>
    </xf>
    <xf numFmtId="0" fontId="4" fillId="2" borderId="1" xfId="0" applyFont="1" applyFill="1" applyBorder="1" applyAlignment="1" applyProtection="1">
      <alignment horizontal="left" vertical="center"/>
      <protection locked="0"/>
    </xf>
    <xf numFmtId="0" fontId="4" fillId="2" borderId="1" xfId="0" applyFont="1" applyFill="1" applyBorder="1" applyAlignment="1">
      <alignment horizontal="right" vertical="top"/>
    </xf>
    <xf numFmtId="1" fontId="8" fillId="2" borderId="1" xfId="0" applyNumberFormat="1" applyFont="1" applyFill="1" applyBorder="1" applyAlignment="1">
      <alignment vertical="top"/>
    </xf>
    <xf numFmtId="1" fontId="6" fillId="2" borderId="1" xfId="0" applyNumberFormat="1" applyFont="1" applyFill="1" applyBorder="1" applyAlignment="1" applyProtection="1">
      <alignment horizontal="right" vertical="center"/>
    </xf>
    <xf numFmtId="0" fontId="11" fillId="2" borderId="0" xfId="1" applyFont="1" applyFill="1" applyBorder="1" applyAlignment="1">
      <alignment horizontal="left" vertical="center" wrapText="1"/>
    </xf>
    <xf numFmtId="0" fontId="11" fillId="2" borderId="0" xfId="1" applyFont="1" applyFill="1" applyBorder="1" applyAlignment="1">
      <alignment vertical="center" wrapText="1"/>
    </xf>
    <xf numFmtId="0" fontId="5" fillId="2" borderId="1" xfId="1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5" fillId="2" borderId="1" xfId="1" applyFont="1" applyFill="1" applyBorder="1" applyAlignment="1" applyProtection="1">
      <alignment horizontal="center" vertical="center" wrapText="1"/>
      <protection locked="0"/>
    </xf>
    <xf numFmtId="0" fontId="5" fillId="2" borderId="1" xfId="1" applyFont="1" applyFill="1" applyBorder="1" applyAlignment="1" applyProtection="1">
      <alignment horizontal="center" vertical="center"/>
      <protection locked="0"/>
    </xf>
    <xf numFmtId="0" fontId="5" fillId="2" borderId="1" xfId="1" applyFont="1" applyFill="1" applyBorder="1" applyAlignment="1" applyProtection="1">
      <alignment horizontal="center" vertical="center" wrapText="1"/>
      <protection locked="0"/>
    </xf>
    <xf numFmtId="0" fontId="7" fillId="2" borderId="1" xfId="2" applyFont="1" applyFill="1" applyBorder="1" applyAlignment="1" applyProtection="1">
      <alignment horizontal="center" vertical="center" wrapText="1"/>
      <protection locked="0"/>
    </xf>
    <xf numFmtId="0" fontId="5" fillId="2" borderId="1" xfId="1" applyFont="1" applyFill="1" applyBorder="1" applyAlignment="1" applyProtection="1">
      <alignment vertical="center"/>
      <protection locked="0"/>
    </xf>
    <xf numFmtId="0" fontId="9" fillId="2" borderId="0" xfId="1" applyFont="1" applyFill="1" applyBorder="1" applyAlignment="1" applyProtection="1">
      <alignment horizontal="left" vertical="center" wrapText="1"/>
      <protection locked="0"/>
    </xf>
    <xf numFmtId="0" fontId="4" fillId="2" borderId="0" xfId="1" applyFont="1" applyFill="1" applyBorder="1" applyAlignment="1" applyProtection="1">
      <alignment horizontal="left" vertical="center" wrapText="1"/>
      <protection locked="0"/>
    </xf>
    <xf numFmtId="0" fontId="4" fillId="2" borderId="1" xfId="1" applyFont="1" applyFill="1" applyBorder="1" applyAlignment="1" applyProtection="1">
      <alignment horizontal="left" vertical="center" wrapText="1"/>
      <protection locked="0"/>
    </xf>
    <xf numFmtId="0" fontId="4" fillId="2" borderId="1" xfId="0" applyFont="1" applyFill="1" applyBorder="1" applyAlignment="1" applyProtection="1">
      <alignment horizontal="center"/>
      <protection locked="0"/>
    </xf>
    <xf numFmtId="0" fontId="4" fillId="2" borderId="1" xfId="0" applyFont="1" applyFill="1" applyBorder="1" applyAlignment="1" applyProtection="1">
      <alignment horizontal="center" vertical="top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vertical="center"/>
    </xf>
    <xf numFmtId="0" fontId="8" fillId="2" borderId="0" xfId="0" applyFont="1" applyFill="1" applyAlignment="1">
      <alignment horizontal="left"/>
    </xf>
    <xf numFmtId="0" fontId="8" fillId="2" borderId="0" xfId="0" applyFont="1" applyFill="1"/>
    <xf numFmtId="0" fontId="0" fillId="2" borderId="1" xfId="0" applyFill="1" applyBorder="1" applyAlignment="1">
      <alignment horizontal="right"/>
    </xf>
    <xf numFmtId="0" fontId="0" fillId="2" borderId="0" xfId="0" applyFill="1" applyAlignment="1">
      <alignment horizontal="left" vertical="top"/>
    </xf>
    <xf numFmtId="0" fontId="0" fillId="2" borderId="0" xfId="0" applyFill="1" applyAlignment="1">
      <alignment vertical="top"/>
    </xf>
    <xf numFmtId="0" fontId="3" fillId="2" borderId="0" xfId="0" applyFont="1" applyFill="1" applyAlignment="1" applyProtection="1">
      <alignment horizontal="left"/>
      <protection locked="0"/>
    </xf>
    <xf numFmtId="0" fontId="3" fillId="2" borderId="0" xfId="0" applyFont="1" applyFill="1"/>
    <xf numFmtId="0" fontId="10" fillId="2" borderId="0" xfId="0" applyFont="1" applyFill="1" applyBorder="1" applyAlignment="1" applyProtection="1">
      <alignment horizontal="left"/>
      <protection locked="0"/>
    </xf>
    <xf numFmtId="0" fontId="2" fillId="2" borderId="0" xfId="0" applyFont="1" applyFill="1"/>
    <xf numFmtId="0" fontId="0" fillId="2" borderId="0" xfId="0" applyFill="1" applyBorder="1" applyAlignment="1">
      <alignment horizontal="left"/>
    </xf>
  </cellXfs>
  <cellStyles count="3">
    <cellStyle name="Normal" xfId="0" builtinId="0"/>
    <cellStyle name="Normal 2 10" xfId="2" xr:uid="{35875833-4AB3-4A98-9436-6797C7C91579}"/>
    <cellStyle name="Normal 2 2" xfId="1" xr:uid="{E9495429-0442-49CA-A887-ED045F4779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7E1AD-6C30-45A5-A7DA-7460B1999A88}">
  <dimension ref="A2:AE106"/>
  <sheetViews>
    <sheetView tabSelected="1" zoomScaleNormal="100" workbookViewId="0"/>
  </sheetViews>
  <sheetFormatPr defaultColWidth="8.85546875" defaultRowHeight="15" x14ac:dyDescent="0.25"/>
  <cols>
    <col min="1" max="1" width="5.140625" style="11" bestFit="1" customWidth="1"/>
    <col min="2" max="2" width="8.7109375" style="8" customWidth="1"/>
    <col min="3" max="3" width="44" style="8" bestFit="1" customWidth="1"/>
    <col min="4" max="4" width="9.42578125" style="31" customWidth="1"/>
    <col min="5" max="5" width="9.28515625" style="31" customWidth="1"/>
    <col min="6" max="6" width="9.7109375" style="8" customWidth="1"/>
    <col min="7" max="7" width="9.28515625" style="8" customWidth="1"/>
    <col min="8" max="8" width="10.42578125" style="8" customWidth="1"/>
    <col min="9" max="9" width="11.5703125" style="8" customWidth="1"/>
    <col min="10" max="10" width="11" style="8" customWidth="1"/>
    <col min="11" max="11" width="10.7109375" style="8" customWidth="1"/>
    <col min="12" max="12" width="10.28515625" style="8" bestFit="1" customWidth="1"/>
    <col min="13" max="13" width="12" style="8" bestFit="1" customWidth="1"/>
    <col min="14" max="14" width="10" style="8" bestFit="1" customWidth="1"/>
    <col min="15" max="15" width="12" style="8" bestFit="1" customWidth="1"/>
    <col min="16" max="16" width="10.7109375" style="8" customWidth="1"/>
    <col min="17" max="17" width="10" style="8" bestFit="1" customWidth="1"/>
    <col min="18" max="18" width="10" style="8" customWidth="1"/>
    <col min="19" max="19" width="12" style="8" bestFit="1" customWidth="1"/>
    <col min="20" max="20" width="10" style="8" bestFit="1" customWidth="1"/>
    <col min="21" max="23" width="12" style="8" bestFit="1" customWidth="1"/>
    <col min="24" max="24" width="10.85546875" style="8" customWidth="1"/>
    <col min="25" max="25" width="12" style="8" bestFit="1" customWidth="1"/>
    <col min="26" max="26" width="10" style="8" bestFit="1" customWidth="1"/>
    <col min="27" max="27" width="11" style="8" bestFit="1" customWidth="1"/>
    <col min="28" max="28" width="10.140625" style="8" customWidth="1"/>
    <col min="29" max="29" width="12" style="8" bestFit="1" customWidth="1"/>
    <col min="30" max="30" width="12.28515625" style="8" customWidth="1"/>
    <col min="31" max="16384" width="8.85546875" style="8"/>
  </cols>
  <sheetData>
    <row r="2" spans="1:29" x14ac:dyDescent="0.25">
      <c r="B2" s="18" t="s">
        <v>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</row>
    <row r="3" spans="1:29" x14ac:dyDescent="0.25">
      <c r="B3" s="18" t="s">
        <v>1</v>
      </c>
      <c r="C3" s="18" t="s">
        <v>2</v>
      </c>
      <c r="D3" s="19" t="s">
        <v>3</v>
      </c>
      <c r="E3" s="19"/>
      <c r="F3" s="19"/>
      <c r="G3" s="19"/>
      <c r="H3" s="19"/>
      <c r="I3" s="19"/>
      <c r="J3" s="19"/>
      <c r="K3" s="19"/>
      <c r="L3" s="18" t="s">
        <v>4</v>
      </c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</row>
    <row r="4" spans="1:29" x14ac:dyDescent="0.25">
      <c r="B4" s="18"/>
      <c r="C4" s="18"/>
      <c r="D4" s="20" t="s">
        <v>5</v>
      </c>
      <c r="E4" s="20"/>
      <c r="F4" s="20"/>
      <c r="G4" s="20"/>
      <c r="H4" s="20"/>
      <c r="I4" s="20"/>
      <c r="J4" s="20"/>
      <c r="K4" s="20"/>
      <c r="L4" s="18" t="s">
        <v>6</v>
      </c>
      <c r="M4" s="18"/>
      <c r="N4" s="18"/>
      <c r="O4" s="18"/>
      <c r="P4" s="18"/>
      <c r="Q4" s="18"/>
      <c r="R4" s="18"/>
      <c r="S4" s="18"/>
      <c r="T4" s="18" t="s">
        <v>7</v>
      </c>
      <c r="U4" s="18"/>
      <c r="V4" s="18"/>
      <c r="W4" s="18"/>
      <c r="X4" s="18"/>
      <c r="Y4" s="18"/>
      <c r="Z4" s="18"/>
      <c r="AA4" s="18"/>
      <c r="AB4" s="18"/>
      <c r="AC4" s="18"/>
    </row>
    <row r="5" spans="1:29" x14ac:dyDescent="0.25">
      <c r="B5" s="18"/>
      <c r="C5" s="18"/>
      <c r="D5" s="20" t="s">
        <v>8</v>
      </c>
      <c r="E5" s="20"/>
      <c r="F5" s="20" t="s">
        <v>9</v>
      </c>
      <c r="G5" s="20" t="s">
        <v>10</v>
      </c>
      <c r="H5" s="20" t="s">
        <v>11</v>
      </c>
      <c r="I5" s="20" t="s">
        <v>12</v>
      </c>
      <c r="J5" s="20" t="s">
        <v>13</v>
      </c>
      <c r="K5" s="20" t="s">
        <v>14</v>
      </c>
      <c r="L5" s="18" t="s">
        <v>15</v>
      </c>
      <c r="M5" s="18"/>
      <c r="N5" s="18"/>
      <c r="O5" s="18"/>
      <c r="P5" s="18"/>
      <c r="Q5" s="18"/>
      <c r="R5" s="18" t="s">
        <v>16</v>
      </c>
      <c r="S5" s="18"/>
      <c r="T5" s="18" t="s">
        <v>15</v>
      </c>
      <c r="U5" s="18"/>
      <c r="V5" s="18"/>
      <c r="W5" s="18"/>
      <c r="X5" s="18"/>
      <c r="Y5" s="18"/>
      <c r="Z5" s="18" t="s">
        <v>16</v>
      </c>
      <c r="AA5" s="18"/>
      <c r="AB5" s="18"/>
      <c r="AC5" s="18"/>
    </row>
    <row r="6" spans="1:29" x14ac:dyDescent="0.25">
      <c r="B6" s="18"/>
      <c r="C6" s="18"/>
      <c r="D6" s="20"/>
      <c r="E6" s="20"/>
      <c r="F6" s="20"/>
      <c r="G6" s="20"/>
      <c r="H6" s="20"/>
      <c r="I6" s="20"/>
      <c r="J6" s="20"/>
      <c r="K6" s="20"/>
      <c r="L6" s="20" t="s">
        <v>17</v>
      </c>
      <c r="M6" s="20"/>
      <c r="N6" s="20" t="s">
        <v>18</v>
      </c>
      <c r="O6" s="20"/>
      <c r="P6" s="18" t="s">
        <v>19</v>
      </c>
      <c r="Q6" s="18"/>
      <c r="R6" s="18" t="s">
        <v>20</v>
      </c>
      <c r="S6" s="18"/>
      <c r="T6" s="20" t="s">
        <v>17</v>
      </c>
      <c r="U6" s="20"/>
      <c r="V6" s="20" t="s">
        <v>18</v>
      </c>
      <c r="W6" s="20"/>
      <c r="X6" s="18" t="s">
        <v>19</v>
      </c>
      <c r="Y6" s="18"/>
      <c r="Z6" s="20" t="s">
        <v>21</v>
      </c>
      <c r="AA6" s="20"/>
      <c r="AB6" s="20" t="s">
        <v>9</v>
      </c>
      <c r="AC6" s="20"/>
    </row>
    <row r="7" spans="1:29" s="33" customFormat="1" ht="45" x14ac:dyDescent="0.25">
      <c r="A7" s="32"/>
      <c r="B7" s="18"/>
      <c r="C7" s="18"/>
      <c r="D7" s="21" t="s">
        <v>22</v>
      </c>
      <c r="E7" s="22" t="s">
        <v>23</v>
      </c>
      <c r="F7" s="20"/>
      <c r="G7" s="20"/>
      <c r="H7" s="20"/>
      <c r="I7" s="20"/>
      <c r="J7" s="20"/>
      <c r="K7" s="20"/>
      <c r="L7" s="23" t="s">
        <v>24</v>
      </c>
      <c r="M7" s="23" t="s">
        <v>25</v>
      </c>
      <c r="N7" s="23" t="s">
        <v>24</v>
      </c>
      <c r="O7" s="23" t="s">
        <v>25</v>
      </c>
      <c r="P7" s="23" t="s">
        <v>24</v>
      </c>
      <c r="Q7" s="23" t="s">
        <v>25</v>
      </c>
      <c r="R7" s="23" t="s">
        <v>24</v>
      </c>
      <c r="S7" s="23" t="s">
        <v>25</v>
      </c>
      <c r="T7" s="23" t="s">
        <v>24</v>
      </c>
      <c r="U7" s="23" t="s">
        <v>25</v>
      </c>
      <c r="V7" s="23" t="s">
        <v>24</v>
      </c>
      <c r="W7" s="23" t="s">
        <v>25</v>
      </c>
      <c r="X7" s="23" t="s">
        <v>24</v>
      </c>
      <c r="Y7" s="23" t="s">
        <v>25</v>
      </c>
      <c r="Z7" s="23" t="s">
        <v>24</v>
      </c>
      <c r="AA7" s="23" t="s">
        <v>25</v>
      </c>
      <c r="AB7" s="23" t="s">
        <v>24</v>
      </c>
      <c r="AC7" s="23" t="s">
        <v>25</v>
      </c>
    </row>
    <row r="8" spans="1:29" x14ac:dyDescent="0.25">
      <c r="B8" s="24"/>
      <c r="C8" s="24"/>
      <c r="D8" s="21">
        <v>1</v>
      </c>
      <c r="E8" s="21">
        <v>2</v>
      </c>
      <c r="F8" s="21">
        <v>3</v>
      </c>
      <c r="G8" s="21">
        <v>4</v>
      </c>
      <c r="H8" s="21">
        <v>5</v>
      </c>
      <c r="I8" s="21">
        <v>6</v>
      </c>
      <c r="J8" s="21">
        <v>7</v>
      </c>
      <c r="K8" s="21">
        <v>8</v>
      </c>
      <c r="L8" s="21">
        <v>9</v>
      </c>
      <c r="M8" s="21">
        <v>10</v>
      </c>
      <c r="N8" s="21">
        <v>11</v>
      </c>
      <c r="O8" s="21">
        <v>12</v>
      </c>
      <c r="P8" s="21">
        <v>13</v>
      </c>
      <c r="Q8" s="21">
        <v>14</v>
      </c>
      <c r="R8" s="21">
        <v>15</v>
      </c>
      <c r="S8" s="21">
        <v>16</v>
      </c>
      <c r="T8" s="21">
        <v>17</v>
      </c>
      <c r="U8" s="21">
        <v>18</v>
      </c>
      <c r="V8" s="21">
        <v>19</v>
      </c>
      <c r="W8" s="21">
        <v>20</v>
      </c>
      <c r="X8" s="21">
        <v>21</v>
      </c>
      <c r="Y8" s="21">
        <v>22</v>
      </c>
      <c r="Z8" s="21">
        <v>23</v>
      </c>
      <c r="AA8" s="21">
        <v>24</v>
      </c>
      <c r="AB8" s="21">
        <v>25</v>
      </c>
      <c r="AC8" s="21">
        <v>26</v>
      </c>
    </row>
    <row r="9" spans="1:29" x14ac:dyDescent="0.25">
      <c r="B9" s="9" t="s">
        <v>26</v>
      </c>
      <c r="C9" s="9"/>
      <c r="D9" s="1"/>
      <c r="E9" s="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x14ac:dyDescent="0.25">
      <c r="B10" s="9" t="s">
        <v>27</v>
      </c>
      <c r="C10" s="10"/>
      <c r="D10" s="1"/>
      <c r="E10" s="1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x14ac:dyDescent="0.25">
      <c r="B11" s="28">
        <v>1</v>
      </c>
      <c r="C11" s="3" t="s">
        <v>28</v>
      </c>
      <c r="D11" s="4">
        <v>9121</v>
      </c>
      <c r="E11" s="4">
        <v>2497</v>
      </c>
      <c r="F11" s="4">
        <v>58408</v>
      </c>
      <c r="G11" s="4">
        <v>41156</v>
      </c>
      <c r="H11" s="4">
        <v>28395</v>
      </c>
      <c r="I11" s="4">
        <v>3387597</v>
      </c>
      <c r="J11" s="4">
        <v>3172809</v>
      </c>
      <c r="K11" s="4">
        <v>85106135</v>
      </c>
      <c r="L11" s="5">
        <v>11069554</v>
      </c>
      <c r="M11" s="5">
        <v>19144376.467130002</v>
      </c>
      <c r="N11" s="5">
        <v>4447718</v>
      </c>
      <c r="O11" s="5">
        <v>17487987.379659999</v>
      </c>
      <c r="P11" s="5">
        <v>0</v>
      </c>
      <c r="Q11" s="5">
        <v>0</v>
      </c>
      <c r="R11" s="5">
        <v>11245</v>
      </c>
      <c r="S11" s="5">
        <v>62144.9</v>
      </c>
      <c r="T11" s="5">
        <v>2535706</v>
      </c>
      <c r="U11" s="5">
        <v>6246959.0509099988</v>
      </c>
      <c r="V11" s="5">
        <v>326893</v>
      </c>
      <c r="W11" s="5">
        <v>1959793.5601899999</v>
      </c>
      <c r="X11" s="5">
        <v>29</v>
      </c>
      <c r="Y11" s="5">
        <v>92.92</v>
      </c>
      <c r="Z11" s="5">
        <v>21056361</v>
      </c>
      <c r="AA11" s="5">
        <v>112180953.48899999</v>
      </c>
      <c r="AB11" s="5">
        <v>0</v>
      </c>
      <c r="AC11" s="5">
        <v>0</v>
      </c>
    </row>
    <row r="12" spans="1:29" x14ac:dyDescent="0.25">
      <c r="B12" s="28">
        <v>2</v>
      </c>
      <c r="C12" s="3" t="s">
        <v>29</v>
      </c>
      <c r="D12" s="4">
        <v>5218</v>
      </c>
      <c r="E12" s="4">
        <v>2467</v>
      </c>
      <c r="F12" s="4">
        <v>19590</v>
      </c>
      <c r="G12" s="4">
        <v>26262</v>
      </c>
      <c r="H12" s="4">
        <v>0</v>
      </c>
      <c r="I12" s="4">
        <v>1473614</v>
      </c>
      <c r="J12" s="4">
        <v>122696</v>
      </c>
      <c r="K12" s="4">
        <v>38142048</v>
      </c>
      <c r="L12" s="5">
        <v>120314</v>
      </c>
      <c r="M12" s="5">
        <v>593529.23691999994</v>
      </c>
      <c r="N12" s="5">
        <v>552727</v>
      </c>
      <c r="O12" s="5">
        <v>1006086.77192</v>
      </c>
      <c r="P12" s="5">
        <v>0</v>
      </c>
      <c r="Q12" s="5">
        <v>0</v>
      </c>
      <c r="R12" s="5">
        <v>8468</v>
      </c>
      <c r="S12" s="5">
        <v>50667.798619999994</v>
      </c>
      <c r="T12" s="5">
        <v>1696768</v>
      </c>
      <c r="U12" s="5">
        <v>4016260.9870000002</v>
      </c>
      <c r="V12" s="5">
        <v>290750</v>
      </c>
      <c r="W12" s="5">
        <v>898719.51599999995</v>
      </c>
      <c r="X12" s="5">
        <v>0</v>
      </c>
      <c r="Y12" s="5">
        <v>0</v>
      </c>
      <c r="Z12" s="5">
        <v>13102090</v>
      </c>
      <c r="AA12" s="5">
        <v>59655544.695</v>
      </c>
      <c r="AB12" s="5">
        <v>0</v>
      </c>
      <c r="AC12" s="5">
        <v>0</v>
      </c>
    </row>
    <row r="13" spans="1:29" s="35" customFormat="1" ht="16.5" customHeight="1" x14ac:dyDescent="0.2">
      <c r="A13" s="34"/>
      <c r="B13" s="28">
        <v>3</v>
      </c>
      <c r="C13" s="6" t="s">
        <v>30</v>
      </c>
      <c r="D13" s="7">
        <v>2477</v>
      </c>
      <c r="E13" s="7">
        <v>249</v>
      </c>
      <c r="F13" s="7">
        <v>793</v>
      </c>
      <c r="G13" s="7">
        <v>8229</v>
      </c>
      <c r="H13" s="7">
        <v>355014</v>
      </c>
      <c r="I13" s="7">
        <v>969523</v>
      </c>
      <c r="J13" s="7">
        <v>0</v>
      </c>
      <c r="K13" s="7">
        <v>10954252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847364</v>
      </c>
      <c r="U13" s="5">
        <v>2045136.2338299998</v>
      </c>
      <c r="V13" s="5">
        <v>99042</v>
      </c>
      <c r="W13" s="5">
        <v>363993.23458999995</v>
      </c>
      <c r="X13" s="5">
        <v>5688</v>
      </c>
      <c r="Y13" s="5">
        <v>57238.540439999997</v>
      </c>
      <c r="Z13" s="5">
        <v>5317246</v>
      </c>
      <c r="AA13" s="5">
        <v>28177642.241299998</v>
      </c>
      <c r="AB13" s="5">
        <v>0</v>
      </c>
      <c r="AC13" s="5">
        <v>0</v>
      </c>
    </row>
    <row r="14" spans="1:29" x14ac:dyDescent="0.25">
      <c r="B14" s="28">
        <v>4</v>
      </c>
      <c r="C14" s="3" t="s">
        <v>31</v>
      </c>
      <c r="D14" s="4">
        <v>8113</v>
      </c>
      <c r="E14" s="4">
        <v>3056</v>
      </c>
      <c r="F14" s="4">
        <v>94192</v>
      </c>
      <c r="G14" s="4">
        <v>12304</v>
      </c>
      <c r="H14" s="4">
        <v>0</v>
      </c>
      <c r="I14" s="4">
        <v>4257360</v>
      </c>
      <c r="J14" s="4">
        <v>1137987</v>
      </c>
      <c r="K14" s="4">
        <v>60297602</v>
      </c>
      <c r="L14" s="5">
        <v>1130652</v>
      </c>
      <c r="M14" s="5">
        <v>4719448.5987600004</v>
      </c>
      <c r="N14" s="5">
        <v>551159</v>
      </c>
      <c r="O14" s="5">
        <v>3120158.1382399998</v>
      </c>
      <c r="P14" s="5">
        <v>0</v>
      </c>
      <c r="Q14" s="5">
        <v>0</v>
      </c>
      <c r="R14" s="5">
        <v>82223</v>
      </c>
      <c r="S14" s="5">
        <v>486270.2</v>
      </c>
      <c r="T14" s="5">
        <v>4825196</v>
      </c>
      <c r="U14" s="5">
        <v>14691183.860759998</v>
      </c>
      <c r="V14" s="5">
        <v>823681</v>
      </c>
      <c r="W14" s="5">
        <v>4178423.58079</v>
      </c>
      <c r="X14" s="5">
        <v>4819</v>
      </c>
      <c r="Y14" s="5">
        <v>99561.293999999994</v>
      </c>
      <c r="Z14" s="5">
        <v>27018465</v>
      </c>
      <c r="AA14" s="5">
        <v>141544587.91800001</v>
      </c>
      <c r="AB14" s="5">
        <v>13</v>
      </c>
      <c r="AC14" s="5">
        <v>12.5</v>
      </c>
    </row>
    <row r="15" spans="1:29" x14ac:dyDescent="0.25">
      <c r="B15" s="28">
        <v>5</v>
      </c>
      <c r="C15" s="3" t="s">
        <v>32</v>
      </c>
      <c r="D15" s="4">
        <v>2871</v>
      </c>
      <c r="E15" s="4">
        <v>948</v>
      </c>
      <c r="F15" s="4">
        <v>3058</v>
      </c>
      <c r="G15" s="4">
        <v>2232</v>
      </c>
      <c r="H15" s="4">
        <v>38138</v>
      </c>
      <c r="I15" s="4">
        <v>1582293</v>
      </c>
      <c r="J15" s="4">
        <v>0</v>
      </c>
      <c r="K15" s="4">
        <v>31671866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750578</v>
      </c>
      <c r="U15" s="5">
        <v>2188533.8640999999</v>
      </c>
      <c r="V15" s="5">
        <v>153710</v>
      </c>
      <c r="W15" s="5">
        <v>632812.80500000005</v>
      </c>
      <c r="X15" s="5">
        <v>0</v>
      </c>
      <c r="Y15" s="5">
        <v>0</v>
      </c>
      <c r="Z15" s="5">
        <v>4548668</v>
      </c>
      <c r="AA15" s="5">
        <v>23465081.550000001</v>
      </c>
      <c r="AB15" s="5">
        <v>11</v>
      </c>
      <c r="AC15" s="5">
        <v>153.05699999999999</v>
      </c>
    </row>
    <row r="16" spans="1:29" x14ac:dyDescent="0.25">
      <c r="B16" s="28">
        <v>6</v>
      </c>
      <c r="C16" s="3" t="s">
        <v>33</v>
      </c>
      <c r="D16" s="4">
        <v>5026</v>
      </c>
      <c r="E16" s="4">
        <v>649</v>
      </c>
      <c r="F16" s="4">
        <v>27138</v>
      </c>
      <c r="G16" s="4">
        <v>17136</v>
      </c>
      <c r="H16" s="4">
        <v>0</v>
      </c>
      <c r="I16" s="4">
        <v>2690015</v>
      </c>
      <c r="J16" s="4">
        <v>265466</v>
      </c>
      <c r="K16" s="4">
        <v>37188039</v>
      </c>
      <c r="L16" s="5">
        <v>168147</v>
      </c>
      <c r="M16" s="5">
        <v>810624.50076999993</v>
      </c>
      <c r="N16" s="5">
        <v>138957</v>
      </c>
      <c r="O16" s="5">
        <v>864722.72568000003</v>
      </c>
      <c r="P16" s="5">
        <v>0</v>
      </c>
      <c r="Q16" s="5">
        <v>0</v>
      </c>
      <c r="R16" s="5">
        <v>3532</v>
      </c>
      <c r="S16" s="5">
        <v>29644.404999999999</v>
      </c>
      <c r="T16" s="5">
        <v>2247134</v>
      </c>
      <c r="U16" s="5">
        <v>5933393.2671600012</v>
      </c>
      <c r="V16" s="5">
        <v>328309</v>
      </c>
      <c r="W16" s="5">
        <v>894860.94200000004</v>
      </c>
      <c r="X16" s="5">
        <v>162</v>
      </c>
      <c r="Y16" s="5">
        <v>471.39</v>
      </c>
      <c r="Z16" s="5">
        <v>16070530</v>
      </c>
      <c r="AA16" s="5">
        <v>83723442.150329992</v>
      </c>
      <c r="AB16" s="5">
        <v>2</v>
      </c>
      <c r="AC16" s="5">
        <v>4</v>
      </c>
    </row>
    <row r="17" spans="2:29" x14ac:dyDescent="0.25">
      <c r="B17" s="28">
        <v>7</v>
      </c>
      <c r="C17" s="3" t="s">
        <v>34</v>
      </c>
      <c r="D17" s="4">
        <v>2949</v>
      </c>
      <c r="E17" s="4">
        <v>732</v>
      </c>
      <c r="F17" s="4">
        <v>21652</v>
      </c>
      <c r="G17" s="4">
        <v>12657</v>
      </c>
      <c r="H17" s="4">
        <v>0</v>
      </c>
      <c r="I17" s="4">
        <v>584929</v>
      </c>
      <c r="J17" s="4">
        <v>158111</v>
      </c>
      <c r="K17" s="4">
        <v>22307048</v>
      </c>
      <c r="L17" s="5">
        <v>706126</v>
      </c>
      <c r="M17" s="5">
        <v>1112726.6732999999</v>
      </c>
      <c r="N17" s="5">
        <v>62318</v>
      </c>
      <c r="O17" s="5">
        <v>282501.40532999998</v>
      </c>
      <c r="P17" s="5">
        <v>0</v>
      </c>
      <c r="Q17" s="5">
        <v>0</v>
      </c>
      <c r="R17" s="5">
        <v>7629</v>
      </c>
      <c r="S17" s="5">
        <v>40207.800000000003</v>
      </c>
      <c r="T17" s="5">
        <v>1898516</v>
      </c>
      <c r="U17" s="5">
        <v>4834420.7261199998</v>
      </c>
      <c r="V17" s="5">
        <v>217982</v>
      </c>
      <c r="W17" s="5">
        <v>683069.67478</v>
      </c>
      <c r="X17" s="5">
        <v>0</v>
      </c>
      <c r="Y17" s="5">
        <v>0</v>
      </c>
      <c r="Z17" s="5">
        <v>10961964</v>
      </c>
      <c r="AA17" s="5">
        <v>52616728.748460002</v>
      </c>
      <c r="AB17" s="5">
        <v>0</v>
      </c>
      <c r="AC17" s="5">
        <v>0</v>
      </c>
    </row>
    <row r="18" spans="2:29" x14ac:dyDescent="0.25">
      <c r="B18" s="28">
        <v>8</v>
      </c>
      <c r="C18" s="3" t="s">
        <v>35</v>
      </c>
      <c r="D18" s="4">
        <v>1138</v>
      </c>
      <c r="E18" s="4">
        <v>36</v>
      </c>
      <c r="F18" s="4">
        <v>1317</v>
      </c>
      <c r="G18" s="4">
        <v>2226</v>
      </c>
      <c r="H18" s="4">
        <v>1457</v>
      </c>
      <c r="I18" s="4">
        <v>212651</v>
      </c>
      <c r="J18" s="4">
        <v>0</v>
      </c>
      <c r="K18" s="4">
        <v>4022009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40824</v>
      </c>
      <c r="U18" s="5">
        <v>129225.43</v>
      </c>
      <c r="V18" s="5">
        <v>201077</v>
      </c>
      <c r="W18" s="5">
        <v>530873.41500000004</v>
      </c>
      <c r="X18" s="5">
        <v>0</v>
      </c>
      <c r="Y18" s="5">
        <v>0</v>
      </c>
      <c r="Z18" s="5">
        <v>1164298</v>
      </c>
      <c r="AA18" s="5">
        <v>6149397.7999999998</v>
      </c>
      <c r="AB18" s="5">
        <v>0</v>
      </c>
      <c r="AC18" s="5">
        <v>0</v>
      </c>
    </row>
    <row r="19" spans="2:29" x14ac:dyDescent="0.25">
      <c r="B19" s="28">
        <v>9</v>
      </c>
      <c r="C19" s="3" t="s">
        <v>36</v>
      </c>
      <c r="D19" s="4">
        <v>7195</v>
      </c>
      <c r="E19" s="4">
        <v>3685</v>
      </c>
      <c r="F19" s="4">
        <v>27865</v>
      </c>
      <c r="G19" s="4">
        <v>0</v>
      </c>
      <c r="H19" s="4">
        <v>133800</v>
      </c>
      <c r="I19" s="4">
        <v>1085779</v>
      </c>
      <c r="J19" s="4">
        <v>917459</v>
      </c>
      <c r="K19" s="4">
        <v>41837493</v>
      </c>
      <c r="L19" s="5">
        <v>376286</v>
      </c>
      <c r="M19" s="5">
        <v>1815229.6143400001</v>
      </c>
      <c r="N19" s="5">
        <v>393974</v>
      </c>
      <c r="O19" s="5">
        <v>1888170.0842200001</v>
      </c>
      <c r="P19" s="5">
        <v>1</v>
      </c>
      <c r="Q19" s="5">
        <v>45</v>
      </c>
      <c r="R19" s="5">
        <v>5331</v>
      </c>
      <c r="S19" s="5">
        <v>17715.5</v>
      </c>
      <c r="T19" s="5">
        <v>3218058</v>
      </c>
      <c r="U19" s="5">
        <v>8674843.2745599989</v>
      </c>
      <c r="V19" s="5">
        <v>667329</v>
      </c>
      <c r="W19" s="5">
        <v>1923528.47542</v>
      </c>
      <c r="X19" s="5">
        <v>0</v>
      </c>
      <c r="Y19" s="5">
        <v>0</v>
      </c>
      <c r="Z19" s="5">
        <v>20947334</v>
      </c>
      <c r="AA19" s="5">
        <v>112911997.5</v>
      </c>
      <c r="AB19" s="5">
        <v>0</v>
      </c>
      <c r="AC19" s="5">
        <v>0</v>
      </c>
    </row>
    <row r="20" spans="2:29" x14ac:dyDescent="0.25">
      <c r="B20" s="28">
        <v>10</v>
      </c>
      <c r="C20" s="3" t="s">
        <v>37</v>
      </c>
      <c r="D20" s="4">
        <v>28853</v>
      </c>
      <c r="E20" s="4">
        <v>36117</v>
      </c>
      <c r="F20" s="4">
        <v>1785829</v>
      </c>
      <c r="G20" s="4">
        <v>54254</v>
      </c>
      <c r="H20" s="4">
        <v>1048358</v>
      </c>
      <c r="I20" s="4">
        <v>6017400</v>
      </c>
      <c r="J20" s="4">
        <v>22418883</v>
      </c>
      <c r="K20" s="4">
        <v>254502283</v>
      </c>
      <c r="L20" s="5">
        <v>25716322</v>
      </c>
      <c r="M20" s="5">
        <v>133909823.28752999</v>
      </c>
      <c r="N20" s="5">
        <v>81275302</v>
      </c>
      <c r="O20" s="5">
        <v>251648069.08375987</v>
      </c>
      <c r="P20" s="5">
        <v>0</v>
      </c>
      <c r="Q20" s="5">
        <v>0</v>
      </c>
      <c r="R20" s="5">
        <v>112922</v>
      </c>
      <c r="S20" s="5">
        <v>514625.60911999998</v>
      </c>
      <c r="T20" s="5">
        <v>24446764</v>
      </c>
      <c r="U20" s="5">
        <v>65068915.408080004</v>
      </c>
      <c r="V20" s="5">
        <v>5704579</v>
      </c>
      <c r="W20" s="5">
        <v>20122694.63727</v>
      </c>
      <c r="X20" s="5">
        <v>542</v>
      </c>
      <c r="Y20" s="5">
        <v>7655.4015899999995</v>
      </c>
      <c r="Z20" s="5">
        <v>138761174</v>
      </c>
      <c r="AA20" s="5">
        <v>799148442.74233997</v>
      </c>
      <c r="AB20" s="5">
        <v>5174</v>
      </c>
      <c r="AC20" s="5">
        <v>3980.07717</v>
      </c>
    </row>
    <row r="21" spans="2:29" x14ac:dyDescent="0.25">
      <c r="B21" s="28">
        <v>11</v>
      </c>
      <c r="C21" s="3" t="s">
        <v>38</v>
      </c>
      <c r="D21" s="4">
        <v>2422</v>
      </c>
      <c r="E21" s="4">
        <v>216</v>
      </c>
      <c r="F21" s="4">
        <v>4562</v>
      </c>
      <c r="G21" s="4">
        <v>3568</v>
      </c>
      <c r="H21" s="4">
        <v>125</v>
      </c>
      <c r="I21" s="4">
        <v>1496241</v>
      </c>
      <c r="J21" s="4">
        <v>0</v>
      </c>
      <c r="K21" s="4">
        <v>14540031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668742</v>
      </c>
      <c r="U21" s="5">
        <v>1828774.05644</v>
      </c>
      <c r="V21" s="5">
        <v>189954</v>
      </c>
      <c r="W21" s="5">
        <v>513361.79897</v>
      </c>
      <c r="X21" s="5">
        <v>735</v>
      </c>
      <c r="Y21" s="5">
        <v>13705.135870000002</v>
      </c>
      <c r="Z21" s="5">
        <v>5640064</v>
      </c>
      <c r="AA21" s="5">
        <v>28333814.791869998</v>
      </c>
      <c r="AB21" s="5">
        <v>20</v>
      </c>
      <c r="AC21" s="5">
        <v>11.1</v>
      </c>
    </row>
    <row r="22" spans="2:29" x14ac:dyDescent="0.25">
      <c r="B22" s="28">
        <v>12</v>
      </c>
      <c r="C22" s="3" t="s">
        <v>39</v>
      </c>
      <c r="D22" s="4">
        <v>8002</v>
      </c>
      <c r="E22" s="4">
        <v>731</v>
      </c>
      <c r="F22" s="4">
        <v>37757</v>
      </c>
      <c r="G22" s="4">
        <v>8891</v>
      </c>
      <c r="H22" s="4">
        <v>454162</v>
      </c>
      <c r="I22" s="4">
        <v>295955</v>
      </c>
      <c r="J22" s="4">
        <v>509678</v>
      </c>
      <c r="K22" s="4">
        <v>56935515</v>
      </c>
      <c r="L22" s="5">
        <v>483101</v>
      </c>
      <c r="M22" s="5">
        <v>2315361.0422299998</v>
      </c>
      <c r="N22" s="5">
        <v>2344803</v>
      </c>
      <c r="O22" s="5">
        <v>3790636.9842899996</v>
      </c>
      <c r="P22" s="5">
        <v>0</v>
      </c>
      <c r="Q22" s="5">
        <v>0</v>
      </c>
      <c r="R22" s="5">
        <v>7961</v>
      </c>
      <c r="S22" s="5">
        <v>39531.293439999994</v>
      </c>
      <c r="T22" s="5">
        <v>3244388</v>
      </c>
      <c r="U22" s="5">
        <v>8156770.4974499997</v>
      </c>
      <c r="V22" s="5">
        <v>713379</v>
      </c>
      <c r="W22" s="5">
        <v>2096849.0227600001</v>
      </c>
      <c r="X22" s="5">
        <v>1867</v>
      </c>
      <c r="Y22" s="5">
        <v>7507.1750000000002</v>
      </c>
      <c r="Z22" s="5">
        <v>37921628</v>
      </c>
      <c r="AA22" s="5">
        <v>118770398.552</v>
      </c>
      <c r="AB22" s="5">
        <v>11</v>
      </c>
      <c r="AC22" s="5">
        <v>9</v>
      </c>
    </row>
    <row r="23" spans="2:29" x14ac:dyDescent="0.25">
      <c r="B23" s="9" t="s">
        <v>40</v>
      </c>
      <c r="C23" s="10"/>
      <c r="D23" s="1"/>
      <c r="E23" s="1"/>
      <c r="F23" s="1"/>
      <c r="G23" s="1"/>
      <c r="H23" s="1"/>
      <c r="I23" s="1"/>
      <c r="J23" s="1"/>
      <c r="K23" s="1"/>
      <c r="L23" s="2"/>
      <c r="M23" s="2"/>
      <c r="N23" s="2"/>
      <c r="O23" s="2"/>
      <c r="P23" s="2"/>
      <c r="Q23" s="2"/>
      <c r="R23" s="2"/>
      <c r="S23" s="2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2:29" x14ac:dyDescent="0.25">
      <c r="B24" s="28">
        <v>13</v>
      </c>
      <c r="C24" s="3" t="s">
        <v>41</v>
      </c>
      <c r="D24" s="4">
        <v>6844</v>
      </c>
      <c r="E24" s="4">
        <v>5859</v>
      </c>
      <c r="F24" s="4">
        <v>2550866</v>
      </c>
      <c r="G24" s="4">
        <v>0</v>
      </c>
      <c r="H24" s="4">
        <v>461891</v>
      </c>
      <c r="I24" s="4">
        <v>126363686</v>
      </c>
      <c r="J24" s="4">
        <v>16142307</v>
      </c>
      <c r="K24" s="4">
        <v>45992862</v>
      </c>
      <c r="L24" s="5">
        <v>53530197</v>
      </c>
      <c r="M24" s="5">
        <v>110978943.70189001</v>
      </c>
      <c r="N24" s="5">
        <v>29804062</v>
      </c>
      <c r="O24" s="5">
        <v>122034550.44138001</v>
      </c>
      <c r="P24" s="5">
        <v>0</v>
      </c>
      <c r="Q24" s="5">
        <v>0</v>
      </c>
      <c r="R24" s="5">
        <v>63817</v>
      </c>
      <c r="S24" s="5">
        <v>369434.8</v>
      </c>
      <c r="T24" s="5">
        <v>3155186</v>
      </c>
      <c r="U24" s="5">
        <v>12729235.33294001</v>
      </c>
      <c r="V24" s="5">
        <v>1704070</v>
      </c>
      <c r="W24" s="5">
        <v>12395213.231109973</v>
      </c>
      <c r="X24" s="5">
        <v>8972</v>
      </c>
      <c r="Y24" s="5">
        <v>236233.712</v>
      </c>
      <c r="Z24" s="5">
        <v>14050878</v>
      </c>
      <c r="AA24" s="5">
        <v>99909729.432999998</v>
      </c>
      <c r="AB24" s="5">
        <v>0</v>
      </c>
      <c r="AC24" s="5">
        <v>0</v>
      </c>
    </row>
    <row r="25" spans="2:29" x14ac:dyDescent="0.25">
      <c r="B25" s="28">
        <v>14</v>
      </c>
      <c r="C25" s="3" t="s">
        <v>42</v>
      </c>
      <c r="D25" s="4">
        <v>429</v>
      </c>
      <c r="E25" s="4">
        <v>5</v>
      </c>
      <c r="F25" s="4">
        <v>74017</v>
      </c>
      <c r="G25" s="4">
        <v>0</v>
      </c>
      <c r="H25" s="4">
        <v>50288</v>
      </c>
      <c r="I25" s="4">
        <v>0</v>
      </c>
      <c r="J25" s="4">
        <v>17009</v>
      </c>
      <c r="K25" s="4">
        <v>6520744</v>
      </c>
      <c r="L25" s="5">
        <v>66391</v>
      </c>
      <c r="M25" s="5">
        <v>90391.88640999874</v>
      </c>
      <c r="N25" s="5">
        <v>4553</v>
      </c>
      <c r="O25" s="5">
        <v>32419.961640000005</v>
      </c>
      <c r="P25" s="5">
        <v>0</v>
      </c>
      <c r="Q25" s="5">
        <v>0</v>
      </c>
      <c r="R25" s="5">
        <v>229</v>
      </c>
      <c r="S25" s="5">
        <v>1263.7</v>
      </c>
      <c r="T25" s="5">
        <v>147113</v>
      </c>
      <c r="U25" s="5">
        <v>529466.43818000006</v>
      </c>
      <c r="V25" s="5">
        <v>44002</v>
      </c>
      <c r="W25" s="5">
        <v>219121.37691999992</v>
      </c>
      <c r="X25" s="5">
        <v>0</v>
      </c>
      <c r="Y25" s="5">
        <v>0</v>
      </c>
      <c r="Z25" s="5">
        <v>1670461</v>
      </c>
      <c r="AA25" s="5">
        <v>10085416.380000001</v>
      </c>
      <c r="AB25" s="5">
        <v>14</v>
      </c>
      <c r="AC25" s="5">
        <v>7.5</v>
      </c>
    </row>
    <row r="26" spans="2:29" x14ac:dyDescent="0.25">
      <c r="B26" s="28">
        <v>15</v>
      </c>
      <c r="C26" s="3" t="s">
        <v>43</v>
      </c>
      <c r="D26" s="4">
        <v>1321</v>
      </c>
      <c r="E26" s="4">
        <v>489</v>
      </c>
      <c r="F26" s="4">
        <v>6633</v>
      </c>
      <c r="G26" s="4">
        <v>25501</v>
      </c>
      <c r="H26" s="4">
        <v>0</v>
      </c>
      <c r="I26" s="4">
        <v>71020</v>
      </c>
      <c r="J26" s="4">
        <v>53664</v>
      </c>
      <c r="K26" s="4">
        <v>3425046</v>
      </c>
      <c r="L26" s="5">
        <v>56965</v>
      </c>
      <c r="M26" s="5">
        <v>306853.64091000019</v>
      </c>
      <c r="N26" s="5">
        <v>31967</v>
      </c>
      <c r="O26" s="5">
        <v>338472.51645999902</v>
      </c>
      <c r="P26" s="5">
        <v>0</v>
      </c>
      <c r="Q26" s="5">
        <v>0</v>
      </c>
      <c r="R26" s="5">
        <v>163</v>
      </c>
      <c r="S26" s="5">
        <v>1059.5478000000001</v>
      </c>
      <c r="T26" s="5">
        <v>353929</v>
      </c>
      <c r="U26" s="5">
        <v>1213010.5873800002</v>
      </c>
      <c r="V26" s="5">
        <v>31862</v>
      </c>
      <c r="W26" s="5">
        <v>104169.62170999999</v>
      </c>
      <c r="X26" s="5">
        <v>0</v>
      </c>
      <c r="Y26" s="5">
        <v>0</v>
      </c>
      <c r="Z26" s="5">
        <v>1981307</v>
      </c>
      <c r="AA26" s="5">
        <v>12629869.26125</v>
      </c>
      <c r="AB26" s="5">
        <v>0</v>
      </c>
      <c r="AC26" s="5">
        <v>0</v>
      </c>
    </row>
    <row r="27" spans="2:29" x14ac:dyDescent="0.25">
      <c r="B27" s="28">
        <v>16</v>
      </c>
      <c r="C27" s="3" t="s">
        <v>44</v>
      </c>
      <c r="D27" s="4">
        <v>798</v>
      </c>
      <c r="E27" s="4">
        <v>36</v>
      </c>
      <c r="F27" s="4">
        <v>0</v>
      </c>
      <c r="G27" s="4">
        <v>0</v>
      </c>
      <c r="H27" s="4">
        <v>18963</v>
      </c>
      <c r="I27" s="4">
        <v>0</v>
      </c>
      <c r="J27" s="4">
        <v>195205</v>
      </c>
      <c r="K27" s="4">
        <v>969842</v>
      </c>
      <c r="L27" s="5">
        <v>196758</v>
      </c>
      <c r="M27" s="5">
        <v>614577.29667000007</v>
      </c>
      <c r="N27" s="5">
        <v>2120799</v>
      </c>
      <c r="O27" s="5">
        <v>1817251.7445399999</v>
      </c>
      <c r="P27" s="5">
        <v>0</v>
      </c>
      <c r="Q27" s="5">
        <v>0</v>
      </c>
      <c r="R27" s="5">
        <v>0</v>
      </c>
      <c r="S27" s="5">
        <v>0</v>
      </c>
      <c r="T27" s="5">
        <v>94096</v>
      </c>
      <c r="U27" s="5">
        <v>280024.97422000003</v>
      </c>
      <c r="V27" s="5">
        <v>6609</v>
      </c>
      <c r="W27" s="5">
        <v>40791.787590000007</v>
      </c>
      <c r="X27" s="5">
        <v>0</v>
      </c>
      <c r="Y27" s="5">
        <v>0</v>
      </c>
      <c r="Z27" s="5">
        <v>343585</v>
      </c>
      <c r="AA27" s="5">
        <v>2042941.6</v>
      </c>
      <c r="AB27" s="5">
        <v>0</v>
      </c>
      <c r="AC27" s="5">
        <v>0</v>
      </c>
    </row>
    <row r="28" spans="2:29" x14ac:dyDescent="0.25">
      <c r="B28" s="28">
        <v>17</v>
      </c>
      <c r="C28" s="3" t="s">
        <v>45</v>
      </c>
      <c r="D28" s="4">
        <v>442</v>
      </c>
      <c r="E28" s="4">
        <v>4</v>
      </c>
      <c r="F28" s="4">
        <v>0</v>
      </c>
      <c r="G28" s="4">
        <v>0</v>
      </c>
      <c r="H28" s="4">
        <v>0</v>
      </c>
      <c r="I28" s="4">
        <v>0</v>
      </c>
      <c r="J28" s="4">
        <v>23340</v>
      </c>
      <c r="K28" s="4">
        <v>1421635</v>
      </c>
      <c r="L28" s="5">
        <v>6315</v>
      </c>
      <c r="M28" s="5">
        <v>19330.253359999977</v>
      </c>
      <c r="N28" s="5">
        <v>13165</v>
      </c>
      <c r="O28" s="5">
        <v>36265.89092999995</v>
      </c>
      <c r="P28" s="5">
        <v>36998</v>
      </c>
      <c r="Q28" s="5">
        <v>18873.969449999997</v>
      </c>
      <c r="R28" s="5">
        <v>145</v>
      </c>
      <c r="S28" s="5">
        <v>917.9</v>
      </c>
      <c r="T28" s="5">
        <v>70020</v>
      </c>
      <c r="U28" s="5">
        <v>236090.80507</v>
      </c>
      <c r="V28" s="5">
        <v>58981</v>
      </c>
      <c r="W28" s="5">
        <v>239173.65393999999</v>
      </c>
      <c r="X28" s="5">
        <v>199</v>
      </c>
      <c r="Y28" s="5">
        <v>6267.165</v>
      </c>
      <c r="Z28" s="5">
        <v>240011</v>
      </c>
      <c r="AA28" s="5">
        <v>1749203.629</v>
      </c>
      <c r="AB28" s="5">
        <v>0</v>
      </c>
      <c r="AC28" s="5">
        <v>0</v>
      </c>
    </row>
    <row r="29" spans="2:29" x14ac:dyDescent="0.25">
      <c r="B29" s="28">
        <v>18</v>
      </c>
      <c r="C29" s="3" t="s">
        <v>46</v>
      </c>
      <c r="D29" s="4">
        <v>246</v>
      </c>
      <c r="E29" s="4">
        <v>37</v>
      </c>
      <c r="F29" s="4">
        <v>1623</v>
      </c>
      <c r="G29" s="4">
        <v>0</v>
      </c>
      <c r="H29" s="4">
        <v>0</v>
      </c>
      <c r="I29" s="4">
        <v>18841</v>
      </c>
      <c r="J29" s="4">
        <v>11200</v>
      </c>
      <c r="K29" s="4">
        <v>631084</v>
      </c>
      <c r="L29" s="5">
        <v>21637</v>
      </c>
      <c r="M29" s="5">
        <v>55873.609640000002</v>
      </c>
      <c r="N29" s="5">
        <v>6797</v>
      </c>
      <c r="O29" s="5">
        <v>27165.044100000003</v>
      </c>
      <c r="P29" s="5">
        <v>0</v>
      </c>
      <c r="Q29" s="5">
        <v>0</v>
      </c>
      <c r="R29" s="5">
        <v>251</v>
      </c>
      <c r="S29" s="5">
        <v>936.1</v>
      </c>
      <c r="T29" s="5">
        <v>103853</v>
      </c>
      <c r="U29" s="5">
        <v>237322.18424</v>
      </c>
      <c r="V29" s="5">
        <v>3293</v>
      </c>
      <c r="W29" s="5">
        <v>8001.9520799999982</v>
      </c>
      <c r="X29" s="5">
        <v>0</v>
      </c>
      <c r="Y29" s="5">
        <v>0</v>
      </c>
      <c r="Z29" s="5">
        <v>366106</v>
      </c>
      <c r="AA29" s="5">
        <v>1754612.24795</v>
      </c>
      <c r="AB29" s="5">
        <v>0</v>
      </c>
      <c r="AC29" s="5">
        <v>0</v>
      </c>
    </row>
    <row r="30" spans="2:29" x14ac:dyDescent="0.25">
      <c r="B30" s="28">
        <v>19</v>
      </c>
      <c r="C30" s="3" t="s">
        <v>47</v>
      </c>
      <c r="D30" s="4">
        <v>1846</v>
      </c>
      <c r="E30" s="4">
        <v>287</v>
      </c>
      <c r="F30" s="4">
        <v>27564</v>
      </c>
      <c r="G30" s="4">
        <v>1510</v>
      </c>
      <c r="H30" s="4">
        <v>0</v>
      </c>
      <c r="I30" s="4">
        <v>6397718</v>
      </c>
      <c r="J30" s="4">
        <v>2432713</v>
      </c>
      <c r="K30" s="4">
        <v>14086079</v>
      </c>
      <c r="L30" s="5">
        <v>4326192</v>
      </c>
      <c r="M30" s="5">
        <v>11338223.352039998</v>
      </c>
      <c r="N30" s="5">
        <v>7240372</v>
      </c>
      <c r="O30" s="5">
        <v>15769573.64649</v>
      </c>
      <c r="P30" s="5">
        <v>4775618</v>
      </c>
      <c r="Q30" s="5">
        <v>3663776.1260199999</v>
      </c>
      <c r="R30" s="5">
        <v>5502</v>
      </c>
      <c r="S30" s="5">
        <v>27457.3344</v>
      </c>
      <c r="T30" s="5">
        <v>2186606</v>
      </c>
      <c r="U30" s="5">
        <v>7142022.6726599997</v>
      </c>
      <c r="V30" s="5">
        <v>938529</v>
      </c>
      <c r="W30" s="5">
        <v>4079387.00337</v>
      </c>
      <c r="X30" s="5">
        <v>3191</v>
      </c>
      <c r="Y30" s="5">
        <v>51641.171719999998</v>
      </c>
      <c r="Z30" s="5">
        <v>6454847</v>
      </c>
      <c r="AA30" s="5">
        <v>37486222.053999998</v>
      </c>
      <c r="AB30" s="5">
        <v>0</v>
      </c>
      <c r="AC30" s="5">
        <v>0</v>
      </c>
    </row>
    <row r="31" spans="2:29" x14ac:dyDescent="0.25">
      <c r="B31" s="28">
        <v>20</v>
      </c>
      <c r="C31" s="3" t="s">
        <v>48</v>
      </c>
      <c r="D31" s="4">
        <v>13124</v>
      </c>
      <c r="E31" s="4">
        <v>7883</v>
      </c>
      <c r="F31" s="4">
        <v>1871796</v>
      </c>
      <c r="G31" s="4">
        <v>1732</v>
      </c>
      <c r="H31" s="4">
        <v>2259124</v>
      </c>
      <c r="I31" s="4">
        <v>1197463</v>
      </c>
      <c r="J31" s="4">
        <v>26583337</v>
      </c>
      <c r="K31" s="4">
        <v>63484357</v>
      </c>
      <c r="L31" s="5">
        <v>106349622</v>
      </c>
      <c r="M31" s="5">
        <v>210158501.55926999</v>
      </c>
      <c r="N31" s="5">
        <v>43608563</v>
      </c>
      <c r="O31" s="5">
        <v>381217875.06836998</v>
      </c>
      <c r="P31" s="5">
        <v>0</v>
      </c>
      <c r="Q31" s="5">
        <v>0</v>
      </c>
      <c r="R31" s="5">
        <v>154623</v>
      </c>
      <c r="S31" s="5">
        <v>1064756.0674100001</v>
      </c>
      <c r="T31" s="5">
        <v>6923539</v>
      </c>
      <c r="U31" s="5">
        <v>31478709.370270003</v>
      </c>
      <c r="V31" s="5">
        <v>5844253</v>
      </c>
      <c r="W31" s="5">
        <v>36594702.028059997</v>
      </c>
      <c r="X31" s="5">
        <v>42860</v>
      </c>
      <c r="Y31" s="5">
        <v>1213221.8313499999</v>
      </c>
      <c r="Z31" s="5">
        <v>28171358</v>
      </c>
      <c r="AA31" s="5">
        <v>210203008.77200001</v>
      </c>
      <c r="AB31" s="5">
        <v>6</v>
      </c>
      <c r="AC31" s="5">
        <v>6</v>
      </c>
    </row>
    <row r="32" spans="2:29" x14ac:dyDescent="0.25">
      <c r="B32" s="28">
        <v>21</v>
      </c>
      <c r="C32" s="3" t="s">
        <v>49</v>
      </c>
      <c r="D32" s="4">
        <v>9655</v>
      </c>
      <c r="E32" s="4">
        <v>2537</v>
      </c>
      <c r="F32" s="4">
        <v>1729565</v>
      </c>
      <c r="G32" s="4">
        <v>8820</v>
      </c>
      <c r="H32" s="4">
        <v>376075</v>
      </c>
      <c r="I32" s="4">
        <v>3835543</v>
      </c>
      <c r="J32" s="4">
        <v>19371259</v>
      </c>
      <c r="K32" s="4">
        <v>31660993</v>
      </c>
      <c r="L32" s="5">
        <v>17348997</v>
      </c>
      <c r="M32" s="5">
        <v>95833104.082099795</v>
      </c>
      <c r="N32" s="5">
        <v>81810227</v>
      </c>
      <c r="O32" s="5">
        <v>232343952.56700611</v>
      </c>
      <c r="P32" s="5">
        <v>79</v>
      </c>
      <c r="Q32" s="5">
        <v>6654.8</v>
      </c>
      <c r="R32" s="5">
        <v>44930</v>
      </c>
      <c r="S32" s="5">
        <v>236579.46</v>
      </c>
      <c r="T32" s="5">
        <v>3704259</v>
      </c>
      <c r="U32" s="5">
        <v>19103470.208449822</v>
      </c>
      <c r="V32" s="5">
        <v>3001496</v>
      </c>
      <c r="W32" s="5">
        <v>23508783.613279637</v>
      </c>
      <c r="X32" s="5">
        <v>2888</v>
      </c>
      <c r="Y32" s="5">
        <v>70903.798999999999</v>
      </c>
      <c r="Z32" s="5">
        <v>10993412</v>
      </c>
      <c r="AA32" s="5">
        <v>94474492.560000002</v>
      </c>
      <c r="AB32" s="5">
        <v>0</v>
      </c>
      <c r="AC32" s="5">
        <v>0</v>
      </c>
    </row>
    <row r="33" spans="2:29" x14ac:dyDescent="0.25">
      <c r="B33" s="28">
        <v>22</v>
      </c>
      <c r="C33" s="3" t="s">
        <v>50</v>
      </c>
      <c r="D33" s="4">
        <v>2464</v>
      </c>
      <c r="E33" s="4">
        <v>584</v>
      </c>
      <c r="F33" s="4">
        <v>13427</v>
      </c>
      <c r="G33" s="4">
        <v>2697</v>
      </c>
      <c r="H33" s="4">
        <v>0</v>
      </c>
      <c r="I33" s="4">
        <v>640816</v>
      </c>
      <c r="J33" s="4">
        <v>49472</v>
      </c>
      <c r="K33" s="4">
        <v>11591390</v>
      </c>
      <c r="L33" s="5">
        <v>77269</v>
      </c>
      <c r="M33" s="5">
        <v>382370.27381000639</v>
      </c>
      <c r="N33" s="5">
        <v>82228</v>
      </c>
      <c r="O33" s="5">
        <v>331412.18677999999</v>
      </c>
      <c r="P33" s="5">
        <v>0</v>
      </c>
      <c r="Q33" s="5">
        <v>0</v>
      </c>
      <c r="R33" s="5">
        <v>490</v>
      </c>
      <c r="S33" s="5">
        <v>2820.9540999999999</v>
      </c>
      <c r="T33" s="5">
        <v>767431</v>
      </c>
      <c r="U33" s="5">
        <v>2048659.9468100176</v>
      </c>
      <c r="V33" s="5">
        <v>140958</v>
      </c>
      <c r="W33" s="5">
        <v>477464.34978999867</v>
      </c>
      <c r="X33" s="5">
        <v>0</v>
      </c>
      <c r="Y33" s="5">
        <v>0</v>
      </c>
      <c r="Z33" s="5">
        <v>3864871</v>
      </c>
      <c r="AA33" s="5">
        <v>21680138.201000001</v>
      </c>
      <c r="AB33" s="5">
        <v>74</v>
      </c>
      <c r="AC33" s="5">
        <v>31.58</v>
      </c>
    </row>
    <row r="34" spans="2:29" x14ac:dyDescent="0.25">
      <c r="B34" s="28">
        <v>23</v>
      </c>
      <c r="C34" s="3" t="s">
        <v>51</v>
      </c>
      <c r="D34" s="4">
        <v>917</v>
      </c>
      <c r="E34" s="4">
        <v>184</v>
      </c>
      <c r="F34" s="4">
        <v>35945</v>
      </c>
      <c r="G34" s="4">
        <v>6327</v>
      </c>
      <c r="H34" s="4">
        <v>0</v>
      </c>
      <c r="I34" s="4">
        <v>264228</v>
      </c>
      <c r="J34" s="4">
        <v>4718127</v>
      </c>
      <c r="K34" s="4">
        <v>7160353</v>
      </c>
      <c r="L34" s="5">
        <v>18038823</v>
      </c>
      <c r="M34" s="5">
        <v>28363744.159000002</v>
      </c>
      <c r="N34" s="5">
        <v>3232441</v>
      </c>
      <c r="O34" s="5">
        <v>21209948.561000001</v>
      </c>
      <c r="P34" s="5">
        <v>0</v>
      </c>
      <c r="Q34" s="5">
        <v>0</v>
      </c>
      <c r="R34" s="5">
        <v>23295</v>
      </c>
      <c r="S34" s="5">
        <v>128038.8</v>
      </c>
      <c r="T34" s="5">
        <v>504737</v>
      </c>
      <c r="U34" s="5">
        <v>1955725.5408599998</v>
      </c>
      <c r="V34" s="5">
        <v>392450</v>
      </c>
      <c r="W34" s="5">
        <v>2878924.7927399999</v>
      </c>
      <c r="X34" s="5">
        <v>0</v>
      </c>
      <c r="Y34" s="5">
        <v>0</v>
      </c>
      <c r="Z34" s="5">
        <v>2729267</v>
      </c>
      <c r="AA34" s="5">
        <v>17177461.287999999</v>
      </c>
      <c r="AB34" s="5">
        <v>0</v>
      </c>
      <c r="AC34" s="5">
        <v>0</v>
      </c>
    </row>
    <row r="35" spans="2:29" x14ac:dyDescent="0.25">
      <c r="B35" s="28">
        <v>24</v>
      </c>
      <c r="C35" s="3" t="s">
        <v>52</v>
      </c>
      <c r="D35" s="4">
        <v>2130</v>
      </c>
      <c r="E35" s="4">
        <v>748</v>
      </c>
      <c r="F35" s="4">
        <v>112163</v>
      </c>
      <c r="G35" s="4">
        <v>0</v>
      </c>
      <c r="H35" s="4">
        <v>12163</v>
      </c>
      <c r="I35" s="4">
        <v>7023545</v>
      </c>
      <c r="J35" s="4">
        <v>2992845</v>
      </c>
      <c r="K35" s="4">
        <v>12243075</v>
      </c>
      <c r="L35" s="5">
        <v>2496062</v>
      </c>
      <c r="M35" s="5">
        <v>16533723.683</v>
      </c>
      <c r="N35" s="5">
        <v>10374874</v>
      </c>
      <c r="O35" s="5">
        <v>31094978.677999999</v>
      </c>
      <c r="P35" s="5">
        <v>0</v>
      </c>
      <c r="Q35" s="5">
        <v>0</v>
      </c>
      <c r="R35" s="5">
        <v>15681</v>
      </c>
      <c r="S35" s="5">
        <v>85962.267999999996</v>
      </c>
      <c r="T35" s="5">
        <v>455465</v>
      </c>
      <c r="U35" s="5">
        <v>1569541.777</v>
      </c>
      <c r="V35" s="5">
        <v>437300</v>
      </c>
      <c r="W35" s="5">
        <v>2065730.6780000001</v>
      </c>
      <c r="X35" s="5">
        <v>716</v>
      </c>
      <c r="Y35" s="5">
        <v>65454.758999999998</v>
      </c>
      <c r="Z35" s="5">
        <v>3298095</v>
      </c>
      <c r="AA35" s="5">
        <v>17018737.47814</v>
      </c>
      <c r="AB35" s="5">
        <v>0</v>
      </c>
      <c r="AC35" s="5">
        <v>0</v>
      </c>
    </row>
    <row r="36" spans="2:29" x14ac:dyDescent="0.25">
      <c r="B36" s="28">
        <v>25</v>
      </c>
      <c r="C36" s="3" t="s">
        <v>53</v>
      </c>
      <c r="D36" s="4">
        <v>973</v>
      </c>
      <c r="E36" s="4">
        <v>645</v>
      </c>
      <c r="F36" s="4">
        <v>14071</v>
      </c>
      <c r="G36" s="4">
        <v>1412</v>
      </c>
      <c r="H36" s="4">
        <v>0</v>
      </c>
      <c r="I36" s="4">
        <v>647416</v>
      </c>
      <c r="J36" s="4">
        <v>149664</v>
      </c>
      <c r="K36" s="4">
        <v>5274927</v>
      </c>
      <c r="L36" s="5">
        <v>424923</v>
      </c>
      <c r="M36" s="5">
        <v>1906786.5225799999</v>
      </c>
      <c r="N36" s="5">
        <v>84396</v>
      </c>
      <c r="O36" s="5">
        <v>375798.90286000003</v>
      </c>
      <c r="P36" s="5">
        <v>0</v>
      </c>
      <c r="Q36" s="5">
        <v>0</v>
      </c>
      <c r="R36" s="5">
        <v>10025</v>
      </c>
      <c r="S36" s="5">
        <v>48537.732730000003</v>
      </c>
      <c r="T36" s="5">
        <v>548277</v>
      </c>
      <c r="U36" s="5">
        <v>1382793.8272500001</v>
      </c>
      <c r="V36" s="5">
        <v>338583</v>
      </c>
      <c r="W36" s="5">
        <v>378919.29242999997</v>
      </c>
      <c r="X36" s="5">
        <v>0</v>
      </c>
      <c r="Y36" s="5">
        <v>0</v>
      </c>
      <c r="Z36" s="5">
        <v>4724829</v>
      </c>
      <c r="AA36" s="5">
        <v>27487271.727000002</v>
      </c>
      <c r="AB36" s="5">
        <v>0</v>
      </c>
      <c r="AC36" s="5">
        <v>0</v>
      </c>
    </row>
    <row r="37" spans="2:29" x14ac:dyDescent="0.25">
      <c r="B37" s="28">
        <v>26</v>
      </c>
      <c r="C37" s="3" t="s">
        <v>54</v>
      </c>
      <c r="D37" s="4">
        <v>976</v>
      </c>
      <c r="E37" s="4">
        <v>496</v>
      </c>
      <c r="F37" s="4">
        <v>9038</v>
      </c>
      <c r="G37" s="4">
        <v>0</v>
      </c>
      <c r="H37" s="4">
        <v>0</v>
      </c>
      <c r="I37" s="4">
        <v>147030</v>
      </c>
      <c r="J37" s="4">
        <v>0</v>
      </c>
      <c r="K37" s="4">
        <v>5573275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537800</v>
      </c>
      <c r="U37" s="5">
        <v>1189326.45328</v>
      </c>
      <c r="V37" s="5">
        <v>53410</v>
      </c>
      <c r="W37" s="5">
        <v>166719.88093000001</v>
      </c>
      <c r="X37" s="5">
        <v>0</v>
      </c>
      <c r="Y37" s="5">
        <v>0</v>
      </c>
      <c r="Z37" s="5">
        <v>3205817</v>
      </c>
      <c r="AA37" s="5">
        <v>16432068.32642</v>
      </c>
      <c r="AB37" s="5">
        <v>0</v>
      </c>
      <c r="AC37" s="5">
        <v>0</v>
      </c>
    </row>
    <row r="38" spans="2:29" x14ac:dyDescent="0.25">
      <c r="B38" s="28">
        <v>27</v>
      </c>
      <c r="C38" s="3" t="s">
        <v>55</v>
      </c>
      <c r="D38" s="4">
        <v>1588</v>
      </c>
      <c r="E38" s="4">
        <v>586</v>
      </c>
      <c r="F38" s="4">
        <v>7086</v>
      </c>
      <c r="G38" s="4">
        <v>162</v>
      </c>
      <c r="H38" s="4">
        <v>47248</v>
      </c>
      <c r="I38" s="4">
        <v>7356</v>
      </c>
      <c r="J38" s="4">
        <v>9510</v>
      </c>
      <c r="K38" s="4">
        <v>5160635</v>
      </c>
      <c r="L38" s="5">
        <v>20528</v>
      </c>
      <c r="M38" s="5">
        <v>148834.95507</v>
      </c>
      <c r="N38" s="5">
        <v>8277</v>
      </c>
      <c r="O38" s="5">
        <v>115597.59616</v>
      </c>
      <c r="P38" s="5">
        <v>0</v>
      </c>
      <c r="Q38" s="5">
        <v>0</v>
      </c>
      <c r="R38" s="5">
        <v>326</v>
      </c>
      <c r="S38" s="5">
        <v>2516.9</v>
      </c>
      <c r="T38" s="5">
        <v>634876</v>
      </c>
      <c r="U38" s="5">
        <v>1869927.330090001</v>
      </c>
      <c r="V38" s="5">
        <v>82613</v>
      </c>
      <c r="W38" s="5">
        <v>427033.72779000003</v>
      </c>
      <c r="X38" s="5">
        <v>0</v>
      </c>
      <c r="Y38" s="5">
        <v>0</v>
      </c>
      <c r="Z38" s="5">
        <v>3195923</v>
      </c>
      <c r="AA38" s="5">
        <v>17759538.09584</v>
      </c>
      <c r="AB38" s="5">
        <v>0</v>
      </c>
      <c r="AC38" s="5">
        <v>0</v>
      </c>
    </row>
    <row r="39" spans="2:29" x14ac:dyDescent="0.25">
      <c r="B39" s="28">
        <v>28</v>
      </c>
      <c r="C39" s="3" t="s">
        <v>56</v>
      </c>
      <c r="D39" s="4">
        <v>2068</v>
      </c>
      <c r="E39" s="4">
        <v>658</v>
      </c>
      <c r="F39" s="4">
        <v>74158</v>
      </c>
      <c r="G39" s="4">
        <v>0</v>
      </c>
      <c r="H39" s="4">
        <v>176953</v>
      </c>
      <c r="I39" s="4">
        <v>732307</v>
      </c>
      <c r="J39" s="4">
        <v>4751679</v>
      </c>
      <c r="K39" s="4">
        <v>36892681</v>
      </c>
      <c r="L39" s="5">
        <v>16646989</v>
      </c>
      <c r="M39" s="5">
        <v>29703584.181729998</v>
      </c>
      <c r="N39" s="5">
        <v>4375599</v>
      </c>
      <c r="O39" s="5">
        <v>34187906.090369999</v>
      </c>
      <c r="P39" s="5">
        <v>0</v>
      </c>
      <c r="Q39" s="5">
        <v>0</v>
      </c>
      <c r="R39" s="5">
        <v>29655</v>
      </c>
      <c r="S39" s="5">
        <v>165476.83437</v>
      </c>
      <c r="T39" s="5">
        <v>1720588</v>
      </c>
      <c r="U39" s="5">
        <v>4751465.9709999999</v>
      </c>
      <c r="V39" s="5">
        <v>2255542</v>
      </c>
      <c r="W39" s="5">
        <v>7483164.0990000004</v>
      </c>
      <c r="X39" s="5">
        <v>0</v>
      </c>
      <c r="Y39" s="5">
        <v>0</v>
      </c>
      <c r="Z39" s="5">
        <v>8462236</v>
      </c>
      <c r="AA39" s="5">
        <v>49982003.781789996</v>
      </c>
      <c r="AB39" s="5">
        <v>0</v>
      </c>
      <c r="AC39" s="5">
        <v>0</v>
      </c>
    </row>
    <row r="40" spans="2:29" x14ac:dyDescent="0.25">
      <c r="B40" s="28">
        <v>29</v>
      </c>
      <c r="C40" s="3" t="s">
        <v>57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459</v>
      </c>
      <c r="J40" s="4">
        <v>0</v>
      </c>
      <c r="K40" s="4">
        <v>157396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9591</v>
      </c>
      <c r="U40" s="5">
        <v>20386.72168999998</v>
      </c>
      <c r="V40" s="5">
        <v>3385</v>
      </c>
      <c r="W40" s="5">
        <v>8841.0519999999997</v>
      </c>
      <c r="X40" s="5">
        <v>0</v>
      </c>
      <c r="Y40" s="5">
        <v>0</v>
      </c>
      <c r="Z40" s="5">
        <v>56972</v>
      </c>
      <c r="AA40" s="5">
        <v>304352.33</v>
      </c>
      <c r="AB40" s="5">
        <v>0</v>
      </c>
      <c r="AC40" s="5">
        <v>0</v>
      </c>
    </row>
    <row r="41" spans="2:29" x14ac:dyDescent="0.25">
      <c r="B41" s="28">
        <v>30</v>
      </c>
      <c r="C41" s="3" t="s">
        <v>58</v>
      </c>
      <c r="D41" s="4">
        <v>385</v>
      </c>
      <c r="E41" s="4">
        <v>27</v>
      </c>
      <c r="F41" s="4">
        <v>2762942</v>
      </c>
      <c r="G41" s="4">
        <v>0</v>
      </c>
      <c r="H41" s="4">
        <v>1595</v>
      </c>
      <c r="I41" s="4">
        <v>51745</v>
      </c>
      <c r="J41" s="4">
        <v>4619198</v>
      </c>
      <c r="K41" s="4">
        <v>1682599</v>
      </c>
      <c r="L41" s="5">
        <v>4326423</v>
      </c>
      <c r="M41" s="5">
        <v>26360483.155400001</v>
      </c>
      <c r="N41" s="5">
        <v>7144370</v>
      </c>
      <c r="O41" s="5">
        <v>46139275.605509996</v>
      </c>
      <c r="P41" s="5">
        <v>0</v>
      </c>
      <c r="Q41" s="5">
        <v>0</v>
      </c>
      <c r="R41" s="5">
        <v>30678</v>
      </c>
      <c r="S41" s="5">
        <v>166943.25843000002</v>
      </c>
      <c r="T41" s="5">
        <v>99531</v>
      </c>
      <c r="U41" s="5">
        <v>364265.80988999997</v>
      </c>
      <c r="V41" s="5">
        <v>67433</v>
      </c>
      <c r="W41" s="5">
        <v>454903.17157999997</v>
      </c>
      <c r="X41" s="5">
        <v>60</v>
      </c>
      <c r="Y41" s="5">
        <v>2036.145</v>
      </c>
      <c r="Z41" s="5">
        <v>342915</v>
      </c>
      <c r="AA41" s="5">
        <v>2041654.20377</v>
      </c>
      <c r="AB41" s="5">
        <v>0</v>
      </c>
      <c r="AC41" s="5">
        <v>0</v>
      </c>
    </row>
    <row r="42" spans="2:29" x14ac:dyDescent="0.25">
      <c r="B42" s="28">
        <v>31</v>
      </c>
      <c r="C42" s="3" t="s">
        <v>59</v>
      </c>
      <c r="D42" s="4">
        <v>914</v>
      </c>
      <c r="E42" s="4">
        <v>359</v>
      </c>
      <c r="F42" s="4">
        <v>13927</v>
      </c>
      <c r="G42" s="4">
        <v>0</v>
      </c>
      <c r="H42" s="4">
        <v>32908</v>
      </c>
      <c r="I42" s="4">
        <v>118876</v>
      </c>
      <c r="J42" s="4">
        <v>336840</v>
      </c>
      <c r="K42" s="4">
        <v>4181883</v>
      </c>
      <c r="L42" s="5">
        <v>433565</v>
      </c>
      <c r="M42" s="5">
        <v>2011088.5295299999</v>
      </c>
      <c r="N42" s="5">
        <v>621422</v>
      </c>
      <c r="O42" s="5">
        <v>2943998.19557</v>
      </c>
      <c r="P42" s="5">
        <v>0</v>
      </c>
      <c r="Q42" s="5">
        <v>0</v>
      </c>
      <c r="R42" s="5">
        <v>0</v>
      </c>
      <c r="S42" s="5">
        <v>0</v>
      </c>
      <c r="T42" s="5">
        <v>760459</v>
      </c>
      <c r="U42" s="5">
        <v>2399503.15588</v>
      </c>
      <c r="V42" s="5">
        <v>144296</v>
      </c>
      <c r="W42" s="5">
        <v>838216.77177999995</v>
      </c>
      <c r="X42" s="5">
        <v>0</v>
      </c>
      <c r="Y42" s="5">
        <v>0</v>
      </c>
      <c r="Z42" s="5">
        <v>2326825</v>
      </c>
      <c r="AA42" s="5">
        <v>12979044.147</v>
      </c>
      <c r="AB42" s="5">
        <v>0</v>
      </c>
      <c r="AC42" s="5">
        <v>0</v>
      </c>
    </row>
    <row r="43" spans="2:29" x14ac:dyDescent="0.25">
      <c r="B43" s="28">
        <v>32</v>
      </c>
      <c r="C43" s="3" t="s">
        <v>60</v>
      </c>
      <c r="D43" s="4">
        <v>510</v>
      </c>
      <c r="E43" s="4">
        <v>641</v>
      </c>
      <c r="F43" s="4">
        <v>623</v>
      </c>
      <c r="G43" s="4">
        <v>0</v>
      </c>
      <c r="H43" s="4">
        <v>0</v>
      </c>
      <c r="I43" s="4">
        <v>205052</v>
      </c>
      <c r="J43" s="4">
        <v>17938</v>
      </c>
      <c r="K43" s="4">
        <v>2651148</v>
      </c>
      <c r="L43" s="5">
        <v>37901</v>
      </c>
      <c r="M43" s="5">
        <v>182395.00068</v>
      </c>
      <c r="N43" s="5">
        <v>14073</v>
      </c>
      <c r="O43" s="5">
        <v>91231.474350000004</v>
      </c>
      <c r="P43" s="5">
        <v>0</v>
      </c>
      <c r="Q43" s="5">
        <v>0</v>
      </c>
      <c r="R43" s="5">
        <v>1531</v>
      </c>
      <c r="S43" s="5">
        <v>6522.3</v>
      </c>
      <c r="T43" s="5">
        <v>251862</v>
      </c>
      <c r="U43" s="5">
        <v>1079525.757</v>
      </c>
      <c r="V43" s="5">
        <v>24202</v>
      </c>
      <c r="W43" s="5">
        <v>184542.7403</v>
      </c>
      <c r="X43" s="5">
        <v>58</v>
      </c>
      <c r="Y43" s="5">
        <v>150.166</v>
      </c>
      <c r="Z43" s="5">
        <v>3820718</v>
      </c>
      <c r="AA43" s="5">
        <v>21706256.199999999</v>
      </c>
      <c r="AB43" s="5">
        <v>0</v>
      </c>
      <c r="AC43" s="5">
        <v>0</v>
      </c>
    </row>
    <row r="44" spans="2:29" x14ac:dyDescent="0.25">
      <c r="B44" s="28">
        <v>33</v>
      </c>
      <c r="C44" s="3" t="s">
        <v>61</v>
      </c>
      <c r="D44" s="4">
        <v>1254</v>
      </c>
      <c r="E44" s="4">
        <v>113</v>
      </c>
      <c r="F44" s="4">
        <v>122957</v>
      </c>
      <c r="G44" s="4">
        <v>73462</v>
      </c>
      <c r="H44" s="4">
        <v>108209</v>
      </c>
      <c r="I44" s="4">
        <v>605215567</v>
      </c>
      <c r="J44" s="4">
        <v>2943179</v>
      </c>
      <c r="K44" s="4">
        <v>5293390</v>
      </c>
      <c r="L44" s="5">
        <v>16815760</v>
      </c>
      <c r="M44" s="5">
        <v>26707743.478149999</v>
      </c>
      <c r="N44" s="5">
        <v>1873064</v>
      </c>
      <c r="O44" s="5">
        <v>14827052.3094</v>
      </c>
      <c r="P44" s="5">
        <v>0</v>
      </c>
      <c r="Q44" s="5">
        <v>0</v>
      </c>
      <c r="R44" s="5">
        <v>8849</v>
      </c>
      <c r="S44" s="5">
        <v>47865.544999999998</v>
      </c>
      <c r="T44" s="5">
        <v>387103</v>
      </c>
      <c r="U44" s="5">
        <v>1545125.798</v>
      </c>
      <c r="V44" s="5">
        <v>80587</v>
      </c>
      <c r="W44" s="5">
        <v>792778.34100000001</v>
      </c>
      <c r="X44" s="5">
        <v>14</v>
      </c>
      <c r="Y44" s="5">
        <v>300.62099999999998</v>
      </c>
      <c r="Z44" s="5">
        <v>1506547</v>
      </c>
      <c r="AA44" s="5">
        <v>9964487.6009999998</v>
      </c>
      <c r="AB44" s="5">
        <v>0</v>
      </c>
      <c r="AC44" s="5">
        <v>0</v>
      </c>
    </row>
    <row r="45" spans="2:29" x14ac:dyDescent="0.25">
      <c r="B45" s="9" t="s">
        <v>62</v>
      </c>
      <c r="C45" s="10"/>
      <c r="D45" s="1"/>
      <c r="E45" s="1"/>
      <c r="F45" s="1"/>
      <c r="G45" s="1"/>
      <c r="H45" s="1"/>
      <c r="I45" s="1"/>
      <c r="J45" s="1"/>
      <c r="K45" s="1"/>
      <c r="L45" s="2"/>
      <c r="M45" s="2"/>
      <c r="N45" s="2"/>
      <c r="O45" s="2"/>
      <c r="P45" s="2"/>
      <c r="Q45" s="2"/>
      <c r="R45" s="2"/>
      <c r="S45" s="2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2:29" x14ac:dyDescent="0.25">
      <c r="B46" s="28">
        <v>34</v>
      </c>
      <c r="C46" s="3" t="s">
        <v>63</v>
      </c>
      <c r="D46" s="4">
        <v>0</v>
      </c>
      <c r="E46" s="4">
        <v>0</v>
      </c>
      <c r="F46" s="4">
        <v>11277</v>
      </c>
      <c r="G46" s="4">
        <v>0</v>
      </c>
      <c r="H46" s="4">
        <v>0</v>
      </c>
      <c r="I46" s="4">
        <v>0</v>
      </c>
      <c r="J46" s="4">
        <v>1303339</v>
      </c>
      <c r="K46" s="4">
        <v>0</v>
      </c>
      <c r="L46" s="5">
        <v>1752622</v>
      </c>
      <c r="M46" s="5">
        <v>16692029.975</v>
      </c>
      <c r="N46" s="5">
        <v>4332384</v>
      </c>
      <c r="O46" s="5">
        <v>44137007.545999996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</row>
    <row r="47" spans="2:29" x14ac:dyDescent="0.25">
      <c r="B47" s="28">
        <v>35</v>
      </c>
      <c r="C47" s="3" t="s">
        <v>64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</row>
    <row r="48" spans="2:29" x14ac:dyDescent="0.25">
      <c r="B48" s="28">
        <v>36</v>
      </c>
      <c r="C48" s="3" t="s">
        <v>65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1359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393</v>
      </c>
      <c r="U48" s="5">
        <v>856.18299999999999</v>
      </c>
      <c r="V48" s="5">
        <v>830</v>
      </c>
      <c r="W48" s="5">
        <v>2417.1567799999998</v>
      </c>
      <c r="X48" s="5">
        <v>0</v>
      </c>
      <c r="Y48" s="5">
        <v>0</v>
      </c>
      <c r="Z48" s="5">
        <v>907</v>
      </c>
      <c r="AA48" s="5">
        <v>4588</v>
      </c>
      <c r="AB48" s="5">
        <v>0</v>
      </c>
      <c r="AC48" s="5">
        <v>0</v>
      </c>
    </row>
    <row r="49" spans="1:29" x14ac:dyDescent="0.25">
      <c r="B49" s="28">
        <v>37</v>
      </c>
      <c r="C49" s="3" t="s">
        <v>66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533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68</v>
      </c>
      <c r="U49" s="5">
        <v>128.66875999999999</v>
      </c>
      <c r="V49" s="5">
        <v>0</v>
      </c>
      <c r="W49" s="5">
        <v>0</v>
      </c>
      <c r="X49" s="5">
        <v>0</v>
      </c>
      <c r="Y49" s="5">
        <v>0</v>
      </c>
      <c r="Z49" s="5">
        <v>520</v>
      </c>
      <c r="AA49" s="5">
        <v>4867.2</v>
      </c>
      <c r="AB49" s="5">
        <v>0</v>
      </c>
      <c r="AC49" s="5">
        <v>0</v>
      </c>
    </row>
    <row r="50" spans="1:29" x14ac:dyDescent="0.25">
      <c r="B50" s="28">
        <v>38</v>
      </c>
      <c r="C50" s="3" t="s">
        <v>67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276710</v>
      </c>
      <c r="K50" s="4">
        <v>0</v>
      </c>
      <c r="L50" s="5">
        <v>162208</v>
      </c>
      <c r="M50" s="5">
        <v>1073928.121379996</v>
      </c>
      <c r="N50" s="5">
        <v>334373</v>
      </c>
      <c r="O50" s="5">
        <v>4365970.798639603</v>
      </c>
      <c r="P50" s="5">
        <v>0</v>
      </c>
      <c r="Q50" s="5">
        <v>0</v>
      </c>
      <c r="R50" s="5">
        <v>395</v>
      </c>
      <c r="S50" s="5">
        <v>3368.3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</row>
    <row r="51" spans="1:29" x14ac:dyDescent="0.25">
      <c r="B51" s="28">
        <v>39</v>
      </c>
      <c r="C51" s="3" t="s">
        <v>68</v>
      </c>
      <c r="D51" s="4">
        <v>411</v>
      </c>
      <c r="E51" s="4">
        <v>312</v>
      </c>
      <c r="F51" s="4">
        <v>656</v>
      </c>
      <c r="G51" s="4">
        <v>84</v>
      </c>
      <c r="H51" s="4">
        <v>0</v>
      </c>
      <c r="I51" s="4">
        <v>9389</v>
      </c>
      <c r="J51" s="4">
        <v>312243</v>
      </c>
      <c r="K51" s="4">
        <v>1607656</v>
      </c>
      <c r="L51" s="5">
        <v>332754</v>
      </c>
      <c r="M51" s="5">
        <v>1603600.0564300001</v>
      </c>
      <c r="N51" s="5">
        <v>256613</v>
      </c>
      <c r="O51" s="5">
        <v>2003820.97361</v>
      </c>
      <c r="P51" s="5">
        <v>0</v>
      </c>
      <c r="Q51" s="5">
        <v>0</v>
      </c>
      <c r="R51" s="5">
        <v>974</v>
      </c>
      <c r="S51" s="5">
        <v>3153</v>
      </c>
      <c r="T51" s="5">
        <v>121606</v>
      </c>
      <c r="U51" s="5">
        <v>412376.02309999894</v>
      </c>
      <c r="V51" s="5">
        <v>66031</v>
      </c>
      <c r="W51" s="5">
        <v>314795.05313999974</v>
      </c>
      <c r="X51" s="5">
        <v>0</v>
      </c>
      <c r="Y51" s="5">
        <v>0</v>
      </c>
      <c r="Z51" s="5">
        <v>569746</v>
      </c>
      <c r="AA51" s="5">
        <v>3688002.8350000265</v>
      </c>
      <c r="AB51" s="5">
        <v>0</v>
      </c>
      <c r="AC51" s="5">
        <v>0</v>
      </c>
    </row>
    <row r="52" spans="1:29" x14ac:dyDescent="0.25">
      <c r="B52" s="28">
        <v>40</v>
      </c>
      <c r="C52" s="3" t="s">
        <v>69</v>
      </c>
      <c r="D52" s="4">
        <v>12</v>
      </c>
      <c r="E52" s="4">
        <v>3</v>
      </c>
      <c r="F52" s="4">
        <v>0</v>
      </c>
      <c r="G52" s="4">
        <v>0</v>
      </c>
      <c r="H52" s="4">
        <v>0</v>
      </c>
      <c r="I52" s="4">
        <v>275</v>
      </c>
      <c r="J52" s="4">
        <v>0</v>
      </c>
      <c r="K52" s="4">
        <v>99269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17414</v>
      </c>
      <c r="U52" s="5">
        <v>67457.114580000009</v>
      </c>
      <c r="V52" s="5">
        <v>17474</v>
      </c>
      <c r="W52" s="5">
        <v>54706.983849999335</v>
      </c>
      <c r="X52" s="5">
        <v>0</v>
      </c>
      <c r="Y52" s="5">
        <v>0</v>
      </c>
      <c r="Z52" s="5">
        <v>21577</v>
      </c>
      <c r="AA52" s="5">
        <v>144943.247</v>
      </c>
      <c r="AB52" s="5">
        <v>0</v>
      </c>
      <c r="AC52" s="5">
        <v>0</v>
      </c>
    </row>
    <row r="53" spans="1:29" x14ac:dyDescent="0.25">
      <c r="B53" s="28">
        <v>41</v>
      </c>
      <c r="C53" s="3" t="s">
        <v>70</v>
      </c>
      <c r="D53" s="4">
        <v>2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23598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578</v>
      </c>
      <c r="U53" s="5">
        <v>2132.8455099999996</v>
      </c>
      <c r="V53" s="5">
        <v>100</v>
      </c>
      <c r="W53" s="5">
        <v>278.31491</v>
      </c>
      <c r="X53" s="5">
        <v>0</v>
      </c>
      <c r="Y53" s="5">
        <v>0</v>
      </c>
      <c r="Z53" s="5">
        <v>1195</v>
      </c>
      <c r="AA53" s="5">
        <v>7149.9</v>
      </c>
      <c r="AB53" s="5">
        <v>0</v>
      </c>
      <c r="AC53" s="5">
        <v>0</v>
      </c>
    </row>
    <row r="54" spans="1:29" x14ac:dyDescent="0.25">
      <c r="B54" s="28">
        <v>42</v>
      </c>
      <c r="C54" s="3" t="s">
        <v>71</v>
      </c>
      <c r="D54" s="36">
        <v>51</v>
      </c>
      <c r="E54" s="4">
        <v>25</v>
      </c>
      <c r="F54" s="4">
        <v>0</v>
      </c>
      <c r="G54" s="4">
        <v>0</v>
      </c>
      <c r="H54" s="4">
        <v>0</v>
      </c>
      <c r="I54" s="4">
        <v>6226</v>
      </c>
      <c r="J54" s="4">
        <v>970072</v>
      </c>
      <c r="K54" s="4">
        <v>963780</v>
      </c>
      <c r="L54" s="5">
        <v>1218303</v>
      </c>
      <c r="M54" s="5">
        <v>5300103.6172798658</v>
      </c>
      <c r="N54" s="5">
        <v>3548739</v>
      </c>
      <c r="O54" s="5">
        <v>12088551.299539432</v>
      </c>
      <c r="P54" s="5">
        <v>0</v>
      </c>
      <c r="Q54" s="5">
        <v>0</v>
      </c>
      <c r="R54" s="5">
        <v>2286</v>
      </c>
      <c r="S54" s="5">
        <v>16538.24166</v>
      </c>
      <c r="T54" s="5">
        <v>295118</v>
      </c>
      <c r="U54" s="5">
        <v>1741348.5869100001</v>
      </c>
      <c r="V54" s="5">
        <v>0</v>
      </c>
      <c r="W54" s="5">
        <v>0</v>
      </c>
      <c r="X54" s="5">
        <v>0</v>
      </c>
      <c r="Y54" s="5">
        <v>0</v>
      </c>
      <c r="Z54" s="5">
        <v>239931</v>
      </c>
      <c r="AA54" s="5">
        <v>1590758.7514000004</v>
      </c>
      <c r="AB54" s="5">
        <v>0</v>
      </c>
      <c r="AC54" s="5">
        <v>0</v>
      </c>
    </row>
    <row r="55" spans="1:29" x14ac:dyDescent="0.25">
      <c r="B55" s="28">
        <v>43</v>
      </c>
      <c r="C55" s="3" t="s">
        <v>72</v>
      </c>
      <c r="D55" s="4">
        <v>1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2036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1299</v>
      </c>
      <c r="U55" s="5">
        <v>4516.973</v>
      </c>
      <c r="V55" s="5">
        <v>156</v>
      </c>
      <c r="W55" s="5">
        <v>294.16500000000002</v>
      </c>
      <c r="X55" s="5">
        <v>0</v>
      </c>
      <c r="Y55" s="5">
        <v>0</v>
      </c>
      <c r="Z55" s="5">
        <v>326</v>
      </c>
      <c r="AA55" s="5">
        <v>1990.7</v>
      </c>
      <c r="AB55" s="5">
        <v>0</v>
      </c>
      <c r="AC55" s="5">
        <v>0</v>
      </c>
    </row>
    <row r="56" spans="1:29" x14ac:dyDescent="0.25">
      <c r="B56" s="28">
        <v>44</v>
      </c>
      <c r="C56" s="3" t="s">
        <v>73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415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392</v>
      </c>
      <c r="U56" s="5">
        <v>863.52138000000002</v>
      </c>
      <c r="V56" s="5">
        <v>132</v>
      </c>
      <c r="W56" s="5">
        <v>150.27501999999998</v>
      </c>
      <c r="X56" s="5">
        <v>0</v>
      </c>
      <c r="Y56" s="5">
        <v>0</v>
      </c>
      <c r="Z56" s="5">
        <v>139</v>
      </c>
      <c r="AA56" s="5">
        <v>951.7</v>
      </c>
      <c r="AB56" s="5">
        <v>0</v>
      </c>
      <c r="AC56" s="5">
        <v>0</v>
      </c>
    </row>
    <row r="57" spans="1:29" x14ac:dyDescent="0.25">
      <c r="A57" s="11" t="s">
        <v>74</v>
      </c>
      <c r="B57" s="28">
        <v>45</v>
      </c>
      <c r="C57" s="3" t="s">
        <v>75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93</v>
      </c>
      <c r="J57" s="4">
        <v>852442</v>
      </c>
      <c r="K57" s="4">
        <v>868571</v>
      </c>
      <c r="L57" s="5">
        <v>109879</v>
      </c>
      <c r="M57" s="5">
        <v>167608.95480999976</v>
      </c>
      <c r="N57" s="5">
        <v>335131</v>
      </c>
      <c r="O57" s="5">
        <v>397231.40715999971</v>
      </c>
      <c r="P57" s="5">
        <v>0</v>
      </c>
      <c r="Q57" s="5">
        <v>0</v>
      </c>
      <c r="R57" s="5">
        <v>1670</v>
      </c>
      <c r="S57" s="5">
        <v>5832.0093799999995</v>
      </c>
      <c r="T57" s="5">
        <v>8571</v>
      </c>
      <c r="U57" s="5">
        <v>30866.672890000002</v>
      </c>
      <c r="V57" s="5">
        <v>9853</v>
      </c>
      <c r="W57" s="5">
        <v>46169.224050000004</v>
      </c>
      <c r="X57" s="5">
        <v>0</v>
      </c>
      <c r="Y57" s="5">
        <v>0</v>
      </c>
      <c r="Z57" s="5">
        <v>19876</v>
      </c>
      <c r="AA57" s="5">
        <v>115730.37883</v>
      </c>
      <c r="AB57" s="5">
        <v>0</v>
      </c>
      <c r="AC57" s="5">
        <v>0</v>
      </c>
    </row>
    <row r="58" spans="1:29" x14ac:dyDescent="0.25">
      <c r="B58" s="28">
        <v>46</v>
      </c>
      <c r="C58" s="10" t="s">
        <v>76</v>
      </c>
      <c r="D58" s="4">
        <v>89</v>
      </c>
      <c r="E58" s="4">
        <v>33</v>
      </c>
      <c r="F58" s="4">
        <v>0</v>
      </c>
      <c r="G58" s="4">
        <v>0</v>
      </c>
      <c r="H58" s="4">
        <v>0</v>
      </c>
      <c r="I58" s="4">
        <v>0</v>
      </c>
      <c r="J58" s="4">
        <v>594774</v>
      </c>
      <c r="K58" s="4">
        <v>845262</v>
      </c>
      <c r="L58" s="5">
        <v>689097</v>
      </c>
      <c r="M58" s="5">
        <v>2794548.2302700076</v>
      </c>
      <c r="N58" s="5">
        <v>895676</v>
      </c>
      <c r="O58" s="5">
        <v>4481116.3347998699</v>
      </c>
      <c r="P58" s="5">
        <v>0</v>
      </c>
      <c r="Q58" s="5">
        <v>0</v>
      </c>
      <c r="R58" s="5">
        <v>953</v>
      </c>
      <c r="S58" s="5">
        <v>6937.6062499999998</v>
      </c>
      <c r="T58" s="5">
        <v>173590</v>
      </c>
      <c r="U58" s="5">
        <v>760331.21621999517</v>
      </c>
      <c r="V58" s="5">
        <v>115817</v>
      </c>
      <c r="W58" s="5">
        <v>445762.95896997297</v>
      </c>
      <c r="X58" s="5">
        <v>11</v>
      </c>
      <c r="Y58" s="5">
        <v>311.49099999999999</v>
      </c>
      <c r="Z58" s="5">
        <v>365058</v>
      </c>
      <c r="AA58" s="5">
        <v>2265683.3345899996</v>
      </c>
      <c r="AB58" s="5">
        <v>0</v>
      </c>
      <c r="AC58" s="5">
        <v>0</v>
      </c>
    </row>
    <row r="59" spans="1:29" x14ac:dyDescent="0.25">
      <c r="B59" s="28">
        <v>47</v>
      </c>
      <c r="C59" s="10" t="s">
        <v>77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1099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1438</v>
      </c>
      <c r="U59" s="5">
        <v>5322.8800599999995</v>
      </c>
      <c r="V59" s="5">
        <v>582</v>
      </c>
      <c r="W59" s="5">
        <v>1911.4618600000001</v>
      </c>
      <c r="X59" s="5">
        <v>0</v>
      </c>
      <c r="Y59" s="5">
        <v>0</v>
      </c>
      <c r="Z59" s="5">
        <v>216</v>
      </c>
      <c r="AA59" s="5">
        <v>1843.2</v>
      </c>
      <c r="AB59" s="5">
        <v>0</v>
      </c>
      <c r="AC59" s="5">
        <v>0</v>
      </c>
    </row>
    <row r="60" spans="1:29" x14ac:dyDescent="0.25">
      <c r="B60" s="9" t="s">
        <v>78</v>
      </c>
      <c r="C60" s="10"/>
      <c r="D60" s="4"/>
      <c r="E60" s="4"/>
      <c r="F60" s="4"/>
      <c r="G60" s="4"/>
      <c r="H60" s="4"/>
      <c r="I60" s="4"/>
      <c r="J60" s="4"/>
      <c r="K60" s="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s="38" customFormat="1" x14ac:dyDescent="0.25">
      <c r="A61" s="37"/>
      <c r="B61" s="29">
        <v>48</v>
      </c>
      <c r="C61" s="12" t="s">
        <v>79</v>
      </c>
      <c r="D61" s="13">
        <v>0</v>
      </c>
      <c r="E61" s="13">
        <v>0</v>
      </c>
      <c r="F61" s="13">
        <v>0</v>
      </c>
      <c r="G61" s="13">
        <v>163438</v>
      </c>
      <c r="H61" s="13">
        <v>0</v>
      </c>
      <c r="I61" s="13">
        <v>937269</v>
      </c>
      <c r="J61" s="13">
        <v>0</v>
      </c>
      <c r="K61" s="13">
        <v>11607713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2645797</v>
      </c>
      <c r="U61" s="14">
        <v>121439.86321000001</v>
      </c>
      <c r="V61" s="14">
        <v>24175</v>
      </c>
      <c r="W61" s="14">
        <v>33080.618000000002</v>
      </c>
      <c r="X61" s="14">
        <v>0</v>
      </c>
      <c r="Y61" s="14">
        <v>0</v>
      </c>
      <c r="Z61" s="14">
        <v>573857</v>
      </c>
      <c r="AA61" s="14">
        <v>2043950.61213</v>
      </c>
      <c r="AB61" s="14">
        <v>0</v>
      </c>
      <c r="AC61" s="14">
        <v>0</v>
      </c>
    </row>
    <row r="62" spans="1:29" s="38" customFormat="1" x14ac:dyDescent="0.25">
      <c r="A62" s="37"/>
      <c r="B62" s="29">
        <v>49</v>
      </c>
      <c r="C62" s="12" t="s">
        <v>80</v>
      </c>
      <c r="D62" s="13">
        <v>0</v>
      </c>
      <c r="E62" s="13">
        <v>0</v>
      </c>
      <c r="F62" s="13">
        <v>0</v>
      </c>
      <c r="G62" s="13">
        <v>475201</v>
      </c>
      <c r="H62" s="13">
        <v>0</v>
      </c>
      <c r="I62" s="13">
        <v>14353</v>
      </c>
      <c r="J62" s="13">
        <v>0</v>
      </c>
      <c r="K62" s="13">
        <v>11370757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84646</v>
      </c>
      <c r="U62" s="14">
        <v>210272.44933999996</v>
      </c>
      <c r="V62" s="14">
        <v>1005</v>
      </c>
      <c r="W62" s="14">
        <v>1954.3007299999999</v>
      </c>
      <c r="X62" s="14">
        <v>0</v>
      </c>
      <c r="Y62" s="14">
        <v>0</v>
      </c>
      <c r="Z62" s="14">
        <v>1716519</v>
      </c>
      <c r="AA62" s="14">
        <v>6154520.1619999995</v>
      </c>
      <c r="AB62" s="14">
        <v>0</v>
      </c>
      <c r="AC62" s="14">
        <v>0</v>
      </c>
    </row>
    <row r="63" spans="1:29" s="38" customFormat="1" x14ac:dyDescent="0.25">
      <c r="A63" s="37"/>
      <c r="B63" s="29">
        <v>50</v>
      </c>
      <c r="C63" s="12" t="s">
        <v>81</v>
      </c>
      <c r="D63" s="13">
        <v>0</v>
      </c>
      <c r="E63" s="13">
        <v>0</v>
      </c>
      <c r="F63" s="13">
        <v>0</v>
      </c>
      <c r="G63" s="13">
        <v>176198</v>
      </c>
      <c r="H63" s="13">
        <v>0</v>
      </c>
      <c r="I63" s="13">
        <v>0</v>
      </c>
      <c r="J63" s="13">
        <v>0</v>
      </c>
      <c r="K63" s="13">
        <v>34713711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80820</v>
      </c>
      <c r="W63" s="14">
        <v>94106.292119999998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</row>
    <row r="64" spans="1:29" s="38" customFormat="1" x14ac:dyDescent="0.25">
      <c r="A64" s="37"/>
      <c r="B64" s="29">
        <v>51</v>
      </c>
      <c r="C64" s="12" t="s">
        <v>82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93039</v>
      </c>
      <c r="J64" s="13">
        <v>0</v>
      </c>
      <c r="K64" s="13">
        <v>1617540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12957</v>
      </c>
      <c r="U64" s="14">
        <v>27200.329320000001</v>
      </c>
      <c r="V64" s="14">
        <v>16382</v>
      </c>
      <c r="W64" s="14">
        <v>29417.69254</v>
      </c>
      <c r="X64" s="14">
        <v>2401</v>
      </c>
      <c r="Y64" s="14">
        <v>1576.0252499999999</v>
      </c>
      <c r="Z64" s="14">
        <v>142587</v>
      </c>
      <c r="AA64" s="14">
        <v>736554.5</v>
      </c>
      <c r="AB64" s="14">
        <v>0</v>
      </c>
      <c r="AC64" s="14">
        <v>0</v>
      </c>
    </row>
    <row r="65" spans="1:29" s="38" customFormat="1" x14ac:dyDescent="0.25">
      <c r="A65" s="37"/>
      <c r="B65" s="29">
        <v>52</v>
      </c>
      <c r="C65" s="12" t="s">
        <v>83</v>
      </c>
      <c r="D65" s="13">
        <v>0</v>
      </c>
      <c r="E65" s="13">
        <v>0</v>
      </c>
      <c r="F65" s="13">
        <v>0</v>
      </c>
      <c r="G65" s="13">
        <v>228256</v>
      </c>
      <c r="H65" s="13">
        <v>0</v>
      </c>
      <c r="I65" s="13">
        <v>0</v>
      </c>
      <c r="J65" s="13">
        <v>0</v>
      </c>
      <c r="K65" s="13">
        <v>3662283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19287</v>
      </c>
      <c r="U65" s="14">
        <v>35781.65322</v>
      </c>
      <c r="V65" s="14">
        <v>17765</v>
      </c>
      <c r="W65" s="14">
        <v>50351.101490000001</v>
      </c>
      <c r="X65" s="14">
        <v>0</v>
      </c>
      <c r="Y65" s="14">
        <v>0</v>
      </c>
      <c r="Z65" s="14">
        <v>481718</v>
      </c>
      <c r="AA65" s="14">
        <v>1373582.4</v>
      </c>
      <c r="AB65" s="14">
        <v>0</v>
      </c>
      <c r="AC65" s="14">
        <v>0</v>
      </c>
    </row>
    <row r="66" spans="1:29" x14ac:dyDescent="0.25">
      <c r="B66" s="9" t="s">
        <v>84</v>
      </c>
      <c r="C66" s="10"/>
      <c r="D66" s="1"/>
      <c r="E66" s="1"/>
      <c r="F66" s="1"/>
      <c r="G66" s="1"/>
      <c r="H66" s="1"/>
      <c r="I66" s="1"/>
      <c r="J66" s="1"/>
      <c r="K66" s="1"/>
      <c r="L66" s="2"/>
      <c r="M66" s="2"/>
      <c r="N66" s="2"/>
      <c r="O66" s="2"/>
      <c r="P66" s="2"/>
      <c r="Q66" s="2"/>
      <c r="R66" s="2"/>
      <c r="S66" s="2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x14ac:dyDescent="0.25">
      <c r="B67" s="28">
        <v>53</v>
      </c>
      <c r="C67" s="3" t="s">
        <v>85</v>
      </c>
      <c r="D67" s="4">
        <v>764</v>
      </c>
      <c r="E67" s="4">
        <v>6</v>
      </c>
      <c r="F67" s="4">
        <v>0</v>
      </c>
      <c r="G67" s="4">
        <v>920</v>
      </c>
      <c r="H67" s="4">
        <v>0</v>
      </c>
      <c r="I67" s="4">
        <v>153004</v>
      </c>
      <c r="J67" s="4">
        <v>1035252</v>
      </c>
      <c r="K67" s="4">
        <v>11010954</v>
      </c>
      <c r="L67" s="5">
        <v>776207</v>
      </c>
      <c r="M67" s="5">
        <v>4771104.2894499963</v>
      </c>
      <c r="N67" s="5">
        <v>3611027</v>
      </c>
      <c r="O67" s="5">
        <v>7501088.2769799801</v>
      </c>
      <c r="P67" s="5">
        <v>230</v>
      </c>
      <c r="Q67" s="5">
        <v>125.77</v>
      </c>
      <c r="R67" s="5">
        <v>3064</v>
      </c>
      <c r="S67" s="5">
        <v>19660.400000000001</v>
      </c>
      <c r="T67" s="5">
        <v>166673</v>
      </c>
      <c r="U67" s="5">
        <v>484743.43885000004</v>
      </c>
      <c r="V67" s="5">
        <v>172196</v>
      </c>
      <c r="W67" s="5">
        <v>787049.15116999997</v>
      </c>
      <c r="X67" s="5">
        <v>97</v>
      </c>
      <c r="Y67" s="5">
        <v>1531.7</v>
      </c>
      <c r="Z67" s="5">
        <v>807666</v>
      </c>
      <c r="AA67" s="5">
        <v>5246006.4000000004</v>
      </c>
      <c r="AB67" s="5">
        <v>0</v>
      </c>
      <c r="AC67" s="5">
        <v>0</v>
      </c>
    </row>
    <row r="68" spans="1:29" x14ac:dyDescent="0.25">
      <c r="B68" s="28">
        <v>54</v>
      </c>
      <c r="C68" s="3" t="s">
        <v>86</v>
      </c>
      <c r="D68" s="4">
        <v>214</v>
      </c>
      <c r="E68" s="4">
        <v>2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229003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19148</v>
      </c>
      <c r="U68" s="5">
        <v>69930.134980000003</v>
      </c>
      <c r="V68" s="5">
        <v>1441</v>
      </c>
      <c r="W68" s="5">
        <v>12382.73445</v>
      </c>
      <c r="X68" s="5">
        <v>0</v>
      </c>
      <c r="Y68" s="5">
        <v>0</v>
      </c>
      <c r="Z68" s="5">
        <v>95052</v>
      </c>
      <c r="AA68" s="5">
        <v>634187.88</v>
      </c>
      <c r="AB68" s="5">
        <v>0</v>
      </c>
      <c r="AC68" s="5">
        <v>0</v>
      </c>
    </row>
    <row r="69" spans="1:29" x14ac:dyDescent="0.25">
      <c r="B69" s="28">
        <v>55</v>
      </c>
      <c r="C69" s="3" t="s">
        <v>87</v>
      </c>
      <c r="D69" s="4">
        <v>394</v>
      </c>
      <c r="E69" s="4">
        <v>4</v>
      </c>
      <c r="F69" s="4">
        <v>2781</v>
      </c>
      <c r="G69" s="4">
        <v>363</v>
      </c>
      <c r="H69" s="4">
        <v>0</v>
      </c>
      <c r="I69" s="4">
        <v>58116</v>
      </c>
      <c r="J69" s="4">
        <v>22677</v>
      </c>
      <c r="K69" s="4">
        <v>1088667</v>
      </c>
      <c r="L69" s="5">
        <v>163266</v>
      </c>
      <c r="M69" s="5">
        <v>302175.86119999998</v>
      </c>
      <c r="N69" s="5">
        <v>11225</v>
      </c>
      <c r="O69" s="5">
        <v>202026.89720999997</v>
      </c>
      <c r="P69" s="5">
        <v>0</v>
      </c>
      <c r="Q69" s="5">
        <v>0</v>
      </c>
      <c r="R69" s="5">
        <v>504</v>
      </c>
      <c r="S69" s="5">
        <v>2842.6</v>
      </c>
      <c r="T69" s="5">
        <v>65745</v>
      </c>
      <c r="U69" s="5">
        <v>192710.12641</v>
      </c>
      <c r="V69" s="5">
        <v>19357</v>
      </c>
      <c r="W69" s="5">
        <v>121614.98463999998</v>
      </c>
      <c r="X69" s="5">
        <v>0</v>
      </c>
      <c r="Y69" s="5">
        <v>0</v>
      </c>
      <c r="Z69" s="5">
        <v>1618069</v>
      </c>
      <c r="AA69" s="5">
        <v>5123783.1900000004</v>
      </c>
      <c r="AB69" s="5">
        <v>0</v>
      </c>
      <c r="AC69" s="5">
        <v>0</v>
      </c>
    </row>
    <row r="70" spans="1:29" x14ac:dyDescent="0.25">
      <c r="B70" s="28">
        <v>56</v>
      </c>
      <c r="C70" s="3" t="s">
        <v>88</v>
      </c>
      <c r="D70" s="4">
        <v>719</v>
      </c>
      <c r="E70" s="4">
        <v>2</v>
      </c>
      <c r="F70" s="4">
        <v>0</v>
      </c>
      <c r="G70" s="4">
        <v>2281</v>
      </c>
      <c r="H70" s="4">
        <v>0</v>
      </c>
      <c r="I70" s="4">
        <v>4806</v>
      </c>
      <c r="J70" s="4">
        <v>8143</v>
      </c>
      <c r="K70" s="4">
        <v>5296893</v>
      </c>
      <c r="L70" s="5">
        <v>6866</v>
      </c>
      <c r="M70" s="5">
        <v>18501.136610000001</v>
      </c>
      <c r="N70" s="5">
        <v>64694</v>
      </c>
      <c r="O70" s="5">
        <v>74807.856690000015</v>
      </c>
      <c r="P70" s="5">
        <v>0</v>
      </c>
      <c r="Q70" s="5">
        <v>0</v>
      </c>
      <c r="R70" s="5">
        <v>32</v>
      </c>
      <c r="S70" s="5">
        <v>91</v>
      </c>
      <c r="T70" s="5">
        <v>111022</v>
      </c>
      <c r="U70" s="5">
        <v>251583.67637999996</v>
      </c>
      <c r="V70" s="5">
        <v>8597</v>
      </c>
      <c r="W70" s="5">
        <v>31172.307629999999</v>
      </c>
      <c r="X70" s="5">
        <v>0</v>
      </c>
      <c r="Y70" s="5">
        <v>0</v>
      </c>
      <c r="Z70" s="5">
        <v>635113</v>
      </c>
      <c r="AA70" s="5">
        <v>3350403.395</v>
      </c>
      <c r="AB70" s="5">
        <v>0</v>
      </c>
      <c r="AC70" s="5">
        <v>0</v>
      </c>
    </row>
    <row r="71" spans="1:29" x14ac:dyDescent="0.25">
      <c r="B71" s="28">
        <v>57</v>
      </c>
      <c r="C71" s="3" t="s">
        <v>89</v>
      </c>
      <c r="D71" s="4">
        <v>57</v>
      </c>
      <c r="E71" s="4">
        <v>5</v>
      </c>
      <c r="F71" s="4">
        <v>0</v>
      </c>
      <c r="G71" s="4">
        <v>173</v>
      </c>
      <c r="H71" s="4">
        <v>0</v>
      </c>
      <c r="I71" s="4">
        <v>881367</v>
      </c>
      <c r="J71" s="4">
        <v>0</v>
      </c>
      <c r="K71" s="4">
        <v>4604791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35160</v>
      </c>
      <c r="U71" s="5">
        <v>97560.150629999989</v>
      </c>
      <c r="V71" s="5">
        <v>6907</v>
      </c>
      <c r="W71" s="5">
        <v>25743.353789999997</v>
      </c>
      <c r="X71" s="5">
        <v>0</v>
      </c>
      <c r="Y71" s="5">
        <v>0</v>
      </c>
      <c r="Z71" s="5">
        <v>641875</v>
      </c>
      <c r="AA71" s="5">
        <v>2000072.9018399999</v>
      </c>
      <c r="AB71" s="5">
        <v>0</v>
      </c>
      <c r="AC71" s="5">
        <v>0</v>
      </c>
    </row>
    <row r="72" spans="1:29" x14ac:dyDescent="0.25">
      <c r="B72" s="28">
        <v>58</v>
      </c>
      <c r="C72" s="3" t="s">
        <v>90</v>
      </c>
      <c r="D72" s="4">
        <v>5</v>
      </c>
      <c r="E72" s="4">
        <v>0</v>
      </c>
      <c r="F72" s="4">
        <v>0</v>
      </c>
      <c r="G72" s="4">
        <v>0</v>
      </c>
      <c r="H72" s="4">
        <v>0</v>
      </c>
      <c r="I72" s="4">
        <v>22450</v>
      </c>
      <c r="J72" s="4">
        <v>291405</v>
      </c>
      <c r="K72" s="4">
        <v>5563543</v>
      </c>
      <c r="L72" s="5">
        <v>4090684</v>
      </c>
      <c r="M72" s="5">
        <v>1882403.8743500002</v>
      </c>
      <c r="N72" s="5">
        <v>885243</v>
      </c>
      <c r="O72" s="5">
        <v>906153.94756000012</v>
      </c>
      <c r="P72" s="5">
        <v>0</v>
      </c>
      <c r="Q72" s="5">
        <v>0</v>
      </c>
      <c r="R72" s="5">
        <v>0</v>
      </c>
      <c r="S72" s="5">
        <v>0</v>
      </c>
      <c r="T72" s="5">
        <v>10045</v>
      </c>
      <c r="U72" s="5">
        <v>24698.839909999995</v>
      </c>
      <c r="V72" s="5">
        <v>49719</v>
      </c>
      <c r="W72" s="5">
        <v>148263.28663000002</v>
      </c>
      <c r="X72" s="5">
        <v>0</v>
      </c>
      <c r="Y72" s="5">
        <v>0</v>
      </c>
      <c r="Z72" s="5">
        <v>61101</v>
      </c>
      <c r="AA72" s="5">
        <v>306674.90000000002</v>
      </c>
      <c r="AB72" s="5">
        <v>2616</v>
      </c>
      <c r="AC72" s="5">
        <v>10589.11</v>
      </c>
    </row>
    <row r="73" spans="1:29" x14ac:dyDescent="0.25">
      <c r="B73" s="28">
        <v>59</v>
      </c>
      <c r="C73" s="3" t="s">
        <v>91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36751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1344</v>
      </c>
      <c r="U73" s="5">
        <v>3421.6803999999988</v>
      </c>
      <c r="V73" s="5">
        <v>418</v>
      </c>
      <c r="W73" s="5">
        <v>1089.2051200000001</v>
      </c>
      <c r="X73" s="5">
        <v>0</v>
      </c>
      <c r="Y73" s="5">
        <v>0</v>
      </c>
      <c r="Z73" s="5">
        <v>13242</v>
      </c>
      <c r="AA73" s="5">
        <v>67025.815520000004</v>
      </c>
      <c r="AB73" s="5">
        <v>0</v>
      </c>
      <c r="AC73" s="5">
        <v>0</v>
      </c>
    </row>
    <row r="74" spans="1:29" x14ac:dyDescent="0.25">
      <c r="B74" s="28">
        <v>60</v>
      </c>
      <c r="C74" s="3" t="s">
        <v>92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47209</v>
      </c>
      <c r="K74" s="4">
        <v>1031724</v>
      </c>
      <c r="L74" s="5">
        <v>6328</v>
      </c>
      <c r="M74" s="5">
        <v>24410.253579999997</v>
      </c>
      <c r="N74" s="5">
        <v>20190</v>
      </c>
      <c r="O74" s="5">
        <v>47954.345200000003</v>
      </c>
      <c r="P74" s="5">
        <v>0</v>
      </c>
      <c r="Q74" s="5">
        <v>0</v>
      </c>
      <c r="R74" s="5">
        <v>0</v>
      </c>
      <c r="S74" s="5">
        <v>0</v>
      </c>
      <c r="T74" s="5">
        <v>3808</v>
      </c>
      <c r="U74" s="5">
        <v>8685.3160000000007</v>
      </c>
      <c r="V74" s="5">
        <v>666</v>
      </c>
      <c r="W74" s="5">
        <v>2350.913</v>
      </c>
      <c r="X74" s="5">
        <v>0</v>
      </c>
      <c r="Y74" s="5">
        <v>0</v>
      </c>
      <c r="Z74" s="5">
        <v>37577</v>
      </c>
      <c r="AA74" s="5">
        <v>166181.85999999999</v>
      </c>
      <c r="AB74" s="5">
        <v>0</v>
      </c>
      <c r="AC74" s="5">
        <v>0</v>
      </c>
    </row>
    <row r="75" spans="1:29" x14ac:dyDescent="0.25">
      <c r="B75" s="28">
        <v>61</v>
      </c>
      <c r="C75" s="3" t="s">
        <v>93</v>
      </c>
      <c r="D75" s="4">
        <v>608</v>
      </c>
      <c r="E75" s="4">
        <v>3</v>
      </c>
      <c r="F75" s="4">
        <v>0</v>
      </c>
      <c r="G75" s="4">
        <v>0</v>
      </c>
      <c r="H75" s="4">
        <v>0</v>
      </c>
      <c r="I75" s="4">
        <v>550495</v>
      </c>
      <c r="J75" s="4">
        <v>0</v>
      </c>
      <c r="K75" s="4">
        <v>6659352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121769</v>
      </c>
      <c r="U75" s="5">
        <v>305460.70979999995</v>
      </c>
      <c r="V75" s="5">
        <v>20633</v>
      </c>
      <c r="W75" s="5">
        <v>115970.82190000001</v>
      </c>
      <c r="X75" s="5">
        <v>0</v>
      </c>
      <c r="Y75" s="5">
        <v>0</v>
      </c>
      <c r="Z75" s="5">
        <v>2712619</v>
      </c>
      <c r="AA75" s="5">
        <v>13098247.278999999</v>
      </c>
      <c r="AB75" s="5">
        <v>0</v>
      </c>
      <c r="AC75" s="5">
        <v>0</v>
      </c>
    </row>
    <row r="76" spans="1:29" x14ac:dyDescent="0.25">
      <c r="B76" s="28">
        <v>62</v>
      </c>
      <c r="C76" s="3" t="s">
        <v>94</v>
      </c>
      <c r="D76" s="4">
        <v>189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289545</v>
      </c>
      <c r="K76" s="4">
        <v>120567</v>
      </c>
      <c r="L76" s="5">
        <v>43555</v>
      </c>
      <c r="M76" s="5">
        <v>167718.03230000002</v>
      </c>
      <c r="N76" s="5">
        <v>112859</v>
      </c>
      <c r="O76" s="5">
        <v>459775.10080000001</v>
      </c>
      <c r="P76" s="5">
        <v>0</v>
      </c>
      <c r="Q76" s="5">
        <v>0</v>
      </c>
      <c r="R76" s="5">
        <v>1460</v>
      </c>
      <c r="S76" s="5">
        <v>6744.3842300000006</v>
      </c>
      <c r="T76" s="5">
        <v>8131</v>
      </c>
      <c r="U76" s="5">
        <v>15620.83794999999</v>
      </c>
      <c r="V76" s="5">
        <v>1259</v>
      </c>
      <c r="W76" s="5">
        <v>6379.3933200000001</v>
      </c>
      <c r="X76" s="5">
        <v>0</v>
      </c>
      <c r="Y76" s="5">
        <v>0</v>
      </c>
      <c r="Z76" s="5">
        <v>35344</v>
      </c>
      <c r="AA76" s="5">
        <v>182635.2</v>
      </c>
      <c r="AB76" s="5">
        <v>0</v>
      </c>
      <c r="AC76" s="5">
        <v>0</v>
      </c>
    </row>
    <row r="77" spans="1:29" x14ac:dyDescent="0.25">
      <c r="B77" s="28">
        <v>63</v>
      </c>
      <c r="C77" s="3" t="s">
        <v>95</v>
      </c>
      <c r="D77" s="4">
        <v>365</v>
      </c>
      <c r="E77" s="4">
        <v>8</v>
      </c>
      <c r="F77" s="4">
        <v>0</v>
      </c>
      <c r="G77" s="4">
        <v>789</v>
      </c>
      <c r="H77" s="4">
        <v>0</v>
      </c>
      <c r="I77" s="4">
        <v>42449</v>
      </c>
      <c r="J77" s="4">
        <v>328729</v>
      </c>
      <c r="K77" s="4">
        <v>1320771</v>
      </c>
      <c r="L77" s="5">
        <v>19966</v>
      </c>
      <c r="M77" s="5">
        <v>35499.136509999997</v>
      </c>
      <c r="N77" s="5">
        <v>97385</v>
      </c>
      <c r="O77" s="5">
        <v>107080.57759999999</v>
      </c>
      <c r="P77" s="5">
        <v>3601299</v>
      </c>
      <c r="Q77" s="5">
        <v>984297.73809</v>
      </c>
      <c r="R77" s="5">
        <v>705</v>
      </c>
      <c r="S77" s="5">
        <v>1164.5999999999999</v>
      </c>
      <c r="T77" s="5">
        <v>16507</v>
      </c>
      <c r="U77" s="5">
        <v>55535.184359999897</v>
      </c>
      <c r="V77" s="5">
        <v>4558</v>
      </c>
      <c r="W77" s="5">
        <v>24709.221020000008</v>
      </c>
      <c r="X77" s="5">
        <v>1</v>
      </c>
      <c r="Y77" s="5">
        <v>0.06</v>
      </c>
      <c r="Z77" s="5">
        <v>146464</v>
      </c>
      <c r="AA77" s="5">
        <v>1027923.7582</v>
      </c>
      <c r="AB77" s="5">
        <v>0</v>
      </c>
      <c r="AC77" s="5">
        <v>0</v>
      </c>
    </row>
    <row r="78" spans="1:29" s="40" customFormat="1" x14ac:dyDescent="0.25">
      <c r="A78" s="39"/>
      <c r="B78" s="30" t="s">
        <v>96</v>
      </c>
      <c r="C78" s="10"/>
      <c r="D78" s="15">
        <f t="shared" ref="D78:AC78" si="0">SUM(D11:D77)</f>
        <v>136150</v>
      </c>
      <c r="E78" s="15">
        <f t="shared" si="0"/>
        <v>73964</v>
      </c>
      <c r="F78" s="15">
        <f t="shared" si="0"/>
        <v>11525276</v>
      </c>
      <c r="G78" s="15">
        <f t="shared" si="0"/>
        <v>1358241</v>
      </c>
      <c r="H78" s="15">
        <f t="shared" si="0"/>
        <v>5604866</v>
      </c>
      <c r="I78" s="15">
        <f t="shared" si="0"/>
        <v>779765356</v>
      </c>
      <c r="J78" s="15">
        <f t="shared" si="0"/>
        <v>120454115</v>
      </c>
      <c r="K78" s="15">
        <f t="shared" si="0"/>
        <v>1027908313</v>
      </c>
      <c r="L78" s="15">
        <f t="shared" si="0"/>
        <v>290363554</v>
      </c>
      <c r="M78" s="15">
        <f t="shared" si="0"/>
        <v>760951304.28138995</v>
      </c>
      <c r="N78" s="15">
        <f t="shared" si="0"/>
        <v>296723746</v>
      </c>
      <c r="O78" s="15">
        <f t="shared" si="0"/>
        <v>1261795644.4158044</v>
      </c>
      <c r="P78" s="15">
        <f t="shared" si="0"/>
        <v>8414225</v>
      </c>
      <c r="Q78" s="15">
        <f t="shared" si="0"/>
        <v>4673773.4035599995</v>
      </c>
      <c r="R78" s="15">
        <f t="shared" si="0"/>
        <v>641544</v>
      </c>
      <c r="S78" s="15">
        <f t="shared" si="0"/>
        <v>3664229.1499399994</v>
      </c>
      <c r="T78" s="15">
        <f t="shared" si="0"/>
        <v>73778865</v>
      </c>
      <c r="U78" s="15">
        <f t="shared" si="0"/>
        <v>221870862.39473984</v>
      </c>
      <c r="V78" s="15">
        <f t="shared" si="0"/>
        <v>26007412</v>
      </c>
      <c r="W78" s="15">
        <f t="shared" si="0"/>
        <v>130497684.79929961</v>
      </c>
      <c r="X78" s="15">
        <f t="shared" si="0"/>
        <v>75310</v>
      </c>
      <c r="Y78" s="15">
        <f t="shared" si="0"/>
        <v>1835860.5032199996</v>
      </c>
      <c r="Z78" s="15">
        <f t="shared" si="0"/>
        <v>415255096</v>
      </c>
      <c r="AA78" s="15">
        <f t="shared" si="0"/>
        <v>2300884800.9959698</v>
      </c>
      <c r="AB78" s="15">
        <f t="shared" si="0"/>
        <v>7941</v>
      </c>
      <c r="AC78" s="15">
        <f t="shared" si="0"/>
        <v>14803.924170000002</v>
      </c>
    </row>
    <row r="79" spans="1:29" x14ac:dyDescent="0.25">
      <c r="A79" s="25"/>
      <c r="B79" s="27" t="s">
        <v>123</v>
      </c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</row>
    <row r="80" spans="1:29" x14ac:dyDescent="0.25">
      <c r="A80" s="41"/>
      <c r="B80" s="27" t="s">
        <v>97</v>
      </c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</row>
    <row r="81" spans="1:30" x14ac:dyDescent="0.25">
      <c r="A81" s="41"/>
      <c r="B81" s="27" t="s">
        <v>98</v>
      </c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</row>
    <row r="82" spans="1:30" s="42" customFormat="1" x14ac:dyDescent="0.25">
      <c r="A82" s="41"/>
      <c r="B82" s="27" t="s">
        <v>99</v>
      </c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</row>
    <row r="83" spans="1:30" s="42" customFormat="1" x14ac:dyDescent="0.25">
      <c r="A83" s="41"/>
      <c r="B83" s="27" t="s">
        <v>100</v>
      </c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</row>
    <row r="84" spans="1:30" s="42" customFormat="1" x14ac:dyDescent="0.25">
      <c r="A84" s="41"/>
      <c r="B84" s="27" t="s">
        <v>101</v>
      </c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</row>
    <row r="85" spans="1:30" s="42" customFormat="1" x14ac:dyDescent="0.25">
      <c r="A85" s="41"/>
      <c r="B85" s="27" t="s">
        <v>102</v>
      </c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</row>
    <row r="86" spans="1:30" s="42" customFormat="1" x14ac:dyDescent="0.25">
      <c r="A86" s="41"/>
      <c r="B86" s="27" t="s">
        <v>103</v>
      </c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</row>
    <row r="87" spans="1:30" s="42" customFormat="1" x14ac:dyDescent="0.25">
      <c r="A87" s="41"/>
      <c r="B87" s="27" t="s">
        <v>104</v>
      </c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</row>
    <row r="88" spans="1:30" s="42" customFormat="1" x14ac:dyDescent="0.25">
      <c r="A88" s="41"/>
      <c r="B88" s="27" t="s">
        <v>105</v>
      </c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16"/>
    </row>
    <row r="89" spans="1:30" s="42" customFormat="1" x14ac:dyDescent="0.25">
      <c r="A89" s="41"/>
      <c r="B89" s="27" t="s">
        <v>106</v>
      </c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</row>
    <row r="90" spans="1:30" s="42" customFormat="1" x14ac:dyDescent="0.25">
      <c r="A90" s="41"/>
      <c r="B90" s="27" t="s">
        <v>107</v>
      </c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16"/>
    </row>
    <row r="91" spans="1:30" s="42" customFormat="1" x14ac:dyDescent="0.25">
      <c r="A91" s="41"/>
      <c r="B91" s="27" t="s">
        <v>108</v>
      </c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</row>
    <row r="92" spans="1:30" s="42" customFormat="1" x14ac:dyDescent="0.25">
      <c r="A92" s="41"/>
      <c r="B92" s="27" t="s">
        <v>109</v>
      </c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</row>
    <row r="93" spans="1:30" s="42" customFormat="1" x14ac:dyDescent="0.25">
      <c r="A93" s="41"/>
      <c r="B93" s="27" t="s">
        <v>110</v>
      </c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</row>
    <row r="94" spans="1:30" s="42" customFormat="1" x14ac:dyDescent="0.25">
      <c r="A94" s="41"/>
      <c r="B94" s="27" t="s">
        <v>111</v>
      </c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</row>
    <row r="95" spans="1:30" s="42" customFormat="1" x14ac:dyDescent="0.25">
      <c r="A95" s="41"/>
      <c r="B95" s="27" t="s">
        <v>112</v>
      </c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</row>
    <row r="96" spans="1:30" s="42" customFormat="1" x14ac:dyDescent="0.25">
      <c r="A96" s="41"/>
      <c r="B96" s="27" t="s">
        <v>113</v>
      </c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</row>
    <row r="97" spans="1:31" s="42" customFormat="1" x14ac:dyDescent="0.25">
      <c r="A97" s="41"/>
      <c r="B97" s="27" t="s">
        <v>114</v>
      </c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</row>
    <row r="98" spans="1:31" s="42" customFormat="1" x14ac:dyDescent="0.25">
      <c r="A98" s="41"/>
      <c r="B98" s="27" t="s">
        <v>115</v>
      </c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</row>
    <row r="99" spans="1:31" s="42" customFormat="1" x14ac:dyDescent="0.25">
      <c r="A99" s="26"/>
      <c r="B99" s="27" t="s">
        <v>116</v>
      </c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17"/>
      <c r="AE99" s="17"/>
    </row>
    <row r="100" spans="1:31" s="42" customFormat="1" x14ac:dyDescent="0.25">
      <c r="A100" s="41"/>
      <c r="B100" s="27" t="s">
        <v>117</v>
      </c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</row>
    <row r="101" spans="1:31" s="42" customFormat="1" x14ac:dyDescent="0.25">
      <c r="A101" s="41"/>
      <c r="B101" s="27" t="s">
        <v>118</v>
      </c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</row>
    <row r="102" spans="1:31" s="42" customFormat="1" x14ac:dyDescent="0.25">
      <c r="A102" s="41"/>
      <c r="B102" s="27" t="s">
        <v>119</v>
      </c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</row>
    <row r="103" spans="1:31" s="42" customFormat="1" x14ac:dyDescent="0.25">
      <c r="A103" s="41"/>
      <c r="B103" s="27" t="s">
        <v>120</v>
      </c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</row>
    <row r="104" spans="1:31" s="42" customFormat="1" x14ac:dyDescent="0.25">
      <c r="A104" s="41"/>
      <c r="B104" s="27" t="s">
        <v>121</v>
      </c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</row>
    <row r="105" spans="1:31" s="42" customFormat="1" x14ac:dyDescent="0.25">
      <c r="A105" s="41"/>
      <c r="B105" s="27" t="s">
        <v>122</v>
      </c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</row>
    <row r="106" spans="1:31" x14ac:dyDescent="0.25">
      <c r="A106" s="43"/>
    </row>
  </sheetData>
  <mergeCells count="55">
    <mergeCell ref="B2:AC2"/>
    <mergeCell ref="B3:B7"/>
    <mergeCell ref="C3:C7"/>
    <mergeCell ref="D3:K3"/>
    <mergeCell ref="L3:AC3"/>
    <mergeCell ref="D4:K4"/>
    <mergeCell ref="L4:S4"/>
    <mergeCell ref="T4:AC4"/>
    <mergeCell ref="D5:E6"/>
    <mergeCell ref="F5:F7"/>
    <mergeCell ref="R5:S5"/>
    <mergeCell ref="T5:Y5"/>
    <mergeCell ref="Z5:AC5"/>
    <mergeCell ref="L6:M6"/>
    <mergeCell ref="G5:G7"/>
    <mergeCell ref="H5:H7"/>
    <mergeCell ref="X6:Y6"/>
    <mergeCell ref="I5:I7"/>
    <mergeCell ref="J5:J7"/>
    <mergeCell ref="K5:K7"/>
    <mergeCell ref="N6:O6"/>
    <mergeCell ref="P6:Q6"/>
    <mergeCell ref="L5:Q5"/>
    <mergeCell ref="B96:AC96"/>
    <mergeCell ref="Z6:AA6"/>
    <mergeCell ref="B98:AC98"/>
    <mergeCell ref="B99:AC99"/>
    <mergeCell ref="AB6:AC6"/>
    <mergeCell ref="B79:AC79"/>
    <mergeCell ref="B80:AC80"/>
    <mergeCell ref="B81:AC81"/>
    <mergeCell ref="B87:AC87"/>
    <mergeCell ref="B83:AC83"/>
    <mergeCell ref="B84:AC84"/>
    <mergeCell ref="B85:AC85"/>
    <mergeCell ref="B86:AC86"/>
    <mergeCell ref="R6:S6"/>
    <mergeCell ref="T6:U6"/>
    <mergeCell ref="V6:W6"/>
    <mergeCell ref="B97:AC97"/>
    <mergeCell ref="B82:AC82"/>
    <mergeCell ref="B105:AC105"/>
    <mergeCell ref="B88:AC88"/>
    <mergeCell ref="B101:AC101"/>
    <mergeCell ref="B102:AC102"/>
    <mergeCell ref="B103:AC103"/>
    <mergeCell ref="B104:AC104"/>
    <mergeCell ref="B100:AC100"/>
    <mergeCell ref="B89:AC89"/>
    <mergeCell ref="B90:AC90"/>
    <mergeCell ref="B91:AC91"/>
    <mergeCell ref="B92:AC92"/>
    <mergeCell ref="B93:AC93"/>
    <mergeCell ref="B94:AC94"/>
    <mergeCell ref="B95:AC9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 Website May 2026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Suvarna Suresh Jadhav</dc:creator>
  <cp:lastModifiedBy>RBIWebsite Support, Shraddha</cp:lastModifiedBy>
  <cp:lastPrinted>2026-06-25T07:44:31Z</cp:lastPrinted>
  <dcterms:created xsi:type="dcterms:W3CDTF">2026-06-12T04:52:15Z</dcterms:created>
  <dcterms:modified xsi:type="dcterms:W3CDTF">2026-06-25T07:50:50Z</dcterms:modified>
</cp:coreProperties>
</file>
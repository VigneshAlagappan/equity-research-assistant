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P192" i="18" l="1"/>
  <c r="Q191" i="18"/>
  <c r="U115" i="18" l="1"/>
  <c r="V115" i="18"/>
  <c r="W115" i="18"/>
  <c r="X115" i="18"/>
  <c r="Y115" i="18"/>
  <c r="Z115" i="18"/>
  <c r="AA115" i="18"/>
  <c r="AB115" i="18"/>
  <c r="AC115" i="18"/>
  <c r="T115" i="18"/>
  <c r="R115" i="18"/>
  <c r="F115" i="18"/>
  <c r="G115" i="18"/>
  <c r="H115" i="18"/>
  <c r="I115" i="18"/>
  <c r="J115" i="18"/>
  <c r="K115" i="18"/>
  <c r="L115" i="18"/>
  <c r="M115" i="18"/>
  <c r="N115" i="18"/>
  <c r="O115" i="18"/>
  <c r="P115" i="18"/>
  <c r="Q115" i="18"/>
  <c r="H192" i="18" l="1"/>
  <c r="Q181" i="18"/>
  <c r="P181" i="18"/>
  <c r="O181" i="18"/>
  <c r="N181" i="18"/>
  <c r="M181" i="18"/>
  <c r="L181" i="18"/>
  <c r="K181" i="18"/>
  <c r="J181" i="18"/>
  <c r="I181" i="18"/>
  <c r="H181" i="18"/>
  <c r="G181" i="18"/>
  <c r="R180" i="18" l="1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Q192" i="18" l="1"/>
  <c r="T192" i="18"/>
  <c r="T193" i="18"/>
  <c r="T191" i="18"/>
  <c r="T190" i="18"/>
  <c r="Q197" i="18"/>
  <c r="Q196" i="18"/>
  <c r="Q195" i="18"/>
  <c r="P191" i="18"/>
  <c r="Q172" i="18"/>
  <c r="Q173" i="18"/>
  <c r="Q174" i="18"/>
  <c r="Q175" i="18"/>
  <c r="Q176" i="18"/>
  <c r="Q177" i="18"/>
  <c r="Q178" i="18"/>
  <c r="Q179" i="18"/>
  <c r="R141" i="18"/>
  <c r="Q50" i="18"/>
  <c r="Q51" i="18"/>
  <c r="Q52" i="18"/>
  <c r="Q91" i="18" s="1"/>
  <c r="Q54" i="18"/>
  <c r="Q55" i="18"/>
  <c r="Q56" i="18"/>
  <c r="Q57" i="18"/>
  <c r="Q58" i="18"/>
  <c r="Q60" i="18"/>
  <c r="Q61" i="18"/>
  <c r="Q62" i="18"/>
  <c r="Q64" i="18"/>
  <c r="Q65" i="18"/>
  <c r="Q66" i="18" s="1"/>
  <c r="Q67" i="18"/>
  <c r="Q68" i="18"/>
  <c r="Q70" i="18"/>
  <c r="Q72" i="18"/>
  <c r="Q74" i="18"/>
  <c r="Q75" i="18"/>
  <c r="Q76" i="18"/>
  <c r="Q77" i="18"/>
  <c r="Q78" i="18"/>
  <c r="Q80" i="18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97" i="18"/>
  <c r="Q103" i="18" s="1"/>
  <c r="Q100" i="18"/>
  <c r="Q102" i="18"/>
  <c r="Q106" i="18"/>
  <c r="Q107" i="18"/>
  <c r="Q108" i="18"/>
  <c r="Q109" i="18"/>
  <c r="Q111" i="18"/>
  <c r="Q112" i="18" s="1"/>
  <c r="Q113" i="18" s="1"/>
  <c r="Q114" i="18" s="1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/>
  <c r="Q135" i="18"/>
  <c r="Q137" i="18"/>
  <c r="Q138" i="18"/>
  <c r="T7" i="18"/>
  <c r="T17" i="18"/>
  <c r="T19" i="18"/>
  <c r="T24" i="18"/>
  <c r="T35" i="18"/>
  <c r="T42" i="18"/>
  <c r="T44" i="18"/>
  <c r="T6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H91" i="18" l="1"/>
  <c r="K91" i="18"/>
  <c r="L91" i="18"/>
  <c r="O91" i="18"/>
  <c r="P91" i="18"/>
  <c r="R91" i="18" s="1"/>
  <c r="G91" i="18"/>
  <c r="AE52" i="18"/>
  <c r="H52" i="18"/>
  <c r="I52" i="18"/>
  <c r="I91" i="18" s="1"/>
  <c r="J52" i="18"/>
  <c r="J91" i="18" s="1"/>
  <c r="K52" i="18"/>
  <c r="L52" i="18"/>
  <c r="M52" i="18"/>
  <c r="M91" i="18" s="1"/>
  <c r="N52" i="18"/>
  <c r="N91" i="18" s="1"/>
  <c r="O52" i="18"/>
  <c r="P52" i="18"/>
  <c r="R52" i="18" s="1"/>
  <c r="G52" i="18"/>
  <c r="P43" i="18"/>
  <c r="O43" i="18"/>
  <c r="N43" i="18"/>
  <c r="M43" i="18"/>
  <c r="L43" i="18"/>
  <c r="K43" i="18"/>
  <c r="J43" i="18"/>
  <c r="I43" i="18"/>
  <c r="H43" i="18"/>
  <c r="G43" i="18"/>
  <c r="S44" i="18" l="1"/>
  <c r="S42" i="18"/>
  <c r="G215" i="18"/>
  <c r="G214" i="18"/>
  <c r="G217" i="18" l="1"/>
  <c r="K188" i="18" l="1"/>
  <c r="K187" i="18"/>
  <c r="K186" i="18"/>
  <c r="K185" i="18"/>
  <c r="G100" i="18" l="1"/>
  <c r="G103" i="18"/>
  <c r="G99" i="18"/>
  <c r="AE38" i="18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2" i="18"/>
  <c r="K191" i="18"/>
  <c r="X38" i="18" l="1"/>
  <c r="U206" i="18"/>
  <c r="U207" i="18" s="1"/>
  <c r="D204" i="18"/>
  <c r="H204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G220" i="18" s="1"/>
  <c r="K215" i="18"/>
  <c r="K214" i="18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H207" i="18"/>
  <c r="I207" i="18" s="1"/>
  <c r="J207" i="18" s="1"/>
  <c r="J208" i="18" s="1"/>
  <c r="H205" i="18"/>
  <c r="H203" i="18"/>
  <c r="H202" i="18"/>
  <c r="I202" i="18" s="1"/>
  <c r="J202" i="18" s="1"/>
  <c r="Y38" i="18" l="1"/>
  <c r="D210" i="18"/>
  <c r="K218" i="18"/>
  <c r="R55" i="18"/>
  <c r="K217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R103" i="18" s="1"/>
  <c r="G97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R100" i="18" s="1"/>
  <c r="G94" i="18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T14" i="18" l="1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U32" i="18"/>
  <c r="V32" i="18" s="1"/>
  <c r="W32" i="18" s="1"/>
  <c r="X32" i="18" s="1"/>
  <c r="Y32" i="18" s="1"/>
  <c r="Z32" i="18" s="1"/>
  <c r="AA32" i="18" s="1"/>
  <c r="AB32" i="18" s="1"/>
  <c r="AC32" i="18" s="1"/>
  <c r="AD32" i="18" s="1"/>
  <c r="T32" i="18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S6" i="18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U31" i="18"/>
  <c r="V31" i="18" s="1"/>
  <c r="W31" i="18" s="1"/>
  <c r="X31" i="18" s="1"/>
  <c r="Y31" i="18" s="1"/>
  <c r="Z31" i="18" s="1"/>
  <c r="AA31" i="18" s="1"/>
  <c r="AB31" i="18" s="1"/>
  <c r="AC31" i="18" s="1"/>
  <c r="T31" i="18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R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L30" i="18"/>
  <c r="K30" i="18"/>
  <c r="J30" i="18"/>
  <c r="I30" i="18"/>
  <c r="H30" i="18"/>
  <c r="G30" i="18"/>
  <c r="AC38" i="18" l="1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H70" i="18"/>
  <c r="H111" i="18" s="1"/>
  <c r="H112" i="18" s="1"/>
  <c r="I70" i="18"/>
  <c r="I111" i="18" s="1"/>
  <c r="I112" i="18" s="1"/>
  <c r="J70" i="18"/>
  <c r="J111" i="18" s="1"/>
  <c r="J112" i="18" s="1"/>
  <c r="K70" i="18"/>
  <c r="K111" i="18" s="1"/>
  <c r="K112" i="18" s="1"/>
  <c r="L70" i="18"/>
  <c r="L111" i="18" s="1"/>
  <c r="L112" i="18" s="1"/>
  <c r="M70" i="18"/>
  <c r="M111" i="18" s="1"/>
  <c r="M112" i="18" s="1"/>
  <c r="N70" i="18"/>
  <c r="N111" i="18" s="1"/>
  <c r="N112" i="18" s="1"/>
  <c r="O70" i="18"/>
  <c r="O111" i="18" s="1"/>
  <c r="O112" i="18" s="1"/>
  <c r="P70" i="18"/>
  <c r="P111" i="18" s="1"/>
  <c r="C70" i="18"/>
  <c r="T70" i="18" l="1"/>
  <c r="T111" i="18" s="1"/>
  <c r="T112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G178" i="18" s="1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X44" i="18" l="1"/>
  <c r="W70" i="18"/>
  <c r="R172" i="18"/>
  <c r="AA29" i="18"/>
  <c r="U36" i="18"/>
  <c r="U94" i="18" s="1"/>
  <c r="U100" i="18" s="1"/>
  <c r="R197" i="18"/>
  <c r="R51" i="18"/>
  <c r="R50" i="18"/>
  <c r="R196" i="18"/>
  <c r="R195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I54" i="18"/>
  <c r="J54" i="18"/>
  <c r="K54" i="18"/>
  <c r="L54" i="18"/>
  <c r="L178" i="18" s="1"/>
  <c r="M54" i="18"/>
  <c r="N54" i="18"/>
  <c r="N178" i="18" s="1"/>
  <c r="P54" i="18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T106" i="18" l="1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78" i="18"/>
  <c r="R178" i="18" s="1"/>
  <c r="K173" i="18"/>
  <c r="K178" i="18"/>
  <c r="F173" i="18"/>
  <c r="F177" i="18" s="1"/>
  <c r="F178" i="18"/>
  <c r="J173" i="18"/>
  <c r="J178" i="18"/>
  <c r="M173" i="18"/>
  <c r="M178" i="18"/>
  <c r="I173" i="18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R54" i="18"/>
  <c r="G176" i="18"/>
  <c r="R68" i="18"/>
  <c r="G66" i="18"/>
  <c r="R64" i="18"/>
  <c r="N174" i="18"/>
  <c r="N173" i="18"/>
  <c r="N176" i="18"/>
  <c r="P174" i="18"/>
  <c r="L173" i="18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U95" i="18" l="1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113" i="18" s="1"/>
  <c r="U114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W95" i="18" l="1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113" i="18" s="1"/>
  <c r="V114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X95" i="18" l="1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113" i="18" s="1"/>
  <c r="W114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Y95" i="18" l="1"/>
  <c r="Y101" i="18" s="1"/>
  <c r="Y52" i="18"/>
  <c r="Y91" i="18" s="1"/>
  <c r="Y106" i="18"/>
  <c r="X111" i="18"/>
  <c r="X112" i="18" s="1"/>
  <c r="X113" i="18" s="1"/>
  <c r="X114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Z95" i="18" l="1"/>
  <c r="Z101" i="18" s="1"/>
  <c r="Z52" i="18"/>
  <c r="Z91" i="18" s="1"/>
  <c r="AD93" i="18"/>
  <c r="AC99" i="18"/>
  <c r="AD99" i="18" s="1"/>
  <c r="Z106" i="18"/>
  <c r="Y111" i="18"/>
  <c r="Y112" i="18" s="1"/>
  <c r="Y113" i="18" s="1"/>
  <c r="Y114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A95" i="18" l="1"/>
  <c r="AA101" i="18" s="1"/>
  <c r="AA52" i="18"/>
  <c r="AA91" i="18" s="1"/>
  <c r="AA106" i="18"/>
  <c r="Z111" i="18"/>
  <c r="Z112" i="18" s="1"/>
  <c r="Z113" i="18" s="1"/>
  <c r="Z114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AB95" i="18" l="1"/>
  <c r="AB101" i="18" s="1"/>
  <c r="AB52" i="18"/>
  <c r="AB91" i="18" s="1"/>
  <c r="AB106" i="18"/>
  <c r="AA111" i="18"/>
  <c r="AA112" i="18" s="1"/>
  <c r="AA113" i="18" s="1"/>
  <c r="AA114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C95" i="18" l="1"/>
  <c r="AC101" i="18" s="1"/>
  <c r="AD101" i="18" s="1"/>
  <c r="AC52" i="18"/>
  <c r="AD95" i="18"/>
  <c r="AC106" i="18"/>
  <c r="AD179" i="18"/>
  <c r="AF179" i="18" s="1"/>
  <c r="AB111" i="18"/>
  <c r="AB112" i="18" s="1"/>
  <c r="AB113" i="18" s="1"/>
  <c r="AB114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C91" i="18" l="1"/>
  <c r="AD91" i="18" s="1"/>
  <c r="AD52" i="18"/>
  <c r="AF52" i="18"/>
  <c r="AD96" i="18"/>
  <c r="AC102" i="18"/>
  <c r="AD102" i="18" s="1"/>
  <c r="AC111" i="18"/>
  <c r="AC112" i="18" s="1"/>
  <c r="AC113" i="18" s="1"/>
  <c r="AC114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F54" i="18" l="1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S142" i="18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90" i="18"/>
  <c r="P189" i="18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<sst xmlns="http://schemas.openxmlformats.org/spreadsheetml/2006/main" count="649" uniqueCount="456">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</sst>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62848"/>
        <c:axId val="101490688"/>
      </c:lineChart>
      <c:catAx>
        <c:axId val="99662848"/>
        <c:scaling>
          <c:orientation val="minMax"/>
        </c:scaling>
        <c:delete val="0"/>
        <c:axPos val="b"/>
        <c:majorTickMark val="out"/>
        <c:minorTickMark val="none"/>
        <c:tickLblPos val="nextTo"/>
        <c:crossAx val="101490688"/>
        <c:crosses val="autoZero"/>
        <c:auto val="1"/>
        <c:lblAlgn val="ctr"/>
        <c:lblOffset val="100"/>
        <c:noMultiLvlLbl val="0"/>
      </c:catAx>
      <c:valAx>
        <c:axId val="101490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966284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C163" activePane="bottomRight" state="frozen"/>
      <selection pane="topRight" activeCell="C1" sqref="C1"/>
      <selection pane="bottomLeft" activeCell="A5" sqref="A5"/>
      <selection pane="bottomRight" activeCell="F192" sqref="F192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6" t="s">
        <v>291</v>
      </c>
      <c r="AF2" s="197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8" t="s">
        <v>292</v>
      </c>
      <c r="AF3" s="199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18" t="e">
        <f>((Q6/G6)^(1/($H$2-$H$1) ))-1</f>
        <v>#DIV/0!</v>
      </c>
      <c r="S6" s="31">
        <f>$L$2</f>
        <v>0.12</v>
      </c>
      <c r="T6" s="154">
        <f>Q6*(1+$S6)</f>
        <v>0</v>
      </c>
      <c r="U6" s="154">
        <f>T6*(1+$S6)</f>
        <v>0</v>
      </c>
      <c r="V6" s="154">
        <f t="shared" ref="V6:AC6" si="0">U6*(1+$S6)</f>
        <v>0</v>
      </c>
      <c r="W6" s="154">
        <f t="shared" si="0"/>
        <v>0</v>
      </c>
      <c r="X6" s="154">
        <f t="shared" si="0"/>
        <v>0</v>
      </c>
      <c r="Y6" s="154">
        <f t="shared" si="0"/>
        <v>0</v>
      </c>
      <c r="Z6" s="154">
        <f t="shared" si="0"/>
        <v>0</v>
      </c>
      <c r="AA6" s="154">
        <f t="shared" si="0"/>
        <v>0</v>
      </c>
      <c r="AB6" s="154">
        <f t="shared" si="0"/>
        <v>0</v>
      </c>
      <c r="AC6" s="154">
        <f t="shared" si="0"/>
        <v>0</v>
      </c>
      <c r="AD6" s="138" t="e">
        <f>((AC6/G6)^(1/($AC$3-$H$1) ))-1</f>
        <v>#DIV/0!</v>
      </c>
      <c r="AE6" s="31">
        <f>$L$1</f>
        <v>0.05</v>
      </c>
      <c r="AF6" s="146">
        <f t="shared" ref="AF6:AF44" si="1">(AC6*(1+AE6))/($C$1-AE6)</f>
        <v>0</v>
      </c>
    </row>
    <row r="7" spans="2:32" x14ac:dyDescent="0.2">
      <c r="B7" s="20" t="s">
        <v>240</v>
      </c>
      <c r="C7" s="141"/>
      <c r="D7" s="141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18" t="e">
        <f>((Q7/G7)^(1/($H$2-$H$1) ))-1</f>
        <v>#DIV/0!</v>
      </c>
      <c r="S7" s="31">
        <f>$L$2</f>
        <v>0.12</v>
      </c>
      <c r="T7" s="154">
        <f t="shared" ref="T7:T44" si="2">Q7*(1+$S7)</f>
        <v>0</v>
      </c>
      <c r="U7" s="154">
        <f t="shared" ref="U7:AC7" si="3">T7*(1+$S7)</f>
        <v>0</v>
      </c>
      <c r="V7" s="154">
        <f t="shared" si="3"/>
        <v>0</v>
      </c>
      <c r="W7" s="154">
        <f t="shared" si="3"/>
        <v>0</v>
      </c>
      <c r="X7" s="154">
        <f t="shared" si="3"/>
        <v>0</v>
      </c>
      <c r="Y7" s="154">
        <f t="shared" si="3"/>
        <v>0</v>
      </c>
      <c r="Z7" s="154">
        <f t="shared" si="3"/>
        <v>0</v>
      </c>
      <c r="AA7" s="154">
        <f t="shared" si="3"/>
        <v>0</v>
      </c>
      <c r="AB7" s="154">
        <f t="shared" si="3"/>
        <v>0</v>
      </c>
      <c r="AC7" s="154">
        <f t="shared" si="3"/>
        <v>0</v>
      </c>
      <c r="AD7" s="138" t="e">
        <f>((AC7/G7)^(1/($AC$3-$H$1) ))-1</f>
        <v>#DIV/0!</v>
      </c>
      <c r="AE7" s="31">
        <f>$L$1</f>
        <v>0.05</v>
      </c>
      <c r="AF7" s="146">
        <f t="shared" si="1"/>
        <v>0</v>
      </c>
    </row>
    <row r="8" spans="2:32" x14ac:dyDescent="0.2">
      <c r="B8" s="20"/>
      <c r="C8" s="141"/>
      <c r="D8" s="141"/>
      <c r="E8" s="147"/>
      <c r="F8" s="147"/>
      <c r="G8" s="148" t="e">
        <f>(G7-F7)/G7</f>
        <v>#DIV/0!</v>
      </c>
      <c r="H8" s="151" t="e">
        <f>(H7-G7)/H7</f>
        <v>#DIV/0!</v>
      </c>
      <c r="I8" s="151" t="e">
        <f t="shared" ref="I8:Q8" si="4">(I7-H7)/I7</f>
        <v>#DIV/0!</v>
      </c>
      <c r="J8" s="151" t="e">
        <f t="shared" si="4"/>
        <v>#DIV/0!</v>
      </c>
      <c r="K8" s="151" t="e">
        <f t="shared" si="4"/>
        <v>#DIV/0!</v>
      </c>
      <c r="L8" s="151" t="e">
        <f t="shared" si="4"/>
        <v>#DIV/0!</v>
      </c>
      <c r="M8" s="151" t="e">
        <f t="shared" si="4"/>
        <v>#DIV/0!</v>
      </c>
      <c r="N8" s="151" t="e">
        <f t="shared" si="4"/>
        <v>#DIV/0!</v>
      </c>
      <c r="O8" s="151" t="e">
        <f t="shared" si="4"/>
        <v>#DIV/0!</v>
      </c>
      <c r="P8" s="151" t="e">
        <f t="shared" si="4"/>
        <v>#DIV/0!</v>
      </c>
      <c r="Q8" s="151" t="e">
        <f t="shared" si="4"/>
        <v>#DIV/0!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18" t="e">
        <f>((Q9/G9)^(1/($H$2-$H$1) ))-1</f>
        <v>#DIV/0!</v>
      </c>
      <c r="S9" s="31">
        <f t="shared" ref="S9:S40" si="5">$L$2</f>
        <v>0.12</v>
      </c>
      <c r="T9" s="154">
        <f t="shared" si="2"/>
        <v>0</v>
      </c>
      <c r="U9" s="154">
        <f t="shared" ref="U9" si="6">T9*(1+$S9)</f>
        <v>0</v>
      </c>
      <c r="V9" s="154">
        <f t="shared" ref="V9" si="7">U9*(1+$S9)</f>
        <v>0</v>
      </c>
      <c r="W9" s="154">
        <f t="shared" ref="W9" si="8">V9*(1+$S9)</f>
        <v>0</v>
      </c>
      <c r="X9" s="154">
        <f t="shared" ref="X9" si="9">W9*(1+$S9)</f>
        <v>0</v>
      </c>
      <c r="Y9" s="154">
        <f t="shared" ref="Y9" si="10">X9*(1+$S9)</f>
        <v>0</v>
      </c>
      <c r="Z9" s="154">
        <f t="shared" ref="Z9" si="11">Y9*(1+$S9)</f>
        <v>0</v>
      </c>
      <c r="AA9" s="154">
        <f t="shared" ref="AA9" si="12">Z9*(1+$S9)</f>
        <v>0</v>
      </c>
      <c r="AB9" s="154">
        <f t="shared" ref="AB9" si="13">AA9*(1+$S9)</f>
        <v>0</v>
      </c>
      <c r="AC9" s="154">
        <f t="shared" ref="AC9" si="14">AB9*(1+$S9)</f>
        <v>0</v>
      </c>
      <c r="AD9" s="138" t="e">
        <f>((AC9/G9)^(1/($AC$3-$H$1) ))-1</f>
        <v>#DIV/0!</v>
      </c>
      <c r="AE9" s="31">
        <f t="shared" ref="AE9:AE81" si="15">$L$1</f>
        <v>0.05</v>
      </c>
      <c r="AF9" s="146">
        <f t="shared" si="1"/>
        <v>0</v>
      </c>
    </row>
    <row r="10" spans="2:32" x14ac:dyDescent="0.2">
      <c r="B10" s="20" t="s">
        <v>4</v>
      </c>
      <c r="C10" s="141"/>
      <c r="D10" s="141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18" t="e">
        <f>((Q10/G10)^(1/($H$2-$H$1) ))-1</f>
        <v>#DIV/0!</v>
      </c>
      <c r="S10" s="31">
        <f t="shared" si="5"/>
        <v>0.12</v>
      </c>
      <c r="T10" s="154">
        <f t="shared" si="2"/>
        <v>0</v>
      </c>
      <c r="U10" s="154">
        <f t="shared" ref="U10:AC10" si="16">T10*(1+$S10)</f>
        <v>0</v>
      </c>
      <c r="V10" s="154">
        <f t="shared" si="16"/>
        <v>0</v>
      </c>
      <c r="W10" s="154">
        <f t="shared" si="16"/>
        <v>0</v>
      </c>
      <c r="X10" s="154">
        <f t="shared" si="16"/>
        <v>0</v>
      </c>
      <c r="Y10" s="154">
        <f t="shared" si="16"/>
        <v>0</v>
      </c>
      <c r="Z10" s="154">
        <f t="shared" si="16"/>
        <v>0</v>
      </c>
      <c r="AA10" s="154">
        <f t="shared" si="16"/>
        <v>0</v>
      </c>
      <c r="AB10" s="154">
        <f t="shared" si="16"/>
        <v>0</v>
      </c>
      <c r="AC10" s="154">
        <f t="shared" si="16"/>
        <v>0</v>
      </c>
      <c r="AD10" s="138" t="e">
        <f t="shared" ref="AD10:AD42" si="17">((AC10/G10)^(1/($AC$3-$H$1) ))-1</f>
        <v>#DIV/0!</v>
      </c>
      <c r="AE10" s="31">
        <f t="shared" si="15"/>
        <v>0.05</v>
      </c>
      <c r="AF10" s="146">
        <f t="shared" si="1"/>
        <v>0</v>
      </c>
    </row>
    <row r="11" spans="2:32" x14ac:dyDescent="0.2">
      <c r="B11" s="20"/>
      <c r="C11" s="141"/>
      <c r="D11" s="141"/>
      <c r="E11" s="147"/>
      <c r="F11" s="147"/>
      <c r="G11" s="148" t="e">
        <f>(G10-F10)/G10</f>
        <v>#DIV/0!</v>
      </c>
      <c r="H11" s="148" t="e">
        <f t="shared" ref="H11:Q11" si="18">(H10-G10)/H10</f>
        <v>#DIV/0!</v>
      </c>
      <c r="I11" s="148" t="e">
        <f t="shared" si="18"/>
        <v>#DIV/0!</v>
      </c>
      <c r="J11" s="148" t="e">
        <f t="shared" si="18"/>
        <v>#DIV/0!</v>
      </c>
      <c r="K11" s="148" t="e">
        <f t="shared" si="18"/>
        <v>#DIV/0!</v>
      </c>
      <c r="L11" s="148" t="e">
        <f t="shared" si="18"/>
        <v>#DIV/0!</v>
      </c>
      <c r="M11" s="148" t="e">
        <f t="shared" si="18"/>
        <v>#DIV/0!</v>
      </c>
      <c r="N11" s="148" t="e">
        <f t="shared" si="18"/>
        <v>#DIV/0!</v>
      </c>
      <c r="O11" s="148" t="e">
        <f t="shared" si="18"/>
        <v>#DIV/0!</v>
      </c>
      <c r="P11" s="148" t="e">
        <f t="shared" si="18"/>
        <v>#DIV/0!</v>
      </c>
      <c r="Q11" s="148" t="e">
        <f t="shared" si="18"/>
        <v>#DIV/0!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18" t="e">
        <f>((Q12/G12)^(1/($H$2-$H$1) ))-1</f>
        <v>#DIV/0!</v>
      </c>
      <c r="S12" s="31">
        <f t="shared" si="5"/>
        <v>0.12</v>
      </c>
      <c r="T12" s="154">
        <f t="shared" si="2"/>
        <v>0</v>
      </c>
      <c r="U12" s="154">
        <f t="shared" ref="U12:AC12" si="19">T12*(1+$S12)</f>
        <v>0</v>
      </c>
      <c r="V12" s="154">
        <f t="shared" si="19"/>
        <v>0</v>
      </c>
      <c r="W12" s="154">
        <f t="shared" si="19"/>
        <v>0</v>
      </c>
      <c r="X12" s="154">
        <f t="shared" si="19"/>
        <v>0</v>
      </c>
      <c r="Y12" s="154">
        <f t="shared" si="19"/>
        <v>0</v>
      </c>
      <c r="Z12" s="154">
        <f t="shared" si="19"/>
        <v>0</v>
      </c>
      <c r="AA12" s="154">
        <f t="shared" si="19"/>
        <v>0</v>
      </c>
      <c r="AB12" s="154">
        <f t="shared" si="19"/>
        <v>0</v>
      </c>
      <c r="AC12" s="154">
        <f t="shared" si="19"/>
        <v>0</v>
      </c>
      <c r="AD12" s="138" t="e">
        <f t="shared" si="17"/>
        <v>#DIV/0!</v>
      </c>
      <c r="AE12" s="31">
        <f t="shared" si="15"/>
        <v>0.05</v>
      </c>
      <c r="AF12" s="146">
        <f t="shared" si="1"/>
        <v>0</v>
      </c>
    </row>
    <row r="13" spans="2:32" x14ac:dyDescent="0.2">
      <c r="B13" s="20" t="s">
        <v>218</v>
      </c>
      <c r="C13" s="141"/>
      <c r="D13" s="141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18" t="e">
        <f>((Q13/G13)^(1/($H$2-$H$1) ))-1</f>
        <v>#DIV/0!</v>
      </c>
      <c r="S13" s="31">
        <f t="shared" si="5"/>
        <v>0.12</v>
      </c>
      <c r="T13" s="154">
        <f t="shared" si="2"/>
        <v>0</v>
      </c>
      <c r="U13" s="154">
        <f t="shared" ref="U13:AC13" si="20">T13*(1+$S13)</f>
        <v>0</v>
      </c>
      <c r="V13" s="154">
        <f t="shared" si="20"/>
        <v>0</v>
      </c>
      <c r="W13" s="154">
        <f t="shared" si="20"/>
        <v>0</v>
      </c>
      <c r="X13" s="154">
        <f t="shared" si="20"/>
        <v>0</v>
      </c>
      <c r="Y13" s="154">
        <f t="shared" si="20"/>
        <v>0</v>
      </c>
      <c r="Z13" s="154">
        <f t="shared" si="20"/>
        <v>0</v>
      </c>
      <c r="AA13" s="154">
        <f t="shared" si="20"/>
        <v>0</v>
      </c>
      <c r="AB13" s="154">
        <f t="shared" si="20"/>
        <v>0</v>
      </c>
      <c r="AC13" s="154">
        <f t="shared" si="20"/>
        <v>0</v>
      </c>
      <c r="AD13" s="138" t="e">
        <f t="shared" si="17"/>
        <v>#DIV/0!</v>
      </c>
      <c r="AE13" s="31">
        <f t="shared" si="15"/>
        <v>0.05</v>
      </c>
      <c r="AF13" s="146">
        <f t="shared" si="1"/>
        <v>0</v>
      </c>
    </row>
    <row r="14" spans="2:32" x14ac:dyDescent="0.2">
      <c r="B14" s="20" t="s">
        <v>373</v>
      </c>
      <c r="C14" s="141"/>
      <c r="D14" s="141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18" t="e">
        <f>((Q14/G14)^(1/($H$2-$H$1) ))-1</f>
        <v>#DIV/0!</v>
      </c>
      <c r="S14" s="31">
        <f t="shared" si="5"/>
        <v>0.12</v>
      </c>
      <c r="T14" s="154">
        <f t="shared" si="2"/>
        <v>0</v>
      </c>
      <c r="U14" s="154">
        <f t="shared" ref="U14" si="21">T14*(1+$S14)</f>
        <v>0</v>
      </c>
      <c r="V14" s="154">
        <f t="shared" ref="V14" si="22">U14*(1+$S14)</f>
        <v>0</v>
      </c>
      <c r="W14" s="154">
        <f t="shared" ref="W14" si="23">V14*(1+$S14)</f>
        <v>0</v>
      </c>
      <c r="X14" s="154">
        <f t="shared" ref="X14" si="24">W14*(1+$S14)</f>
        <v>0</v>
      </c>
      <c r="Y14" s="154">
        <f t="shared" ref="Y14" si="25">X14*(1+$S14)</f>
        <v>0</v>
      </c>
      <c r="Z14" s="154">
        <f t="shared" ref="Z14" si="26">Y14*(1+$S14)</f>
        <v>0</v>
      </c>
      <c r="AA14" s="154">
        <f t="shared" ref="AA14" si="27">Z14*(1+$S14)</f>
        <v>0</v>
      </c>
      <c r="AB14" s="154">
        <f t="shared" ref="AB14" si="28">AA14*(1+$S14)</f>
        <v>0</v>
      </c>
      <c r="AC14" s="154">
        <f t="shared" ref="AC14" si="29">AB14*(1+$S14)</f>
        <v>0</v>
      </c>
      <c r="AD14" s="138" t="e">
        <f t="shared" ref="AD14" si="30">((AC14/G14)^(1/($AC$3-$H$1) ))-1</f>
        <v>#DIV/0!</v>
      </c>
      <c r="AE14" s="31">
        <f t="shared" si="15"/>
        <v>0.05</v>
      </c>
      <c r="AF14" s="146">
        <f t="shared" ref="AF14" si="31">(AC14*(1+AE14))/($C$1-AE14)</f>
        <v>0</v>
      </c>
    </row>
    <row r="15" spans="2:32" x14ac:dyDescent="0.2">
      <c r="B15" s="20" t="s">
        <v>19</v>
      </c>
      <c r="C15" s="141"/>
      <c r="D15" s="141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18" t="e">
        <f>((Q15/G15)^(1/($H$2-$H$1) ))-1</f>
        <v>#DIV/0!</v>
      </c>
      <c r="S15" s="31">
        <f t="shared" si="5"/>
        <v>0.12</v>
      </c>
      <c r="T15" s="154">
        <f t="shared" si="2"/>
        <v>0</v>
      </c>
      <c r="U15" s="154">
        <f t="shared" ref="U15:AC15" si="32">T15*(1+$S15)</f>
        <v>0</v>
      </c>
      <c r="V15" s="154">
        <f t="shared" si="32"/>
        <v>0</v>
      </c>
      <c r="W15" s="154">
        <f t="shared" si="32"/>
        <v>0</v>
      </c>
      <c r="X15" s="154">
        <f t="shared" si="32"/>
        <v>0</v>
      </c>
      <c r="Y15" s="154">
        <f t="shared" si="32"/>
        <v>0</v>
      </c>
      <c r="Z15" s="154">
        <f t="shared" si="32"/>
        <v>0</v>
      </c>
      <c r="AA15" s="154">
        <f t="shared" si="32"/>
        <v>0</v>
      </c>
      <c r="AB15" s="154">
        <f t="shared" si="32"/>
        <v>0</v>
      </c>
      <c r="AC15" s="154">
        <f t="shared" si="32"/>
        <v>0</v>
      </c>
      <c r="AD15" s="138" t="e">
        <f t="shared" si="17"/>
        <v>#DIV/0!</v>
      </c>
      <c r="AE15" s="31">
        <f t="shared" si="15"/>
        <v>0.05</v>
      </c>
      <c r="AF15" s="146">
        <f t="shared" si="1"/>
        <v>0</v>
      </c>
    </row>
    <row r="16" spans="2:32" x14ac:dyDescent="0.2">
      <c r="B16" s="20" t="s">
        <v>23</v>
      </c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18" t="e">
        <f>((Q16/G16)^(1/($H$2-$H$1) ))-1</f>
        <v>#DIV/0!</v>
      </c>
      <c r="S16" s="31">
        <f t="shared" si="5"/>
        <v>0.12</v>
      </c>
      <c r="T16" s="154">
        <f t="shared" si="2"/>
        <v>0</v>
      </c>
      <c r="U16" s="154">
        <f t="shared" ref="U16:AC16" si="33">T16*(1+$S16)</f>
        <v>0</v>
      </c>
      <c r="V16" s="154">
        <f t="shared" si="33"/>
        <v>0</v>
      </c>
      <c r="W16" s="154">
        <f t="shared" si="33"/>
        <v>0</v>
      </c>
      <c r="X16" s="154">
        <f t="shared" si="33"/>
        <v>0</v>
      </c>
      <c r="Y16" s="154">
        <f t="shared" si="33"/>
        <v>0</v>
      </c>
      <c r="Z16" s="154">
        <f t="shared" si="33"/>
        <v>0</v>
      </c>
      <c r="AA16" s="154">
        <f t="shared" si="33"/>
        <v>0</v>
      </c>
      <c r="AB16" s="154">
        <f t="shared" si="33"/>
        <v>0</v>
      </c>
      <c r="AC16" s="154">
        <f t="shared" si="33"/>
        <v>0</v>
      </c>
      <c r="AD16" s="138" t="e">
        <f t="shared" si="17"/>
        <v>#DIV/0!</v>
      </c>
      <c r="AE16" s="31">
        <f t="shared" si="15"/>
        <v>0.05</v>
      </c>
      <c r="AF16" s="146">
        <f t="shared" si="1"/>
        <v>0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18" t="e">
        <f>((Q18/G18)^(1/($H$2-$H$1) ))-1</f>
        <v>#DIV/0!</v>
      </c>
      <c r="S18" s="31">
        <f t="shared" si="5"/>
        <v>0.12</v>
      </c>
      <c r="T18" s="154">
        <f t="shared" si="2"/>
        <v>0</v>
      </c>
      <c r="U18" s="154">
        <f t="shared" ref="U18:U34" si="34">T18*(1+$S18)</f>
        <v>0</v>
      </c>
      <c r="V18" s="154">
        <f t="shared" ref="V18:V34" si="35">U18*(1+$S18)</f>
        <v>0</v>
      </c>
      <c r="W18" s="154">
        <f t="shared" ref="W18:W34" si="36">V18*(1+$S18)</f>
        <v>0</v>
      </c>
      <c r="X18" s="154">
        <f t="shared" ref="X18:X36" si="37">W18*(1+$S18)</f>
        <v>0</v>
      </c>
      <c r="Y18" s="154">
        <f t="shared" ref="Y18:Y36" si="38">X18*(1+$S18)</f>
        <v>0</v>
      </c>
      <c r="Z18" s="154">
        <f t="shared" ref="Z18:Z36" si="39">Y18*(1+$S18)</f>
        <v>0</v>
      </c>
      <c r="AA18" s="154">
        <f t="shared" ref="AA18:AA36" si="40">Z18*(1+$S18)</f>
        <v>0</v>
      </c>
      <c r="AB18" s="154">
        <f t="shared" ref="AB18:AB36" si="41">AA18*(1+$S18)</f>
        <v>0</v>
      </c>
      <c r="AC18" s="154">
        <f t="shared" ref="AC18:AC36" si="42">AB18*(1+$S18)</f>
        <v>0</v>
      </c>
      <c r="AD18" s="138" t="e">
        <f t="shared" si="17"/>
        <v>#DIV/0!</v>
      </c>
      <c r="AE18" s="31">
        <f t="shared" si="15"/>
        <v>0.05</v>
      </c>
      <c r="AF18" s="146">
        <f t="shared" si="1"/>
        <v>0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18" t="e">
        <f>((Q20/G20)^(1/($H$2-$H$1) ))-1</f>
        <v>#DIV/0!</v>
      </c>
      <c r="S20" s="31">
        <f t="shared" si="5"/>
        <v>0.12</v>
      </c>
      <c r="T20" s="154">
        <f t="shared" si="2"/>
        <v>0</v>
      </c>
      <c r="U20" s="154">
        <f t="shared" ref="U20:U22" si="43">T20*(1+$S20)</f>
        <v>0</v>
      </c>
      <c r="V20" s="154">
        <f t="shared" ref="V20:V22" si="44">U20*(1+$S20)</f>
        <v>0</v>
      </c>
      <c r="W20" s="154">
        <f t="shared" ref="W20:W22" si="45">V20*(1+$S20)</f>
        <v>0</v>
      </c>
      <c r="X20" s="154">
        <f t="shared" ref="X20:X22" si="46">W20*(1+$S20)</f>
        <v>0</v>
      </c>
      <c r="Y20" s="154">
        <f t="shared" ref="Y20:Y22" si="47">X20*(1+$S20)</f>
        <v>0</v>
      </c>
      <c r="Z20" s="154">
        <f t="shared" ref="Z20:Z22" si="48">Y20*(1+$S20)</f>
        <v>0</v>
      </c>
      <c r="AA20" s="154">
        <f t="shared" ref="AA20:AA22" si="49">Z20*(1+$S20)</f>
        <v>0</v>
      </c>
      <c r="AB20" s="154">
        <f t="shared" ref="AB20:AB22" si="50">AA20*(1+$S20)</f>
        <v>0</v>
      </c>
      <c r="AC20" s="154">
        <f t="shared" ref="AC20:AC22" si="51">AB20*(1+$S20)</f>
        <v>0</v>
      </c>
      <c r="AD20" s="138" t="e">
        <f t="shared" ref="AD20:AD22" si="52">((AC20/G20)^(1/($AC$3-$H$1) ))-1</f>
        <v>#DIV/0!</v>
      </c>
      <c r="AE20" s="31">
        <f t="shared" si="15"/>
        <v>0.05</v>
      </c>
      <c r="AF20" s="146">
        <f t="shared" si="1"/>
        <v>0</v>
      </c>
    </row>
    <row r="21" spans="2:32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18" t="e">
        <f>((Q21/G21)^(1/($H$2-$H$1) ))-1</f>
        <v>#DIV/0!</v>
      </c>
      <c r="S21" s="31">
        <f t="shared" si="5"/>
        <v>0.12</v>
      </c>
      <c r="T21" s="154">
        <f t="shared" si="2"/>
        <v>0</v>
      </c>
      <c r="U21" s="154">
        <f t="shared" si="43"/>
        <v>0</v>
      </c>
      <c r="V21" s="154">
        <f t="shared" si="44"/>
        <v>0</v>
      </c>
      <c r="W21" s="154">
        <f t="shared" si="45"/>
        <v>0</v>
      </c>
      <c r="X21" s="154">
        <f t="shared" si="46"/>
        <v>0</v>
      </c>
      <c r="Y21" s="154">
        <f t="shared" si="47"/>
        <v>0</v>
      </c>
      <c r="Z21" s="154">
        <f t="shared" si="48"/>
        <v>0</v>
      </c>
      <c r="AA21" s="154">
        <f t="shared" si="49"/>
        <v>0</v>
      </c>
      <c r="AB21" s="154">
        <f t="shared" si="50"/>
        <v>0</v>
      </c>
      <c r="AC21" s="154">
        <f t="shared" si="51"/>
        <v>0</v>
      </c>
      <c r="AD21" s="138" t="e">
        <f t="shared" si="52"/>
        <v>#DIV/0!</v>
      </c>
      <c r="AE21" s="31">
        <f t="shared" si="15"/>
        <v>0.05</v>
      </c>
      <c r="AF21" s="146">
        <f t="shared" si="1"/>
        <v>0</v>
      </c>
    </row>
    <row r="22" spans="2:32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18" t="e">
        <f>((Q22/G22)^(1/($H$2-$H$1) ))-1</f>
        <v>#DIV/0!</v>
      </c>
      <c r="S22" s="31">
        <f t="shared" si="5"/>
        <v>0.12</v>
      </c>
      <c r="T22" s="154">
        <f t="shared" si="2"/>
        <v>0</v>
      </c>
      <c r="U22" s="154">
        <f t="shared" si="43"/>
        <v>0</v>
      </c>
      <c r="V22" s="154">
        <f t="shared" si="44"/>
        <v>0</v>
      </c>
      <c r="W22" s="154">
        <f t="shared" si="45"/>
        <v>0</v>
      </c>
      <c r="X22" s="154">
        <f t="shared" si="46"/>
        <v>0</v>
      </c>
      <c r="Y22" s="154">
        <f t="shared" si="47"/>
        <v>0</v>
      </c>
      <c r="Z22" s="154">
        <f t="shared" si="48"/>
        <v>0</v>
      </c>
      <c r="AA22" s="154">
        <f t="shared" si="49"/>
        <v>0</v>
      </c>
      <c r="AB22" s="154">
        <f t="shared" si="50"/>
        <v>0</v>
      </c>
      <c r="AC22" s="154">
        <f t="shared" si="51"/>
        <v>0</v>
      </c>
      <c r="AD22" s="138" t="e">
        <f t="shared" si="52"/>
        <v>#DIV/0!</v>
      </c>
      <c r="AE22" s="31">
        <f t="shared" si="15"/>
        <v>0.05</v>
      </c>
      <c r="AF22" s="146">
        <f t="shared" si="1"/>
        <v>0</v>
      </c>
    </row>
    <row r="23" spans="2:32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18" t="e">
        <f>((Q23/G23)^(1/($H$2-$H$1) ))-1</f>
        <v>#DIV/0!</v>
      </c>
      <c r="S23" s="31">
        <f t="shared" si="5"/>
        <v>0.12</v>
      </c>
      <c r="T23" s="154">
        <f t="shared" si="2"/>
        <v>0</v>
      </c>
      <c r="U23" s="154">
        <f t="shared" ref="U23" si="53">T23*(1+$S23)</f>
        <v>0</v>
      </c>
      <c r="V23" s="154">
        <f t="shared" ref="V23" si="54">U23*(1+$S23)</f>
        <v>0</v>
      </c>
      <c r="W23" s="154">
        <f t="shared" ref="W23" si="55">V23*(1+$S23)</f>
        <v>0</v>
      </c>
      <c r="X23" s="154">
        <f t="shared" ref="X23" si="56">W23*(1+$S23)</f>
        <v>0</v>
      </c>
      <c r="Y23" s="154">
        <f t="shared" ref="Y23" si="57">X23*(1+$S23)</f>
        <v>0</v>
      </c>
      <c r="Z23" s="154">
        <f t="shared" ref="Z23" si="58">Y23*(1+$S23)</f>
        <v>0</v>
      </c>
      <c r="AA23" s="154">
        <f t="shared" ref="AA23" si="59">Z23*(1+$S23)</f>
        <v>0</v>
      </c>
      <c r="AB23" s="154">
        <f t="shared" ref="AB23" si="60">AA23*(1+$S23)</f>
        <v>0</v>
      </c>
      <c r="AC23" s="154">
        <f t="shared" ref="AC23" si="61">AB23*(1+$S23)</f>
        <v>0</v>
      </c>
      <c r="AD23" s="138" t="e">
        <f t="shared" ref="AD23" si="62">((AC23/G23)^(1/($AC$3-$H$1) ))-1</f>
        <v>#DIV/0!</v>
      </c>
      <c r="AE23" s="31">
        <f t="shared" si="15"/>
        <v>0.05</v>
      </c>
      <c r="AF23" s="146">
        <f t="shared" si="1"/>
        <v>0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18" t="e">
        <f>((Q25/G25)^(1/($H$2-$H$1) ))-1</f>
        <v>#DIV/0!</v>
      </c>
      <c r="S25" s="31">
        <f t="shared" si="5"/>
        <v>0.12</v>
      </c>
      <c r="T25" s="154">
        <f t="shared" si="2"/>
        <v>0</v>
      </c>
      <c r="U25" s="154">
        <f t="shared" si="34"/>
        <v>0</v>
      </c>
      <c r="V25" s="154">
        <f t="shared" si="35"/>
        <v>0</v>
      </c>
      <c r="W25" s="154">
        <f t="shared" si="36"/>
        <v>0</v>
      </c>
      <c r="X25" s="154">
        <f t="shared" si="37"/>
        <v>0</v>
      </c>
      <c r="Y25" s="154">
        <f t="shared" si="38"/>
        <v>0</v>
      </c>
      <c r="Z25" s="154">
        <f t="shared" si="39"/>
        <v>0</v>
      </c>
      <c r="AA25" s="154">
        <f t="shared" si="40"/>
        <v>0</v>
      </c>
      <c r="AB25" s="154">
        <f t="shared" si="41"/>
        <v>0</v>
      </c>
      <c r="AC25" s="154">
        <f t="shared" si="42"/>
        <v>0</v>
      </c>
      <c r="AD25" s="138" t="e">
        <f t="shared" si="17"/>
        <v>#DIV/0!</v>
      </c>
      <c r="AE25" s="31">
        <f t="shared" si="15"/>
        <v>0.05</v>
      </c>
      <c r="AF25" s="146">
        <f t="shared" si="1"/>
        <v>0</v>
      </c>
    </row>
    <row r="26" spans="2:32" s="123" customFormat="1" x14ac:dyDescent="0.2">
      <c r="B26" s="23"/>
      <c r="C26" s="149"/>
      <c r="D26" s="149"/>
      <c r="E26" s="150"/>
      <c r="F26" s="150"/>
      <c r="G26" s="148" t="e">
        <f>(G25-F25)/G25</f>
        <v>#DIV/0!</v>
      </c>
      <c r="H26" s="148" t="e">
        <f>(H25-G25)/H25</f>
        <v>#DIV/0!</v>
      </c>
      <c r="I26" s="148" t="e">
        <f t="shared" ref="I26" si="63">(I25-H25)/I25</f>
        <v>#DIV/0!</v>
      </c>
      <c r="J26" s="148" t="e">
        <f t="shared" ref="J26" si="64">(J25-I25)/J25</f>
        <v>#DIV/0!</v>
      </c>
      <c r="K26" s="148" t="e">
        <f t="shared" ref="K26" si="65">(K25-J25)/K25</f>
        <v>#DIV/0!</v>
      </c>
      <c r="L26" s="148" t="e">
        <f t="shared" ref="L26" si="66">(L25-K25)/L25</f>
        <v>#DIV/0!</v>
      </c>
      <c r="M26" s="148" t="e">
        <f t="shared" ref="M26" si="67">(M25-L25)/M25</f>
        <v>#DIV/0!</v>
      </c>
      <c r="N26" s="148" t="e">
        <f t="shared" ref="N26" si="68">(N25-M25)/N25</f>
        <v>#DIV/0!</v>
      </c>
      <c r="O26" s="148" t="e">
        <f t="shared" ref="O26" si="69">(O25-N25)/O25</f>
        <v>#DIV/0!</v>
      </c>
      <c r="P26" s="148" t="e">
        <f t="shared" ref="P26:Q26" si="70">(P25-O25)/P25</f>
        <v>#DIV/0!</v>
      </c>
      <c r="Q26" s="148" t="e">
        <f t="shared" si="70"/>
        <v>#DIV/0!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18" t="e">
        <f>((Q27/G27)^(1/($H$2-$H$1) ))-1</f>
        <v>#DIV/0!</v>
      </c>
      <c r="S27" s="31">
        <f t="shared" si="5"/>
        <v>0.12</v>
      </c>
      <c r="T27" s="154">
        <f t="shared" si="2"/>
        <v>0</v>
      </c>
      <c r="U27" s="154">
        <f t="shared" si="34"/>
        <v>0</v>
      </c>
      <c r="V27" s="154">
        <f t="shared" si="35"/>
        <v>0</v>
      </c>
      <c r="W27" s="154">
        <f t="shared" si="36"/>
        <v>0</v>
      </c>
      <c r="X27" s="154">
        <f t="shared" si="37"/>
        <v>0</v>
      </c>
      <c r="Y27" s="154">
        <f t="shared" si="38"/>
        <v>0</v>
      </c>
      <c r="Z27" s="154">
        <f t="shared" si="39"/>
        <v>0</v>
      </c>
      <c r="AA27" s="154">
        <f t="shared" si="40"/>
        <v>0</v>
      </c>
      <c r="AB27" s="154">
        <f t="shared" si="41"/>
        <v>0</v>
      </c>
      <c r="AC27" s="154">
        <f t="shared" si="42"/>
        <v>0</v>
      </c>
      <c r="AD27" s="138" t="e">
        <f t="shared" si="17"/>
        <v>#DIV/0!</v>
      </c>
      <c r="AE27" s="31">
        <f t="shared" si="15"/>
        <v>0.05</v>
      </c>
      <c r="AF27" s="146">
        <f t="shared" si="1"/>
        <v>0</v>
      </c>
    </row>
    <row r="28" spans="2:32" s="123" customFormat="1" x14ac:dyDescent="0.2">
      <c r="B28" s="23"/>
      <c r="C28" s="149"/>
      <c r="D28" s="149"/>
      <c r="E28" s="150"/>
      <c r="F28" s="150"/>
      <c r="G28" s="148" t="e">
        <f t="shared" ref="G28:M28" si="71">(G27-F27)/G27</f>
        <v>#DIV/0!</v>
      </c>
      <c r="H28" s="148" t="e">
        <f t="shared" si="71"/>
        <v>#DIV/0!</v>
      </c>
      <c r="I28" s="148" t="e">
        <f t="shared" si="71"/>
        <v>#DIV/0!</v>
      </c>
      <c r="J28" s="148" t="e">
        <f t="shared" si="71"/>
        <v>#DIV/0!</v>
      </c>
      <c r="K28" s="148" t="e">
        <f t="shared" si="71"/>
        <v>#DIV/0!</v>
      </c>
      <c r="L28" s="148" t="e">
        <f t="shared" si="71"/>
        <v>#DIV/0!</v>
      </c>
      <c r="M28" s="148" t="e">
        <f t="shared" si="71"/>
        <v>#DIV/0!</v>
      </c>
      <c r="N28" s="148" t="e">
        <f t="shared" ref="N28" si="72">(N27-M27)/N27</f>
        <v>#DIV/0!</v>
      </c>
      <c r="O28" s="148" t="e">
        <f t="shared" ref="O28" si="73">(O27-N27)/O27</f>
        <v>#DIV/0!</v>
      </c>
      <c r="P28" s="148" t="e">
        <f t="shared" ref="P28:Q28" si="74">(P27-O27)/P27</f>
        <v>#DIV/0!</v>
      </c>
      <c r="Q28" s="148" t="e">
        <f t="shared" si="74"/>
        <v>#DIV/0!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18" t="e">
        <f>((Q29/G29)^(1/($H$2-$H$1) ))-1</f>
        <v>#DIV/0!</v>
      </c>
      <c r="S29" s="31">
        <f t="shared" si="5"/>
        <v>0.12</v>
      </c>
      <c r="T29" s="154">
        <f t="shared" si="2"/>
        <v>0</v>
      </c>
      <c r="U29" s="154">
        <f t="shared" ref="U29" si="75">T29*(1+$S29)</f>
        <v>0</v>
      </c>
      <c r="V29" s="154">
        <f t="shared" ref="V29" si="76">U29*(1+$S29)</f>
        <v>0</v>
      </c>
      <c r="W29" s="154">
        <f t="shared" ref="W29" si="77">V29*(1+$S29)</f>
        <v>0</v>
      </c>
      <c r="X29" s="154">
        <f t="shared" ref="X29" si="78">W29*(1+$S29)</f>
        <v>0</v>
      </c>
      <c r="Y29" s="154">
        <f t="shared" ref="Y29" si="79">X29*(1+$S29)</f>
        <v>0</v>
      </c>
      <c r="Z29" s="154">
        <f t="shared" ref="Z29" si="80">Y29*(1+$S29)</f>
        <v>0</v>
      </c>
      <c r="AA29" s="154">
        <f t="shared" ref="AA29" si="81">Z29*(1+$S29)</f>
        <v>0</v>
      </c>
      <c r="AB29" s="154">
        <f t="shared" ref="AB29" si="82">AA29*(1+$S29)</f>
        <v>0</v>
      </c>
      <c r="AC29" s="154">
        <f t="shared" ref="AC29" si="83">AB29*(1+$S29)</f>
        <v>0</v>
      </c>
      <c r="AD29" s="138" t="e">
        <f t="shared" ref="AD29" si="84">((AC29/G29)^(1/($AC$3-$H$1) ))-1</f>
        <v>#DIV/0!</v>
      </c>
      <c r="AE29" s="31">
        <f t="shared" si="15"/>
        <v>0.05</v>
      </c>
      <c r="AF29" s="146">
        <f t="shared" ref="AF29" si="85">(AC29*(1+AE29))/($C$1-AE29)</f>
        <v>0</v>
      </c>
    </row>
    <row r="30" spans="2:32" s="123" customFormat="1" x14ac:dyDescent="0.2">
      <c r="B30" s="23"/>
      <c r="C30" s="149"/>
      <c r="D30" s="149"/>
      <c r="E30" s="150"/>
      <c r="F30" s="150"/>
      <c r="G30" s="148" t="e">
        <f t="shared" ref="G30:L30" si="86">(G29-F29)/G29</f>
        <v>#DIV/0!</v>
      </c>
      <c r="H30" s="148" t="e">
        <f t="shared" si="86"/>
        <v>#DIV/0!</v>
      </c>
      <c r="I30" s="148" t="e">
        <f t="shared" si="86"/>
        <v>#DIV/0!</v>
      </c>
      <c r="J30" s="148" t="e">
        <f t="shared" si="86"/>
        <v>#DIV/0!</v>
      </c>
      <c r="K30" s="148" t="e">
        <f t="shared" si="86"/>
        <v>#DIV/0!</v>
      </c>
      <c r="L30" s="148" t="e">
        <f t="shared" si="86"/>
        <v>#DIV/0!</v>
      </c>
      <c r="M30" s="148" t="e">
        <f t="shared" ref="M30" si="87">(M29-L29)/M29</f>
        <v>#DIV/0!</v>
      </c>
      <c r="N30" s="148" t="e">
        <f t="shared" ref="N30" si="88">(N29-M29)/N29</f>
        <v>#DIV/0!</v>
      </c>
      <c r="O30" s="148" t="e">
        <f t="shared" ref="O30" si="89">(O29-N29)/O29</f>
        <v>#DIV/0!</v>
      </c>
      <c r="P30" s="148" t="e">
        <f t="shared" ref="P30:Q30" si="90">(P29-O29)/P29</f>
        <v>#DIV/0!</v>
      </c>
      <c r="Q30" s="148" t="e">
        <f t="shared" si="90"/>
        <v>#DIV/0!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18" t="e">
        <f>((Q31/G31)^(1/($H$2-$H$1) ))-1</f>
        <v>#DIV/0!</v>
      </c>
      <c r="S31" s="31">
        <f t="shared" si="5"/>
        <v>0.12</v>
      </c>
      <c r="T31" s="154">
        <f t="shared" si="2"/>
        <v>0</v>
      </c>
      <c r="U31" s="154">
        <f>T31*(1+$S31)</f>
        <v>0</v>
      </c>
      <c r="V31" s="154">
        <f t="shared" ref="V31:AC32" si="91">U31*(1+$S31)</f>
        <v>0</v>
      </c>
      <c r="W31" s="154">
        <f t="shared" si="91"/>
        <v>0</v>
      </c>
      <c r="X31" s="154">
        <f t="shared" si="91"/>
        <v>0</v>
      </c>
      <c r="Y31" s="154">
        <f t="shared" si="91"/>
        <v>0</v>
      </c>
      <c r="Z31" s="154">
        <f t="shared" si="91"/>
        <v>0</v>
      </c>
      <c r="AA31" s="154">
        <f t="shared" si="91"/>
        <v>0</v>
      </c>
      <c r="AB31" s="154">
        <f t="shared" si="91"/>
        <v>0</v>
      </c>
      <c r="AC31" s="154">
        <f t="shared" si="91"/>
        <v>0</v>
      </c>
      <c r="AD31" s="138" t="e">
        <f t="shared" ref="AD31" si="92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18" t="e">
        <f>((Q32/G32)^(1/($H$2-$H$1) ))-1</f>
        <v>#DIV/0!</v>
      </c>
      <c r="S32" s="31">
        <f t="shared" si="5"/>
        <v>0.12</v>
      </c>
      <c r="T32" s="154">
        <f t="shared" si="2"/>
        <v>0</v>
      </c>
      <c r="U32" s="154">
        <f>T32*(1+$S32)</f>
        <v>0</v>
      </c>
      <c r="V32" s="154">
        <f t="shared" si="91"/>
        <v>0</v>
      </c>
      <c r="W32" s="154">
        <f t="shared" si="91"/>
        <v>0</v>
      </c>
      <c r="X32" s="154">
        <f t="shared" si="91"/>
        <v>0</v>
      </c>
      <c r="Y32" s="154">
        <f t="shared" si="91"/>
        <v>0</v>
      </c>
      <c r="Z32" s="154">
        <f t="shared" si="91"/>
        <v>0</v>
      </c>
      <c r="AA32" s="154">
        <f t="shared" si="91"/>
        <v>0</v>
      </c>
      <c r="AB32" s="154">
        <f t="shared" si="91"/>
        <v>0</v>
      </c>
      <c r="AC32" s="154">
        <f t="shared" si="91"/>
        <v>0</v>
      </c>
      <c r="AD32" s="138" t="e">
        <f t="shared" ref="AD32" si="93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18" t="e">
        <f>((Q33/G33)^(1/($H$2-$H$1) ))-1</f>
        <v>#DIV/0!</v>
      </c>
      <c r="S33" s="31">
        <f t="shared" si="5"/>
        <v>0.12</v>
      </c>
      <c r="T33" s="154">
        <f t="shared" si="2"/>
        <v>0</v>
      </c>
      <c r="U33" s="154">
        <f t="shared" si="34"/>
        <v>0</v>
      </c>
      <c r="V33" s="154">
        <f t="shared" si="35"/>
        <v>0</v>
      </c>
      <c r="W33" s="154">
        <f t="shared" si="36"/>
        <v>0</v>
      </c>
      <c r="X33" s="154">
        <f t="shared" si="37"/>
        <v>0</v>
      </c>
      <c r="Y33" s="154">
        <f t="shared" si="38"/>
        <v>0</v>
      </c>
      <c r="Z33" s="154">
        <f t="shared" si="39"/>
        <v>0</v>
      </c>
      <c r="AA33" s="154">
        <f t="shared" si="40"/>
        <v>0</v>
      </c>
      <c r="AB33" s="154">
        <f t="shared" si="41"/>
        <v>0</v>
      </c>
      <c r="AC33" s="154">
        <f t="shared" si="42"/>
        <v>0</v>
      </c>
      <c r="AD33" s="138" t="e">
        <f t="shared" si="17"/>
        <v>#DIV/0!</v>
      </c>
      <c r="AE33" s="31">
        <f t="shared" si="15"/>
        <v>0.05</v>
      </c>
      <c r="AF33" s="146">
        <f t="shared" si="1"/>
        <v>0</v>
      </c>
    </row>
    <row r="34" spans="2:32" x14ac:dyDescent="0.2">
      <c r="B34" s="20" t="s">
        <v>308</v>
      </c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18" t="e">
        <f>((Q34/G34)^(1/($H$2-$H$1) ))-1</f>
        <v>#DIV/0!</v>
      </c>
      <c r="S34" s="31">
        <f t="shared" si="5"/>
        <v>0.12</v>
      </c>
      <c r="T34" s="154">
        <f t="shared" si="2"/>
        <v>0</v>
      </c>
      <c r="U34" s="154">
        <f t="shared" si="34"/>
        <v>0</v>
      </c>
      <c r="V34" s="154">
        <f t="shared" si="35"/>
        <v>0</v>
      </c>
      <c r="W34" s="154">
        <f t="shared" si="36"/>
        <v>0</v>
      </c>
      <c r="X34" s="154">
        <f t="shared" si="37"/>
        <v>0</v>
      </c>
      <c r="Y34" s="154">
        <f t="shared" si="38"/>
        <v>0</v>
      </c>
      <c r="Z34" s="154">
        <f t="shared" si="39"/>
        <v>0</v>
      </c>
      <c r="AA34" s="154">
        <f t="shared" si="40"/>
        <v>0</v>
      </c>
      <c r="AB34" s="154">
        <f t="shared" si="41"/>
        <v>0</v>
      </c>
      <c r="AC34" s="154">
        <f t="shared" si="42"/>
        <v>0</v>
      </c>
      <c r="AD34" s="138" t="e">
        <f t="shared" si="17"/>
        <v>#DIV/0!</v>
      </c>
      <c r="AE34" s="31">
        <f t="shared" si="15"/>
        <v>0.05</v>
      </c>
      <c r="AF34" s="146">
        <f t="shared" si="1"/>
        <v>0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18" t="e">
        <f>((Q36/G36)^(1/($H$2-$H$1) ))-1</f>
        <v>#DIV/0!</v>
      </c>
      <c r="S36" s="31">
        <f t="shared" si="5"/>
        <v>0.12</v>
      </c>
      <c r="T36" s="154">
        <f t="shared" si="2"/>
        <v>0</v>
      </c>
      <c r="U36" s="154">
        <f t="shared" ref="U36" si="94">T36*(1+$S36)</f>
        <v>0</v>
      </c>
      <c r="V36" s="154">
        <f t="shared" ref="V36" si="95">U36*(1+$S36)</f>
        <v>0</v>
      </c>
      <c r="W36" s="154">
        <f t="shared" ref="W36" si="96">V36*(1+$S36)</f>
        <v>0</v>
      </c>
      <c r="X36" s="154">
        <f t="shared" si="37"/>
        <v>0</v>
      </c>
      <c r="Y36" s="154">
        <f t="shared" si="38"/>
        <v>0</v>
      </c>
      <c r="Z36" s="154">
        <f t="shared" si="39"/>
        <v>0</v>
      </c>
      <c r="AA36" s="154">
        <f t="shared" si="40"/>
        <v>0</v>
      </c>
      <c r="AB36" s="154">
        <f t="shared" si="41"/>
        <v>0</v>
      </c>
      <c r="AC36" s="154">
        <f t="shared" si="42"/>
        <v>0</v>
      </c>
      <c r="AD36" s="138" t="e">
        <f t="shared" si="17"/>
        <v>#DIV/0!</v>
      </c>
      <c r="AE36" s="31">
        <f t="shared" si="15"/>
        <v>0.05</v>
      </c>
      <c r="AF36" s="146">
        <f t="shared" si="1"/>
        <v>0</v>
      </c>
    </row>
    <row r="37" spans="2:32" s="123" customFormat="1" x14ac:dyDescent="0.2">
      <c r="B37" s="23"/>
      <c r="C37" s="149"/>
      <c r="D37" s="149"/>
      <c r="E37" s="150"/>
      <c r="F37" s="150"/>
      <c r="G37" s="148" t="e">
        <f t="shared" ref="G37" si="97">(G36-F36)/G36</f>
        <v>#DIV/0!</v>
      </c>
      <c r="H37" s="148" t="e">
        <f t="shared" ref="H37" si="98">(H36-G36)/H36</f>
        <v>#DIV/0!</v>
      </c>
      <c r="I37" s="148" t="e">
        <f t="shared" ref="I37" si="99">(I36-H36)/I36</f>
        <v>#DIV/0!</v>
      </c>
      <c r="J37" s="148" t="e">
        <f t="shared" ref="J37" si="100">(J36-I36)/J36</f>
        <v>#DIV/0!</v>
      </c>
      <c r="K37" s="148" t="e">
        <f t="shared" ref="K37" si="101">(K36-J36)/K36</f>
        <v>#DIV/0!</v>
      </c>
      <c r="L37" s="148" t="e">
        <f t="shared" ref="L37" si="102">(L36-K36)/L36</f>
        <v>#DIV/0!</v>
      </c>
      <c r="M37" s="148" t="e">
        <f t="shared" ref="M37" si="103">(M36-L36)/M36</f>
        <v>#DIV/0!</v>
      </c>
      <c r="N37" s="148" t="e">
        <f t="shared" ref="N37" si="104">(N36-M36)/N36</f>
        <v>#DIV/0!</v>
      </c>
      <c r="O37" s="148" t="e">
        <f t="shared" ref="O37" si="105">(O36-N36)/O36</f>
        <v>#DIV/0!</v>
      </c>
      <c r="P37" s="148" t="e">
        <f t="shared" ref="P37:Q37" si="106">(P36-O36)/P36</f>
        <v>#DIV/0!</v>
      </c>
      <c r="Q37" s="148" t="e">
        <f t="shared" si="106"/>
        <v>#DIV/0!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401</v>
      </c>
      <c r="C38" s="149"/>
      <c r="D38" s="149"/>
      <c r="E38" s="150"/>
      <c r="F38" s="150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18" t="e">
        <f>((Q38/G38)^(1/($H$2-$H$1) ))-1</f>
        <v>#DIV/0!</v>
      </c>
      <c r="S38" s="31">
        <f t="shared" si="5"/>
        <v>0.12</v>
      </c>
      <c r="T38" s="154">
        <f t="shared" si="2"/>
        <v>0</v>
      </c>
      <c r="U38" s="154">
        <f t="shared" ref="U38" si="107">T38*(1+$S38)</f>
        <v>0</v>
      </c>
      <c r="V38" s="154">
        <f t="shared" ref="V38" si="108">U38*(1+$S38)</f>
        <v>0</v>
      </c>
      <c r="W38" s="154">
        <f t="shared" ref="W38" si="109">V38*(1+$S38)</f>
        <v>0</v>
      </c>
      <c r="X38" s="154">
        <f t="shared" ref="X38" si="110">W38*(1+$S38)</f>
        <v>0</v>
      </c>
      <c r="Y38" s="154">
        <f t="shared" ref="Y38" si="111">X38*(1+$S38)</f>
        <v>0</v>
      </c>
      <c r="Z38" s="154">
        <f t="shared" ref="Z38" si="112">Y38*(1+$S38)</f>
        <v>0</v>
      </c>
      <c r="AA38" s="154">
        <f t="shared" ref="AA38" si="113">Z38*(1+$S38)</f>
        <v>0</v>
      </c>
      <c r="AB38" s="154">
        <f t="shared" ref="AB38" si="114">AA38*(1+$S38)</f>
        <v>0</v>
      </c>
      <c r="AC38" s="154">
        <f t="shared" ref="AC38" si="115">AB38*(1+$S38)</f>
        <v>0</v>
      </c>
      <c r="AD38" s="138" t="e">
        <f t="shared" ref="AD38" si="116">((AC38/G38)^(1/($AC$3-$H$1) ))-1</f>
        <v>#DIV/0!</v>
      </c>
      <c r="AE38" s="31">
        <f t="shared" si="15"/>
        <v>0.05</v>
      </c>
      <c r="AF38" s="146">
        <f t="shared" ref="AF38" si="117">(AC38*(1+AE38))/($C$1-AE38)</f>
        <v>0</v>
      </c>
    </row>
    <row r="39" spans="2:32" s="123" customFormat="1" x14ac:dyDescent="0.2">
      <c r="B39" s="23"/>
      <c r="C39" s="149"/>
      <c r="D39" s="149"/>
      <c r="E39" s="150"/>
      <c r="F39" s="150"/>
      <c r="G39" s="148" t="e">
        <f t="shared" ref="G39" si="118">(G38-F38)/G38</f>
        <v>#DIV/0!</v>
      </c>
      <c r="H39" s="148" t="e">
        <f t="shared" ref="H39" si="119">(H38-G38)/H38</f>
        <v>#DIV/0!</v>
      </c>
      <c r="I39" s="148" t="e">
        <f t="shared" ref="I39" si="120">(I38-H38)/I38</f>
        <v>#DIV/0!</v>
      </c>
      <c r="J39" s="148" t="e">
        <f t="shared" ref="J39" si="121">(J38-I38)/J38</f>
        <v>#DIV/0!</v>
      </c>
      <c r="K39" s="148" t="e">
        <f t="shared" ref="K39" si="122">(K38-J38)/K38</f>
        <v>#DIV/0!</v>
      </c>
      <c r="L39" s="148" t="e">
        <f t="shared" ref="L39" si="123">(L38-K38)/L38</f>
        <v>#DIV/0!</v>
      </c>
      <c r="M39" s="148" t="e">
        <f t="shared" ref="M39" si="124">(M38-L38)/M38</f>
        <v>#DIV/0!</v>
      </c>
      <c r="N39" s="148" t="e">
        <f t="shared" ref="N39" si="125">(N38-M38)/N38</f>
        <v>#DIV/0!</v>
      </c>
      <c r="O39" s="148" t="e">
        <f t="shared" ref="O39" si="126">(O38-N38)/O38</f>
        <v>#DIV/0!</v>
      </c>
      <c r="P39" s="148" t="e">
        <f t="shared" ref="P39:Q39" si="127">(P38-O38)/P38</f>
        <v>#DIV/0!</v>
      </c>
      <c r="Q39" s="148" t="e">
        <f t="shared" si="127"/>
        <v>#DIV/0!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402</v>
      </c>
      <c r="C40" s="141"/>
      <c r="D40" s="141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18" t="e">
        <f>((Q40/G40)^(1/($H$2-$H$1) ))-1</f>
        <v>#DIV/0!</v>
      </c>
      <c r="S40" s="31">
        <f t="shared" si="5"/>
        <v>0.12</v>
      </c>
      <c r="T40" s="154">
        <f t="shared" si="2"/>
        <v>0</v>
      </c>
      <c r="U40" s="154">
        <f t="shared" ref="U40:AC40" si="128">T40*(1+$S40)</f>
        <v>0</v>
      </c>
      <c r="V40" s="154">
        <f t="shared" si="128"/>
        <v>0</v>
      </c>
      <c r="W40" s="154">
        <f t="shared" si="128"/>
        <v>0</v>
      </c>
      <c r="X40" s="154">
        <f t="shared" si="128"/>
        <v>0</v>
      </c>
      <c r="Y40" s="154">
        <f t="shared" si="128"/>
        <v>0</v>
      </c>
      <c r="Z40" s="154">
        <f t="shared" si="128"/>
        <v>0</v>
      </c>
      <c r="AA40" s="154">
        <f t="shared" si="128"/>
        <v>0</v>
      </c>
      <c r="AB40" s="154">
        <f t="shared" si="128"/>
        <v>0</v>
      </c>
      <c r="AC40" s="154">
        <f t="shared" si="128"/>
        <v>0</v>
      </c>
      <c r="AD40" s="138" t="e">
        <f t="shared" si="17"/>
        <v>#DIV/0!</v>
      </c>
      <c r="AE40" s="31">
        <f t="shared" si="15"/>
        <v>0.05</v>
      </c>
      <c r="AF40" s="146">
        <f t="shared" si="1"/>
        <v>0</v>
      </c>
    </row>
    <row r="41" spans="2:32" s="123" customFormat="1" x14ac:dyDescent="0.2">
      <c r="B41" s="23"/>
      <c r="C41" s="149"/>
      <c r="D41" s="149"/>
      <c r="E41" s="150"/>
      <c r="F41" s="150"/>
      <c r="G41" s="148" t="e">
        <f>(G40-F40)/G40</f>
        <v>#DIV/0!</v>
      </c>
      <c r="H41" s="148" t="e">
        <f t="shared" ref="H41:Q41" si="129">(H40-G40)/H40</f>
        <v>#DIV/0!</v>
      </c>
      <c r="I41" s="148" t="e">
        <f t="shared" si="129"/>
        <v>#DIV/0!</v>
      </c>
      <c r="J41" s="148" t="e">
        <f t="shared" si="129"/>
        <v>#DIV/0!</v>
      </c>
      <c r="K41" s="148" t="e">
        <f t="shared" si="129"/>
        <v>#DIV/0!</v>
      </c>
      <c r="L41" s="148" t="e">
        <f t="shared" si="129"/>
        <v>#DIV/0!</v>
      </c>
      <c r="M41" s="148" t="e">
        <f t="shared" si="129"/>
        <v>#DIV/0!</v>
      </c>
      <c r="N41" s="148" t="e">
        <f t="shared" si="129"/>
        <v>#DIV/0!</v>
      </c>
      <c r="O41" s="148" t="e">
        <f t="shared" si="129"/>
        <v>#DIV/0!</v>
      </c>
      <c r="P41" s="148" t="e">
        <f t="shared" si="129"/>
        <v>#DIV/0!</v>
      </c>
      <c r="Q41" s="148" t="e">
        <f t="shared" si="129"/>
        <v>#DIV/0!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18" t="e">
        <f>((Q42/G42)^(1/($H$2-$H$1) ))-1</f>
        <v>#DIV/0!</v>
      </c>
      <c r="S42" s="31">
        <f>P1</f>
        <v>0.05</v>
      </c>
      <c r="T42" s="154">
        <f t="shared" si="2"/>
        <v>0</v>
      </c>
      <c r="U42" s="154">
        <f t="shared" ref="U42:AC42" si="130">T42*(1+$S42)</f>
        <v>0</v>
      </c>
      <c r="V42" s="154">
        <f t="shared" si="130"/>
        <v>0</v>
      </c>
      <c r="W42" s="154">
        <f t="shared" si="130"/>
        <v>0</v>
      </c>
      <c r="X42" s="154">
        <f t="shared" si="130"/>
        <v>0</v>
      </c>
      <c r="Y42" s="154">
        <f t="shared" si="130"/>
        <v>0</v>
      </c>
      <c r="Z42" s="154">
        <f t="shared" si="130"/>
        <v>0</v>
      </c>
      <c r="AA42" s="154">
        <f t="shared" si="130"/>
        <v>0</v>
      </c>
      <c r="AB42" s="154">
        <f t="shared" si="130"/>
        <v>0</v>
      </c>
      <c r="AC42" s="154">
        <f t="shared" si="130"/>
        <v>0</v>
      </c>
      <c r="AD42" s="138" t="e">
        <f t="shared" si="17"/>
        <v>#DIV/0!</v>
      </c>
      <c r="AE42" s="31">
        <f t="shared" si="15"/>
        <v>0.05</v>
      </c>
      <c r="AF42" s="146">
        <f t="shared" si="1"/>
        <v>0</v>
      </c>
    </row>
    <row r="43" spans="2:32" x14ac:dyDescent="0.2">
      <c r="B43" s="20"/>
      <c r="C43" s="142"/>
      <c r="D43" s="142"/>
      <c r="E43" s="143"/>
      <c r="F43" s="147"/>
      <c r="G43" s="148" t="e">
        <f>(G42-F42)/G42</f>
        <v>#DIV/0!</v>
      </c>
      <c r="H43" s="148" t="e">
        <f t="shared" ref="H43" si="131">(H42-G42)/H42</f>
        <v>#DIV/0!</v>
      </c>
      <c r="I43" s="148" t="e">
        <f t="shared" ref="I43" si="132">(I42-H42)/I42</f>
        <v>#DIV/0!</v>
      </c>
      <c r="J43" s="148" t="e">
        <f t="shared" ref="J43" si="133">(J42-I42)/J42</f>
        <v>#DIV/0!</v>
      </c>
      <c r="K43" s="148" t="e">
        <f t="shared" ref="K43" si="134">(K42-J42)/K42</f>
        <v>#DIV/0!</v>
      </c>
      <c r="L43" s="148" t="e">
        <f t="shared" ref="L43" si="135">(L42-K42)/L42</f>
        <v>#DIV/0!</v>
      </c>
      <c r="M43" s="148" t="e">
        <f t="shared" ref="M43" si="136">(M42-L42)/M42</f>
        <v>#DIV/0!</v>
      </c>
      <c r="N43" s="148" t="e">
        <f t="shared" ref="N43" si="137">(N42-M42)/N42</f>
        <v>#DIV/0!</v>
      </c>
      <c r="O43" s="148" t="e">
        <f t="shared" ref="O43" si="138">(O42-N42)/O42</f>
        <v>#DIV/0!</v>
      </c>
      <c r="P43" s="148" t="e">
        <f t="shared" ref="P43:Q43" si="139">(P42-O42)/P42</f>
        <v>#DIV/0!</v>
      </c>
      <c r="Q43" s="148" t="e">
        <f t="shared" si="139"/>
        <v>#DIV/0!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18" t="e">
        <f>((Q44/G44)^(1/($H$2-$H$1) ))-1</f>
        <v>#DIV/0!</v>
      </c>
      <c r="S44" s="31">
        <f>P1</f>
        <v>0.05</v>
      </c>
      <c r="T44" s="154">
        <f t="shared" si="2"/>
        <v>0</v>
      </c>
      <c r="U44" s="154">
        <f t="shared" ref="U44" si="140">T44*(1+$S44)</f>
        <v>0</v>
      </c>
      <c r="V44" s="154">
        <f t="shared" ref="V44" si="141">U44*(1+$S44)</f>
        <v>0</v>
      </c>
      <c r="W44" s="154">
        <f t="shared" ref="W44" si="142">V44*(1+$S44)</f>
        <v>0</v>
      </c>
      <c r="X44" s="154">
        <f t="shared" ref="X44" si="143">W44*(1+$S44)</f>
        <v>0</v>
      </c>
      <c r="Y44" s="154">
        <f t="shared" ref="Y44" si="144">X44*(1+$S44)</f>
        <v>0</v>
      </c>
      <c r="Z44" s="154">
        <f t="shared" ref="Z44" si="145">Y44*(1+$S44)</f>
        <v>0</v>
      </c>
      <c r="AA44" s="154">
        <f t="shared" ref="AA44" si="146">Z44*(1+$S44)</f>
        <v>0</v>
      </c>
      <c r="AB44" s="154">
        <f t="shared" ref="AB44" si="147">AA44*(1+$S44)</f>
        <v>0</v>
      </c>
      <c r="AC44" s="154">
        <f t="shared" ref="AC44" si="148">AB44*(1+$S44)</f>
        <v>0</v>
      </c>
      <c r="AD44" s="138" t="e">
        <f t="shared" ref="AD44" si="149">((AC44/G44)^(1/($AC$3-$H$1) ))-1</f>
        <v>#DIV/0!</v>
      </c>
      <c r="AE44" s="31">
        <f t="shared" si="15"/>
        <v>0.05</v>
      </c>
      <c r="AF44" s="146">
        <f t="shared" si="1"/>
        <v>0</v>
      </c>
    </row>
    <row r="45" spans="2:32" x14ac:dyDescent="0.2">
      <c r="B45" s="20" t="s">
        <v>427</v>
      </c>
      <c r="C45" s="20"/>
      <c r="D45" s="20"/>
      <c r="E45" s="127"/>
      <c r="F45" s="12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425</v>
      </c>
      <c r="C46" s="20"/>
      <c r="D46" s="20"/>
      <c r="E46" s="127"/>
      <c r="F46" s="12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426</v>
      </c>
      <c r="C47" s="20"/>
      <c r="D47" s="20"/>
      <c r="E47" s="127"/>
      <c r="F47" s="12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0</v>
      </c>
      <c r="G50" s="133" t="e">
        <f t="shared" si="150"/>
        <v>#DIV/0!</v>
      </c>
      <c r="H50" s="133" t="e">
        <f t="shared" si="150"/>
        <v>#DIV/0!</v>
      </c>
      <c r="I50" s="133" t="e">
        <f t="shared" si="150"/>
        <v>#DIV/0!</v>
      </c>
      <c r="J50" s="133" t="e">
        <f t="shared" si="150"/>
        <v>#DIV/0!</v>
      </c>
      <c r="K50" s="133" t="e">
        <f t="shared" si="150"/>
        <v>#DIV/0!</v>
      </c>
      <c r="L50" s="133" t="e">
        <f t="shared" si="150"/>
        <v>#DIV/0!</v>
      </c>
      <c r="M50" s="133" t="e">
        <f t="shared" si="150"/>
        <v>#DIV/0!</v>
      </c>
      <c r="N50" s="133" t="e">
        <f t="shared" si="150"/>
        <v>#DIV/0!</v>
      </c>
      <c r="O50" s="133" t="e">
        <f t="shared" si="150"/>
        <v>#DIV/0!</v>
      </c>
      <c r="P50" s="133" t="e">
        <f t="shared" si="150"/>
        <v>#DIV/0!</v>
      </c>
      <c r="Q50" s="133" t="e">
        <f t="shared" ref="Q50" si="151">Q25/Q42</f>
        <v>#DIV/0!</v>
      </c>
      <c r="R50" s="118" t="e">
        <f>((P50/G50)^(1/($H$2-$H$1) ))-1</f>
        <v>#DIV/0!</v>
      </c>
      <c r="S50" s="128"/>
      <c r="T50" s="158" t="e">
        <f t="shared" ref="T50:AC50" si="152">T25/T42</f>
        <v>#DIV/0!</v>
      </c>
      <c r="U50" s="158" t="e">
        <f t="shared" si="152"/>
        <v>#DIV/0!</v>
      </c>
      <c r="V50" s="158" t="e">
        <f t="shared" si="152"/>
        <v>#DIV/0!</v>
      </c>
      <c r="W50" s="158" t="e">
        <f t="shared" si="152"/>
        <v>#DIV/0!</v>
      </c>
      <c r="X50" s="158" t="e">
        <f t="shared" si="152"/>
        <v>#DIV/0!</v>
      </c>
      <c r="Y50" s="158" t="e">
        <f t="shared" si="152"/>
        <v>#DIV/0!</v>
      </c>
      <c r="Z50" s="158" t="e">
        <f t="shared" si="152"/>
        <v>#DIV/0!</v>
      </c>
      <c r="AA50" s="158" t="e">
        <f t="shared" si="152"/>
        <v>#DIV/0!</v>
      </c>
      <c r="AB50" s="158" t="e">
        <f t="shared" si="152"/>
        <v>#DIV/0!</v>
      </c>
      <c r="AC50" s="158" t="e">
        <f t="shared" si="152"/>
        <v>#DIV/0!</v>
      </c>
      <c r="AD50" s="138" t="e">
        <f t="shared" ref="AD50" si="153">((AC50/G50)^(1/($AC$3-$H$1) ))-1</f>
        <v>#DIV/0!</v>
      </c>
      <c r="AE50" s="31">
        <f t="shared" si="15"/>
        <v>0.05</v>
      </c>
      <c r="AF50" s="146" t="e">
        <f t="shared" ref="AF50:AF51" si="154">(AC50*(1+AE50))/($C$1-AE50)</f>
        <v>#DIV/0!</v>
      </c>
    </row>
    <row r="51" spans="2:32" x14ac:dyDescent="0.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0</v>
      </c>
      <c r="G51" s="133" t="e">
        <f t="shared" si="155"/>
        <v>#DIV/0!</v>
      </c>
      <c r="H51" s="133" t="e">
        <f t="shared" si="155"/>
        <v>#DIV/0!</v>
      </c>
      <c r="I51" s="133" t="e">
        <f t="shared" si="155"/>
        <v>#DIV/0!</v>
      </c>
      <c r="J51" s="133" t="e">
        <f t="shared" si="155"/>
        <v>#DIV/0!</v>
      </c>
      <c r="K51" s="133" t="e">
        <f t="shared" si="155"/>
        <v>#DIV/0!</v>
      </c>
      <c r="L51" s="133" t="e">
        <f t="shared" si="155"/>
        <v>#DIV/0!</v>
      </c>
      <c r="M51" s="133" t="e">
        <f t="shared" si="155"/>
        <v>#DIV/0!</v>
      </c>
      <c r="N51" s="133" t="e">
        <f t="shared" si="155"/>
        <v>#DIV/0!</v>
      </c>
      <c r="O51" s="133" t="e">
        <f t="shared" si="155"/>
        <v>#DIV/0!</v>
      </c>
      <c r="P51" s="133" t="e">
        <f t="shared" si="155"/>
        <v>#DIV/0!</v>
      </c>
      <c r="Q51" s="133" t="e">
        <f t="shared" ref="Q51" si="156">Q27/Q42</f>
        <v>#DIV/0!</v>
      </c>
      <c r="R51" s="118" t="e">
        <f>((P51/G51)^(1/($H$2-$H$1) ))-1</f>
        <v>#DIV/0!</v>
      </c>
      <c r="S51" s="128"/>
      <c r="T51" s="158" t="e">
        <f t="shared" ref="T51:AC51" si="157">T27/T42</f>
        <v>#DIV/0!</v>
      </c>
      <c r="U51" s="158" t="e">
        <f t="shared" si="157"/>
        <v>#DIV/0!</v>
      </c>
      <c r="V51" s="158" t="e">
        <f t="shared" si="157"/>
        <v>#DIV/0!</v>
      </c>
      <c r="W51" s="158" t="e">
        <f t="shared" si="157"/>
        <v>#DIV/0!</v>
      </c>
      <c r="X51" s="158" t="e">
        <f t="shared" si="157"/>
        <v>#DIV/0!</v>
      </c>
      <c r="Y51" s="158" t="e">
        <f t="shared" si="157"/>
        <v>#DIV/0!</v>
      </c>
      <c r="Z51" s="158" t="e">
        <f t="shared" si="157"/>
        <v>#DIV/0!</v>
      </c>
      <c r="AA51" s="158" t="e">
        <f t="shared" si="157"/>
        <v>#DIV/0!</v>
      </c>
      <c r="AB51" s="158" t="e">
        <f t="shared" si="157"/>
        <v>#DIV/0!</v>
      </c>
      <c r="AC51" s="158" t="e">
        <f t="shared" si="157"/>
        <v>#DIV/0!</v>
      </c>
      <c r="AD51" s="138" t="e">
        <f t="shared" ref="AD51" si="158">((AC51/G51)^(1/($AC$3-$H$1) ))-1</f>
        <v>#DIV/0!</v>
      </c>
      <c r="AE51" s="31">
        <f t="shared" si="15"/>
        <v>0.05</v>
      </c>
      <c r="AF51" s="146" t="e">
        <f t="shared" si="154"/>
        <v>#DIV/0!</v>
      </c>
    </row>
    <row r="52" spans="2:32" x14ac:dyDescent="0.2">
      <c r="B52" s="20" t="s">
        <v>428</v>
      </c>
      <c r="C52" s="133"/>
      <c r="D52" s="133"/>
      <c r="E52" s="133"/>
      <c r="F52" s="133"/>
      <c r="G52" s="133">
        <f>G38-G40</f>
        <v>0</v>
      </c>
      <c r="H52" s="133">
        <f t="shared" ref="H52:P52" si="159">H38-H40</f>
        <v>0</v>
      </c>
      <c r="I52" s="133">
        <f t="shared" si="159"/>
        <v>0</v>
      </c>
      <c r="J52" s="133">
        <f t="shared" si="159"/>
        <v>0</v>
      </c>
      <c r="K52" s="133">
        <f t="shared" si="159"/>
        <v>0</v>
      </c>
      <c r="L52" s="133">
        <f t="shared" si="159"/>
        <v>0</v>
      </c>
      <c r="M52" s="133">
        <f t="shared" si="159"/>
        <v>0</v>
      </c>
      <c r="N52" s="133">
        <f t="shared" si="159"/>
        <v>0</v>
      </c>
      <c r="O52" s="133">
        <f t="shared" si="159"/>
        <v>0</v>
      </c>
      <c r="P52" s="133">
        <f t="shared" si="159"/>
        <v>0</v>
      </c>
      <c r="Q52" s="133">
        <f t="shared" ref="Q52" si="160">Q38-Q40</f>
        <v>0</v>
      </c>
      <c r="R52" s="118" t="e">
        <f>((P52/G52)^(1/($H$2-$H$1) ))-1</f>
        <v>#DIV/0!</v>
      </c>
      <c r="S52" s="128"/>
      <c r="T52" s="133">
        <f t="shared" ref="T52:AC52" si="161">T38-T40</f>
        <v>0</v>
      </c>
      <c r="U52" s="133">
        <f t="shared" si="161"/>
        <v>0</v>
      </c>
      <c r="V52" s="133">
        <f t="shared" si="161"/>
        <v>0</v>
      </c>
      <c r="W52" s="133">
        <f t="shared" si="161"/>
        <v>0</v>
      </c>
      <c r="X52" s="133">
        <f t="shared" si="161"/>
        <v>0</v>
      </c>
      <c r="Y52" s="133">
        <f t="shared" si="161"/>
        <v>0</v>
      </c>
      <c r="Z52" s="133">
        <f t="shared" si="161"/>
        <v>0</v>
      </c>
      <c r="AA52" s="133">
        <f t="shared" si="161"/>
        <v>0</v>
      </c>
      <c r="AB52" s="133">
        <f t="shared" si="161"/>
        <v>0</v>
      </c>
      <c r="AC52" s="133">
        <f t="shared" si="161"/>
        <v>0</v>
      </c>
      <c r="AD52" s="138" t="e">
        <f t="shared" ref="AD52" si="162">((AC52/G52)^(1/($AC$3-$H$1) ))-1</f>
        <v>#DIV/0!</v>
      </c>
      <c r="AE52" s="31">
        <f t="shared" si="15"/>
        <v>0.05</v>
      </c>
      <c r="AF52" s="146">
        <f t="shared" ref="AF52" si="163">(AC52*(1+AE52))/($C$1-AE52)</f>
        <v>0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0</v>
      </c>
      <c r="G54" s="133" t="e">
        <f t="shared" si="164"/>
        <v>#DIV/0!</v>
      </c>
      <c r="H54" s="133" t="e">
        <f t="shared" si="164"/>
        <v>#DIV/0!</v>
      </c>
      <c r="I54" s="133" t="e">
        <f t="shared" si="164"/>
        <v>#DIV/0!</v>
      </c>
      <c r="J54" s="133" t="e">
        <f t="shared" si="164"/>
        <v>#DIV/0!</v>
      </c>
      <c r="K54" s="133" t="e">
        <f t="shared" si="164"/>
        <v>#DIV/0!</v>
      </c>
      <c r="L54" s="133" t="e">
        <f t="shared" si="164"/>
        <v>#DIV/0!</v>
      </c>
      <c r="M54" s="133" t="e">
        <f t="shared" si="164"/>
        <v>#DIV/0!</v>
      </c>
      <c r="N54" s="133" t="e">
        <f t="shared" si="164"/>
        <v>#DIV/0!</v>
      </c>
      <c r="O54" s="133" t="e">
        <f t="shared" si="164"/>
        <v>#DIV/0!</v>
      </c>
      <c r="P54" s="133" t="e">
        <f t="shared" si="164"/>
        <v>#DIV/0!</v>
      </c>
      <c r="Q54" s="133" t="e">
        <f t="shared" ref="Q54" si="165">Q40/Q42</f>
        <v>#DIV/0!</v>
      </c>
      <c r="R54" s="118" t="e">
        <f>((P54/G54)^(1/($H$2-$H$1) ))-1</f>
        <v>#DIV/0!</v>
      </c>
      <c r="S54" s="128"/>
      <c r="T54" s="158" t="e">
        <f t="shared" ref="T54:AC54" si="166">T40/T42</f>
        <v>#DIV/0!</v>
      </c>
      <c r="U54" s="158" t="e">
        <f t="shared" si="166"/>
        <v>#DIV/0!</v>
      </c>
      <c r="V54" s="158" t="e">
        <f t="shared" si="166"/>
        <v>#DIV/0!</v>
      </c>
      <c r="W54" s="158" t="e">
        <f t="shared" si="166"/>
        <v>#DIV/0!</v>
      </c>
      <c r="X54" s="158" t="e">
        <f t="shared" si="166"/>
        <v>#DIV/0!</v>
      </c>
      <c r="Y54" s="158" t="e">
        <f t="shared" si="166"/>
        <v>#DIV/0!</v>
      </c>
      <c r="Z54" s="158" t="e">
        <f t="shared" si="166"/>
        <v>#DIV/0!</v>
      </c>
      <c r="AA54" s="158" t="e">
        <f t="shared" si="166"/>
        <v>#DIV/0!</v>
      </c>
      <c r="AB54" s="158" t="e">
        <f t="shared" si="166"/>
        <v>#DIV/0!</v>
      </c>
      <c r="AC54" s="158" t="e">
        <f t="shared" si="166"/>
        <v>#DIV/0!</v>
      </c>
      <c r="AD54" s="138" t="e">
        <f t="shared" ref="AD54:AD68" si="167">((AC54/G54)^(1/($AC$3-$H$1) ))-1</f>
        <v>#DIV/0!</v>
      </c>
      <c r="AE54" s="31">
        <f t="shared" si="15"/>
        <v>0.05</v>
      </c>
      <c r="AF54" s="146" t="e">
        <f t="shared" ref="AF54:AF82" si="168">(AC54*(1+AE54))/($C$1-AE54)</f>
        <v>#DIV/0!</v>
      </c>
    </row>
    <row r="55" spans="2:32" x14ac:dyDescent="0.2">
      <c r="B55" s="20" t="s">
        <v>388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0</v>
      </c>
      <c r="G55" s="133" t="e">
        <f>G20/G42</f>
        <v>#DIV/0!</v>
      </c>
      <c r="H55" s="133" t="e">
        <f t="shared" ref="H55:P55" si="170">H20/H42</f>
        <v>#DIV/0!</v>
      </c>
      <c r="I55" s="133" t="e">
        <f t="shared" si="170"/>
        <v>#DIV/0!</v>
      </c>
      <c r="J55" s="133" t="e">
        <f t="shared" si="170"/>
        <v>#DIV/0!</v>
      </c>
      <c r="K55" s="133" t="e">
        <f t="shared" si="170"/>
        <v>#DIV/0!</v>
      </c>
      <c r="L55" s="133" t="e">
        <f t="shared" si="170"/>
        <v>#DIV/0!</v>
      </c>
      <c r="M55" s="133" t="e">
        <f t="shared" si="170"/>
        <v>#DIV/0!</v>
      </c>
      <c r="N55" s="133" t="e">
        <f t="shared" si="170"/>
        <v>#DIV/0!</v>
      </c>
      <c r="O55" s="133" t="e">
        <f t="shared" si="170"/>
        <v>#DIV/0!</v>
      </c>
      <c r="P55" s="133" t="e">
        <f t="shared" si="170"/>
        <v>#DIV/0!</v>
      </c>
      <c r="Q55" s="133" t="e">
        <f t="shared" ref="Q55" si="171">Q20/Q42</f>
        <v>#DIV/0!</v>
      </c>
      <c r="R55" s="118" t="e">
        <f>((P55/G55)^(1/($H$2-$H$1) ))-1</f>
        <v>#DIV/0!</v>
      </c>
      <c r="S55" s="128"/>
      <c r="T55" s="133" t="e">
        <f t="shared" ref="T55:AC55" si="172">T20/T42</f>
        <v>#DIV/0!</v>
      </c>
      <c r="U55" s="133" t="e">
        <f t="shared" si="172"/>
        <v>#DIV/0!</v>
      </c>
      <c r="V55" s="133" t="e">
        <f t="shared" si="172"/>
        <v>#DIV/0!</v>
      </c>
      <c r="W55" s="133" t="e">
        <f t="shared" si="172"/>
        <v>#DIV/0!</v>
      </c>
      <c r="X55" s="133" t="e">
        <f t="shared" si="172"/>
        <v>#DIV/0!</v>
      </c>
      <c r="Y55" s="133" t="e">
        <f t="shared" si="172"/>
        <v>#DIV/0!</v>
      </c>
      <c r="Z55" s="133" t="e">
        <f t="shared" si="172"/>
        <v>#DIV/0!</v>
      </c>
      <c r="AA55" s="133" t="e">
        <f t="shared" si="172"/>
        <v>#DIV/0!</v>
      </c>
      <c r="AB55" s="133" t="e">
        <f t="shared" si="172"/>
        <v>#DIV/0!</v>
      </c>
      <c r="AC55" s="133" t="e">
        <f t="shared" si="172"/>
        <v>#DIV/0!</v>
      </c>
      <c r="AD55" s="138" t="e">
        <f t="shared" ref="AD55" si="173">((AC55/G55)^(1/($AC$3-$H$1) ))-1</f>
        <v>#DIV/0!</v>
      </c>
      <c r="AE55" s="31">
        <f t="shared" si="15"/>
        <v>0.05</v>
      </c>
      <c r="AF55" s="146" t="e">
        <f t="shared" si="168"/>
        <v>#DIV/0!</v>
      </c>
    </row>
    <row r="56" spans="2:32" x14ac:dyDescent="0.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0</v>
      </c>
      <c r="G56" s="133" t="e">
        <f t="shared" si="174"/>
        <v>#DIV/0!</v>
      </c>
      <c r="H56" s="133" t="e">
        <f t="shared" si="174"/>
        <v>#DIV/0!</v>
      </c>
      <c r="I56" s="133" t="e">
        <f t="shared" si="174"/>
        <v>#DIV/0!</v>
      </c>
      <c r="J56" s="133" t="e">
        <f t="shared" si="174"/>
        <v>#DIV/0!</v>
      </c>
      <c r="K56" s="133" t="e">
        <f t="shared" si="174"/>
        <v>#DIV/0!</v>
      </c>
      <c r="L56" s="133" t="e">
        <f t="shared" si="174"/>
        <v>#DIV/0!</v>
      </c>
      <c r="M56" s="133" t="e">
        <f t="shared" si="174"/>
        <v>#DIV/0!</v>
      </c>
      <c r="N56" s="133" t="e">
        <f t="shared" si="174"/>
        <v>#DIV/0!</v>
      </c>
      <c r="O56" s="133" t="e">
        <f t="shared" si="174"/>
        <v>#DIV/0!</v>
      </c>
      <c r="P56" s="133" t="e">
        <f t="shared" si="174"/>
        <v>#DIV/0!</v>
      </c>
      <c r="Q56" s="133" t="e">
        <f t="shared" ref="Q56" si="175">Q7/Q42</f>
        <v>#DIV/0!</v>
      </c>
      <c r="R56" s="118" t="e">
        <f>((P56/G56)^(1/($H$2-$H$1) ))-1</f>
        <v>#DIV/0!</v>
      </c>
      <c r="S56" s="128"/>
      <c r="T56" s="158" t="e">
        <f t="shared" ref="T56:AC56" si="176">T7/T42</f>
        <v>#DIV/0!</v>
      </c>
      <c r="U56" s="158" t="e">
        <f t="shared" si="176"/>
        <v>#DIV/0!</v>
      </c>
      <c r="V56" s="158" t="e">
        <f t="shared" si="176"/>
        <v>#DIV/0!</v>
      </c>
      <c r="W56" s="158" t="e">
        <f t="shared" si="176"/>
        <v>#DIV/0!</v>
      </c>
      <c r="X56" s="158" t="e">
        <f t="shared" si="176"/>
        <v>#DIV/0!</v>
      </c>
      <c r="Y56" s="158" t="e">
        <f t="shared" si="176"/>
        <v>#DIV/0!</v>
      </c>
      <c r="Z56" s="158" t="e">
        <f t="shared" si="176"/>
        <v>#DIV/0!</v>
      </c>
      <c r="AA56" s="158" t="e">
        <f t="shared" si="176"/>
        <v>#DIV/0!</v>
      </c>
      <c r="AB56" s="158" t="e">
        <f t="shared" si="176"/>
        <v>#DIV/0!</v>
      </c>
      <c r="AC56" s="158" t="e">
        <f t="shared" si="176"/>
        <v>#DIV/0!</v>
      </c>
      <c r="AD56" s="138" t="e">
        <f t="shared" si="167"/>
        <v>#DIV/0!</v>
      </c>
      <c r="AE56" s="31">
        <f t="shared" si="15"/>
        <v>0.05</v>
      </c>
      <c r="AF56" s="146" t="e">
        <f t="shared" si="168"/>
        <v>#DIV/0!</v>
      </c>
    </row>
    <row r="57" spans="2:32" x14ac:dyDescent="0.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0</v>
      </c>
      <c r="G57" s="144" t="e">
        <f t="shared" si="177"/>
        <v>#DIV/0!</v>
      </c>
      <c r="H57" s="144" t="e">
        <f t="shared" si="177"/>
        <v>#DIV/0!</v>
      </c>
      <c r="I57" s="144" t="e">
        <f t="shared" si="177"/>
        <v>#DIV/0!</v>
      </c>
      <c r="J57" s="144" t="e">
        <f t="shared" si="177"/>
        <v>#DIV/0!</v>
      </c>
      <c r="K57" s="144" t="e">
        <f t="shared" si="177"/>
        <v>#DIV/0!</v>
      </c>
      <c r="L57" s="144" t="e">
        <f t="shared" si="177"/>
        <v>#DIV/0!</v>
      </c>
      <c r="M57" s="144" t="e">
        <f t="shared" si="177"/>
        <v>#DIV/0!</v>
      </c>
      <c r="N57" s="144" t="e">
        <f t="shared" si="177"/>
        <v>#DIV/0!</v>
      </c>
      <c r="O57" s="144" t="e">
        <f t="shared" si="177"/>
        <v>#DIV/0!</v>
      </c>
      <c r="P57" s="144" t="e">
        <f t="shared" si="177"/>
        <v>#DIV/0!</v>
      </c>
      <c r="Q57" s="144" t="e">
        <f t="shared" ref="Q57" si="178">Q6/Q42</f>
        <v>#DIV/0!</v>
      </c>
      <c r="R57" s="118" t="e">
        <f>((P57/G57)^(1/($H$2-$H$1) ))-1</f>
        <v>#DIV/0!</v>
      </c>
      <c r="S57" s="128"/>
      <c r="T57" s="157" t="e">
        <f t="shared" ref="T57:AC57" si="179">T6/T42</f>
        <v>#DIV/0!</v>
      </c>
      <c r="U57" s="157" t="e">
        <f t="shared" si="179"/>
        <v>#DIV/0!</v>
      </c>
      <c r="V57" s="157" t="e">
        <f t="shared" si="179"/>
        <v>#DIV/0!</v>
      </c>
      <c r="W57" s="157" t="e">
        <f t="shared" si="179"/>
        <v>#DIV/0!</v>
      </c>
      <c r="X57" s="157" t="e">
        <f t="shared" si="179"/>
        <v>#DIV/0!</v>
      </c>
      <c r="Y57" s="157" t="e">
        <f t="shared" si="179"/>
        <v>#DIV/0!</v>
      </c>
      <c r="Z57" s="157" t="e">
        <f t="shared" si="179"/>
        <v>#DIV/0!</v>
      </c>
      <c r="AA57" s="157" t="e">
        <f t="shared" si="179"/>
        <v>#DIV/0!</v>
      </c>
      <c r="AB57" s="157" t="e">
        <f t="shared" si="179"/>
        <v>#DIV/0!</v>
      </c>
      <c r="AC57" s="157" t="e">
        <f t="shared" si="179"/>
        <v>#DIV/0!</v>
      </c>
      <c r="AD57" s="138" t="e">
        <f t="shared" si="167"/>
        <v>#DIV/0!</v>
      </c>
      <c r="AE57" s="31">
        <f t="shared" si="15"/>
        <v>0.05</v>
      </c>
      <c r="AF57" s="146" t="e">
        <f t="shared" si="168"/>
        <v>#DIV/0!</v>
      </c>
    </row>
    <row r="58" spans="2:32" x14ac:dyDescent="0.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4">
        <f t="shared" si="180"/>
        <v>0</v>
      </c>
      <c r="G58" s="144" t="e">
        <f t="shared" si="180"/>
        <v>#DIV/0!</v>
      </c>
      <c r="H58" s="144" t="e">
        <f t="shared" si="180"/>
        <v>#DIV/0!</v>
      </c>
      <c r="I58" s="144" t="e">
        <f t="shared" si="180"/>
        <v>#DIV/0!</v>
      </c>
      <c r="J58" s="144" t="e">
        <f t="shared" si="180"/>
        <v>#DIV/0!</v>
      </c>
      <c r="K58" s="144" t="e">
        <f t="shared" si="180"/>
        <v>#DIV/0!</v>
      </c>
      <c r="L58" s="144" t="e">
        <f t="shared" si="180"/>
        <v>#DIV/0!</v>
      </c>
      <c r="M58" s="144" t="e">
        <f t="shared" si="180"/>
        <v>#DIV/0!</v>
      </c>
      <c r="N58" s="144" t="e">
        <f t="shared" si="180"/>
        <v>#DIV/0!</v>
      </c>
      <c r="O58" s="144" t="e">
        <f t="shared" si="180"/>
        <v>#DIV/0!</v>
      </c>
      <c r="P58" s="144" t="e">
        <f t="shared" si="180"/>
        <v>#DIV/0!</v>
      </c>
      <c r="Q58" s="144" t="e">
        <f t="shared" ref="Q58" si="181">Q10/Q42</f>
        <v>#DIV/0!</v>
      </c>
      <c r="R58" s="118" t="e">
        <f>((P58/G58)^(1/($H$2-$H$1) ))-1</f>
        <v>#DIV/0!</v>
      </c>
      <c r="S58" s="128"/>
      <c r="T58" s="157" t="e">
        <f t="shared" ref="T58:AC58" si="182">T10/T42</f>
        <v>#DIV/0!</v>
      </c>
      <c r="U58" s="157" t="e">
        <f t="shared" si="182"/>
        <v>#DIV/0!</v>
      </c>
      <c r="V58" s="157" t="e">
        <f t="shared" si="182"/>
        <v>#DIV/0!</v>
      </c>
      <c r="W58" s="157" t="e">
        <f t="shared" si="182"/>
        <v>#DIV/0!</v>
      </c>
      <c r="X58" s="157" t="e">
        <f t="shared" si="182"/>
        <v>#DIV/0!</v>
      </c>
      <c r="Y58" s="157" t="e">
        <f t="shared" si="182"/>
        <v>#DIV/0!</v>
      </c>
      <c r="Z58" s="157" t="e">
        <f t="shared" si="182"/>
        <v>#DIV/0!</v>
      </c>
      <c r="AA58" s="157" t="e">
        <f t="shared" si="182"/>
        <v>#DIV/0!</v>
      </c>
      <c r="AB58" s="157" t="e">
        <f t="shared" si="182"/>
        <v>#DIV/0!</v>
      </c>
      <c r="AC58" s="157" t="e">
        <f t="shared" si="182"/>
        <v>#DIV/0!</v>
      </c>
      <c r="AD58" s="138" t="e">
        <f t="shared" si="167"/>
        <v>#DIV/0!</v>
      </c>
      <c r="AE58" s="31">
        <f t="shared" si="15"/>
        <v>0.05</v>
      </c>
      <c r="AF58" s="146" t="e">
        <f t="shared" si="168"/>
        <v>#DIV/0!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4">
        <f t="shared" si="183"/>
        <v>0</v>
      </c>
      <c r="G60" s="144" t="e">
        <f t="shared" si="183"/>
        <v>#DIV/0!</v>
      </c>
      <c r="H60" s="144" t="e">
        <f t="shared" si="183"/>
        <v>#DIV/0!</v>
      </c>
      <c r="I60" s="144" t="e">
        <f t="shared" si="183"/>
        <v>#DIV/0!</v>
      </c>
      <c r="J60" s="144" t="e">
        <f t="shared" si="183"/>
        <v>#DIV/0!</v>
      </c>
      <c r="K60" s="144" t="e">
        <f t="shared" si="183"/>
        <v>#DIV/0!</v>
      </c>
      <c r="L60" s="144" t="e">
        <f t="shared" si="183"/>
        <v>#DIV/0!</v>
      </c>
      <c r="M60" s="144" t="e">
        <f t="shared" si="183"/>
        <v>#DIV/0!</v>
      </c>
      <c r="N60" s="144" t="e">
        <f t="shared" si="183"/>
        <v>#DIV/0!</v>
      </c>
      <c r="O60" s="144" t="e">
        <f t="shared" si="183"/>
        <v>#DIV/0!</v>
      </c>
      <c r="P60" s="144" t="e">
        <f t="shared" si="183"/>
        <v>#DIV/0!</v>
      </c>
      <c r="Q60" s="144" t="e">
        <f t="shared" ref="Q60" si="184">(Q7-Q10)/Q42</f>
        <v>#DIV/0!</v>
      </c>
      <c r="R60" s="118" t="e">
        <f>((P60/G60)^(1/($H$2-$H$1) ))-1</f>
        <v>#DIV/0!</v>
      </c>
      <c r="S60" s="128"/>
      <c r="T60" s="157" t="e">
        <f t="shared" ref="T60:AC60" si="185">(T7-T10)/T42</f>
        <v>#DIV/0!</v>
      </c>
      <c r="U60" s="157" t="e">
        <f t="shared" si="185"/>
        <v>#DIV/0!</v>
      </c>
      <c r="V60" s="157" t="e">
        <f t="shared" si="185"/>
        <v>#DIV/0!</v>
      </c>
      <c r="W60" s="157" t="e">
        <f t="shared" si="185"/>
        <v>#DIV/0!</v>
      </c>
      <c r="X60" s="157" t="e">
        <f t="shared" si="185"/>
        <v>#DIV/0!</v>
      </c>
      <c r="Y60" s="157" t="e">
        <f t="shared" si="185"/>
        <v>#DIV/0!</v>
      </c>
      <c r="Z60" s="157" t="e">
        <f t="shared" si="185"/>
        <v>#DIV/0!</v>
      </c>
      <c r="AA60" s="157" t="e">
        <f t="shared" si="185"/>
        <v>#DIV/0!</v>
      </c>
      <c r="AB60" s="157" t="e">
        <f t="shared" si="185"/>
        <v>#DIV/0!</v>
      </c>
      <c r="AC60" s="157" t="e">
        <f t="shared" si="185"/>
        <v>#DIV/0!</v>
      </c>
      <c r="AD60" s="138" t="e">
        <f t="shared" si="167"/>
        <v>#DIV/0!</v>
      </c>
      <c r="AE60" s="31">
        <f t="shared" si="15"/>
        <v>0.05</v>
      </c>
      <c r="AF60" s="146" t="e">
        <f t="shared" si="168"/>
        <v>#DIV/0!</v>
      </c>
    </row>
    <row r="61" spans="2:32" x14ac:dyDescent="0.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4">
        <f t="shared" si="186"/>
        <v>0</v>
      </c>
      <c r="G61" s="144" t="e">
        <f t="shared" si="186"/>
        <v>#DIV/0!</v>
      </c>
      <c r="H61" s="144" t="e">
        <f t="shared" si="186"/>
        <v>#DIV/0!</v>
      </c>
      <c r="I61" s="144" t="e">
        <f t="shared" si="186"/>
        <v>#DIV/0!</v>
      </c>
      <c r="J61" s="144" t="e">
        <f t="shared" si="186"/>
        <v>#DIV/0!</v>
      </c>
      <c r="K61" s="144" t="e">
        <f t="shared" si="186"/>
        <v>#DIV/0!</v>
      </c>
      <c r="L61" s="144" t="e">
        <f t="shared" si="186"/>
        <v>#DIV/0!</v>
      </c>
      <c r="M61" s="144" t="e">
        <f t="shared" si="186"/>
        <v>#DIV/0!</v>
      </c>
      <c r="N61" s="144" t="e">
        <f t="shared" si="186"/>
        <v>#DIV/0!</v>
      </c>
      <c r="O61" s="144" t="e">
        <f t="shared" si="186"/>
        <v>#DIV/0!</v>
      </c>
      <c r="P61" s="144" t="e">
        <f t="shared" si="186"/>
        <v>#DIV/0!</v>
      </c>
      <c r="Q61" s="144" t="e">
        <f t="shared" ref="Q61" si="187">(Q7-Q10-Q9)/Q42</f>
        <v>#DIV/0!</v>
      </c>
      <c r="R61" s="118" t="e">
        <f>((P61/G61)^(1/($H$2-$H$1) ))-1</f>
        <v>#DIV/0!</v>
      </c>
      <c r="S61" s="128"/>
      <c r="T61" s="157" t="e">
        <f t="shared" ref="T61:AC61" si="188">(T7-T10-T9)/T42</f>
        <v>#DIV/0!</v>
      </c>
      <c r="U61" s="157" t="e">
        <f t="shared" si="188"/>
        <v>#DIV/0!</v>
      </c>
      <c r="V61" s="157" t="e">
        <f t="shared" si="188"/>
        <v>#DIV/0!</v>
      </c>
      <c r="W61" s="157" t="e">
        <f t="shared" si="188"/>
        <v>#DIV/0!</v>
      </c>
      <c r="X61" s="157" t="e">
        <f t="shared" si="188"/>
        <v>#DIV/0!</v>
      </c>
      <c r="Y61" s="157" t="e">
        <f t="shared" si="188"/>
        <v>#DIV/0!</v>
      </c>
      <c r="Z61" s="157" t="e">
        <f t="shared" si="188"/>
        <v>#DIV/0!</v>
      </c>
      <c r="AA61" s="157" t="e">
        <f t="shared" si="188"/>
        <v>#DIV/0!</v>
      </c>
      <c r="AB61" s="157" t="e">
        <f t="shared" si="188"/>
        <v>#DIV/0!</v>
      </c>
      <c r="AC61" s="157" t="e">
        <f t="shared" si="188"/>
        <v>#DIV/0!</v>
      </c>
      <c r="AD61" s="138" t="e">
        <f t="shared" si="167"/>
        <v>#DIV/0!</v>
      </c>
      <c r="AE61" s="31">
        <f t="shared" si="15"/>
        <v>0.05</v>
      </c>
      <c r="AF61" s="146" t="e">
        <f t="shared" si="168"/>
        <v>#DIV/0!</v>
      </c>
    </row>
    <row r="62" spans="2:32" x14ac:dyDescent="0.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4">
        <f t="shared" si="189"/>
        <v>0</v>
      </c>
      <c r="G62" s="144" t="e">
        <f t="shared" si="189"/>
        <v>#DIV/0!</v>
      </c>
      <c r="H62" s="144" t="e">
        <f t="shared" si="189"/>
        <v>#DIV/0!</v>
      </c>
      <c r="I62" s="144" t="e">
        <f t="shared" si="189"/>
        <v>#DIV/0!</v>
      </c>
      <c r="J62" s="144" t="e">
        <f t="shared" si="189"/>
        <v>#DIV/0!</v>
      </c>
      <c r="K62" s="144" t="e">
        <f t="shared" si="189"/>
        <v>#DIV/0!</v>
      </c>
      <c r="L62" s="144" t="e">
        <f t="shared" si="189"/>
        <v>#DIV/0!</v>
      </c>
      <c r="M62" s="144" t="e">
        <f t="shared" si="189"/>
        <v>#DIV/0!</v>
      </c>
      <c r="N62" s="144" t="e">
        <f t="shared" si="189"/>
        <v>#DIV/0!</v>
      </c>
      <c r="O62" s="144" t="e">
        <f t="shared" si="189"/>
        <v>#DIV/0!</v>
      </c>
      <c r="P62" s="144" t="e">
        <f t="shared" si="189"/>
        <v>#DIV/0!</v>
      </c>
      <c r="Q62" s="144" t="e">
        <f t="shared" ref="Q62" si="190">(Q7+Q15-Q10-Q9)/Q42</f>
        <v>#DIV/0!</v>
      </c>
      <c r="R62" s="118" t="e">
        <f>((P62/G62)^(1/($H$2-$H$1) ))-1</f>
        <v>#DIV/0!</v>
      </c>
      <c r="S62" s="128"/>
      <c r="T62" s="157" t="e">
        <f t="shared" ref="T62:AC62" si="191">(T7+T15-T10-T9)/T42</f>
        <v>#DIV/0!</v>
      </c>
      <c r="U62" s="157" t="e">
        <f t="shared" si="191"/>
        <v>#DIV/0!</v>
      </c>
      <c r="V62" s="157" t="e">
        <f t="shared" si="191"/>
        <v>#DIV/0!</v>
      </c>
      <c r="W62" s="157" t="e">
        <f t="shared" si="191"/>
        <v>#DIV/0!</v>
      </c>
      <c r="X62" s="157" t="e">
        <f t="shared" si="191"/>
        <v>#DIV/0!</v>
      </c>
      <c r="Y62" s="157" t="e">
        <f t="shared" si="191"/>
        <v>#DIV/0!</v>
      </c>
      <c r="Z62" s="157" t="e">
        <f t="shared" si="191"/>
        <v>#DIV/0!</v>
      </c>
      <c r="AA62" s="157" t="e">
        <f t="shared" si="191"/>
        <v>#DIV/0!</v>
      </c>
      <c r="AB62" s="157" t="e">
        <f t="shared" si="191"/>
        <v>#DIV/0!</v>
      </c>
      <c r="AC62" s="157" t="e">
        <f t="shared" si="191"/>
        <v>#DIV/0!</v>
      </c>
      <c r="AD62" s="138" t="e">
        <f t="shared" si="167"/>
        <v>#DIV/0!</v>
      </c>
      <c r="AE62" s="31">
        <f t="shared" si="15"/>
        <v>0.05</v>
      </c>
      <c r="AF62" s="146" t="e">
        <f t="shared" si="168"/>
        <v>#DIV/0!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0</v>
      </c>
      <c r="G64" s="144" t="e">
        <f t="shared" si="192"/>
        <v>#DIV/0!</v>
      </c>
      <c r="H64" s="144" t="e">
        <f t="shared" si="192"/>
        <v>#DIV/0!</v>
      </c>
      <c r="I64" s="144" t="e">
        <f t="shared" si="192"/>
        <v>#DIV/0!</v>
      </c>
      <c r="J64" s="144" t="e">
        <f t="shared" si="192"/>
        <v>#DIV/0!</v>
      </c>
      <c r="K64" s="144" t="e">
        <f t="shared" si="192"/>
        <v>#DIV/0!</v>
      </c>
      <c r="L64" s="144" t="e">
        <f t="shared" si="192"/>
        <v>#DIV/0!</v>
      </c>
      <c r="M64" s="144" t="e">
        <f t="shared" si="192"/>
        <v>#DIV/0!</v>
      </c>
      <c r="N64" s="144" t="e">
        <f t="shared" si="192"/>
        <v>#DIV/0!</v>
      </c>
      <c r="O64" s="144" t="e">
        <f t="shared" si="192"/>
        <v>#DIV/0!</v>
      </c>
      <c r="P64" s="144" t="e">
        <f t="shared" si="192"/>
        <v>#DIV/0!</v>
      </c>
      <c r="Q64" s="144" t="e">
        <f t="shared" ref="Q64" si="193">Q12/Q42</f>
        <v>#DIV/0!</v>
      </c>
      <c r="R64" s="118" t="e">
        <f>((P64/G64)^(1/($H$2-$H$1) ))-1</f>
        <v>#DIV/0!</v>
      </c>
      <c r="S64" s="128"/>
      <c r="T64" s="157" t="e">
        <f t="shared" ref="T64:AC64" si="194">T12/T42</f>
        <v>#DIV/0!</v>
      </c>
      <c r="U64" s="157" t="e">
        <f t="shared" si="194"/>
        <v>#DIV/0!</v>
      </c>
      <c r="V64" s="157" t="e">
        <f t="shared" si="194"/>
        <v>#DIV/0!</v>
      </c>
      <c r="W64" s="157" t="e">
        <f t="shared" si="194"/>
        <v>#DIV/0!</v>
      </c>
      <c r="X64" s="157" t="e">
        <f t="shared" si="194"/>
        <v>#DIV/0!</v>
      </c>
      <c r="Y64" s="157" t="e">
        <f t="shared" si="194"/>
        <v>#DIV/0!</v>
      </c>
      <c r="Z64" s="157" t="e">
        <f t="shared" si="194"/>
        <v>#DIV/0!</v>
      </c>
      <c r="AA64" s="157" t="e">
        <f t="shared" si="194"/>
        <v>#DIV/0!</v>
      </c>
      <c r="AB64" s="157" t="e">
        <f t="shared" si="194"/>
        <v>#DIV/0!</v>
      </c>
      <c r="AC64" s="157" t="e">
        <f t="shared" si="194"/>
        <v>#DIV/0!</v>
      </c>
      <c r="AD64" s="138" t="e">
        <f t="shared" si="167"/>
        <v>#DIV/0!</v>
      </c>
      <c r="AE64" s="31">
        <f t="shared" si="15"/>
        <v>0.05</v>
      </c>
      <c r="AF64" s="146" t="e">
        <f t="shared" si="168"/>
        <v>#DIV/0!</v>
      </c>
    </row>
    <row r="65" spans="2:32" x14ac:dyDescent="0.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4">
        <f t="shared" si="195"/>
        <v>0</v>
      </c>
      <c r="G65" s="144" t="e">
        <f t="shared" si="195"/>
        <v>#DIV/0!</v>
      </c>
      <c r="H65" s="144" t="e">
        <f t="shared" si="195"/>
        <v>#DIV/0!</v>
      </c>
      <c r="I65" s="144" t="e">
        <f t="shared" si="195"/>
        <v>#DIV/0!</v>
      </c>
      <c r="J65" s="144" t="e">
        <f t="shared" si="195"/>
        <v>#DIV/0!</v>
      </c>
      <c r="K65" s="144" t="e">
        <f t="shared" si="195"/>
        <v>#DIV/0!</v>
      </c>
      <c r="L65" s="144" t="e">
        <f t="shared" si="195"/>
        <v>#DIV/0!</v>
      </c>
      <c r="M65" s="144" t="e">
        <f t="shared" si="195"/>
        <v>#DIV/0!</v>
      </c>
      <c r="N65" s="144" t="e">
        <f t="shared" si="195"/>
        <v>#DIV/0!</v>
      </c>
      <c r="O65" s="144" t="e">
        <f t="shared" si="195"/>
        <v>#DIV/0!</v>
      </c>
      <c r="P65" s="144" t="e">
        <f t="shared" si="195"/>
        <v>#DIV/0!</v>
      </c>
      <c r="Q65" s="144" t="e">
        <f t="shared" ref="Q65" si="196">Q13/Q42</f>
        <v>#DIV/0!</v>
      </c>
      <c r="R65" s="118" t="e">
        <f>((P65/G65)^(1/($H$2-$H$1) ))-1</f>
        <v>#DIV/0!</v>
      </c>
      <c r="S65" s="128"/>
      <c r="T65" s="157" t="e">
        <f t="shared" ref="T65:AC65" si="197">T13/T42</f>
        <v>#DIV/0!</v>
      </c>
      <c r="U65" s="157" t="e">
        <f t="shared" si="197"/>
        <v>#DIV/0!</v>
      </c>
      <c r="V65" s="157" t="e">
        <f t="shared" si="197"/>
        <v>#DIV/0!</v>
      </c>
      <c r="W65" s="157" t="e">
        <f t="shared" si="197"/>
        <v>#DIV/0!</v>
      </c>
      <c r="X65" s="157" t="e">
        <f t="shared" si="197"/>
        <v>#DIV/0!</v>
      </c>
      <c r="Y65" s="157" t="e">
        <f t="shared" si="197"/>
        <v>#DIV/0!</v>
      </c>
      <c r="Z65" s="157" t="e">
        <f t="shared" si="197"/>
        <v>#DIV/0!</v>
      </c>
      <c r="AA65" s="157" t="e">
        <f t="shared" si="197"/>
        <v>#DIV/0!</v>
      </c>
      <c r="AB65" s="157" t="e">
        <f t="shared" si="197"/>
        <v>#DIV/0!</v>
      </c>
      <c r="AC65" s="157" t="e">
        <f t="shared" si="197"/>
        <v>#DIV/0!</v>
      </c>
      <c r="AD65" s="138" t="e">
        <f t="shared" si="167"/>
        <v>#DIV/0!</v>
      </c>
      <c r="AE65" s="31">
        <f t="shared" si="15"/>
        <v>0.05</v>
      </c>
      <c r="AF65" s="146" t="e">
        <f t="shared" si="168"/>
        <v>#DIV/0!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4">
        <f t="shared" si="198"/>
        <v>0</v>
      </c>
      <c r="G66" s="144" t="e">
        <f t="shared" si="198"/>
        <v>#DIV/0!</v>
      </c>
      <c r="H66" s="144" t="e">
        <f t="shared" si="198"/>
        <v>#DIV/0!</v>
      </c>
      <c r="I66" s="144" t="e">
        <f t="shared" si="198"/>
        <v>#DIV/0!</v>
      </c>
      <c r="J66" s="144" t="e">
        <f t="shared" si="198"/>
        <v>#DIV/0!</v>
      </c>
      <c r="K66" s="144" t="e">
        <f t="shared" si="198"/>
        <v>#DIV/0!</v>
      </c>
      <c r="L66" s="144" t="e">
        <f t="shared" si="198"/>
        <v>#DIV/0!</v>
      </c>
      <c r="M66" s="144" t="e">
        <f t="shared" si="198"/>
        <v>#DIV/0!</v>
      </c>
      <c r="N66" s="144" t="e">
        <f t="shared" si="198"/>
        <v>#DIV/0!</v>
      </c>
      <c r="O66" s="144" t="e">
        <f t="shared" ref="O66" si="199">(O64+O65)</f>
        <v>#DIV/0!</v>
      </c>
      <c r="P66" s="144" t="e">
        <f t="shared" si="198"/>
        <v>#DIV/0!</v>
      </c>
      <c r="Q66" s="144" t="e">
        <f t="shared" ref="Q66" si="200">(Q64+Q65)</f>
        <v>#DIV/0!</v>
      </c>
      <c r="R66" s="118" t="e">
        <f>((P66/G66)^(1/($H$2-$H$1) ))-1</f>
        <v>#DIV/0!</v>
      </c>
      <c r="S66" s="128"/>
      <c r="T66" s="157" t="e">
        <f t="shared" ref="T66:AC66" si="201">(T64+T65)</f>
        <v>#DIV/0!</v>
      </c>
      <c r="U66" s="157" t="e">
        <f t="shared" si="201"/>
        <v>#DIV/0!</v>
      </c>
      <c r="V66" s="157" t="e">
        <f t="shared" si="201"/>
        <v>#DIV/0!</v>
      </c>
      <c r="W66" s="157" t="e">
        <f t="shared" si="201"/>
        <v>#DIV/0!</v>
      </c>
      <c r="X66" s="157" t="e">
        <f t="shared" si="201"/>
        <v>#DIV/0!</v>
      </c>
      <c r="Y66" s="157" t="e">
        <f t="shared" si="201"/>
        <v>#DIV/0!</v>
      </c>
      <c r="Z66" s="157" t="e">
        <f t="shared" si="201"/>
        <v>#DIV/0!</v>
      </c>
      <c r="AA66" s="157" t="e">
        <f t="shared" si="201"/>
        <v>#DIV/0!</v>
      </c>
      <c r="AB66" s="157" t="e">
        <f t="shared" si="201"/>
        <v>#DIV/0!</v>
      </c>
      <c r="AC66" s="157" t="e">
        <f t="shared" si="201"/>
        <v>#DIV/0!</v>
      </c>
      <c r="AD66" s="138" t="e">
        <f t="shared" si="167"/>
        <v>#DIV/0!</v>
      </c>
      <c r="AE66" s="31">
        <f t="shared" si="15"/>
        <v>0.05</v>
      </c>
      <c r="AF66" s="146" t="e">
        <f t="shared" si="168"/>
        <v>#DIV/0!</v>
      </c>
    </row>
    <row r="67" spans="2:32" x14ac:dyDescent="0.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4">
        <f t="shared" si="202"/>
        <v>0</v>
      </c>
      <c r="G67" s="144" t="e">
        <f t="shared" si="202"/>
        <v>#DIV/0!</v>
      </c>
      <c r="H67" s="144" t="e">
        <f t="shared" si="202"/>
        <v>#DIV/0!</v>
      </c>
      <c r="I67" s="144" t="e">
        <f t="shared" si="202"/>
        <v>#DIV/0!</v>
      </c>
      <c r="J67" s="144" t="e">
        <f t="shared" si="202"/>
        <v>#DIV/0!</v>
      </c>
      <c r="K67" s="144" t="e">
        <f t="shared" si="202"/>
        <v>#DIV/0!</v>
      </c>
      <c r="L67" s="144" t="e">
        <f t="shared" si="202"/>
        <v>#DIV/0!</v>
      </c>
      <c r="M67" s="144" t="e">
        <f t="shared" si="202"/>
        <v>#DIV/0!</v>
      </c>
      <c r="N67" s="144" t="e">
        <f t="shared" si="202"/>
        <v>#DIV/0!</v>
      </c>
      <c r="O67" s="144" t="e">
        <f t="shared" si="202"/>
        <v>#DIV/0!</v>
      </c>
      <c r="P67" s="144" t="e">
        <f t="shared" si="202"/>
        <v>#DIV/0!</v>
      </c>
      <c r="Q67" s="144" t="e">
        <f t="shared" ref="Q67" si="203">Q15/Q42</f>
        <v>#DIV/0!</v>
      </c>
      <c r="R67" s="118" t="e">
        <f>((P67/G67)^(1/($H$2-$H$1) ))-1</f>
        <v>#DIV/0!</v>
      </c>
      <c r="S67" s="128"/>
      <c r="T67" s="157" t="e">
        <f t="shared" ref="T67:AC67" si="204">T15/T42</f>
        <v>#DIV/0!</v>
      </c>
      <c r="U67" s="157" t="e">
        <f t="shared" si="204"/>
        <v>#DIV/0!</v>
      </c>
      <c r="V67" s="157" t="e">
        <f t="shared" si="204"/>
        <v>#DIV/0!</v>
      </c>
      <c r="W67" s="157" t="e">
        <f t="shared" si="204"/>
        <v>#DIV/0!</v>
      </c>
      <c r="X67" s="157" t="e">
        <f t="shared" si="204"/>
        <v>#DIV/0!</v>
      </c>
      <c r="Y67" s="157" t="e">
        <f t="shared" si="204"/>
        <v>#DIV/0!</v>
      </c>
      <c r="Z67" s="157" t="e">
        <f t="shared" si="204"/>
        <v>#DIV/0!</v>
      </c>
      <c r="AA67" s="157" t="e">
        <f t="shared" si="204"/>
        <v>#DIV/0!</v>
      </c>
      <c r="AB67" s="157" t="e">
        <f t="shared" si="204"/>
        <v>#DIV/0!</v>
      </c>
      <c r="AC67" s="157" t="e">
        <f t="shared" si="204"/>
        <v>#DIV/0!</v>
      </c>
      <c r="AD67" s="138" t="e">
        <f t="shared" si="167"/>
        <v>#DIV/0!</v>
      </c>
      <c r="AE67" s="31">
        <f t="shared" si="15"/>
        <v>0.05</v>
      </c>
      <c r="AF67" s="146" t="e">
        <f t="shared" si="168"/>
        <v>#DIV/0!</v>
      </c>
    </row>
    <row r="68" spans="2:32" x14ac:dyDescent="0.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4">
        <f t="shared" si="205"/>
        <v>0</v>
      </c>
      <c r="G68" s="144" t="e">
        <f t="shared" si="205"/>
        <v>#DIV/0!</v>
      </c>
      <c r="H68" s="144" t="e">
        <f t="shared" si="205"/>
        <v>#DIV/0!</v>
      </c>
      <c r="I68" s="144" t="e">
        <f t="shared" si="205"/>
        <v>#DIV/0!</v>
      </c>
      <c r="J68" s="144" t="e">
        <f t="shared" si="205"/>
        <v>#DIV/0!</v>
      </c>
      <c r="K68" s="144" t="e">
        <f t="shared" si="205"/>
        <v>#DIV/0!</v>
      </c>
      <c r="L68" s="144" t="e">
        <f t="shared" si="205"/>
        <v>#DIV/0!</v>
      </c>
      <c r="M68" s="144" t="e">
        <f t="shared" si="205"/>
        <v>#DIV/0!</v>
      </c>
      <c r="N68" s="144" t="e">
        <f t="shared" si="205"/>
        <v>#DIV/0!</v>
      </c>
      <c r="O68" s="144" t="e">
        <f t="shared" si="205"/>
        <v>#DIV/0!</v>
      </c>
      <c r="P68" s="144" t="e">
        <f t="shared" si="205"/>
        <v>#DIV/0!</v>
      </c>
      <c r="Q68" s="144" t="e">
        <f t="shared" ref="Q68" si="206">Q16/Q42</f>
        <v>#DIV/0!</v>
      </c>
      <c r="R68" s="118" t="e">
        <f>((P68/G68)^(1/($H$2-$H$1) ))-1</f>
        <v>#DIV/0!</v>
      </c>
      <c r="S68" s="128"/>
      <c r="T68" s="157" t="e">
        <f t="shared" ref="T68:AC68" si="207">T16/T42</f>
        <v>#DIV/0!</v>
      </c>
      <c r="U68" s="157" t="e">
        <f t="shared" si="207"/>
        <v>#DIV/0!</v>
      </c>
      <c r="V68" s="157" t="e">
        <f t="shared" si="207"/>
        <v>#DIV/0!</v>
      </c>
      <c r="W68" s="157" t="e">
        <f t="shared" si="207"/>
        <v>#DIV/0!</v>
      </c>
      <c r="X68" s="157" t="e">
        <f t="shared" si="207"/>
        <v>#DIV/0!</v>
      </c>
      <c r="Y68" s="157" t="e">
        <f t="shared" si="207"/>
        <v>#DIV/0!</v>
      </c>
      <c r="Z68" s="157" t="e">
        <f t="shared" si="207"/>
        <v>#DIV/0!</v>
      </c>
      <c r="AA68" s="157" t="e">
        <f t="shared" si="207"/>
        <v>#DIV/0!</v>
      </c>
      <c r="AB68" s="157" t="e">
        <f t="shared" si="207"/>
        <v>#DIV/0!</v>
      </c>
      <c r="AC68" s="157" t="e">
        <f t="shared" si="207"/>
        <v>#DIV/0!</v>
      </c>
      <c r="AD68" s="138" t="e">
        <f t="shared" si="167"/>
        <v>#DIV/0!</v>
      </c>
      <c r="AE68" s="137"/>
      <c r="AF68" s="146" t="e">
        <f t="shared" si="168"/>
        <v>#DIV/0!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8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08">D44</f>
        <v>0</v>
      </c>
      <c r="E70" s="159">
        <f t="shared" si="208"/>
        <v>0</v>
      </c>
      <c r="F70" s="159">
        <f t="shared" si="208"/>
        <v>0</v>
      </c>
      <c r="G70" s="159">
        <f t="shared" si="208"/>
        <v>0</v>
      </c>
      <c r="H70" s="159">
        <f t="shared" si="208"/>
        <v>0</v>
      </c>
      <c r="I70" s="159">
        <f t="shared" si="208"/>
        <v>0</v>
      </c>
      <c r="J70" s="159">
        <f t="shared" si="208"/>
        <v>0</v>
      </c>
      <c r="K70" s="159">
        <f t="shared" si="208"/>
        <v>0</v>
      </c>
      <c r="L70" s="159">
        <f t="shared" si="208"/>
        <v>0</v>
      </c>
      <c r="M70" s="159">
        <f t="shared" si="208"/>
        <v>0</v>
      </c>
      <c r="N70" s="159">
        <f t="shared" si="208"/>
        <v>0</v>
      </c>
      <c r="O70" s="159">
        <f t="shared" si="208"/>
        <v>0</v>
      </c>
      <c r="P70" s="159">
        <f t="shared" si="208"/>
        <v>0</v>
      </c>
      <c r="Q70" s="159">
        <f t="shared" ref="Q70" si="209">Q44</f>
        <v>0</v>
      </c>
      <c r="R70" s="118" t="e">
        <f>((P70/G70)^(1/($H$2-$H$1) ))-1</f>
        <v>#DIV/0!</v>
      </c>
      <c r="S70" s="128"/>
      <c r="T70" s="159">
        <f t="shared" ref="T70:AC70" si="210">T44</f>
        <v>0</v>
      </c>
      <c r="U70" s="159">
        <f t="shared" si="210"/>
        <v>0</v>
      </c>
      <c r="V70" s="159">
        <f t="shared" si="210"/>
        <v>0</v>
      </c>
      <c r="W70" s="159">
        <f t="shared" si="210"/>
        <v>0</v>
      </c>
      <c r="X70" s="159">
        <f t="shared" si="210"/>
        <v>0</v>
      </c>
      <c r="Y70" s="159">
        <f t="shared" si="210"/>
        <v>0</v>
      </c>
      <c r="Z70" s="159">
        <f t="shared" si="210"/>
        <v>0</v>
      </c>
      <c r="AA70" s="159">
        <f t="shared" si="210"/>
        <v>0</v>
      </c>
      <c r="AB70" s="159">
        <f t="shared" si="210"/>
        <v>0</v>
      </c>
      <c r="AC70" s="159">
        <f t="shared" si="210"/>
        <v>0</v>
      </c>
      <c r="AD70" s="138" t="e">
        <f t="shared" ref="AD70" si="211">((AC70/G70)^(1/($AC$3-$H$1) ))-1</f>
        <v>#DIV/0!</v>
      </c>
      <c r="AE70" s="31">
        <f t="shared" si="15"/>
        <v>0.05</v>
      </c>
      <c r="AF70" s="146">
        <f t="shared" si="168"/>
        <v>0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4">
        <f t="shared" si="212"/>
        <v>0</v>
      </c>
      <c r="G72" s="144">
        <f t="shared" si="212"/>
        <v>0</v>
      </c>
      <c r="H72" s="144">
        <f t="shared" si="212"/>
        <v>0</v>
      </c>
      <c r="I72" s="144">
        <f t="shared" si="212"/>
        <v>0</v>
      </c>
      <c r="J72" s="144">
        <f t="shared" si="212"/>
        <v>0</v>
      </c>
      <c r="K72" s="144">
        <f t="shared" si="212"/>
        <v>0</v>
      </c>
      <c r="L72" s="144">
        <f t="shared" si="212"/>
        <v>0</v>
      </c>
      <c r="M72" s="144">
        <f t="shared" si="212"/>
        <v>0</v>
      </c>
      <c r="N72" s="144">
        <f t="shared" si="212"/>
        <v>0</v>
      </c>
      <c r="O72" s="144">
        <f t="shared" si="212"/>
        <v>0</v>
      </c>
      <c r="P72" s="144">
        <f t="shared" si="212"/>
        <v>0</v>
      </c>
      <c r="Q72" s="144">
        <f t="shared" ref="Q72" si="213">Q20+Q21</f>
        <v>0</v>
      </c>
      <c r="R72" s="118" t="e">
        <f>((P72/G72)^(1/($H$2-$H$1) ))-1</f>
        <v>#DIV/0!</v>
      </c>
      <c r="S72" s="128"/>
      <c r="T72" s="144">
        <f t="shared" ref="T72:AC72" si="214">T20+T21</f>
        <v>0</v>
      </c>
      <c r="U72" s="144">
        <f t="shared" si="214"/>
        <v>0</v>
      </c>
      <c r="V72" s="144">
        <f t="shared" si="214"/>
        <v>0</v>
      </c>
      <c r="W72" s="144">
        <f t="shared" si="214"/>
        <v>0</v>
      </c>
      <c r="X72" s="144">
        <f t="shared" si="214"/>
        <v>0</v>
      </c>
      <c r="Y72" s="144">
        <f t="shared" si="214"/>
        <v>0</v>
      </c>
      <c r="Z72" s="144">
        <f t="shared" si="214"/>
        <v>0</v>
      </c>
      <c r="AA72" s="144">
        <f t="shared" si="214"/>
        <v>0</v>
      </c>
      <c r="AB72" s="144">
        <f t="shared" si="214"/>
        <v>0</v>
      </c>
      <c r="AC72" s="144">
        <f t="shared" si="214"/>
        <v>0</v>
      </c>
      <c r="AD72" s="138" t="e">
        <f t="shared" ref="AD72:AD77" si="215">((AC72/G72)^(1/($AC$3-$H$1) ))-1</f>
        <v>#DIV/0!</v>
      </c>
      <c r="AE72" s="31">
        <f t="shared" si="15"/>
        <v>0.05</v>
      </c>
      <c r="AF72" s="146">
        <f t="shared" si="168"/>
        <v>0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4">
        <f t="shared" si="216"/>
        <v>0</v>
      </c>
      <c r="G74" s="144" t="e">
        <f t="shared" si="216"/>
        <v>#DIV/0!</v>
      </c>
      <c r="H74" s="144" t="e">
        <f t="shared" si="216"/>
        <v>#DIV/0!</v>
      </c>
      <c r="I74" s="144" t="e">
        <f t="shared" si="216"/>
        <v>#DIV/0!</v>
      </c>
      <c r="J74" s="144" t="e">
        <f t="shared" si="216"/>
        <v>#DIV/0!</v>
      </c>
      <c r="K74" s="144" t="e">
        <f t="shared" si="216"/>
        <v>#DIV/0!</v>
      </c>
      <c r="L74" s="144" t="e">
        <f t="shared" si="216"/>
        <v>#DIV/0!</v>
      </c>
      <c r="M74" s="144" t="e">
        <f t="shared" si="216"/>
        <v>#DIV/0!</v>
      </c>
      <c r="N74" s="144" t="e">
        <f t="shared" si="216"/>
        <v>#DIV/0!</v>
      </c>
      <c r="O74" s="144" t="e">
        <f t="shared" si="216"/>
        <v>#DIV/0!</v>
      </c>
      <c r="P74" s="144" t="e">
        <f t="shared" si="216"/>
        <v>#DIV/0!</v>
      </c>
      <c r="Q74" s="144" t="e">
        <f t="shared" ref="Q74" si="217">Q72/Q42</f>
        <v>#DIV/0!</v>
      </c>
      <c r="R74" s="118" t="e">
        <f>((P74/G74)^(1/($H$2-$H$1) ))-1</f>
        <v>#DIV/0!</v>
      </c>
      <c r="S74" s="128"/>
      <c r="T74" s="146" t="e">
        <f t="shared" ref="T74:AC74" si="218">T72/T42</f>
        <v>#DIV/0!</v>
      </c>
      <c r="U74" s="146" t="e">
        <f t="shared" si="218"/>
        <v>#DIV/0!</v>
      </c>
      <c r="V74" s="146" t="e">
        <f t="shared" si="218"/>
        <v>#DIV/0!</v>
      </c>
      <c r="W74" s="146" t="e">
        <f t="shared" si="218"/>
        <v>#DIV/0!</v>
      </c>
      <c r="X74" s="146" t="e">
        <f t="shared" si="218"/>
        <v>#DIV/0!</v>
      </c>
      <c r="Y74" s="146" t="e">
        <f t="shared" si="218"/>
        <v>#DIV/0!</v>
      </c>
      <c r="Z74" s="146" t="e">
        <f t="shared" si="218"/>
        <v>#DIV/0!</v>
      </c>
      <c r="AA74" s="146" t="e">
        <f t="shared" si="218"/>
        <v>#DIV/0!</v>
      </c>
      <c r="AB74" s="146" t="e">
        <f t="shared" si="218"/>
        <v>#DIV/0!</v>
      </c>
      <c r="AC74" s="146" t="e">
        <f t="shared" si="218"/>
        <v>#DIV/0!</v>
      </c>
      <c r="AD74" s="138" t="e">
        <f t="shared" si="215"/>
        <v>#DIV/0!</v>
      </c>
      <c r="AE74" s="31">
        <f t="shared" si="15"/>
        <v>0.05</v>
      </c>
      <c r="AF74" s="146" t="e">
        <f t="shared" si="168"/>
        <v>#DIV/0!</v>
      </c>
    </row>
    <row r="75" spans="2:32" x14ac:dyDescent="0.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4">
        <f t="shared" si="219"/>
        <v>0</v>
      </c>
      <c r="G75" s="144" t="e">
        <f t="shared" si="219"/>
        <v>#DIV/0!</v>
      </c>
      <c r="H75" s="144" t="e">
        <f t="shared" si="219"/>
        <v>#DIV/0!</v>
      </c>
      <c r="I75" s="144" t="e">
        <f t="shared" si="219"/>
        <v>#DIV/0!</v>
      </c>
      <c r="J75" s="144" t="e">
        <f t="shared" si="219"/>
        <v>#DIV/0!</v>
      </c>
      <c r="K75" s="144" t="e">
        <f t="shared" si="219"/>
        <v>#DIV/0!</v>
      </c>
      <c r="L75" s="144" t="e">
        <f t="shared" si="219"/>
        <v>#DIV/0!</v>
      </c>
      <c r="M75" s="144" t="e">
        <f t="shared" si="219"/>
        <v>#DIV/0!</v>
      </c>
      <c r="N75" s="144" t="e">
        <f t="shared" si="219"/>
        <v>#DIV/0!</v>
      </c>
      <c r="O75" s="144" t="e">
        <f t="shared" si="219"/>
        <v>#DIV/0!</v>
      </c>
      <c r="P75" s="144" t="e">
        <f t="shared" si="219"/>
        <v>#DIV/0!</v>
      </c>
      <c r="Q75" s="144" t="e">
        <f t="shared" ref="Q75" si="220">Q20/Q42</f>
        <v>#DIV/0!</v>
      </c>
      <c r="R75" s="118" t="e">
        <f>((P75/G75)^(1/($H$2-$H$1) ))-1</f>
        <v>#DIV/0!</v>
      </c>
      <c r="S75" s="128"/>
      <c r="T75" s="146" t="e">
        <f t="shared" ref="T75:AC75" si="221">T20/T42</f>
        <v>#DIV/0!</v>
      </c>
      <c r="U75" s="146" t="e">
        <f t="shared" si="221"/>
        <v>#DIV/0!</v>
      </c>
      <c r="V75" s="146" t="e">
        <f t="shared" si="221"/>
        <v>#DIV/0!</v>
      </c>
      <c r="W75" s="146" t="e">
        <f t="shared" si="221"/>
        <v>#DIV/0!</v>
      </c>
      <c r="X75" s="146" t="e">
        <f t="shared" si="221"/>
        <v>#DIV/0!</v>
      </c>
      <c r="Y75" s="146" t="e">
        <f t="shared" si="221"/>
        <v>#DIV/0!</v>
      </c>
      <c r="Z75" s="146" t="e">
        <f t="shared" si="221"/>
        <v>#DIV/0!</v>
      </c>
      <c r="AA75" s="146" t="e">
        <f t="shared" si="221"/>
        <v>#DIV/0!</v>
      </c>
      <c r="AB75" s="146" t="e">
        <f t="shared" si="221"/>
        <v>#DIV/0!</v>
      </c>
      <c r="AC75" s="146" t="e">
        <f t="shared" si="221"/>
        <v>#DIV/0!</v>
      </c>
      <c r="AD75" s="138" t="e">
        <f t="shared" si="215"/>
        <v>#DIV/0!</v>
      </c>
      <c r="AE75" s="31">
        <f t="shared" si="15"/>
        <v>0.05</v>
      </c>
      <c r="AF75" s="146" t="e">
        <f t="shared" si="168"/>
        <v>#DIV/0!</v>
      </c>
    </row>
    <row r="76" spans="2:32" x14ac:dyDescent="0.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4">
        <f t="shared" si="222"/>
        <v>0</v>
      </c>
      <c r="G76" s="144" t="e">
        <f t="shared" si="222"/>
        <v>#DIV/0!</v>
      </c>
      <c r="H76" s="144" t="e">
        <f t="shared" si="222"/>
        <v>#DIV/0!</v>
      </c>
      <c r="I76" s="144" t="e">
        <f t="shared" si="222"/>
        <v>#DIV/0!</v>
      </c>
      <c r="J76" s="144" t="e">
        <f t="shared" si="222"/>
        <v>#DIV/0!</v>
      </c>
      <c r="K76" s="144" t="e">
        <f t="shared" si="222"/>
        <v>#DIV/0!</v>
      </c>
      <c r="L76" s="144" t="e">
        <f t="shared" si="222"/>
        <v>#DIV/0!</v>
      </c>
      <c r="M76" s="144" t="e">
        <f t="shared" si="222"/>
        <v>#DIV/0!</v>
      </c>
      <c r="N76" s="144" t="e">
        <f t="shared" si="222"/>
        <v>#DIV/0!</v>
      </c>
      <c r="O76" s="144" t="e">
        <f t="shared" si="222"/>
        <v>#DIV/0!</v>
      </c>
      <c r="P76" s="144" t="e">
        <f t="shared" si="222"/>
        <v>#DIV/0!</v>
      </c>
      <c r="Q76" s="144" t="e">
        <f t="shared" ref="Q76" si="223">Q21/Q42</f>
        <v>#DIV/0!</v>
      </c>
      <c r="R76" s="118" t="e">
        <f>((P76/G76)^(1/($H$2-$H$1) ))-1</f>
        <v>#DIV/0!</v>
      </c>
      <c r="S76" s="128"/>
      <c r="T76" s="146" t="e">
        <f t="shared" ref="T76:AC76" si="224">T21/T42</f>
        <v>#DIV/0!</v>
      </c>
      <c r="U76" s="146" t="e">
        <f t="shared" si="224"/>
        <v>#DIV/0!</v>
      </c>
      <c r="V76" s="146" t="e">
        <f t="shared" si="224"/>
        <v>#DIV/0!</v>
      </c>
      <c r="W76" s="146" t="e">
        <f t="shared" si="224"/>
        <v>#DIV/0!</v>
      </c>
      <c r="X76" s="146" t="e">
        <f t="shared" si="224"/>
        <v>#DIV/0!</v>
      </c>
      <c r="Y76" s="146" t="e">
        <f t="shared" si="224"/>
        <v>#DIV/0!</v>
      </c>
      <c r="Z76" s="146" t="e">
        <f t="shared" si="224"/>
        <v>#DIV/0!</v>
      </c>
      <c r="AA76" s="146" t="e">
        <f t="shared" si="224"/>
        <v>#DIV/0!</v>
      </c>
      <c r="AB76" s="146" t="e">
        <f t="shared" si="224"/>
        <v>#DIV/0!</v>
      </c>
      <c r="AC76" s="146" t="e">
        <f t="shared" si="224"/>
        <v>#DIV/0!</v>
      </c>
      <c r="AD76" s="138" t="e">
        <f t="shared" si="215"/>
        <v>#DIV/0!</v>
      </c>
      <c r="AE76" s="31">
        <f t="shared" si="15"/>
        <v>0.05</v>
      </c>
      <c r="AF76" s="146" t="e">
        <f t="shared" si="168"/>
        <v>#DIV/0!</v>
      </c>
    </row>
    <row r="77" spans="2:32" x14ac:dyDescent="0.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4">
        <f t="shared" si="225"/>
        <v>0</v>
      </c>
      <c r="G77" s="144" t="e">
        <f t="shared" si="225"/>
        <v>#DIV/0!</v>
      </c>
      <c r="H77" s="144" t="e">
        <f t="shared" si="225"/>
        <v>#DIV/0!</v>
      </c>
      <c r="I77" s="144" t="e">
        <f t="shared" si="225"/>
        <v>#DIV/0!</v>
      </c>
      <c r="J77" s="144" t="e">
        <f t="shared" si="225"/>
        <v>#DIV/0!</v>
      </c>
      <c r="K77" s="144" t="e">
        <f t="shared" si="225"/>
        <v>#DIV/0!</v>
      </c>
      <c r="L77" s="144" t="e">
        <f t="shared" si="225"/>
        <v>#DIV/0!</v>
      </c>
      <c r="M77" s="144" t="e">
        <f t="shared" si="225"/>
        <v>#DIV/0!</v>
      </c>
      <c r="N77" s="144" t="e">
        <f t="shared" si="225"/>
        <v>#DIV/0!</v>
      </c>
      <c r="O77" s="144" t="e">
        <f t="shared" si="225"/>
        <v>#DIV/0!</v>
      </c>
      <c r="P77" s="144" t="e">
        <f t="shared" si="225"/>
        <v>#DIV/0!</v>
      </c>
      <c r="Q77" s="144" t="e">
        <f t="shared" ref="Q77" si="226">Q22/Q42</f>
        <v>#DIV/0!</v>
      </c>
      <c r="R77" s="118" t="e">
        <f>((P77/G77)^(1/($H$2-$H$1) ))-1</f>
        <v>#DIV/0!</v>
      </c>
      <c r="S77" s="128"/>
      <c r="T77" s="146" t="e">
        <f t="shared" ref="T77:AC77" si="227">T22/T42</f>
        <v>#DIV/0!</v>
      </c>
      <c r="U77" s="146" t="e">
        <f t="shared" si="227"/>
        <v>#DIV/0!</v>
      </c>
      <c r="V77" s="146" t="e">
        <f t="shared" si="227"/>
        <v>#DIV/0!</v>
      </c>
      <c r="W77" s="146" t="e">
        <f t="shared" si="227"/>
        <v>#DIV/0!</v>
      </c>
      <c r="X77" s="146" t="e">
        <f t="shared" si="227"/>
        <v>#DIV/0!</v>
      </c>
      <c r="Y77" s="146" t="e">
        <f t="shared" si="227"/>
        <v>#DIV/0!</v>
      </c>
      <c r="Z77" s="146" t="e">
        <f t="shared" si="227"/>
        <v>#DIV/0!</v>
      </c>
      <c r="AA77" s="146" t="e">
        <f t="shared" si="227"/>
        <v>#DIV/0!</v>
      </c>
      <c r="AB77" s="146" t="e">
        <f t="shared" si="227"/>
        <v>#DIV/0!</v>
      </c>
      <c r="AC77" s="146" t="e">
        <f t="shared" si="227"/>
        <v>#DIV/0!</v>
      </c>
      <c r="AD77" s="138" t="e">
        <f t="shared" si="215"/>
        <v>#DIV/0!</v>
      </c>
      <c r="AE77" s="31">
        <f t="shared" si="15"/>
        <v>0.05</v>
      </c>
      <c r="AF77" s="146" t="e">
        <f t="shared" si="168"/>
        <v>#DIV/0!</v>
      </c>
    </row>
    <row r="78" spans="2:32" x14ac:dyDescent="0.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4">
        <f t="shared" si="228"/>
        <v>0</v>
      </c>
      <c r="G78" s="144" t="e">
        <f t="shared" si="228"/>
        <v>#DIV/0!</v>
      </c>
      <c r="H78" s="144" t="e">
        <f t="shared" si="228"/>
        <v>#DIV/0!</v>
      </c>
      <c r="I78" s="144" t="e">
        <f t="shared" si="228"/>
        <v>#DIV/0!</v>
      </c>
      <c r="J78" s="144" t="e">
        <f t="shared" si="228"/>
        <v>#DIV/0!</v>
      </c>
      <c r="K78" s="144" t="e">
        <f t="shared" si="228"/>
        <v>#DIV/0!</v>
      </c>
      <c r="L78" s="144" t="e">
        <f t="shared" si="228"/>
        <v>#DIV/0!</v>
      </c>
      <c r="M78" s="144" t="e">
        <f t="shared" si="228"/>
        <v>#DIV/0!</v>
      </c>
      <c r="N78" s="144" t="e">
        <f t="shared" si="228"/>
        <v>#DIV/0!</v>
      </c>
      <c r="O78" s="144" t="e">
        <f t="shared" si="228"/>
        <v>#DIV/0!</v>
      </c>
      <c r="P78" s="144" t="e">
        <f t="shared" si="228"/>
        <v>#DIV/0!</v>
      </c>
      <c r="Q78" s="144" t="e">
        <f t="shared" ref="Q78" si="229">Q23/Q42</f>
        <v>#DIV/0!</v>
      </c>
      <c r="R78" s="118" t="e">
        <f>((P78/G78)^(1/($H$2-$H$1) ))-1</f>
        <v>#DIV/0!</v>
      </c>
      <c r="S78" s="128"/>
      <c r="T78" s="146" t="e">
        <f t="shared" ref="T78:AC78" si="230">T23/T42</f>
        <v>#DIV/0!</v>
      </c>
      <c r="U78" s="146" t="e">
        <f t="shared" si="230"/>
        <v>#DIV/0!</v>
      </c>
      <c r="V78" s="146" t="e">
        <f t="shared" si="230"/>
        <v>#DIV/0!</v>
      </c>
      <c r="W78" s="146" t="e">
        <f t="shared" si="230"/>
        <v>#DIV/0!</v>
      </c>
      <c r="X78" s="146" t="e">
        <f t="shared" si="230"/>
        <v>#DIV/0!</v>
      </c>
      <c r="Y78" s="146" t="e">
        <f t="shared" si="230"/>
        <v>#DIV/0!</v>
      </c>
      <c r="Z78" s="146" t="e">
        <f t="shared" si="230"/>
        <v>#DIV/0!</v>
      </c>
      <c r="AA78" s="146" t="e">
        <f t="shared" si="230"/>
        <v>#DIV/0!</v>
      </c>
      <c r="AB78" s="146" t="e">
        <f t="shared" si="230"/>
        <v>#DIV/0!</v>
      </c>
      <c r="AC78" s="146" t="e">
        <f t="shared" si="230"/>
        <v>#DIV/0!</v>
      </c>
      <c r="AD78" s="138" t="e">
        <f t="shared" ref="AD78" si="231">((AC78/G78)^(1/($AC$3-$H$1) ))-1</f>
        <v>#DIV/0!</v>
      </c>
      <c r="AE78" s="31">
        <f t="shared" si="15"/>
        <v>0.05</v>
      </c>
      <c r="AF78" s="146" t="e">
        <f t="shared" si="168"/>
        <v>#DIV/0!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32">C36/C42</f>
        <v>0</v>
      </c>
      <c r="D80" s="144">
        <f t="shared" si="232"/>
        <v>0</v>
      </c>
      <c r="E80" s="144">
        <f t="shared" si="232"/>
        <v>0</v>
      </c>
      <c r="F80" s="144">
        <f t="shared" si="232"/>
        <v>0</v>
      </c>
      <c r="G80" s="144" t="e">
        <f t="shared" si="232"/>
        <v>#DIV/0!</v>
      </c>
      <c r="H80" s="144" t="e">
        <f t="shared" si="232"/>
        <v>#DIV/0!</v>
      </c>
      <c r="I80" s="144" t="e">
        <f t="shared" si="232"/>
        <v>#DIV/0!</v>
      </c>
      <c r="J80" s="144" t="e">
        <f t="shared" si="232"/>
        <v>#DIV/0!</v>
      </c>
      <c r="K80" s="144" t="e">
        <f t="shared" si="232"/>
        <v>#DIV/0!</v>
      </c>
      <c r="L80" s="144" t="e">
        <f t="shared" si="232"/>
        <v>#DIV/0!</v>
      </c>
      <c r="M80" s="144" t="e">
        <f t="shared" si="232"/>
        <v>#DIV/0!</v>
      </c>
      <c r="N80" s="144" t="e">
        <f t="shared" si="232"/>
        <v>#DIV/0!</v>
      </c>
      <c r="O80" s="144" t="e">
        <f t="shared" si="232"/>
        <v>#DIV/0!</v>
      </c>
      <c r="P80" s="144" t="e">
        <f t="shared" si="232"/>
        <v>#DIV/0!</v>
      </c>
      <c r="Q80" s="144" t="e">
        <f t="shared" ref="Q80" si="233">Q36/Q42</f>
        <v>#DIV/0!</v>
      </c>
      <c r="R80" s="118" t="e">
        <f>((P80/G80)^(1/($H$2-$H$1) ))-1</f>
        <v>#DIV/0!</v>
      </c>
      <c r="S80" s="128"/>
      <c r="T80" s="144" t="e">
        <f t="shared" ref="T80:AC80" si="234">T36/T42</f>
        <v>#DIV/0!</v>
      </c>
      <c r="U80" s="144" t="e">
        <f t="shared" si="234"/>
        <v>#DIV/0!</v>
      </c>
      <c r="V80" s="144" t="e">
        <f t="shared" si="234"/>
        <v>#DIV/0!</v>
      </c>
      <c r="W80" s="144" t="e">
        <f t="shared" si="234"/>
        <v>#DIV/0!</v>
      </c>
      <c r="X80" s="144" t="e">
        <f t="shared" si="234"/>
        <v>#DIV/0!</v>
      </c>
      <c r="Y80" s="144" t="e">
        <f t="shared" si="234"/>
        <v>#DIV/0!</v>
      </c>
      <c r="Z80" s="144" t="e">
        <f t="shared" si="234"/>
        <v>#DIV/0!</v>
      </c>
      <c r="AA80" s="144" t="e">
        <f t="shared" si="234"/>
        <v>#DIV/0!</v>
      </c>
      <c r="AB80" s="144" t="e">
        <f t="shared" si="234"/>
        <v>#DIV/0!</v>
      </c>
      <c r="AC80" s="144" t="e">
        <f t="shared" si="234"/>
        <v>#DIV/0!</v>
      </c>
      <c r="AD80" s="138" t="e">
        <f t="shared" ref="AD80:AD82" si="235">((AC80/G80)^(1/($AC$3-$H$1) ))-1</f>
        <v>#DIV/0!</v>
      </c>
      <c r="AE80" s="31">
        <f t="shared" si="15"/>
        <v>0.05</v>
      </c>
      <c r="AF80" s="146" t="e">
        <f t="shared" si="168"/>
        <v>#DIV/0!</v>
      </c>
    </row>
    <row r="81" spans="2:32" x14ac:dyDescent="0.2">
      <c r="B81" s="20" t="s">
        <v>312</v>
      </c>
      <c r="C81" s="144">
        <f t="shared" ref="C81:P81" si="236">C40/C42</f>
        <v>0</v>
      </c>
      <c r="D81" s="144">
        <f t="shared" si="236"/>
        <v>0</v>
      </c>
      <c r="E81" s="144">
        <f t="shared" si="236"/>
        <v>0</v>
      </c>
      <c r="F81" s="144">
        <f t="shared" si="236"/>
        <v>0</v>
      </c>
      <c r="G81" s="144" t="e">
        <f t="shared" si="236"/>
        <v>#DIV/0!</v>
      </c>
      <c r="H81" s="144" t="e">
        <f t="shared" si="236"/>
        <v>#DIV/0!</v>
      </c>
      <c r="I81" s="144" t="e">
        <f t="shared" si="236"/>
        <v>#DIV/0!</v>
      </c>
      <c r="J81" s="144" t="e">
        <f t="shared" si="236"/>
        <v>#DIV/0!</v>
      </c>
      <c r="K81" s="144" t="e">
        <f t="shared" si="236"/>
        <v>#DIV/0!</v>
      </c>
      <c r="L81" s="144" t="e">
        <f t="shared" si="236"/>
        <v>#DIV/0!</v>
      </c>
      <c r="M81" s="144" t="e">
        <f t="shared" si="236"/>
        <v>#DIV/0!</v>
      </c>
      <c r="N81" s="144" t="e">
        <f t="shared" si="236"/>
        <v>#DIV/0!</v>
      </c>
      <c r="O81" s="144" t="e">
        <f t="shared" si="236"/>
        <v>#DIV/0!</v>
      </c>
      <c r="P81" s="144" t="e">
        <f t="shared" si="236"/>
        <v>#DIV/0!</v>
      </c>
      <c r="Q81" s="144" t="e">
        <f t="shared" ref="Q81" si="237">Q40/Q42</f>
        <v>#DIV/0!</v>
      </c>
      <c r="R81" s="118" t="e">
        <f>((P81/G81)^(1/($H$2-$H$1) ))-1</f>
        <v>#DIV/0!</v>
      </c>
      <c r="S81" s="128"/>
      <c r="T81" s="144" t="e">
        <f t="shared" ref="T81:AC81" si="238">T40/T42</f>
        <v>#DIV/0!</v>
      </c>
      <c r="U81" s="144" t="e">
        <f t="shared" si="238"/>
        <v>#DIV/0!</v>
      </c>
      <c r="V81" s="144" t="e">
        <f t="shared" si="238"/>
        <v>#DIV/0!</v>
      </c>
      <c r="W81" s="144" t="e">
        <f t="shared" si="238"/>
        <v>#DIV/0!</v>
      </c>
      <c r="X81" s="144" t="e">
        <f t="shared" si="238"/>
        <v>#DIV/0!</v>
      </c>
      <c r="Y81" s="144" t="e">
        <f t="shared" si="238"/>
        <v>#DIV/0!</v>
      </c>
      <c r="Z81" s="144" t="e">
        <f t="shared" si="238"/>
        <v>#DIV/0!</v>
      </c>
      <c r="AA81" s="144" t="e">
        <f t="shared" si="238"/>
        <v>#DIV/0!</v>
      </c>
      <c r="AB81" s="144" t="e">
        <f t="shared" si="238"/>
        <v>#DIV/0!</v>
      </c>
      <c r="AC81" s="144" t="e">
        <f t="shared" si="238"/>
        <v>#DIV/0!</v>
      </c>
      <c r="AD81" s="138" t="e">
        <f t="shared" si="235"/>
        <v>#DIV/0!</v>
      </c>
      <c r="AE81" s="31">
        <f t="shared" si="15"/>
        <v>0.05</v>
      </c>
      <c r="AF81" s="146" t="e">
        <f t="shared" si="168"/>
        <v>#DIV/0!</v>
      </c>
    </row>
    <row r="82" spans="2:32" x14ac:dyDescent="0.2">
      <c r="B82" s="20" t="s">
        <v>313</v>
      </c>
      <c r="C82" s="144">
        <f t="shared" ref="C82:P82" si="239">C6/C42</f>
        <v>0</v>
      </c>
      <c r="D82" s="144">
        <f t="shared" si="239"/>
        <v>0</v>
      </c>
      <c r="E82" s="144">
        <f t="shared" si="239"/>
        <v>0</v>
      </c>
      <c r="F82" s="144">
        <f t="shared" si="239"/>
        <v>0</v>
      </c>
      <c r="G82" s="144" t="e">
        <f t="shared" si="239"/>
        <v>#DIV/0!</v>
      </c>
      <c r="H82" s="144" t="e">
        <f t="shared" si="239"/>
        <v>#DIV/0!</v>
      </c>
      <c r="I82" s="144" t="e">
        <f t="shared" si="239"/>
        <v>#DIV/0!</v>
      </c>
      <c r="J82" s="144" t="e">
        <f t="shared" si="239"/>
        <v>#DIV/0!</v>
      </c>
      <c r="K82" s="144" t="e">
        <f t="shared" si="239"/>
        <v>#DIV/0!</v>
      </c>
      <c r="L82" s="144" t="e">
        <f t="shared" si="239"/>
        <v>#DIV/0!</v>
      </c>
      <c r="M82" s="144" t="e">
        <f t="shared" si="239"/>
        <v>#DIV/0!</v>
      </c>
      <c r="N82" s="144" t="e">
        <f t="shared" si="239"/>
        <v>#DIV/0!</v>
      </c>
      <c r="O82" s="144" t="e">
        <f t="shared" si="239"/>
        <v>#DIV/0!</v>
      </c>
      <c r="P82" s="144" t="e">
        <f t="shared" si="239"/>
        <v>#DIV/0!</v>
      </c>
      <c r="Q82" s="144" t="e">
        <f t="shared" ref="Q82" si="240">Q6/Q42</f>
        <v>#DIV/0!</v>
      </c>
      <c r="R82" s="118" t="e">
        <f>((P82/G82)^(1/($H$2-$H$1) ))-1</f>
        <v>#DIV/0!</v>
      </c>
      <c r="S82" s="128"/>
      <c r="T82" s="144" t="e">
        <f t="shared" ref="T82:AC82" si="241">T6/T42</f>
        <v>#DIV/0!</v>
      </c>
      <c r="U82" s="144" t="e">
        <f t="shared" si="241"/>
        <v>#DIV/0!</v>
      </c>
      <c r="V82" s="144" t="e">
        <f t="shared" si="241"/>
        <v>#DIV/0!</v>
      </c>
      <c r="W82" s="144" t="e">
        <f t="shared" si="241"/>
        <v>#DIV/0!</v>
      </c>
      <c r="X82" s="144" t="e">
        <f t="shared" si="241"/>
        <v>#DIV/0!</v>
      </c>
      <c r="Y82" s="144" t="e">
        <f t="shared" si="241"/>
        <v>#DIV/0!</v>
      </c>
      <c r="Z82" s="144" t="e">
        <f t="shared" si="241"/>
        <v>#DIV/0!</v>
      </c>
      <c r="AA82" s="144" t="e">
        <f t="shared" si="241"/>
        <v>#DIV/0!</v>
      </c>
      <c r="AB82" s="144" t="e">
        <f t="shared" si="241"/>
        <v>#DIV/0!</v>
      </c>
      <c r="AC82" s="144" t="e">
        <f t="shared" si="241"/>
        <v>#DIV/0!</v>
      </c>
      <c r="AD82" s="138" t="e">
        <f t="shared" si="235"/>
        <v>#DIV/0!</v>
      </c>
      <c r="AE82" s="31">
        <f t="shared" ref="AE82" si="242">$L$1</f>
        <v>0.05</v>
      </c>
      <c r="AF82" s="146" t="e">
        <f t="shared" si="168"/>
        <v>#DIV/0!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43">E36/E25</f>
        <v>#DIV/0!</v>
      </c>
      <c r="F86" s="152" t="e">
        <f t="shared" si="243"/>
        <v>#DIV/0!</v>
      </c>
      <c r="G86" s="152" t="e">
        <f t="shared" si="243"/>
        <v>#DIV/0!</v>
      </c>
      <c r="H86" s="152" t="e">
        <f t="shared" si="243"/>
        <v>#DIV/0!</v>
      </c>
      <c r="I86" s="152" t="e">
        <f t="shared" si="243"/>
        <v>#DIV/0!</v>
      </c>
      <c r="J86" s="152" t="e">
        <f t="shared" si="243"/>
        <v>#DIV/0!</v>
      </c>
      <c r="K86" s="152" t="e">
        <f t="shared" si="243"/>
        <v>#DIV/0!</v>
      </c>
      <c r="L86" s="152" t="e">
        <f t="shared" si="243"/>
        <v>#DIV/0!</v>
      </c>
      <c r="M86" s="152" t="e">
        <f t="shared" si="243"/>
        <v>#DIV/0!</v>
      </c>
      <c r="N86" s="152" t="e">
        <f t="shared" si="243"/>
        <v>#DIV/0!</v>
      </c>
      <c r="O86" s="152" t="e">
        <f t="shared" si="243"/>
        <v>#DIV/0!</v>
      </c>
      <c r="P86" s="152" t="e">
        <f t="shared" si="243"/>
        <v>#DIV/0!</v>
      </c>
      <c r="Q86" s="152" t="e">
        <f t="shared" ref="Q86" si="244">Q36/Q25</f>
        <v>#DIV/0!</v>
      </c>
      <c r="R86" s="118" t="e">
        <f t="shared" ref="R86:R138" si="245">((P86/G86)^(1/($H$2-$H$1) ))-1</f>
        <v>#DIV/0!</v>
      </c>
      <c r="S86" s="152"/>
      <c r="T86" s="152" t="e">
        <f t="shared" ref="T86:AC86" si="246">T36/T25</f>
        <v>#DIV/0!</v>
      </c>
      <c r="U86" s="152" t="e">
        <f t="shared" si="246"/>
        <v>#DIV/0!</v>
      </c>
      <c r="V86" s="152" t="e">
        <f t="shared" si="246"/>
        <v>#DIV/0!</v>
      </c>
      <c r="W86" s="152" t="e">
        <f t="shared" si="246"/>
        <v>#DIV/0!</v>
      </c>
      <c r="X86" s="152" t="e">
        <f t="shared" si="246"/>
        <v>#DIV/0!</v>
      </c>
      <c r="Y86" s="152" t="e">
        <f t="shared" si="246"/>
        <v>#DIV/0!</v>
      </c>
      <c r="Z86" s="152" t="e">
        <f t="shared" si="246"/>
        <v>#DIV/0!</v>
      </c>
      <c r="AA86" s="152" t="e">
        <f t="shared" si="246"/>
        <v>#DIV/0!</v>
      </c>
      <c r="AB86" s="152" t="e">
        <f t="shared" si="246"/>
        <v>#DIV/0!</v>
      </c>
      <c r="AC86" s="152" t="e">
        <f t="shared" si="246"/>
        <v>#DIV/0!</v>
      </c>
      <c r="AD86" s="138" t="e">
        <f t="shared" ref="AD86:AD125" si="247">((AC86/G86)^(1/($AC$3-$H$1) ))-1</f>
        <v>#DIV/0!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48">E40/E25</f>
        <v>#DIV/0!</v>
      </c>
      <c r="F87" s="152" t="e">
        <f t="shared" si="248"/>
        <v>#DIV/0!</v>
      </c>
      <c r="G87" s="152" t="e">
        <f t="shared" si="248"/>
        <v>#DIV/0!</v>
      </c>
      <c r="H87" s="152" t="e">
        <f t="shared" si="248"/>
        <v>#DIV/0!</v>
      </c>
      <c r="I87" s="152" t="e">
        <f t="shared" si="248"/>
        <v>#DIV/0!</v>
      </c>
      <c r="J87" s="152" t="e">
        <f t="shared" si="248"/>
        <v>#DIV/0!</v>
      </c>
      <c r="K87" s="152" t="e">
        <f t="shared" si="248"/>
        <v>#DIV/0!</v>
      </c>
      <c r="L87" s="152" t="e">
        <f t="shared" si="248"/>
        <v>#DIV/0!</v>
      </c>
      <c r="M87" s="152" t="e">
        <f t="shared" si="248"/>
        <v>#DIV/0!</v>
      </c>
      <c r="N87" s="152" t="e">
        <f t="shared" si="248"/>
        <v>#DIV/0!</v>
      </c>
      <c r="O87" s="152" t="e">
        <f t="shared" si="248"/>
        <v>#DIV/0!</v>
      </c>
      <c r="P87" s="152" t="e">
        <f t="shared" si="248"/>
        <v>#DIV/0!</v>
      </c>
      <c r="Q87" s="152" t="e">
        <f t="shared" ref="Q87" si="249">Q40/Q25</f>
        <v>#DIV/0!</v>
      </c>
      <c r="R87" s="118" t="e">
        <f t="shared" si="245"/>
        <v>#DIV/0!</v>
      </c>
      <c r="S87" s="152"/>
      <c r="T87" s="152" t="e">
        <f t="shared" ref="T87:AC87" si="250">T40/T25</f>
        <v>#DIV/0!</v>
      </c>
      <c r="U87" s="152" t="e">
        <f t="shared" si="250"/>
        <v>#DIV/0!</v>
      </c>
      <c r="V87" s="152" t="e">
        <f t="shared" si="250"/>
        <v>#DIV/0!</v>
      </c>
      <c r="W87" s="152" t="e">
        <f t="shared" si="250"/>
        <v>#DIV/0!</v>
      </c>
      <c r="X87" s="152" t="e">
        <f t="shared" si="250"/>
        <v>#DIV/0!</v>
      </c>
      <c r="Y87" s="152" t="e">
        <f t="shared" si="250"/>
        <v>#DIV/0!</v>
      </c>
      <c r="Z87" s="152" t="e">
        <f t="shared" si="250"/>
        <v>#DIV/0!</v>
      </c>
      <c r="AA87" s="152" t="e">
        <f t="shared" si="250"/>
        <v>#DIV/0!</v>
      </c>
      <c r="AB87" s="152" t="e">
        <f t="shared" si="250"/>
        <v>#DIV/0!</v>
      </c>
      <c r="AC87" s="152" t="e">
        <f t="shared" si="250"/>
        <v>#DIV/0!</v>
      </c>
      <c r="AD87" s="138" t="e">
        <f t="shared" si="247"/>
        <v>#DIV/0!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51">E40/E7</f>
        <v>#DIV/0!</v>
      </c>
      <c r="F88" s="152" t="e">
        <f t="shared" si="251"/>
        <v>#DIV/0!</v>
      </c>
      <c r="G88" s="152" t="e">
        <f>G40/G7</f>
        <v>#DIV/0!</v>
      </c>
      <c r="H88" s="152" t="e">
        <f t="shared" si="251"/>
        <v>#DIV/0!</v>
      </c>
      <c r="I88" s="152" t="e">
        <f t="shared" si="251"/>
        <v>#DIV/0!</v>
      </c>
      <c r="J88" s="152" t="e">
        <f t="shared" si="251"/>
        <v>#DIV/0!</v>
      </c>
      <c r="K88" s="152" t="e">
        <f t="shared" si="251"/>
        <v>#DIV/0!</v>
      </c>
      <c r="L88" s="152" t="e">
        <f t="shared" si="251"/>
        <v>#DIV/0!</v>
      </c>
      <c r="M88" s="152" t="e">
        <f t="shared" si="251"/>
        <v>#DIV/0!</v>
      </c>
      <c r="N88" s="152" t="e">
        <f t="shared" si="251"/>
        <v>#DIV/0!</v>
      </c>
      <c r="O88" s="152" t="e">
        <f t="shared" si="251"/>
        <v>#DIV/0!</v>
      </c>
      <c r="P88" s="152" t="e">
        <f t="shared" ref="P88:Q88" si="252">P40/P7</f>
        <v>#DIV/0!</v>
      </c>
      <c r="Q88" s="152" t="e">
        <f t="shared" si="252"/>
        <v>#DIV/0!</v>
      </c>
      <c r="R88" s="118" t="e">
        <f t="shared" si="245"/>
        <v>#DIV/0!</v>
      </c>
      <c r="S88" s="20"/>
      <c r="T88" s="152" t="e">
        <f t="shared" ref="T88" si="253">T40/T7</f>
        <v>#DIV/0!</v>
      </c>
      <c r="U88" s="152" t="e">
        <f t="shared" ref="U88:AC88" si="254">U40/U7</f>
        <v>#DIV/0!</v>
      </c>
      <c r="V88" s="152" t="e">
        <f t="shared" si="254"/>
        <v>#DIV/0!</v>
      </c>
      <c r="W88" s="152" t="e">
        <f t="shared" si="254"/>
        <v>#DIV/0!</v>
      </c>
      <c r="X88" s="152" t="e">
        <f t="shared" si="254"/>
        <v>#DIV/0!</v>
      </c>
      <c r="Y88" s="152" t="e">
        <f t="shared" si="254"/>
        <v>#DIV/0!</v>
      </c>
      <c r="Z88" s="152" t="e">
        <f t="shared" si="254"/>
        <v>#DIV/0!</v>
      </c>
      <c r="AA88" s="152" t="e">
        <f t="shared" si="254"/>
        <v>#DIV/0!</v>
      </c>
      <c r="AB88" s="152" t="e">
        <f t="shared" si="254"/>
        <v>#DIV/0!</v>
      </c>
      <c r="AC88" s="152" t="e">
        <f t="shared" si="254"/>
        <v>#DIV/0!</v>
      </c>
      <c r="AD88" s="138" t="e">
        <f t="shared" si="247"/>
        <v>#DIV/0!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55">(E40)/(E7+E10)</f>
        <v>#DIV/0!</v>
      </c>
      <c r="F89" s="152" t="e">
        <f t="shared" si="255"/>
        <v>#DIV/0!</v>
      </c>
      <c r="G89" s="152" t="e">
        <f>(G40)/(G7+G10)</f>
        <v>#DIV/0!</v>
      </c>
      <c r="H89" s="152" t="e">
        <f t="shared" ref="H89:O89" si="256">(H40)/(H7+H10)</f>
        <v>#DIV/0!</v>
      </c>
      <c r="I89" s="152" t="e">
        <f t="shared" si="256"/>
        <v>#DIV/0!</v>
      </c>
      <c r="J89" s="152" t="e">
        <f t="shared" si="256"/>
        <v>#DIV/0!</v>
      </c>
      <c r="K89" s="152" t="e">
        <f t="shared" si="256"/>
        <v>#DIV/0!</v>
      </c>
      <c r="L89" s="152" t="e">
        <f t="shared" si="256"/>
        <v>#DIV/0!</v>
      </c>
      <c r="M89" s="152" t="e">
        <f t="shared" si="256"/>
        <v>#DIV/0!</v>
      </c>
      <c r="N89" s="152" t="e">
        <f t="shared" si="256"/>
        <v>#DIV/0!</v>
      </c>
      <c r="O89" s="152" t="e">
        <f t="shared" si="256"/>
        <v>#DIV/0!</v>
      </c>
      <c r="P89" s="152" t="e">
        <f t="shared" ref="P89:Q89" si="257">(P40)/(P7+P10)</f>
        <v>#DIV/0!</v>
      </c>
      <c r="Q89" s="152" t="e">
        <f t="shared" si="257"/>
        <v>#DIV/0!</v>
      </c>
      <c r="R89" s="118" t="e">
        <f t="shared" si="245"/>
        <v>#DIV/0!</v>
      </c>
      <c r="S89" s="20"/>
      <c r="T89" s="152" t="e">
        <f t="shared" ref="T89:AC89" si="258">(T40)/(T7+T10)</f>
        <v>#DIV/0!</v>
      </c>
      <c r="U89" s="152" t="e">
        <f t="shared" si="258"/>
        <v>#DIV/0!</v>
      </c>
      <c r="V89" s="152" t="e">
        <f t="shared" si="258"/>
        <v>#DIV/0!</v>
      </c>
      <c r="W89" s="152" t="e">
        <f t="shared" si="258"/>
        <v>#DIV/0!</v>
      </c>
      <c r="X89" s="152" t="e">
        <f t="shared" si="258"/>
        <v>#DIV/0!</v>
      </c>
      <c r="Y89" s="152" t="e">
        <f t="shared" si="258"/>
        <v>#DIV/0!</v>
      </c>
      <c r="Z89" s="152" t="e">
        <f t="shared" si="258"/>
        <v>#DIV/0!</v>
      </c>
      <c r="AA89" s="152" t="e">
        <f t="shared" si="258"/>
        <v>#DIV/0!</v>
      </c>
      <c r="AB89" s="152" t="e">
        <f t="shared" si="258"/>
        <v>#DIV/0!</v>
      </c>
      <c r="AC89" s="152" t="e">
        <f t="shared" si="258"/>
        <v>#DIV/0!</v>
      </c>
      <c r="AD89" s="138" t="e">
        <f t="shared" si="247"/>
        <v>#DIV/0!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 t="e">
        <f>G20/G25</f>
        <v>#DIV/0!</v>
      </c>
      <c r="H90" s="152" t="e">
        <f t="shared" ref="H90:P90" si="259">H20/H25</f>
        <v>#DIV/0!</v>
      </c>
      <c r="I90" s="152" t="e">
        <f t="shared" si="259"/>
        <v>#DIV/0!</v>
      </c>
      <c r="J90" s="152" t="e">
        <f t="shared" si="259"/>
        <v>#DIV/0!</v>
      </c>
      <c r="K90" s="152" t="e">
        <f t="shared" si="259"/>
        <v>#DIV/0!</v>
      </c>
      <c r="L90" s="152" t="e">
        <f t="shared" si="259"/>
        <v>#DIV/0!</v>
      </c>
      <c r="M90" s="152" t="e">
        <f t="shared" si="259"/>
        <v>#DIV/0!</v>
      </c>
      <c r="N90" s="152" t="e">
        <f t="shared" si="259"/>
        <v>#DIV/0!</v>
      </c>
      <c r="O90" s="152" t="e">
        <f t="shared" si="259"/>
        <v>#DIV/0!</v>
      </c>
      <c r="P90" s="152" t="e">
        <f t="shared" si="259"/>
        <v>#DIV/0!</v>
      </c>
      <c r="Q90" s="152" t="e">
        <f t="shared" ref="Q90" si="260">Q20/Q25</f>
        <v>#DIV/0!</v>
      </c>
      <c r="R90" s="118" t="e">
        <f t="shared" si="245"/>
        <v>#DIV/0!</v>
      </c>
      <c r="S90" s="20"/>
      <c r="T90" s="152" t="e">
        <f t="shared" ref="T90:AC90" si="261">T20/T25</f>
        <v>#DIV/0!</v>
      </c>
      <c r="U90" s="152" t="e">
        <f t="shared" si="261"/>
        <v>#DIV/0!</v>
      </c>
      <c r="V90" s="152" t="e">
        <f t="shared" si="261"/>
        <v>#DIV/0!</v>
      </c>
      <c r="W90" s="152" t="e">
        <f t="shared" si="261"/>
        <v>#DIV/0!</v>
      </c>
      <c r="X90" s="152" t="e">
        <f t="shared" si="261"/>
        <v>#DIV/0!</v>
      </c>
      <c r="Y90" s="152" t="e">
        <f t="shared" si="261"/>
        <v>#DIV/0!</v>
      </c>
      <c r="Z90" s="152" t="e">
        <f t="shared" si="261"/>
        <v>#DIV/0!</v>
      </c>
      <c r="AA90" s="152" t="e">
        <f t="shared" si="261"/>
        <v>#DIV/0!</v>
      </c>
      <c r="AB90" s="152" t="e">
        <f t="shared" si="261"/>
        <v>#DIV/0!</v>
      </c>
      <c r="AC90" s="152" t="e">
        <f t="shared" si="261"/>
        <v>#DIV/0!</v>
      </c>
      <c r="AD90" s="138" t="e">
        <f t="shared" si="247"/>
        <v>#DIV/0!</v>
      </c>
      <c r="AE90" s="146"/>
      <c r="AF90" s="146"/>
    </row>
    <row r="91" spans="2:32" x14ac:dyDescent="0.2">
      <c r="B91" s="20" t="s">
        <v>429</v>
      </c>
      <c r="C91" s="152"/>
      <c r="D91" s="152"/>
      <c r="E91" s="152"/>
      <c r="F91" s="152"/>
      <c r="G91" s="152" t="e">
        <f>G52/G25</f>
        <v>#DIV/0!</v>
      </c>
      <c r="H91" s="152" t="e">
        <f t="shared" ref="H91:P91" si="262">H52/H25</f>
        <v>#DIV/0!</v>
      </c>
      <c r="I91" s="152" t="e">
        <f t="shared" si="262"/>
        <v>#DIV/0!</v>
      </c>
      <c r="J91" s="152" t="e">
        <f t="shared" si="262"/>
        <v>#DIV/0!</v>
      </c>
      <c r="K91" s="152" t="e">
        <f t="shared" si="262"/>
        <v>#DIV/0!</v>
      </c>
      <c r="L91" s="152" t="e">
        <f t="shared" si="262"/>
        <v>#DIV/0!</v>
      </c>
      <c r="M91" s="152" t="e">
        <f t="shared" si="262"/>
        <v>#DIV/0!</v>
      </c>
      <c r="N91" s="152" t="e">
        <f t="shared" si="262"/>
        <v>#DIV/0!</v>
      </c>
      <c r="O91" s="152" t="e">
        <f t="shared" si="262"/>
        <v>#DIV/0!</v>
      </c>
      <c r="P91" s="152" t="e">
        <f t="shared" si="262"/>
        <v>#DIV/0!</v>
      </c>
      <c r="Q91" s="152" t="e">
        <f t="shared" ref="Q91" si="263">Q52/Q25</f>
        <v>#DIV/0!</v>
      </c>
      <c r="R91" s="118" t="e">
        <f t="shared" si="245"/>
        <v>#DIV/0!</v>
      </c>
      <c r="S91" s="20"/>
      <c r="T91" s="152" t="e">
        <f t="shared" ref="T91:AC91" si="264">T52/T25</f>
        <v>#DIV/0!</v>
      </c>
      <c r="U91" s="152" t="e">
        <f t="shared" si="264"/>
        <v>#DIV/0!</v>
      </c>
      <c r="V91" s="152" t="e">
        <f t="shared" si="264"/>
        <v>#DIV/0!</v>
      </c>
      <c r="W91" s="152" t="e">
        <f t="shared" si="264"/>
        <v>#DIV/0!</v>
      </c>
      <c r="X91" s="152" t="e">
        <f t="shared" si="264"/>
        <v>#DIV/0!</v>
      </c>
      <c r="Y91" s="152" t="e">
        <f t="shared" si="264"/>
        <v>#DIV/0!</v>
      </c>
      <c r="Z91" s="152" t="e">
        <f t="shared" si="264"/>
        <v>#DIV/0!</v>
      </c>
      <c r="AA91" s="152" t="e">
        <f t="shared" si="264"/>
        <v>#DIV/0!</v>
      </c>
      <c r="AB91" s="152" t="e">
        <f t="shared" si="264"/>
        <v>#DIV/0!</v>
      </c>
      <c r="AC91" s="152" t="e">
        <f t="shared" si="264"/>
        <v>#DIV/0!</v>
      </c>
      <c r="AD91" s="138" t="e">
        <f t="shared" si="247"/>
        <v>#DIV/0!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 t="e">
        <f>G29/G25</f>
        <v>#DIV/0!</v>
      </c>
      <c r="H93" s="152" t="e">
        <f t="shared" ref="H93:P93" si="265">H29/H25</f>
        <v>#DIV/0!</v>
      </c>
      <c r="I93" s="152" t="e">
        <f t="shared" si="265"/>
        <v>#DIV/0!</v>
      </c>
      <c r="J93" s="152" t="e">
        <f t="shared" si="265"/>
        <v>#DIV/0!</v>
      </c>
      <c r="K93" s="152" t="e">
        <f t="shared" si="265"/>
        <v>#DIV/0!</v>
      </c>
      <c r="L93" s="152" t="e">
        <f t="shared" si="265"/>
        <v>#DIV/0!</v>
      </c>
      <c r="M93" s="152" t="e">
        <f t="shared" si="265"/>
        <v>#DIV/0!</v>
      </c>
      <c r="N93" s="152" t="e">
        <f t="shared" si="265"/>
        <v>#DIV/0!</v>
      </c>
      <c r="O93" s="152" t="e">
        <f t="shared" si="265"/>
        <v>#DIV/0!</v>
      </c>
      <c r="P93" s="152" t="e">
        <f t="shared" si="265"/>
        <v>#DIV/0!</v>
      </c>
      <c r="Q93" s="152" t="e">
        <f t="shared" ref="Q93" si="266">Q29/Q25</f>
        <v>#DIV/0!</v>
      </c>
      <c r="R93" s="118" t="e">
        <f t="shared" si="245"/>
        <v>#DIV/0!</v>
      </c>
      <c r="S93" s="20"/>
      <c r="T93" s="152" t="e">
        <f t="shared" ref="T93:AC93" si="267">T29/T25</f>
        <v>#DIV/0!</v>
      </c>
      <c r="U93" s="152" t="e">
        <f t="shared" si="267"/>
        <v>#DIV/0!</v>
      </c>
      <c r="V93" s="152" t="e">
        <f t="shared" si="267"/>
        <v>#DIV/0!</v>
      </c>
      <c r="W93" s="152" t="e">
        <f t="shared" si="267"/>
        <v>#DIV/0!</v>
      </c>
      <c r="X93" s="152" t="e">
        <f t="shared" si="267"/>
        <v>#DIV/0!</v>
      </c>
      <c r="Y93" s="152" t="e">
        <f t="shared" si="267"/>
        <v>#DIV/0!</v>
      </c>
      <c r="Z93" s="152" t="e">
        <f t="shared" si="267"/>
        <v>#DIV/0!</v>
      </c>
      <c r="AA93" s="152" t="e">
        <f t="shared" si="267"/>
        <v>#DIV/0!</v>
      </c>
      <c r="AB93" s="152" t="e">
        <f t="shared" si="267"/>
        <v>#DIV/0!</v>
      </c>
      <c r="AC93" s="152" t="e">
        <f t="shared" si="267"/>
        <v>#DIV/0!</v>
      </c>
      <c r="AD93" s="138" t="e">
        <f t="shared" si="247"/>
        <v>#DIV/0!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 t="e">
        <f>G29/G36</f>
        <v>#DIV/0!</v>
      </c>
      <c r="H94" s="152" t="e">
        <f t="shared" ref="H94:P94" si="268">H29/H36</f>
        <v>#DIV/0!</v>
      </c>
      <c r="I94" s="152" t="e">
        <f t="shared" si="268"/>
        <v>#DIV/0!</v>
      </c>
      <c r="J94" s="152" t="e">
        <f t="shared" si="268"/>
        <v>#DIV/0!</v>
      </c>
      <c r="K94" s="152" t="e">
        <f t="shared" si="268"/>
        <v>#DIV/0!</v>
      </c>
      <c r="L94" s="152" t="e">
        <f t="shared" si="268"/>
        <v>#DIV/0!</v>
      </c>
      <c r="M94" s="152" t="e">
        <f t="shared" si="268"/>
        <v>#DIV/0!</v>
      </c>
      <c r="N94" s="152" t="e">
        <f t="shared" si="268"/>
        <v>#DIV/0!</v>
      </c>
      <c r="O94" s="152" t="e">
        <f t="shared" si="268"/>
        <v>#DIV/0!</v>
      </c>
      <c r="P94" s="152" t="e">
        <f t="shared" si="268"/>
        <v>#DIV/0!</v>
      </c>
      <c r="Q94" s="152" t="e">
        <f t="shared" ref="Q94" si="269">Q29/Q36</f>
        <v>#DIV/0!</v>
      </c>
      <c r="R94" s="118" t="e">
        <f t="shared" ref="R94" si="270">((P94/G94)^(1/($H$2-$H$1) ))-1</f>
        <v>#DIV/0!</v>
      </c>
      <c r="S94" s="20"/>
      <c r="T94" s="152" t="e">
        <f t="shared" ref="T94:AC94" si="271">T29/T36</f>
        <v>#DIV/0!</v>
      </c>
      <c r="U94" s="152" t="e">
        <f t="shared" si="271"/>
        <v>#DIV/0!</v>
      </c>
      <c r="V94" s="152" t="e">
        <f t="shared" si="271"/>
        <v>#DIV/0!</v>
      </c>
      <c r="W94" s="152" t="e">
        <f t="shared" si="271"/>
        <v>#DIV/0!</v>
      </c>
      <c r="X94" s="152" t="e">
        <f t="shared" si="271"/>
        <v>#DIV/0!</v>
      </c>
      <c r="Y94" s="152" t="e">
        <f t="shared" si="271"/>
        <v>#DIV/0!</v>
      </c>
      <c r="Z94" s="152" t="e">
        <f t="shared" si="271"/>
        <v>#DIV/0!</v>
      </c>
      <c r="AA94" s="152" t="e">
        <f t="shared" si="271"/>
        <v>#DIV/0!</v>
      </c>
      <c r="AB94" s="152" t="e">
        <f t="shared" si="271"/>
        <v>#DIV/0!</v>
      </c>
      <c r="AC94" s="152" t="e">
        <f t="shared" si="271"/>
        <v>#DIV/0!</v>
      </c>
      <c r="AD94" s="138" t="e">
        <f t="shared" ref="AD94" si="272">((AC94/G94)^(1/($AC$3-$H$1) ))-1</f>
        <v>#DIV/0!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 t="e">
        <f t="shared" ref="G95:P95" si="273">G29/G40</f>
        <v>#DIV/0!</v>
      </c>
      <c r="H95" s="171" t="e">
        <f t="shared" si="273"/>
        <v>#DIV/0!</v>
      </c>
      <c r="I95" s="171" t="e">
        <f t="shared" si="273"/>
        <v>#DIV/0!</v>
      </c>
      <c r="J95" s="171" t="e">
        <f t="shared" si="273"/>
        <v>#DIV/0!</v>
      </c>
      <c r="K95" s="171" t="e">
        <f t="shared" si="273"/>
        <v>#DIV/0!</v>
      </c>
      <c r="L95" s="171" t="e">
        <f t="shared" si="273"/>
        <v>#DIV/0!</v>
      </c>
      <c r="M95" s="171" t="e">
        <f t="shared" si="273"/>
        <v>#DIV/0!</v>
      </c>
      <c r="N95" s="171" t="e">
        <f t="shared" si="273"/>
        <v>#DIV/0!</v>
      </c>
      <c r="O95" s="171" t="e">
        <f t="shared" si="273"/>
        <v>#DIV/0!</v>
      </c>
      <c r="P95" s="171" t="e">
        <f t="shared" si="273"/>
        <v>#DIV/0!</v>
      </c>
      <c r="Q95" s="171" t="e">
        <f t="shared" ref="Q95" si="274">Q29/Q40</f>
        <v>#DIV/0!</v>
      </c>
      <c r="R95" s="118" t="e">
        <f t="shared" ref="R95" si="275">((P95/G95)^(1/($H$2-$H$1) ))-1</f>
        <v>#DIV/0!</v>
      </c>
      <c r="S95" s="20"/>
      <c r="T95" s="171" t="e">
        <f t="shared" ref="T95:AC95" si="276">T29/T40</f>
        <v>#DIV/0!</v>
      </c>
      <c r="U95" s="171" t="e">
        <f t="shared" si="276"/>
        <v>#DIV/0!</v>
      </c>
      <c r="V95" s="171" t="e">
        <f t="shared" si="276"/>
        <v>#DIV/0!</v>
      </c>
      <c r="W95" s="171" t="e">
        <f t="shared" si="276"/>
        <v>#DIV/0!</v>
      </c>
      <c r="X95" s="171" t="e">
        <f t="shared" si="276"/>
        <v>#DIV/0!</v>
      </c>
      <c r="Y95" s="171" t="e">
        <f t="shared" si="276"/>
        <v>#DIV/0!</v>
      </c>
      <c r="Z95" s="171" t="e">
        <f t="shared" si="276"/>
        <v>#DIV/0!</v>
      </c>
      <c r="AA95" s="171" t="e">
        <f t="shared" si="276"/>
        <v>#DIV/0!</v>
      </c>
      <c r="AB95" s="171" t="e">
        <f t="shared" si="276"/>
        <v>#DIV/0!</v>
      </c>
      <c r="AC95" s="171" t="e">
        <f t="shared" si="276"/>
        <v>#DIV/0!</v>
      </c>
      <c r="AD95" s="138" t="e">
        <f t="shared" ref="AD95" si="277">((AC95/G95)^(1/($AC$3-$H$1) ))-1</f>
        <v>#DIV/0!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 t="e">
        <f t="shared" ref="G96:P96" si="278">G29/G12</f>
        <v>#DIV/0!</v>
      </c>
      <c r="H96" s="171" t="e">
        <f t="shared" si="278"/>
        <v>#DIV/0!</v>
      </c>
      <c r="I96" s="171" t="e">
        <f t="shared" si="278"/>
        <v>#DIV/0!</v>
      </c>
      <c r="J96" s="171" t="e">
        <f t="shared" si="278"/>
        <v>#DIV/0!</v>
      </c>
      <c r="K96" s="171" t="e">
        <f t="shared" si="278"/>
        <v>#DIV/0!</v>
      </c>
      <c r="L96" s="171" t="e">
        <f t="shared" si="278"/>
        <v>#DIV/0!</v>
      </c>
      <c r="M96" s="171" t="e">
        <f t="shared" si="278"/>
        <v>#DIV/0!</v>
      </c>
      <c r="N96" s="171" t="e">
        <f t="shared" si="278"/>
        <v>#DIV/0!</v>
      </c>
      <c r="O96" s="171" t="e">
        <f t="shared" si="278"/>
        <v>#DIV/0!</v>
      </c>
      <c r="P96" s="171" t="e">
        <f t="shared" si="278"/>
        <v>#DIV/0!</v>
      </c>
      <c r="Q96" s="171" t="e">
        <f t="shared" ref="Q96" si="279">Q29/Q12</f>
        <v>#DIV/0!</v>
      </c>
      <c r="R96" s="118" t="e">
        <f t="shared" si="245"/>
        <v>#DIV/0!</v>
      </c>
      <c r="S96" s="20"/>
      <c r="T96" s="152" t="e">
        <f t="shared" ref="T96:AC96" si="280">T29/T12</f>
        <v>#DIV/0!</v>
      </c>
      <c r="U96" s="152" t="e">
        <f t="shared" si="280"/>
        <v>#DIV/0!</v>
      </c>
      <c r="V96" s="152" t="e">
        <f t="shared" si="280"/>
        <v>#DIV/0!</v>
      </c>
      <c r="W96" s="152" t="e">
        <f t="shared" si="280"/>
        <v>#DIV/0!</v>
      </c>
      <c r="X96" s="152" t="e">
        <f t="shared" si="280"/>
        <v>#DIV/0!</v>
      </c>
      <c r="Y96" s="152" t="e">
        <f t="shared" si="280"/>
        <v>#DIV/0!</v>
      </c>
      <c r="Z96" s="152" t="e">
        <f t="shared" si="280"/>
        <v>#DIV/0!</v>
      </c>
      <c r="AA96" s="152" t="e">
        <f t="shared" si="280"/>
        <v>#DIV/0!</v>
      </c>
      <c r="AB96" s="152" t="e">
        <f t="shared" si="280"/>
        <v>#DIV/0!</v>
      </c>
      <c r="AC96" s="152" t="e">
        <f t="shared" si="280"/>
        <v>#DIV/0!</v>
      </c>
      <c r="AD96" s="138" t="e">
        <f t="shared" si="247"/>
        <v>#DIV/0!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 t="e">
        <f>G29/G23</f>
        <v>#DIV/0!</v>
      </c>
      <c r="H97" s="171" t="e">
        <f t="shared" ref="H97:P97" si="281">H29/H23</f>
        <v>#DIV/0!</v>
      </c>
      <c r="I97" s="171" t="e">
        <f t="shared" si="281"/>
        <v>#DIV/0!</v>
      </c>
      <c r="J97" s="171" t="e">
        <f t="shared" si="281"/>
        <v>#DIV/0!</v>
      </c>
      <c r="K97" s="171" t="e">
        <f t="shared" si="281"/>
        <v>#DIV/0!</v>
      </c>
      <c r="L97" s="171" t="e">
        <f t="shared" si="281"/>
        <v>#DIV/0!</v>
      </c>
      <c r="M97" s="171" t="e">
        <f t="shared" si="281"/>
        <v>#DIV/0!</v>
      </c>
      <c r="N97" s="171" t="e">
        <f t="shared" si="281"/>
        <v>#DIV/0!</v>
      </c>
      <c r="O97" s="171" t="e">
        <f t="shared" si="281"/>
        <v>#DIV/0!</v>
      </c>
      <c r="P97" s="171" t="e">
        <f t="shared" si="281"/>
        <v>#DIV/0!</v>
      </c>
      <c r="Q97" s="171" t="e">
        <f t="shared" ref="Q97" si="282">Q29/Q23</f>
        <v>#DIV/0!</v>
      </c>
      <c r="R97" s="118" t="e">
        <f t="shared" ref="R97" si="283">((P97/G97)^(1/($H$2-$H$1) ))-1</f>
        <v>#DIV/0!</v>
      </c>
      <c r="S97" s="20"/>
      <c r="T97" s="171" t="e">
        <f t="shared" ref="T97:AC97" si="284">T29/T23</f>
        <v>#DIV/0!</v>
      </c>
      <c r="U97" s="171" t="e">
        <f t="shared" si="284"/>
        <v>#DIV/0!</v>
      </c>
      <c r="V97" s="171" t="e">
        <f t="shared" si="284"/>
        <v>#DIV/0!</v>
      </c>
      <c r="W97" s="171" t="e">
        <f t="shared" si="284"/>
        <v>#DIV/0!</v>
      </c>
      <c r="X97" s="171" t="e">
        <f t="shared" si="284"/>
        <v>#DIV/0!</v>
      </c>
      <c r="Y97" s="171" t="e">
        <f t="shared" si="284"/>
        <v>#DIV/0!</v>
      </c>
      <c r="Z97" s="171" t="e">
        <f t="shared" si="284"/>
        <v>#DIV/0!</v>
      </c>
      <c r="AA97" s="171" t="e">
        <f t="shared" si="284"/>
        <v>#DIV/0!</v>
      </c>
      <c r="AB97" s="171" t="e">
        <f t="shared" si="284"/>
        <v>#DIV/0!</v>
      </c>
      <c r="AC97" s="171" t="e">
        <f t="shared" si="284"/>
        <v>#DIV/0!</v>
      </c>
      <c r="AD97" s="138" t="e">
        <f t="shared" ref="AD97" si="285">((AC97/G97)^(1/($AC$3-$H$1) ))-1</f>
        <v>#DIV/0!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403</v>
      </c>
      <c r="C99" s="152"/>
      <c r="D99" s="152"/>
      <c r="E99" s="152"/>
      <c r="F99" s="152"/>
      <c r="G99" s="127" t="e">
        <f>1/G93</f>
        <v>#DIV/0!</v>
      </c>
      <c r="H99" s="127" t="e">
        <f t="shared" ref="H99:P99" si="286">1/H93</f>
        <v>#DIV/0!</v>
      </c>
      <c r="I99" s="127" t="e">
        <f t="shared" si="286"/>
        <v>#DIV/0!</v>
      </c>
      <c r="J99" s="127" t="e">
        <f t="shared" si="286"/>
        <v>#DIV/0!</v>
      </c>
      <c r="K99" s="127" t="e">
        <f t="shared" si="286"/>
        <v>#DIV/0!</v>
      </c>
      <c r="L99" s="127" t="e">
        <f t="shared" si="286"/>
        <v>#DIV/0!</v>
      </c>
      <c r="M99" s="127" t="e">
        <f t="shared" si="286"/>
        <v>#DIV/0!</v>
      </c>
      <c r="N99" s="127" t="e">
        <f t="shared" si="286"/>
        <v>#DIV/0!</v>
      </c>
      <c r="O99" s="127" t="e">
        <f t="shared" si="286"/>
        <v>#DIV/0!</v>
      </c>
      <c r="P99" s="127" t="e">
        <f t="shared" si="286"/>
        <v>#DIV/0!</v>
      </c>
      <c r="Q99" s="127" t="e">
        <f t="shared" ref="Q99" si="287">1/Q93</f>
        <v>#DIV/0!</v>
      </c>
      <c r="R99" s="118" t="e">
        <f t="shared" si="245"/>
        <v>#DIV/0!</v>
      </c>
      <c r="S99" s="20"/>
      <c r="T99" s="127" t="e">
        <f t="shared" ref="T99:AC99" si="288">1/T93</f>
        <v>#DIV/0!</v>
      </c>
      <c r="U99" s="127" t="e">
        <f t="shared" si="288"/>
        <v>#DIV/0!</v>
      </c>
      <c r="V99" s="127" t="e">
        <f t="shared" si="288"/>
        <v>#DIV/0!</v>
      </c>
      <c r="W99" s="127" t="e">
        <f t="shared" si="288"/>
        <v>#DIV/0!</v>
      </c>
      <c r="X99" s="127" t="e">
        <f t="shared" si="288"/>
        <v>#DIV/0!</v>
      </c>
      <c r="Y99" s="127" t="e">
        <f t="shared" si="288"/>
        <v>#DIV/0!</v>
      </c>
      <c r="Z99" s="127" t="e">
        <f t="shared" si="288"/>
        <v>#DIV/0!</v>
      </c>
      <c r="AA99" s="127" t="e">
        <f t="shared" si="288"/>
        <v>#DIV/0!</v>
      </c>
      <c r="AB99" s="127" t="e">
        <f t="shared" si="288"/>
        <v>#DIV/0!</v>
      </c>
      <c r="AC99" s="127" t="e">
        <f t="shared" si="288"/>
        <v>#DIV/0!</v>
      </c>
      <c r="AD99" s="138" t="e">
        <f t="shared" si="247"/>
        <v>#DIV/0!</v>
      </c>
      <c r="AE99" s="146"/>
      <c r="AF99" s="146"/>
    </row>
    <row r="100" spans="2:32" ht="12" customHeight="1" x14ac:dyDescent="0.2">
      <c r="B100" s="20" t="s">
        <v>404</v>
      </c>
      <c r="C100" s="152"/>
      <c r="D100" s="152"/>
      <c r="E100" s="152"/>
      <c r="F100" s="152"/>
      <c r="G100" s="127" t="e">
        <f t="shared" ref="G100:P103" si="289">1/G94</f>
        <v>#DIV/0!</v>
      </c>
      <c r="H100" s="127" t="e">
        <f t="shared" si="289"/>
        <v>#DIV/0!</v>
      </c>
      <c r="I100" s="127" t="e">
        <f t="shared" si="289"/>
        <v>#DIV/0!</v>
      </c>
      <c r="J100" s="127" t="e">
        <f t="shared" si="289"/>
        <v>#DIV/0!</v>
      </c>
      <c r="K100" s="127" t="e">
        <f t="shared" si="289"/>
        <v>#DIV/0!</v>
      </c>
      <c r="L100" s="127" t="e">
        <f t="shared" si="289"/>
        <v>#DIV/0!</v>
      </c>
      <c r="M100" s="127" t="e">
        <f t="shared" si="289"/>
        <v>#DIV/0!</v>
      </c>
      <c r="N100" s="127" t="e">
        <f t="shared" si="289"/>
        <v>#DIV/0!</v>
      </c>
      <c r="O100" s="127" t="e">
        <f t="shared" si="289"/>
        <v>#DIV/0!</v>
      </c>
      <c r="P100" s="127" t="e">
        <f t="shared" si="289"/>
        <v>#DIV/0!</v>
      </c>
      <c r="Q100" s="127" t="e">
        <f t="shared" ref="Q100" si="290">1/Q94</f>
        <v>#DIV/0!</v>
      </c>
      <c r="R100" s="118" t="e">
        <f t="shared" si="245"/>
        <v>#DIV/0!</v>
      </c>
      <c r="S100" s="20"/>
      <c r="T100" s="127" t="e">
        <f t="shared" ref="T100:AC100" si="291">1/T94</f>
        <v>#DIV/0!</v>
      </c>
      <c r="U100" s="127" t="e">
        <f t="shared" si="291"/>
        <v>#DIV/0!</v>
      </c>
      <c r="V100" s="127" t="e">
        <f t="shared" si="291"/>
        <v>#DIV/0!</v>
      </c>
      <c r="W100" s="127" t="e">
        <f t="shared" si="291"/>
        <v>#DIV/0!</v>
      </c>
      <c r="X100" s="127" t="e">
        <f t="shared" si="291"/>
        <v>#DIV/0!</v>
      </c>
      <c r="Y100" s="127" t="e">
        <f t="shared" si="291"/>
        <v>#DIV/0!</v>
      </c>
      <c r="Z100" s="127" t="e">
        <f t="shared" si="291"/>
        <v>#DIV/0!</v>
      </c>
      <c r="AA100" s="127" t="e">
        <f t="shared" si="291"/>
        <v>#DIV/0!</v>
      </c>
      <c r="AB100" s="127" t="e">
        <f t="shared" si="291"/>
        <v>#DIV/0!</v>
      </c>
      <c r="AC100" s="127" t="e">
        <f t="shared" si="291"/>
        <v>#DIV/0!</v>
      </c>
      <c r="AD100" s="138" t="e">
        <f t="shared" si="247"/>
        <v>#DIV/0!</v>
      </c>
      <c r="AE100" s="146"/>
      <c r="AF100" s="146"/>
    </row>
    <row r="101" spans="2:32" ht="12" customHeight="1" x14ac:dyDescent="0.2">
      <c r="B101" s="20" t="s">
        <v>405</v>
      </c>
      <c r="C101" s="152"/>
      <c r="D101" s="152"/>
      <c r="E101" s="152"/>
      <c r="F101" s="152"/>
      <c r="G101" s="127" t="e">
        <f t="shared" si="289"/>
        <v>#DIV/0!</v>
      </c>
      <c r="H101" s="127" t="e">
        <f t="shared" si="289"/>
        <v>#DIV/0!</v>
      </c>
      <c r="I101" s="127" t="e">
        <f t="shared" si="289"/>
        <v>#DIV/0!</v>
      </c>
      <c r="J101" s="127" t="e">
        <f t="shared" si="289"/>
        <v>#DIV/0!</v>
      </c>
      <c r="K101" s="127" t="e">
        <f t="shared" si="289"/>
        <v>#DIV/0!</v>
      </c>
      <c r="L101" s="127" t="e">
        <f t="shared" si="289"/>
        <v>#DIV/0!</v>
      </c>
      <c r="M101" s="127" t="e">
        <f t="shared" si="289"/>
        <v>#DIV/0!</v>
      </c>
      <c r="N101" s="127" t="e">
        <f t="shared" si="289"/>
        <v>#DIV/0!</v>
      </c>
      <c r="O101" s="127" t="e">
        <f t="shared" si="289"/>
        <v>#DIV/0!</v>
      </c>
      <c r="P101" s="127" t="e">
        <f t="shared" si="289"/>
        <v>#DIV/0!</v>
      </c>
      <c r="Q101" s="127" t="e">
        <f t="shared" ref="Q101" si="292">1/Q95</f>
        <v>#DIV/0!</v>
      </c>
      <c r="R101" s="118" t="e">
        <f t="shared" si="245"/>
        <v>#DIV/0!</v>
      </c>
      <c r="S101" s="20"/>
      <c r="T101" s="127" t="e">
        <f t="shared" ref="T101:AC101" si="293">1/T95</f>
        <v>#DIV/0!</v>
      </c>
      <c r="U101" s="127" t="e">
        <f t="shared" si="293"/>
        <v>#DIV/0!</v>
      </c>
      <c r="V101" s="127" t="e">
        <f t="shared" si="293"/>
        <v>#DIV/0!</v>
      </c>
      <c r="W101" s="127" t="e">
        <f t="shared" si="293"/>
        <v>#DIV/0!</v>
      </c>
      <c r="X101" s="127" t="e">
        <f t="shared" si="293"/>
        <v>#DIV/0!</v>
      </c>
      <c r="Y101" s="127" t="e">
        <f t="shared" si="293"/>
        <v>#DIV/0!</v>
      </c>
      <c r="Z101" s="127" t="e">
        <f t="shared" si="293"/>
        <v>#DIV/0!</v>
      </c>
      <c r="AA101" s="127" t="e">
        <f t="shared" si="293"/>
        <v>#DIV/0!</v>
      </c>
      <c r="AB101" s="127" t="e">
        <f t="shared" si="293"/>
        <v>#DIV/0!</v>
      </c>
      <c r="AC101" s="127" t="e">
        <f t="shared" si="293"/>
        <v>#DIV/0!</v>
      </c>
      <c r="AD101" s="138" t="e">
        <f t="shared" si="247"/>
        <v>#DIV/0!</v>
      </c>
      <c r="AE101" s="146"/>
      <c r="AF101" s="146"/>
    </row>
    <row r="102" spans="2:32" ht="12" customHeight="1" x14ac:dyDescent="0.2">
      <c r="B102" s="20" t="s">
        <v>406</v>
      </c>
      <c r="C102" s="152"/>
      <c r="D102" s="152"/>
      <c r="E102" s="152"/>
      <c r="F102" s="152"/>
      <c r="G102" s="127" t="e">
        <f t="shared" si="289"/>
        <v>#DIV/0!</v>
      </c>
      <c r="H102" s="127" t="e">
        <f t="shared" si="289"/>
        <v>#DIV/0!</v>
      </c>
      <c r="I102" s="127" t="e">
        <f t="shared" si="289"/>
        <v>#DIV/0!</v>
      </c>
      <c r="J102" s="127" t="e">
        <f t="shared" si="289"/>
        <v>#DIV/0!</v>
      </c>
      <c r="K102" s="127" t="e">
        <f t="shared" si="289"/>
        <v>#DIV/0!</v>
      </c>
      <c r="L102" s="127" t="e">
        <f t="shared" si="289"/>
        <v>#DIV/0!</v>
      </c>
      <c r="M102" s="127" t="e">
        <f t="shared" si="289"/>
        <v>#DIV/0!</v>
      </c>
      <c r="N102" s="127" t="e">
        <f t="shared" si="289"/>
        <v>#DIV/0!</v>
      </c>
      <c r="O102" s="127" t="e">
        <f t="shared" si="289"/>
        <v>#DIV/0!</v>
      </c>
      <c r="P102" s="127" t="e">
        <f t="shared" si="289"/>
        <v>#DIV/0!</v>
      </c>
      <c r="Q102" s="127" t="e">
        <f t="shared" ref="Q102" si="294">1/Q96</f>
        <v>#DIV/0!</v>
      </c>
      <c r="R102" s="118" t="e">
        <f t="shared" si="245"/>
        <v>#DIV/0!</v>
      </c>
      <c r="S102" s="20"/>
      <c r="T102" s="127" t="e">
        <f t="shared" ref="T102:AC102" si="295">1/T96</f>
        <v>#DIV/0!</v>
      </c>
      <c r="U102" s="127" t="e">
        <f t="shared" si="295"/>
        <v>#DIV/0!</v>
      </c>
      <c r="V102" s="127" t="e">
        <f t="shared" si="295"/>
        <v>#DIV/0!</v>
      </c>
      <c r="W102" s="127" t="e">
        <f t="shared" si="295"/>
        <v>#DIV/0!</v>
      </c>
      <c r="X102" s="127" t="e">
        <f t="shared" si="295"/>
        <v>#DIV/0!</v>
      </c>
      <c r="Y102" s="127" t="e">
        <f t="shared" si="295"/>
        <v>#DIV/0!</v>
      </c>
      <c r="Z102" s="127" t="e">
        <f t="shared" si="295"/>
        <v>#DIV/0!</v>
      </c>
      <c r="AA102" s="127" t="e">
        <f t="shared" si="295"/>
        <v>#DIV/0!</v>
      </c>
      <c r="AB102" s="127" t="e">
        <f t="shared" si="295"/>
        <v>#DIV/0!</v>
      </c>
      <c r="AC102" s="127" t="e">
        <f t="shared" si="295"/>
        <v>#DIV/0!</v>
      </c>
      <c r="AD102" s="138" t="e">
        <f t="shared" si="247"/>
        <v>#DIV/0!</v>
      </c>
      <c r="AE102" s="146"/>
      <c r="AF102" s="146"/>
    </row>
    <row r="103" spans="2:32" ht="12" customHeight="1" x14ac:dyDescent="0.2">
      <c r="B103" s="20" t="s">
        <v>407</v>
      </c>
      <c r="C103" s="152"/>
      <c r="D103" s="152"/>
      <c r="E103" s="152"/>
      <c r="F103" s="152"/>
      <c r="G103" s="127" t="e">
        <f t="shared" si="289"/>
        <v>#DIV/0!</v>
      </c>
      <c r="H103" s="127" t="e">
        <f t="shared" si="289"/>
        <v>#DIV/0!</v>
      </c>
      <c r="I103" s="127" t="e">
        <f t="shared" si="289"/>
        <v>#DIV/0!</v>
      </c>
      <c r="J103" s="127" t="e">
        <f t="shared" si="289"/>
        <v>#DIV/0!</v>
      </c>
      <c r="K103" s="127" t="e">
        <f t="shared" si="289"/>
        <v>#DIV/0!</v>
      </c>
      <c r="L103" s="127" t="e">
        <f t="shared" si="289"/>
        <v>#DIV/0!</v>
      </c>
      <c r="M103" s="127" t="e">
        <f t="shared" si="289"/>
        <v>#DIV/0!</v>
      </c>
      <c r="N103" s="127" t="e">
        <f t="shared" si="289"/>
        <v>#DIV/0!</v>
      </c>
      <c r="O103" s="127" t="e">
        <f t="shared" si="289"/>
        <v>#DIV/0!</v>
      </c>
      <c r="P103" s="127" t="e">
        <f t="shared" si="289"/>
        <v>#DIV/0!</v>
      </c>
      <c r="Q103" s="127" t="e">
        <f t="shared" ref="Q103" si="296">1/Q97</f>
        <v>#DIV/0!</v>
      </c>
      <c r="R103" s="118" t="e">
        <f t="shared" si="245"/>
        <v>#DIV/0!</v>
      </c>
      <c r="S103" s="20"/>
      <c r="T103" s="127" t="e">
        <f t="shared" ref="T103:AC103" si="297">1/T97</f>
        <v>#DIV/0!</v>
      </c>
      <c r="U103" s="127" t="e">
        <f t="shared" si="297"/>
        <v>#DIV/0!</v>
      </c>
      <c r="V103" s="127" t="e">
        <f t="shared" si="297"/>
        <v>#DIV/0!</v>
      </c>
      <c r="W103" s="127" t="e">
        <f t="shared" si="297"/>
        <v>#DIV/0!</v>
      </c>
      <c r="X103" s="127" t="e">
        <f t="shared" si="297"/>
        <v>#DIV/0!</v>
      </c>
      <c r="Y103" s="127" t="e">
        <f t="shared" si="297"/>
        <v>#DIV/0!</v>
      </c>
      <c r="Z103" s="127" t="e">
        <f t="shared" si="297"/>
        <v>#DIV/0!</v>
      </c>
      <c r="AA103" s="127" t="e">
        <f t="shared" si="297"/>
        <v>#DIV/0!</v>
      </c>
      <c r="AB103" s="127" t="e">
        <f t="shared" si="297"/>
        <v>#DIV/0!</v>
      </c>
      <c r="AC103" s="127" t="e">
        <f t="shared" si="297"/>
        <v>#DIV/0!</v>
      </c>
      <c r="AD103" s="138" t="e">
        <f t="shared" si="247"/>
        <v>#DIV/0!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98">F10-(F12+F13)</f>
        <v>0</v>
      </c>
      <c r="G106" s="163">
        <f t="shared" si="298"/>
        <v>0</v>
      </c>
      <c r="H106" s="163">
        <f t="shared" si="298"/>
        <v>0</v>
      </c>
      <c r="I106" s="163">
        <f t="shared" si="298"/>
        <v>0</v>
      </c>
      <c r="J106" s="163">
        <f t="shared" si="298"/>
        <v>0</v>
      </c>
      <c r="K106" s="163">
        <f t="shared" si="298"/>
        <v>0</v>
      </c>
      <c r="L106" s="163">
        <f t="shared" si="298"/>
        <v>0</v>
      </c>
      <c r="M106" s="163">
        <f t="shared" si="298"/>
        <v>0</v>
      </c>
      <c r="N106" s="163">
        <f t="shared" si="298"/>
        <v>0</v>
      </c>
      <c r="O106" s="163">
        <f t="shared" si="298"/>
        <v>0</v>
      </c>
      <c r="P106" s="163">
        <f>P10-(P12+P13)</f>
        <v>0</v>
      </c>
      <c r="Q106" s="163">
        <f>Q10-(Q12+Q13)</f>
        <v>0</v>
      </c>
      <c r="R106" s="118" t="e">
        <f t="shared" si="245"/>
        <v>#DIV/0!</v>
      </c>
      <c r="S106" s="20"/>
      <c r="T106" s="163">
        <f>T10-(T12+T13)</f>
        <v>0</v>
      </c>
      <c r="U106" s="163">
        <f t="shared" ref="U106:AC106" si="299">U10-(U12+U13)</f>
        <v>0</v>
      </c>
      <c r="V106" s="163">
        <f t="shared" si="299"/>
        <v>0</v>
      </c>
      <c r="W106" s="163">
        <f t="shared" si="299"/>
        <v>0</v>
      </c>
      <c r="X106" s="163">
        <f t="shared" si="299"/>
        <v>0</v>
      </c>
      <c r="Y106" s="163">
        <f t="shared" si="299"/>
        <v>0</v>
      </c>
      <c r="Z106" s="163">
        <f t="shared" si="299"/>
        <v>0</v>
      </c>
      <c r="AA106" s="163">
        <f t="shared" si="299"/>
        <v>0</v>
      </c>
      <c r="AB106" s="163">
        <f t="shared" si="299"/>
        <v>0</v>
      </c>
      <c r="AC106" s="163">
        <f t="shared" si="299"/>
        <v>0</v>
      </c>
      <c r="AD106" s="138" t="e">
        <f t="shared" si="247"/>
        <v>#DIV/0!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 t="e">
        <f t="shared" ref="G107:P107" si="300">G40/G18</f>
        <v>#DIV/0!</v>
      </c>
      <c r="H107" s="152" t="e">
        <f t="shared" si="300"/>
        <v>#DIV/0!</v>
      </c>
      <c r="I107" s="152" t="e">
        <f t="shared" si="300"/>
        <v>#DIV/0!</v>
      </c>
      <c r="J107" s="152" t="e">
        <f t="shared" si="300"/>
        <v>#DIV/0!</v>
      </c>
      <c r="K107" s="152" t="e">
        <f t="shared" si="300"/>
        <v>#DIV/0!</v>
      </c>
      <c r="L107" s="152" t="e">
        <f t="shared" si="300"/>
        <v>#DIV/0!</v>
      </c>
      <c r="M107" s="152" t="e">
        <f t="shared" si="300"/>
        <v>#DIV/0!</v>
      </c>
      <c r="N107" s="152" t="e">
        <f t="shared" si="300"/>
        <v>#DIV/0!</v>
      </c>
      <c r="O107" s="152" t="e">
        <f t="shared" si="300"/>
        <v>#DIV/0!</v>
      </c>
      <c r="P107" s="152" t="e">
        <f t="shared" si="300"/>
        <v>#DIV/0!</v>
      </c>
      <c r="Q107" s="152" t="e">
        <f t="shared" ref="Q107" si="301">Q40/Q18</f>
        <v>#DIV/0!</v>
      </c>
      <c r="R107" s="118" t="e">
        <f t="shared" si="245"/>
        <v>#DIV/0!</v>
      </c>
      <c r="S107" s="20"/>
      <c r="T107" s="152" t="e">
        <f t="shared" ref="T107:AC107" si="302">T40/T18</f>
        <v>#DIV/0!</v>
      </c>
      <c r="U107" s="152" t="e">
        <f t="shared" si="302"/>
        <v>#DIV/0!</v>
      </c>
      <c r="V107" s="152" t="e">
        <f t="shared" si="302"/>
        <v>#DIV/0!</v>
      </c>
      <c r="W107" s="152" t="e">
        <f t="shared" si="302"/>
        <v>#DIV/0!</v>
      </c>
      <c r="X107" s="152" t="e">
        <f t="shared" si="302"/>
        <v>#DIV/0!</v>
      </c>
      <c r="Y107" s="152" t="e">
        <f t="shared" si="302"/>
        <v>#DIV/0!</v>
      </c>
      <c r="Z107" s="152" t="e">
        <f t="shared" si="302"/>
        <v>#DIV/0!</v>
      </c>
      <c r="AA107" s="152" t="e">
        <f t="shared" si="302"/>
        <v>#DIV/0!</v>
      </c>
      <c r="AB107" s="152" t="e">
        <f t="shared" si="302"/>
        <v>#DIV/0!</v>
      </c>
      <c r="AC107" s="152" t="e">
        <f t="shared" si="302"/>
        <v>#DIV/0!</v>
      </c>
      <c r="AD107" s="138" t="e">
        <f t="shared" si="247"/>
        <v>#DIV/0!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 t="e">
        <f t="shared" ref="G108:P108" si="303">G40/G25</f>
        <v>#DIV/0!</v>
      </c>
      <c r="H108" s="152" t="e">
        <f t="shared" si="303"/>
        <v>#DIV/0!</v>
      </c>
      <c r="I108" s="152" t="e">
        <f t="shared" si="303"/>
        <v>#DIV/0!</v>
      </c>
      <c r="J108" s="152" t="e">
        <f t="shared" si="303"/>
        <v>#DIV/0!</v>
      </c>
      <c r="K108" s="152" t="e">
        <f t="shared" si="303"/>
        <v>#DIV/0!</v>
      </c>
      <c r="L108" s="152" t="e">
        <f t="shared" si="303"/>
        <v>#DIV/0!</v>
      </c>
      <c r="M108" s="152" t="e">
        <f t="shared" si="303"/>
        <v>#DIV/0!</v>
      </c>
      <c r="N108" s="152" t="e">
        <f t="shared" si="303"/>
        <v>#DIV/0!</v>
      </c>
      <c r="O108" s="152" t="e">
        <f t="shared" si="303"/>
        <v>#DIV/0!</v>
      </c>
      <c r="P108" s="152" t="e">
        <f t="shared" si="303"/>
        <v>#DIV/0!</v>
      </c>
      <c r="Q108" s="152" t="e">
        <f t="shared" ref="Q108" si="304">Q40/Q25</f>
        <v>#DIV/0!</v>
      </c>
      <c r="R108" s="118" t="e">
        <f t="shared" si="245"/>
        <v>#DIV/0!</v>
      </c>
      <c r="S108" s="20"/>
      <c r="T108" s="152" t="e">
        <f t="shared" ref="T108:AC108" si="305">T40/T25</f>
        <v>#DIV/0!</v>
      </c>
      <c r="U108" s="152" t="e">
        <f t="shared" si="305"/>
        <v>#DIV/0!</v>
      </c>
      <c r="V108" s="152" t="e">
        <f t="shared" si="305"/>
        <v>#DIV/0!</v>
      </c>
      <c r="W108" s="152" t="e">
        <f t="shared" si="305"/>
        <v>#DIV/0!</v>
      </c>
      <c r="X108" s="152" t="e">
        <f t="shared" si="305"/>
        <v>#DIV/0!</v>
      </c>
      <c r="Y108" s="152" t="e">
        <f t="shared" si="305"/>
        <v>#DIV/0!</v>
      </c>
      <c r="Z108" s="152" t="e">
        <f t="shared" si="305"/>
        <v>#DIV/0!</v>
      </c>
      <c r="AA108" s="152" t="e">
        <f t="shared" si="305"/>
        <v>#DIV/0!</v>
      </c>
      <c r="AB108" s="152" t="e">
        <f t="shared" si="305"/>
        <v>#DIV/0!</v>
      </c>
      <c r="AC108" s="152" t="e">
        <f t="shared" si="305"/>
        <v>#DIV/0!</v>
      </c>
      <c r="AD108" s="138" t="e">
        <f t="shared" si="247"/>
        <v>#DIV/0!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 t="e">
        <f t="shared" ref="G109:O109" si="306">G25/G18</f>
        <v>#DIV/0!</v>
      </c>
      <c r="H109" s="152" t="e">
        <f t="shared" si="306"/>
        <v>#DIV/0!</v>
      </c>
      <c r="I109" s="152" t="e">
        <f t="shared" si="306"/>
        <v>#DIV/0!</v>
      </c>
      <c r="J109" s="152" t="e">
        <f t="shared" si="306"/>
        <v>#DIV/0!</v>
      </c>
      <c r="K109" s="152" t="e">
        <f t="shared" si="306"/>
        <v>#DIV/0!</v>
      </c>
      <c r="L109" s="152" t="e">
        <f t="shared" si="306"/>
        <v>#DIV/0!</v>
      </c>
      <c r="M109" s="152" t="e">
        <f t="shared" si="306"/>
        <v>#DIV/0!</v>
      </c>
      <c r="N109" s="152" t="e">
        <f t="shared" si="306"/>
        <v>#DIV/0!</v>
      </c>
      <c r="O109" s="152" t="e">
        <f t="shared" si="306"/>
        <v>#DIV/0!</v>
      </c>
      <c r="P109" s="152" t="e">
        <f>P25/P18</f>
        <v>#DIV/0!</v>
      </c>
      <c r="Q109" s="152" t="e">
        <f>Q25/Q18</f>
        <v>#DIV/0!</v>
      </c>
      <c r="R109" s="118" t="e">
        <f t="shared" si="245"/>
        <v>#DIV/0!</v>
      </c>
      <c r="S109" s="20"/>
      <c r="T109" s="152" t="e">
        <f>T25/T18</f>
        <v>#DIV/0!</v>
      </c>
      <c r="U109" s="152" t="e">
        <f t="shared" ref="U109:AC109" si="307">U25/U18</f>
        <v>#DIV/0!</v>
      </c>
      <c r="V109" s="152" t="e">
        <f t="shared" si="307"/>
        <v>#DIV/0!</v>
      </c>
      <c r="W109" s="152" t="e">
        <f t="shared" si="307"/>
        <v>#DIV/0!</v>
      </c>
      <c r="X109" s="152" t="e">
        <f t="shared" si="307"/>
        <v>#DIV/0!</v>
      </c>
      <c r="Y109" s="152" t="e">
        <f t="shared" si="307"/>
        <v>#DIV/0!</v>
      </c>
      <c r="Z109" s="152" t="e">
        <f t="shared" si="307"/>
        <v>#DIV/0!</v>
      </c>
      <c r="AA109" s="152" t="e">
        <f t="shared" si="307"/>
        <v>#DIV/0!</v>
      </c>
      <c r="AB109" s="152" t="e">
        <f t="shared" si="307"/>
        <v>#DIV/0!</v>
      </c>
      <c r="AC109" s="152" t="e">
        <f t="shared" si="307"/>
        <v>#DIV/0!</v>
      </c>
      <c r="AD109" s="138" t="e">
        <f t="shared" si="247"/>
        <v>#DIV/0!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308">E70*E42</f>
        <v>0</v>
      </c>
      <c r="F111" s="165">
        <f t="shared" si="308"/>
        <v>0</v>
      </c>
      <c r="G111" s="165">
        <f>G70*G42</f>
        <v>0</v>
      </c>
      <c r="H111" s="165">
        <f t="shared" ref="H111:P111" si="309">H70*H42</f>
        <v>0</v>
      </c>
      <c r="I111" s="165">
        <f t="shared" si="309"/>
        <v>0</v>
      </c>
      <c r="J111" s="165">
        <f t="shared" si="309"/>
        <v>0</v>
      </c>
      <c r="K111" s="165">
        <f t="shared" si="309"/>
        <v>0</v>
      </c>
      <c r="L111" s="165">
        <f t="shared" si="309"/>
        <v>0</v>
      </c>
      <c r="M111" s="165">
        <f t="shared" si="309"/>
        <v>0</v>
      </c>
      <c r="N111" s="165">
        <f t="shared" si="309"/>
        <v>0</v>
      </c>
      <c r="O111" s="165">
        <f t="shared" si="309"/>
        <v>0</v>
      </c>
      <c r="P111" s="165">
        <f t="shared" si="309"/>
        <v>0</v>
      </c>
      <c r="Q111" s="165">
        <f t="shared" ref="Q111" si="310">Q70*Q42</f>
        <v>0</v>
      </c>
      <c r="R111" s="118" t="e">
        <f t="shared" si="245"/>
        <v>#DIV/0!</v>
      </c>
      <c r="S111" s="20"/>
      <c r="T111" s="165">
        <f t="shared" ref="T111:AC111" si="311">T70*T42</f>
        <v>0</v>
      </c>
      <c r="U111" s="165">
        <f t="shared" si="311"/>
        <v>0</v>
      </c>
      <c r="V111" s="165">
        <f t="shared" si="311"/>
        <v>0</v>
      </c>
      <c r="W111" s="165">
        <f t="shared" si="311"/>
        <v>0</v>
      </c>
      <c r="X111" s="165">
        <f t="shared" si="311"/>
        <v>0</v>
      </c>
      <c r="Y111" s="165">
        <f t="shared" si="311"/>
        <v>0</v>
      </c>
      <c r="Z111" s="165">
        <f t="shared" si="311"/>
        <v>0</v>
      </c>
      <c r="AA111" s="165">
        <f t="shared" si="311"/>
        <v>0</v>
      </c>
      <c r="AB111" s="165">
        <f t="shared" si="311"/>
        <v>0</v>
      </c>
      <c r="AC111" s="165">
        <f t="shared" si="311"/>
        <v>0</v>
      </c>
      <c r="AD111" s="138" t="e">
        <f t="shared" si="247"/>
        <v>#DIV/0!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12">(G111*0.17)+G111</f>
        <v>0</v>
      </c>
      <c r="H112" s="165">
        <f t="shared" si="312"/>
        <v>0</v>
      </c>
      <c r="I112" s="165">
        <f t="shared" si="312"/>
        <v>0</v>
      </c>
      <c r="J112" s="165">
        <f t="shared" si="312"/>
        <v>0</v>
      </c>
      <c r="K112" s="165">
        <f t="shared" si="312"/>
        <v>0</v>
      </c>
      <c r="L112" s="165">
        <f t="shared" si="312"/>
        <v>0</v>
      </c>
      <c r="M112" s="165">
        <f t="shared" si="312"/>
        <v>0</v>
      </c>
      <c r="N112" s="165">
        <f t="shared" si="312"/>
        <v>0</v>
      </c>
      <c r="O112" s="165">
        <f t="shared" si="312"/>
        <v>0</v>
      </c>
      <c r="P112" s="165">
        <f t="shared" si="312"/>
        <v>0</v>
      </c>
      <c r="Q112" s="165">
        <f t="shared" ref="Q112" si="313">(Q111*0.17)+Q111</f>
        <v>0</v>
      </c>
      <c r="R112" s="118" t="e">
        <f t="shared" si="245"/>
        <v>#DIV/0!</v>
      </c>
      <c r="S112" s="20"/>
      <c r="T112" s="165">
        <f t="shared" ref="T112:AC112" si="314">(T111*0.17)+T111</f>
        <v>0</v>
      </c>
      <c r="U112" s="165">
        <f t="shared" si="314"/>
        <v>0</v>
      </c>
      <c r="V112" s="165">
        <f t="shared" si="314"/>
        <v>0</v>
      </c>
      <c r="W112" s="165">
        <f t="shared" si="314"/>
        <v>0</v>
      </c>
      <c r="X112" s="165">
        <f t="shared" si="314"/>
        <v>0</v>
      </c>
      <c r="Y112" s="165">
        <f t="shared" si="314"/>
        <v>0</v>
      </c>
      <c r="Z112" s="165">
        <f t="shared" si="314"/>
        <v>0</v>
      </c>
      <c r="AA112" s="165">
        <f t="shared" si="314"/>
        <v>0</v>
      </c>
      <c r="AB112" s="165">
        <f t="shared" si="314"/>
        <v>0</v>
      </c>
      <c r="AC112" s="165">
        <f t="shared" si="314"/>
        <v>0</v>
      </c>
      <c r="AD112" s="138" t="e">
        <f t="shared" si="247"/>
        <v>#DIV/0!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315">F112/F40</f>
        <v>#DIV/0!</v>
      </c>
      <c r="G113" s="152" t="e">
        <f t="shared" si="315"/>
        <v>#DIV/0!</v>
      </c>
      <c r="H113" s="152" t="e">
        <f t="shared" si="315"/>
        <v>#DIV/0!</v>
      </c>
      <c r="I113" s="152" t="e">
        <f t="shared" si="315"/>
        <v>#DIV/0!</v>
      </c>
      <c r="J113" s="152" t="e">
        <f t="shared" si="315"/>
        <v>#DIV/0!</v>
      </c>
      <c r="K113" s="152" t="e">
        <f t="shared" si="315"/>
        <v>#DIV/0!</v>
      </c>
      <c r="L113" s="152" t="e">
        <f t="shared" si="315"/>
        <v>#DIV/0!</v>
      </c>
      <c r="M113" s="152" t="e">
        <f t="shared" si="315"/>
        <v>#DIV/0!</v>
      </c>
      <c r="N113" s="152" t="e">
        <f t="shared" si="315"/>
        <v>#DIV/0!</v>
      </c>
      <c r="O113" s="152" t="e">
        <f t="shared" si="315"/>
        <v>#DIV/0!</v>
      </c>
      <c r="P113" s="152" t="e">
        <f t="shared" si="315"/>
        <v>#DIV/0!</v>
      </c>
      <c r="Q113" s="152" t="e">
        <f t="shared" ref="Q113" si="316">Q112/Q40</f>
        <v>#DIV/0!</v>
      </c>
      <c r="R113" s="118" t="e">
        <f t="shared" si="245"/>
        <v>#DIV/0!</v>
      </c>
      <c r="S113" s="20"/>
      <c r="T113" s="152" t="e">
        <f t="shared" ref="T113:AC113" si="317">T112/T40</f>
        <v>#DIV/0!</v>
      </c>
      <c r="U113" s="152" t="e">
        <f t="shared" si="317"/>
        <v>#DIV/0!</v>
      </c>
      <c r="V113" s="152" t="e">
        <f t="shared" si="317"/>
        <v>#DIV/0!</v>
      </c>
      <c r="W113" s="152" t="e">
        <f t="shared" si="317"/>
        <v>#DIV/0!</v>
      </c>
      <c r="X113" s="152" t="e">
        <f t="shared" si="317"/>
        <v>#DIV/0!</v>
      </c>
      <c r="Y113" s="152" t="e">
        <f t="shared" si="317"/>
        <v>#DIV/0!</v>
      </c>
      <c r="Z113" s="152" t="e">
        <f t="shared" si="317"/>
        <v>#DIV/0!</v>
      </c>
      <c r="AA113" s="152" t="e">
        <f t="shared" si="317"/>
        <v>#DIV/0!</v>
      </c>
      <c r="AB113" s="152" t="e">
        <f t="shared" si="317"/>
        <v>#DIV/0!</v>
      </c>
      <c r="AC113" s="152" t="e">
        <f t="shared" si="317"/>
        <v>#DIV/0!</v>
      </c>
      <c r="AD113" s="138" t="e">
        <f t="shared" si="247"/>
        <v>#DIV/0!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 t="e">
        <f>1-G113</f>
        <v>#DIV/0!</v>
      </c>
      <c r="H114" s="152" t="e">
        <f t="shared" ref="H114:P114" si="318">1-H113</f>
        <v>#DIV/0!</v>
      </c>
      <c r="I114" s="152" t="e">
        <f t="shared" si="318"/>
        <v>#DIV/0!</v>
      </c>
      <c r="J114" s="152" t="e">
        <f t="shared" si="318"/>
        <v>#DIV/0!</v>
      </c>
      <c r="K114" s="152" t="e">
        <f t="shared" si="318"/>
        <v>#DIV/0!</v>
      </c>
      <c r="L114" s="152" t="e">
        <f t="shared" si="318"/>
        <v>#DIV/0!</v>
      </c>
      <c r="M114" s="152" t="e">
        <f t="shared" si="318"/>
        <v>#DIV/0!</v>
      </c>
      <c r="N114" s="152" t="e">
        <f t="shared" si="318"/>
        <v>#DIV/0!</v>
      </c>
      <c r="O114" s="152" t="e">
        <f t="shared" si="318"/>
        <v>#DIV/0!</v>
      </c>
      <c r="P114" s="152" t="e">
        <f t="shared" si="318"/>
        <v>#DIV/0!</v>
      </c>
      <c r="Q114" s="152" t="e">
        <f t="shared" ref="Q114" si="319">1-Q113</f>
        <v>#DIV/0!</v>
      </c>
      <c r="R114" s="118" t="e">
        <f t="shared" si="245"/>
        <v>#DIV/0!</v>
      </c>
      <c r="S114" s="20"/>
      <c r="T114" s="152" t="e">
        <f t="shared" ref="T114:AC114" si="320">1-T113</f>
        <v>#DIV/0!</v>
      </c>
      <c r="U114" s="152" t="e">
        <f t="shared" si="320"/>
        <v>#DIV/0!</v>
      </c>
      <c r="V114" s="152" t="e">
        <f t="shared" si="320"/>
        <v>#DIV/0!</v>
      </c>
      <c r="W114" s="152" t="e">
        <f t="shared" si="320"/>
        <v>#DIV/0!</v>
      </c>
      <c r="X114" s="152" t="e">
        <f t="shared" si="320"/>
        <v>#DIV/0!</v>
      </c>
      <c r="Y114" s="152" t="e">
        <f t="shared" si="320"/>
        <v>#DIV/0!</v>
      </c>
      <c r="Z114" s="152" t="e">
        <f t="shared" si="320"/>
        <v>#DIV/0!</v>
      </c>
      <c r="AA114" s="152" t="e">
        <f t="shared" si="320"/>
        <v>#DIV/0!</v>
      </c>
      <c r="AB114" s="152" t="e">
        <f t="shared" si="320"/>
        <v>#DIV/0!</v>
      </c>
      <c r="AC114" s="152" t="e">
        <f t="shared" si="320"/>
        <v>#DIV/0!</v>
      </c>
      <c r="AD114" s="138" t="e">
        <f t="shared" si="247"/>
        <v>#DIV/0!</v>
      </c>
      <c r="AE114" s="20"/>
      <c r="AF114" s="20"/>
    </row>
    <row r="115" spans="2:32" x14ac:dyDescent="0.2">
      <c r="B115" s="20" t="s">
        <v>453</v>
      </c>
      <c r="C115" s="20"/>
      <c r="D115" s="20"/>
      <c r="E115" s="20"/>
      <c r="F115" s="152" t="e">
        <f t="shared" ref="F115:P115" si="321">F112/F20</f>
        <v>#DIV/0!</v>
      </c>
      <c r="G115" s="152" t="e">
        <f t="shared" si="321"/>
        <v>#DIV/0!</v>
      </c>
      <c r="H115" s="152" t="e">
        <f t="shared" si="321"/>
        <v>#DIV/0!</v>
      </c>
      <c r="I115" s="152" t="e">
        <f t="shared" si="321"/>
        <v>#DIV/0!</v>
      </c>
      <c r="J115" s="152" t="e">
        <f t="shared" si="321"/>
        <v>#DIV/0!</v>
      </c>
      <c r="K115" s="152" t="e">
        <f t="shared" si="321"/>
        <v>#DIV/0!</v>
      </c>
      <c r="L115" s="152" t="e">
        <f t="shared" si="321"/>
        <v>#DIV/0!</v>
      </c>
      <c r="M115" s="152" t="e">
        <f t="shared" si="321"/>
        <v>#DIV/0!</v>
      </c>
      <c r="N115" s="152" t="e">
        <f t="shared" si="321"/>
        <v>#DIV/0!</v>
      </c>
      <c r="O115" s="152" t="e">
        <f t="shared" si="321"/>
        <v>#DIV/0!</v>
      </c>
      <c r="P115" s="152" t="e">
        <f t="shared" si="321"/>
        <v>#DIV/0!</v>
      </c>
      <c r="Q115" s="152" t="e">
        <f>Q112/Q20</f>
        <v>#DIV/0!</v>
      </c>
      <c r="R115" s="118" t="e">
        <f t="shared" si="245"/>
        <v>#DIV/0!</v>
      </c>
      <c r="S115" s="20"/>
      <c r="T115" s="152" t="e">
        <f>T112/T20</f>
        <v>#DIV/0!</v>
      </c>
      <c r="U115" s="152" t="e">
        <f t="shared" ref="U115:AC115" si="322">U112/U20</f>
        <v>#DIV/0!</v>
      </c>
      <c r="V115" s="152" t="e">
        <f t="shared" si="322"/>
        <v>#DIV/0!</v>
      </c>
      <c r="W115" s="152" t="e">
        <f t="shared" si="322"/>
        <v>#DIV/0!</v>
      </c>
      <c r="X115" s="152" t="e">
        <f t="shared" si="322"/>
        <v>#DIV/0!</v>
      </c>
      <c r="Y115" s="152" t="e">
        <f t="shared" si="322"/>
        <v>#DIV/0!</v>
      </c>
      <c r="Z115" s="152" t="e">
        <f t="shared" si="322"/>
        <v>#DIV/0!</v>
      </c>
      <c r="AA115" s="152" t="e">
        <f t="shared" si="322"/>
        <v>#DIV/0!</v>
      </c>
      <c r="AB115" s="152" t="e">
        <f t="shared" si="322"/>
        <v>#DIV/0!</v>
      </c>
      <c r="AC115" s="152" t="e">
        <f t="shared" si="322"/>
        <v>#DIV/0!</v>
      </c>
      <c r="AD115" s="138" t="s">
        <v>454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 t="e">
        <f>G31/G25</f>
        <v>#DIV/0!</v>
      </c>
      <c r="H117" s="152" t="e">
        <f t="shared" ref="H117:P117" si="323">H31/H25</f>
        <v>#DIV/0!</v>
      </c>
      <c r="I117" s="152" t="e">
        <f t="shared" si="323"/>
        <v>#DIV/0!</v>
      </c>
      <c r="J117" s="152" t="e">
        <f t="shared" si="323"/>
        <v>#DIV/0!</v>
      </c>
      <c r="K117" s="152" t="e">
        <f t="shared" si="323"/>
        <v>#DIV/0!</v>
      </c>
      <c r="L117" s="152" t="e">
        <f t="shared" si="323"/>
        <v>#DIV/0!</v>
      </c>
      <c r="M117" s="152" t="e">
        <f t="shared" si="323"/>
        <v>#DIV/0!</v>
      </c>
      <c r="N117" s="152" t="e">
        <f t="shared" si="323"/>
        <v>#DIV/0!</v>
      </c>
      <c r="O117" s="152" t="e">
        <f t="shared" si="323"/>
        <v>#DIV/0!</v>
      </c>
      <c r="P117" s="152" t="e">
        <f t="shared" si="323"/>
        <v>#DIV/0!</v>
      </c>
      <c r="Q117" s="152" t="e">
        <f t="shared" ref="Q117" si="324">Q31/Q25</f>
        <v>#DIV/0!</v>
      </c>
      <c r="R117" s="118" t="e">
        <f t="shared" si="245"/>
        <v>#DIV/0!</v>
      </c>
      <c r="S117" s="20"/>
      <c r="T117" s="152" t="e">
        <f t="shared" ref="T117:AC117" si="325">T31/T25</f>
        <v>#DIV/0!</v>
      </c>
      <c r="U117" s="152" t="e">
        <f t="shared" si="325"/>
        <v>#DIV/0!</v>
      </c>
      <c r="V117" s="152" t="e">
        <f t="shared" si="325"/>
        <v>#DIV/0!</v>
      </c>
      <c r="W117" s="152" t="e">
        <f t="shared" si="325"/>
        <v>#DIV/0!</v>
      </c>
      <c r="X117" s="152" t="e">
        <f t="shared" si="325"/>
        <v>#DIV/0!</v>
      </c>
      <c r="Y117" s="152" t="e">
        <f t="shared" si="325"/>
        <v>#DIV/0!</v>
      </c>
      <c r="Z117" s="152" t="e">
        <f t="shared" si="325"/>
        <v>#DIV/0!</v>
      </c>
      <c r="AA117" s="152" t="e">
        <f t="shared" si="325"/>
        <v>#DIV/0!</v>
      </c>
      <c r="AB117" s="152" t="e">
        <f t="shared" si="325"/>
        <v>#DIV/0!</v>
      </c>
      <c r="AC117" s="152" t="e">
        <f t="shared" si="325"/>
        <v>#DIV/0!</v>
      </c>
      <c r="AD117" s="138" t="e">
        <f t="shared" si="247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 t="e">
        <f>G32/G25</f>
        <v>#DIV/0!</v>
      </c>
      <c r="H118" s="152" t="e">
        <f t="shared" ref="H118:P118" si="326">H32/H25</f>
        <v>#DIV/0!</v>
      </c>
      <c r="I118" s="152" t="e">
        <f t="shared" si="326"/>
        <v>#DIV/0!</v>
      </c>
      <c r="J118" s="152" t="e">
        <f t="shared" si="326"/>
        <v>#DIV/0!</v>
      </c>
      <c r="K118" s="152" t="e">
        <f t="shared" si="326"/>
        <v>#DIV/0!</v>
      </c>
      <c r="L118" s="152" t="e">
        <f t="shared" si="326"/>
        <v>#DIV/0!</v>
      </c>
      <c r="M118" s="152" t="e">
        <f t="shared" si="326"/>
        <v>#DIV/0!</v>
      </c>
      <c r="N118" s="152" t="e">
        <f t="shared" si="326"/>
        <v>#DIV/0!</v>
      </c>
      <c r="O118" s="152" t="e">
        <f t="shared" si="326"/>
        <v>#DIV/0!</v>
      </c>
      <c r="P118" s="152" t="e">
        <f t="shared" si="326"/>
        <v>#DIV/0!</v>
      </c>
      <c r="Q118" s="152" t="e">
        <f t="shared" ref="Q118" si="327">Q32/Q25</f>
        <v>#DIV/0!</v>
      </c>
      <c r="R118" s="118" t="e">
        <f t="shared" si="245"/>
        <v>#DIV/0!</v>
      </c>
      <c r="S118" s="20"/>
      <c r="T118" s="152" t="e">
        <f t="shared" ref="T118:AC118" si="328">T32/T25</f>
        <v>#DIV/0!</v>
      </c>
      <c r="U118" s="152" t="e">
        <f t="shared" si="328"/>
        <v>#DIV/0!</v>
      </c>
      <c r="V118" s="152" t="e">
        <f t="shared" si="328"/>
        <v>#DIV/0!</v>
      </c>
      <c r="W118" s="152" t="e">
        <f t="shared" si="328"/>
        <v>#DIV/0!</v>
      </c>
      <c r="X118" s="152" t="e">
        <f t="shared" si="328"/>
        <v>#DIV/0!</v>
      </c>
      <c r="Y118" s="152" t="e">
        <f t="shared" si="328"/>
        <v>#DIV/0!</v>
      </c>
      <c r="Z118" s="152" t="e">
        <f t="shared" si="328"/>
        <v>#DIV/0!</v>
      </c>
      <c r="AA118" s="152" t="e">
        <f t="shared" si="328"/>
        <v>#DIV/0!</v>
      </c>
      <c r="AB118" s="152" t="e">
        <f t="shared" si="328"/>
        <v>#DIV/0!</v>
      </c>
      <c r="AC118" s="152" t="e">
        <f t="shared" si="328"/>
        <v>#DIV/0!</v>
      </c>
      <c r="AD118" s="138" t="e">
        <f t="shared" si="247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 t="e">
        <f>G27/G25</f>
        <v>#DIV/0!</v>
      </c>
      <c r="H120" s="152" t="e">
        <f t="shared" ref="H120:P120" si="329">H27/H25</f>
        <v>#DIV/0!</v>
      </c>
      <c r="I120" s="152" t="e">
        <f t="shared" si="329"/>
        <v>#DIV/0!</v>
      </c>
      <c r="J120" s="152" t="e">
        <f t="shared" si="329"/>
        <v>#DIV/0!</v>
      </c>
      <c r="K120" s="152" t="e">
        <f t="shared" si="329"/>
        <v>#DIV/0!</v>
      </c>
      <c r="L120" s="152" t="e">
        <f t="shared" si="329"/>
        <v>#DIV/0!</v>
      </c>
      <c r="M120" s="152" t="e">
        <f t="shared" si="329"/>
        <v>#DIV/0!</v>
      </c>
      <c r="N120" s="152" t="e">
        <f t="shared" si="329"/>
        <v>#DIV/0!</v>
      </c>
      <c r="O120" s="152" t="e">
        <f t="shared" si="329"/>
        <v>#DIV/0!</v>
      </c>
      <c r="P120" s="152" t="e">
        <f t="shared" si="329"/>
        <v>#DIV/0!</v>
      </c>
      <c r="Q120" s="152" t="e">
        <f t="shared" ref="Q120" si="330">Q27/Q25</f>
        <v>#DIV/0!</v>
      </c>
      <c r="R120" s="118" t="e">
        <f t="shared" si="245"/>
        <v>#DIV/0!</v>
      </c>
      <c r="S120" s="20"/>
      <c r="T120" s="152" t="e">
        <f t="shared" ref="T120:AC120" si="331">T27/T25</f>
        <v>#DIV/0!</v>
      </c>
      <c r="U120" s="152" t="e">
        <f t="shared" si="331"/>
        <v>#DIV/0!</v>
      </c>
      <c r="V120" s="152" t="e">
        <f t="shared" si="331"/>
        <v>#DIV/0!</v>
      </c>
      <c r="W120" s="152" t="e">
        <f t="shared" si="331"/>
        <v>#DIV/0!</v>
      </c>
      <c r="X120" s="152" t="e">
        <f t="shared" si="331"/>
        <v>#DIV/0!</v>
      </c>
      <c r="Y120" s="152" t="e">
        <f t="shared" si="331"/>
        <v>#DIV/0!</v>
      </c>
      <c r="Z120" s="152" t="e">
        <f t="shared" si="331"/>
        <v>#DIV/0!</v>
      </c>
      <c r="AA120" s="152" t="e">
        <f t="shared" si="331"/>
        <v>#DIV/0!</v>
      </c>
      <c r="AB120" s="152" t="e">
        <f t="shared" si="331"/>
        <v>#DIV/0!</v>
      </c>
      <c r="AC120" s="152" t="e">
        <f t="shared" si="331"/>
        <v>#DIV/0!</v>
      </c>
      <c r="AD120" s="138" t="e">
        <f t="shared" si="247"/>
        <v>#DIV/0!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 t="e">
        <f>G33/G25</f>
        <v>#DIV/0!</v>
      </c>
      <c r="H121" s="152" t="e">
        <f t="shared" ref="H121:P121" si="332">H33/H25</f>
        <v>#DIV/0!</v>
      </c>
      <c r="I121" s="152" t="e">
        <f t="shared" si="332"/>
        <v>#DIV/0!</v>
      </c>
      <c r="J121" s="152" t="e">
        <f t="shared" si="332"/>
        <v>#DIV/0!</v>
      </c>
      <c r="K121" s="152" t="e">
        <f t="shared" si="332"/>
        <v>#DIV/0!</v>
      </c>
      <c r="L121" s="152" t="e">
        <f t="shared" si="332"/>
        <v>#DIV/0!</v>
      </c>
      <c r="M121" s="152" t="e">
        <f t="shared" si="332"/>
        <v>#DIV/0!</v>
      </c>
      <c r="N121" s="152" t="e">
        <f t="shared" si="332"/>
        <v>#DIV/0!</v>
      </c>
      <c r="O121" s="152" t="e">
        <f t="shared" si="332"/>
        <v>#DIV/0!</v>
      </c>
      <c r="P121" s="152" t="e">
        <f t="shared" si="332"/>
        <v>#DIV/0!</v>
      </c>
      <c r="Q121" s="152" t="e">
        <f t="shared" ref="Q121" si="333">Q33/Q25</f>
        <v>#DIV/0!</v>
      </c>
      <c r="R121" s="118" t="e">
        <f t="shared" si="245"/>
        <v>#DIV/0!</v>
      </c>
      <c r="S121" s="20"/>
      <c r="T121" s="152" t="e">
        <f t="shared" ref="T121:AC121" si="334">T33/T25</f>
        <v>#DIV/0!</v>
      </c>
      <c r="U121" s="152" t="e">
        <f t="shared" si="334"/>
        <v>#DIV/0!</v>
      </c>
      <c r="V121" s="152" t="e">
        <f t="shared" si="334"/>
        <v>#DIV/0!</v>
      </c>
      <c r="W121" s="152" t="e">
        <f t="shared" si="334"/>
        <v>#DIV/0!</v>
      </c>
      <c r="X121" s="152" t="e">
        <f t="shared" si="334"/>
        <v>#DIV/0!</v>
      </c>
      <c r="Y121" s="152" t="e">
        <f t="shared" si="334"/>
        <v>#DIV/0!</v>
      </c>
      <c r="Z121" s="152" t="e">
        <f t="shared" si="334"/>
        <v>#DIV/0!</v>
      </c>
      <c r="AA121" s="152" t="e">
        <f t="shared" si="334"/>
        <v>#DIV/0!</v>
      </c>
      <c r="AB121" s="152" t="e">
        <f t="shared" si="334"/>
        <v>#DIV/0!</v>
      </c>
      <c r="AC121" s="152" t="e">
        <f t="shared" si="334"/>
        <v>#DIV/0!</v>
      </c>
      <c r="AD121" s="138" t="e">
        <f t="shared" si="247"/>
        <v>#DIV/0!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 t="e">
        <f>G34/G25</f>
        <v>#DIV/0!</v>
      </c>
      <c r="H122" s="152" t="e">
        <f t="shared" ref="H122:P122" si="335">H34/H25</f>
        <v>#DIV/0!</v>
      </c>
      <c r="I122" s="152" t="e">
        <f t="shared" si="335"/>
        <v>#DIV/0!</v>
      </c>
      <c r="J122" s="152" t="e">
        <f t="shared" si="335"/>
        <v>#DIV/0!</v>
      </c>
      <c r="K122" s="152" t="e">
        <f t="shared" si="335"/>
        <v>#DIV/0!</v>
      </c>
      <c r="L122" s="152" t="e">
        <f t="shared" si="335"/>
        <v>#DIV/0!</v>
      </c>
      <c r="M122" s="152" t="e">
        <f t="shared" si="335"/>
        <v>#DIV/0!</v>
      </c>
      <c r="N122" s="152" t="e">
        <f t="shared" si="335"/>
        <v>#DIV/0!</v>
      </c>
      <c r="O122" s="152" t="e">
        <f t="shared" si="335"/>
        <v>#DIV/0!</v>
      </c>
      <c r="P122" s="152" t="e">
        <f t="shared" si="335"/>
        <v>#DIV/0!</v>
      </c>
      <c r="Q122" s="152" t="e">
        <f t="shared" ref="Q122" si="336">Q34/Q25</f>
        <v>#DIV/0!</v>
      </c>
      <c r="R122" s="118" t="e">
        <f t="shared" si="245"/>
        <v>#DIV/0!</v>
      </c>
      <c r="S122" s="20"/>
      <c r="T122" s="152" t="e">
        <f t="shared" ref="T122:AC122" si="337">T34/T25</f>
        <v>#DIV/0!</v>
      </c>
      <c r="U122" s="152" t="e">
        <f t="shared" si="337"/>
        <v>#DIV/0!</v>
      </c>
      <c r="V122" s="152" t="e">
        <f t="shared" si="337"/>
        <v>#DIV/0!</v>
      </c>
      <c r="W122" s="152" t="e">
        <f t="shared" si="337"/>
        <v>#DIV/0!</v>
      </c>
      <c r="X122" s="152" t="e">
        <f t="shared" si="337"/>
        <v>#DIV/0!</v>
      </c>
      <c r="Y122" s="152" t="e">
        <f t="shared" si="337"/>
        <v>#DIV/0!</v>
      </c>
      <c r="Z122" s="152" t="e">
        <f t="shared" si="337"/>
        <v>#DIV/0!</v>
      </c>
      <c r="AA122" s="152" t="e">
        <f t="shared" si="337"/>
        <v>#DIV/0!</v>
      </c>
      <c r="AB122" s="152" t="e">
        <f t="shared" si="337"/>
        <v>#DIV/0!</v>
      </c>
      <c r="AC122" s="152" t="e">
        <f t="shared" si="337"/>
        <v>#DIV/0!</v>
      </c>
      <c r="AD122" s="138" t="e">
        <f t="shared" si="247"/>
        <v>#DIV/0!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 t="e">
        <f>G15/G9</f>
        <v>#DIV/0!</v>
      </c>
      <c r="H125" s="25" t="e">
        <f t="shared" ref="H125:AC125" si="338">H15/H9</f>
        <v>#DIV/0!</v>
      </c>
      <c r="I125" s="25" t="e">
        <f t="shared" si="338"/>
        <v>#DIV/0!</v>
      </c>
      <c r="J125" s="25" t="e">
        <f t="shared" si="338"/>
        <v>#DIV/0!</v>
      </c>
      <c r="K125" s="25" t="e">
        <f t="shared" si="338"/>
        <v>#DIV/0!</v>
      </c>
      <c r="L125" s="25" t="e">
        <f t="shared" si="338"/>
        <v>#DIV/0!</v>
      </c>
      <c r="M125" s="25" t="e">
        <f t="shared" si="338"/>
        <v>#DIV/0!</v>
      </c>
      <c r="N125" s="25" t="e">
        <f t="shared" si="338"/>
        <v>#DIV/0!</v>
      </c>
      <c r="O125" s="25" t="e">
        <f t="shared" si="338"/>
        <v>#DIV/0!</v>
      </c>
      <c r="P125" s="25" t="e">
        <f t="shared" si="338"/>
        <v>#DIV/0!</v>
      </c>
      <c r="Q125" s="25" t="e">
        <f t="shared" ref="Q125" si="339">Q15/Q9</f>
        <v>#DIV/0!</v>
      </c>
      <c r="R125" s="118" t="e">
        <f t="shared" si="245"/>
        <v>#DIV/0!</v>
      </c>
      <c r="S125" s="20"/>
      <c r="T125" s="20" t="e">
        <f t="shared" si="338"/>
        <v>#DIV/0!</v>
      </c>
      <c r="U125" s="20" t="e">
        <f t="shared" si="338"/>
        <v>#DIV/0!</v>
      </c>
      <c r="V125" s="20" t="e">
        <f t="shared" si="338"/>
        <v>#DIV/0!</v>
      </c>
      <c r="W125" s="20" t="e">
        <f t="shared" si="338"/>
        <v>#DIV/0!</v>
      </c>
      <c r="X125" s="20" t="e">
        <f t="shared" si="338"/>
        <v>#DIV/0!</v>
      </c>
      <c r="Y125" s="20" t="e">
        <f t="shared" si="338"/>
        <v>#DIV/0!</v>
      </c>
      <c r="Z125" s="20" t="e">
        <f t="shared" si="338"/>
        <v>#DIV/0!</v>
      </c>
      <c r="AA125" s="20" t="e">
        <f t="shared" si="338"/>
        <v>#DIV/0!</v>
      </c>
      <c r="AB125" s="20" t="e">
        <f t="shared" si="338"/>
        <v>#DIV/0!</v>
      </c>
      <c r="AC125" s="20" t="e">
        <f t="shared" si="338"/>
        <v>#DIV/0!</v>
      </c>
      <c r="AD125" s="138" t="e">
        <f t="shared" si="247"/>
        <v>#DIV/0!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 t="e">
        <f>G12/G9</f>
        <v>#DIV/0!</v>
      </c>
      <c r="H126" s="25" t="e">
        <f t="shared" ref="H126:P126" si="340">H12/H9</f>
        <v>#DIV/0!</v>
      </c>
      <c r="I126" s="25" t="e">
        <f t="shared" si="340"/>
        <v>#DIV/0!</v>
      </c>
      <c r="J126" s="25" t="e">
        <f t="shared" si="340"/>
        <v>#DIV/0!</v>
      </c>
      <c r="K126" s="25" t="e">
        <f t="shared" si="340"/>
        <v>#DIV/0!</v>
      </c>
      <c r="L126" s="25" t="e">
        <f t="shared" si="340"/>
        <v>#DIV/0!</v>
      </c>
      <c r="M126" s="25" t="e">
        <f t="shared" si="340"/>
        <v>#DIV/0!</v>
      </c>
      <c r="N126" s="25" t="e">
        <f t="shared" si="340"/>
        <v>#DIV/0!</v>
      </c>
      <c r="O126" s="25" t="e">
        <f t="shared" si="340"/>
        <v>#DIV/0!</v>
      </c>
      <c r="P126" s="25" t="e">
        <f t="shared" si="340"/>
        <v>#DIV/0!</v>
      </c>
      <c r="Q126" s="25" t="e">
        <f t="shared" ref="Q126" si="341">Q12/Q9</f>
        <v>#DIV/0!</v>
      </c>
      <c r="R126" s="118" t="e">
        <f t="shared" si="245"/>
        <v>#DIV/0!</v>
      </c>
      <c r="S126" s="128"/>
      <c r="T126" s="20" t="e">
        <f t="shared" ref="T126:AC126" si="342">T12/T9</f>
        <v>#DIV/0!</v>
      </c>
      <c r="U126" s="20" t="e">
        <f t="shared" si="342"/>
        <v>#DIV/0!</v>
      </c>
      <c r="V126" s="20" t="e">
        <f t="shared" si="342"/>
        <v>#DIV/0!</v>
      </c>
      <c r="W126" s="20" t="e">
        <f t="shared" si="342"/>
        <v>#DIV/0!</v>
      </c>
      <c r="X126" s="20" t="e">
        <f t="shared" si="342"/>
        <v>#DIV/0!</v>
      </c>
      <c r="Y126" s="20" t="e">
        <f t="shared" si="342"/>
        <v>#DIV/0!</v>
      </c>
      <c r="Z126" s="20" t="e">
        <f t="shared" si="342"/>
        <v>#DIV/0!</v>
      </c>
      <c r="AA126" s="20" t="e">
        <f t="shared" si="342"/>
        <v>#DIV/0!</v>
      </c>
      <c r="AB126" s="20" t="e">
        <f t="shared" si="342"/>
        <v>#DIV/0!</v>
      </c>
      <c r="AC126" s="20" t="e">
        <f t="shared" si="342"/>
        <v>#DIV/0!</v>
      </c>
      <c r="AD126" s="118" t="e">
        <f t="shared" ref="AD126" si="343">((AC126/T126)^(1/($H$2-$H$1) ))-1</f>
        <v>#DIV/0!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0</v>
      </c>
      <c r="H127" s="25">
        <f t="shared" ref="H127:P127" si="344">H25/360</f>
        <v>0</v>
      </c>
      <c r="I127" s="25">
        <f t="shared" si="344"/>
        <v>0</v>
      </c>
      <c r="J127" s="25">
        <f t="shared" si="344"/>
        <v>0</v>
      </c>
      <c r="K127" s="25">
        <f t="shared" si="344"/>
        <v>0</v>
      </c>
      <c r="L127" s="25">
        <f t="shared" si="344"/>
        <v>0</v>
      </c>
      <c r="M127" s="25">
        <f t="shared" si="344"/>
        <v>0</v>
      </c>
      <c r="N127" s="25">
        <f t="shared" si="344"/>
        <v>0</v>
      </c>
      <c r="O127" s="25">
        <f t="shared" si="344"/>
        <v>0</v>
      </c>
      <c r="P127" s="25">
        <f t="shared" si="344"/>
        <v>0</v>
      </c>
      <c r="Q127" s="25">
        <f t="shared" ref="Q127" si="345">Q25/360</f>
        <v>0</v>
      </c>
      <c r="R127" s="118" t="e">
        <f t="shared" si="245"/>
        <v>#DIV/0!</v>
      </c>
      <c r="S127" s="128"/>
      <c r="T127" s="25">
        <f t="shared" ref="T127:AC127" si="346">T25/360</f>
        <v>0</v>
      </c>
      <c r="U127" s="25">
        <f t="shared" si="346"/>
        <v>0</v>
      </c>
      <c r="V127" s="25">
        <f t="shared" si="346"/>
        <v>0</v>
      </c>
      <c r="W127" s="25">
        <f t="shared" si="346"/>
        <v>0</v>
      </c>
      <c r="X127" s="25">
        <f t="shared" si="346"/>
        <v>0</v>
      </c>
      <c r="Y127" s="25">
        <f t="shared" si="346"/>
        <v>0</v>
      </c>
      <c r="Z127" s="25">
        <f t="shared" si="346"/>
        <v>0</v>
      </c>
      <c r="AA127" s="25">
        <f t="shared" si="346"/>
        <v>0</v>
      </c>
      <c r="AB127" s="25">
        <f t="shared" si="346"/>
        <v>0</v>
      </c>
      <c r="AC127" s="25">
        <f t="shared" si="346"/>
        <v>0</v>
      </c>
      <c r="AD127" s="118" t="e">
        <f t="shared" ref="AD127:AD138" si="347">((AC127/T127)^(1/($H$2-$H$1) ))-1</f>
        <v>#DIV/0!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0</v>
      </c>
      <c r="H128" s="25">
        <f t="shared" ref="H128:P128" si="348">H27/360</f>
        <v>0</v>
      </c>
      <c r="I128" s="25">
        <f t="shared" si="348"/>
        <v>0</v>
      </c>
      <c r="J128" s="25">
        <f t="shared" si="348"/>
        <v>0</v>
      </c>
      <c r="K128" s="25">
        <f t="shared" si="348"/>
        <v>0</v>
      </c>
      <c r="L128" s="25">
        <f t="shared" si="348"/>
        <v>0</v>
      </c>
      <c r="M128" s="25">
        <f t="shared" si="348"/>
        <v>0</v>
      </c>
      <c r="N128" s="25">
        <f t="shared" si="348"/>
        <v>0</v>
      </c>
      <c r="O128" s="25">
        <f t="shared" si="348"/>
        <v>0</v>
      </c>
      <c r="P128" s="25">
        <f t="shared" si="348"/>
        <v>0</v>
      </c>
      <c r="Q128" s="25">
        <f t="shared" ref="Q128" si="349">Q27/360</f>
        <v>0</v>
      </c>
      <c r="R128" s="118" t="e">
        <f t="shared" si="245"/>
        <v>#DIV/0!</v>
      </c>
      <c r="S128" s="128"/>
      <c r="T128" s="25">
        <f t="shared" ref="T128:AC128" si="350">T27/360</f>
        <v>0</v>
      </c>
      <c r="U128" s="25">
        <f t="shared" si="350"/>
        <v>0</v>
      </c>
      <c r="V128" s="25">
        <f t="shared" si="350"/>
        <v>0</v>
      </c>
      <c r="W128" s="25">
        <f t="shared" si="350"/>
        <v>0</v>
      </c>
      <c r="X128" s="25">
        <f t="shared" si="350"/>
        <v>0</v>
      </c>
      <c r="Y128" s="25">
        <f t="shared" si="350"/>
        <v>0</v>
      </c>
      <c r="Z128" s="25">
        <f t="shared" si="350"/>
        <v>0</v>
      </c>
      <c r="AA128" s="25">
        <f t="shared" si="350"/>
        <v>0</v>
      </c>
      <c r="AB128" s="25">
        <f t="shared" si="350"/>
        <v>0</v>
      </c>
      <c r="AC128" s="25">
        <f t="shared" si="350"/>
        <v>0</v>
      </c>
      <c r="AD128" s="118" t="e">
        <f t="shared" si="347"/>
        <v>#DIV/0!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 t="e">
        <f>G10/G7</f>
        <v>#DIV/0!</v>
      </c>
      <c r="H130" s="25" t="e">
        <f t="shared" ref="H130:P130" si="351">H10/H7</f>
        <v>#DIV/0!</v>
      </c>
      <c r="I130" s="25" t="e">
        <f t="shared" si="351"/>
        <v>#DIV/0!</v>
      </c>
      <c r="J130" s="25" t="e">
        <f t="shared" si="351"/>
        <v>#DIV/0!</v>
      </c>
      <c r="K130" s="25" t="e">
        <f t="shared" si="351"/>
        <v>#DIV/0!</v>
      </c>
      <c r="L130" s="25" t="e">
        <f t="shared" si="351"/>
        <v>#DIV/0!</v>
      </c>
      <c r="M130" s="25" t="e">
        <f t="shared" si="351"/>
        <v>#DIV/0!</v>
      </c>
      <c r="N130" s="25" t="e">
        <f t="shared" si="351"/>
        <v>#DIV/0!</v>
      </c>
      <c r="O130" s="25" t="e">
        <f t="shared" si="351"/>
        <v>#DIV/0!</v>
      </c>
      <c r="P130" s="25" t="e">
        <f t="shared" si="351"/>
        <v>#DIV/0!</v>
      </c>
      <c r="Q130" s="25" t="e">
        <f t="shared" ref="Q130" si="352">Q10/Q7</f>
        <v>#DIV/0!</v>
      </c>
      <c r="R130" s="118" t="e">
        <f t="shared" si="245"/>
        <v>#DIV/0!</v>
      </c>
      <c r="S130" s="128"/>
      <c r="T130" s="25" t="e">
        <f t="shared" ref="T130:AC130" si="353">T10/T7</f>
        <v>#DIV/0!</v>
      </c>
      <c r="U130" s="25" t="e">
        <f t="shared" si="353"/>
        <v>#DIV/0!</v>
      </c>
      <c r="V130" s="25" t="e">
        <f t="shared" si="353"/>
        <v>#DIV/0!</v>
      </c>
      <c r="W130" s="25" t="e">
        <f t="shared" si="353"/>
        <v>#DIV/0!</v>
      </c>
      <c r="X130" s="25" t="e">
        <f t="shared" si="353"/>
        <v>#DIV/0!</v>
      </c>
      <c r="Y130" s="25" t="e">
        <f t="shared" si="353"/>
        <v>#DIV/0!</v>
      </c>
      <c r="Z130" s="25" t="e">
        <f t="shared" si="353"/>
        <v>#DIV/0!</v>
      </c>
      <c r="AA130" s="25" t="e">
        <f t="shared" si="353"/>
        <v>#DIV/0!</v>
      </c>
      <c r="AB130" s="25" t="e">
        <f t="shared" si="353"/>
        <v>#DIV/0!</v>
      </c>
      <c r="AC130" s="25" t="e">
        <f t="shared" si="353"/>
        <v>#DIV/0!</v>
      </c>
      <c r="AD130" s="118" t="e">
        <f t="shared" si="347"/>
        <v>#DIV/0!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 t="e">
        <f>G10/(G10+G7)</f>
        <v>#DIV/0!</v>
      </c>
      <c r="H131" s="25" t="e">
        <f t="shared" ref="H131:P131" si="354">H10/(H10+H7)</f>
        <v>#DIV/0!</v>
      </c>
      <c r="I131" s="25" t="e">
        <f t="shared" si="354"/>
        <v>#DIV/0!</v>
      </c>
      <c r="J131" s="25" t="e">
        <f t="shared" si="354"/>
        <v>#DIV/0!</v>
      </c>
      <c r="K131" s="25" t="e">
        <f t="shared" si="354"/>
        <v>#DIV/0!</v>
      </c>
      <c r="L131" s="25" t="e">
        <f t="shared" si="354"/>
        <v>#DIV/0!</v>
      </c>
      <c r="M131" s="25" t="e">
        <f t="shared" si="354"/>
        <v>#DIV/0!</v>
      </c>
      <c r="N131" s="25" t="e">
        <f t="shared" si="354"/>
        <v>#DIV/0!</v>
      </c>
      <c r="O131" s="25" t="e">
        <f t="shared" si="354"/>
        <v>#DIV/0!</v>
      </c>
      <c r="P131" s="25" t="e">
        <f t="shared" si="354"/>
        <v>#DIV/0!</v>
      </c>
      <c r="Q131" s="25" t="e">
        <f t="shared" ref="Q131" si="355">Q10/(Q10+Q7)</f>
        <v>#DIV/0!</v>
      </c>
      <c r="R131" s="118" t="e">
        <f t="shared" si="245"/>
        <v>#DIV/0!</v>
      </c>
      <c r="S131" s="128"/>
      <c r="T131" s="25" t="e">
        <f t="shared" ref="T131:AC131" si="356">T10/(T10+T7)</f>
        <v>#DIV/0!</v>
      </c>
      <c r="U131" s="25" t="e">
        <f t="shared" si="356"/>
        <v>#DIV/0!</v>
      </c>
      <c r="V131" s="25" t="e">
        <f t="shared" si="356"/>
        <v>#DIV/0!</v>
      </c>
      <c r="W131" s="25" t="e">
        <f t="shared" si="356"/>
        <v>#DIV/0!</v>
      </c>
      <c r="X131" s="25" t="e">
        <f t="shared" si="356"/>
        <v>#DIV/0!</v>
      </c>
      <c r="Y131" s="25" t="e">
        <f t="shared" si="356"/>
        <v>#DIV/0!</v>
      </c>
      <c r="Z131" s="25" t="e">
        <f t="shared" si="356"/>
        <v>#DIV/0!</v>
      </c>
      <c r="AA131" s="25" t="e">
        <f t="shared" si="356"/>
        <v>#DIV/0!</v>
      </c>
      <c r="AB131" s="25" t="e">
        <f t="shared" si="356"/>
        <v>#DIV/0!</v>
      </c>
      <c r="AC131" s="25" t="e">
        <f t="shared" si="356"/>
        <v>#DIV/0!</v>
      </c>
      <c r="AD131" s="118" t="e">
        <f t="shared" si="347"/>
        <v>#DIV/0!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0</v>
      </c>
      <c r="H133" s="25">
        <f t="shared" ref="H133:P133" si="357">H16</f>
        <v>0</v>
      </c>
      <c r="I133" s="25">
        <f t="shared" si="357"/>
        <v>0</v>
      </c>
      <c r="J133" s="25">
        <f t="shared" si="357"/>
        <v>0</v>
      </c>
      <c r="K133" s="25">
        <f t="shared" si="357"/>
        <v>0</v>
      </c>
      <c r="L133" s="25">
        <f t="shared" si="357"/>
        <v>0</v>
      </c>
      <c r="M133" s="25">
        <f t="shared" si="357"/>
        <v>0</v>
      </c>
      <c r="N133" s="25">
        <f t="shared" si="357"/>
        <v>0</v>
      </c>
      <c r="O133" s="25">
        <f t="shared" si="357"/>
        <v>0</v>
      </c>
      <c r="P133" s="25">
        <f t="shared" si="357"/>
        <v>0</v>
      </c>
      <c r="Q133" s="25">
        <f t="shared" ref="Q133" si="358">Q16</f>
        <v>0</v>
      </c>
      <c r="R133" s="118" t="e">
        <f t="shared" si="245"/>
        <v>#DIV/0!</v>
      </c>
      <c r="S133" s="128"/>
      <c r="T133" s="25">
        <f t="shared" ref="T133:AC133" si="359">T16</f>
        <v>0</v>
      </c>
      <c r="U133" s="25">
        <f t="shared" si="359"/>
        <v>0</v>
      </c>
      <c r="V133" s="25">
        <f t="shared" si="359"/>
        <v>0</v>
      </c>
      <c r="W133" s="25">
        <f t="shared" si="359"/>
        <v>0</v>
      </c>
      <c r="X133" s="25">
        <f t="shared" si="359"/>
        <v>0</v>
      </c>
      <c r="Y133" s="25">
        <f t="shared" si="359"/>
        <v>0</v>
      </c>
      <c r="Z133" s="25">
        <f t="shared" si="359"/>
        <v>0</v>
      </c>
      <c r="AA133" s="25">
        <f t="shared" si="359"/>
        <v>0</v>
      </c>
      <c r="AB133" s="25">
        <f t="shared" si="359"/>
        <v>0</v>
      </c>
      <c r="AC133" s="25">
        <f t="shared" si="359"/>
        <v>0</v>
      </c>
      <c r="AD133" s="118" t="e">
        <f t="shared" si="347"/>
        <v>#DIV/0!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 t="e">
        <f t="shared" ref="G134:P134" si="360">G133*365/G25</f>
        <v>#DIV/0!</v>
      </c>
      <c r="H134" s="119" t="e">
        <f t="shared" si="360"/>
        <v>#DIV/0!</v>
      </c>
      <c r="I134" s="119" t="e">
        <f t="shared" si="360"/>
        <v>#DIV/0!</v>
      </c>
      <c r="J134" s="119" t="e">
        <f t="shared" si="360"/>
        <v>#DIV/0!</v>
      </c>
      <c r="K134" s="119" t="e">
        <f t="shared" si="360"/>
        <v>#DIV/0!</v>
      </c>
      <c r="L134" s="119" t="e">
        <f t="shared" si="360"/>
        <v>#DIV/0!</v>
      </c>
      <c r="M134" s="119" t="e">
        <f t="shared" si="360"/>
        <v>#DIV/0!</v>
      </c>
      <c r="N134" s="119" t="e">
        <f t="shared" si="360"/>
        <v>#DIV/0!</v>
      </c>
      <c r="O134" s="119" t="e">
        <f t="shared" si="360"/>
        <v>#DIV/0!</v>
      </c>
      <c r="P134" s="119" t="e">
        <f t="shared" si="360"/>
        <v>#DIV/0!</v>
      </c>
      <c r="Q134" s="119" t="e">
        <f t="shared" ref="Q134" si="361">Q133*365/Q25</f>
        <v>#DIV/0!</v>
      </c>
      <c r="R134" s="118" t="e">
        <f t="shared" si="245"/>
        <v>#DIV/0!</v>
      </c>
      <c r="S134" s="128"/>
      <c r="T134" s="119" t="e">
        <f t="shared" ref="T134:AC134" si="362">T133*365/T25</f>
        <v>#DIV/0!</v>
      </c>
      <c r="U134" s="119" t="e">
        <f t="shared" si="362"/>
        <v>#DIV/0!</v>
      </c>
      <c r="V134" s="119" t="e">
        <f t="shared" si="362"/>
        <v>#DIV/0!</v>
      </c>
      <c r="W134" s="119" t="e">
        <f t="shared" si="362"/>
        <v>#DIV/0!</v>
      </c>
      <c r="X134" s="119" t="e">
        <f t="shared" si="362"/>
        <v>#DIV/0!</v>
      </c>
      <c r="Y134" s="119" t="e">
        <f t="shared" si="362"/>
        <v>#DIV/0!</v>
      </c>
      <c r="Z134" s="119" t="e">
        <f t="shared" si="362"/>
        <v>#DIV/0!</v>
      </c>
      <c r="AA134" s="119" t="e">
        <f t="shared" si="362"/>
        <v>#DIV/0!</v>
      </c>
      <c r="AB134" s="119" t="e">
        <f t="shared" si="362"/>
        <v>#DIV/0!</v>
      </c>
      <c r="AC134" s="119" t="e">
        <f t="shared" si="362"/>
        <v>#DIV/0!</v>
      </c>
      <c r="AD134" s="118" t="e">
        <f t="shared" si="347"/>
        <v>#DIV/0!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 t="e">
        <f>G80/G29</f>
        <v>#DIV/0!</v>
      </c>
      <c r="H135" s="133" t="e">
        <f t="shared" ref="H135:P135" si="363">H80/H29</f>
        <v>#DIV/0!</v>
      </c>
      <c r="I135" s="133" t="e">
        <f t="shared" si="363"/>
        <v>#DIV/0!</v>
      </c>
      <c r="J135" s="133" t="e">
        <f t="shared" si="363"/>
        <v>#DIV/0!</v>
      </c>
      <c r="K135" s="133" t="e">
        <f t="shared" si="363"/>
        <v>#DIV/0!</v>
      </c>
      <c r="L135" s="133" t="e">
        <f t="shared" si="363"/>
        <v>#DIV/0!</v>
      </c>
      <c r="M135" s="133" t="e">
        <f t="shared" si="363"/>
        <v>#DIV/0!</v>
      </c>
      <c r="N135" s="133" t="e">
        <f t="shared" si="363"/>
        <v>#DIV/0!</v>
      </c>
      <c r="O135" s="133" t="e">
        <f t="shared" si="363"/>
        <v>#DIV/0!</v>
      </c>
      <c r="P135" s="133" t="e">
        <f t="shared" si="363"/>
        <v>#DIV/0!</v>
      </c>
      <c r="Q135" s="133" t="e">
        <f t="shared" ref="Q135" si="364">Q80/Q29</f>
        <v>#DIV/0!</v>
      </c>
      <c r="R135" s="118" t="e">
        <f t="shared" si="245"/>
        <v>#DIV/0!</v>
      </c>
      <c r="S135" s="128"/>
      <c r="T135" s="133" t="e">
        <f t="shared" ref="T135:AC135" si="365">T80/T29</f>
        <v>#DIV/0!</v>
      </c>
      <c r="U135" s="133" t="e">
        <f t="shared" si="365"/>
        <v>#DIV/0!</v>
      </c>
      <c r="V135" s="133" t="e">
        <f t="shared" si="365"/>
        <v>#DIV/0!</v>
      </c>
      <c r="W135" s="133" t="e">
        <f t="shared" si="365"/>
        <v>#DIV/0!</v>
      </c>
      <c r="X135" s="133" t="e">
        <f t="shared" si="365"/>
        <v>#DIV/0!</v>
      </c>
      <c r="Y135" s="133" t="e">
        <f t="shared" si="365"/>
        <v>#DIV/0!</v>
      </c>
      <c r="Z135" s="133" t="e">
        <f t="shared" si="365"/>
        <v>#DIV/0!</v>
      </c>
      <c r="AA135" s="133" t="e">
        <f t="shared" si="365"/>
        <v>#DIV/0!</v>
      </c>
      <c r="AB135" s="133" t="e">
        <f t="shared" si="365"/>
        <v>#DIV/0!</v>
      </c>
      <c r="AC135" s="133" t="e">
        <f t="shared" si="365"/>
        <v>#DIV/0!</v>
      </c>
      <c r="AD135" s="118" t="e">
        <f t="shared" si="347"/>
        <v>#DIV/0!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 t="e">
        <f>G25/G14</f>
        <v>#DIV/0!</v>
      </c>
      <c r="H137" s="180" t="e">
        <f t="shared" ref="H137:P137" si="366">H25/H14</f>
        <v>#DIV/0!</v>
      </c>
      <c r="I137" s="180" t="e">
        <f t="shared" si="366"/>
        <v>#DIV/0!</v>
      </c>
      <c r="J137" s="180" t="e">
        <f t="shared" si="366"/>
        <v>#DIV/0!</v>
      </c>
      <c r="K137" s="180" t="e">
        <f t="shared" si="366"/>
        <v>#DIV/0!</v>
      </c>
      <c r="L137" s="180" t="e">
        <f t="shared" si="366"/>
        <v>#DIV/0!</v>
      </c>
      <c r="M137" s="180" t="e">
        <f t="shared" si="366"/>
        <v>#DIV/0!</v>
      </c>
      <c r="N137" s="180" t="e">
        <f t="shared" si="366"/>
        <v>#DIV/0!</v>
      </c>
      <c r="O137" s="180" t="e">
        <f t="shared" si="366"/>
        <v>#DIV/0!</v>
      </c>
      <c r="P137" s="180" t="e">
        <f t="shared" si="366"/>
        <v>#DIV/0!</v>
      </c>
      <c r="Q137" s="180" t="e">
        <f t="shared" ref="Q137" si="367">Q25/Q14</f>
        <v>#DIV/0!</v>
      </c>
      <c r="R137" s="118" t="e">
        <f t="shared" si="245"/>
        <v>#DIV/0!</v>
      </c>
      <c r="S137" s="128"/>
      <c r="T137" s="20" t="e">
        <f t="shared" ref="T137" si="368">T25/T14</f>
        <v>#DIV/0!</v>
      </c>
      <c r="U137" s="20" t="e">
        <f t="shared" ref="U137:AC137" si="369">U25/U14</f>
        <v>#DIV/0!</v>
      </c>
      <c r="V137" s="20" t="e">
        <f t="shared" si="369"/>
        <v>#DIV/0!</v>
      </c>
      <c r="W137" s="20" t="e">
        <f t="shared" si="369"/>
        <v>#DIV/0!</v>
      </c>
      <c r="X137" s="20" t="e">
        <f t="shared" si="369"/>
        <v>#DIV/0!</v>
      </c>
      <c r="Y137" s="20" t="e">
        <f t="shared" si="369"/>
        <v>#DIV/0!</v>
      </c>
      <c r="Z137" s="20" t="e">
        <f t="shared" si="369"/>
        <v>#DIV/0!</v>
      </c>
      <c r="AA137" s="20" t="e">
        <f t="shared" si="369"/>
        <v>#DIV/0!</v>
      </c>
      <c r="AB137" s="20" t="e">
        <f t="shared" si="369"/>
        <v>#DIV/0!</v>
      </c>
      <c r="AC137" s="20" t="e">
        <f t="shared" si="369"/>
        <v>#DIV/0!</v>
      </c>
      <c r="AD137" s="118" t="e">
        <f t="shared" si="347"/>
        <v>#DIV/0!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 t="e">
        <f>G27/G14</f>
        <v>#DIV/0!</v>
      </c>
      <c r="H138" s="180" t="e">
        <f t="shared" ref="H138:P138" si="370">H27/H14</f>
        <v>#DIV/0!</v>
      </c>
      <c r="I138" s="180" t="e">
        <f t="shared" si="370"/>
        <v>#DIV/0!</v>
      </c>
      <c r="J138" s="180" t="e">
        <f t="shared" si="370"/>
        <v>#DIV/0!</v>
      </c>
      <c r="K138" s="180" t="e">
        <f t="shared" si="370"/>
        <v>#DIV/0!</v>
      </c>
      <c r="L138" s="180" t="e">
        <f t="shared" si="370"/>
        <v>#DIV/0!</v>
      </c>
      <c r="M138" s="180" t="e">
        <f t="shared" si="370"/>
        <v>#DIV/0!</v>
      </c>
      <c r="N138" s="180" t="e">
        <f t="shared" si="370"/>
        <v>#DIV/0!</v>
      </c>
      <c r="O138" s="180" t="e">
        <f t="shared" si="370"/>
        <v>#DIV/0!</v>
      </c>
      <c r="P138" s="180" t="e">
        <f t="shared" si="370"/>
        <v>#DIV/0!</v>
      </c>
      <c r="Q138" s="180" t="e">
        <f t="shared" ref="Q138" si="371">Q27/Q14</f>
        <v>#DIV/0!</v>
      </c>
      <c r="R138" s="118" t="e">
        <f t="shared" si="245"/>
        <v>#DIV/0!</v>
      </c>
      <c r="S138" s="128"/>
      <c r="T138" s="20" t="e">
        <f t="shared" ref="T138:AC138" si="372">T27/T14</f>
        <v>#DIV/0!</v>
      </c>
      <c r="U138" s="20" t="e">
        <f t="shared" si="372"/>
        <v>#DIV/0!</v>
      </c>
      <c r="V138" s="20" t="e">
        <f t="shared" si="372"/>
        <v>#DIV/0!</v>
      </c>
      <c r="W138" s="20" t="e">
        <f t="shared" si="372"/>
        <v>#DIV/0!</v>
      </c>
      <c r="X138" s="20" t="e">
        <f t="shared" si="372"/>
        <v>#DIV/0!</v>
      </c>
      <c r="Y138" s="20" t="e">
        <f t="shared" si="372"/>
        <v>#DIV/0!</v>
      </c>
      <c r="Z138" s="20" t="e">
        <f t="shared" si="372"/>
        <v>#DIV/0!</v>
      </c>
      <c r="AA138" s="20" t="e">
        <f t="shared" si="372"/>
        <v>#DIV/0!</v>
      </c>
      <c r="AB138" s="20" t="e">
        <f t="shared" si="372"/>
        <v>#DIV/0!</v>
      </c>
      <c r="AC138" s="20" t="e">
        <f t="shared" si="372"/>
        <v>#DIV/0!</v>
      </c>
      <c r="AD138" s="118" t="e">
        <f t="shared" si="347"/>
        <v>#DIV/0!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 t="e">
        <f>AVERAGE(G54:Q54)</f>
        <v>#DIV/0!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 t="e">
        <f>T142+U142</f>
        <v>#DIV/0!</v>
      </c>
      <c r="T142" s="133" t="e">
        <f>PV($C$1, ($AC$3-$T$3), 0, -AC54)</f>
        <v>#DIV/0!</v>
      </c>
      <c r="U142" s="133" t="e">
        <f>PV($C$1, ($AC$3-$T$3), 0, -AF54)</f>
        <v>#DIV/0!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 t="e">
        <f t="shared" ref="S143:S161" si="373">T143+U143</f>
        <v>#DIV/0!</v>
      </c>
      <c r="T143" s="133" t="e">
        <f>PV($C$1, ($AC$3-$T$3), 0, -AC56)</f>
        <v>#DIV/0!</v>
      </c>
      <c r="U143" s="133" t="e">
        <f>PV($C$1, ($AC$3-$T$3), 0, -AF56)</f>
        <v>#DIV/0!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 t="e">
        <f t="shared" si="373"/>
        <v>#DIV/0!</v>
      </c>
      <c r="T144" s="133" t="e">
        <f>PV($C$1, ($AC$3-$T$3), 0, -AC57)</f>
        <v>#DIV/0!</v>
      </c>
      <c r="U144" s="133" t="e">
        <f>PV($C$1, ($AC$3-$T$3), 0, -AF57)</f>
        <v>#DIV/0!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 t="e">
        <f t="shared" si="373"/>
        <v>#DIV/0!</v>
      </c>
      <c r="T145" s="133" t="e">
        <f>PV($C$1, ($AC$3-$T$3), 0, -AC58)</f>
        <v>#DIV/0!</v>
      </c>
      <c r="U145" s="133" t="e">
        <f>PV($C$1, ($AC$3-$T$3), 0, -AF58)</f>
        <v>#DIV/0!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 t="e">
        <f t="shared" si="373"/>
        <v>#DIV/0!</v>
      </c>
      <c r="T146" s="133" t="e">
        <f>PV($C$1, ($AC$3-$T$3), 0, -AC64)</f>
        <v>#DIV/0!</v>
      </c>
      <c r="U146" s="133" t="e">
        <f>PV($C$1, ($AC$3-$T$3), 0, -AF64)</f>
        <v>#DIV/0!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 t="e">
        <f t="shared" si="373"/>
        <v>#DIV/0!</v>
      </c>
      <c r="T148" s="133" t="e">
        <f>PV($C$1, ($AC$3-$T$3), 0, -AC60)</f>
        <v>#DIV/0!</v>
      </c>
      <c r="U148" s="133" t="e">
        <f>PV($C$1, ($AC$3-$T$3), 0, -$AF$60)</f>
        <v>#DIV/0!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 t="e">
        <f t="shared" si="373"/>
        <v>#DIV/0!</v>
      </c>
      <c r="T149" s="133" t="e">
        <f>PV($C$1, ($AC$3-$T$3), 0, -AC61)</f>
        <v>#DIV/0!</v>
      </c>
      <c r="U149" s="133" t="e">
        <f>PV($C$1, ($AC$3-$T$3), 0, -$AF$61)</f>
        <v>#DIV/0!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 t="e">
        <f t="shared" si="373"/>
        <v>#DIV/0!</v>
      </c>
      <c r="T150" s="133" t="e">
        <f>PV($C$1, ($AC$3-$T$3), 0, -AC62)</f>
        <v>#DIV/0!</v>
      </c>
      <c r="U150" s="133" t="e">
        <f>PV($C$1, ($AC$3-$T$3), 0, -$AF$62)</f>
        <v>#DIV/0!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 t="e">
        <f t="shared" si="373"/>
        <v>#DIV/0!</v>
      </c>
      <c r="T152" s="133" t="e">
        <f>PV($C$1, ($AC$3-$T$3), 0, -AC67)</f>
        <v>#DIV/0!</v>
      </c>
      <c r="U152" s="133" t="e">
        <f>PV($C$1, ($AC$3-$T$3), 0, -AF67)</f>
        <v>#DIV/0!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 t="e">
        <f t="shared" si="373"/>
        <v>#DIV/0!</v>
      </c>
      <c r="T153" s="133" t="e">
        <f>PV($C$1, ($AC$3-$T$3), 0, -AC68)</f>
        <v>#DIV/0!</v>
      </c>
      <c r="U153" s="133" t="e">
        <f>PV($C$1, ($AC$3-$T$3), 0, -AF68)</f>
        <v>#DIV/0!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4">T155+U155</f>
        <v>0</v>
      </c>
      <c r="T155" s="133">
        <f>PV($C$1, ($AC$3-$T$3), 0, -AC12)</f>
        <v>0</v>
      </c>
      <c r="U155" s="133">
        <f>PV($C$1, ($AC$3-$T$3), 0, -AF12)</f>
        <v>0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 t="e">
        <f>T156+U156</f>
        <v>#DIV/0!</v>
      </c>
      <c r="T156" s="140" t="e">
        <f>T155/P42</f>
        <v>#DIV/0!</v>
      </c>
      <c r="U156" s="140" t="e">
        <f>U155/P42</f>
        <v>#DIV/0!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5">T159+U159</f>
        <v>0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0</v>
      </c>
      <c r="U159" s="133">
        <f>PV($C$1, ($AC$3-$T$3), 0, -AF70)</f>
        <v>0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3"/>
        <v>0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0</v>
      </c>
      <c r="U161" s="133">
        <f>PV($C$1, ($AC$3-$T$3), 0, -AF72)</f>
        <v>0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 t="e">
        <f t="shared" ref="S163:S166" si="376">T163+U163</f>
        <v>#DIV/0!</v>
      </c>
      <c r="T163" s="133" t="e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#DIV/0!</v>
      </c>
      <c r="U163" s="133" t="e">
        <f>PV($C$1, ($AC$3-$T$3), 0, -AF74)</f>
        <v>#DIV/0!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 t="e">
        <f t="shared" si="376"/>
        <v>#DIV/0!</v>
      </c>
      <c r="T164" s="133" t="e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#DIV/0!</v>
      </c>
      <c r="U164" s="133" t="e">
        <f>PV($C$1, ($AC$3-$T$3), 0, -AF75)</f>
        <v>#DIV/0!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 t="e">
        <f t="shared" si="376"/>
        <v>#DIV/0!</v>
      </c>
      <c r="T165" s="133" t="e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#DIV/0!</v>
      </c>
      <c r="U165" s="133" t="e">
        <f>PV($C$1, ($AC$3-$T$3), 0, -AF76)</f>
        <v>#DIV/0!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 t="e">
        <f t="shared" si="376"/>
        <v>#DIV/0!</v>
      </c>
      <c r="T166" s="133" t="e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#DIV/0!</v>
      </c>
      <c r="U166" s="133" t="e">
        <f>PV($C$1, ($AC$3-$T$3), 0, -AF77)</f>
        <v>#DIV/0!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 t="e">
        <f>T168+U168</f>
        <v>#DIV/0!</v>
      </c>
      <c r="T168" s="133" t="e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#DIV/0!</v>
      </c>
      <c r="U168" s="133" t="e">
        <f>PV($C$1, ($AC$3-$T$3), 0, -AF78)</f>
        <v>#DIV/0!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0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 t="s">
        <v>392</v>
      </c>
      <c r="Q170" s="20"/>
      <c r="R170" s="20" t="s">
        <v>392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118" t="e">
        <f t="shared" ref="R171:R176" si="377">((P171/G171)^(1/($H$2-$H$1) ))-1</f>
        <v>#DIV/0!</v>
      </c>
      <c r="S171" s="31">
        <f>L2-3%</f>
        <v>0.09</v>
      </c>
      <c r="T171" s="119">
        <f t="shared" ref="T171" si="378">P171*(1+$S171)</f>
        <v>0</v>
      </c>
      <c r="U171" s="119">
        <f t="shared" ref="U171:AC171" si="379">T171*(1+$S171)</f>
        <v>0</v>
      </c>
      <c r="V171" s="119">
        <f t="shared" si="379"/>
        <v>0</v>
      </c>
      <c r="W171" s="119">
        <f t="shared" si="379"/>
        <v>0</v>
      </c>
      <c r="X171" s="119">
        <f t="shared" si="379"/>
        <v>0</v>
      </c>
      <c r="Y171" s="119">
        <f t="shared" si="379"/>
        <v>0</v>
      </c>
      <c r="Z171" s="119">
        <f t="shared" si="379"/>
        <v>0</v>
      </c>
      <c r="AA171" s="119">
        <f t="shared" si="379"/>
        <v>0</v>
      </c>
      <c r="AB171" s="119">
        <f t="shared" si="379"/>
        <v>0</v>
      </c>
      <c r="AC171" s="119">
        <f t="shared" si="379"/>
        <v>0</v>
      </c>
      <c r="AD171" s="138" t="e">
        <f t="shared" ref="AD171:AD176" si="380">((AC171/G171)^(1/($AC$3-$H$1) ))-1</f>
        <v>#DIV/0!</v>
      </c>
      <c r="AE171" s="31">
        <v>0.08</v>
      </c>
      <c r="AF171" s="127" t="e">
        <f t="shared" ref="AF171:AF179" si="381">(AC171*(1+AD171))/($C$1-AE171)</f>
        <v>#DIV/0!</v>
      </c>
    </row>
    <row r="172" spans="2:32" x14ac:dyDescent="0.2">
      <c r="B172" s="20" t="s">
        <v>361</v>
      </c>
      <c r="C172" s="25" t="e">
        <f t="shared" ref="C172:P172" si="382">C171/C50</f>
        <v>#DIV/0!</v>
      </c>
      <c r="D172" s="25" t="e">
        <f t="shared" si="382"/>
        <v>#DIV/0!</v>
      </c>
      <c r="E172" s="25" t="e">
        <f t="shared" si="382"/>
        <v>#DIV/0!</v>
      </c>
      <c r="F172" s="25" t="e">
        <f t="shared" si="382"/>
        <v>#DIV/0!</v>
      </c>
      <c r="G172" s="25" t="e">
        <f t="shared" si="382"/>
        <v>#DIV/0!</v>
      </c>
      <c r="H172" s="25" t="e">
        <f t="shared" si="382"/>
        <v>#DIV/0!</v>
      </c>
      <c r="I172" s="25" t="e">
        <f t="shared" si="382"/>
        <v>#DIV/0!</v>
      </c>
      <c r="J172" s="25" t="e">
        <f t="shared" si="382"/>
        <v>#DIV/0!</v>
      </c>
      <c r="K172" s="25" t="e">
        <f t="shared" si="382"/>
        <v>#DIV/0!</v>
      </c>
      <c r="L172" s="25" t="e">
        <f t="shared" si="382"/>
        <v>#DIV/0!</v>
      </c>
      <c r="M172" s="25" t="e">
        <f t="shared" si="382"/>
        <v>#DIV/0!</v>
      </c>
      <c r="N172" s="25" t="e">
        <f t="shared" si="382"/>
        <v>#DIV/0!</v>
      </c>
      <c r="O172" s="25" t="e">
        <f t="shared" si="382"/>
        <v>#DIV/0!</v>
      </c>
      <c r="P172" s="25" t="e">
        <f t="shared" si="382"/>
        <v>#DIV/0!</v>
      </c>
      <c r="Q172" s="25" t="e">
        <f t="shared" ref="Q172" si="383">Q171/Q50</f>
        <v>#DIV/0!</v>
      </c>
      <c r="R172" s="118" t="e">
        <f t="shared" ref="R172" si="384">((P172/G172)^(1/($H$2-$H$1) ))-1</f>
        <v>#DIV/0!</v>
      </c>
      <c r="S172" s="128"/>
      <c r="T172" s="25" t="e">
        <f t="shared" ref="T172:AC172" si="385">T171/T50</f>
        <v>#DIV/0!</v>
      </c>
      <c r="U172" s="25" t="e">
        <f t="shared" si="385"/>
        <v>#DIV/0!</v>
      </c>
      <c r="V172" s="25" t="e">
        <f t="shared" si="385"/>
        <v>#DIV/0!</v>
      </c>
      <c r="W172" s="25" t="e">
        <f t="shared" si="385"/>
        <v>#DIV/0!</v>
      </c>
      <c r="X172" s="25" t="e">
        <f t="shared" si="385"/>
        <v>#DIV/0!</v>
      </c>
      <c r="Y172" s="25" t="e">
        <f t="shared" si="385"/>
        <v>#DIV/0!</v>
      </c>
      <c r="Z172" s="25" t="e">
        <f t="shared" si="385"/>
        <v>#DIV/0!</v>
      </c>
      <c r="AA172" s="25" t="e">
        <f t="shared" si="385"/>
        <v>#DIV/0!</v>
      </c>
      <c r="AB172" s="25" t="e">
        <f t="shared" si="385"/>
        <v>#DIV/0!</v>
      </c>
      <c r="AC172" s="25" t="e">
        <f t="shared" si="385"/>
        <v>#DIV/0!</v>
      </c>
      <c r="AD172" s="138" t="e">
        <f t="shared" ref="AD172" si="386">((AC172/G172)^(1/($AC$3-$H$1) ))-1</f>
        <v>#DIV/0!</v>
      </c>
      <c r="AE172" s="31">
        <v>0.08</v>
      </c>
      <c r="AF172" s="127" t="e">
        <f t="shared" ref="AF172" si="387">(AC172*(1+AD172))/($C$1-AE172)</f>
        <v>#DIV/0!</v>
      </c>
    </row>
    <row r="173" spans="2:32" x14ac:dyDescent="0.2">
      <c r="B173" s="20" t="s">
        <v>389</v>
      </c>
      <c r="C173" s="25" t="e">
        <f t="shared" ref="C173:P173" si="388">C171/C54</f>
        <v>#DIV/0!</v>
      </c>
      <c r="D173" s="25" t="e">
        <f t="shared" si="388"/>
        <v>#DIV/0!</v>
      </c>
      <c r="E173" s="25" t="e">
        <f t="shared" si="388"/>
        <v>#DIV/0!</v>
      </c>
      <c r="F173" s="25" t="e">
        <f t="shared" si="388"/>
        <v>#DIV/0!</v>
      </c>
      <c r="G173" s="25" t="e">
        <f t="shared" si="388"/>
        <v>#DIV/0!</v>
      </c>
      <c r="H173" s="25" t="e">
        <f t="shared" si="388"/>
        <v>#DIV/0!</v>
      </c>
      <c r="I173" s="25" t="e">
        <f t="shared" si="388"/>
        <v>#DIV/0!</v>
      </c>
      <c r="J173" s="25" t="e">
        <f t="shared" si="388"/>
        <v>#DIV/0!</v>
      </c>
      <c r="K173" s="25" t="e">
        <f t="shared" si="388"/>
        <v>#DIV/0!</v>
      </c>
      <c r="L173" s="25" t="e">
        <f t="shared" si="388"/>
        <v>#DIV/0!</v>
      </c>
      <c r="M173" s="25" t="e">
        <f t="shared" si="388"/>
        <v>#DIV/0!</v>
      </c>
      <c r="N173" s="25" t="e">
        <f t="shared" si="388"/>
        <v>#DIV/0!</v>
      </c>
      <c r="O173" s="25" t="e">
        <f t="shared" si="388"/>
        <v>#DIV/0!</v>
      </c>
      <c r="P173" s="25" t="e">
        <f t="shared" si="388"/>
        <v>#DIV/0!</v>
      </c>
      <c r="Q173" s="25" t="e">
        <f t="shared" ref="Q173" si="389">Q171/Q54</f>
        <v>#DIV/0!</v>
      </c>
      <c r="R173" s="118" t="e">
        <f t="shared" si="377"/>
        <v>#DIV/0!</v>
      </c>
      <c r="S173" s="128"/>
      <c r="T173" s="119" t="e">
        <f t="shared" ref="T173:AC173" si="390">T171/T54</f>
        <v>#DIV/0!</v>
      </c>
      <c r="U173" s="119" t="e">
        <f t="shared" si="390"/>
        <v>#DIV/0!</v>
      </c>
      <c r="V173" s="119" t="e">
        <f t="shared" si="390"/>
        <v>#DIV/0!</v>
      </c>
      <c r="W173" s="119" t="e">
        <f t="shared" si="390"/>
        <v>#DIV/0!</v>
      </c>
      <c r="X173" s="119" t="e">
        <f t="shared" si="390"/>
        <v>#DIV/0!</v>
      </c>
      <c r="Y173" s="119" t="e">
        <f t="shared" si="390"/>
        <v>#DIV/0!</v>
      </c>
      <c r="Z173" s="119" t="e">
        <f t="shared" si="390"/>
        <v>#DIV/0!</v>
      </c>
      <c r="AA173" s="119" t="e">
        <f t="shared" si="390"/>
        <v>#DIV/0!</v>
      </c>
      <c r="AB173" s="119" t="e">
        <f t="shared" si="390"/>
        <v>#DIV/0!</v>
      </c>
      <c r="AC173" s="119" t="e">
        <f t="shared" si="390"/>
        <v>#DIV/0!</v>
      </c>
      <c r="AD173" s="138" t="e">
        <f t="shared" si="380"/>
        <v>#DIV/0!</v>
      </c>
      <c r="AE173" s="31">
        <v>0.08</v>
      </c>
      <c r="AF173" s="127" t="e">
        <f t="shared" si="381"/>
        <v>#DIV/0!</v>
      </c>
    </row>
    <row r="174" spans="2:32" x14ac:dyDescent="0.2">
      <c r="B174" s="20" t="s">
        <v>258</v>
      </c>
      <c r="C174" s="25" t="e">
        <f t="shared" ref="C174:P174" si="391">C171/C57</f>
        <v>#DIV/0!</v>
      </c>
      <c r="D174" s="25" t="e">
        <f t="shared" si="391"/>
        <v>#DIV/0!</v>
      </c>
      <c r="E174" s="25" t="e">
        <f t="shared" si="391"/>
        <v>#DIV/0!</v>
      </c>
      <c r="F174" s="25" t="e">
        <f t="shared" si="391"/>
        <v>#DIV/0!</v>
      </c>
      <c r="G174" s="25" t="e">
        <f t="shared" si="391"/>
        <v>#DIV/0!</v>
      </c>
      <c r="H174" s="25" t="e">
        <f t="shared" si="391"/>
        <v>#DIV/0!</v>
      </c>
      <c r="I174" s="25" t="e">
        <f t="shared" si="391"/>
        <v>#DIV/0!</v>
      </c>
      <c r="J174" s="25" t="e">
        <f t="shared" si="391"/>
        <v>#DIV/0!</v>
      </c>
      <c r="K174" s="25" t="e">
        <f t="shared" si="391"/>
        <v>#DIV/0!</v>
      </c>
      <c r="L174" s="25" t="e">
        <f t="shared" si="391"/>
        <v>#DIV/0!</v>
      </c>
      <c r="M174" s="25" t="e">
        <f t="shared" si="391"/>
        <v>#DIV/0!</v>
      </c>
      <c r="N174" s="25" t="e">
        <f t="shared" si="391"/>
        <v>#DIV/0!</v>
      </c>
      <c r="O174" s="25" t="e">
        <f t="shared" si="391"/>
        <v>#DIV/0!</v>
      </c>
      <c r="P174" s="25" t="e">
        <f t="shared" si="391"/>
        <v>#DIV/0!</v>
      </c>
      <c r="Q174" s="25" t="e">
        <f t="shared" ref="Q174" si="392">Q171/Q57</f>
        <v>#DIV/0!</v>
      </c>
      <c r="R174" s="118" t="e">
        <f t="shared" si="377"/>
        <v>#DIV/0!</v>
      </c>
      <c r="S174" s="128"/>
      <c r="T174" s="119" t="e">
        <f t="shared" ref="T174:AC174" si="393">T171/T57</f>
        <v>#DIV/0!</v>
      </c>
      <c r="U174" s="119" t="e">
        <f t="shared" si="393"/>
        <v>#DIV/0!</v>
      </c>
      <c r="V174" s="119" t="e">
        <f t="shared" si="393"/>
        <v>#DIV/0!</v>
      </c>
      <c r="W174" s="119" t="e">
        <f t="shared" si="393"/>
        <v>#DIV/0!</v>
      </c>
      <c r="X174" s="119" t="e">
        <f t="shared" si="393"/>
        <v>#DIV/0!</v>
      </c>
      <c r="Y174" s="119" t="e">
        <f t="shared" si="393"/>
        <v>#DIV/0!</v>
      </c>
      <c r="Z174" s="119" t="e">
        <f t="shared" si="393"/>
        <v>#DIV/0!</v>
      </c>
      <c r="AA174" s="119" t="e">
        <f t="shared" si="393"/>
        <v>#DIV/0!</v>
      </c>
      <c r="AB174" s="119" t="e">
        <f t="shared" si="393"/>
        <v>#DIV/0!</v>
      </c>
      <c r="AC174" s="119" t="e">
        <f t="shared" si="393"/>
        <v>#DIV/0!</v>
      </c>
      <c r="AD174" s="138" t="e">
        <f t="shared" si="380"/>
        <v>#DIV/0!</v>
      </c>
      <c r="AE174" s="31">
        <v>0.08</v>
      </c>
      <c r="AF174" s="127" t="e">
        <f t="shared" si="381"/>
        <v>#DIV/0!</v>
      </c>
    </row>
    <row r="175" spans="2:32" x14ac:dyDescent="0.2">
      <c r="B175" s="20" t="s">
        <v>259</v>
      </c>
      <c r="C175" s="25" t="e">
        <f t="shared" ref="C175:P175" si="394">C171/C66</f>
        <v>#DIV/0!</v>
      </c>
      <c r="D175" s="25" t="e">
        <f t="shared" si="394"/>
        <v>#DIV/0!</v>
      </c>
      <c r="E175" s="25" t="e">
        <f t="shared" si="394"/>
        <v>#DIV/0!</v>
      </c>
      <c r="F175" s="25" t="e">
        <f t="shared" si="394"/>
        <v>#DIV/0!</v>
      </c>
      <c r="G175" s="25" t="e">
        <f t="shared" si="394"/>
        <v>#DIV/0!</v>
      </c>
      <c r="H175" s="25" t="e">
        <f t="shared" si="394"/>
        <v>#DIV/0!</v>
      </c>
      <c r="I175" s="25" t="e">
        <f t="shared" si="394"/>
        <v>#DIV/0!</v>
      </c>
      <c r="J175" s="25" t="e">
        <f t="shared" si="394"/>
        <v>#DIV/0!</v>
      </c>
      <c r="K175" s="25" t="e">
        <f t="shared" si="394"/>
        <v>#DIV/0!</v>
      </c>
      <c r="L175" s="25" t="e">
        <f t="shared" si="394"/>
        <v>#DIV/0!</v>
      </c>
      <c r="M175" s="25" t="e">
        <f t="shared" si="394"/>
        <v>#DIV/0!</v>
      </c>
      <c r="N175" s="25" t="e">
        <f t="shared" si="394"/>
        <v>#DIV/0!</v>
      </c>
      <c r="O175" s="25" t="e">
        <f t="shared" si="394"/>
        <v>#DIV/0!</v>
      </c>
      <c r="P175" s="25" t="e">
        <f t="shared" si="394"/>
        <v>#DIV/0!</v>
      </c>
      <c r="Q175" s="25" t="e">
        <f t="shared" ref="Q175" si="395">Q171/Q66</f>
        <v>#DIV/0!</v>
      </c>
      <c r="R175" s="118" t="e">
        <f t="shared" si="377"/>
        <v>#DIV/0!</v>
      </c>
      <c r="S175" s="128"/>
      <c r="T175" s="119" t="e">
        <f t="shared" ref="T175:AC175" si="396">T171/T66</f>
        <v>#DIV/0!</v>
      </c>
      <c r="U175" s="119" t="e">
        <f t="shared" si="396"/>
        <v>#DIV/0!</v>
      </c>
      <c r="V175" s="119" t="e">
        <f t="shared" si="396"/>
        <v>#DIV/0!</v>
      </c>
      <c r="W175" s="119" t="e">
        <f t="shared" si="396"/>
        <v>#DIV/0!</v>
      </c>
      <c r="X175" s="119" t="e">
        <f t="shared" si="396"/>
        <v>#DIV/0!</v>
      </c>
      <c r="Y175" s="119" t="e">
        <f t="shared" si="396"/>
        <v>#DIV/0!</v>
      </c>
      <c r="Z175" s="119" t="e">
        <f t="shared" si="396"/>
        <v>#DIV/0!</v>
      </c>
      <c r="AA175" s="119" t="e">
        <f t="shared" si="396"/>
        <v>#DIV/0!</v>
      </c>
      <c r="AB175" s="119" t="e">
        <f t="shared" si="396"/>
        <v>#DIV/0!</v>
      </c>
      <c r="AC175" s="119" t="e">
        <f t="shared" si="396"/>
        <v>#DIV/0!</v>
      </c>
      <c r="AD175" s="138" t="e">
        <f t="shared" si="380"/>
        <v>#DIV/0!</v>
      </c>
      <c r="AE175" s="31">
        <v>0.08</v>
      </c>
      <c r="AF175" s="127" t="e">
        <f t="shared" si="381"/>
        <v>#DIV/0!</v>
      </c>
    </row>
    <row r="176" spans="2:32" x14ac:dyDescent="0.2">
      <c r="B176" s="20" t="s">
        <v>260</v>
      </c>
      <c r="C176" s="25" t="e">
        <f t="shared" ref="C176:P176" si="397">C171/C68</f>
        <v>#DIV/0!</v>
      </c>
      <c r="D176" s="25" t="e">
        <f t="shared" si="397"/>
        <v>#DIV/0!</v>
      </c>
      <c r="E176" s="25" t="e">
        <f t="shared" si="397"/>
        <v>#DIV/0!</v>
      </c>
      <c r="F176" s="25" t="e">
        <f t="shared" si="397"/>
        <v>#DIV/0!</v>
      </c>
      <c r="G176" s="25" t="e">
        <f t="shared" si="397"/>
        <v>#DIV/0!</v>
      </c>
      <c r="H176" s="25" t="e">
        <f t="shared" si="397"/>
        <v>#DIV/0!</v>
      </c>
      <c r="I176" s="25" t="e">
        <f t="shared" si="397"/>
        <v>#DIV/0!</v>
      </c>
      <c r="J176" s="25" t="e">
        <f t="shared" si="397"/>
        <v>#DIV/0!</v>
      </c>
      <c r="K176" s="25" t="e">
        <f t="shared" si="397"/>
        <v>#DIV/0!</v>
      </c>
      <c r="L176" s="25" t="e">
        <f t="shared" si="397"/>
        <v>#DIV/0!</v>
      </c>
      <c r="M176" s="25" t="e">
        <f t="shared" si="397"/>
        <v>#DIV/0!</v>
      </c>
      <c r="N176" s="25" t="e">
        <f t="shared" si="397"/>
        <v>#DIV/0!</v>
      </c>
      <c r="O176" s="25" t="e">
        <f t="shared" si="397"/>
        <v>#DIV/0!</v>
      </c>
      <c r="P176" s="25" t="e">
        <f t="shared" si="397"/>
        <v>#DIV/0!</v>
      </c>
      <c r="Q176" s="25" t="e">
        <f t="shared" ref="Q176" si="398">Q171/Q68</f>
        <v>#DIV/0!</v>
      </c>
      <c r="R176" s="118" t="e">
        <f t="shared" si="377"/>
        <v>#DIV/0!</v>
      </c>
      <c r="S176" s="128"/>
      <c r="T176" s="119" t="e">
        <f t="shared" ref="T176:AC176" si="399">T171/T68</f>
        <v>#DIV/0!</v>
      </c>
      <c r="U176" s="119" t="e">
        <f t="shared" si="399"/>
        <v>#DIV/0!</v>
      </c>
      <c r="V176" s="119" t="e">
        <f t="shared" si="399"/>
        <v>#DIV/0!</v>
      </c>
      <c r="W176" s="119" t="e">
        <f t="shared" si="399"/>
        <v>#DIV/0!</v>
      </c>
      <c r="X176" s="119" t="e">
        <f t="shared" si="399"/>
        <v>#DIV/0!</v>
      </c>
      <c r="Y176" s="119" t="e">
        <f t="shared" si="399"/>
        <v>#DIV/0!</v>
      </c>
      <c r="Z176" s="119" t="e">
        <f t="shared" si="399"/>
        <v>#DIV/0!</v>
      </c>
      <c r="AA176" s="119" t="e">
        <f t="shared" si="399"/>
        <v>#DIV/0!</v>
      </c>
      <c r="AB176" s="119" t="e">
        <f t="shared" si="399"/>
        <v>#DIV/0!</v>
      </c>
      <c r="AC176" s="119" t="e">
        <f t="shared" si="399"/>
        <v>#DIV/0!</v>
      </c>
      <c r="AD176" s="138" t="e">
        <f t="shared" si="380"/>
        <v>#DIV/0!</v>
      </c>
      <c r="AE176" s="31">
        <v>0.08</v>
      </c>
      <c r="AF176" s="127" t="e">
        <f t="shared" si="381"/>
        <v>#DIV/0!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 t="e">
        <f t="shared" ref="G177:P177" si="400">G171/G62</f>
        <v>#DIV/0!</v>
      </c>
      <c r="H177" s="182" t="e">
        <f t="shared" si="400"/>
        <v>#DIV/0!</v>
      </c>
      <c r="I177" s="182" t="e">
        <f t="shared" si="400"/>
        <v>#DIV/0!</v>
      </c>
      <c r="J177" s="182" t="e">
        <f t="shared" si="400"/>
        <v>#DIV/0!</v>
      </c>
      <c r="K177" s="182" t="e">
        <f t="shared" si="400"/>
        <v>#DIV/0!</v>
      </c>
      <c r="L177" s="182" t="e">
        <f t="shared" si="400"/>
        <v>#DIV/0!</v>
      </c>
      <c r="M177" s="182" t="e">
        <f t="shared" si="400"/>
        <v>#DIV/0!</v>
      </c>
      <c r="N177" s="182" t="e">
        <f t="shared" si="400"/>
        <v>#DIV/0!</v>
      </c>
      <c r="O177" s="182" t="e">
        <f t="shared" si="400"/>
        <v>#DIV/0!</v>
      </c>
      <c r="P177" s="182" t="e">
        <f t="shared" si="400"/>
        <v>#DIV/0!</v>
      </c>
      <c r="Q177" s="182" t="e">
        <f t="shared" ref="Q177" si="401">Q171/Q62</f>
        <v>#DIV/0!</v>
      </c>
      <c r="R177" s="118" t="e">
        <f t="shared" ref="R177:R180" si="402">((P177/G177)^(1/($H$2-$H$1) ))-1</f>
        <v>#DIV/0!</v>
      </c>
      <c r="S177" s="128"/>
      <c r="T177" s="135" t="e">
        <f t="shared" ref="T177:AC177" si="403">T171/T62</f>
        <v>#DIV/0!</v>
      </c>
      <c r="U177" s="135" t="e">
        <f t="shared" si="403"/>
        <v>#DIV/0!</v>
      </c>
      <c r="V177" s="135" t="e">
        <f t="shared" si="403"/>
        <v>#DIV/0!</v>
      </c>
      <c r="W177" s="135" t="e">
        <f t="shared" si="403"/>
        <v>#DIV/0!</v>
      </c>
      <c r="X177" s="135" t="e">
        <f t="shared" si="403"/>
        <v>#DIV/0!</v>
      </c>
      <c r="Y177" s="135" t="e">
        <f t="shared" si="403"/>
        <v>#DIV/0!</v>
      </c>
      <c r="Z177" s="135" t="e">
        <f t="shared" si="403"/>
        <v>#DIV/0!</v>
      </c>
      <c r="AA177" s="135" t="e">
        <f t="shared" si="403"/>
        <v>#DIV/0!</v>
      </c>
      <c r="AB177" s="135" t="e">
        <f t="shared" si="403"/>
        <v>#DIV/0!</v>
      </c>
      <c r="AC177" s="135" t="e">
        <f t="shared" si="403"/>
        <v>#DIV/0!</v>
      </c>
      <c r="AD177" s="138" t="e">
        <f t="shared" ref="AD177" si="404">((AC177/G177)^(1/($AC$3-$H$1) ))-1</f>
        <v>#DIV/0!</v>
      </c>
      <c r="AE177" s="31">
        <v>0.08</v>
      </c>
      <c r="AF177" s="127" t="e">
        <f t="shared" si="381"/>
        <v>#DIV/0!</v>
      </c>
    </row>
    <row r="178" spans="2:46" x14ac:dyDescent="0.2">
      <c r="B178" s="20" t="s">
        <v>371</v>
      </c>
      <c r="C178" s="161" t="e">
        <f t="shared" ref="C178:P178" si="405">C54/C171</f>
        <v>#DIV/0!</v>
      </c>
      <c r="D178" s="161" t="e">
        <f t="shared" si="405"/>
        <v>#DIV/0!</v>
      </c>
      <c r="E178" s="161" t="e">
        <f t="shared" si="405"/>
        <v>#DIV/0!</v>
      </c>
      <c r="F178" s="161" t="e">
        <f t="shared" si="405"/>
        <v>#DIV/0!</v>
      </c>
      <c r="G178" s="161" t="e">
        <f t="shared" si="405"/>
        <v>#DIV/0!</v>
      </c>
      <c r="H178" s="161" t="e">
        <f t="shared" si="405"/>
        <v>#DIV/0!</v>
      </c>
      <c r="I178" s="161" t="e">
        <f t="shared" si="405"/>
        <v>#DIV/0!</v>
      </c>
      <c r="J178" s="161" t="e">
        <f t="shared" si="405"/>
        <v>#DIV/0!</v>
      </c>
      <c r="K178" s="161" t="e">
        <f t="shared" si="405"/>
        <v>#DIV/0!</v>
      </c>
      <c r="L178" s="161" t="e">
        <f t="shared" si="405"/>
        <v>#DIV/0!</v>
      </c>
      <c r="M178" s="161" t="e">
        <f t="shared" si="405"/>
        <v>#DIV/0!</v>
      </c>
      <c r="N178" s="161" t="e">
        <f t="shared" si="405"/>
        <v>#DIV/0!</v>
      </c>
      <c r="O178" s="161" t="e">
        <f t="shared" si="405"/>
        <v>#DIV/0!</v>
      </c>
      <c r="P178" s="161" t="e">
        <f t="shared" si="405"/>
        <v>#DIV/0!</v>
      </c>
      <c r="Q178" s="161" t="e">
        <f t="shared" ref="Q178" si="406">Q54/Q171</f>
        <v>#DIV/0!</v>
      </c>
      <c r="R178" s="118" t="e">
        <f t="shared" si="402"/>
        <v>#DIV/0!</v>
      </c>
      <c r="S178" s="128"/>
      <c r="T178" s="161" t="e">
        <f t="shared" ref="T178:AC178" si="407">T54/T171</f>
        <v>#DIV/0!</v>
      </c>
      <c r="U178" s="161" t="e">
        <f t="shared" si="407"/>
        <v>#DIV/0!</v>
      </c>
      <c r="V178" s="161" t="e">
        <f t="shared" si="407"/>
        <v>#DIV/0!</v>
      </c>
      <c r="W178" s="161" t="e">
        <f t="shared" si="407"/>
        <v>#DIV/0!</v>
      </c>
      <c r="X178" s="161" t="e">
        <f t="shared" si="407"/>
        <v>#DIV/0!</v>
      </c>
      <c r="Y178" s="161" t="e">
        <f t="shared" si="407"/>
        <v>#DIV/0!</v>
      </c>
      <c r="Z178" s="161" t="e">
        <f t="shared" si="407"/>
        <v>#DIV/0!</v>
      </c>
      <c r="AA178" s="161" t="e">
        <f t="shared" si="407"/>
        <v>#DIV/0!</v>
      </c>
      <c r="AB178" s="161" t="e">
        <f t="shared" si="407"/>
        <v>#DIV/0!</v>
      </c>
      <c r="AC178" s="161" t="e">
        <f t="shared" si="407"/>
        <v>#DIV/0!</v>
      </c>
      <c r="AD178" s="138" t="e">
        <f t="shared" ref="AD178:AD180" si="408">((AC178/G178)^(1/($AC$3-$H$1) ))-1</f>
        <v>#DIV/0!</v>
      </c>
      <c r="AE178" s="31">
        <v>0.08</v>
      </c>
      <c r="AF178" s="127" t="e">
        <f t="shared" si="381"/>
        <v>#DIV/0!</v>
      </c>
    </row>
    <row r="179" spans="2:46" x14ac:dyDescent="0.2">
      <c r="B179" s="20" t="s">
        <v>320</v>
      </c>
      <c r="C179" s="152" t="e">
        <f t="shared" ref="C179:P179" si="409">C44/C171</f>
        <v>#DIV/0!</v>
      </c>
      <c r="D179" s="152" t="e">
        <f t="shared" si="409"/>
        <v>#DIV/0!</v>
      </c>
      <c r="E179" s="152" t="e">
        <f t="shared" si="409"/>
        <v>#DIV/0!</v>
      </c>
      <c r="F179" s="152" t="e">
        <f t="shared" si="409"/>
        <v>#DIV/0!</v>
      </c>
      <c r="G179" s="152" t="e">
        <f t="shared" si="409"/>
        <v>#DIV/0!</v>
      </c>
      <c r="H179" s="152" t="e">
        <f t="shared" si="409"/>
        <v>#DIV/0!</v>
      </c>
      <c r="I179" s="152" t="e">
        <f t="shared" si="409"/>
        <v>#DIV/0!</v>
      </c>
      <c r="J179" s="152" t="e">
        <f t="shared" si="409"/>
        <v>#DIV/0!</v>
      </c>
      <c r="K179" s="152" t="e">
        <f t="shared" si="409"/>
        <v>#DIV/0!</v>
      </c>
      <c r="L179" s="152" t="e">
        <f t="shared" si="409"/>
        <v>#DIV/0!</v>
      </c>
      <c r="M179" s="152" t="e">
        <f t="shared" si="409"/>
        <v>#DIV/0!</v>
      </c>
      <c r="N179" s="152" t="e">
        <f t="shared" si="409"/>
        <v>#DIV/0!</v>
      </c>
      <c r="O179" s="152" t="e">
        <f t="shared" si="409"/>
        <v>#DIV/0!</v>
      </c>
      <c r="P179" s="152" t="e">
        <f t="shared" si="409"/>
        <v>#DIV/0!</v>
      </c>
      <c r="Q179" s="152" t="e">
        <f t="shared" ref="Q179" si="410">Q44/Q171</f>
        <v>#DIV/0!</v>
      </c>
      <c r="R179" s="118" t="e">
        <f t="shared" si="402"/>
        <v>#DIV/0!</v>
      </c>
      <c r="S179" s="128"/>
      <c r="T179" s="152" t="e">
        <f t="shared" ref="T179:AC179" si="411">T44/T171</f>
        <v>#DIV/0!</v>
      </c>
      <c r="U179" s="152" t="e">
        <f t="shared" si="411"/>
        <v>#DIV/0!</v>
      </c>
      <c r="V179" s="152" t="e">
        <f t="shared" si="411"/>
        <v>#DIV/0!</v>
      </c>
      <c r="W179" s="152" t="e">
        <f t="shared" si="411"/>
        <v>#DIV/0!</v>
      </c>
      <c r="X179" s="152" t="e">
        <f t="shared" si="411"/>
        <v>#DIV/0!</v>
      </c>
      <c r="Y179" s="152" t="e">
        <f t="shared" si="411"/>
        <v>#DIV/0!</v>
      </c>
      <c r="Z179" s="152" t="e">
        <f t="shared" si="411"/>
        <v>#DIV/0!</v>
      </c>
      <c r="AA179" s="152" t="e">
        <f t="shared" si="411"/>
        <v>#DIV/0!</v>
      </c>
      <c r="AB179" s="152" t="e">
        <f t="shared" si="411"/>
        <v>#DIV/0!</v>
      </c>
      <c r="AC179" s="152" t="e">
        <f t="shared" si="411"/>
        <v>#DIV/0!</v>
      </c>
      <c r="AD179" s="138" t="e">
        <f t="shared" si="408"/>
        <v>#DIV/0!</v>
      </c>
      <c r="AE179" s="31">
        <v>0.08</v>
      </c>
      <c r="AF179" s="127" t="e">
        <f t="shared" si="381"/>
        <v>#DIV/0!</v>
      </c>
    </row>
    <row r="180" spans="2:46" x14ac:dyDescent="0.2">
      <c r="B180" s="20" t="s">
        <v>447</v>
      </c>
      <c r="C180" s="181" t="e">
        <f t="shared" ref="C180:O180" si="412">(C173)/($L$2*100)</f>
        <v>#DIV/0!</v>
      </c>
      <c r="D180" s="181" t="e">
        <f t="shared" si="412"/>
        <v>#DIV/0!</v>
      </c>
      <c r="E180" s="181" t="e">
        <f t="shared" si="412"/>
        <v>#DIV/0!</v>
      </c>
      <c r="F180" s="181" t="e">
        <f t="shared" si="412"/>
        <v>#DIV/0!</v>
      </c>
      <c r="G180" s="181" t="e">
        <f t="shared" si="412"/>
        <v>#DIV/0!</v>
      </c>
      <c r="H180" s="181" t="e">
        <f t="shared" si="412"/>
        <v>#DIV/0!</v>
      </c>
      <c r="I180" s="181" t="e">
        <f t="shared" si="412"/>
        <v>#DIV/0!</v>
      </c>
      <c r="J180" s="181" t="e">
        <f t="shared" si="412"/>
        <v>#DIV/0!</v>
      </c>
      <c r="K180" s="181" t="e">
        <f t="shared" si="412"/>
        <v>#DIV/0!</v>
      </c>
      <c r="L180" s="181" t="e">
        <f t="shared" si="412"/>
        <v>#DIV/0!</v>
      </c>
      <c r="M180" s="181" t="e">
        <f t="shared" si="412"/>
        <v>#DIV/0!</v>
      </c>
      <c r="N180" s="181" t="e">
        <f t="shared" si="412"/>
        <v>#DIV/0!</v>
      </c>
      <c r="O180" s="181" t="e">
        <f t="shared" si="412"/>
        <v>#DIV/0!</v>
      </c>
      <c r="P180" s="181" t="e">
        <f>(P173)/($L$2*100)</f>
        <v>#DIV/0!</v>
      </c>
      <c r="Q180" s="181" t="e">
        <f>(Q173)/($L$2*100)</f>
        <v>#DIV/0!</v>
      </c>
      <c r="R180" s="118" t="e">
        <f t="shared" si="402"/>
        <v>#DIV/0!</v>
      </c>
      <c r="S180" s="128"/>
      <c r="T180" s="181" t="e">
        <f>(T173)/($L$2*100)</f>
        <v>#DIV/0!</v>
      </c>
      <c r="U180" s="181" t="e">
        <f t="shared" ref="U180:AC180" si="413">(U173)/($L$2*100)</f>
        <v>#DIV/0!</v>
      </c>
      <c r="V180" s="181" t="e">
        <f t="shared" si="413"/>
        <v>#DIV/0!</v>
      </c>
      <c r="W180" s="181" t="e">
        <f t="shared" si="413"/>
        <v>#DIV/0!</v>
      </c>
      <c r="X180" s="181" t="e">
        <f t="shared" si="413"/>
        <v>#DIV/0!</v>
      </c>
      <c r="Y180" s="181" t="e">
        <f t="shared" si="413"/>
        <v>#DIV/0!</v>
      </c>
      <c r="Z180" s="181" t="e">
        <f t="shared" si="413"/>
        <v>#DIV/0!</v>
      </c>
      <c r="AA180" s="181" t="e">
        <f t="shared" si="413"/>
        <v>#DIV/0!</v>
      </c>
      <c r="AB180" s="181" t="e">
        <f t="shared" si="413"/>
        <v>#DIV/0!</v>
      </c>
      <c r="AC180" s="181" t="e">
        <f t="shared" si="413"/>
        <v>#DIV/0!</v>
      </c>
      <c r="AD180" s="138" t="e">
        <f t="shared" si="408"/>
        <v>#DIV/0!</v>
      </c>
      <c r="AE180" s="31">
        <v>0.08</v>
      </c>
      <c r="AF180" s="181" t="e">
        <f>(AF173)/($L$2*100)</f>
        <v>#DIV/0!</v>
      </c>
    </row>
    <row r="181" spans="2:46" x14ac:dyDescent="0.2">
      <c r="B181" s="20" t="s">
        <v>448</v>
      </c>
      <c r="C181" s="152"/>
      <c r="D181" s="152"/>
      <c r="E181" s="152"/>
      <c r="F181" s="152"/>
      <c r="G181" s="152" t="e">
        <f t="shared" ref="G181:P181" si="414">G180-1</f>
        <v>#DIV/0!</v>
      </c>
      <c r="H181" s="152" t="e">
        <f t="shared" si="414"/>
        <v>#DIV/0!</v>
      </c>
      <c r="I181" s="152" t="e">
        <f t="shared" si="414"/>
        <v>#DIV/0!</v>
      </c>
      <c r="J181" s="152" t="e">
        <f t="shared" si="414"/>
        <v>#DIV/0!</v>
      </c>
      <c r="K181" s="152" t="e">
        <f t="shared" si="414"/>
        <v>#DIV/0!</v>
      </c>
      <c r="L181" s="152" t="e">
        <f t="shared" si="414"/>
        <v>#DIV/0!</v>
      </c>
      <c r="M181" s="152" t="e">
        <f t="shared" si="414"/>
        <v>#DIV/0!</v>
      </c>
      <c r="N181" s="152" t="e">
        <f t="shared" si="414"/>
        <v>#DIV/0!</v>
      </c>
      <c r="O181" s="152" t="e">
        <f t="shared" si="414"/>
        <v>#DIV/0!</v>
      </c>
      <c r="P181" s="152" t="e">
        <f t="shared" si="414"/>
        <v>#DIV/0!</v>
      </c>
      <c r="Q181" s="152" t="e">
        <f>Q180-1</f>
        <v>#DIV/0!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3" t="s">
        <v>351</v>
      </c>
      <c r="L183" s="204"/>
      <c r="M183" s="20"/>
      <c r="N183" s="20"/>
      <c r="O183" s="20"/>
      <c r="P183" s="108" t="s">
        <v>431</v>
      </c>
      <c r="Q183" s="108" t="s">
        <v>430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 t="e">
        <f>(Q171-S159)/Q171</f>
        <v>#DIV/0!</v>
      </c>
      <c r="Q184" s="128" t="e">
        <f>(Q171-T159)/Q171</f>
        <v>#DIV/0!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 t="e">
        <f>(P171-(K185*S150))/P171</f>
        <v>#DIV/0!</v>
      </c>
      <c r="N185" s="20"/>
      <c r="O185" s="20"/>
      <c r="P185" s="128" t="e">
        <f>(Q171-S150)/Q171</f>
        <v>#DIV/0!</v>
      </c>
      <c r="Q185" s="128" t="e">
        <f>(Q171-T150)/Q171</f>
        <v>#DIV/0!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 t="e">
        <f>(P171-(K186*S143))/P171</f>
        <v>#DIV/0!</v>
      </c>
      <c r="N186" s="20"/>
      <c r="O186" s="20"/>
      <c r="P186" s="128" t="e">
        <f>(Q171-S143)/Q171</f>
        <v>#DIV/0!</v>
      </c>
      <c r="Q186" s="128" t="e">
        <f>(Q171-T143)/Q171</f>
        <v>#DIV/0!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 t="e">
        <f>(P171-(K187*S156))/P171</f>
        <v>#DIV/0!</v>
      </c>
      <c r="N187" s="20"/>
      <c r="O187" s="20"/>
      <c r="P187" s="128" t="e">
        <f>(Q171-S156)/Q171</f>
        <v>#DIV/0!</v>
      </c>
      <c r="Q187" s="128" t="e">
        <f>(Q171-T156)/Q171</f>
        <v>#DIV/0!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400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 t="e">
        <f>(P171-(K188*S168))/P171</f>
        <v>#DIV/0!</v>
      </c>
      <c r="N188" s="20"/>
      <c r="O188" s="20"/>
      <c r="P188" s="128" t="e">
        <f>(Q171-S168)/Q171</f>
        <v>#DIV/0!</v>
      </c>
      <c r="Q188" s="128" t="e">
        <f>(Q171-T168)/Q171</f>
        <v>#DIV/0!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 t="e">
        <f>Q171/S142</f>
        <v>#DIV/0!</v>
      </c>
      <c r="Q189" s="25" t="e">
        <f>Q171/T142</f>
        <v>#DIV/0!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408</v>
      </c>
      <c r="AE189" s="115" t="s">
        <v>409</v>
      </c>
      <c r="AF189" s="115" t="s">
        <v>410</v>
      </c>
      <c r="AG189" s="115" t="s">
        <v>411</v>
      </c>
      <c r="AH189" s="115" t="s">
        <v>412</v>
      </c>
      <c r="AI189" s="115" t="s">
        <v>413</v>
      </c>
      <c r="AJ189" s="115" t="s">
        <v>414</v>
      </c>
      <c r="AK189" s="115" t="s">
        <v>415</v>
      </c>
      <c r="AL189" s="115" t="s">
        <v>416</v>
      </c>
      <c r="AM189" s="115" t="s">
        <v>417</v>
      </c>
      <c r="AN189" s="115" t="s">
        <v>418</v>
      </c>
      <c r="AO189" s="115" t="s">
        <v>419</v>
      </c>
      <c r="AP189" s="115" t="s">
        <v>420</v>
      </c>
      <c r="AQ189" s="115" t="s">
        <v>421</v>
      </c>
      <c r="AR189" s="115" t="s">
        <v>422</v>
      </c>
      <c r="AS189" s="115" t="s">
        <v>423</v>
      </c>
      <c r="AT189" s="115" t="s">
        <v>424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449</v>
      </c>
      <c r="H190" s="190"/>
      <c r="I190" s="189" t="s">
        <v>450</v>
      </c>
      <c r="J190" s="190"/>
      <c r="K190" s="20"/>
      <c r="L190" s="189" t="s">
        <v>451</v>
      </c>
      <c r="M190" s="190"/>
      <c r="N190" s="189" t="s">
        <v>452</v>
      </c>
      <c r="O190" s="190"/>
      <c r="P190" s="152" t="e">
        <f>1/P189</f>
        <v>#DIV/0!</v>
      </c>
      <c r="Q190" s="152" t="e">
        <f>1/Q189</f>
        <v>#DIV/0!</v>
      </c>
      <c r="R190" s="20"/>
      <c r="S190" s="20"/>
      <c r="T190" s="129" t="e">
        <f>Q171-T191</f>
        <v>#DIV/0!</v>
      </c>
      <c r="U190" s="185" t="e">
        <f>T190-U191</f>
        <v>#DIV/0!</v>
      </c>
      <c r="V190" s="185" t="e">
        <f t="shared" ref="V190:X190" si="415">U190-V191</f>
        <v>#DIV/0!</v>
      </c>
      <c r="W190" s="185" t="e">
        <f t="shared" si="415"/>
        <v>#DIV/0!</v>
      </c>
      <c r="X190" s="185" t="e">
        <f t="shared" si="415"/>
        <v>#DIV/0!</v>
      </c>
      <c r="Y190" s="185" t="e">
        <f>X190-Y191</f>
        <v>#DIV/0!</v>
      </c>
      <c r="Z190" s="185" t="e">
        <f t="shared" ref="Z190:AC190" si="416">Y190-Z191</f>
        <v>#DIV/0!</v>
      </c>
      <c r="AA190" s="185" t="e">
        <f t="shared" si="416"/>
        <v>#DIV/0!</v>
      </c>
      <c r="AB190" s="185" t="e">
        <f t="shared" si="416"/>
        <v>#DIV/0!</v>
      </c>
      <c r="AC190" s="185" t="e">
        <f t="shared" si="416"/>
        <v>#DIV/0!</v>
      </c>
      <c r="AD190" s="185" t="e">
        <f t="shared" ref="AD190" si="417">AC190-AD191</f>
        <v>#DIV/0!</v>
      </c>
      <c r="AE190" s="185" t="e">
        <f t="shared" ref="AE190" si="418">AD190-AE191</f>
        <v>#DIV/0!</v>
      </c>
      <c r="AF190" s="185" t="e">
        <f t="shared" ref="AF190" si="419">AE190-AF191</f>
        <v>#DIV/0!</v>
      </c>
      <c r="AG190" s="185" t="e">
        <f t="shared" ref="AG190" si="420">AF190-AG191</f>
        <v>#DIV/0!</v>
      </c>
      <c r="AH190" s="185" t="e">
        <f t="shared" ref="AH190" si="421">AG190-AH191</f>
        <v>#DIV/0!</v>
      </c>
      <c r="AI190" s="185" t="e">
        <f t="shared" ref="AI190" si="422">AH190-AI191</f>
        <v>#DIV/0!</v>
      </c>
      <c r="AJ190" s="185" t="e">
        <f t="shared" ref="AJ190" si="423">AI190-AJ191</f>
        <v>#DIV/0!</v>
      </c>
      <c r="AK190" s="185" t="e">
        <f t="shared" ref="AK190" si="424">AJ190-AK191</f>
        <v>#DIV/0!</v>
      </c>
      <c r="AL190" s="185" t="e">
        <f t="shared" ref="AL190" si="425">AK190-AL191</f>
        <v>#DIV/0!</v>
      </c>
      <c r="AM190" s="185" t="e">
        <f t="shared" ref="AM190" si="426">AL190-AM191</f>
        <v>#DIV/0!</v>
      </c>
      <c r="AN190" s="185" t="e">
        <f t="shared" ref="AN190" si="427">AM190-AN191</f>
        <v>#DIV/0!</v>
      </c>
      <c r="AO190" s="185" t="e">
        <f t="shared" ref="AO190" si="428">AN190-AO191</f>
        <v>#DIV/0!</v>
      </c>
      <c r="AP190" s="185" t="e">
        <f t="shared" ref="AP190" si="429">AO190-AP191</f>
        <v>#DIV/0!</v>
      </c>
      <c r="AQ190" s="185" t="e">
        <f t="shared" ref="AQ190" si="430">AP190-AQ191</f>
        <v>#DIV/0!</v>
      </c>
      <c r="AR190" s="185" t="e">
        <f t="shared" ref="AR190" si="431">AQ190-AR191</f>
        <v>#DIV/0!</v>
      </c>
      <c r="AS190" s="185" t="e">
        <f t="shared" ref="AS190" si="432">AR190-AS191</f>
        <v>#DIV/0!</v>
      </c>
      <c r="AT190" s="185" t="e">
        <f t="shared" ref="AT190" si="433">AS190-AT191</f>
        <v>#DIV/0!</v>
      </c>
    </row>
    <row r="191" spans="2:46" x14ac:dyDescent="0.2">
      <c r="B191" s="20" t="s">
        <v>397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 t="e">
        <f>Q171/R141</f>
        <v>#DIV/0!</v>
      </c>
      <c r="Q191" s="181" t="e">
        <f>Q171/R141</f>
        <v>#DIV/0!</v>
      </c>
      <c r="R191" s="20"/>
      <c r="S191" s="20"/>
      <c r="T191" s="186" t="e">
        <f>R141*(1+$K$191)</f>
        <v>#DIV/0!</v>
      </c>
      <c r="U191" s="186" t="e">
        <f>T191*(1+$K$191)</f>
        <v>#DIV/0!</v>
      </c>
      <c r="V191" s="186" t="e">
        <f t="shared" ref="V191:AC191" si="434">U191*(1+$K$191)</f>
        <v>#DIV/0!</v>
      </c>
      <c r="W191" s="186" t="e">
        <f t="shared" si="434"/>
        <v>#DIV/0!</v>
      </c>
      <c r="X191" s="186" t="e">
        <f t="shared" si="434"/>
        <v>#DIV/0!</v>
      </c>
      <c r="Y191" s="186" t="e">
        <f t="shared" si="434"/>
        <v>#DIV/0!</v>
      </c>
      <c r="Z191" s="186" t="e">
        <f t="shared" si="434"/>
        <v>#DIV/0!</v>
      </c>
      <c r="AA191" s="186" t="e">
        <f t="shared" si="434"/>
        <v>#DIV/0!</v>
      </c>
      <c r="AB191" s="186" t="e">
        <f t="shared" si="434"/>
        <v>#DIV/0!</v>
      </c>
      <c r="AC191" s="186" t="e">
        <f t="shared" si="434"/>
        <v>#DIV/0!</v>
      </c>
      <c r="AD191" s="186" t="e">
        <f t="shared" ref="AD191" si="435">AC191*(1+$K$191)</f>
        <v>#DIV/0!</v>
      </c>
      <c r="AE191" s="186" t="e">
        <f t="shared" ref="AE191" si="436">AD191*(1+$K$191)</f>
        <v>#DIV/0!</v>
      </c>
      <c r="AF191" s="186" t="e">
        <f t="shared" ref="AF191" si="437">AE191*(1+$K$191)</f>
        <v>#DIV/0!</v>
      </c>
      <c r="AG191" s="186" t="e">
        <f t="shared" ref="AG191" si="438">AF191*(1+$K$191)</f>
        <v>#DIV/0!</v>
      </c>
      <c r="AH191" s="186" t="e">
        <f t="shared" ref="AH191" si="439">AG191*(1+$K$191)</f>
        <v>#DIV/0!</v>
      </c>
      <c r="AI191" s="186" t="e">
        <f t="shared" ref="AI191" si="440">AH191*(1+$K$191)</f>
        <v>#DIV/0!</v>
      </c>
      <c r="AJ191" s="186" t="e">
        <f t="shared" ref="AJ191" si="441">AI191*(1+$K$191)</f>
        <v>#DIV/0!</v>
      </c>
      <c r="AK191" s="186" t="e">
        <f t="shared" ref="AK191" si="442">AJ191*(1+$K$191)</f>
        <v>#DIV/0!</v>
      </c>
      <c r="AL191" s="186" t="e">
        <f t="shared" ref="AL191" si="443">AK191*(1+$K$191)</f>
        <v>#DIV/0!</v>
      </c>
      <c r="AM191" s="186" t="e">
        <f t="shared" ref="AM191" si="444">AL191*(1+$K$191)</f>
        <v>#DIV/0!</v>
      </c>
      <c r="AN191" s="186" t="e">
        <f t="shared" ref="AN191" si="445">AM191*(1+$K$191)</f>
        <v>#DIV/0!</v>
      </c>
      <c r="AO191" s="186" t="e">
        <f t="shared" ref="AO191" si="446">AN191*(1+$K$191)</f>
        <v>#DIV/0!</v>
      </c>
      <c r="AP191" s="186" t="e">
        <f t="shared" ref="AP191" si="447">AO191*(1+$K$191)</f>
        <v>#DIV/0!</v>
      </c>
      <c r="AQ191" s="186" t="e">
        <f t="shared" ref="AQ191" si="448">AP191*(1+$K$191)</f>
        <v>#DIV/0!</v>
      </c>
      <c r="AR191" s="186" t="e">
        <f t="shared" ref="AR191" si="449">AQ191*(1+$K$191)</f>
        <v>#DIV/0!</v>
      </c>
      <c r="AS191" s="186" t="e">
        <f t="shared" ref="AS191" si="450">AR191*(1+$K$191)</f>
        <v>#DIV/0!</v>
      </c>
      <c r="AT191" s="186" t="e">
        <f t="shared" ref="AT191" si="451">AS191*(1+$K$191)</f>
        <v>#DIV/0!</v>
      </c>
    </row>
    <row r="192" spans="2:46" x14ac:dyDescent="0.2">
      <c r="B192" s="20" t="s">
        <v>396</v>
      </c>
      <c r="C192" s="20"/>
      <c r="D192" s="20"/>
      <c r="E192" s="23" t="s">
        <v>391</v>
      </c>
      <c r="F192" s="22"/>
      <c r="G192" s="191">
        <v>0</v>
      </c>
      <c r="H192" s="192" t="e">
        <f>Q173</f>
        <v>#DIV/0!</v>
      </c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 t="e">
        <f>Q171/Q54</f>
        <v>#DIV/0!</v>
      </c>
      <c r="Q192" s="181" t="e">
        <f>Q171/Q54</f>
        <v>#DIV/0!</v>
      </c>
      <c r="R192" s="20"/>
      <c r="S192" s="20"/>
      <c r="T192" s="186" t="e">
        <f>Q54*(1+$K$192)</f>
        <v>#DIV/0!</v>
      </c>
      <c r="U192" s="186" t="e">
        <f>T192*(1+$K$192)</f>
        <v>#DIV/0!</v>
      </c>
      <c r="V192" s="186" t="e">
        <f t="shared" ref="V192:AC192" si="452">U192*(1+$K$192)</f>
        <v>#DIV/0!</v>
      </c>
      <c r="W192" s="186" t="e">
        <f t="shared" si="452"/>
        <v>#DIV/0!</v>
      </c>
      <c r="X192" s="186" t="e">
        <f t="shared" si="452"/>
        <v>#DIV/0!</v>
      </c>
      <c r="Y192" s="186" t="e">
        <f t="shared" si="452"/>
        <v>#DIV/0!</v>
      </c>
      <c r="Z192" s="186" t="e">
        <f t="shared" si="452"/>
        <v>#DIV/0!</v>
      </c>
      <c r="AA192" s="186" t="e">
        <f t="shared" si="452"/>
        <v>#DIV/0!</v>
      </c>
      <c r="AB192" s="186" t="e">
        <f t="shared" si="452"/>
        <v>#DIV/0!</v>
      </c>
      <c r="AC192" s="186" t="e">
        <f t="shared" si="452"/>
        <v>#DIV/0!</v>
      </c>
      <c r="AD192" s="186" t="e">
        <f t="shared" ref="AD192" si="453">AC192*(1+$K$192)</f>
        <v>#DIV/0!</v>
      </c>
      <c r="AE192" s="186" t="e">
        <f t="shared" ref="AE192" si="454">AD192*(1+$K$192)</f>
        <v>#DIV/0!</v>
      </c>
      <c r="AF192" s="186" t="e">
        <f t="shared" ref="AF192" si="455">AE192*(1+$K$192)</f>
        <v>#DIV/0!</v>
      </c>
      <c r="AG192" s="186" t="e">
        <f t="shared" ref="AG192" si="456">AF192*(1+$K$192)</f>
        <v>#DIV/0!</v>
      </c>
      <c r="AH192" s="186" t="e">
        <f t="shared" ref="AH192" si="457">AG192*(1+$K$192)</f>
        <v>#DIV/0!</v>
      </c>
      <c r="AI192" s="186" t="e">
        <f t="shared" ref="AI192" si="458">AH192*(1+$K$192)</f>
        <v>#DIV/0!</v>
      </c>
      <c r="AJ192" s="186" t="e">
        <f t="shared" ref="AJ192" si="459">AI192*(1+$K$192)</f>
        <v>#DIV/0!</v>
      </c>
      <c r="AK192" s="186" t="e">
        <f t="shared" ref="AK192" si="460">AJ192*(1+$K$192)</f>
        <v>#DIV/0!</v>
      </c>
      <c r="AL192" s="186" t="e">
        <f t="shared" ref="AL192" si="461">AK192*(1+$K$192)</f>
        <v>#DIV/0!</v>
      </c>
      <c r="AM192" s="186" t="e">
        <f t="shared" ref="AM192" si="462">AL192*(1+$K$192)</f>
        <v>#DIV/0!</v>
      </c>
      <c r="AN192" s="186" t="e">
        <f t="shared" ref="AN192" si="463">AM192*(1+$K$192)</f>
        <v>#DIV/0!</v>
      </c>
      <c r="AO192" s="186" t="e">
        <f t="shared" ref="AO192" si="464">AN192*(1+$K$192)</f>
        <v>#DIV/0!</v>
      </c>
      <c r="AP192" s="186" t="e">
        <f t="shared" ref="AP192" si="465">AO192*(1+$K$192)</f>
        <v>#DIV/0!</v>
      </c>
      <c r="AQ192" s="186" t="e">
        <f t="shared" ref="AQ192" si="466">AP192*(1+$K$192)</f>
        <v>#DIV/0!</v>
      </c>
      <c r="AR192" s="186" t="e">
        <f t="shared" ref="AR192" si="467">AQ192*(1+$K$192)</f>
        <v>#DIV/0!</v>
      </c>
      <c r="AS192" s="186" t="e">
        <f t="shared" ref="AS192" si="468">AR192*(1+$K$192)</f>
        <v>#DIV/0!</v>
      </c>
      <c r="AT192" s="186" t="e">
        <f t="shared" ref="AT192" si="469">AS192*(1+$K$192)</f>
        <v>#DIV/0!</v>
      </c>
    </row>
    <row r="193" spans="2:46" x14ac:dyDescent="0.2">
      <c r="B193" s="20"/>
      <c r="C193" s="20"/>
      <c r="D193" s="20"/>
      <c r="E193" s="23" t="s">
        <v>455</v>
      </c>
      <c r="F193" s="22"/>
      <c r="G193" s="191">
        <v>0</v>
      </c>
      <c r="H193" s="192"/>
      <c r="I193" s="191">
        <v>0.05</v>
      </c>
      <c r="J193" s="190"/>
      <c r="K193" s="190"/>
      <c r="L193" s="191">
        <v>0.12</v>
      </c>
      <c r="M193" s="190"/>
      <c r="N193" s="191">
        <v>0.2</v>
      </c>
      <c r="O193" s="20"/>
      <c r="P193" s="20"/>
      <c r="Q193" s="20"/>
      <c r="R193" s="20"/>
      <c r="S193" s="20"/>
      <c r="T193" s="129" t="e">
        <f>Q171-T192</f>
        <v>#DIV/0!</v>
      </c>
      <c r="U193" s="185" t="e">
        <f>T193-U192</f>
        <v>#DIV/0!</v>
      </c>
      <c r="V193" s="185" t="e">
        <f t="shared" ref="V193:AA193" si="470">U193-V192</f>
        <v>#DIV/0!</v>
      </c>
      <c r="W193" s="185" t="e">
        <f t="shared" si="470"/>
        <v>#DIV/0!</v>
      </c>
      <c r="X193" s="185" t="e">
        <f t="shared" si="470"/>
        <v>#DIV/0!</v>
      </c>
      <c r="Y193" s="185" t="e">
        <f t="shared" si="470"/>
        <v>#DIV/0!</v>
      </c>
      <c r="Z193" s="185" t="e">
        <f t="shared" si="470"/>
        <v>#DIV/0!</v>
      </c>
      <c r="AA193" s="185" t="e">
        <f t="shared" si="470"/>
        <v>#DIV/0!</v>
      </c>
      <c r="AB193" s="185" t="e">
        <f>AA193-AB192</f>
        <v>#DIV/0!</v>
      </c>
      <c r="AC193" s="185" t="e">
        <f t="shared" ref="AC193" si="471">AB193-AC192</f>
        <v>#DIV/0!</v>
      </c>
      <c r="AD193" s="185" t="e">
        <f t="shared" ref="AD193" si="472">AC193-AD192</f>
        <v>#DIV/0!</v>
      </c>
      <c r="AE193" s="185" t="e">
        <f t="shared" ref="AE193" si="473">AD193-AE192</f>
        <v>#DIV/0!</v>
      </c>
      <c r="AF193" s="185" t="e">
        <f t="shared" ref="AF193" si="474">AE193-AF192</f>
        <v>#DIV/0!</v>
      </c>
      <c r="AG193" s="185" t="e">
        <f t="shared" ref="AG193" si="475">AF193-AG192</f>
        <v>#DIV/0!</v>
      </c>
      <c r="AH193" s="185" t="e">
        <f t="shared" ref="AH193" si="476">AG193-AH192</f>
        <v>#DIV/0!</v>
      </c>
      <c r="AI193" s="185" t="e">
        <f t="shared" ref="AI193" si="477">AH193-AI192</f>
        <v>#DIV/0!</v>
      </c>
      <c r="AJ193" s="185" t="e">
        <f t="shared" ref="AJ193" si="478">AI193-AJ192</f>
        <v>#DIV/0!</v>
      </c>
      <c r="AK193" s="185" t="e">
        <f t="shared" ref="AK193" si="479">AJ193-AK192</f>
        <v>#DIV/0!</v>
      </c>
      <c r="AL193" s="185" t="e">
        <f t="shared" ref="AL193" si="480">AK193-AL192</f>
        <v>#DIV/0!</v>
      </c>
      <c r="AM193" s="185" t="e">
        <f t="shared" ref="AM193" si="481">AL193-AM192</f>
        <v>#DIV/0!</v>
      </c>
      <c r="AN193" s="185" t="e">
        <f t="shared" ref="AN193" si="482">AM193-AN192</f>
        <v>#DIV/0!</v>
      </c>
      <c r="AO193" s="185" t="e">
        <f t="shared" ref="AO193" si="483">AN193-AO192</f>
        <v>#DIV/0!</v>
      </c>
      <c r="AP193" s="185" t="e">
        <f t="shared" ref="AP193" si="484">AO193-AP192</f>
        <v>#DIV/0!</v>
      </c>
      <c r="AQ193" s="185" t="e">
        <f t="shared" ref="AQ193" si="485">AP193-AQ192</f>
        <v>#DIV/0!</v>
      </c>
      <c r="AR193" s="185" t="e">
        <f t="shared" ref="AR193" si="486">AQ193-AR192</f>
        <v>#DIV/0!</v>
      </c>
      <c r="AS193" s="185" t="e">
        <f t="shared" ref="AS193" si="487">AR193-AS192</f>
        <v>#DIV/0!</v>
      </c>
      <c r="AT193" s="185" t="e">
        <f t="shared" ref="AT193" si="488">AS193-AT192</f>
        <v>#DIV/0!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89">C10/C7</f>
        <v>#DIV/0!</v>
      </c>
      <c r="D195" s="25" t="e">
        <f t="shared" si="489"/>
        <v>#DIV/0!</v>
      </c>
      <c r="E195" s="25" t="e">
        <f t="shared" si="489"/>
        <v>#DIV/0!</v>
      </c>
      <c r="F195" s="25" t="e">
        <f t="shared" si="489"/>
        <v>#DIV/0!</v>
      </c>
      <c r="G195" s="25" t="e">
        <f t="shared" si="489"/>
        <v>#DIV/0!</v>
      </c>
      <c r="H195" s="25" t="e">
        <f t="shared" si="489"/>
        <v>#DIV/0!</v>
      </c>
      <c r="I195" s="25" t="e">
        <f t="shared" si="489"/>
        <v>#DIV/0!</v>
      </c>
      <c r="J195" s="25" t="e">
        <f t="shared" si="489"/>
        <v>#DIV/0!</v>
      </c>
      <c r="K195" s="25" t="e">
        <f t="shared" si="489"/>
        <v>#DIV/0!</v>
      </c>
      <c r="L195" s="25" t="e">
        <f t="shared" si="489"/>
        <v>#DIV/0!</v>
      </c>
      <c r="M195" s="25" t="e">
        <f t="shared" si="489"/>
        <v>#DIV/0!</v>
      </c>
      <c r="N195" s="25" t="e">
        <f t="shared" si="489"/>
        <v>#DIV/0!</v>
      </c>
      <c r="O195" s="25" t="e">
        <f t="shared" si="489"/>
        <v>#DIV/0!</v>
      </c>
      <c r="P195" s="25" t="e">
        <f t="shared" si="489"/>
        <v>#DIV/0!</v>
      </c>
      <c r="Q195" s="25" t="e">
        <f t="shared" ref="Q195" si="490">Q10/Q7</f>
        <v>#DIV/0!</v>
      </c>
      <c r="R195" s="118" t="e">
        <f t="shared" ref="R195:R197" si="491">((P195/G195)^(1/($H$2-$H$1) ))-1</f>
        <v>#DIV/0!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 t="e">
        <f>G10/G12</f>
        <v>#DIV/0!</v>
      </c>
      <c r="H196" s="112" t="e">
        <f t="shared" ref="H196:P196" si="492">H10/H12</f>
        <v>#DIV/0!</v>
      </c>
      <c r="I196" s="112" t="e">
        <f t="shared" si="492"/>
        <v>#DIV/0!</v>
      </c>
      <c r="J196" s="112" t="e">
        <f t="shared" si="492"/>
        <v>#DIV/0!</v>
      </c>
      <c r="K196" s="112" t="e">
        <f t="shared" si="492"/>
        <v>#DIV/0!</v>
      </c>
      <c r="L196" s="112" t="e">
        <f t="shared" si="492"/>
        <v>#DIV/0!</v>
      </c>
      <c r="M196" s="112" t="e">
        <f t="shared" si="492"/>
        <v>#DIV/0!</v>
      </c>
      <c r="N196" s="112" t="e">
        <f t="shared" si="492"/>
        <v>#DIV/0!</v>
      </c>
      <c r="O196" s="112" t="e">
        <f t="shared" si="492"/>
        <v>#DIV/0!</v>
      </c>
      <c r="P196" s="112" t="e">
        <f t="shared" si="492"/>
        <v>#DIV/0!</v>
      </c>
      <c r="Q196" s="112" t="e">
        <f t="shared" ref="Q196" si="493">Q10/Q12</f>
        <v>#DIV/0!</v>
      </c>
      <c r="R196" s="118" t="e">
        <f t="shared" si="491"/>
        <v>#DIV/0!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 t="e">
        <f>G10/(G12+G13)</f>
        <v>#DIV/0!</v>
      </c>
      <c r="H197" s="25" t="e">
        <f t="shared" ref="H197:P197" si="494">H10/(H12+H13)</f>
        <v>#DIV/0!</v>
      </c>
      <c r="I197" s="25" t="e">
        <f t="shared" si="494"/>
        <v>#DIV/0!</v>
      </c>
      <c r="J197" s="25" t="e">
        <f t="shared" si="494"/>
        <v>#DIV/0!</v>
      </c>
      <c r="K197" s="25" t="e">
        <f t="shared" si="494"/>
        <v>#DIV/0!</v>
      </c>
      <c r="L197" s="25" t="e">
        <f t="shared" si="494"/>
        <v>#DIV/0!</v>
      </c>
      <c r="M197" s="25" t="e">
        <f t="shared" si="494"/>
        <v>#DIV/0!</v>
      </c>
      <c r="N197" s="25" t="e">
        <f t="shared" si="494"/>
        <v>#DIV/0!</v>
      </c>
      <c r="O197" s="25" t="e">
        <f t="shared" si="494"/>
        <v>#DIV/0!</v>
      </c>
      <c r="P197" s="25" t="e">
        <f t="shared" si="494"/>
        <v>#DIV/0!</v>
      </c>
      <c r="Q197" s="25" t="e">
        <f t="shared" ref="Q197" si="495">Q10/(Q12+Q13)</f>
        <v>#DIV/0!</v>
      </c>
      <c r="R197" s="118" t="e">
        <f t="shared" si="491"/>
        <v>#DIV/0!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0" t="s">
        <v>337</v>
      </c>
      <c r="M200" s="201"/>
      <c r="N200" s="202"/>
      <c r="O200" s="23" t="s">
        <v>340</v>
      </c>
      <c r="P200" s="20"/>
      <c r="Q200" s="137"/>
      <c r="R200" s="200" t="s">
        <v>338</v>
      </c>
      <c r="S200" s="201"/>
      <c r="T200" s="202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1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341</v>
      </c>
      <c r="M202" s="167"/>
      <c r="N202" s="21">
        <v>1</v>
      </c>
      <c r="O202" s="173">
        <f>N202</f>
        <v>1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1</v>
      </c>
      <c r="E204" s="176" t="s">
        <v>398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343</v>
      </c>
      <c r="M204" s="167"/>
      <c r="N204" s="168">
        <f>N202*N203</f>
        <v>1</v>
      </c>
      <c r="O204" s="173">
        <f>N204</f>
        <v>1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1</v>
      </c>
      <c r="H205" s="167">
        <f>F205/G205</f>
        <v>10</v>
      </c>
      <c r="I205" s="167">
        <f>H205*J204</f>
        <v>20</v>
      </c>
      <c r="J205" s="167">
        <f>I205</f>
        <v>20</v>
      </c>
      <c r="K205" s="20"/>
      <c r="L205" s="167" t="s">
        <v>345</v>
      </c>
      <c r="M205" s="167"/>
      <c r="N205" s="21">
        <v>1</v>
      </c>
      <c r="O205" s="21">
        <v>1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1</v>
      </c>
      <c r="E206" s="176"/>
      <c r="F206" s="167"/>
      <c r="G206" s="167"/>
      <c r="H206" s="169" t="s">
        <v>387</v>
      </c>
      <c r="I206" s="167"/>
      <c r="J206" s="167">
        <f>J205</f>
        <v>20</v>
      </c>
      <c r="K206" s="20"/>
      <c r="L206" s="167" t="s">
        <v>346</v>
      </c>
      <c r="M206" s="167"/>
      <c r="N206" s="168">
        <f>N205*N203</f>
        <v>1</v>
      </c>
      <c r="O206" s="168">
        <f>O205*O203</f>
        <v>1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1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1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1</v>
      </c>
      <c r="O209" s="170">
        <f>O206/O204</f>
        <v>1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1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3" t="s">
        <v>27</v>
      </c>
      <c r="E213" s="194"/>
      <c r="F213" s="194"/>
      <c r="G213" s="195"/>
      <c r="H213" s="20"/>
      <c r="I213" s="193" t="s">
        <v>393</v>
      </c>
      <c r="J213" s="194"/>
      <c r="K213" s="195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1</v>
      </c>
      <c r="H214" s="20"/>
      <c r="I214" s="20" t="s">
        <v>28</v>
      </c>
      <c r="J214" s="127"/>
      <c r="K214" s="21">
        <f>G214</f>
        <v>1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1</v>
      </c>
      <c r="H215" s="20"/>
      <c r="I215" s="20" t="s">
        <v>29</v>
      </c>
      <c r="J215" s="20"/>
      <c r="K215" s="21">
        <f>G215</f>
        <v>1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1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0</v>
      </c>
      <c r="H217" s="20"/>
      <c r="I217" s="23" t="s">
        <v>394</v>
      </c>
      <c r="J217" s="23"/>
      <c r="K217" s="23">
        <f>(K215-K214)/K214</f>
        <v>0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12</v>
      </c>
      <c r="H218" s="20"/>
      <c r="I218" s="23" t="s">
        <v>395</v>
      </c>
      <c r="J218" s="23"/>
      <c r="K218" s="23">
        <f>K215/K214</f>
        <v>1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1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0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5" t="s">
        <v>27</v>
      </c>
      <c r="K5" s="205"/>
      <c r="M5" s="205" t="s">
        <v>65</v>
      </c>
      <c r="N5" s="20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5" t="s">
        <v>36</v>
      </c>
      <c r="K14" s="205"/>
      <c r="L14" s="20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5" t="s">
        <v>27</v>
      </c>
      <c r="S5" s="205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5" t="s">
        <v>36</v>
      </c>
      <c r="S14" s="205"/>
      <c r="T14" s="205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5" t="s">
        <v>27</v>
      </c>
      <c r="C2" s="205"/>
      <c r="E2" s="205" t="s">
        <v>65</v>
      </c>
      <c r="F2" s="205"/>
      <c r="H2" s="209" t="s">
        <v>36</v>
      </c>
      <c r="I2" s="21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6" t="s">
        <v>68</v>
      </c>
      <c r="E10" s="207"/>
      <c r="F10" s="207"/>
      <c r="G10" s="207"/>
      <c r="H10" s="208"/>
      <c r="I10" s="206" t="s">
        <v>72</v>
      </c>
      <c r="J10" s="207"/>
      <c r="K10" s="207"/>
      <c r="L10" s="20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1" t="s">
        <v>432</v>
      </c>
      <c r="C3" s="212"/>
      <c r="F3" s="211" t="s">
        <v>433</v>
      </c>
      <c r="G3" s="212"/>
    </row>
    <row r="4" spans="2:7" x14ac:dyDescent="0.2">
      <c r="B4" s="188" t="s">
        <v>434</v>
      </c>
      <c r="C4" s="188"/>
      <c r="F4" s="188" t="s">
        <v>435</v>
      </c>
      <c r="G4" s="188"/>
    </row>
    <row r="5" spans="2:7" x14ac:dyDescent="0.2">
      <c r="B5" s="188" t="s">
        <v>436</v>
      </c>
      <c r="C5" s="188"/>
      <c r="F5" s="188" t="s">
        <v>292</v>
      </c>
      <c r="G5" s="188"/>
    </row>
    <row r="6" spans="2:7" x14ac:dyDescent="0.2">
      <c r="B6" s="188" t="s">
        <v>437</v>
      </c>
      <c r="C6" s="188"/>
      <c r="F6" s="188" t="s">
        <v>438</v>
      </c>
      <c r="G6" s="188"/>
    </row>
    <row r="7" spans="2:7" x14ac:dyDescent="0.2">
      <c r="B7" s="188" t="s">
        <v>439</v>
      </c>
      <c r="C7" s="188"/>
      <c r="F7" s="188" t="s">
        <v>440</v>
      </c>
      <c r="G7" s="188"/>
    </row>
    <row r="8" spans="2:7" x14ac:dyDescent="0.2">
      <c r="B8" s="188" t="s">
        <v>441</v>
      </c>
      <c r="C8" s="188"/>
      <c r="F8" s="188" t="s">
        <v>442</v>
      </c>
      <c r="G8" s="188"/>
    </row>
    <row r="9" spans="2:7" x14ac:dyDescent="0.2">
      <c r="B9" s="188" t="s">
        <v>443</v>
      </c>
      <c r="C9" s="188"/>
      <c r="F9" s="188" t="s">
        <v>444</v>
      </c>
      <c r="G9" s="188"/>
    </row>
    <row r="10" spans="2:7" x14ac:dyDescent="0.2">
      <c r="B10" s="188" t="s">
        <v>442</v>
      </c>
      <c r="C10" s="188"/>
      <c r="F10" s="188"/>
      <c r="G10" s="188"/>
    </row>
    <row r="11" spans="2:7" x14ac:dyDescent="0.2">
      <c r="B11" s="188" t="s">
        <v>445</v>
      </c>
      <c r="C11" s="188"/>
      <c r="F11" s="188"/>
      <c r="G11" s="188"/>
    </row>
    <row r="12" spans="2:7" x14ac:dyDescent="0.2">
      <c r="B12" s="188" t="s">
        <v>446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2014-06-21T16:49:21Z</dcterms:modified>
</cp:coreProperties>
</file>
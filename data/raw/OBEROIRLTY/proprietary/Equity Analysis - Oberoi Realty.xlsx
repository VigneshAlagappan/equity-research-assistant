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C45" i="15" l="1"/>
  <c r="P18" i="18"/>
  <c r="P38" i="18"/>
  <c r="P39" i="18"/>
  <c r="P40" i="18"/>
  <c r="P41" i="18"/>
  <c r="P42" i="18"/>
  <c r="P43" i="18"/>
  <c r="P37" i="18"/>
  <c r="P22" i="18"/>
  <c r="P20" i="18"/>
  <c r="P16" i="18"/>
  <c r="P17" i="18"/>
  <c r="P15" i="18"/>
  <c r="P8" i="18"/>
  <c r="P9" i="18"/>
  <c r="P10" i="18"/>
  <c r="P11" i="18"/>
  <c r="P12" i="18"/>
  <c r="P13" i="18"/>
  <c r="P7" i="18"/>
  <c r="Q17" i="18" l="1"/>
  <c r="Q16" i="18"/>
  <c r="Q15" i="18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R41" i="18"/>
  <c r="P58" i="18"/>
  <c r="R58" i="18" s="1"/>
  <c r="S58" i="18" s="1"/>
  <c r="T58" i="18" s="1"/>
  <c r="U58" i="18" s="1"/>
  <c r="V58" i="18" s="1"/>
  <c r="W58" i="18" s="1"/>
  <c r="X58" i="18" s="1"/>
  <c r="Y58" i="18" s="1"/>
  <c r="Z58" i="18" s="1"/>
  <c r="AA58" i="18" s="1"/>
  <c r="AB58" i="18" s="1"/>
  <c r="D62" i="18"/>
  <c r="E62" i="18"/>
  <c r="F62" i="18"/>
  <c r="G62" i="18"/>
  <c r="H62" i="18"/>
  <c r="I62" i="18"/>
  <c r="J62" i="18"/>
  <c r="K62" i="18"/>
  <c r="C62" i="18"/>
  <c r="D61" i="18"/>
  <c r="E61" i="18"/>
  <c r="F61" i="18"/>
  <c r="G61" i="18"/>
  <c r="H61" i="18"/>
  <c r="I61" i="18"/>
  <c r="J61" i="18"/>
  <c r="K61" i="18"/>
  <c r="C61" i="18"/>
  <c r="D60" i="18"/>
  <c r="E60" i="18"/>
  <c r="F60" i="18"/>
  <c r="G60" i="18"/>
  <c r="H60" i="18"/>
  <c r="I60" i="18"/>
  <c r="J60" i="18"/>
  <c r="K60" i="18"/>
  <c r="C60" i="18"/>
  <c r="D59" i="18"/>
  <c r="E59" i="18"/>
  <c r="F59" i="18"/>
  <c r="G59" i="18"/>
  <c r="H59" i="18"/>
  <c r="I59" i="18"/>
  <c r="J59" i="18"/>
  <c r="K59" i="18"/>
  <c r="C59" i="18"/>
  <c r="C25" i="18"/>
  <c r="D25" i="18"/>
  <c r="E25" i="18"/>
  <c r="F25" i="18"/>
  <c r="G25" i="18"/>
  <c r="H25" i="18"/>
  <c r="I25" i="18"/>
  <c r="J25" i="18"/>
  <c r="K25" i="18"/>
  <c r="L25" i="18"/>
  <c r="M25" i="18"/>
  <c r="M59" i="18" s="1"/>
  <c r="N25" i="18"/>
  <c r="N59" i="18" s="1"/>
  <c r="O25" i="18"/>
  <c r="O59" i="18" s="1"/>
  <c r="D34" i="18"/>
  <c r="E34" i="18"/>
  <c r="F34" i="18"/>
  <c r="G34" i="18"/>
  <c r="H34" i="18"/>
  <c r="I34" i="18"/>
  <c r="J34" i="18"/>
  <c r="K34" i="18"/>
  <c r="L34" i="18"/>
  <c r="L62" i="18" s="1"/>
  <c r="M34" i="18"/>
  <c r="M62" i="18" s="1"/>
  <c r="N34" i="18"/>
  <c r="N62" i="18" s="1"/>
  <c r="O34" i="18"/>
  <c r="P34" i="18" s="1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 s="1"/>
  <c r="D32" i="18"/>
  <c r="H32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D30" i="18"/>
  <c r="E30" i="18"/>
  <c r="E32" i="18" s="1"/>
  <c r="F30" i="18"/>
  <c r="F32" i="18" s="1"/>
  <c r="G30" i="18"/>
  <c r="G32" i="18" s="1"/>
  <c r="H30" i="18"/>
  <c r="I30" i="18"/>
  <c r="I32" i="18" s="1"/>
  <c r="J30" i="18"/>
  <c r="J32" i="18" s="1"/>
  <c r="K30" i="18"/>
  <c r="K32" i="18" s="1"/>
  <c r="L30" i="18"/>
  <c r="L32" i="18" s="1"/>
  <c r="L61" i="18" s="1"/>
  <c r="M30" i="18"/>
  <c r="N30" i="18"/>
  <c r="O30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D27" i="18"/>
  <c r="E27" i="18"/>
  <c r="F27" i="18"/>
  <c r="G27" i="18"/>
  <c r="H27" i="18"/>
  <c r="I27" i="18"/>
  <c r="J27" i="18"/>
  <c r="K27" i="18"/>
  <c r="L27" i="18"/>
  <c r="L60" i="18" s="1"/>
  <c r="M27" i="18"/>
  <c r="M60" i="18" s="1"/>
  <c r="N27" i="18"/>
  <c r="N60" i="18" s="1"/>
  <c r="O27" i="18"/>
  <c r="C34" i="18"/>
  <c r="C33" i="18"/>
  <c r="C31" i="18"/>
  <c r="C30" i="18"/>
  <c r="C32" i="18" s="1"/>
  <c r="C28" i="18"/>
  <c r="C27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 s="1"/>
  <c r="C26" i="18"/>
  <c r="Q12" i="18"/>
  <c r="R12" i="18" s="1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Q13" i="18"/>
  <c r="R13" i="18" s="1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Q20" i="18"/>
  <c r="R20" i="18" s="1"/>
  <c r="S20" i="18" s="1"/>
  <c r="T20" i="18" s="1"/>
  <c r="U20" i="18" s="1"/>
  <c r="V20" i="18" s="1"/>
  <c r="W20" i="18" s="1"/>
  <c r="X20" i="18" s="1"/>
  <c r="Y20" i="18" s="1"/>
  <c r="Z20" i="18" s="1"/>
  <c r="AA20" i="18" s="1"/>
  <c r="AB20" i="18" s="1"/>
  <c r="R9" i="18"/>
  <c r="S9" i="18" s="1"/>
  <c r="T9" i="18" s="1"/>
  <c r="U9" i="18" s="1"/>
  <c r="V9" i="18" s="1"/>
  <c r="W9" i="18" s="1"/>
  <c r="X9" i="18" s="1"/>
  <c r="Y9" i="18" s="1"/>
  <c r="Z9" i="18" s="1"/>
  <c r="AA9" i="18" s="1"/>
  <c r="AB9" i="18" s="1"/>
  <c r="R10" i="18"/>
  <c r="S10" i="18" s="1"/>
  <c r="T10" i="18" s="1"/>
  <c r="U10" i="18" s="1"/>
  <c r="V10" i="18" s="1"/>
  <c r="W10" i="18" s="1"/>
  <c r="X10" i="18" s="1"/>
  <c r="Y10" i="18" s="1"/>
  <c r="Z10" i="18" s="1"/>
  <c r="AA10" i="18" s="1"/>
  <c r="AB10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Q8" i="18"/>
  <c r="R8" i="18" s="1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Q7" i="18"/>
  <c r="R7" i="18" s="1"/>
  <c r="S7" i="18" s="1"/>
  <c r="T7" i="18" s="1"/>
  <c r="U7" i="18" s="1"/>
  <c r="V7" i="18" s="1"/>
  <c r="W7" i="18" s="1"/>
  <c r="X7" i="18" s="1"/>
  <c r="Y7" i="18" s="1"/>
  <c r="Z7" i="18" s="1"/>
  <c r="AA7" i="18" s="1"/>
  <c r="P28" i="18" l="1"/>
  <c r="P31" i="18"/>
  <c r="O60" i="18"/>
  <c r="P27" i="18"/>
  <c r="P30" i="18"/>
  <c r="R30" i="18" s="1"/>
  <c r="S30" i="18" s="1"/>
  <c r="T30" i="18" s="1"/>
  <c r="U30" i="18" s="1"/>
  <c r="V30" i="18" s="1"/>
  <c r="W30" i="18" s="1"/>
  <c r="X30" i="18" s="1"/>
  <c r="Y30" i="18" s="1"/>
  <c r="Z30" i="18" s="1"/>
  <c r="AA30" i="18" s="1"/>
  <c r="AB30" i="18" s="1"/>
  <c r="P25" i="18"/>
  <c r="L59" i="18"/>
  <c r="P59" i="18"/>
  <c r="Q59" i="18" s="1"/>
  <c r="R59" i="18" s="1"/>
  <c r="S59" i="18" s="1"/>
  <c r="T59" i="18" s="1"/>
  <c r="U59" i="18" s="1"/>
  <c r="V59" i="18" s="1"/>
  <c r="W59" i="18" s="1"/>
  <c r="X59" i="18" s="1"/>
  <c r="Y59" i="18" s="1"/>
  <c r="Z59" i="18" s="1"/>
  <c r="AA59" i="18" s="1"/>
  <c r="AB59" i="18" s="1"/>
  <c r="N32" i="18"/>
  <c r="N61" i="18" s="1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M32" i="18"/>
  <c r="M61" i="18" s="1"/>
  <c r="R28" i="18"/>
  <c r="S28" i="18" s="1"/>
  <c r="T28" i="18" s="1"/>
  <c r="U28" i="18" s="1"/>
  <c r="V28" i="18" s="1"/>
  <c r="W28" i="18" s="1"/>
  <c r="X28" i="18" s="1"/>
  <c r="Y28" i="18" s="1"/>
  <c r="Z28" i="18" s="1"/>
  <c r="AA28" i="18" s="1"/>
  <c r="AB28" i="18" s="1"/>
  <c r="R33" i="18"/>
  <c r="S33" i="18" s="1"/>
  <c r="T33" i="18" s="1"/>
  <c r="U33" i="18" s="1"/>
  <c r="V33" i="18" s="1"/>
  <c r="W33" i="18" s="1"/>
  <c r="X33" i="18" s="1"/>
  <c r="Y33" i="18" s="1"/>
  <c r="Z33" i="18" s="1"/>
  <c r="AA33" i="18" s="1"/>
  <c r="AB33" i="18" s="1"/>
  <c r="R34" i="18"/>
  <c r="S34" i="18" s="1"/>
  <c r="T34" i="18" s="1"/>
  <c r="U34" i="18" s="1"/>
  <c r="V34" i="18" s="1"/>
  <c r="W34" i="18" s="1"/>
  <c r="X34" i="18" s="1"/>
  <c r="Y34" i="18" s="1"/>
  <c r="Z34" i="18" s="1"/>
  <c r="AA34" i="18" s="1"/>
  <c r="AB34" i="18" s="1"/>
  <c r="O62" i="18"/>
  <c r="P62" i="18" s="1"/>
  <c r="Q62" i="18" s="1"/>
  <c r="R62" i="18" s="1"/>
  <c r="S62" i="18" s="1"/>
  <c r="T62" i="18" s="1"/>
  <c r="U62" i="18" s="1"/>
  <c r="V62" i="18" s="1"/>
  <c r="W62" i="18" s="1"/>
  <c r="X62" i="18" s="1"/>
  <c r="Y62" i="18" s="1"/>
  <c r="Z62" i="18" s="1"/>
  <c r="AA62" i="18" s="1"/>
  <c r="AB62" i="18" s="1"/>
  <c r="P60" i="18"/>
  <c r="Q60" i="18" s="1"/>
  <c r="R60" i="18" s="1"/>
  <c r="S60" i="18" s="1"/>
  <c r="T60" i="18" s="1"/>
  <c r="U60" i="18" s="1"/>
  <c r="V60" i="18" s="1"/>
  <c r="W60" i="18" s="1"/>
  <c r="X60" i="18" s="1"/>
  <c r="Y60" i="18" s="1"/>
  <c r="Z60" i="18" s="1"/>
  <c r="AA60" i="18" s="1"/>
  <c r="AB60" i="18" s="1"/>
  <c r="O32" i="18"/>
  <c r="P32" i="18" s="1"/>
  <c r="Q42" i="18"/>
  <c r="R42" i="18" s="1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Q43" i="18"/>
  <c r="R43" i="18" s="1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Q22" i="18"/>
  <c r="R22" i="18" s="1"/>
  <c r="S22" i="18" s="1"/>
  <c r="T22" i="18" s="1"/>
  <c r="U22" i="18" s="1"/>
  <c r="V22" i="18" s="1"/>
  <c r="W22" i="18" s="1"/>
  <c r="X22" i="18" s="1"/>
  <c r="Y22" i="18" s="1"/>
  <c r="Z22" i="18" s="1"/>
  <c r="AA22" i="18" s="1"/>
  <c r="AB22" i="18" s="1"/>
  <c r="C6" i="12"/>
  <c r="C25" i="15"/>
  <c r="C57" i="15"/>
  <c r="C56" i="15"/>
  <c r="C53" i="15"/>
  <c r="C52" i="15"/>
  <c r="C49" i="15"/>
  <c r="C48" i="15"/>
  <c r="C44" i="15"/>
  <c r="O61" i="18" l="1"/>
  <c r="P61" i="18" s="1"/>
  <c r="Q61" i="18" s="1"/>
  <c r="R61" i="18" s="1"/>
  <c r="S61" i="18" s="1"/>
  <c r="T61" i="18" s="1"/>
  <c r="U61" i="18" s="1"/>
  <c r="V61" i="18" s="1"/>
  <c r="W61" i="18" s="1"/>
  <c r="X61" i="18" s="1"/>
  <c r="Y61" i="18" s="1"/>
  <c r="Z61" i="18" s="1"/>
  <c r="AA61" i="18" s="1"/>
  <c r="AB61" i="18" s="1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40" i="18"/>
  <c r="R40" i="18" s="1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R27" i="18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Q37" i="18"/>
  <c r="R37" i="18" s="1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R25" i="18"/>
  <c r="S25" i="18" s="1"/>
  <c r="T25" i="18" s="1"/>
  <c r="U25" i="18" s="1"/>
  <c r="V25" i="18" s="1"/>
  <c r="W25" i="18" s="1"/>
  <c r="X25" i="18" s="1"/>
  <c r="Y25" i="18" s="1"/>
  <c r="Z25" i="18" s="1"/>
  <c r="AA25" i="18" s="1"/>
  <c r="AB25" i="18" s="1"/>
  <c r="Q39" i="18"/>
  <c r="R39" i="18" s="1"/>
  <c r="S39" i="18" s="1"/>
  <c r="T39" i="18" s="1"/>
  <c r="U39" i="18" s="1"/>
  <c r="V39" i="18" s="1"/>
  <c r="W39" i="18" s="1"/>
  <c r="X39" i="18" s="1"/>
  <c r="Y39" i="18" s="1"/>
  <c r="Z39" i="18" s="1"/>
  <c r="AA39" i="18" s="1"/>
  <c r="AB39" i="18" s="1"/>
  <c r="Q38" i="18"/>
  <c r="R38" i="18" s="1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R53" i="18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AB7" i="18"/>
  <c r="C15" i="15"/>
  <c r="C20" i="15"/>
  <c r="C9" i="15"/>
  <c r="R47" i="18" l="1"/>
  <c r="R48" i="18"/>
  <c r="R55" i="18"/>
  <c r="R51" i="18"/>
  <c r="R50" i="18"/>
  <c r="R49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<sst xmlns="http://schemas.openxmlformats.org/spreadsheetml/2006/main" count="417" uniqueCount="273">
  <si>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</si>
  <si>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</si>
  <si>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</si>
  <si>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</si>
  <si>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</si>
  <si>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</si>
  <si>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</si>
  <si>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</si>
  <si>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</si>
  <si>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</si>
  <si>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</si>
  <si>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</si>
  <si>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</si>
  <si>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</si>
  <si>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</si>
  <si>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</si>
  <si>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</si>
  <si>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</si>
  <si>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</si>
  <si>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</si>
  <si>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</si>
  <si>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</si>
  <si>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</si>
  <si>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</si>
  <si>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</si>
  <si>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</si>
  <si>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</si>
  <si>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</si>
  <si>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</si>
  <si>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</si>
  <si>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</si>
  <si>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</si>
  <si>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</si>
  <si>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</si>
  <si>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</si>
  <si>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</si>
  <si>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</si>
  <si>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</si>
  <si>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</si>
  <si>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</si>
  <si>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</si>
  <si>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</si>
  <si>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</si>
  <si>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</si>
  <si>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</si>
  <si>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</si>
  <si>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</si>
  <si>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</si>
  <si>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</si>
  <si>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</si>
  <si>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</si>
  <si>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</si>
  <si>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</si>
  <si>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</si>
  <si>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</si>
  <si>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</si>
  <si>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</si>
  <si>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</si>
  <si>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</si>
  <si>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</si>
  <si>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</si>
  <si>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</si>
  <si>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</si>
  <si>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</si>
  <si>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</si>
  <si>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</si>
  <si>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</si>
  <si>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</si>
  <si>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</si>
  <si>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</si>
  <si>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</si>
  <si>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</si>
  <si>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</si>
  <si>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</si>
  <si>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</si>
  <si>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</si>
  <si>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</si>
  <si>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</si>
  <si>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</si>
  <si>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</si>
  <si>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</si>
  <si>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</si>
  <si>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</si>
  <si>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</si>
  <si>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</si>
  <si>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</si>
  <si>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</si>
  <si>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</si>
  <si>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</si>
  <si>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</si>
  <si>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</si>
  <si>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</si>
  <si>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</si>
  <si>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</si>
  <si>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</si>
  <si>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</si>
  <si>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</si>
  <si>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</si>
  <si>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</si>
  <si>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</si>
  <si>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</si>
  <si>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</si>
  <si>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</si>
  <si>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</si>
  <si>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</si>
  <si>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</si>
  <si>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</si>
  <si>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</si>
  <si>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</si>
  <si>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</si>
  <si>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</si>
  <si>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</si>
  <si>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</si>
  <si>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</si>
  <si>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</si>
  <si>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</si>
  <si>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</si>
  <si>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</si>
  <si>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</si>
  <si>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</si>
  <si>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</si>
  <si>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</si>
  <si>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</si>
  <si>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</si>
  <si>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</si>
  <si>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</si>
  <si>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</si>
  <si>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</si>
  <si>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</si>
  <si>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</si>
  <si>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</si>
  <si>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</si>
  <si>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</si>
  <si>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</si>
  <si>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</si>
  <si>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</si>
  <si>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</si>
  <si>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</si>
  <si>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</si>
  <si>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</si>
  <si>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</si>
  <si>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</si>
  <si>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</si>
  <si>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</si>
  <si>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</si>
  <si>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</si>
  <si>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</si>
  <si>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</si>
  <si>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</si>
  <si>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</si>
  <si>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</si>
  <si>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</si>
  <si>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</si>
  <si>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</si>
  <si>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</si>
  <si>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</si>
  <si>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</si>
  <si>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</si>
  <si>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</si>
  <si>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</si>
  <si>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</si>
  <si>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</si>
  <si>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</si>
  <si>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</si>
  <si>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</si>
  <si>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</si>
  <si>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</si>
  <si>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</si>
  <si>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</si>
  <si>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</si>
  <si>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</si>
  <si>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</si>
  <si>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</si>
  <si>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</si>
  <si>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</si>
  <si>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</si>
  <si>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</si>
  <si>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</si>
  <si>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</si>
  <si>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</si>
  <si>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</si>
  <si>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</si>
  <si>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</si>
  <si>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</si>
  <si>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</si>
  <si>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</si>
  <si>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</si>
  <si>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</si>
  <si>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</si>
  <si>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</si>
  <si>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</si>
  <si>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</si>
  <si>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</si>
  <si>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</si>
  <si>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</si>
  <si>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</si>
  <si>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</si>
  <si>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</si>
  <si>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</si>
  <si>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</si>
  <si>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</si>
  <si>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</si>
  <si>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</si>
  <si>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</si>
  <si>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</si>
  <si>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</si>
  <si>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</si>
  <si>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</si>
  <si>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</si>
  <si>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</si>
  <si>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</si>
  <si>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</si>
  <si>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</si>
  <si>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</si>
  <si>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</si>
  <si>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</si>
  <si>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</si>
  <si>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</si>
  <si>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</si>
  <si>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</si>
  <si>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</si>
  <si>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</si>
  <si>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</si>
  <si>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</si>
  <si>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</si>
  <si>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</si>
  <si>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</si>
  <si>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</si>
  <si>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</si>
  <si>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</si>
  <si>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</si>
  <si>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</si>
  <si>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</si>
  <si>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</si>
  <si>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</si>
  <si>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</si>
  <si>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</si>
  <si>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</si>
  <si>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</si>
  <si>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</si>
  <si>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</si>
  <si>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</si>
  <si>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</si>
  <si>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</si>
  <si>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</si>
  <si>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</si>
  <si>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</si>
  <si>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</si>
  <si>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</si>
  <si>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</si>
  <si>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</si>
  <si>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</si>
  <si>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</si>
  <si>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</si>
  <si>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</si>
  <si>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</si>
  <si>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</si>
  <si>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</si>
  <si>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</si>
  <si>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</si>
  <si>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</si>
  <si>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</si>
  <si>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</si>
  <si>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Top Expenses (Mfg expense)</t>
  </si>
  <si>
    <t>2nd highest Expenses Comp. (Marketing)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</si>
  <si>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</si>
  <si>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</si>
  <si>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</si>
  <si>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</si>
  <si>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</si>
  <si>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</si>
  <si>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</si>
  <si>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Oberoi 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</si>
</sst>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89664"/>
        <c:axId val="66695552"/>
      </c:lineChart>
      <c:catAx>
        <c:axId val="66689664"/>
        <c:scaling>
          <c:orientation val="minMax"/>
        </c:scaling>
        <c:delete val="0"/>
        <c:axPos val="b"/>
        <c:majorTickMark val="out"/>
        <c:minorTickMark val="none"/>
        <c:tickLblPos val="nextTo"/>
        <c:crossAx val="66695552"/>
        <c:crosses val="autoZero"/>
        <c:auto val="1"/>
        <c:lblAlgn val="ctr"/>
        <c:lblOffset val="100"/>
        <c:noMultiLvlLbl val="0"/>
      </c:catAx>
      <c:valAx>
        <c:axId val="66695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6896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D31" sqref="D31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272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1">
        <v>125</v>
      </c>
      <c r="D7" s="20"/>
      <c r="E7" s="20"/>
      <c r="F7" s="20"/>
      <c r="G7" s="20"/>
    </row>
    <row r="8" spans="2:7" x14ac:dyDescent="0.2">
      <c r="B8" s="20" t="s">
        <v>25</v>
      </c>
      <c r="C8" s="131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271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1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1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1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271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1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271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1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1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1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2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3"/>
      <c r="D31" s="20"/>
      <c r="E31" s="20"/>
      <c r="F31" s="20"/>
      <c r="G31" s="20"/>
    </row>
    <row r="32" spans="2:7" x14ac:dyDescent="0.2">
      <c r="B32" s="20" t="s">
        <v>270</v>
      </c>
      <c r="C32" s="133">
        <v>3.44E-2</v>
      </c>
      <c r="D32" s="20"/>
      <c r="E32" s="20"/>
      <c r="F32" s="20"/>
      <c r="G32" s="20"/>
    </row>
    <row r="33" spans="2:7" x14ac:dyDescent="0.2">
      <c r="B33" s="20" t="s">
        <v>269</v>
      </c>
      <c r="C33" s="133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1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1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1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1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1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1">
        <v>281.95</v>
      </c>
      <c r="D43" s="20"/>
      <c r="E43" s="20"/>
      <c r="F43" s="20"/>
      <c r="G43" s="20"/>
    </row>
    <row r="44" spans="2:7" x14ac:dyDescent="0.2">
      <c r="B44" s="20" t="s">
        <v>265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1">
        <v>171.6</v>
      </c>
      <c r="D47" s="20"/>
      <c r="E47" s="20"/>
      <c r="F47" s="20"/>
      <c r="G47" s="20"/>
    </row>
    <row r="48" spans="2:7" x14ac:dyDescent="0.2">
      <c r="B48" s="20" t="s">
        <v>266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1">
        <v>110.33</v>
      </c>
      <c r="D51" s="20"/>
      <c r="E51" s="20"/>
      <c r="F51" s="20"/>
      <c r="G51" s="20"/>
    </row>
    <row r="52" spans="2:7" x14ac:dyDescent="0.2">
      <c r="B52" s="20" t="s">
        <v>267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1">
        <v>1320.99</v>
      </c>
      <c r="D55" s="20"/>
      <c r="E55" s="20"/>
      <c r="F55" s="20"/>
      <c r="G55" s="20"/>
    </row>
    <row r="56" spans="2:7" x14ac:dyDescent="0.2">
      <c r="B56" s="20" t="s">
        <v>268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67"/>
  <sheetViews>
    <sheetView tabSelected="1" topLeftCell="B22" zoomScale="80" zoomScaleNormal="80" workbookViewId="0">
      <selection activeCell="Q35" sqref="Q35"/>
    </sheetView>
  </sheetViews>
  <sheetFormatPr defaultRowHeight="12.75" x14ac:dyDescent="0.2"/>
  <cols>
    <col min="1" max="1" width="4.7109375" style="104" customWidth="1"/>
    <col min="2" max="2" width="41" style="104" bestFit="1" customWidth="1"/>
    <col min="3" max="4" width="8.140625" style="104" bestFit="1" customWidth="1"/>
    <col min="5" max="15" width="8.7109375" style="104" bestFit="1" customWidth="1"/>
    <col min="16" max="16" width="9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0.22</v>
      </c>
      <c r="F2" s="104" t="s">
        <v>252</v>
      </c>
      <c r="H2" s="126">
        <v>2009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>
        <v>802.27</v>
      </c>
      <c r="M7" s="20">
        <v>2805.39</v>
      </c>
      <c r="N7" s="20">
        <v>3054.81</v>
      </c>
      <c r="O7" s="20">
        <v>3141.2</v>
      </c>
      <c r="P7" s="118">
        <f>((O7/L7)^(1/($H$3-$H$2) ))-1</f>
        <v>0.57612870542328931</v>
      </c>
      <c r="Q7" s="31">
        <f>P7</f>
        <v>0.57612870542328931</v>
      </c>
      <c r="R7" s="119">
        <f>O7*(1+$Q7)</f>
        <v>4950.9354894756361</v>
      </c>
      <c r="S7" s="119">
        <f>R7*(1+$Q7)</f>
        <v>7803.3115436614535</v>
      </c>
      <c r="T7" s="119">
        <f t="shared" ref="T7:AA7" si="0">S7*(1+$Q7)</f>
        <v>12299.023321325736</v>
      </c>
      <c r="U7" s="119">
        <f t="shared" si="0"/>
        <v>19384.843705411975</v>
      </c>
      <c r="V7" s="119">
        <f t="shared" si="0"/>
        <v>30553.008614243776</v>
      </c>
      <c r="W7" s="119">
        <f t="shared" si="0"/>
        <v>48155.473913954651</v>
      </c>
      <c r="X7" s="119">
        <f t="shared" si="0"/>
        <v>75899.224759046323</v>
      </c>
      <c r="Y7" s="119">
        <f t="shared" si="0"/>
        <v>119626.94686210695</v>
      </c>
      <c r="Z7" s="119">
        <f t="shared" si="0"/>
        <v>188547.46489151326</v>
      </c>
      <c r="AA7" s="119">
        <f t="shared" si="0"/>
        <v>297175.0717503039</v>
      </c>
      <c r="AB7" s="118">
        <f>((AA7/M7)^(1/($AA$4-$H$2) ))-1</f>
        <v>0.43143193636287003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>
        <v>811.39</v>
      </c>
      <c r="M8" s="20">
        <v>3048.65</v>
      </c>
      <c r="N8" s="20">
        <v>3298.19</v>
      </c>
      <c r="O8" s="20">
        <v>3384.2</v>
      </c>
      <c r="P8" s="118">
        <f t="shared" ref="P8:P22" si="1">((O8/L8)^(1/($H$3-$H$2) ))-1</f>
        <v>0.60968954536812858</v>
      </c>
      <c r="Q8" s="31">
        <f t="shared" ref="Q8:Q40" si="2">P8</f>
        <v>0.60968954536812858</v>
      </c>
      <c r="R8" s="119">
        <f t="shared" ref="R8:R13" si="3">O8*(1+$Q8)</f>
        <v>5447.5113594348204</v>
      </c>
      <c r="S8" s="119">
        <f t="shared" ref="S8:AA8" si="4">R8*(1+$Q8)</f>
        <v>8768.802083556353</v>
      </c>
      <c r="T8" s="119">
        <f t="shared" si="4"/>
        <v>14115.049039302925</v>
      </c>
      <c r="U8" s="119">
        <f t="shared" si="4"/>
        <v>22720.846870924364</v>
      </c>
      <c r="V8" s="119">
        <f t="shared" si="4"/>
        <v>36573.509670037107</v>
      </c>
      <c r="W8" s="119">
        <f t="shared" si="4"/>
        <v>58871.996153278888</v>
      </c>
      <c r="X8" s="119">
        <f t="shared" si="4"/>
        <v>94765.636722885713</v>
      </c>
      <c r="Y8" s="119">
        <f t="shared" si="4"/>
        <v>152543.25469298314</v>
      </c>
      <c r="Z8" s="119">
        <f t="shared" si="4"/>
        <v>245547.28229572269</v>
      </c>
      <c r="AA8" s="119">
        <f t="shared" si="4"/>
        <v>395254.8932049814</v>
      </c>
      <c r="AB8" s="118">
        <f t="shared" ref="AB8:AB22" si="5">((AA8/M8)^(1/($AA$4-$H$2) ))-1</f>
        <v>0.45385383090141618</v>
      </c>
    </row>
    <row r="9" spans="2:28" x14ac:dyDescent="0.2">
      <c r="B9" s="20" t="s">
        <v>4</v>
      </c>
      <c r="C9" s="20"/>
      <c r="D9" s="20"/>
      <c r="E9" s="20"/>
      <c r="F9" s="20"/>
      <c r="G9" s="20"/>
      <c r="H9" s="20"/>
      <c r="I9" s="20"/>
      <c r="J9" s="20"/>
      <c r="K9" s="20"/>
      <c r="L9" s="20">
        <v>1235.73</v>
      </c>
      <c r="M9" s="20">
        <v>594.84</v>
      </c>
      <c r="N9" s="20">
        <v>465.55</v>
      </c>
      <c r="O9" s="20">
        <v>281.95</v>
      </c>
      <c r="P9" s="118">
        <f t="shared" si="1"/>
        <v>-0.38894143444580531</v>
      </c>
      <c r="Q9" s="31">
        <v>0</v>
      </c>
      <c r="R9" s="119">
        <f t="shared" si="3"/>
        <v>281.95</v>
      </c>
      <c r="S9" s="119">
        <f t="shared" ref="S9:AA9" si="6">R9*(1+$Q9)</f>
        <v>281.95</v>
      </c>
      <c r="T9" s="119">
        <f t="shared" si="6"/>
        <v>281.95</v>
      </c>
      <c r="U9" s="119">
        <f t="shared" si="6"/>
        <v>281.95</v>
      </c>
      <c r="V9" s="119">
        <f t="shared" si="6"/>
        <v>281.95</v>
      </c>
      <c r="W9" s="119">
        <f t="shared" si="6"/>
        <v>281.95</v>
      </c>
      <c r="X9" s="119">
        <f t="shared" si="6"/>
        <v>281.95</v>
      </c>
      <c r="Y9" s="119">
        <f t="shared" si="6"/>
        <v>281.95</v>
      </c>
      <c r="Z9" s="119">
        <f t="shared" si="6"/>
        <v>281.95</v>
      </c>
      <c r="AA9" s="119">
        <f t="shared" si="6"/>
        <v>281.95</v>
      </c>
      <c r="AB9" s="118">
        <f t="shared" si="5"/>
        <v>-5.5810036811388075E-2</v>
      </c>
    </row>
    <row r="10" spans="2:28" x14ac:dyDescent="0.2">
      <c r="B10" s="20" t="s">
        <v>2</v>
      </c>
      <c r="C10" s="20"/>
      <c r="D10" s="20"/>
      <c r="E10" s="20"/>
      <c r="F10" s="20"/>
      <c r="G10" s="20"/>
      <c r="H10" s="20"/>
      <c r="I10" s="20"/>
      <c r="J10" s="20"/>
      <c r="K10" s="20"/>
      <c r="L10" s="20">
        <v>73.150000000000006</v>
      </c>
      <c r="M10" s="20">
        <v>80.7</v>
      </c>
      <c r="N10" s="20">
        <v>42.63</v>
      </c>
      <c r="O10" s="20">
        <v>31.09</v>
      </c>
      <c r="P10" s="118">
        <f t="shared" si="1"/>
        <v>-0.24814262540652976</v>
      </c>
      <c r="Q10" s="31">
        <v>0.01</v>
      </c>
      <c r="R10" s="119">
        <f t="shared" si="3"/>
        <v>31.4009</v>
      </c>
      <c r="S10" s="119">
        <f t="shared" ref="S10:AA10" si="7">R10*(1+$Q10)</f>
        <v>31.714908999999999</v>
      </c>
      <c r="T10" s="119">
        <f t="shared" si="7"/>
        <v>32.03205809</v>
      </c>
      <c r="U10" s="119">
        <f t="shared" si="7"/>
        <v>32.352378670900002</v>
      </c>
      <c r="V10" s="119">
        <f t="shared" si="7"/>
        <v>32.675902457609006</v>
      </c>
      <c r="W10" s="119">
        <f t="shared" si="7"/>
        <v>33.002661482185097</v>
      </c>
      <c r="X10" s="119">
        <f t="shared" si="7"/>
        <v>33.332688097006951</v>
      </c>
      <c r="Y10" s="119">
        <f t="shared" si="7"/>
        <v>33.666014977977021</v>
      </c>
      <c r="Z10" s="119">
        <f t="shared" si="7"/>
        <v>34.002675127756788</v>
      </c>
      <c r="AA10" s="119">
        <f t="shared" si="7"/>
        <v>34.342701879034358</v>
      </c>
      <c r="AB10" s="118">
        <f t="shared" si="5"/>
        <v>-6.36061931075248E-2</v>
      </c>
    </row>
    <row r="11" spans="2:28" x14ac:dyDescent="0.2">
      <c r="B11" s="20" t="s">
        <v>218</v>
      </c>
      <c r="C11" s="20"/>
      <c r="D11" s="20"/>
      <c r="E11" s="20"/>
      <c r="F11" s="20"/>
      <c r="G11" s="20"/>
      <c r="H11" s="20"/>
      <c r="I11" s="20"/>
      <c r="J11" s="20"/>
      <c r="K11" s="20"/>
      <c r="L11" s="20">
        <v>0.25</v>
      </c>
      <c r="M11" s="20">
        <v>894.07</v>
      </c>
      <c r="N11" s="20">
        <v>221.08</v>
      </c>
      <c r="O11" s="20">
        <v>1005.08</v>
      </c>
      <c r="P11" s="118">
        <f t="shared" si="1"/>
        <v>14.900845122068697</v>
      </c>
      <c r="Q11" s="31">
        <v>0.1</v>
      </c>
      <c r="R11" s="119">
        <f t="shared" si="3"/>
        <v>1105.5880000000002</v>
      </c>
      <c r="S11" s="119">
        <f t="shared" ref="S11:AA11" si="8">R11*(1+$Q11)</f>
        <v>1216.1468000000002</v>
      </c>
      <c r="T11" s="119">
        <f t="shared" si="8"/>
        <v>1337.7614800000003</v>
      </c>
      <c r="U11" s="119">
        <f t="shared" si="8"/>
        <v>1471.5376280000005</v>
      </c>
      <c r="V11" s="119">
        <f t="shared" si="8"/>
        <v>1618.6913908000006</v>
      </c>
      <c r="W11" s="119">
        <f t="shared" si="8"/>
        <v>1780.5605298800008</v>
      </c>
      <c r="X11" s="119">
        <f t="shared" si="8"/>
        <v>1958.6165828680009</v>
      </c>
      <c r="Y11" s="119">
        <f t="shared" si="8"/>
        <v>2154.4782411548013</v>
      </c>
      <c r="Z11" s="119">
        <f t="shared" si="8"/>
        <v>2369.9260652702815</v>
      </c>
      <c r="AA11" s="119">
        <f t="shared" si="8"/>
        <v>2606.9186717973098</v>
      </c>
      <c r="AB11" s="118">
        <f t="shared" si="5"/>
        <v>8.5801552955209193E-2</v>
      </c>
    </row>
    <row r="12" spans="2:28" x14ac:dyDescent="0.2">
      <c r="B12" s="20" t="s">
        <v>19</v>
      </c>
      <c r="C12" s="20"/>
      <c r="D12" s="20"/>
      <c r="E12" s="20"/>
      <c r="F12" s="20"/>
      <c r="G12" s="20"/>
      <c r="H12" s="20"/>
      <c r="I12" s="20"/>
      <c r="J12" s="20"/>
      <c r="K12" s="20"/>
      <c r="L12" s="20">
        <v>2421.9499999999998</v>
      </c>
      <c r="M12" s="20">
        <v>3566.91</v>
      </c>
      <c r="N12" s="20">
        <v>4752.6099999999997</v>
      </c>
      <c r="O12" s="20">
        <v>3696</v>
      </c>
      <c r="P12" s="118">
        <f t="shared" si="1"/>
        <v>0.15130112707143284</v>
      </c>
      <c r="Q12" s="31">
        <f t="shared" si="2"/>
        <v>0.15130112707143284</v>
      </c>
      <c r="R12" s="119">
        <f t="shared" si="3"/>
        <v>4255.2089656560156</v>
      </c>
      <c r="S12" s="119">
        <f t="shared" ref="S12:AA12" si="9">R12*(1+$Q12)</f>
        <v>4899.0268780842371</v>
      </c>
      <c r="T12" s="119">
        <f t="shared" si="9"/>
        <v>5640.2551662916248</v>
      </c>
      <c r="U12" s="119">
        <f t="shared" si="9"/>
        <v>6493.6321299220199</v>
      </c>
      <c r="V12" s="119">
        <f t="shared" si="9"/>
        <v>7476.1259899664901</v>
      </c>
      <c r="W12" s="119">
        <f t="shared" si="9"/>
        <v>8607.2722783764511</v>
      </c>
      <c r="X12" s="119">
        <f t="shared" si="9"/>
        <v>9909.5622751055071</v>
      </c>
      <c r="Y12" s="119">
        <f t="shared" si="9"/>
        <v>11408.890216113523</v>
      </c>
      <c r="Z12" s="119">
        <f t="shared" si="9"/>
        <v>13135.068164445742</v>
      </c>
      <c r="AA12" s="119">
        <f t="shared" si="9"/>
        <v>15122.418781886479</v>
      </c>
      <c r="AB12" s="118">
        <f t="shared" si="5"/>
        <v>0.11752200963367843</v>
      </c>
    </row>
    <row r="13" spans="2:28" x14ac:dyDescent="0.2">
      <c r="B13" s="20" t="s">
        <v>23</v>
      </c>
      <c r="C13" s="20"/>
      <c r="D13" s="20"/>
      <c r="E13" s="20"/>
      <c r="F13" s="20"/>
      <c r="G13" s="20"/>
      <c r="H13" s="20"/>
      <c r="I13" s="20"/>
      <c r="J13" s="20"/>
      <c r="K13" s="20"/>
      <c r="L13" s="20">
        <v>2079.31</v>
      </c>
      <c r="M13" s="20">
        <v>2802.01</v>
      </c>
      <c r="N13" s="20">
        <v>3453.11</v>
      </c>
      <c r="O13" s="20">
        <v>2266.1999999999998</v>
      </c>
      <c r="P13" s="118">
        <f t="shared" si="1"/>
        <v>2.9104943285293894E-2</v>
      </c>
      <c r="Q13" s="31">
        <f t="shared" si="2"/>
        <v>2.9104943285293894E-2</v>
      </c>
      <c r="R13" s="119">
        <f t="shared" si="3"/>
        <v>2332.157622473133</v>
      </c>
      <c r="S13" s="119">
        <f t="shared" ref="S13:AA13" si="10">R13*(1+$Q13)</f>
        <v>2400.0349378075794</v>
      </c>
      <c r="T13" s="119">
        <f t="shared" si="10"/>
        <v>2469.887818555193</v>
      </c>
      <c r="U13" s="119">
        <f t="shared" si="10"/>
        <v>2541.7737634352802</v>
      </c>
      <c r="V13" s="119">
        <f t="shared" si="10"/>
        <v>2615.7519446641122</v>
      </c>
      <c r="W13" s="119">
        <f t="shared" si="10"/>
        <v>2691.8832566619585</v>
      </c>
      <c r="X13" s="119">
        <f t="shared" si="10"/>
        <v>2770.2303661777369</v>
      </c>
      <c r="Y13" s="119">
        <f t="shared" si="10"/>
        <v>2850.8577638725387</v>
      </c>
      <c r="Z13" s="119">
        <f t="shared" si="10"/>
        <v>2933.8318174044889</v>
      </c>
      <c r="AA13" s="119">
        <f t="shared" si="10"/>
        <v>3019.2208260586372</v>
      </c>
      <c r="AB13" s="118">
        <f t="shared" si="5"/>
        <v>5.7597374612283758E-3</v>
      </c>
    </row>
    <row r="14" spans="2:28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29"/>
      <c r="Q14" s="12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8"/>
    </row>
    <row r="15" spans="2:28" x14ac:dyDescent="0.2">
      <c r="B15" s="20" t="s">
        <v>89</v>
      </c>
      <c r="C15" s="20"/>
      <c r="D15" s="20"/>
      <c r="E15" s="20"/>
      <c r="F15" s="20"/>
      <c r="G15" s="20"/>
      <c r="H15" s="20"/>
      <c r="I15" s="20"/>
      <c r="J15" s="20"/>
      <c r="K15" s="20"/>
      <c r="L15" s="20">
        <v>464.03</v>
      </c>
      <c r="M15" s="20">
        <v>951.21</v>
      </c>
      <c r="N15" s="20">
        <v>1268.69</v>
      </c>
      <c r="O15" s="20">
        <v>590.86</v>
      </c>
      <c r="P15" s="118">
        <f t="shared" si="1"/>
        <v>8.3875776508931299E-2</v>
      </c>
      <c r="Q15" s="31">
        <f t="shared" si="2"/>
        <v>8.3875776508931299E-2</v>
      </c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8"/>
    </row>
    <row r="16" spans="2:28" x14ac:dyDescent="0.2">
      <c r="B16" s="20" t="s">
        <v>262</v>
      </c>
      <c r="C16" s="20"/>
      <c r="D16" s="20"/>
      <c r="E16" s="20"/>
      <c r="F16" s="20"/>
      <c r="G16" s="20"/>
      <c r="H16" s="20"/>
      <c r="I16" s="20"/>
      <c r="J16" s="20"/>
      <c r="K16" s="20"/>
      <c r="L16" s="20">
        <v>238.4</v>
      </c>
      <c r="M16" s="20">
        <v>585.65</v>
      </c>
      <c r="N16" s="20">
        <v>913.99</v>
      </c>
      <c r="O16" s="20">
        <v>660.9</v>
      </c>
      <c r="P16" s="118">
        <f t="shared" si="1"/>
        <v>0.40478491046354903</v>
      </c>
      <c r="Q16" s="31">
        <f t="shared" si="2"/>
        <v>0.40478491046354903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263</v>
      </c>
      <c r="C17" s="20"/>
      <c r="D17" s="20"/>
      <c r="E17" s="20"/>
      <c r="F17" s="20"/>
      <c r="G17" s="20"/>
      <c r="H17" s="20"/>
      <c r="I17" s="20"/>
      <c r="J17" s="20"/>
      <c r="K17" s="20"/>
      <c r="L17" s="20">
        <v>206.42</v>
      </c>
      <c r="M17" s="20">
        <v>546.98</v>
      </c>
      <c r="N17" s="20">
        <v>778.91</v>
      </c>
      <c r="O17" s="20">
        <v>572.9</v>
      </c>
      <c r="P17" s="118">
        <f t="shared" si="1"/>
        <v>0.40532147497640492</v>
      </c>
      <c r="Q17" s="31">
        <f t="shared" si="2"/>
        <v>0.40532147497640492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 t="s">
        <v>264</v>
      </c>
      <c r="C18" s="20"/>
      <c r="D18" s="20"/>
      <c r="E18" s="20"/>
      <c r="F18" s="20"/>
      <c r="G18" s="20"/>
      <c r="H18" s="20"/>
      <c r="I18" s="20"/>
      <c r="J18" s="20"/>
      <c r="K18" s="20"/>
      <c r="L18" s="20">
        <v>27.41</v>
      </c>
      <c r="M18" s="20">
        <v>28.95</v>
      </c>
      <c r="N18" s="20">
        <v>89.97</v>
      </c>
      <c r="O18" s="20">
        <v>0.01</v>
      </c>
      <c r="P18" s="118">
        <f t="shared" si="1"/>
        <v>-0.9285453787618877</v>
      </c>
      <c r="Q18" s="31">
        <v>0.1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29"/>
      <c r="Q19" s="12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 t="s">
        <v>257</v>
      </c>
      <c r="C20" s="20"/>
      <c r="D20" s="20"/>
      <c r="E20" s="20"/>
      <c r="F20" s="20"/>
      <c r="G20" s="20"/>
      <c r="H20" s="20"/>
      <c r="I20" s="20"/>
      <c r="J20" s="20"/>
      <c r="K20" s="20"/>
      <c r="L20" s="20">
        <v>143.82</v>
      </c>
      <c r="M20" s="20">
        <v>271.17</v>
      </c>
      <c r="N20" s="20">
        <v>302.08999999999997</v>
      </c>
      <c r="O20" s="20">
        <v>92.03</v>
      </c>
      <c r="P20" s="118">
        <f t="shared" si="1"/>
        <v>-0.13827231503413129</v>
      </c>
      <c r="Q20" s="31">
        <f>P20</f>
        <v>-0.13827231503413129</v>
      </c>
      <c r="R20" s="119">
        <f>O20*(1+$Q20)</f>
        <v>79.304798847408904</v>
      </c>
      <c r="S20" s="119">
        <f t="shared" ref="S20:AA20" si="11">R20*(1+$Q20)</f>
        <v>68.339140717461575</v>
      </c>
      <c r="T20" s="119">
        <f t="shared" si="11"/>
        <v>58.8897295230149</v>
      </c>
      <c r="U20" s="119">
        <f t="shared" si="11"/>
        <v>50.746910290133805</v>
      </c>
      <c r="V20" s="119">
        <f t="shared" si="11"/>
        <v>43.730017523487625</v>
      </c>
      <c r="W20" s="119">
        <f t="shared" si="11"/>
        <v>37.683366764031859</v>
      </c>
      <c r="X20" s="119">
        <f t="shared" si="11"/>
        <v>32.472800403288936</v>
      </c>
      <c r="Y20" s="119">
        <f t="shared" si="11"/>
        <v>27.982711115884904</v>
      </c>
      <c r="Z20" s="119">
        <f t="shared" si="11"/>
        <v>24.113476868960177</v>
      </c>
      <c r="AA20" s="119">
        <f t="shared" si="11"/>
        <v>20.779250598767078</v>
      </c>
      <c r="AB20" s="118">
        <f t="shared" si="5"/>
        <v>-0.17930136567746902</v>
      </c>
    </row>
    <row r="21" spans="2:28" x14ac:dyDescent="0.2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29"/>
      <c r="Q21" s="12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8"/>
    </row>
    <row r="22" spans="2:28" x14ac:dyDescent="0.2">
      <c r="B22" s="20" t="s">
        <v>239</v>
      </c>
      <c r="C22" s="119">
        <v>1</v>
      </c>
      <c r="D22" s="119">
        <v>1</v>
      </c>
      <c r="E22" s="127">
        <v>1</v>
      </c>
      <c r="F22" s="127">
        <v>1</v>
      </c>
      <c r="G22" s="127">
        <v>1</v>
      </c>
      <c r="H22" s="119">
        <v>1</v>
      </c>
      <c r="I22" s="119">
        <v>1</v>
      </c>
      <c r="J22" s="119">
        <v>1</v>
      </c>
      <c r="K22" s="119">
        <v>1</v>
      </c>
      <c r="L22" s="25">
        <v>0.83</v>
      </c>
      <c r="M22" s="112">
        <v>24.3</v>
      </c>
      <c r="N22" s="112">
        <v>24.3</v>
      </c>
      <c r="O22" s="112">
        <v>24.3</v>
      </c>
      <c r="P22" s="118">
        <f t="shared" si="1"/>
        <v>2.0820716242975452</v>
      </c>
      <c r="Q22" s="31">
        <f t="shared" si="2"/>
        <v>2.0820716242975452</v>
      </c>
      <c r="R22" s="119">
        <f t="shared" ref="R22" si="12">O22*(1+$Q22)</f>
        <v>74.89434047043035</v>
      </c>
      <c r="S22" s="119">
        <f t="shared" ref="S22:AA22" si="13">R22*(1+$Q22)</f>
        <v>230.82972158439264</v>
      </c>
      <c r="T22" s="119">
        <f t="shared" si="13"/>
        <v>711.43373493975912</v>
      </c>
      <c r="U22" s="119">
        <f t="shared" si="13"/>
        <v>2192.6897270258528</v>
      </c>
      <c r="V22" s="119">
        <f t="shared" si="13"/>
        <v>6758.0267885551111</v>
      </c>
      <c r="W22" s="119">
        <f t="shared" si="13"/>
        <v>20828.722601248373</v>
      </c>
      <c r="X22" s="119">
        <f t="shared" si="13"/>
        <v>64195.614899672568</v>
      </c>
      <c r="Y22" s="119">
        <f t="shared" si="13"/>
        <v>197855.48308661353</v>
      </c>
      <c r="Z22" s="119">
        <f t="shared" si="13"/>
        <v>609804.77013293444</v>
      </c>
      <c r="AA22" s="119">
        <f t="shared" si="13"/>
        <v>1879461.9783880045</v>
      </c>
      <c r="AB22" s="118">
        <f t="shared" si="5"/>
        <v>1.3770201703711478</v>
      </c>
    </row>
    <row r="23" spans="2:28" x14ac:dyDescent="0.2">
      <c r="B23" s="20"/>
      <c r="C23" s="20"/>
      <c r="D23" s="20"/>
      <c r="E23" s="128"/>
      <c r="F23" s="128"/>
      <c r="G23" s="128"/>
      <c r="H23" s="20"/>
      <c r="I23" s="20"/>
      <c r="J23" s="20"/>
      <c r="K23" s="20"/>
      <c r="L23" s="20"/>
      <c r="M23" s="20"/>
      <c r="N23" s="20"/>
      <c r="O23" s="20"/>
      <c r="P23" s="129"/>
      <c r="Q23" s="12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8"/>
    </row>
    <row r="24" spans="2:28" x14ac:dyDescent="0.2">
      <c r="B24" s="108" t="s">
        <v>243</v>
      </c>
      <c r="C24" s="20"/>
      <c r="D24" s="20"/>
      <c r="E24" s="128"/>
      <c r="F24" s="128"/>
      <c r="G24" s="128"/>
      <c r="H24" s="20"/>
      <c r="I24" s="20"/>
      <c r="J24" s="20"/>
      <c r="K24" s="20"/>
      <c r="L24" s="20"/>
      <c r="M24" s="20"/>
      <c r="N24" s="20"/>
      <c r="O24" s="20"/>
      <c r="P24" s="129"/>
      <c r="Q24" s="12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8"/>
    </row>
    <row r="25" spans="2:28" x14ac:dyDescent="0.2">
      <c r="B25" s="20" t="s">
        <v>258</v>
      </c>
      <c r="C25" s="25">
        <f t="shared" ref="C25:M25" si="14">C20/C22</f>
        <v>0</v>
      </c>
      <c r="D25" s="25">
        <f t="shared" si="14"/>
        <v>0</v>
      </c>
      <c r="E25" s="25">
        <f t="shared" si="14"/>
        <v>0</v>
      </c>
      <c r="F25" s="25">
        <f t="shared" si="14"/>
        <v>0</v>
      </c>
      <c r="G25" s="25">
        <f t="shared" si="14"/>
        <v>0</v>
      </c>
      <c r="H25" s="25">
        <f t="shared" si="14"/>
        <v>0</v>
      </c>
      <c r="I25" s="25">
        <f t="shared" si="14"/>
        <v>0</v>
      </c>
      <c r="J25" s="25">
        <f t="shared" si="14"/>
        <v>0</v>
      </c>
      <c r="K25" s="25">
        <f t="shared" si="14"/>
        <v>0</v>
      </c>
      <c r="L25" s="25">
        <f t="shared" si="14"/>
        <v>173.27710843373495</v>
      </c>
      <c r="M25" s="25">
        <f t="shared" si="14"/>
        <v>11.15925925925926</v>
      </c>
      <c r="N25" s="25">
        <f>N20/N22</f>
        <v>12.431687242798352</v>
      </c>
      <c r="O25" s="25">
        <f>O20/O22</f>
        <v>3.7872427983539092</v>
      </c>
      <c r="P25" s="118">
        <f t="shared" ref="P25:P34" si="15">((O25/L25)^(1/($H$3-$H$2) ))-1</f>
        <v>-0.72040634027696526</v>
      </c>
      <c r="Q25" s="31">
        <v>0.1</v>
      </c>
      <c r="R25" s="119">
        <f t="shared" ref="R25:R28" si="16">O25*(1+$Q25)</f>
        <v>4.1659670781893006</v>
      </c>
      <c r="S25" s="119">
        <f t="shared" ref="S25:AA28" si="17">R25*(1+$Q25)</f>
        <v>4.5825637860082313</v>
      </c>
      <c r="T25" s="119">
        <f t="shared" si="17"/>
        <v>5.0408201646090545</v>
      </c>
      <c r="U25" s="119">
        <f t="shared" si="17"/>
        <v>5.5449021810699604</v>
      </c>
      <c r="V25" s="119">
        <f t="shared" si="17"/>
        <v>6.0993923991769572</v>
      </c>
      <c r="W25" s="119">
        <f t="shared" si="17"/>
        <v>6.7093316390946534</v>
      </c>
      <c r="X25" s="119">
        <f t="shared" si="17"/>
        <v>7.3802648030041196</v>
      </c>
      <c r="Y25" s="119">
        <f t="shared" si="17"/>
        <v>8.1182912833045329</v>
      </c>
      <c r="Z25" s="119">
        <f t="shared" si="17"/>
        <v>8.9301204116349862</v>
      </c>
      <c r="AA25" s="119">
        <f t="shared" si="17"/>
        <v>9.823132452798486</v>
      </c>
      <c r="AB25" s="118">
        <f t="shared" ref="AB25:AB34" si="18">((AA25/M25)^(1/($AA$4-$H$2) ))-1</f>
        <v>-9.7620024689434315E-3</v>
      </c>
    </row>
    <row r="26" spans="2:28" x14ac:dyDescent="0.2">
      <c r="B26" s="20" t="s">
        <v>245</v>
      </c>
      <c r="C26" s="25">
        <f t="shared" ref="C26:O26" si="19">C8/C22</f>
        <v>0</v>
      </c>
      <c r="D26" s="25">
        <f t="shared" si="19"/>
        <v>0</v>
      </c>
      <c r="E26" s="25">
        <f t="shared" si="19"/>
        <v>0</v>
      </c>
      <c r="F26" s="25">
        <f t="shared" si="19"/>
        <v>0</v>
      </c>
      <c r="G26" s="25">
        <f t="shared" si="19"/>
        <v>0</v>
      </c>
      <c r="H26" s="25">
        <f t="shared" si="19"/>
        <v>0</v>
      </c>
      <c r="I26" s="25">
        <f t="shared" si="19"/>
        <v>0</v>
      </c>
      <c r="J26" s="25">
        <f t="shared" si="19"/>
        <v>0</v>
      </c>
      <c r="K26" s="25">
        <f t="shared" si="19"/>
        <v>0</v>
      </c>
      <c r="L26" s="25">
        <f t="shared" si="19"/>
        <v>977.57831325301208</v>
      </c>
      <c r="M26" s="25">
        <f t="shared" si="19"/>
        <v>125.45884773662551</v>
      </c>
      <c r="N26" s="25">
        <f t="shared" si="19"/>
        <v>135.72798353909465</v>
      </c>
      <c r="O26" s="25">
        <f t="shared" si="19"/>
        <v>139.26748971193413</v>
      </c>
      <c r="P26" s="118">
        <f t="shared" si="15"/>
        <v>-0.47772480928797256</v>
      </c>
      <c r="Q26" s="31">
        <v>0.1</v>
      </c>
      <c r="R26" s="119">
        <f t="shared" si="16"/>
        <v>153.19423868312757</v>
      </c>
      <c r="S26" s="119">
        <f t="shared" si="17"/>
        <v>168.51366255144035</v>
      </c>
      <c r="T26" s="119">
        <f t="shared" si="17"/>
        <v>185.36502880658441</v>
      </c>
      <c r="U26" s="119">
        <f t="shared" si="17"/>
        <v>203.90153168724285</v>
      </c>
      <c r="V26" s="119">
        <f t="shared" si="17"/>
        <v>224.29168485596716</v>
      </c>
      <c r="W26" s="119">
        <f t="shared" si="17"/>
        <v>246.7208533415639</v>
      </c>
      <c r="X26" s="119">
        <f t="shared" si="17"/>
        <v>271.3929386757203</v>
      </c>
      <c r="Y26" s="119">
        <f t="shared" si="17"/>
        <v>298.53223254329237</v>
      </c>
      <c r="Z26" s="119">
        <f t="shared" si="17"/>
        <v>328.3854557976216</v>
      </c>
      <c r="AA26" s="119">
        <f t="shared" si="17"/>
        <v>361.22400137738379</v>
      </c>
      <c r="AB26" s="118">
        <f t="shared" si="18"/>
        <v>8.4748028757492655E-2</v>
      </c>
    </row>
    <row r="27" spans="2:28" x14ac:dyDescent="0.2">
      <c r="B27" s="20" t="s">
        <v>246</v>
      </c>
      <c r="C27" s="128">
        <f t="shared" ref="C27:O27" si="20">C7/C22</f>
        <v>0</v>
      </c>
      <c r="D27" s="128">
        <f t="shared" si="20"/>
        <v>0</v>
      </c>
      <c r="E27" s="128">
        <f t="shared" si="20"/>
        <v>0</v>
      </c>
      <c r="F27" s="128">
        <f t="shared" si="20"/>
        <v>0</v>
      </c>
      <c r="G27" s="128">
        <f t="shared" si="20"/>
        <v>0</v>
      </c>
      <c r="H27" s="128">
        <f t="shared" si="20"/>
        <v>0</v>
      </c>
      <c r="I27" s="128">
        <f t="shared" si="20"/>
        <v>0</v>
      </c>
      <c r="J27" s="128">
        <f t="shared" si="20"/>
        <v>0</v>
      </c>
      <c r="K27" s="128">
        <f t="shared" si="20"/>
        <v>0</v>
      </c>
      <c r="L27" s="128">
        <f t="shared" si="20"/>
        <v>966.59036144578317</v>
      </c>
      <c r="M27" s="128">
        <f t="shared" si="20"/>
        <v>115.44814814814814</v>
      </c>
      <c r="N27" s="128">
        <f t="shared" si="20"/>
        <v>125.71234567901234</v>
      </c>
      <c r="O27" s="128">
        <f t="shared" si="20"/>
        <v>129.26748971193413</v>
      </c>
      <c r="P27" s="118">
        <f t="shared" si="15"/>
        <v>-0.48861386185906208</v>
      </c>
      <c r="Q27" s="31">
        <v>0.1</v>
      </c>
      <c r="R27" s="119">
        <f t="shared" si="16"/>
        <v>142.19423868312757</v>
      </c>
      <c r="S27" s="119">
        <f t="shared" si="17"/>
        <v>156.41366255144032</v>
      </c>
      <c r="T27" s="119">
        <f t="shared" si="17"/>
        <v>172.05502880658437</v>
      </c>
      <c r="U27" s="119">
        <f t="shared" si="17"/>
        <v>189.26053168724283</v>
      </c>
      <c r="V27" s="119">
        <f t="shared" si="17"/>
        <v>208.18658485596714</v>
      </c>
      <c r="W27" s="119">
        <f t="shared" si="17"/>
        <v>229.00524334156387</v>
      </c>
      <c r="X27" s="119">
        <f t="shared" si="17"/>
        <v>251.90576767572028</v>
      </c>
      <c r="Y27" s="119">
        <f t="shared" si="17"/>
        <v>277.09634444329231</v>
      </c>
      <c r="Z27" s="119">
        <f t="shared" si="17"/>
        <v>304.80597888762156</v>
      </c>
      <c r="AA27" s="119">
        <f t="shared" si="17"/>
        <v>335.28657677638375</v>
      </c>
      <c r="AB27" s="118">
        <f t="shared" si="18"/>
        <v>8.5469513697028932E-2</v>
      </c>
    </row>
    <row r="28" spans="2:28" x14ac:dyDescent="0.2">
      <c r="B28" s="20" t="s">
        <v>247</v>
      </c>
      <c r="C28" s="128">
        <f t="shared" ref="C28:O28" si="21">C9/C22</f>
        <v>0</v>
      </c>
      <c r="D28" s="128">
        <f t="shared" si="21"/>
        <v>0</v>
      </c>
      <c r="E28" s="128">
        <f t="shared" si="21"/>
        <v>0</v>
      </c>
      <c r="F28" s="128">
        <f t="shared" si="21"/>
        <v>0</v>
      </c>
      <c r="G28" s="128">
        <f t="shared" si="21"/>
        <v>0</v>
      </c>
      <c r="H28" s="128">
        <f t="shared" si="21"/>
        <v>0</v>
      </c>
      <c r="I28" s="128">
        <f t="shared" si="21"/>
        <v>0</v>
      </c>
      <c r="J28" s="128">
        <f t="shared" si="21"/>
        <v>0</v>
      </c>
      <c r="K28" s="128">
        <f t="shared" si="21"/>
        <v>0</v>
      </c>
      <c r="L28" s="128">
        <f t="shared" si="21"/>
        <v>1488.831325301205</v>
      </c>
      <c r="M28" s="128">
        <f t="shared" si="21"/>
        <v>24.479012345679013</v>
      </c>
      <c r="N28" s="128">
        <f t="shared" si="21"/>
        <v>19.15843621399177</v>
      </c>
      <c r="O28" s="128">
        <f t="shared" si="21"/>
        <v>11.602880658436213</v>
      </c>
      <c r="P28" s="118">
        <f t="shared" si="15"/>
        <v>-0.8017377140956401</v>
      </c>
      <c r="Q28" s="31">
        <v>0.1</v>
      </c>
      <c r="R28" s="119">
        <f t="shared" si="16"/>
        <v>12.763168724279835</v>
      </c>
      <c r="S28" s="119">
        <f t="shared" si="17"/>
        <v>14.03948559670782</v>
      </c>
      <c r="T28" s="119">
        <f t="shared" si="17"/>
        <v>15.443434156378604</v>
      </c>
      <c r="U28" s="119">
        <f t="shared" si="17"/>
        <v>16.987777572016466</v>
      </c>
      <c r="V28" s="119">
        <f t="shared" si="17"/>
        <v>18.686555329218113</v>
      </c>
      <c r="W28" s="119">
        <f t="shared" si="17"/>
        <v>20.555210862139926</v>
      </c>
      <c r="X28" s="119">
        <f t="shared" si="17"/>
        <v>22.610731948353919</v>
      </c>
      <c r="Y28" s="119">
        <f t="shared" si="17"/>
        <v>24.871805143189313</v>
      </c>
      <c r="Z28" s="119">
        <f t="shared" si="17"/>
        <v>27.358985657508246</v>
      </c>
      <c r="AA28" s="119">
        <f t="shared" si="17"/>
        <v>30.094884223259072</v>
      </c>
      <c r="AB28" s="118">
        <f t="shared" si="18"/>
        <v>1.6014501349894905E-2</v>
      </c>
    </row>
    <row r="29" spans="2:28" x14ac:dyDescent="0.2">
      <c r="B29" s="20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9"/>
      <c r="Q29" s="12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8"/>
    </row>
    <row r="30" spans="2:28" x14ac:dyDescent="0.2">
      <c r="B30" s="20" t="s">
        <v>248</v>
      </c>
      <c r="C30" s="128">
        <f t="shared" ref="C30:O30" si="22">C10/C22</f>
        <v>0</v>
      </c>
      <c r="D30" s="128">
        <f t="shared" si="22"/>
        <v>0</v>
      </c>
      <c r="E30" s="128">
        <f t="shared" si="22"/>
        <v>0</v>
      </c>
      <c r="F30" s="128">
        <f t="shared" si="22"/>
        <v>0</v>
      </c>
      <c r="G30" s="128">
        <f t="shared" si="22"/>
        <v>0</v>
      </c>
      <c r="H30" s="128">
        <f t="shared" si="22"/>
        <v>0</v>
      </c>
      <c r="I30" s="128">
        <f t="shared" si="22"/>
        <v>0</v>
      </c>
      <c r="J30" s="128">
        <f t="shared" si="22"/>
        <v>0</v>
      </c>
      <c r="K30" s="128">
        <f t="shared" si="22"/>
        <v>0</v>
      </c>
      <c r="L30" s="128">
        <f t="shared" si="22"/>
        <v>88.132530120481945</v>
      </c>
      <c r="M30" s="128">
        <f t="shared" si="22"/>
        <v>3.3209876543209877</v>
      </c>
      <c r="N30" s="128">
        <f t="shared" si="22"/>
        <v>1.7543209876543211</v>
      </c>
      <c r="O30" s="128">
        <f t="shared" si="22"/>
        <v>1.2794238683127572</v>
      </c>
      <c r="P30" s="118">
        <f t="shared" si="15"/>
        <v>-0.75605454180032849</v>
      </c>
      <c r="Q30" s="31">
        <v>0.1</v>
      </c>
      <c r="R30" s="119">
        <f t="shared" ref="R30:R34" si="23">O30*(1+$Q30)</f>
        <v>1.4073662551440331</v>
      </c>
      <c r="S30" s="119">
        <f t="shared" ref="S30:AA34" si="24">R30*(1+$Q30)</f>
        <v>1.5481028806584365</v>
      </c>
      <c r="T30" s="119">
        <f t="shared" si="24"/>
        <v>1.7029131687242802</v>
      </c>
      <c r="U30" s="119">
        <f t="shared" si="24"/>
        <v>1.8732044855967085</v>
      </c>
      <c r="V30" s="119">
        <f t="shared" si="24"/>
        <v>2.0605249341563794</v>
      </c>
      <c r="W30" s="119">
        <f t="shared" si="24"/>
        <v>2.2665774275720176</v>
      </c>
      <c r="X30" s="119">
        <f t="shared" si="24"/>
        <v>2.4932351703292195</v>
      </c>
      <c r="Y30" s="119">
        <f t="shared" si="24"/>
        <v>2.7425586873621417</v>
      </c>
      <c r="Z30" s="119">
        <f t="shared" si="24"/>
        <v>3.0168145560983559</v>
      </c>
      <c r="AA30" s="119">
        <f t="shared" si="24"/>
        <v>3.3184960117081919</v>
      </c>
      <c r="AB30" s="118">
        <f t="shared" si="18"/>
        <v>-5.7733191989872701E-5</v>
      </c>
    </row>
    <row r="31" spans="2:28" x14ac:dyDescent="0.2">
      <c r="B31" s="20" t="s">
        <v>255</v>
      </c>
      <c r="C31" s="128">
        <f t="shared" ref="C31:O31" si="25">C11/C22</f>
        <v>0</v>
      </c>
      <c r="D31" s="128">
        <f t="shared" si="25"/>
        <v>0</v>
      </c>
      <c r="E31" s="128">
        <f t="shared" si="25"/>
        <v>0</v>
      </c>
      <c r="F31" s="128">
        <f t="shared" si="25"/>
        <v>0</v>
      </c>
      <c r="G31" s="128">
        <f t="shared" si="25"/>
        <v>0</v>
      </c>
      <c r="H31" s="128">
        <f t="shared" si="25"/>
        <v>0</v>
      </c>
      <c r="I31" s="128">
        <f t="shared" si="25"/>
        <v>0</v>
      </c>
      <c r="J31" s="128">
        <f t="shared" si="25"/>
        <v>0</v>
      </c>
      <c r="K31" s="128">
        <f t="shared" si="25"/>
        <v>0</v>
      </c>
      <c r="L31" s="128">
        <f t="shared" si="25"/>
        <v>0.30120481927710846</v>
      </c>
      <c r="M31" s="128">
        <f t="shared" si="25"/>
        <v>36.793004115226339</v>
      </c>
      <c r="N31" s="128">
        <f t="shared" si="25"/>
        <v>9.0979423868312761</v>
      </c>
      <c r="O31" s="128">
        <f t="shared" si="25"/>
        <v>41.361316872427984</v>
      </c>
      <c r="P31" s="118">
        <f t="shared" si="15"/>
        <v>4.1591419864205008</v>
      </c>
      <c r="Q31" s="31">
        <v>0.1</v>
      </c>
      <c r="R31" s="119">
        <f t="shared" si="23"/>
        <v>45.497448559670786</v>
      </c>
      <c r="S31" s="119">
        <f t="shared" si="24"/>
        <v>50.047193415637871</v>
      </c>
      <c r="T31" s="119">
        <f t="shared" si="24"/>
        <v>55.051912757201663</v>
      </c>
      <c r="U31" s="119">
        <f t="shared" si="24"/>
        <v>60.557104032921835</v>
      </c>
      <c r="V31" s="119">
        <f t="shared" si="24"/>
        <v>66.612814436214023</v>
      </c>
      <c r="W31" s="119">
        <f t="shared" si="24"/>
        <v>73.274095879835428</v>
      </c>
      <c r="X31" s="119">
        <f t="shared" si="24"/>
        <v>80.601505467818981</v>
      </c>
      <c r="Y31" s="119">
        <f t="shared" si="24"/>
        <v>88.661656014600894</v>
      </c>
      <c r="Z31" s="119">
        <f t="shared" si="24"/>
        <v>97.52782161606099</v>
      </c>
      <c r="AA31" s="119">
        <f t="shared" si="24"/>
        <v>107.2806037776671</v>
      </c>
      <c r="AB31" s="118">
        <f t="shared" si="18"/>
        <v>8.5801552955209193E-2</v>
      </c>
    </row>
    <row r="32" spans="2:28" x14ac:dyDescent="0.2">
      <c r="B32" s="20" t="s">
        <v>256</v>
      </c>
      <c r="C32" s="128">
        <f>(C30+C31)</f>
        <v>0</v>
      </c>
      <c r="D32" s="128">
        <f t="shared" ref="D32:O32" si="26">(D30+D31)</f>
        <v>0</v>
      </c>
      <c r="E32" s="128">
        <f t="shared" si="26"/>
        <v>0</v>
      </c>
      <c r="F32" s="128">
        <f t="shared" si="26"/>
        <v>0</v>
      </c>
      <c r="G32" s="128">
        <f t="shared" si="26"/>
        <v>0</v>
      </c>
      <c r="H32" s="128">
        <f t="shared" si="26"/>
        <v>0</v>
      </c>
      <c r="I32" s="128">
        <f t="shared" si="26"/>
        <v>0</v>
      </c>
      <c r="J32" s="128">
        <f t="shared" si="26"/>
        <v>0</v>
      </c>
      <c r="K32" s="128">
        <f t="shared" si="26"/>
        <v>0</v>
      </c>
      <c r="L32" s="128">
        <f t="shared" si="26"/>
        <v>88.433734939759049</v>
      </c>
      <c r="M32" s="128">
        <f t="shared" si="26"/>
        <v>40.113991769547326</v>
      </c>
      <c r="N32" s="128">
        <f t="shared" si="26"/>
        <v>10.852263374485597</v>
      </c>
      <c r="O32" s="128">
        <f t="shared" si="26"/>
        <v>42.640740740740739</v>
      </c>
      <c r="P32" s="118">
        <f t="shared" si="15"/>
        <v>-0.21584438309554488</v>
      </c>
      <c r="Q32" s="31">
        <v>0.1</v>
      </c>
      <c r="R32" s="119">
        <f t="shared" si="23"/>
        <v>46.90481481481482</v>
      </c>
      <c r="S32" s="119">
        <f t="shared" si="24"/>
        <v>51.595296296296304</v>
      </c>
      <c r="T32" s="119">
        <f t="shared" si="24"/>
        <v>56.754825925925942</v>
      </c>
      <c r="U32" s="119">
        <f t="shared" si="24"/>
        <v>62.430308518518544</v>
      </c>
      <c r="V32" s="119">
        <f t="shared" si="24"/>
        <v>68.6733393703704</v>
      </c>
      <c r="W32" s="119">
        <f t="shared" si="24"/>
        <v>75.540673307407445</v>
      </c>
      <c r="X32" s="119">
        <f t="shared" si="24"/>
        <v>83.094740638148195</v>
      </c>
      <c r="Y32" s="119">
        <f t="shared" si="24"/>
        <v>91.404214701963028</v>
      </c>
      <c r="Z32" s="119">
        <f t="shared" si="24"/>
        <v>100.54463617215934</v>
      </c>
      <c r="AA32" s="119">
        <f t="shared" si="24"/>
        <v>110.59909978937529</v>
      </c>
      <c r="AB32" s="118">
        <f t="shared" si="18"/>
        <v>8.1138189884652157E-2</v>
      </c>
    </row>
    <row r="33" spans="2:28" x14ac:dyDescent="0.2">
      <c r="B33" s="20" t="s">
        <v>249</v>
      </c>
      <c r="C33" s="128">
        <f t="shared" ref="C33:O33" si="27">C12/C22</f>
        <v>0</v>
      </c>
      <c r="D33" s="128">
        <f t="shared" si="27"/>
        <v>0</v>
      </c>
      <c r="E33" s="128">
        <f t="shared" si="27"/>
        <v>0</v>
      </c>
      <c r="F33" s="128">
        <f t="shared" si="27"/>
        <v>0</v>
      </c>
      <c r="G33" s="128">
        <f t="shared" si="27"/>
        <v>0</v>
      </c>
      <c r="H33" s="128">
        <f t="shared" si="27"/>
        <v>0</v>
      </c>
      <c r="I33" s="128">
        <f t="shared" si="27"/>
        <v>0</v>
      </c>
      <c r="J33" s="128">
        <f t="shared" si="27"/>
        <v>0</v>
      </c>
      <c r="K33" s="128">
        <f t="shared" si="27"/>
        <v>0</v>
      </c>
      <c r="L33" s="128">
        <f t="shared" si="27"/>
        <v>2918.0120481927711</v>
      </c>
      <c r="M33" s="128">
        <f t="shared" si="27"/>
        <v>146.78641975308642</v>
      </c>
      <c r="N33" s="128">
        <f t="shared" si="27"/>
        <v>195.58065843621398</v>
      </c>
      <c r="O33" s="128">
        <f t="shared" si="27"/>
        <v>152.09876543209876</v>
      </c>
      <c r="P33" s="118">
        <f t="shared" si="15"/>
        <v>-0.62645218300731953</v>
      </c>
      <c r="Q33" s="31">
        <v>0.1</v>
      </c>
      <c r="R33" s="119">
        <f t="shared" si="23"/>
        <v>167.30864197530866</v>
      </c>
      <c r="S33" s="119">
        <f t="shared" si="24"/>
        <v>184.03950617283954</v>
      </c>
      <c r="T33" s="119">
        <f t="shared" si="24"/>
        <v>202.44345679012352</v>
      </c>
      <c r="U33" s="119">
        <f t="shared" si="24"/>
        <v>222.6878024691359</v>
      </c>
      <c r="V33" s="119">
        <f t="shared" si="24"/>
        <v>244.95658271604952</v>
      </c>
      <c r="W33" s="119">
        <f t="shared" si="24"/>
        <v>269.45224098765448</v>
      </c>
      <c r="X33" s="119">
        <f t="shared" si="24"/>
        <v>296.39746508641997</v>
      </c>
      <c r="Y33" s="119">
        <f t="shared" si="24"/>
        <v>326.03721159506199</v>
      </c>
      <c r="Z33" s="119">
        <f t="shared" si="24"/>
        <v>358.64093275456821</v>
      </c>
      <c r="AA33" s="119">
        <f t="shared" si="24"/>
        <v>394.50502603002508</v>
      </c>
      <c r="AB33" s="118">
        <f t="shared" si="18"/>
        <v>7.9016795634153647E-2</v>
      </c>
    </row>
    <row r="34" spans="2:28" x14ac:dyDescent="0.2">
      <c r="B34" s="20" t="s">
        <v>250</v>
      </c>
      <c r="C34" s="128">
        <f t="shared" ref="C34:O34" si="28">C13/C22</f>
        <v>0</v>
      </c>
      <c r="D34" s="128">
        <f t="shared" si="28"/>
        <v>0</v>
      </c>
      <c r="E34" s="128">
        <f t="shared" si="28"/>
        <v>0</v>
      </c>
      <c r="F34" s="128">
        <f t="shared" si="28"/>
        <v>0</v>
      </c>
      <c r="G34" s="128">
        <f t="shared" si="28"/>
        <v>0</v>
      </c>
      <c r="H34" s="128">
        <f t="shared" si="28"/>
        <v>0</v>
      </c>
      <c r="I34" s="128">
        <f t="shared" si="28"/>
        <v>0</v>
      </c>
      <c r="J34" s="128">
        <f t="shared" si="28"/>
        <v>0</v>
      </c>
      <c r="K34" s="128">
        <f t="shared" si="28"/>
        <v>0</v>
      </c>
      <c r="L34" s="128">
        <f t="shared" si="28"/>
        <v>2505.1927710843374</v>
      </c>
      <c r="M34" s="128">
        <f t="shared" si="28"/>
        <v>115.30905349794239</v>
      </c>
      <c r="N34" s="128">
        <f t="shared" si="28"/>
        <v>142.10329218106995</v>
      </c>
      <c r="O34" s="128">
        <f t="shared" si="28"/>
        <v>93.259259259259252</v>
      </c>
      <c r="P34" s="118">
        <f t="shared" si="15"/>
        <v>-0.66609960158864123</v>
      </c>
      <c r="Q34" s="31">
        <v>0.1</v>
      </c>
      <c r="R34" s="119">
        <f t="shared" si="23"/>
        <v>102.58518518518518</v>
      </c>
      <c r="S34" s="119">
        <f t="shared" si="24"/>
        <v>112.84370370370371</v>
      </c>
      <c r="T34" s="119">
        <f t="shared" si="24"/>
        <v>124.12807407407409</v>
      </c>
      <c r="U34" s="119">
        <f t="shared" si="24"/>
        <v>136.54088148148151</v>
      </c>
      <c r="V34" s="119">
        <f t="shared" si="24"/>
        <v>150.19496962962967</v>
      </c>
      <c r="W34" s="119">
        <f t="shared" si="24"/>
        <v>165.21446659259266</v>
      </c>
      <c r="X34" s="119">
        <f t="shared" si="24"/>
        <v>181.73591325185194</v>
      </c>
      <c r="Y34" s="119">
        <f t="shared" si="24"/>
        <v>199.90950457703715</v>
      </c>
      <c r="Z34" s="119">
        <f t="shared" si="24"/>
        <v>219.9004550347409</v>
      </c>
      <c r="AA34" s="119">
        <f t="shared" si="24"/>
        <v>241.89050053821501</v>
      </c>
      <c r="AB34" s="118">
        <f t="shared" si="18"/>
        <v>5.8645158842262513E-2</v>
      </c>
    </row>
    <row r="35" spans="2:28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129"/>
      <c r="Q35" s="12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29"/>
    </row>
    <row r="36" spans="2:28" x14ac:dyDescent="0.2">
      <c r="B36" s="108" t="s">
        <v>83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29"/>
      <c r="Q36" s="12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29"/>
    </row>
    <row r="37" spans="2:28" x14ac:dyDescent="0.2">
      <c r="B37" s="20" t="s">
        <v>82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18" t="e">
        <f t="shared" ref="P37:P43" si="29">((O37/L37)^(1/($H$3-$H$2) ))-1</f>
        <v>#DIV/0!</v>
      </c>
      <c r="Q37" s="31" t="e">
        <f t="shared" si="2"/>
        <v>#DIV/0!</v>
      </c>
      <c r="R37" s="119" t="e">
        <f t="shared" ref="R37:R43" si="30">O37*(1+$Q37)</f>
        <v>#DIV/0!</v>
      </c>
      <c r="S37" s="119" t="e">
        <f t="shared" ref="S37:AA43" si="31">R37*(1+$Q37)</f>
        <v>#DIV/0!</v>
      </c>
      <c r="T37" s="119" t="e">
        <f t="shared" si="31"/>
        <v>#DIV/0!</v>
      </c>
      <c r="U37" s="119" t="e">
        <f t="shared" si="31"/>
        <v>#DIV/0!</v>
      </c>
      <c r="V37" s="119" t="e">
        <f t="shared" si="31"/>
        <v>#DIV/0!</v>
      </c>
      <c r="W37" s="119" t="e">
        <f t="shared" si="31"/>
        <v>#DIV/0!</v>
      </c>
      <c r="X37" s="119" t="e">
        <f t="shared" si="31"/>
        <v>#DIV/0!</v>
      </c>
      <c r="Y37" s="119" t="e">
        <f t="shared" si="31"/>
        <v>#DIV/0!</v>
      </c>
      <c r="Z37" s="119" t="e">
        <f t="shared" si="31"/>
        <v>#DIV/0!</v>
      </c>
      <c r="AA37" s="119" t="e">
        <f t="shared" si="31"/>
        <v>#DIV/0!</v>
      </c>
      <c r="AB37" s="118" t="e">
        <f t="shared" ref="AB37:AB43" si="32">((AA37/M37)^(1/($AA$4-$H$2) ))-1</f>
        <v>#DIV/0!</v>
      </c>
    </row>
    <row r="38" spans="2:28" x14ac:dyDescent="0.2">
      <c r="B38" s="20" t="s">
        <v>84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18" t="e">
        <f t="shared" si="29"/>
        <v>#DIV/0!</v>
      </c>
      <c r="Q38" s="31" t="e">
        <f t="shared" si="2"/>
        <v>#DIV/0!</v>
      </c>
      <c r="R38" s="119" t="e">
        <f t="shared" si="30"/>
        <v>#DIV/0!</v>
      </c>
      <c r="S38" s="119" t="e">
        <f t="shared" si="31"/>
        <v>#DIV/0!</v>
      </c>
      <c r="T38" s="119" t="e">
        <f t="shared" si="31"/>
        <v>#DIV/0!</v>
      </c>
      <c r="U38" s="119" t="e">
        <f t="shared" si="31"/>
        <v>#DIV/0!</v>
      </c>
      <c r="V38" s="119" t="e">
        <f t="shared" si="31"/>
        <v>#DIV/0!</v>
      </c>
      <c r="W38" s="119" t="e">
        <f t="shared" si="31"/>
        <v>#DIV/0!</v>
      </c>
      <c r="X38" s="119" t="e">
        <f t="shared" si="31"/>
        <v>#DIV/0!</v>
      </c>
      <c r="Y38" s="119" t="e">
        <f t="shared" si="31"/>
        <v>#DIV/0!</v>
      </c>
      <c r="Z38" s="119" t="e">
        <f t="shared" si="31"/>
        <v>#DIV/0!</v>
      </c>
      <c r="AA38" s="119" t="e">
        <f t="shared" si="31"/>
        <v>#DIV/0!</v>
      </c>
      <c r="AB38" s="118" t="e">
        <f t="shared" si="32"/>
        <v>#DIV/0!</v>
      </c>
    </row>
    <row r="39" spans="2:28" x14ac:dyDescent="0.2">
      <c r="B39" s="20" t="s">
        <v>85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18" t="e">
        <f t="shared" si="29"/>
        <v>#DIV/0!</v>
      </c>
      <c r="Q39" s="31" t="e">
        <f t="shared" si="2"/>
        <v>#DIV/0!</v>
      </c>
      <c r="R39" s="119" t="e">
        <f t="shared" si="30"/>
        <v>#DIV/0!</v>
      </c>
      <c r="S39" s="119" t="e">
        <f t="shared" si="31"/>
        <v>#DIV/0!</v>
      </c>
      <c r="T39" s="119" t="e">
        <f t="shared" si="31"/>
        <v>#DIV/0!</v>
      </c>
      <c r="U39" s="119" t="e">
        <f t="shared" si="31"/>
        <v>#DIV/0!</v>
      </c>
      <c r="V39" s="119" t="e">
        <f t="shared" si="31"/>
        <v>#DIV/0!</v>
      </c>
      <c r="W39" s="119" t="e">
        <f t="shared" si="31"/>
        <v>#DIV/0!</v>
      </c>
      <c r="X39" s="119" t="e">
        <f t="shared" si="31"/>
        <v>#DIV/0!</v>
      </c>
      <c r="Y39" s="119" t="e">
        <f t="shared" si="31"/>
        <v>#DIV/0!</v>
      </c>
      <c r="Z39" s="119" t="e">
        <f t="shared" si="31"/>
        <v>#DIV/0!</v>
      </c>
      <c r="AA39" s="119" t="e">
        <f t="shared" si="31"/>
        <v>#DIV/0!</v>
      </c>
      <c r="AB39" s="118" t="e">
        <f t="shared" si="32"/>
        <v>#DIV/0!</v>
      </c>
    </row>
    <row r="40" spans="2:28" x14ac:dyDescent="0.2">
      <c r="B40" s="20" t="s">
        <v>81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18" t="e">
        <f t="shared" si="29"/>
        <v>#DIV/0!</v>
      </c>
      <c r="Q40" s="31" t="e">
        <f t="shared" si="2"/>
        <v>#DIV/0!</v>
      </c>
      <c r="R40" s="119" t="e">
        <f t="shared" si="30"/>
        <v>#DIV/0!</v>
      </c>
      <c r="S40" s="119" t="e">
        <f t="shared" si="31"/>
        <v>#DIV/0!</v>
      </c>
      <c r="T40" s="119" t="e">
        <f t="shared" si="31"/>
        <v>#DIV/0!</v>
      </c>
      <c r="U40" s="119" t="e">
        <f t="shared" si="31"/>
        <v>#DIV/0!</v>
      </c>
      <c r="V40" s="119" t="e">
        <f t="shared" si="31"/>
        <v>#DIV/0!</v>
      </c>
      <c r="W40" s="119" t="e">
        <f t="shared" si="31"/>
        <v>#DIV/0!</v>
      </c>
      <c r="X40" s="119" t="e">
        <f t="shared" si="31"/>
        <v>#DIV/0!</v>
      </c>
      <c r="Y40" s="119" t="e">
        <f t="shared" si="31"/>
        <v>#DIV/0!</v>
      </c>
      <c r="Z40" s="119" t="e">
        <f t="shared" si="31"/>
        <v>#DIV/0!</v>
      </c>
      <c r="AA40" s="119" t="e">
        <f t="shared" si="31"/>
        <v>#DIV/0!</v>
      </c>
      <c r="AB40" s="118" t="e">
        <f t="shared" si="32"/>
        <v>#DIV/0!</v>
      </c>
    </row>
    <row r="41" spans="2:28" x14ac:dyDescent="0.2">
      <c r="B41" s="20" t="s">
        <v>78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18" t="e">
        <f t="shared" si="29"/>
        <v>#DIV/0!</v>
      </c>
      <c r="Q41" s="31">
        <v>0</v>
      </c>
      <c r="R41" s="119">
        <f t="shared" si="30"/>
        <v>0</v>
      </c>
      <c r="S41" s="119">
        <f t="shared" si="31"/>
        <v>0</v>
      </c>
      <c r="T41" s="119">
        <f t="shared" si="31"/>
        <v>0</v>
      </c>
      <c r="U41" s="119">
        <f t="shared" si="31"/>
        <v>0</v>
      </c>
      <c r="V41" s="119">
        <f t="shared" si="31"/>
        <v>0</v>
      </c>
      <c r="W41" s="119">
        <f t="shared" si="31"/>
        <v>0</v>
      </c>
      <c r="X41" s="119">
        <f t="shared" si="31"/>
        <v>0</v>
      </c>
      <c r="Y41" s="119">
        <f t="shared" si="31"/>
        <v>0</v>
      </c>
      <c r="Z41" s="119">
        <f t="shared" si="31"/>
        <v>0</v>
      </c>
      <c r="AA41" s="119">
        <f t="shared" si="31"/>
        <v>0</v>
      </c>
      <c r="AB41" s="118" t="e">
        <f t="shared" si="32"/>
        <v>#DIV/0!</v>
      </c>
    </row>
    <row r="42" spans="2:28" x14ac:dyDescent="0.2">
      <c r="B42" s="20" t="s">
        <v>79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18" t="e">
        <f t="shared" si="29"/>
        <v>#DIV/0!</v>
      </c>
      <c r="Q42" s="31" t="e">
        <f>P42</f>
        <v>#DIV/0!</v>
      </c>
      <c r="R42" s="119" t="e">
        <f t="shared" si="30"/>
        <v>#DIV/0!</v>
      </c>
      <c r="S42" s="119" t="e">
        <f t="shared" si="31"/>
        <v>#DIV/0!</v>
      </c>
      <c r="T42" s="119" t="e">
        <f t="shared" si="31"/>
        <v>#DIV/0!</v>
      </c>
      <c r="U42" s="119" t="e">
        <f t="shared" si="31"/>
        <v>#DIV/0!</v>
      </c>
      <c r="V42" s="119" t="e">
        <f t="shared" si="31"/>
        <v>#DIV/0!</v>
      </c>
      <c r="W42" s="119" t="e">
        <f t="shared" si="31"/>
        <v>#DIV/0!</v>
      </c>
      <c r="X42" s="119" t="e">
        <f t="shared" si="31"/>
        <v>#DIV/0!</v>
      </c>
      <c r="Y42" s="119" t="e">
        <f t="shared" si="31"/>
        <v>#DIV/0!</v>
      </c>
      <c r="Z42" s="119" t="e">
        <f t="shared" si="31"/>
        <v>#DIV/0!</v>
      </c>
      <c r="AA42" s="119" t="e">
        <f t="shared" si="31"/>
        <v>#DIV/0!</v>
      </c>
      <c r="AB42" s="118" t="e">
        <f t="shared" si="32"/>
        <v>#DIV/0!</v>
      </c>
    </row>
    <row r="43" spans="2:28" x14ac:dyDescent="0.2">
      <c r="B43" s="20" t="s">
        <v>80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18" t="e">
        <f t="shared" si="29"/>
        <v>#DIV/0!</v>
      </c>
      <c r="Q43" s="31" t="e">
        <f>P43</f>
        <v>#DIV/0!</v>
      </c>
      <c r="R43" s="119" t="e">
        <f t="shared" si="30"/>
        <v>#DIV/0!</v>
      </c>
      <c r="S43" s="119" t="e">
        <f t="shared" si="31"/>
        <v>#DIV/0!</v>
      </c>
      <c r="T43" s="119" t="e">
        <f t="shared" si="31"/>
        <v>#DIV/0!</v>
      </c>
      <c r="U43" s="119" t="e">
        <f t="shared" si="31"/>
        <v>#DIV/0!</v>
      </c>
      <c r="V43" s="119" t="e">
        <f t="shared" si="31"/>
        <v>#DIV/0!</v>
      </c>
      <c r="W43" s="119" t="e">
        <f t="shared" si="31"/>
        <v>#DIV/0!</v>
      </c>
      <c r="X43" s="119" t="e">
        <f t="shared" si="31"/>
        <v>#DIV/0!</v>
      </c>
      <c r="Y43" s="119" t="e">
        <f t="shared" si="31"/>
        <v>#DIV/0!</v>
      </c>
      <c r="Z43" s="119" t="e">
        <f t="shared" si="31"/>
        <v>#DIV/0!</v>
      </c>
      <c r="AA43" s="119" t="e">
        <f t="shared" si="31"/>
        <v>#DIV/0!</v>
      </c>
      <c r="AB43" s="118" t="e">
        <f t="shared" si="32"/>
        <v>#DIV/0!</v>
      </c>
    </row>
    <row r="44" spans="2:28" x14ac:dyDescent="0.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2:28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2:28" x14ac:dyDescent="0.2">
      <c r="B46" s="108" t="s">
        <v>244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3"/>
      <c r="Q46" s="23"/>
      <c r="R46" s="122" t="s">
        <v>66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2:28" x14ac:dyDescent="0.2">
      <c r="B47" s="20" t="s">
        <v>25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21">
        <f>PV($C$2, ($AA$4-$R$4), 0, -AA25)</f>
        <v>1.6406333065762362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2:28" x14ac:dyDescent="0.2">
      <c r="B48" s="20" t="s">
        <v>18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1">
        <f>PV($C$2, ($AA$4-$R$4), 0, -AA26)</f>
        <v>60.330666479575108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2:28" x14ac:dyDescent="0.2">
      <c r="B49" s="20" t="s">
        <v>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1">
        <f>PV($C$2, ($AA$4-$R$4), 0, -AA27)</f>
        <v>55.998667202187022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2:28" x14ac:dyDescent="0.2">
      <c r="B50" s="20" t="s">
        <v>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1">
        <f>PV($C$2, ($AA$4-$R$4), 0, -AA28)</f>
        <v>5.0263670627965844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2:28" x14ac:dyDescent="0.2">
      <c r="B51" s="20" t="s">
        <v>10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21">
        <f>PV($C$2, ($AA$4-$R$4), 0, -AA30)</f>
        <v>0.55424632730039314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2:28" x14ac:dyDescent="0.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21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 t="s">
        <v>249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21">
        <f>PV($C$2, ($AA$4-$R$4), 0, -AA33)</f>
        <v>65.889174194347163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21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250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-AA34)</f>
        <v>40.399904372085906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108" t="s">
        <v>251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204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>
        <v>455</v>
      </c>
      <c r="N58" s="22">
        <v>115</v>
      </c>
      <c r="O58" s="22">
        <v>125</v>
      </c>
      <c r="P58" s="118">
        <f t="shared" ref="P58:P62" si="33">((O58/M58)^(1/($H$3-$H$2) ))-1</f>
        <v>-0.3499208974175908</v>
      </c>
      <c r="Q58" s="31">
        <v>0.05</v>
      </c>
      <c r="R58" s="119">
        <f t="shared" ref="R58:R62" si="34">O58*(1+$Q58)</f>
        <v>131.25</v>
      </c>
      <c r="S58" s="119">
        <f t="shared" ref="S58:AA62" si="35">R58*(1+$Q58)</f>
        <v>137.8125</v>
      </c>
      <c r="T58" s="119">
        <f t="shared" si="35"/>
        <v>144.703125</v>
      </c>
      <c r="U58" s="119">
        <f t="shared" si="35"/>
        <v>151.93828125000002</v>
      </c>
      <c r="V58" s="119">
        <f t="shared" si="35"/>
        <v>159.53519531250004</v>
      </c>
      <c r="W58" s="119">
        <f t="shared" si="35"/>
        <v>167.51195507812506</v>
      </c>
      <c r="X58" s="119">
        <f t="shared" si="35"/>
        <v>175.8875528320313</v>
      </c>
      <c r="Y58" s="119">
        <f t="shared" si="35"/>
        <v>184.68193047363289</v>
      </c>
      <c r="Z58" s="119">
        <f t="shared" si="35"/>
        <v>193.91602699731453</v>
      </c>
      <c r="AA58" s="119">
        <f t="shared" si="35"/>
        <v>203.61182834718028</v>
      </c>
      <c r="AB58" s="118">
        <f t="shared" ref="AB58:AB62" si="36">((AA58/M58)^(1/($AA$4-$H$2) ))-1</f>
        <v>-5.9978436992839779E-2</v>
      </c>
    </row>
    <row r="59" spans="2:28" x14ac:dyDescent="0.2">
      <c r="B59" s="20" t="s">
        <v>42</v>
      </c>
      <c r="C59" s="25" t="e">
        <f>C58/C25</f>
        <v>#DIV/0!</v>
      </c>
      <c r="D59" s="25" t="e">
        <f t="shared" ref="D59:O59" si="37">D58/D25</f>
        <v>#DIV/0!</v>
      </c>
      <c r="E59" s="25" t="e">
        <f t="shared" si="37"/>
        <v>#DIV/0!</v>
      </c>
      <c r="F59" s="25" t="e">
        <f t="shared" si="37"/>
        <v>#DIV/0!</v>
      </c>
      <c r="G59" s="25" t="e">
        <f t="shared" si="37"/>
        <v>#DIV/0!</v>
      </c>
      <c r="H59" s="25" t="e">
        <f t="shared" si="37"/>
        <v>#DIV/0!</v>
      </c>
      <c r="I59" s="25" t="e">
        <f t="shared" si="37"/>
        <v>#DIV/0!</v>
      </c>
      <c r="J59" s="25" t="e">
        <f t="shared" si="37"/>
        <v>#DIV/0!</v>
      </c>
      <c r="K59" s="25" t="e">
        <f t="shared" si="37"/>
        <v>#DIV/0!</v>
      </c>
      <c r="L59" s="25">
        <f t="shared" si="37"/>
        <v>0</v>
      </c>
      <c r="M59" s="25">
        <f t="shared" si="37"/>
        <v>40.773315632260207</v>
      </c>
      <c r="N59" s="25">
        <f t="shared" si="37"/>
        <v>9.2505544705220313</v>
      </c>
      <c r="O59" s="25">
        <f t="shared" si="37"/>
        <v>33.00554167119418</v>
      </c>
      <c r="P59" s="118">
        <f t="shared" si="33"/>
        <v>-6.8026396702986158E-2</v>
      </c>
      <c r="Q59" s="31">
        <f t="shared" ref="Q59:Q62" si="38">P59</f>
        <v>-6.8026396702986158E-2</v>
      </c>
      <c r="R59" s="119">
        <f t="shared" si="34"/>
        <v>30.760293600072583</v>
      </c>
      <c r="S59" s="119">
        <f t="shared" si="35"/>
        <v>28.66778166493372</v>
      </c>
      <c r="T59" s="119">
        <f t="shared" si="35"/>
        <v>26.717615776800347</v>
      </c>
      <c r="U59" s="119">
        <f t="shared" si="35"/>
        <v>24.900112647009767</v>
      </c>
      <c r="V59" s="119">
        <f t="shared" si="35"/>
        <v>23.206247706135237</v>
      </c>
      <c r="W59" s="119">
        <f t="shared" si="35"/>
        <v>21.627610293689919</v>
      </c>
      <c r="X59" s="119">
        <f t="shared" si="35"/>
        <v>20.156361896113783</v>
      </c>
      <c r="Y59" s="119">
        <f t="shared" si="35"/>
        <v>18.785197225679791</v>
      </c>
      <c r="Z59" s="119">
        <f t="shared" si="35"/>
        <v>17.507307947061864</v>
      </c>
      <c r="AA59" s="119">
        <f t="shared" si="35"/>
        <v>16.316348871453691</v>
      </c>
      <c r="AB59" s="118">
        <f t="shared" si="36"/>
        <v>-6.8026396702986158E-2</v>
      </c>
    </row>
    <row r="60" spans="2:28" x14ac:dyDescent="0.2">
      <c r="B60" s="20" t="s">
        <v>259</v>
      </c>
      <c r="C60" s="25" t="e">
        <f>C58/C27</f>
        <v>#DIV/0!</v>
      </c>
      <c r="D60" s="25" t="e">
        <f t="shared" ref="D60:O60" si="39">D58/D27</f>
        <v>#DIV/0!</v>
      </c>
      <c r="E60" s="25" t="e">
        <f t="shared" si="39"/>
        <v>#DIV/0!</v>
      </c>
      <c r="F60" s="25" t="e">
        <f t="shared" si="39"/>
        <v>#DIV/0!</v>
      </c>
      <c r="G60" s="25" t="e">
        <f t="shared" si="39"/>
        <v>#DIV/0!</v>
      </c>
      <c r="H60" s="25" t="e">
        <f t="shared" si="39"/>
        <v>#DIV/0!</v>
      </c>
      <c r="I60" s="25" t="e">
        <f t="shared" si="39"/>
        <v>#DIV/0!</v>
      </c>
      <c r="J60" s="25" t="e">
        <f t="shared" si="39"/>
        <v>#DIV/0!</v>
      </c>
      <c r="K60" s="25" t="e">
        <f t="shared" si="39"/>
        <v>#DIV/0!</v>
      </c>
      <c r="L60" s="25">
        <f t="shared" si="39"/>
        <v>0</v>
      </c>
      <c r="M60" s="25">
        <f t="shared" si="39"/>
        <v>3.9411632607231084</v>
      </c>
      <c r="N60" s="25">
        <f t="shared" si="39"/>
        <v>0.91478684435365865</v>
      </c>
      <c r="O60" s="25">
        <f t="shared" si="39"/>
        <v>0.9669871386731187</v>
      </c>
      <c r="P60" s="118">
        <f t="shared" si="33"/>
        <v>-0.37396479355839185</v>
      </c>
      <c r="Q60" s="31">
        <f t="shared" si="38"/>
        <v>-0.37396479355839185</v>
      </c>
      <c r="R60" s="119">
        <f t="shared" si="34"/>
        <v>0.60536799298560584</v>
      </c>
      <c r="S60" s="119">
        <f t="shared" si="35"/>
        <v>0.37898167646188574</v>
      </c>
      <c r="T60" s="119">
        <f t="shared" si="35"/>
        <v>0.23725587206140339</v>
      </c>
      <c r="U60" s="119">
        <f t="shared" si="35"/>
        <v>0.14853052884544443</v>
      </c>
      <c r="V60" s="119">
        <f t="shared" si="35"/>
        <v>9.2985340288639043E-2</v>
      </c>
      <c r="W60" s="119">
        <f t="shared" si="35"/>
        <v>5.8212096703641324E-2</v>
      </c>
      <c r="X60" s="119">
        <f t="shared" si="35"/>
        <v>3.6442821977262951E-2</v>
      </c>
      <c r="Y60" s="119">
        <f t="shared" si="35"/>
        <v>2.2814489579850588E-2</v>
      </c>
      <c r="Z60" s="119">
        <f t="shared" si="35"/>
        <v>1.428267369398168E-2</v>
      </c>
      <c r="AA60" s="119">
        <f t="shared" si="35"/>
        <v>8.941456574549948E-3</v>
      </c>
      <c r="AB60" s="118">
        <f t="shared" si="36"/>
        <v>-0.37396479355839185</v>
      </c>
    </row>
    <row r="61" spans="2:28" x14ac:dyDescent="0.2">
      <c r="B61" s="20" t="s">
        <v>260</v>
      </c>
      <c r="C61" s="130" t="e">
        <f>C58/C32</f>
        <v>#DIV/0!</v>
      </c>
      <c r="D61" s="130" t="e">
        <f t="shared" ref="D61:O61" si="40">D58/D32</f>
        <v>#DIV/0!</v>
      </c>
      <c r="E61" s="130" t="e">
        <f t="shared" si="40"/>
        <v>#DIV/0!</v>
      </c>
      <c r="F61" s="130" t="e">
        <f t="shared" si="40"/>
        <v>#DIV/0!</v>
      </c>
      <c r="G61" s="130" t="e">
        <f t="shared" si="40"/>
        <v>#DIV/0!</v>
      </c>
      <c r="H61" s="130" t="e">
        <f t="shared" si="40"/>
        <v>#DIV/0!</v>
      </c>
      <c r="I61" s="130" t="e">
        <f t="shared" si="40"/>
        <v>#DIV/0!</v>
      </c>
      <c r="J61" s="130" t="e">
        <f t="shared" si="40"/>
        <v>#DIV/0!</v>
      </c>
      <c r="K61" s="130" t="e">
        <f t="shared" si="40"/>
        <v>#DIV/0!</v>
      </c>
      <c r="L61" s="130">
        <f t="shared" si="40"/>
        <v>0</v>
      </c>
      <c r="M61" s="25">
        <f t="shared" si="40"/>
        <v>11.34267570811576</v>
      </c>
      <c r="N61" s="25">
        <f t="shared" si="40"/>
        <v>10.596867771415569</v>
      </c>
      <c r="O61" s="25">
        <f t="shared" si="40"/>
        <v>2.9314687744289065</v>
      </c>
      <c r="P61" s="118">
        <f t="shared" si="33"/>
        <v>-0.36302373156765944</v>
      </c>
      <c r="Q61" s="31">
        <f t="shared" si="38"/>
        <v>-0.36302373156765944</v>
      </c>
      <c r="R61" s="119">
        <f t="shared" si="34"/>
        <v>1.8672760409616516</v>
      </c>
      <c r="S61" s="119">
        <f t="shared" si="35"/>
        <v>1.1894105247048672</v>
      </c>
      <c r="T61" s="119">
        <f t="shared" si="35"/>
        <v>0.75762627766065849</v>
      </c>
      <c r="U61" s="119">
        <f t="shared" si="35"/>
        <v>0.48258995921057057</v>
      </c>
      <c r="V61" s="119">
        <f t="shared" si="35"/>
        <v>0.30739835140086469</v>
      </c>
      <c r="W61" s="119">
        <f t="shared" si="35"/>
        <v>0.19580545479757613</v>
      </c>
      <c r="X61" s="119">
        <f t="shared" si="35"/>
        <v>0.12472342793565738</v>
      </c>
      <c r="Y61" s="119">
        <f t="shared" si="35"/>
        <v>7.9445863712544987E-2</v>
      </c>
      <c r="Z61" s="119">
        <f t="shared" si="35"/>
        <v>5.0605129810001197E-2</v>
      </c>
      <c r="AA61" s="119">
        <f t="shared" si="35"/>
        <v>3.2234266749908765E-2</v>
      </c>
      <c r="AB61" s="118">
        <f t="shared" si="36"/>
        <v>-0.36302373156765944</v>
      </c>
    </row>
    <row r="62" spans="2:28" x14ac:dyDescent="0.2">
      <c r="B62" s="20" t="s">
        <v>261</v>
      </c>
      <c r="C62" s="130" t="e">
        <f>C58/C34</f>
        <v>#DIV/0!</v>
      </c>
      <c r="D62" s="130" t="e">
        <f t="shared" ref="D62:O62" si="41">D58/D34</f>
        <v>#DIV/0!</v>
      </c>
      <c r="E62" s="130" t="e">
        <f t="shared" si="41"/>
        <v>#DIV/0!</v>
      </c>
      <c r="F62" s="130" t="e">
        <f t="shared" si="41"/>
        <v>#DIV/0!</v>
      </c>
      <c r="G62" s="130" t="e">
        <f t="shared" si="41"/>
        <v>#DIV/0!</v>
      </c>
      <c r="H62" s="130" t="e">
        <f t="shared" si="41"/>
        <v>#DIV/0!</v>
      </c>
      <c r="I62" s="130" t="e">
        <f t="shared" si="41"/>
        <v>#DIV/0!</v>
      </c>
      <c r="J62" s="130" t="e">
        <f t="shared" si="41"/>
        <v>#DIV/0!</v>
      </c>
      <c r="K62" s="130" t="e">
        <f t="shared" si="41"/>
        <v>#DIV/0!</v>
      </c>
      <c r="L62" s="130">
        <f t="shared" si="41"/>
        <v>0</v>
      </c>
      <c r="M62" s="25">
        <f t="shared" si="41"/>
        <v>3.9459173950128656</v>
      </c>
      <c r="N62" s="25">
        <f t="shared" si="41"/>
        <v>0.80927048370888854</v>
      </c>
      <c r="O62" s="25">
        <f t="shared" si="41"/>
        <v>1.3403494837172361</v>
      </c>
      <c r="P62" s="118">
        <f t="shared" si="33"/>
        <v>-0.30226578411916472</v>
      </c>
      <c r="Q62" s="31">
        <f t="shared" si="38"/>
        <v>-0.30226578411916472</v>
      </c>
      <c r="R62" s="119">
        <f t="shared" si="34"/>
        <v>0.93520769602772813</v>
      </c>
      <c r="S62" s="119">
        <f t="shared" si="35"/>
        <v>0.65252640847362942</v>
      </c>
      <c r="T62" s="119">
        <f t="shared" si="35"/>
        <v>0.45529000195788544</v>
      </c>
      <c r="U62" s="119">
        <f t="shared" si="35"/>
        <v>0.31767141251446918</v>
      </c>
      <c r="V62" s="119">
        <f t="shared" si="35"/>
        <v>0.22165021391854051</v>
      </c>
      <c r="W62" s="119">
        <f t="shared" si="35"/>
        <v>0.15465293820827225</v>
      </c>
      <c r="X62" s="119">
        <f t="shared" si="35"/>
        <v>0.10790664657441611</v>
      </c>
      <c r="Y62" s="119">
        <f t="shared" si="35"/>
        <v>7.5290159435930648E-2</v>
      </c>
      <c r="Z62" s="119">
        <f t="shared" si="35"/>
        <v>5.2532520357572145E-2</v>
      </c>
      <c r="AA62" s="119">
        <f t="shared" si="35"/>
        <v>3.6653736899934619E-2</v>
      </c>
      <c r="AB62" s="118">
        <f t="shared" si="36"/>
        <v>-0.30226578411916483</v>
      </c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</sheetData>
  <pageMargins left="0.7" right="0.7" top="0.75" bottom="0.75" header="0.3" footer="0.3"/>
  <pageSetup orientation="portrait" r:id="rId1"/>
  <ignoredErrors>
    <ignoredError sqref="C59 R37:AA43 Q16 Q17 Q1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4" t="s">
        <v>27</v>
      </c>
      <c r="K5" s="134"/>
      <c r="M5" s="134" t="s">
        <v>65</v>
      </c>
      <c r="N5" s="13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4" t="s">
        <v>36</v>
      </c>
      <c r="K14" s="134"/>
      <c r="L14" s="13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4" t="s">
        <v>27</v>
      </c>
      <c r="S5" s="134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4" t="s">
        <v>36</v>
      </c>
      <c r="S14" s="134"/>
      <c r="T14" s="134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4" t="s">
        <v>27</v>
      </c>
      <c r="C2" s="134"/>
      <c r="E2" s="134" t="s">
        <v>65</v>
      </c>
      <c r="F2" s="134"/>
      <c r="H2" s="138" t="s">
        <v>36</v>
      </c>
      <c r="I2" s="13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5" t="s">
        <v>68</v>
      </c>
      <c r="E10" s="136"/>
      <c r="F10" s="136"/>
      <c r="G10" s="136"/>
      <c r="H10" s="137"/>
      <c r="I10" s="135" t="s">
        <v>72</v>
      </c>
      <c r="J10" s="136"/>
      <c r="K10" s="136"/>
      <c r="L10" s="13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2012-11-14T04:27:45Z</dcterms:modified>
</cp:coreProperties>
</file>
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P41" i="18" l="1"/>
  <c r="O41" i="18"/>
  <c r="N41" i="18"/>
  <c r="M41" i="18"/>
  <c r="L41" i="18"/>
  <c r="K41" i="18"/>
  <c r="J41" i="18"/>
  <c r="I41" i="18"/>
  <c r="H41" i="18"/>
  <c r="G41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N12" i="18"/>
  <c r="M12" i="18"/>
  <c r="L12" i="18"/>
  <c r="K12" i="18"/>
  <c r="J12" i="18"/>
  <c r="I12" i="18"/>
  <c r="H12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R43" i="18" l="1"/>
  <c r="R42" i="18"/>
  <c r="S4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G209" i="18" s="1"/>
  <c r="H199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3" i="18"/>
  <c r="G214" i="18" s="1"/>
  <c r="K209" i="18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G210" i="18" s="1"/>
  <c r="K210" i="18" s="1"/>
  <c r="H202" i="18"/>
  <c r="I202" i="18" s="1"/>
  <c r="J202" i="18" s="1"/>
  <c r="J203" i="18" s="1"/>
  <c r="H200" i="18"/>
  <c r="H198" i="18"/>
  <c r="H197" i="18"/>
  <c r="I197" i="18" s="1"/>
  <c r="J197" i="18" s="1"/>
  <c r="G212" i="18" l="1"/>
  <c r="G215" i="18"/>
  <c r="D205" i="18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K37" i="18"/>
  <c r="L37" i="18"/>
  <c r="M37" i="18"/>
  <c r="J37" i="18"/>
  <c r="I37" i="18"/>
  <c r="H37" i="18"/>
  <c r="G37" i="18"/>
  <c r="P37" i="18"/>
  <c r="O37" i="18"/>
  <c r="N37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Q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Q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8" i="18" l="1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Q99" i="18" s="1"/>
  <c r="G93" i="18"/>
  <c r="G99" i="18" s="1"/>
  <c r="G90" i="18"/>
  <c r="G96" i="18" s="1"/>
  <c r="S29" i="18"/>
  <c r="Q29" i="18"/>
  <c r="Q96" i="18" l="1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T188" i="18" s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P186" i="18"/>
  <c r="S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AC91" i="18" l="1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C94" i="18" l="1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R138" i="18"/>
  <c r="P184" i="18" s="1"/>
  <c r="P185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<sst xmlns="http://schemas.openxmlformats.org/spreadsheetml/2006/main" count="620" uniqueCount="430">
  <si>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</si>
  <si>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</si>
  <si>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</si>
  <si>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</si>
  <si>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</si>
  <si>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</si>
  <si>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</si>
  <si>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</si>
  <si>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</si>
  <si>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</si>
  <si>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</si>
  <si>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</si>
  <si>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</si>
  <si>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</si>
  <si>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</si>
  <si>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</si>
  <si>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</si>
  <si>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</si>
  <si>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</si>
  <si>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</si>
  <si>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</si>
  <si>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</si>
  <si>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</si>
  <si>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</si>
  <si>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</si>
  <si>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</si>
  <si>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</si>
  <si>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</si>
  <si>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</si>
  <si>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</si>
  <si>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</si>
  <si>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</si>
  <si>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</si>
  <si>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</si>
  <si>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</si>
  <si>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</si>
  <si>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</si>
  <si>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</si>
  <si>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</si>
  <si>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</si>
  <si>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</si>
  <si>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</si>
  <si>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</si>
  <si>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</si>
  <si>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</si>
  <si>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</si>
  <si>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</si>
  <si>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</si>
  <si>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</si>
  <si>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</si>
  <si>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</si>
  <si>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</si>
  <si>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</si>
  <si>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</si>
  <si>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</si>
  <si>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</si>
  <si>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</si>
  <si>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</si>
  <si>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</si>
  <si>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</si>
  <si>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</si>
  <si>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</si>
  <si>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</si>
  <si>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</si>
  <si>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</si>
  <si>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</si>
  <si>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</si>
  <si>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</si>
  <si>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</si>
  <si>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</si>
  <si>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</si>
  <si>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</si>
  <si>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</si>
  <si>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</si>
  <si>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</si>
  <si>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</si>
  <si>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</si>
  <si>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</si>
  <si>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</si>
  <si>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</si>
  <si>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</si>
  <si>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</si>
  <si>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</si>
  <si>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</si>
  <si>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</si>
  <si>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</si>
  <si>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</si>
  <si>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</si>
  <si>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</si>
  <si>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</si>
  <si>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</si>
  <si>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</si>
  <si>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</si>
  <si>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</si>
  <si>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</si>
  <si>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</si>
  <si>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</si>
  <si>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</si>
  <si>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</si>
  <si>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</si>
  <si>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</si>
  <si>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</si>
  <si>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</si>
  <si>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</si>
  <si>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</si>
  <si>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</si>
  <si>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</si>
  <si>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</si>
  <si>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</si>
  <si>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</si>
  <si>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</si>
  <si>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</si>
  <si>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</si>
  <si>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</si>
  <si>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</si>
  <si>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</si>
  <si>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</si>
  <si>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</si>
  <si>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</si>
  <si>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</si>
  <si>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</si>
  <si>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</si>
  <si>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</si>
  <si>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</si>
  <si>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</si>
  <si>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</si>
  <si>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</si>
  <si>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</si>
  <si>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</si>
  <si>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</si>
  <si>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</si>
  <si>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</si>
  <si>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</si>
  <si>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</si>
  <si>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</si>
  <si>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</si>
  <si>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</si>
  <si>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</si>
  <si>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</si>
  <si>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</si>
  <si>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</si>
  <si>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</si>
  <si>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</si>
  <si>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</si>
  <si>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</si>
  <si>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</si>
  <si>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</si>
  <si>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</si>
  <si>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</si>
  <si>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</si>
  <si>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</si>
  <si>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</si>
  <si>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</si>
  <si>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</si>
  <si>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</si>
  <si>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</si>
  <si>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</si>
  <si>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</si>
  <si>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</si>
  <si>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</si>
  <si>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</si>
  <si>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</si>
  <si>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</si>
  <si>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</si>
  <si>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</si>
  <si>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</si>
  <si>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</si>
  <si>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</si>
  <si>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</si>
  <si>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</si>
  <si>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</si>
  <si>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</si>
  <si>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</si>
  <si>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</si>
  <si>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</si>
  <si>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</si>
  <si>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</si>
  <si>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</si>
  <si>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</si>
  <si>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</si>
  <si>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</si>
  <si>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</si>
  <si>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</si>
  <si>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</si>
  <si>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</si>
  <si>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</si>
  <si>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</si>
  <si>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</si>
  <si>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</si>
  <si>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</si>
  <si>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</si>
  <si>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</si>
  <si>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</si>
  <si>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</si>
  <si>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</si>
  <si>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</si>
  <si>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</si>
  <si>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</si>
  <si>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</si>
  <si>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</si>
  <si>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</si>
  <si>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</si>
  <si>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</si>
  <si>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</si>
  <si>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</si>
  <si>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</si>
  <si>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</si>
  <si>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</si>
  <si>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</si>
  <si>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</si>
  <si>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</si>
  <si>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</si>
  <si>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</si>
  <si>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</si>
  <si>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</si>
  <si>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</si>
  <si>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</si>
  <si>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</si>
  <si>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</si>
  <si>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</si>
  <si>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</si>
  <si>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</si>
  <si>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</si>
  <si>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</si>
  <si>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</si>
  <si>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</si>
  <si>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</si>
  <si>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</si>
  <si>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</si>
  <si>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</si>
  <si>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</si>
  <si>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</si>
  <si>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</si>
  <si>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</si>
  <si>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</si>
  <si>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</si>
  <si>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</si>
  <si>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</si>
  <si>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</si>
  <si>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</si>
  <si>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</si>
  <si>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</si>
  <si>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</si>
  <si>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</si>
  <si>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</si>
  <si>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</si>
  <si>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</si>
  <si>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</si>
  <si>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</si>
  <si>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</si>
  <si>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</si>
  <si>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</si>
  <si>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</si>
  <si>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</si>
  <si>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</si>
  <si>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</si>
  <si>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</si>
  <si>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</si>
  <si>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</si>
  <si>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</si>
  <si>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</si>
  <si>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</si>
  <si>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</si>
  <si>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</si>
  <si>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</si>
  <si>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</si>
  <si>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</si>
  <si>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</si>
  <si>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</si>
  <si>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</si>
  <si>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</si>
  <si>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</si>
  <si>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</si>
  <si>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</si>
  <si>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</si>
  <si>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</si>
  <si>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</si>
  <si>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</si>
  <si>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</si>
  <si>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</si>
  <si>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</si>
  <si>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</si>
  <si>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</si>
  <si>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</si>
  <si>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</si>
  <si>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</si>
  <si>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</si>
  <si>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</si>
  <si>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</si>
  <si>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</si>
  <si>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</si>
  <si>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</si>
  <si>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</si>
  <si>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</si>
  <si>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</si>
  <si>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</si>
  <si>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</si>
  <si>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</si>
  <si>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</si>
  <si>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</si>
  <si>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</si>
  <si>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</si>
  <si>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</si>
  <si>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</si>
  <si>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</si>
  <si>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</si>
  <si>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</si>
  <si>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</si>
  <si>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</si>
  <si>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</si>
  <si>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</si>
  <si>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</si>
  <si>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</si>
  <si>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</si>
  <si>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</si>
  <si>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</si>
  <si>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</si>
  <si>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</si>
  <si>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</si>
  <si>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</si>
  <si>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</si>
  <si>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</si>
  <si>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</si>
  <si>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</si>
  <si>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</si>
  <si>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</si>
  <si>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</si>
  <si>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</si>
  <si>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</si>
  <si>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</si>
  <si>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</si>
  <si>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</si>
  <si>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</si>
  <si>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</si>
  <si>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</si>
  <si>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</si>
  <si>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</si>
  <si>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</si>
  <si>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</si>
  <si>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</si>
  <si>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</si>
  <si>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</si>
  <si>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</si>
  <si>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</si>
  <si>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</si>
  <si>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</si>
  <si>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</si>
  <si>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</si>
  <si>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</si>
  <si>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</si>
  <si>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</si>
  <si>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</si>
  <si>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</si>
  <si>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</si>
  <si>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</si>
  <si>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</si>
  <si>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</si>
  <si>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</si>
  <si>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</si>
  <si>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</si>
  <si>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</si>
  <si>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</si>
  <si>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</si>
  <si>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</si>
  <si>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</si>
  <si>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</si>
  <si>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</si>
  <si>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</si>
  <si>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</si>
  <si>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</si>
  <si>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</si>
  <si>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</si>
  <si>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</si>
  <si>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</si>
  <si>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</si>
  <si>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</si>
  <si>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</si>
  <si>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</si>
  <si>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</si>
  <si>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</si>
  <si>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</si>
  <si>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</si>
  <si>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</si>
  <si>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</si>
  <si>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</si>
  <si>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</si>
  <si>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</si>
  <si>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</si>
  <si>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</si>
  <si>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</si>
  <si>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</si>
  <si>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</si>
  <si>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</si>
  <si>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</si>
  <si>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</si>
  <si>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</si>
  <si>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</si>
  <si>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</si>
  <si>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</si>
  <si>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</si>
  <si>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</si>
  <si>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</si>
  <si>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</si>
  <si>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</si>
  <si>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</si>
  <si>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</si>
  <si>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</si>
  <si>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</si>
  <si>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</si>
  <si>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</si>
  <si>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</si>
  <si>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</si>
  <si>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</si>
  <si>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</si>
  <si>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</si>
  <si>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</si>
  <si>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</si>
  <si>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</si>
  <si>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</si>
  <si>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</si>
  <si>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</si>
  <si>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</si>
  <si>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</si>
  <si>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</si>
  <si>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</si>
  <si>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</si>
  <si>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</si>
  <si>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</si>
  <si>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1x1</t>
  </si>
  <si>
    <t>1x2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</si>
</sst>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18464"/>
        <c:axId val="98720000"/>
      </c:lineChart>
      <c:catAx>
        <c:axId val="98718464"/>
        <c:scaling>
          <c:orientation val="minMax"/>
        </c:scaling>
        <c:delete val="0"/>
        <c:axPos val="b"/>
        <c:majorTickMark val="out"/>
        <c:minorTickMark val="none"/>
        <c:tickLblPos val="nextTo"/>
        <c:crossAx val="98720000"/>
        <c:crosses val="autoZero"/>
        <c:auto val="1"/>
        <c:lblAlgn val="ctr"/>
        <c:lblOffset val="100"/>
        <c:noMultiLvlLbl val="0"/>
      </c:catAx>
      <c:valAx>
        <c:axId val="98720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871846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C90" activePane="bottomRight" state="frozen"/>
      <selection pane="topRight" activeCell="C1" sqref="C1"/>
      <selection pane="bottomLeft" activeCell="A5" sqref="A5"/>
      <selection pane="bottomRight" activeCell="P99" sqref="P99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1" t="s">
        <v>291</v>
      </c>
      <c r="AE2" s="192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3" t="s">
        <v>292</v>
      </c>
      <c r="AE3" s="194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2622</v>
      </c>
      <c r="H6" s="147">
        <v>3230</v>
      </c>
      <c r="I6" s="147">
        <v>4872</v>
      </c>
      <c r="J6" s="147">
        <v>6836</v>
      </c>
      <c r="K6" s="147">
        <v>10746</v>
      </c>
      <c r="L6" s="147">
        <v>13565</v>
      </c>
      <c r="M6" s="147">
        <v>20490</v>
      </c>
      <c r="N6" s="147">
        <v>24514</v>
      </c>
      <c r="O6" s="147">
        <v>29264</v>
      </c>
      <c r="P6" s="147">
        <v>33736</v>
      </c>
      <c r="Q6" s="118">
        <f>((P6/G6)^(1/($H$2-$H$1) ))-1</f>
        <v>0.32823045331612755</v>
      </c>
      <c r="R6" s="31">
        <f>$L$2</f>
        <v>0.12</v>
      </c>
      <c r="S6" s="154">
        <f>P6*(1+$R6)</f>
        <v>37784.320000000007</v>
      </c>
      <c r="T6" s="154">
        <f>S6*(1+$R6)</f>
        <v>42318.438400000014</v>
      </c>
      <c r="U6" s="154">
        <f t="shared" ref="U6:AB6" si="0">T6*(1+$R6)</f>
        <v>47396.651008000023</v>
      </c>
      <c r="V6" s="154">
        <f t="shared" si="0"/>
        <v>53084.249128960029</v>
      </c>
      <c r="W6" s="154">
        <f t="shared" si="0"/>
        <v>59454.359024435238</v>
      </c>
      <c r="X6" s="154">
        <f t="shared" si="0"/>
        <v>66588.882107367477</v>
      </c>
      <c r="Y6" s="154">
        <f t="shared" si="0"/>
        <v>74579.547960251584</v>
      </c>
      <c r="Z6" s="154">
        <f t="shared" si="0"/>
        <v>83529.09371548178</v>
      </c>
      <c r="AA6" s="154">
        <f t="shared" si="0"/>
        <v>93552.584961339599</v>
      </c>
      <c r="AB6" s="154">
        <f t="shared" si="0"/>
        <v>104778.89515670035</v>
      </c>
      <c r="AC6" s="138">
        <f>((AB6/G6)^(1/($AB$3-$H$1) ))-1</f>
        <v>0.21421865623705294</v>
      </c>
      <c r="AD6" s="31">
        <f>$L$1</f>
        <v>0.05</v>
      </c>
      <c r="AE6" s="146">
        <f t="shared" ref="AE6:AE43" si="1">(AB6*(1+AD6))/($C$1-AD6)</f>
        <v>647163.76420314936</v>
      </c>
    </row>
    <row r="7" spans="2:31" x14ac:dyDescent="0.2">
      <c r="B7" s="20" t="s">
        <v>240</v>
      </c>
      <c r="C7" s="141"/>
      <c r="D7" s="141"/>
      <c r="E7" s="147"/>
      <c r="F7" s="147"/>
      <c r="G7" s="147">
        <v>2647</v>
      </c>
      <c r="H7" s="147">
        <v>3315</v>
      </c>
      <c r="I7" s="147">
        <v>4964</v>
      </c>
      <c r="J7" s="147">
        <v>6921</v>
      </c>
      <c r="K7" s="147">
        <v>10831</v>
      </c>
      <c r="L7" s="147">
        <v>13987</v>
      </c>
      <c r="M7" s="147">
        <v>20991</v>
      </c>
      <c r="N7" s="147">
        <v>25050</v>
      </c>
      <c r="O7" s="147">
        <v>29386</v>
      </c>
      <c r="P7" s="147">
        <v>33859</v>
      </c>
      <c r="Q7" s="118">
        <f>((P7/G7)^(1/($H$2-$H$1) ))-1</f>
        <v>0.3273673528633827</v>
      </c>
      <c r="R7" s="31">
        <f>$L$2</f>
        <v>0.12</v>
      </c>
      <c r="S7" s="154">
        <f t="shared" ref="S7:S16" si="2">P7*(1+$R7)</f>
        <v>37922.080000000002</v>
      </c>
      <c r="T7" s="154">
        <f t="shared" ref="T7:AB7" si="3">S7*(1+$R7)</f>
        <v>42472.729600000006</v>
      </c>
      <c r="U7" s="154">
        <f t="shared" si="3"/>
        <v>47569.45715200001</v>
      </c>
      <c r="V7" s="154">
        <f t="shared" si="3"/>
        <v>53277.792010240017</v>
      </c>
      <c r="W7" s="154">
        <f t="shared" si="3"/>
        <v>59671.127051468822</v>
      </c>
      <c r="X7" s="154">
        <f t="shared" si="3"/>
        <v>66831.662297645089</v>
      </c>
      <c r="Y7" s="154">
        <f t="shared" si="3"/>
        <v>74851.461773362505</v>
      </c>
      <c r="Z7" s="154">
        <f t="shared" si="3"/>
        <v>83833.637186166015</v>
      </c>
      <c r="AA7" s="154">
        <f t="shared" si="3"/>
        <v>93893.673648505952</v>
      </c>
      <c r="AB7" s="154">
        <f t="shared" si="3"/>
        <v>105160.91448632667</v>
      </c>
      <c r="AC7" s="138">
        <f>((AB7/G7)^(1/($AB$3-$H$1) ))-1</f>
        <v>0.21384484874206056</v>
      </c>
      <c r="AD7" s="31">
        <f>$L$1</f>
        <v>0.05</v>
      </c>
      <c r="AE7" s="146">
        <f t="shared" si="1"/>
        <v>649523.2953567236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0.20150829562594269</v>
      </c>
      <c r="I8" s="151">
        <f t="shared" ref="I8:P8" si="4">(I7-H7)/I7</f>
        <v>0.3321917808219178</v>
      </c>
      <c r="J8" s="151">
        <f t="shared" si="4"/>
        <v>0.28276260655974572</v>
      </c>
      <c r="K8" s="151">
        <f t="shared" si="4"/>
        <v>0.36100083094820423</v>
      </c>
      <c r="L8" s="151">
        <f t="shared" si="4"/>
        <v>0.22563809251447772</v>
      </c>
      <c r="M8" s="151">
        <f t="shared" si="4"/>
        <v>0.33366680958506029</v>
      </c>
      <c r="N8" s="151">
        <f t="shared" si="4"/>
        <v>0.16203592814371257</v>
      </c>
      <c r="O8" s="151">
        <f t="shared" si="4"/>
        <v>0.14755325665282787</v>
      </c>
      <c r="P8" s="151">
        <f t="shared" si="4"/>
        <v>0.13210667769278478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4612</v>
      </c>
      <c r="H9" s="147">
        <v>5465</v>
      </c>
      <c r="I9" s="147">
        <v>6784</v>
      </c>
      <c r="J9" s="147">
        <v>9467</v>
      </c>
      <c r="K9" s="147">
        <v>13682</v>
      </c>
      <c r="L9" s="147">
        <v>18079</v>
      </c>
      <c r="M9" s="147">
        <v>21803</v>
      </c>
      <c r="N9" s="147">
        <v>28748</v>
      </c>
      <c r="O9" s="147">
        <v>34095</v>
      </c>
      <c r="P9" s="147">
        <v>45067</v>
      </c>
      <c r="Q9" s="118">
        <f t="shared" ref="Q9:Q16" si="5">((P9/G9)^(1/($H$2-$H$1) ))-1</f>
        <v>0.2882394499800176</v>
      </c>
      <c r="R9" s="31">
        <f t="shared" ref="R9:R40" si="6">$L$2</f>
        <v>0.12</v>
      </c>
      <c r="S9" s="154">
        <f t="shared" ref="S9" si="7">P9*(1+$R9)</f>
        <v>50475.040000000008</v>
      </c>
      <c r="T9" s="154">
        <f t="shared" ref="T9" si="8">S9*(1+$R9)</f>
        <v>56532.044800000018</v>
      </c>
      <c r="U9" s="154">
        <f t="shared" ref="U9" si="9">T9*(1+$R9)</f>
        <v>63315.890176000023</v>
      </c>
      <c r="V9" s="154">
        <f t="shared" ref="V9" si="10">U9*(1+$R9)</f>
        <v>70913.796997120036</v>
      </c>
      <c r="W9" s="154">
        <f t="shared" ref="W9" si="11">V9*(1+$R9)</f>
        <v>79423.452636774455</v>
      </c>
      <c r="X9" s="154">
        <f t="shared" ref="X9" si="12">W9*(1+$R9)</f>
        <v>88954.266953187398</v>
      </c>
      <c r="Y9" s="154">
        <f t="shared" ref="Y9" si="13">X9*(1+$R9)</f>
        <v>99628.778987569895</v>
      </c>
      <c r="Z9" s="154">
        <f t="shared" ref="Z9" si="14">Y9*(1+$R9)</f>
        <v>111584.23246607829</v>
      </c>
      <c r="AA9" s="154">
        <f t="shared" ref="AA9" si="15">Z9*(1+$R9)</f>
        <v>124974.3403620077</v>
      </c>
      <c r="AB9" s="154">
        <f t="shared" ref="AB9" si="16">AA9*(1+$R9)</f>
        <v>139971.26120544862</v>
      </c>
      <c r="AC9" s="138">
        <f>((AB9/G9)^(1/($AB$3-$H$1) ))-1</f>
        <v>0.19676222489563422</v>
      </c>
      <c r="AD9" s="31">
        <f t="shared" ref="AD9:AD79" si="17">$L$1</f>
        <v>0.05</v>
      </c>
      <c r="AE9" s="146">
        <f t="shared" si="1"/>
        <v>864528.37803365337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2769</v>
      </c>
      <c r="H10" s="147">
        <v>3453</v>
      </c>
      <c r="I10" s="147">
        <v>3498</v>
      </c>
      <c r="J10" s="147">
        <v>6432</v>
      </c>
      <c r="K10" s="147">
        <v>12315</v>
      </c>
      <c r="L10" s="147">
        <v>20370</v>
      </c>
      <c r="M10" s="147">
        <v>24607</v>
      </c>
      <c r="N10" s="147">
        <v>37340</v>
      </c>
      <c r="O10" s="147">
        <v>51103</v>
      </c>
      <c r="P10" s="147">
        <v>58642</v>
      </c>
      <c r="Q10" s="118">
        <f t="shared" si="5"/>
        <v>0.4038498063649274</v>
      </c>
      <c r="R10" s="31">
        <f t="shared" si="6"/>
        <v>0.12</v>
      </c>
      <c r="S10" s="154">
        <f t="shared" si="2"/>
        <v>65679.040000000008</v>
      </c>
      <c r="T10" s="154">
        <f t="shared" ref="T10:AB10" si="18">S10*(1+$R10)</f>
        <v>73560.524800000014</v>
      </c>
      <c r="U10" s="154">
        <f t="shared" si="18"/>
        <v>82387.787776000026</v>
      </c>
      <c r="V10" s="154">
        <f t="shared" si="18"/>
        <v>92274.322309120034</v>
      </c>
      <c r="W10" s="154">
        <f t="shared" si="18"/>
        <v>103347.24098621444</v>
      </c>
      <c r="X10" s="154">
        <f t="shared" si="18"/>
        <v>115748.90990456019</v>
      </c>
      <c r="Y10" s="154">
        <f t="shared" si="18"/>
        <v>129638.77909310743</v>
      </c>
      <c r="Z10" s="154">
        <f t="shared" si="18"/>
        <v>145195.43258428032</v>
      </c>
      <c r="AA10" s="154">
        <f t="shared" si="18"/>
        <v>162618.88449439398</v>
      </c>
      <c r="AB10" s="154">
        <f t="shared" si="18"/>
        <v>182133.15063372126</v>
      </c>
      <c r="AC10" s="138">
        <f t="shared" ref="AC10:AC42" si="19">((AB10/G10)^(1/($AB$3-$H$1) ))-1</f>
        <v>0.24648680794318745</v>
      </c>
      <c r="AD10" s="31">
        <f t="shared" si="17"/>
        <v>0.05</v>
      </c>
      <c r="AE10" s="146">
        <f t="shared" si="1"/>
        <v>1124940.0480318079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0.19808861859252824</v>
      </c>
      <c r="I11" s="148">
        <f t="shared" si="20"/>
        <v>1.2864493996569469E-2</v>
      </c>
      <c r="J11" s="148">
        <f t="shared" si="20"/>
        <v>0.45615671641791045</v>
      </c>
      <c r="K11" s="148">
        <f t="shared" si="20"/>
        <v>0.47771010962241167</v>
      </c>
      <c r="L11" s="148">
        <f t="shared" si="20"/>
        <v>0.39543446244477171</v>
      </c>
      <c r="M11" s="148">
        <f t="shared" si="20"/>
        <v>0.17218677612061609</v>
      </c>
      <c r="N11" s="148">
        <f t="shared" si="20"/>
        <v>0.34100160685591857</v>
      </c>
      <c r="O11" s="148">
        <f t="shared" si="20"/>
        <v>0.26931882668336499</v>
      </c>
      <c r="P11" s="148">
        <f t="shared" si="20"/>
        <v>0.12855973534326934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537</v>
      </c>
      <c r="H12" s="147">
        <f>442+547</f>
        <v>989</v>
      </c>
      <c r="I12" s="147">
        <f>561+254</f>
        <v>815</v>
      </c>
      <c r="J12" s="147">
        <f>1205+512</f>
        <v>1717</v>
      </c>
      <c r="K12" s="147">
        <f>1237+323</f>
        <v>1560</v>
      </c>
      <c r="L12" s="147">
        <f>1154+304</f>
        <v>1458</v>
      </c>
      <c r="M12" s="147">
        <f>1844+1477</f>
        <v>3321</v>
      </c>
      <c r="N12" s="147">
        <f>3645</f>
        <v>3645</v>
      </c>
      <c r="O12" s="147">
        <v>3522</v>
      </c>
      <c r="P12" s="147">
        <v>3631</v>
      </c>
      <c r="Q12" s="118">
        <f t="shared" si="5"/>
        <v>0.23659645146109631</v>
      </c>
      <c r="R12" s="31">
        <f t="shared" si="6"/>
        <v>0.12</v>
      </c>
      <c r="S12" s="154">
        <f t="shared" si="2"/>
        <v>4066.7200000000003</v>
      </c>
      <c r="T12" s="154">
        <f t="shared" ref="T12:AB12" si="21">S12*(1+$R12)</f>
        <v>4554.7264000000005</v>
      </c>
      <c r="U12" s="154">
        <f t="shared" si="21"/>
        <v>5101.293568000001</v>
      </c>
      <c r="V12" s="154">
        <f t="shared" si="21"/>
        <v>5713.4487961600016</v>
      </c>
      <c r="W12" s="154">
        <f t="shared" si="21"/>
        <v>6399.0626516992024</v>
      </c>
      <c r="X12" s="154">
        <f t="shared" si="21"/>
        <v>7166.9501699031071</v>
      </c>
      <c r="Y12" s="154">
        <f t="shared" si="21"/>
        <v>8026.9841902914804</v>
      </c>
      <c r="Z12" s="154">
        <f t="shared" si="21"/>
        <v>8990.2222931264587</v>
      </c>
      <c r="AA12" s="154">
        <f t="shared" si="21"/>
        <v>10069.048968301635</v>
      </c>
      <c r="AB12" s="154">
        <f t="shared" si="21"/>
        <v>11277.334844497833</v>
      </c>
      <c r="AC12" s="138">
        <f t="shared" si="19"/>
        <v>0.17379206120202384</v>
      </c>
      <c r="AD12" s="31">
        <f t="shared" si="17"/>
        <v>0.05</v>
      </c>
      <c r="AE12" s="146">
        <f t="shared" si="1"/>
        <v>69654.126980721921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623</v>
      </c>
      <c r="H13" s="147">
        <v>680</v>
      </c>
      <c r="I13" s="147">
        <v>1675</v>
      </c>
      <c r="J13" s="147">
        <v>2478</v>
      </c>
      <c r="K13" s="147">
        <v>5552</v>
      </c>
      <c r="L13" s="147">
        <v>6805</v>
      </c>
      <c r="M13" s="147">
        <v>9927</v>
      </c>
      <c r="N13" s="147">
        <v>9215</v>
      </c>
      <c r="O13" s="147">
        <v>8789</v>
      </c>
      <c r="P13" s="147">
        <v>8767</v>
      </c>
      <c r="Q13" s="118">
        <f t="shared" si="5"/>
        <v>0.34151608540424472</v>
      </c>
      <c r="R13" s="31">
        <f t="shared" si="6"/>
        <v>0.12</v>
      </c>
      <c r="S13" s="154">
        <f t="shared" si="2"/>
        <v>9819.0400000000009</v>
      </c>
      <c r="T13" s="154">
        <f t="shared" ref="T13:AB13" si="22">S13*(1+$R13)</f>
        <v>10997.324800000002</v>
      </c>
      <c r="U13" s="154">
        <f t="shared" si="22"/>
        <v>12317.003776000003</v>
      </c>
      <c r="V13" s="154">
        <f t="shared" si="22"/>
        <v>13795.044229120005</v>
      </c>
      <c r="W13" s="154">
        <f t="shared" si="22"/>
        <v>15450.449536614407</v>
      </c>
      <c r="X13" s="154">
        <f t="shared" si="22"/>
        <v>17304.503481008138</v>
      </c>
      <c r="Y13" s="154">
        <f t="shared" si="22"/>
        <v>19381.043898729116</v>
      </c>
      <c r="Z13" s="154">
        <f t="shared" si="22"/>
        <v>21706.769166576611</v>
      </c>
      <c r="AA13" s="154">
        <f t="shared" si="22"/>
        <v>24311.581466565807</v>
      </c>
      <c r="AB13" s="154">
        <f t="shared" si="22"/>
        <v>27228.971242553707</v>
      </c>
      <c r="AC13" s="138">
        <f t="shared" si="19"/>
        <v>0.21995659251170352</v>
      </c>
      <c r="AD13" s="31">
        <f t="shared" si="17"/>
        <v>0.05</v>
      </c>
      <c r="AE13" s="146">
        <f t="shared" si="1"/>
        <v>168178.94002753764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1967</v>
      </c>
      <c r="H14" s="147">
        <v>2434</v>
      </c>
      <c r="I14" s="147">
        <v>2477</v>
      </c>
      <c r="J14" s="147">
        <v>3677</v>
      </c>
      <c r="K14" s="147">
        <v>5019</v>
      </c>
      <c r="L14" s="147">
        <v>7105</v>
      </c>
      <c r="M14" s="147">
        <v>2378</v>
      </c>
      <c r="N14" s="147">
        <v>3040</v>
      </c>
      <c r="O14" s="147">
        <v>4229</v>
      </c>
      <c r="P14" s="147">
        <v>5169</v>
      </c>
      <c r="Q14" s="118">
        <f t="shared" ref="Q14" si="23">((P14/G14)^(1/($H$2-$H$1) ))-1</f>
        <v>0.11332628743048456</v>
      </c>
      <c r="R14" s="31">
        <f t="shared" si="6"/>
        <v>0.12</v>
      </c>
      <c r="S14" s="154">
        <f t="shared" ref="S14" si="24">P14*(1+$R14)</f>
        <v>5789.2800000000007</v>
      </c>
      <c r="T14" s="154">
        <f t="shared" ref="T14" si="25">S14*(1+$R14)</f>
        <v>6483.9936000000016</v>
      </c>
      <c r="U14" s="154">
        <f t="shared" ref="U14" si="26">T14*(1+$R14)</f>
        <v>7262.0728320000026</v>
      </c>
      <c r="V14" s="154">
        <f t="shared" ref="V14" si="27">U14*(1+$R14)</f>
        <v>8133.5215718400041</v>
      </c>
      <c r="W14" s="154">
        <f t="shared" ref="W14" si="28">V14*(1+$R14)</f>
        <v>9109.5441604608059</v>
      </c>
      <c r="X14" s="154">
        <f t="shared" ref="X14" si="29">W14*(1+$R14)</f>
        <v>10202.689459716103</v>
      </c>
      <c r="Y14" s="154">
        <f t="shared" ref="Y14" si="30">X14*(1+$R14)</f>
        <v>11427.012194882036</v>
      </c>
      <c r="Z14" s="154">
        <f t="shared" ref="Z14" si="31">Y14*(1+$R14)</f>
        <v>12798.253658267882</v>
      </c>
      <c r="AA14" s="154">
        <f t="shared" ref="AA14" si="32">Z14*(1+$R14)</f>
        <v>14334.04409726003</v>
      </c>
      <c r="AB14" s="154">
        <f t="shared" ref="AB14" si="33">AA14*(1+$R14)</f>
        <v>16054.129388931235</v>
      </c>
      <c r="AC14" s="138">
        <f t="shared" ref="AC14" si="34">((AB14/G14)^(1/($AB$3-$H$1) ))-1</f>
        <v>0.11683379560722895</v>
      </c>
      <c r="AD14" s="31">
        <f t="shared" si="17"/>
        <v>0.05</v>
      </c>
      <c r="AE14" s="146">
        <f t="shared" ref="AE14" si="35">(AB14*(1+AD14))/($C$1-AD14)</f>
        <v>99157.857990457633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5995</v>
      </c>
      <c r="H15" s="147">
        <v>7128</v>
      </c>
      <c r="I15" s="147">
        <v>8320</v>
      </c>
      <c r="J15" s="147">
        <v>11292</v>
      </c>
      <c r="K15" s="147">
        <v>14722</v>
      </c>
      <c r="L15" s="147">
        <v>20124</v>
      </c>
      <c r="M15" s="147">
        <v>16750</v>
      </c>
      <c r="N15" s="147">
        <v>21165</v>
      </c>
      <c r="O15" s="147">
        <v>28157</v>
      </c>
      <c r="P15" s="147">
        <v>31815</v>
      </c>
      <c r="Q15" s="118">
        <f t="shared" si="5"/>
        <v>0.20375493953586421</v>
      </c>
      <c r="R15" s="31">
        <f t="shared" si="6"/>
        <v>0.12</v>
      </c>
      <c r="S15" s="154">
        <f t="shared" si="2"/>
        <v>35632.800000000003</v>
      </c>
      <c r="T15" s="154">
        <f t="shared" ref="T15:AB15" si="36">S15*(1+$R15)</f>
        <v>39908.736000000004</v>
      </c>
      <c r="U15" s="154">
        <f t="shared" si="36"/>
        <v>44697.784320000006</v>
      </c>
      <c r="V15" s="154">
        <f t="shared" si="36"/>
        <v>50061.518438400009</v>
      </c>
      <c r="W15" s="154">
        <f t="shared" si="36"/>
        <v>56068.900651008014</v>
      </c>
      <c r="X15" s="154">
        <f t="shared" si="36"/>
        <v>62797.168729128985</v>
      </c>
      <c r="Y15" s="154">
        <f t="shared" si="36"/>
        <v>70332.828976624471</v>
      </c>
      <c r="Z15" s="154">
        <f t="shared" si="36"/>
        <v>78772.768453819415</v>
      </c>
      <c r="AA15" s="154">
        <f t="shared" si="36"/>
        <v>88225.50066827776</v>
      </c>
      <c r="AB15" s="154">
        <f t="shared" si="36"/>
        <v>98812.560748471107</v>
      </c>
      <c r="AC15" s="138">
        <f t="shared" si="19"/>
        <v>0.15892102101841554</v>
      </c>
      <c r="AD15" s="31">
        <f t="shared" si="17"/>
        <v>0.05</v>
      </c>
      <c r="AE15" s="146">
        <f t="shared" si="1"/>
        <v>610312.87521114515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2658</v>
      </c>
      <c r="H16" s="147">
        <v>3938</v>
      </c>
      <c r="I16" s="147">
        <v>3900</v>
      </c>
      <c r="J16" s="147">
        <v>6064</v>
      </c>
      <c r="K16" s="147">
        <v>9965</v>
      </c>
      <c r="L16" s="147">
        <v>13021</v>
      </c>
      <c r="M16" s="147">
        <v>17779</v>
      </c>
      <c r="N16" s="147">
        <v>26037</v>
      </c>
      <c r="O16" s="147">
        <v>39140</v>
      </c>
      <c r="P16" s="147">
        <v>44647</v>
      </c>
      <c r="Q16" s="118">
        <f t="shared" si="5"/>
        <v>0.36816185654799338</v>
      </c>
      <c r="R16" s="31">
        <f t="shared" si="6"/>
        <v>0.12</v>
      </c>
      <c r="S16" s="154">
        <f t="shared" si="2"/>
        <v>50004.640000000007</v>
      </c>
      <c r="T16" s="154">
        <f t="shared" ref="T16:AB16" si="37">S16*(1+$R16)</f>
        <v>56005.196800000012</v>
      </c>
      <c r="U16" s="154">
        <f t="shared" si="37"/>
        <v>62725.820416000017</v>
      </c>
      <c r="V16" s="154">
        <f t="shared" si="37"/>
        <v>70252.91886592003</v>
      </c>
      <c r="W16" s="154">
        <f t="shared" si="37"/>
        <v>78683.269129830442</v>
      </c>
      <c r="X16" s="154">
        <f t="shared" si="37"/>
        <v>88125.261425410106</v>
      </c>
      <c r="Y16" s="154">
        <f t="shared" si="37"/>
        <v>98700.292796459325</v>
      </c>
      <c r="Z16" s="154">
        <f t="shared" si="37"/>
        <v>110544.32793203446</v>
      </c>
      <c r="AA16" s="154">
        <f t="shared" si="37"/>
        <v>123809.6472838786</v>
      </c>
      <c r="AB16" s="154">
        <f t="shared" si="37"/>
        <v>138666.80495794406</v>
      </c>
      <c r="AC16" s="138">
        <f t="shared" si="19"/>
        <v>0.23137518249718014</v>
      </c>
      <c r="AD16" s="31">
        <f t="shared" si="17"/>
        <v>0.05</v>
      </c>
      <c r="AE16" s="146">
        <f t="shared" si="1"/>
        <v>856471.44238730159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2098</v>
      </c>
      <c r="H18" s="147">
        <v>2039</v>
      </c>
      <c r="I18" s="147">
        <v>2552</v>
      </c>
      <c r="J18" s="147">
        <v>4954</v>
      </c>
      <c r="K18" s="147">
        <v>7211</v>
      </c>
      <c r="L18" s="147">
        <v>12652</v>
      </c>
      <c r="M18" s="147">
        <v>14864</v>
      </c>
      <c r="N18" s="147">
        <v>22881</v>
      </c>
      <c r="O18" s="147">
        <v>26434</v>
      </c>
      <c r="P18" s="147">
        <v>30433</v>
      </c>
      <c r="Q18" s="118">
        <f>((P18/G18)^(1/($H$2-$H$1) ))-1</f>
        <v>0.34604605716809078</v>
      </c>
      <c r="R18" s="31">
        <f t="shared" si="6"/>
        <v>0.12</v>
      </c>
      <c r="S18" s="154">
        <f t="shared" ref="S18:S34" si="38">P18*(1+$R18)</f>
        <v>34084.960000000006</v>
      </c>
      <c r="T18" s="154">
        <f t="shared" ref="T18:T34" si="39">S18*(1+$R18)</f>
        <v>38175.155200000008</v>
      </c>
      <c r="U18" s="154">
        <f t="shared" ref="U18:U34" si="40">T18*(1+$R18)</f>
        <v>42756.173824000012</v>
      </c>
      <c r="V18" s="154">
        <f t="shared" ref="V18:V34" si="41">U18*(1+$R18)</f>
        <v>47886.914682880015</v>
      </c>
      <c r="W18" s="154">
        <f t="shared" ref="W18:W36" si="42">V18*(1+$R18)</f>
        <v>53633.34444482562</v>
      </c>
      <c r="X18" s="154">
        <f t="shared" ref="X18:X36" si="43">W18*(1+$R18)</f>
        <v>60069.345778204697</v>
      </c>
      <c r="Y18" s="154">
        <f t="shared" ref="Y18:Y36" si="44">X18*(1+$R18)</f>
        <v>67277.667271589264</v>
      </c>
      <c r="Z18" s="154">
        <f t="shared" ref="Z18:Z36" si="45">Y18*(1+$R18)</f>
        <v>75350.987344179986</v>
      </c>
      <c r="AA18" s="154">
        <f t="shared" ref="AA18:AA36" si="46">Z18*(1+$R18)</f>
        <v>84393.105825481587</v>
      </c>
      <c r="AB18" s="154">
        <f t="shared" ref="AB18:AB36" si="47">AA18*(1+$R18)</f>
        <v>94520.27852453939</v>
      </c>
      <c r="AC18" s="138">
        <f t="shared" si="19"/>
        <v>0.22190620126111904</v>
      </c>
      <c r="AD18" s="31">
        <f t="shared" si="17"/>
        <v>0.05</v>
      </c>
      <c r="AE18" s="146">
        <f t="shared" si="1"/>
        <v>583801.72029862576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>
        <v>330</v>
      </c>
      <c r="H20" s="147">
        <v>112</v>
      </c>
      <c r="I20" s="147">
        <v>1369</v>
      </c>
      <c r="J20" s="147">
        <v>2130</v>
      </c>
      <c r="K20" s="147">
        <v>1945</v>
      </c>
      <c r="L20" s="147">
        <v>1478</v>
      </c>
      <c r="M20" s="147">
        <v>5482</v>
      </c>
      <c r="N20" s="147">
        <v>3833</v>
      </c>
      <c r="O20" s="147">
        <v>1081</v>
      </c>
      <c r="P20" s="147">
        <v>2114</v>
      </c>
      <c r="Q20" s="118">
        <f>((P20/G20)^(1/($H$2-$H$1) ))-1</f>
        <v>0.22919625101426866</v>
      </c>
      <c r="R20" s="31">
        <f t="shared" si="6"/>
        <v>0.12</v>
      </c>
      <c r="S20" s="154">
        <f t="shared" ref="S20:S22" si="48">P20*(1+$R20)</f>
        <v>2367.6800000000003</v>
      </c>
      <c r="T20" s="154">
        <f t="shared" ref="T20:T22" si="49">S20*(1+$R20)</f>
        <v>2651.8016000000007</v>
      </c>
      <c r="U20" s="154">
        <f t="shared" ref="U20:U22" si="50">T20*(1+$R20)</f>
        <v>2970.017792000001</v>
      </c>
      <c r="V20" s="154">
        <f t="shared" ref="V20:V22" si="51">U20*(1+$R20)</f>
        <v>3326.4199270400013</v>
      </c>
      <c r="W20" s="154">
        <f t="shared" ref="W20:W22" si="52">V20*(1+$R20)</f>
        <v>3725.5903182848019</v>
      </c>
      <c r="X20" s="154">
        <f t="shared" ref="X20:X22" si="53">W20*(1+$R20)</f>
        <v>4172.6611564789782</v>
      </c>
      <c r="Y20" s="154">
        <f t="shared" ref="Y20:Y22" si="54">X20*(1+$R20)</f>
        <v>4673.380495256456</v>
      </c>
      <c r="Z20" s="154">
        <f t="shared" ref="Z20:Z22" si="55">Y20*(1+$R20)</f>
        <v>5234.1861546872315</v>
      </c>
      <c r="AA20" s="154">
        <f t="shared" ref="AA20:AA22" si="56">Z20*(1+$R20)</f>
        <v>5862.2884932497</v>
      </c>
      <c r="AB20" s="154">
        <f t="shared" ref="AB20:AB22" si="57">AA20*(1+$R20)</f>
        <v>6565.7631124396648</v>
      </c>
      <c r="AC20" s="138">
        <f t="shared" ref="AC20:AC22" si="58">((AB20/G20)^(1/($AB$3-$H$1) ))-1</f>
        <v>0.17045947762255742</v>
      </c>
      <c r="AD20" s="31">
        <f t="shared" si="17"/>
        <v>0.05</v>
      </c>
      <c r="AE20" s="146">
        <f t="shared" si="1"/>
        <v>40553.242753303821</v>
      </c>
    </row>
    <row r="21" spans="2:31" x14ac:dyDescent="0.2">
      <c r="B21" s="20" t="s">
        <v>284</v>
      </c>
      <c r="C21" s="141"/>
      <c r="D21" s="141"/>
      <c r="E21" s="147"/>
      <c r="F21" s="147"/>
      <c r="G21" s="147">
        <v>200</v>
      </c>
      <c r="H21" s="147">
        <v>236</v>
      </c>
      <c r="I21" s="147">
        <v>-1326</v>
      </c>
      <c r="J21" s="147">
        <v>-1588</v>
      </c>
      <c r="K21" s="147">
        <v>-5241</v>
      </c>
      <c r="L21" s="147">
        <v>-3308</v>
      </c>
      <c r="M21" s="147">
        <v>-6071</v>
      </c>
      <c r="N21" s="147">
        <v>-2409</v>
      </c>
      <c r="O21" s="147">
        <v>-1922</v>
      </c>
      <c r="P21" s="147">
        <v>465</v>
      </c>
      <c r="Q21" s="118">
        <f>((P21/G21)^(1/($H$2-$H$1) ))-1</f>
        <v>9.8281484127477725E-2</v>
      </c>
      <c r="R21" s="31">
        <f t="shared" si="6"/>
        <v>0.12</v>
      </c>
      <c r="S21" s="154">
        <f t="shared" si="48"/>
        <v>520.80000000000007</v>
      </c>
      <c r="T21" s="154">
        <f t="shared" si="49"/>
        <v>583.29600000000016</v>
      </c>
      <c r="U21" s="154">
        <f t="shared" si="50"/>
        <v>653.29152000000022</v>
      </c>
      <c r="V21" s="154">
        <f t="shared" si="51"/>
        <v>731.68650240000034</v>
      </c>
      <c r="W21" s="154">
        <f t="shared" si="52"/>
        <v>819.48888268800044</v>
      </c>
      <c r="X21" s="154">
        <f t="shared" si="53"/>
        <v>917.8275486105606</v>
      </c>
      <c r="Y21" s="154">
        <f t="shared" si="54"/>
        <v>1027.966854443828</v>
      </c>
      <c r="Z21" s="154">
        <f t="shared" si="55"/>
        <v>1151.3228769770874</v>
      </c>
      <c r="AA21" s="154">
        <f t="shared" si="56"/>
        <v>1289.4816222143379</v>
      </c>
      <c r="AB21" s="154">
        <f t="shared" si="57"/>
        <v>1444.2194168800586</v>
      </c>
      <c r="AC21" s="138">
        <f t="shared" si="58"/>
        <v>0.10965925899700402</v>
      </c>
      <c r="AD21" s="31">
        <f t="shared" si="17"/>
        <v>0.05</v>
      </c>
      <c r="AE21" s="146">
        <f t="shared" si="1"/>
        <v>8920.1787513180097</v>
      </c>
    </row>
    <row r="22" spans="2:31" x14ac:dyDescent="0.2">
      <c r="B22" s="20" t="s">
        <v>285</v>
      </c>
      <c r="C22" s="141"/>
      <c r="D22" s="141"/>
      <c r="E22" s="147"/>
      <c r="F22" s="147"/>
      <c r="G22" s="147">
        <v>-475</v>
      </c>
      <c r="H22" s="147">
        <v>104</v>
      </c>
      <c r="I22" s="147">
        <v>-288</v>
      </c>
      <c r="J22" s="147">
        <v>-31</v>
      </c>
      <c r="K22" s="147">
        <v>3167</v>
      </c>
      <c r="L22" s="147">
        <v>1640</v>
      </c>
      <c r="M22" s="147">
        <v>1245</v>
      </c>
      <c r="N22" s="147">
        <v>-1125</v>
      </c>
      <c r="O22" s="147">
        <v>1015</v>
      </c>
      <c r="P22" s="147">
        <v>-2990</v>
      </c>
      <c r="Q22" s="118">
        <f>((P22/G22)^(1/($H$2-$H$1) ))-1</f>
        <v>0.22680429149409598</v>
      </c>
      <c r="R22" s="31">
        <f t="shared" si="6"/>
        <v>0.12</v>
      </c>
      <c r="S22" s="154">
        <f t="shared" si="48"/>
        <v>-3348.8</v>
      </c>
      <c r="T22" s="154">
        <f t="shared" si="49"/>
        <v>-3750.6560000000004</v>
      </c>
      <c r="U22" s="154">
        <f t="shared" si="50"/>
        <v>-4200.7347200000013</v>
      </c>
      <c r="V22" s="154">
        <f t="shared" si="51"/>
        <v>-4704.8228864000021</v>
      </c>
      <c r="W22" s="154">
        <f t="shared" si="52"/>
        <v>-5269.4016327680029</v>
      </c>
      <c r="X22" s="154">
        <f t="shared" si="53"/>
        <v>-5901.729828700164</v>
      </c>
      <c r="Y22" s="154">
        <f t="shared" si="54"/>
        <v>-6609.9374081441847</v>
      </c>
      <c r="Z22" s="154">
        <f t="shared" si="55"/>
        <v>-7403.1298971214874</v>
      </c>
      <c r="AA22" s="154">
        <f t="shared" si="56"/>
        <v>-8291.5054847760675</v>
      </c>
      <c r="AB22" s="154">
        <f t="shared" si="57"/>
        <v>-9286.4861429491957</v>
      </c>
      <c r="AC22" s="138">
        <f t="shared" si="58"/>
        <v>0.16938003278800395</v>
      </c>
      <c r="AD22" s="31">
        <f t="shared" si="17"/>
        <v>0.05</v>
      </c>
      <c r="AE22" s="146">
        <f t="shared" si="1"/>
        <v>-57357.708529980337</v>
      </c>
    </row>
    <row r="23" spans="2:31" x14ac:dyDescent="0.2">
      <c r="B23" s="20" t="s">
        <v>295</v>
      </c>
      <c r="C23" s="141"/>
      <c r="D23" s="141"/>
      <c r="E23" s="147"/>
      <c r="F23" s="147"/>
      <c r="G23" s="147">
        <v>375</v>
      </c>
      <c r="H23" s="147">
        <v>828</v>
      </c>
      <c r="I23" s="147">
        <v>583</v>
      </c>
      <c r="J23" s="147">
        <v>1094</v>
      </c>
      <c r="K23" s="147">
        <v>965</v>
      </c>
      <c r="L23" s="147">
        <v>775</v>
      </c>
      <c r="M23" s="147">
        <v>1431</v>
      </c>
      <c r="N23" s="147">
        <v>1730</v>
      </c>
      <c r="O23" s="147">
        <v>1905</v>
      </c>
      <c r="P23" s="147">
        <v>1495</v>
      </c>
      <c r="Q23" s="118">
        <f>((P23/G23)^(1/($H$2-$H$1) ))-1</f>
        <v>0.16609635036627646</v>
      </c>
      <c r="R23" s="31">
        <f t="shared" si="6"/>
        <v>0.12</v>
      </c>
      <c r="S23" s="154">
        <f t="shared" ref="S23" si="59">P23*(1+$R23)</f>
        <v>1674.4</v>
      </c>
      <c r="T23" s="154">
        <f t="shared" ref="T23" si="60">S23*(1+$R23)</f>
        <v>1875.3280000000002</v>
      </c>
      <c r="U23" s="154">
        <f t="shared" ref="U23" si="61">T23*(1+$R23)</f>
        <v>2100.3673600000006</v>
      </c>
      <c r="V23" s="154">
        <f t="shared" ref="V23" si="62">U23*(1+$R23)</f>
        <v>2352.411443200001</v>
      </c>
      <c r="W23" s="154">
        <f t="shared" ref="W23" si="63">V23*(1+$R23)</f>
        <v>2634.7008163840014</v>
      </c>
      <c r="X23" s="154">
        <f t="shared" ref="X23" si="64">W23*(1+$R23)</f>
        <v>2950.864914350082</v>
      </c>
      <c r="Y23" s="154">
        <f t="shared" ref="Y23" si="65">X23*(1+$R23)</f>
        <v>3304.9687040720924</v>
      </c>
      <c r="Z23" s="154">
        <f t="shared" ref="Z23" si="66">Y23*(1+$R23)</f>
        <v>3701.5649485607437</v>
      </c>
      <c r="AA23" s="154">
        <f t="shared" ref="AA23" si="67">Z23*(1+$R23)</f>
        <v>4145.7527423880338</v>
      </c>
      <c r="AB23" s="154">
        <f t="shared" ref="AB23" si="68">AA23*(1+$R23)</f>
        <v>4643.2430714745979</v>
      </c>
      <c r="AC23" s="138">
        <f t="shared" ref="AC23" si="69">((AB23/G23)^(1/($AB$3-$H$1) ))-1</f>
        <v>0.14160344622492871</v>
      </c>
      <c r="AD23" s="31">
        <f t="shared" si="17"/>
        <v>0.05</v>
      </c>
      <c r="AE23" s="146">
        <f t="shared" si="1"/>
        <v>28678.854264990168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11876</v>
      </c>
      <c r="H25" s="147">
        <v>15123</v>
      </c>
      <c r="I25" s="147">
        <v>16959</v>
      </c>
      <c r="J25" s="147">
        <v>21575</v>
      </c>
      <c r="K25" s="147">
        <v>30714</v>
      </c>
      <c r="L25" s="147">
        <v>42135</v>
      </c>
      <c r="M25" s="147">
        <v>46258</v>
      </c>
      <c r="N25" s="147">
        <v>53275</v>
      </c>
      <c r="O25" s="147">
        <v>65815</v>
      </c>
      <c r="P25" s="147">
        <v>77510</v>
      </c>
      <c r="Q25" s="118">
        <f>((P25/G25)^(1/($H$2-$H$1) ))-1</f>
        <v>0.23174508688949813</v>
      </c>
      <c r="R25" s="31">
        <f t="shared" si="6"/>
        <v>0.12</v>
      </c>
      <c r="S25" s="154">
        <f t="shared" si="38"/>
        <v>86811.200000000012</v>
      </c>
      <c r="T25" s="154">
        <f t="shared" si="39"/>
        <v>97228.544000000024</v>
      </c>
      <c r="U25" s="154">
        <f t="shared" si="40"/>
        <v>108895.96928000003</v>
      </c>
      <c r="V25" s="154">
        <f t="shared" si="41"/>
        <v>121963.48559360005</v>
      </c>
      <c r="W25" s="154">
        <f t="shared" si="42"/>
        <v>136599.10386483208</v>
      </c>
      <c r="X25" s="154">
        <f t="shared" si="43"/>
        <v>152990.99632861195</v>
      </c>
      <c r="Y25" s="154">
        <f t="shared" si="44"/>
        <v>171349.91588804539</v>
      </c>
      <c r="Z25" s="154">
        <f t="shared" si="45"/>
        <v>191911.90579461085</v>
      </c>
      <c r="AA25" s="154">
        <f t="shared" si="46"/>
        <v>214941.33448996418</v>
      </c>
      <c r="AB25" s="154">
        <f t="shared" si="47"/>
        <v>240734.2946287599</v>
      </c>
      <c r="AC25" s="138">
        <f t="shared" si="19"/>
        <v>0.17160850171569542</v>
      </c>
      <c r="AD25" s="31">
        <f t="shared" si="17"/>
        <v>0.05</v>
      </c>
      <c r="AE25" s="146">
        <f t="shared" si="1"/>
        <v>1486888.2903541054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0.2147060768366065</v>
      </c>
      <c r="I26" s="148">
        <f t="shared" ref="I26:P26" si="70">(I25-H25)/I25</f>
        <v>0.10826110030072528</v>
      </c>
      <c r="J26" s="148">
        <f t="shared" si="70"/>
        <v>0.21395133256083429</v>
      </c>
      <c r="K26" s="148">
        <f t="shared" si="70"/>
        <v>0.29755160513121054</v>
      </c>
      <c r="L26" s="148">
        <f t="shared" si="70"/>
        <v>0.27105731577073694</v>
      </c>
      <c r="M26" s="148">
        <f t="shared" si="70"/>
        <v>8.9130528773401357E-2</v>
      </c>
      <c r="N26" s="148">
        <f t="shared" si="70"/>
        <v>0.13171281088690756</v>
      </c>
      <c r="O26" s="148">
        <f t="shared" si="70"/>
        <v>0.19053407277976145</v>
      </c>
      <c r="P26" s="148">
        <f t="shared" si="70"/>
        <v>0.15088375693458908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10518</v>
      </c>
      <c r="H27" s="147">
        <v>13189</v>
      </c>
      <c r="I27" s="147">
        <v>14595</v>
      </c>
      <c r="J27" s="147">
        <v>17746</v>
      </c>
      <c r="K27" s="147">
        <v>25883</v>
      </c>
      <c r="L27" s="147">
        <v>34696</v>
      </c>
      <c r="M27" s="147">
        <v>35298</v>
      </c>
      <c r="N27" s="147">
        <v>44322</v>
      </c>
      <c r="O27" s="147">
        <v>56160</v>
      </c>
      <c r="P27" s="147">
        <v>66153</v>
      </c>
      <c r="Q27" s="118">
        <f>((P27/G27)^(1/($H$2-$H$1) ))-1</f>
        <v>0.22669092686016934</v>
      </c>
      <c r="R27" s="31">
        <f t="shared" si="6"/>
        <v>0.12</v>
      </c>
      <c r="S27" s="154">
        <f t="shared" si="38"/>
        <v>74091.360000000001</v>
      </c>
      <c r="T27" s="154">
        <f t="shared" si="39"/>
        <v>82982.323200000013</v>
      </c>
      <c r="U27" s="154">
        <f t="shared" si="40"/>
        <v>92940.201984000028</v>
      </c>
      <c r="V27" s="154">
        <f t="shared" si="41"/>
        <v>104093.02622208004</v>
      </c>
      <c r="W27" s="154">
        <f t="shared" si="42"/>
        <v>116584.18936872965</v>
      </c>
      <c r="X27" s="154">
        <f t="shared" si="43"/>
        <v>130574.29209297722</v>
      </c>
      <c r="Y27" s="154">
        <f t="shared" si="44"/>
        <v>146243.2071441345</v>
      </c>
      <c r="Z27" s="154">
        <f t="shared" si="45"/>
        <v>163792.39200143065</v>
      </c>
      <c r="AA27" s="154">
        <f t="shared" si="46"/>
        <v>183447.47904160235</v>
      </c>
      <c r="AB27" s="154">
        <f t="shared" si="47"/>
        <v>205461.17652659465</v>
      </c>
      <c r="AC27" s="138">
        <f t="shared" si="19"/>
        <v>0.16932884605079934</v>
      </c>
      <c r="AD27" s="31">
        <f t="shared" si="17"/>
        <v>0.05</v>
      </c>
      <c r="AE27" s="146">
        <f t="shared" si="1"/>
        <v>1269024.9138407318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P28" si="71">(G27-F27)/G27</f>
        <v>1</v>
      </c>
      <c r="H28" s="148">
        <f t="shared" si="71"/>
        <v>0.2025172492228372</v>
      </c>
      <c r="I28" s="148">
        <f t="shared" si="71"/>
        <v>9.633436108256252E-2</v>
      </c>
      <c r="J28" s="148">
        <f t="shared" si="71"/>
        <v>0.17756114053871294</v>
      </c>
      <c r="K28" s="148">
        <f t="shared" si="71"/>
        <v>0.31437623150330335</v>
      </c>
      <c r="L28" s="148">
        <f t="shared" si="71"/>
        <v>0.25400622550149871</v>
      </c>
      <c r="M28" s="148">
        <f t="shared" si="71"/>
        <v>1.70547906396963E-2</v>
      </c>
      <c r="N28" s="148">
        <f t="shared" si="71"/>
        <v>0.2036009205360769</v>
      </c>
      <c r="O28" s="148">
        <f t="shared" si="71"/>
        <v>0.21079059829059829</v>
      </c>
      <c r="P28" s="148">
        <f t="shared" si="71"/>
        <v>0.15105890889302073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87</v>
      </c>
      <c r="H29" s="147">
        <v>328</v>
      </c>
      <c r="I29" s="147">
        <v>382</v>
      </c>
      <c r="J29" s="147">
        <v>489</v>
      </c>
      <c r="K29" s="147">
        <v>917</v>
      </c>
      <c r="L29" s="147">
        <v>1586</v>
      </c>
      <c r="M29" s="147">
        <v>1870</v>
      </c>
      <c r="N29" s="147">
        <v>830</v>
      </c>
      <c r="O29" s="147">
        <v>1101</v>
      </c>
      <c r="P29" s="147">
        <v>2095</v>
      </c>
      <c r="Q29" s="118">
        <f>((P29/G29)^(1/($H$2-$H$1) ))-1</f>
        <v>0.42402727726503686</v>
      </c>
      <c r="R29" s="31">
        <f t="shared" si="6"/>
        <v>0.12</v>
      </c>
      <c r="S29" s="154">
        <f t="shared" ref="S29" si="72">P29*(1+$R29)</f>
        <v>2346.4</v>
      </c>
      <c r="T29" s="154">
        <f t="shared" ref="T29" si="73">S29*(1+$R29)</f>
        <v>2627.9680000000003</v>
      </c>
      <c r="U29" s="154">
        <f t="shared" ref="U29" si="74">T29*(1+$R29)</f>
        <v>2943.3241600000006</v>
      </c>
      <c r="V29" s="154">
        <f t="shared" ref="V29" si="75">U29*(1+$R29)</f>
        <v>3296.5230592000012</v>
      </c>
      <c r="W29" s="154">
        <f t="shared" ref="W29" si="76">V29*(1+$R29)</f>
        <v>3692.1058263040018</v>
      </c>
      <c r="X29" s="154">
        <f t="shared" ref="X29" si="77">W29*(1+$R29)</f>
        <v>4135.1585254604825</v>
      </c>
      <c r="Y29" s="154">
        <f t="shared" ref="Y29" si="78">X29*(1+$R29)</f>
        <v>4631.3775485157412</v>
      </c>
      <c r="Z29" s="154">
        <f t="shared" ref="Z29" si="79">Y29*(1+$R29)</f>
        <v>5187.1428543376305</v>
      </c>
      <c r="AA29" s="154">
        <f t="shared" ref="AA29" si="80">Z29*(1+$R29)</f>
        <v>5809.5999968581464</v>
      </c>
      <c r="AB29" s="154">
        <f t="shared" ref="AB29" si="81">AA29*(1+$R29)</f>
        <v>6506.7519964811245</v>
      </c>
      <c r="AC29" s="138">
        <f t="shared" ref="AC29" si="82">((AB29/G29)^(1/($AB$3-$H$1) ))-1</f>
        <v>0.25494132600524377</v>
      </c>
      <c r="AD29" s="31">
        <f t="shared" si="17"/>
        <v>0.05</v>
      </c>
      <c r="AE29" s="146">
        <f t="shared" ref="AE29" si="83">(AB29*(1+AD29))/($C$1-AD29)</f>
        <v>40188.762331206948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P30" si="84">(G29-F29)/G29</f>
        <v>1</v>
      </c>
      <c r="H30" s="148">
        <f t="shared" si="84"/>
        <v>0.7347560975609756</v>
      </c>
      <c r="I30" s="148">
        <f t="shared" si="84"/>
        <v>0.14136125654450263</v>
      </c>
      <c r="J30" s="148">
        <f t="shared" si="84"/>
        <v>0.21881390593047034</v>
      </c>
      <c r="K30" s="148">
        <f t="shared" si="84"/>
        <v>0.46673936750272627</v>
      </c>
      <c r="L30" s="148">
        <f t="shared" si="84"/>
        <v>0.4218158890290038</v>
      </c>
      <c r="M30" s="148">
        <f t="shared" si="84"/>
        <v>0.15187165775401071</v>
      </c>
      <c r="N30" s="148">
        <f t="shared" si="84"/>
        <v>-1.2530120481927711</v>
      </c>
      <c r="O30" s="148">
        <f t="shared" si="84"/>
        <v>0.24613987284287012</v>
      </c>
      <c r="P30" s="148">
        <f t="shared" si="84"/>
        <v>0.47446300715990453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85">T31*(1+$R31)</f>
        <v>0</v>
      </c>
      <c r="V31" s="154">
        <f t="shared" si="85"/>
        <v>0</v>
      </c>
      <c r="W31" s="154">
        <f t="shared" si="85"/>
        <v>0</v>
      </c>
      <c r="X31" s="154">
        <f t="shared" si="85"/>
        <v>0</v>
      </c>
      <c r="Y31" s="154">
        <f t="shared" si="85"/>
        <v>0</v>
      </c>
      <c r="Z31" s="154">
        <f t="shared" si="85"/>
        <v>0</v>
      </c>
      <c r="AA31" s="154">
        <f t="shared" si="85"/>
        <v>0</v>
      </c>
      <c r="AB31" s="154">
        <f t="shared" si="85"/>
        <v>0</v>
      </c>
      <c r="AC31" s="138" t="e">
        <f t="shared" ref="AC31" si="86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85"/>
        <v>0</v>
      </c>
      <c r="V32" s="154">
        <f t="shared" si="85"/>
        <v>0</v>
      </c>
      <c r="W32" s="154">
        <f t="shared" si="85"/>
        <v>0</v>
      </c>
      <c r="X32" s="154">
        <f t="shared" si="85"/>
        <v>0</v>
      </c>
      <c r="Y32" s="154">
        <f t="shared" si="85"/>
        <v>0</v>
      </c>
      <c r="Z32" s="154">
        <f t="shared" si="85"/>
        <v>0</v>
      </c>
      <c r="AA32" s="154">
        <f t="shared" si="85"/>
        <v>0</v>
      </c>
      <c r="AB32" s="154">
        <f t="shared" si="85"/>
        <v>0</v>
      </c>
      <c r="AC32" s="138" t="e">
        <f t="shared" ref="AC32" si="87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3267</v>
      </c>
      <c r="H33" s="147">
        <v>5277</v>
      </c>
      <c r="I33" s="147">
        <v>4542</v>
      </c>
      <c r="J33" s="147">
        <v>5390</v>
      </c>
      <c r="K33" s="147">
        <v>8783</v>
      </c>
      <c r="L33" s="147">
        <v>10011</v>
      </c>
      <c r="M33" s="147">
        <v>9413</v>
      </c>
      <c r="N33" s="147">
        <v>0</v>
      </c>
      <c r="O33" s="147">
        <v>15775</v>
      </c>
      <c r="P33" s="147">
        <v>13204</v>
      </c>
      <c r="Q33" s="118">
        <f>((P33/G33)^(1/($H$2-$H$1) ))-1</f>
        <v>0.16787175048228176</v>
      </c>
      <c r="R33" s="31">
        <f t="shared" si="6"/>
        <v>0.12</v>
      </c>
      <c r="S33" s="154">
        <f t="shared" si="38"/>
        <v>14788.480000000001</v>
      </c>
      <c r="T33" s="154">
        <f t="shared" si="39"/>
        <v>16563.097600000005</v>
      </c>
      <c r="U33" s="154">
        <f t="shared" si="40"/>
        <v>18550.669312000005</v>
      </c>
      <c r="V33" s="154">
        <f t="shared" si="41"/>
        <v>20776.749629440008</v>
      </c>
      <c r="W33" s="154">
        <f t="shared" si="42"/>
        <v>23269.95958497281</v>
      </c>
      <c r="X33" s="154">
        <f t="shared" si="43"/>
        <v>26062.354735169549</v>
      </c>
      <c r="Y33" s="154">
        <f t="shared" si="44"/>
        <v>29189.837303389897</v>
      </c>
      <c r="Z33" s="154">
        <f t="shared" si="45"/>
        <v>32692.617779796688</v>
      </c>
      <c r="AA33" s="154">
        <f t="shared" si="46"/>
        <v>36615.731913372292</v>
      </c>
      <c r="AB33" s="154">
        <f t="shared" si="47"/>
        <v>41009.619742976975</v>
      </c>
      <c r="AC33" s="138">
        <f t="shared" si="19"/>
        <v>0.14242643153244794</v>
      </c>
      <c r="AD33" s="31">
        <f t="shared" si="17"/>
        <v>0.05</v>
      </c>
      <c r="AE33" s="146">
        <f t="shared" si="1"/>
        <v>253294.71017721077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765</v>
      </c>
      <c r="H34" s="147">
        <v>871</v>
      </c>
      <c r="I34" s="147">
        <v>1044</v>
      </c>
      <c r="J34" s="147">
        <v>188</v>
      </c>
      <c r="K34" s="147">
        <v>2049</v>
      </c>
      <c r="L34" s="147">
        <v>2666</v>
      </c>
      <c r="M34" s="147">
        <v>3065</v>
      </c>
      <c r="N34" s="147">
        <v>3801</v>
      </c>
      <c r="O34" s="147">
        <v>4994</v>
      </c>
      <c r="P34" s="147">
        <v>6224</v>
      </c>
      <c r="Q34" s="118">
        <f>((P34/G34)^(1/($H$2-$H$1) ))-1</f>
        <v>0.26228220843348216</v>
      </c>
      <c r="R34" s="31">
        <f t="shared" si="6"/>
        <v>0.12</v>
      </c>
      <c r="S34" s="154">
        <f t="shared" si="38"/>
        <v>6970.880000000001</v>
      </c>
      <c r="T34" s="154">
        <f t="shared" si="39"/>
        <v>7807.3856000000014</v>
      </c>
      <c r="U34" s="154">
        <f t="shared" si="40"/>
        <v>8744.271872000003</v>
      </c>
      <c r="V34" s="154">
        <f t="shared" si="41"/>
        <v>9793.5844966400036</v>
      </c>
      <c r="W34" s="154">
        <f t="shared" si="42"/>
        <v>10968.814636236804</v>
      </c>
      <c r="X34" s="154">
        <f t="shared" si="43"/>
        <v>12285.072392585222</v>
      </c>
      <c r="Y34" s="154">
        <f t="shared" si="44"/>
        <v>13759.281079695449</v>
      </c>
      <c r="Z34" s="154">
        <f t="shared" si="45"/>
        <v>15410.394809258905</v>
      </c>
      <c r="AA34" s="154">
        <f t="shared" si="46"/>
        <v>17259.642186369976</v>
      </c>
      <c r="AB34" s="154">
        <f t="shared" si="47"/>
        <v>19330.799248734376</v>
      </c>
      <c r="AC34" s="138">
        <f t="shared" si="19"/>
        <v>0.18527859306012062</v>
      </c>
      <c r="AD34" s="31">
        <f t="shared" si="17"/>
        <v>0.05</v>
      </c>
      <c r="AE34" s="146">
        <f t="shared" si="1"/>
        <v>119396.11300688882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783</v>
      </c>
      <c r="H36" s="147">
        <v>1428</v>
      </c>
      <c r="I36" s="147">
        <v>1855</v>
      </c>
      <c r="J36" s="147">
        <v>2925</v>
      </c>
      <c r="K36" s="147">
        <v>4287</v>
      </c>
      <c r="L36" s="147">
        <v>5896</v>
      </c>
      <c r="M36" s="147">
        <v>7286</v>
      </c>
      <c r="N36" s="147">
        <v>7766</v>
      </c>
      <c r="O36" s="147">
        <v>8769</v>
      </c>
      <c r="P36" s="147">
        <v>9859</v>
      </c>
      <c r="Q36" s="118">
        <f>((P36/G36)^(1/($H$2-$H$1) ))-1</f>
        <v>0.32504345948201729</v>
      </c>
      <c r="R36" s="31">
        <f t="shared" si="6"/>
        <v>0.12</v>
      </c>
      <c r="S36" s="154">
        <f t="shared" ref="S36" si="88">P36*(1+$R36)</f>
        <v>11042.080000000002</v>
      </c>
      <c r="T36" s="154">
        <f t="shared" ref="T36" si="89">S36*(1+$R36)</f>
        <v>12367.129600000004</v>
      </c>
      <c r="U36" s="154">
        <f t="shared" ref="U36" si="90">T36*(1+$R36)</f>
        <v>13851.185152000005</v>
      </c>
      <c r="V36" s="154">
        <f t="shared" ref="V36" si="91">U36*(1+$R36)</f>
        <v>15513.327370240007</v>
      </c>
      <c r="W36" s="154">
        <f t="shared" si="42"/>
        <v>17374.926654668809</v>
      </c>
      <c r="X36" s="154">
        <f t="shared" si="43"/>
        <v>19459.917853229068</v>
      </c>
      <c r="Y36" s="154">
        <f t="shared" si="44"/>
        <v>21795.107995616559</v>
      </c>
      <c r="Z36" s="154">
        <f t="shared" si="45"/>
        <v>24410.520955090549</v>
      </c>
      <c r="AA36" s="154">
        <f t="shared" si="46"/>
        <v>27339.783469701419</v>
      </c>
      <c r="AB36" s="154">
        <f t="shared" si="47"/>
        <v>30620.557486065591</v>
      </c>
      <c r="AC36" s="138">
        <f t="shared" si="19"/>
        <v>0.21283773765323111</v>
      </c>
      <c r="AD36" s="31">
        <f t="shared" si="17"/>
        <v>0.05</v>
      </c>
      <c r="AE36" s="146">
        <f t="shared" si="1"/>
        <v>189126.9727080522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92">(G36-F36)/G36</f>
        <v>1</v>
      </c>
      <c r="H37" s="148">
        <f t="shared" ref="H37" si="93">(H36-G36)/H36</f>
        <v>0.45168067226890757</v>
      </c>
      <c r="I37" s="148">
        <f t="shared" ref="I37" si="94">(I36-H36)/I36</f>
        <v>0.23018867924528302</v>
      </c>
      <c r="J37" s="148">
        <f t="shared" ref="J37" si="95">(J36-I36)/J36</f>
        <v>0.36581196581196579</v>
      </c>
      <c r="K37" s="148">
        <f t="shared" ref="K37" si="96">(K36-J36)/K36</f>
        <v>0.31770468859342199</v>
      </c>
      <c r="L37" s="148">
        <f t="shared" ref="L37" si="97">(L36-K36)/L36</f>
        <v>0.27289687924016282</v>
      </c>
      <c r="M37" s="148">
        <f t="shared" ref="M37" si="98">(M36-L36)/M36</f>
        <v>0.19077683228108702</v>
      </c>
      <c r="N37" s="148">
        <f t="shared" ref="N37" si="99">(N36-M36)/N36</f>
        <v>6.1807880504764358E-2</v>
      </c>
      <c r="O37" s="148">
        <f t="shared" ref="O37" si="100">(O36-N36)/O36</f>
        <v>0.11438020298779793</v>
      </c>
      <c r="P37" s="148">
        <f t="shared" ref="P37" si="101">(P36-O36)/P36</f>
        <v>0.11055888021097475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18" t="e">
        <f>((P38/G38)^(1/($H$2-$H$1) ))-1</f>
        <v>#DIV/0!</v>
      </c>
      <c r="R38" s="31">
        <f t="shared" si="6"/>
        <v>0.12</v>
      </c>
      <c r="S38" s="154">
        <f t="shared" ref="S38" si="102">P38*(1+$R38)</f>
        <v>0</v>
      </c>
      <c r="T38" s="154">
        <f t="shared" ref="T38" si="103">S38*(1+$R38)</f>
        <v>0</v>
      </c>
      <c r="U38" s="154">
        <f t="shared" ref="U38" si="104">T38*(1+$R38)</f>
        <v>0</v>
      </c>
      <c r="V38" s="154">
        <f t="shared" ref="V38" si="105">U38*(1+$R38)</f>
        <v>0</v>
      </c>
      <c r="W38" s="154">
        <f t="shared" ref="W38" si="106">V38*(1+$R38)</f>
        <v>0</v>
      </c>
      <c r="X38" s="154">
        <f t="shared" ref="X38" si="107">W38*(1+$R38)</f>
        <v>0</v>
      </c>
      <c r="Y38" s="154">
        <f t="shared" ref="Y38" si="108">X38*(1+$R38)</f>
        <v>0</v>
      </c>
      <c r="Z38" s="154">
        <f t="shared" ref="Z38" si="109">Y38*(1+$R38)</f>
        <v>0</v>
      </c>
      <c r="AA38" s="154">
        <f t="shared" ref="AA38" si="110">Z38*(1+$R38)</f>
        <v>0</v>
      </c>
      <c r="AB38" s="154">
        <f t="shared" ref="AB38" si="111">AA38*(1+$R38)</f>
        <v>0</v>
      </c>
      <c r="AC38" s="138" t="e">
        <f t="shared" ref="AC38" si="112">((AB38/G38)^(1/($AB$3-$H$1) ))-1</f>
        <v>#DIV/0!</v>
      </c>
      <c r="AD38" s="31">
        <f t="shared" si="17"/>
        <v>0.05</v>
      </c>
      <c r="AE38" s="146">
        <f t="shared" ref="AE38" si="113">(AB38*(1+AD38))/($C$1-AD38)</f>
        <v>0</v>
      </c>
    </row>
    <row r="39" spans="2:31" s="123" customFormat="1" x14ac:dyDescent="0.2">
      <c r="B39" s="23"/>
      <c r="C39" s="149"/>
      <c r="D39" s="149"/>
      <c r="E39" s="150"/>
      <c r="F39" s="150"/>
      <c r="G39" s="148" t="e">
        <f t="shared" ref="G39" si="114">(G38-F38)/G38</f>
        <v>#DIV/0!</v>
      </c>
      <c r="H39" s="148" t="e">
        <f t="shared" ref="H39" si="115">(H38-G38)/H38</f>
        <v>#DIV/0!</v>
      </c>
      <c r="I39" s="148" t="e">
        <f t="shared" ref="I39" si="116">(I38-H38)/I38</f>
        <v>#DIV/0!</v>
      </c>
      <c r="J39" s="148" t="e">
        <f t="shared" ref="J39" si="117">(J38-I38)/J38</f>
        <v>#DIV/0!</v>
      </c>
      <c r="K39" s="148" t="e">
        <f t="shared" ref="K39" si="118">(K38-J38)/K38</f>
        <v>#DIV/0!</v>
      </c>
      <c r="L39" s="148" t="e">
        <f t="shared" ref="L39" si="119">(L38-K38)/L38</f>
        <v>#DIV/0!</v>
      </c>
      <c r="M39" s="148" t="e">
        <f t="shared" ref="M39" si="120">(M38-L38)/M38</f>
        <v>#DIV/0!</v>
      </c>
      <c r="N39" s="148" t="e">
        <f t="shared" ref="N39" si="121">(N38-M38)/N38</f>
        <v>#DIV/0!</v>
      </c>
      <c r="O39" s="148" t="e">
        <f t="shared" ref="O39" si="122">(O38-N38)/O38</f>
        <v>#DIV/0!</v>
      </c>
      <c r="P39" s="148" t="e">
        <f t="shared" ref="P39" si="123">(P38-O38)/P38</f>
        <v>#DIV/0!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>
        <v>760</v>
      </c>
      <c r="H40" s="147">
        <v>1120</v>
      </c>
      <c r="I40" s="147">
        <v>1290</v>
      </c>
      <c r="J40" s="147">
        <v>2261</v>
      </c>
      <c r="K40" s="147">
        <v>2257</v>
      </c>
      <c r="L40" s="147">
        <v>2934</v>
      </c>
      <c r="M40" s="147">
        <v>5442</v>
      </c>
      <c r="N40" s="147">
        <v>4447</v>
      </c>
      <c r="O40" s="147">
        <v>4682</v>
      </c>
      <c r="P40" s="147">
        <v>5239</v>
      </c>
      <c r="Q40" s="118">
        <f>((P40/G40)^(1/($H$2-$H$1) ))-1</f>
        <v>0.23925141341512868</v>
      </c>
      <c r="R40" s="31">
        <f t="shared" si="6"/>
        <v>0.12</v>
      </c>
      <c r="S40" s="154">
        <f>P40*(1+$R40)</f>
        <v>5867.68</v>
      </c>
      <c r="T40" s="154">
        <f t="shared" ref="T40:AB40" si="124">S40*(1+$R40)</f>
        <v>6571.8016000000007</v>
      </c>
      <c r="U40" s="154">
        <f t="shared" si="124"/>
        <v>7360.4177920000011</v>
      </c>
      <c r="V40" s="154">
        <f t="shared" si="124"/>
        <v>8243.6679270400018</v>
      </c>
      <c r="W40" s="154">
        <f t="shared" si="124"/>
        <v>9232.9080782848032</v>
      </c>
      <c r="X40" s="154">
        <f t="shared" si="124"/>
        <v>10340.857047678981</v>
      </c>
      <c r="Y40" s="154">
        <f t="shared" si="124"/>
        <v>11581.75989340046</v>
      </c>
      <c r="Z40" s="154">
        <f t="shared" si="124"/>
        <v>12971.571080608517</v>
      </c>
      <c r="AA40" s="154">
        <f t="shared" si="124"/>
        <v>14528.15961028154</v>
      </c>
      <c r="AB40" s="154">
        <f t="shared" si="124"/>
        <v>16271.538763515326</v>
      </c>
      <c r="AC40" s="138">
        <f t="shared" si="19"/>
        <v>0.17498512922431742</v>
      </c>
      <c r="AD40" s="31">
        <f t="shared" si="17"/>
        <v>0.05</v>
      </c>
      <c r="AE40" s="146">
        <f t="shared" si="1"/>
        <v>100500.68059818289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25">(H40-G40)/H40</f>
        <v>0.32142857142857145</v>
      </c>
      <c r="I41" s="148">
        <f t="shared" si="125"/>
        <v>0.13178294573643412</v>
      </c>
      <c r="J41" s="148">
        <f t="shared" si="125"/>
        <v>0.42945599292348519</v>
      </c>
      <c r="K41" s="148">
        <f t="shared" si="125"/>
        <v>-1.7722640673460345E-3</v>
      </c>
      <c r="L41" s="148">
        <f t="shared" si="125"/>
        <v>0.23074301295160191</v>
      </c>
      <c r="M41" s="148">
        <f t="shared" si="125"/>
        <v>0.46085997794928335</v>
      </c>
      <c r="N41" s="148">
        <f t="shared" si="125"/>
        <v>-0.22374634585113559</v>
      </c>
      <c r="O41" s="148">
        <f t="shared" si="125"/>
        <v>5.0192225544639042E-2</v>
      </c>
      <c r="P41" s="148">
        <f t="shared" si="125"/>
        <v>0.10631799961824775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147">
        <v>12.44</v>
      </c>
      <c r="H42" s="147">
        <v>12.99</v>
      </c>
      <c r="I42" s="147">
        <v>13.73</v>
      </c>
      <c r="J42" s="147">
        <v>28.32</v>
      </c>
      <c r="K42" s="147">
        <v>29.23</v>
      </c>
      <c r="L42" s="147">
        <v>58.56</v>
      </c>
      <c r="M42" s="147">
        <v>60.21</v>
      </c>
      <c r="N42" s="147">
        <v>60.88</v>
      </c>
      <c r="O42" s="147">
        <v>61.23</v>
      </c>
      <c r="P42" s="147">
        <v>61.53</v>
      </c>
      <c r="Q42" s="118">
        <f>((P42/G42)^(1/($H$2-$H$1) ))-1</f>
        <v>0.19437505962980528</v>
      </c>
      <c r="R42" s="31">
        <f>P1</f>
        <v>0.05</v>
      </c>
      <c r="S42" s="154">
        <f t="shared" ref="S42:S43" si="126">P42*(1+$R42)</f>
        <v>64.606499999999997</v>
      </c>
      <c r="T42" s="154">
        <f t="shared" ref="T42:AB42" si="127">S42*(1+$R42)</f>
        <v>67.836825000000005</v>
      </c>
      <c r="U42" s="154">
        <f t="shared" si="127"/>
        <v>71.228666250000003</v>
      </c>
      <c r="V42" s="154">
        <f t="shared" si="127"/>
        <v>74.790099562500004</v>
      </c>
      <c r="W42" s="154">
        <f t="shared" si="127"/>
        <v>78.529604540625002</v>
      </c>
      <c r="X42" s="154">
        <f t="shared" si="127"/>
        <v>82.45608476765625</v>
      </c>
      <c r="Y42" s="154">
        <f t="shared" si="127"/>
        <v>86.578889006039063</v>
      </c>
      <c r="Z42" s="154">
        <f t="shared" si="127"/>
        <v>90.907833456341024</v>
      </c>
      <c r="AA42" s="154">
        <f t="shared" si="127"/>
        <v>95.453225129158085</v>
      </c>
      <c r="AB42" s="154">
        <f t="shared" si="127"/>
        <v>100.22588638561599</v>
      </c>
      <c r="AC42" s="138">
        <f t="shared" si="19"/>
        <v>0.11607301227783662</v>
      </c>
      <c r="AD42" s="31">
        <f t="shared" si="17"/>
        <v>0.05</v>
      </c>
      <c r="AE42" s="146">
        <f t="shared" si="1"/>
        <v>619.04223944056946</v>
      </c>
    </row>
    <row r="43" spans="2:31" x14ac:dyDescent="0.2">
      <c r="B43" s="20" t="s">
        <v>282</v>
      </c>
      <c r="C43" s="145"/>
      <c r="D43" s="145"/>
      <c r="E43" s="145"/>
      <c r="F43" s="147"/>
      <c r="G43" s="147">
        <v>80</v>
      </c>
      <c r="H43" s="147">
        <v>27.5</v>
      </c>
      <c r="I43" s="147">
        <v>22</v>
      </c>
      <c r="J43" s="147">
        <v>13</v>
      </c>
      <c r="K43" s="206">
        <v>17</v>
      </c>
      <c r="L43" s="206">
        <v>10.5</v>
      </c>
      <c r="M43" s="206">
        <v>12.5</v>
      </c>
      <c r="N43" s="206">
        <v>14.5</v>
      </c>
      <c r="O43" s="206">
        <v>16.5</v>
      </c>
      <c r="P43" s="147">
        <v>18.5</v>
      </c>
      <c r="Q43" s="118">
        <f>((P43/G43)^(1/($H$2-$H$1) ))-1</f>
        <v>-0.15014973198187687</v>
      </c>
      <c r="R43" s="31">
        <f>P1</f>
        <v>0.05</v>
      </c>
      <c r="S43" s="154">
        <f t="shared" si="126"/>
        <v>19.425000000000001</v>
      </c>
      <c r="T43" s="154">
        <f t="shared" ref="T43" si="128">S43*(1+$R43)</f>
        <v>20.396250000000002</v>
      </c>
      <c r="U43" s="154">
        <f t="shared" ref="U43" si="129">T43*(1+$R43)</f>
        <v>21.416062500000002</v>
      </c>
      <c r="V43" s="154">
        <f t="shared" ref="V43" si="130">U43*(1+$R43)</f>
        <v>22.486865625000004</v>
      </c>
      <c r="W43" s="154">
        <f t="shared" ref="W43" si="131">V43*(1+$R43)</f>
        <v>23.611208906250006</v>
      </c>
      <c r="X43" s="154">
        <f t="shared" ref="X43" si="132">W43*(1+$R43)</f>
        <v>24.791769351562507</v>
      </c>
      <c r="Y43" s="154">
        <f t="shared" ref="Y43" si="133">X43*(1+$R43)</f>
        <v>26.031357819140634</v>
      </c>
      <c r="Z43" s="154">
        <f t="shared" ref="Z43" si="134">Y43*(1+$R43)</f>
        <v>27.332925710097665</v>
      </c>
      <c r="AA43" s="154">
        <f t="shared" ref="AA43" si="135">Z43*(1+$R43)</f>
        <v>28.69957199560255</v>
      </c>
      <c r="AB43" s="154">
        <f t="shared" ref="AB43" si="136">AA43*(1+$R43)</f>
        <v>30.134550595382681</v>
      </c>
      <c r="AC43" s="138">
        <f t="shared" ref="AC43" si="137">((AB43/G43)^(1/($AB$3-$H$1) ))-1</f>
        <v>-5.008907919995953E-2</v>
      </c>
      <c r="AD43" s="31">
        <f t="shared" si="17"/>
        <v>0.05</v>
      </c>
      <c r="AE43" s="146">
        <f t="shared" si="1"/>
        <v>186.12516544206954</v>
      </c>
    </row>
    <row r="44" spans="2:31" x14ac:dyDescent="0.2">
      <c r="B44" s="20" t="s">
        <v>427</v>
      </c>
      <c r="C44" s="20"/>
      <c r="D44" s="20"/>
      <c r="E44" s="127"/>
      <c r="F44" s="127"/>
      <c r="G44" s="147">
        <v>0</v>
      </c>
      <c r="H44" s="147">
        <v>0</v>
      </c>
      <c r="I44" s="147">
        <v>0</v>
      </c>
      <c r="J44" s="147">
        <v>0</v>
      </c>
      <c r="K44" s="147">
        <v>0</v>
      </c>
      <c r="L44" s="147">
        <v>0</v>
      </c>
      <c r="M44" s="147">
        <v>0</v>
      </c>
      <c r="N44" s="147">
        <v>0</v>
      </c>
      <c r="O44" s="147">
        <v>0</v>
      </c>
      <c r="P44" s="147">
        <v>0</v>
      </c>
      <c r="Q44" s="147">
        <v>0</v>
      </c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425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 t="s">
        <v>428</v>
      </c>
      <c r="K45" s="147">
        <v>0</v>
      </c>
      <c r="L45" s="147" t="s">
        <v>428</v>
      </c>
      <c r="M45" s="147">
        <v>0</v>
      </c>
      <c r="N45" s="147">
        <v>0</v>
      </c>
      <c r="O45" s="147">
        <v>0</v>
      </c>
      <c r="P45" s="147">
        <v>0</v>
      </c>
      <c r="Q45" s="147" t="s">
        <v>429</v>
      </c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426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38">C25/C42</f>
        <v>0</v>
      </c>
      <c r="D49" s="133">
        <f t="shared" si="138"/>
        <v>0</v>
      </c>
      <c r="E49" s="133">
        <f t="shared" si="138"/>
        <v>0</v>
      </c>
      <c r="F49" s="133">
        <f t="shared" si="138"/>
        <v>0</v>
      </c>
      <c r="G49" s="133">
        <f t="shared" si="138"/>
        <v>954.66237942122189</v>
      </c>
      <c r="H49" s="133">
        <f t="shared" si="138"/>
        <v>1164.203233256351</v>
      </c>
      <c r="I49" s="133">
        <f t="shared" si="138"/>
        <v>1235.1784413692644</v>
      </c>
      <c r="J49" s="133">
        <f t="shared" si="138"/>
        <v>761.82909604519773</v>
      </c>
      <c r="K49" s="133">
        <f t="shared" si="138"/>
        <v>1050.769757098871</v>
      </c>
      <c r="L49" s="133">
        <f t="shared" si="138"/>
        <v>719.51844262295083</v>
      </c>
      <c r="M49" s="133">
        <f t="shared" si="138"/>
        <v>768.27769473509386</v>
      </c>
      <c r="N49" s="133">
        <f t="shared" si="138"/>
        <v>875.0821287779238</v>
      </c>
      <c r="O49" s="133">
        <f t="shared" si="138"/>
        <v>1074.8815939898743</v>
      </c>
      <c r="P49" s="133">
        <f t="shared" si="138"/>
        <v>1259.7107102226555</v>
      </c>
      <c r="Q49" s="118">
        <f>((P49/G49)^(1/($H$2-$H$1) ))-1</f>
        <v>3.1288351978209894E-2</v>
      </c>
      <c r="R49" s="128"/>
      <c r="S49" s="158">
        <f t="shared" ref="S49:AB49" si="139">S25/S42</f>
        <v>1343.6914242374996</v>
      </c>
      <c r="T49" s="158">
        <f t="shared" si="139"/>
        <v>1433.2708525199996</v>
      </c>
      <c r="U49" s="158">
        <f t="shared" si="139"/>
        <v>1528.8222426879997</v>
      </c>
      <c r="V49" s="158">
        <f t="shared" si="139"/>
        <v>1630.7437255338664</v>
      </c>
      <c r="W49" s="158">
        <f t="shared" si="139"/>
        <v>1739.4599739027913</v>
      </c>
      <c r="X49" s="158">
        <f t="shared" si="139"/>
        <v>1855.4239721629776</v>
      </c>
      <c r="Y49" s="158">
        <f t="shared" si="139"/>
        <v>1979.1189036405094</v>
      </c>
      <c r="Z49" s="158">
        <f t="shared" si="139"/>
        <v>2111.06016388321</v>
      </c>
      <c r="AA49" s="158">
        <f t="shared" si="139"/>
        <v>2251.7975081420909</v>
      </c>
      <c r="AB49" s="158">
        <f t="shared" si="139"/>
        <v>2401.9173420182301</v>
      </c>
      <c r="AC49" s="138">
        <f t="shared" ref="AC49" si="140">((AB49/G49)^(1/($AB$3-$H$1) ))-1</f>
        <v>4.9759727927220831E-2</v>
      </c>
      <c r="AD49" s="31">
        <f t="shared" si="17"/>
        <v>0.05</v>
      </c>
      <c r="AE49" s="146">
        <f t="shared" ref="AE49:AE50" si="141">(AB49*(1+AD49))/($C$1-AD49)</f>
        <v>14835.371818347894</v>
      </c>
    </row>
    <row r="50" spans="2:31" x14ac:dyDescent="0.2">
      <c r="B50" s="20" t="s">
        <v>304</v>
      </c>
      <c r="C50" s="133">
        <f t="shared" ref="C50:P50" si="142">C27/C42</f>
        <v>0</v>
      </c>
      <c r="D50" s="133">
        <f t="shared" si="142"/>
        <v>0</v>
      </c>
      <c r="E50" s="133">
        <f t="shared" si="142"/>
        <v>0</v>
      </c>
      <c r="F50" s="133">
        <f t="shared" si="142"/>
        <v>0</v>
      </c>
      <c r="G50" s="133">
        <f t="shared" si="142"/>
        <v>845.49839228295821</v>
      </c>
      <c r="H50" s="133">
        <f t="shared" si="142"/>
        <v>1015.3194765204003</v>
      </c>
      <c r="I50" s="133">
        <f t="shared" si="142"/>
        <v>1063.0007283321195</v>
      </c>
      <c r="J50" s="133">
        <f t="shared" si="142"/>
        <v>626.62429378531078</v>
      </c>
      <c r="K50" s="133">
        <f t="shared" si="142"/>
        <v>885.49435511460831</v>
      </c>
      <c r="L50" s="133">
        <f t="shared" si="142"/>
        <v>592.48633879781414</v>
      </c>
      <c r="M50" s="133">
        <f t="shared" si="142"/>
        <v>586.24813153961134</v>
      </c>
      <c r="N50" s="133">
        <f t="shared" si="142"/>
        <v>728.02233902759519</v>
      </c>
      <c r="O50" s="133">
        <f t="shared" si="142"/>
        <v>917.19745222929942</v>
      </c>
      <c r="P50" s="133">
        <f t="shared" si="142"/>
        <v>1075.1340809361286</v>
      </c>
      <c r="Q50" s="118">
        <f>((P50/G50)^(1/($H$2-$H$1) ))-1</f>
        <v>2.7056716372142242E-2</v>
      </c>
      <c r="R50" s="128"/>
      <c r="S50" s="158">
        <f t="shared" ref="S50:AB50" si="143">S27/S42</f>
        <v>1146.8096863318708</v>
      </c>
      <c r="T50" s="158">
        <f t="shared" si="143"/>
        <v>1223.2636654206622</v>
      </c>
      <c r="U50" s="158">
        <f t="shared" si="143"/>
        <v>1304.8145764487065</v>
      </c>
      <c r="V50" s="158">
        <f t="shared" si="143"/>
        <v>1391.8022148786204</v>
      </c>
      <c r="W50" s="158">
        <f t="shared" si="143"/>
        <v>1484.5890292038619</v>
      </c>
      <c r="X50" s="158">
        <f t="shared" si="143"/>
        <v>1583.5616311507861</v>
      </c>
      <c r="Y50" s="158">
        <f t="shared" si="143"/>
        <v>1689.1324065608387</v>
      </c>
      <c r="Z50" s="158">
        <f t="shared" si="143"/>
        <v>1801.7412336648945</v>
      </c>
      <c r="AA50" s="158">
        <f t="shared" si="143"/>
        <v>1921.8573159092209</v>
      </c>
      <c r="AB50" s="158">
        <f t="shared" si="143"/>
        <v>2049.9811369698355</v>
      </c>
      <c r="AC50" s="138">
        <f t="shared" ref="AC50" si="144">((AB50/G50)^(1/($AB$3-$H$1) ))-1</f>
        <v>4.7717159349880633E-2</v>
      </c>
      <c r="AD50" s="31">
        <f t="shared" si="17"/>
        <v>0.05</v>
      </c>
      <c r="AE50" s="146">
        <f t="shared" si="141"/>
        <v>12661.648198931338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45">C40/C42</f>
        <v>0</v>
      </c>
      <c r="D52" s="25">
        <f t="shared" si="145"/>
        <v>0</v>
      </c>
      <c r="E52" s="25">
        <f t="shared" si="145"/>
        <v>0</v>
      </c>
      <c r="F52" s="133">
        <f t="shared" si="145"/>
        <v>0</v>
      </c>
      <c r="G52" s="133">
        <f t="shared" si="145"/>
        <v>61.09324758842444</v>
      </c>
      <c r="H52" s="133">
        <f t="shared" si="145"/>
        <v>86.220169361046956</v>
      </c>
      <c r="I52" s="133">
        <f t="shared" si="145"/>
        <v>93.954843408594314</v>
      </c>
      <c r="J52" s="133">
        <f t="shared" si="145"/>
        <v>79.837570621468927</v>
      </c>
      <c r="K52" s="133">
        <f t="shared" si="145"/>
        <v>77.215189873417714</v>
      </c>
      <c r="L52" s="133">
        <f t="shared" si="145"/>
        <v>50.102459016393439</v>
      </c>
      <c r="M52" s="133">
        <f t="shared" si="145"/>
        <v>90.383657199800695</v>
      </c>
      <c r="N52" s="133">
        <f t="shared" si="145"/>
        <v>73.045335085413925</v>
      </c>
      <c r="O52" s="133">
        <f t="shared" si="145"/>
        <v>76.465784746039532</v>
      </c>
      <c r="P52" s="133">
        <f t="shared" si="145"/>
        <v>85.145457500406309</v>
      </c>
      <c r="Q52" s="118">
        <f>((P52/G52)^(1/($H$2-$H$1) ))-1</f>
        <v>3.7573083449375488E-2</v>
      </c>
      <c r="R52" s="128"/>
      <c r="S52" s="158">
        <f t="shared" ref="S52:AB52" si="146">S40/S42</f>
        <v>90.821821333766735</v>
      </c>
      <c r="T52" s="158">
        <f t="shared" si="146"/>
        <v>96.87660942268451</v>
      </c>
      <c r="U52" s="158">
        <f t="shared" si="146"/>
        <v>103.33505005086349</v>
      </c>
      <c r="V52" s="158">
        <f t="shared" si="146"/>
        <v>110.22405338758773</v>
      </c>
      <c r="W52" s="158">
        <f t="shared" si="146"/>
        <v>117.57232361342693</v>
      </c>
      <c r="X52" s="158">
        <f t="shared" si="146"/>
        <v>125.41047852098873</v>
      </c>
      <c r="Y52" s="158">
        <f t="shared" si="146"/>
        <v>133.77117708905467</v>
      </c>
      <c r="Z52" s="158">
        <f t="shared" si="146"/>
        <v>142.68925556165831</v>
      </c>
      <c r="AA52" s="158">
        <f t="shared" si="146"/>
        <v>152.20187259910222</v>
      </c>
      <c r="AB52" s="158">
        <f t="shared" si="146"/>
        <v>162.34866410570902</v>
      </c>
      <c r="AC52" s="138">
        <f t="shared" ref="AC52:AC66" si="147">((AB52/G52)^(1/($AB$3-$H$1) ))-1</f>
        <v>5.2785181881823906E-2</v>
      </c>
      <c r="AD52" s="31">
        <f t="shared" si="17"/>
        <v>0.05</v>
      </c>
      <c r="AE52" s="146">
        <f t="shared" ref="AE52:AE80" si="148">(AB52*(1+AD52))/($C$1-AD52)</f>
        <v>1002.7417488882029</v>
      </c>
    </row>
    <row r="53" spans="2:31" x14ac:dyDescent="0.2">
      <c r="B53" s="20" t="s">
        <v>388</v>
      </c>
      <c r="C53" s="133">
        <f t="shared" ref="C53:F53" si="149">C20/C42</f>
        <v>0</v>
      </c>
      <c r="D53" s="133">
        <f t="shared" si="149"/>
        <v>0</v>
      </c>
      <c r="E53" s="133">
        <f t="shared" si="149"/>
        <v>0</v>
      </c>
      <c r="F53" s="133">
        <f t="shared" si="149"/>
        <v>0</v>
      </c>
      <c r="G53" s="133">
        <f>G20/G42</f>
        <v>26.527331189710612</v>
      </c>
      <c r="H53" s="133">
        <f t="shared" ref="H53:P53" si="150">H20/H42</f>
        <v>8.6220169361046963</v>
      </c>
      <c r="I53" s="133">
        <f t="shared" si="150"/>
        <v>99.708667152221409</v>
      </c>
      <c r="J53" s="133">
        <f t="shared" si="150"/>
        <v>75.211864406779654</v>
      </c>
      <c r="K53" s="133">
        <f t="shared" si="150"/>
        <v>66.541224769072869</v>
      </c>
      <c r="L53" s="133">
        <f t="shared" si="150"/>
        <v>25.239071038251364</v>
      </c>
      <c r="M53" s="133">
        <f t="shared" si="150"/>
        <v>91.04799867131706</v>
      </c>
      <c r="N53" s="133">
        <f t="shared" si="150"/>
        <v>62.959921156373191</v>
      </c>
      <c r="O53" s="133">
        <f t="shared" si="150"/>
        <v>17.654744406336764</v>
      </c>
      <c r="P53" s="133">
        <f t="shared" si="150"/>
        <v>34.357224118316267</v>
      </c>
      <c r="Q53" s="118">
        <f>((P53/G53)^(1/($H$2-$H$1) ))-1</f>
        <v>2.9154318908213295E-2</v>
      </c>
      <c r="R53" s="128"/>
      <c r="S53" s="133">
        <f t="shared" ref="S53:AB53" si="151">S20/S42</f>
        <v>36.647705726204023</v>
      </c>
      <c r="T53" s="133">
        <f t="shared" si="151"/>
        <v>39.090886107950965</v>
      </c>
      <c r="U53" s="133">
        <f t="shared" si="151"/>
        <v>41.696945181814364</v>
      </c>
      <c r="V53" s="133">
        <f t="shared" si="151"/>
        <v>44.476741527268658</v>
      </c>
      <c r="W53" s="133">
        <f t="shared" si="151"/>
        <v>47.441857629086577</v>
      </c>
      <c r="X53" s="133">
        <f t="shared" si="151"/>
        <v>50.604648137692351</v>
      </c>
      <c r="Y53" s="133">
        <f t="shared" si="151"/>
        <v>53.978291346871842</v>
      </c>
      <c r="Z53" s="133">
        <f t="shared" si="151"/>
        <v>57.576844103329968</v>
      </c>
      <c r="AA53" s="133">
        <f t="shared" si="151"/>
        <v>61.415300376885298</v>
      </c>
      <c r="AB53" s="133">
        <f t="shared" si="151"/>
        <v>65.50965373534433</v>
      </c>
      <c r="AC53" s="138">
        <f t="shared" ref="AC53" si="152">((AB53/G53)^(1/($AB$3-$H$1) ))-1</f>
        <v>4.8730203800664729E-2</v>
      </c>
      <c r="AD53" s="31">
        <f t="shared" si="17"/>
        <v>0.05</v>
      </c>
      <c r="AE53" s="146">
        <f t="shared" si="148"/>
        <v>404.61844954183266</v>
      </c>
    </row>
    <row r="54" spans="2:31" x14ac:dyDescent="0.2">
      <c r="B54" s="20" t="s">
        <v>245</v>
      </c>
      <c r="C54" s="25">
        <f t="shared" ref="C54:P54" si="153">C7/C42</f>
        <v>0</v>
      </c>
      <c r="D54" s="25">
        <f t="shared" si="153"/>
        <v>0</v>
      </c>
      <c r="E54" s="25">
        <f t="shared" si="153"/>
        <v>0</v>
      </c>
      <c r="F54" s="133">
        <f t="shared" si="153"/>
        <v>0</v>
      </c>
      <c r="G54" s="133">
        <f t="shared" si="153"/>
        <v>212.78135048231513</v>
      </c>
      <c r="H54" s="133">
        <f t="shared" si="153"/>
        <v>255.19630484988451</v>
      </c>
      <c r="I54" s="133">
        <f t="shared" si="153"/>
        <v>361.5440640932265</v>
      </c>
      <c r="J54" s="133">
        <f t="shared" si="153"/>
        <v>244.38559322033899</v>
      </c>
      <c r="K54" s="133">
        <f t="shared" si="153"/>
        <v>370.54396168320221</v>
      </c>
      <c r="L54" s="133">
        <f t="shared" si="153"/>
        <v>238.84904371584699</v>
      </c>
      <c r="M54" s="133">
        <f t="shared" si="153"/>
        <v>348.6297957149975</v>
      </c>
      <c r="N54" s="133">
        <f t="shared" si="153"/>
        <v>411.46517739816028</v>
      </c>
      <c r="O54" s="133">
        <f t="shared" si="153"/>
        <v>479.9281398007513</v>
      </c>
      <c r="P54" s="133">
        <f t="shared" si="153"/>
        <v>550.28441410693972</v>
      </c>
      <c r="Q54" s="118">
        <f>((P54/G54)^(1/($H$2-$H$1) ))-1</f>
        <v>0.11134885324447263</v>
      </c>
      <c r="R54" s="128"/>
      <c r="S54" s="158">
        <f t="shared" ref="S54:AB54" si="154">S7/S42</f>
        <v>586.97004171406911</v>
      </c>
      <c r="T54" s="158">
        <f t="shared" si="154"/>
        <v>626.10137782834033</v>
      </c>
      <c r="U54" s="158">
        <f t="shared" si="154"/>
        <v>667.8414696835631</v>
      </c>
      <c r="V54" s="158">
        <f t="shared" si="154"/>
        <v>712.36423432913398</v>
      </c>
      <c r="W54" s="158">
        <f t="shared" si="154"/>
        <v>759.85518328440969</v>
      </c>
      <c r="X54" s="158">
        <f t="shared" si="154"/>
        <v>810.51219550337044</v>
      </c>
      <c r="Y54" s="158">
        <f t="shared" si="154"/>
        <v>864.54634187026193</v>
      </c>
      <c r="Z54" s="158">
        <f t="shared" si="154"/>
        <v>922.18276466161274</v>
      </c>
      <c r="AA54" s="158">
        <f t="shared" si="154"/>
        <v>983.66161563905359</v>
      </c>
      <c r="AB54" s="158">
        <f t="shared" si="154"/>
        <v>1049.2390566816571</v>
      </c>
      <c r="AC54" s="138">
        <f t="shared" si="147"/>
        <v>8.7603441162579232E-2</v>
      </c>
      <c r="AD54" s="31">
        <f t="shared" si="17"/>
        <v>0.05</v>
      </c>
      <c r="AE54" s="146">
        <f t="shared" si="148"/>
        <v>6480.5941736220002</v>
      </c>
    </row>
    <row r="55" spans="2:31" x14ac:dyDescent="0.2">
      <c r="B55" s="20" t="s">
        <v>246</v>
      </c>
      <c r="C55" s="127">
        <f t="shared" ref="C55:P55" si="155">C6/C42</f>
        <v>0</v>
      </c>
      <c r="D55" s="127">
        <f t="shared" si="155"/>
        <v>0</v>
      </c>
      <c r="E55" s="127">
        <f t="shared" si="155"/>
        <v>0</v>
      </c>
      <c r="F55" s="144">
        <f t="shared" si="155"/>
        <v>0</v>
      </c>
      <c r="G55" s="144">
        <f t="shared" si="155"/>
        <v>210.77170418006432</v>
      </c>
      <c r="H55" s="144">
        <f t="shared" si="155"/>
        <v>248.65280985373363</v>
      </c>
      <c r="I55" s="144">
        <f t="shared" si="155"/>
        <v>354.84340859431899</v>
      </c>
      <c r="J55" s="144">
        <f t="shared" si="155"/>
        <v>241.38418079096044</v>
      </c>
      <c r="K55" s="144">
        <f t="shared" si="155"/>
        <v>367.63599042080057</v>
      </c>
      <c r="L55" s="144">
        <f t="shared" si="155"/>
        <v>231.64275956284152</v>
      </c>
      <c r="M55" s="144">
        <f t="shared" si="155"/>
        <v>340.30891878425513</v>
      </c>
      <c r="N55" s="144">
        <f t="shared" si="155"/>
        <v>402.66097240473061</v>
      </c>
      <c r="O55" s="144">
        <f t="shared" si="155"/>
        <v>477.93565245794548</v>
      </c>
      <c r="P55" s="144">
        <f t="shared" si="155"/>
        <v>548.28538924102065</v>
      </c>
      <c r="Q55" s="118">
        <f>((P55/G55)^(1/($H$2-$H$1) ))-1</f>
        <v>0.11207149095009616</v>
      </c>
      <c r="R55" s="128"/>
      <c r="S55" s="157">
        <f t="shared" ref="S55:AB55" si="156">S6/S42</f>
        <v>584.83774852375552</v>
      </c>
      <c r="T55" s="157">
        <f t="shared" si="156"/>
        <v>623.82693175867257</v>
      </c>
      <c r="U55" s="157">
        <f t="shared" si="156"/>
        <v>665.41539387591752</v>
      </c>
      <c r="V55" s="157">
        <f t="shared" si="156"/>
        <v>709.77642013431205</v>
      </c>
      <c r="W55" s="157">
        <f t="shared" si="156"/>
        <v>757.09484814326629</v>
      </c>
      <c r="X55" s="157">
        <f t="shared" si="156"/>
        <v>807.56783801948416</v>
      </c>
      <c r="Y55" s="157">
        <f t="shared" si="156"/>
        <v>861.40569388744984</v>
      </c>
      <c r="Z55" s="157">
        <f t="shared" si="156"/>
        <v>918.83274014661322</v>
      </c>
      <c r="AA55" s="157">
        <f t="shared" si="156"/>
        <v>980.08825615638739</v>
      </c>
      <c r="AB55" s="157">
        <f t="shared" si="156"/>
        <v>1045.4274732334798</v>
      </c>
      <c r="AC55" s="138">
        <f t="shared" si="147"/>
        <v>8.7938372202824855E-2</v>
      </c>
      <c r="AD55" s="31">
        <f t="shared" si="17"/>
        <v>0.05</v>
      </c>
      <c r="AE55" s="146">
        <f t="shared" si="148"/>
        <v>6457.052040559729</v>
      </c>
    </row>
    <row r="56" spans="2:31" x14ac:dyDescent="0.2">
      <c r="B56" s="20" t="s">
        <v>247</v>
      </c>
      <c r="C56" s="127">
        <f t="shared" ref="C56:P56" si="157">C10/C42</f>
        <v>0</v>
      </c>
      <c r="D56" s="127">
        <f t="shared" si="157"/>
        <v>0</v>
      </c>
      <c r="E56" s="127">
        <f t="shared" si="157"/>
        <v>0</v>
      </c>
      <c r="F56" s="144">
        <f t="shared" si="157"/>
        <v>0</v>
      </c>
      <c r="G56" s="144">
        <f t="shared" si="157"/>
        <v>222.58842443729904</v>
      </c>
      <c r="H56" s="144">
        <f t="shared" si="157"/>
        <v>265.81986143187066</v>
      </c>
      <c r="I56" s="144">
        <f t="shared" si="157"/>
        <v>254.77057538237435</v>
      </c>
      <c r="J56" s="144">
        <f t="shared" si="157"/>
        <v>227.11864406779659</v>
      </c>
      <c r="K56" s="144">
        <f t="shared" si="157"/>
        <v>421.31371878207318</v>
      </c>
      <c r="L56" s="144">
        <f t="shared" si="157"/>
        <v>347.84836065573768</v>
      </c>
      <c r="M56" s="144">
        <f t="shared" si="157"/>
        <v>408.68626474007641</v>
      </c>
      <c r="N56" s="144">
        <f t="shared" si="157"/>
        <v>613.33771353482257</v>
      </c>
      <c r="O56" s="144">
        <f t="shared" si="157"/>
        <v>834.60721868365181</v>
      </c>
      <c r="P56" s="144">
        <f t="shared" si="157"/>
        <v>953.06354623760762</v>
      </c>
      <c r="Q56" s="118">
        <f>((P56/G56)^(1/($H$2-$H$1) ))-1</f>
        <v>0.17538439458041633</v>
      </c>
      <c r="R56" s="128"/>
      <c r="S56" s="157">
        <f t="shared" ref="S56:AB56" si="158">S10/S42</f>
        <v>1016.6011159867817</v>
      </c>
      <c r="T56" s="157">
        <f t="shared" si="158"/>
        <v>1084.3745237192338</v>
      </c>
      <c r="U56" s="157">
        <f t="shared" si="158"/>
        <v>1156.6661586338496</v>
      </c>
      <c r="V56" s="157">
        <f t="shared" si="158"/>
        <v>1233.7772358761063</v>
      </c>
      <c r="W56" s="157">
        <f t="shared" si="158"/>
        <v>1316.0290516011801</v>
      </c>
      <c r="X56" s="157">
        <f t="shared" si="158"/>
        <v>1403.7643217079255</v>
      </c>
      <c r="Y56" s="157">
        <f t="shared" si="158"/>
        <v>1497.3486098217875</v>
      </c>
      <c r="Z56" s="157">
        <f t="shared" si="158"/>
        <v>1597.1718504765731</v>
      </c>
      <c r="AA56" s="157">
        <f t="shared" si="158"/>
        <v>1703.649973841678</v>
      </c>
      <c r="AB56" s="157">
        <f t="shared" si="158"/>
        <v>1817.2266387644565</v>
      </c>
      <c r="AC56" s="138">
        <f t="shared" si="147"/>
        <v>0.11685059510505003</v>
      </c>
      <c r="AD56" s="31">
        <f t="shared" si="17"/>
        <v>0.05</v>
      </c>
      <c r="AE56" s="146">
        <f t="shared" si="148"/>
        <v>11224.046886486351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59">(C7-C10)/C42</f>
        <v>0</v>
      </c>
      <c r="D58" s="127">
        <f t="shared" si="159"/>
        <v>0</v>
      </c>
      <c r="E58" s="127">
        <f t="shared" si="159"/>
        <v>0</v>
      </c>
      <c r="F58" s="144">
        <f t="shared" si="159"/>
        <v>0</v>
      </c>
      <c r="G58" s="144">
        <f t="shared" si="159"/>
        <v>-9.8070739549839239</v>
      </c>
      <c r="H58" s="144">
        <f t="shared" si="159"/>
        <v>-10.623556581986143</v>
      </c>
      <c r="I58" s="144">
        <f t="shared" si="159"/>
        <v>106.77348871085215</v>
      </c>
      <c r="J58" s="144">
        <f t="shared" si="159"/>
        <v>17.266949152542374</v>
      </c>
      <c r="K58" s="144">
        <f t="shared" si="159"/>
        <v>-50.769757098871025</v>
      </c>
      <c r="L58" s="144">
        <f t="shared" si="159"/>
        <v>-108.9993169398907</v>
      </c>
      <c r="M58" s="144">
        <f t="shared" si="159"/>
        <v>-60.05646902507889</v>
      </c>
      <c r="N58" s="144">
        <f t="shared" si="159"/>
        <v>-201.87253613666229</v>
      </c>
      <c r="O58" s="144">
        <f t="shared" si="159"/>
        <v>-354.67907888290057</v>
      </c>
      <c r="P58" s="144">
        <f t="shared" si="159"/>
        <v>-402.77913213066796</v>
      </c>
      <c r="Q58" s="118">
        <f>((P58/G58)^(1/($H$2-$H$1) ))-1</f>
        <v>0.51105695661353079</v>
      </c>
      <c r="R58" s="128"/>
      <c r="S58" s="157">
        <f t="shared" ref="S58:AB58" si="160">(S7-S10)/S42</f>
        <v>-429.63107427271262</v>
      </c>
      <c r="T58" s="157">
        <f t="shared" si="160"/>
        <v>-458.27314589089343</v>
      </c>
      <c r="U58" s="157">
        <f t="shared" si="160"/>
        <v>-488.82468895028643</v>
      </c>
      <c r="V58" s="157">
        <f t="shared" si="160"/>
        <v>-521.41300154697217</v>
      </c>
      <c r="W58" s="157">
        <f t="shared" si="160"/>
        <v>-556.17386831677038</v>
      </c>
      <c r="X58" s="157">
        <f t="shared" si="160"/>
        <v>-593.25212620455511</v>
      </c>
      <c r="Y58" s="157">
        <f t="shared" si="160"/>
        <v>-632.80226795152555</v>
      </c>
      <c r="Z58" s="157">
        <f t="shared" si="160"/>
        <v>-674.9890858149605</v>
      </c>
      <c r="AA58" s="157">
        <f t="shared" si="160"/>
        <v>-719.98835820262445</v>
      </c>
      <c r="AB58" s="157">
        <f t="shared" si="160"/>
        <v>-767.98758208279946</v>
      </c>
      <c r="AC58" s="138">
        <f t="shared" si="147"/>
        <v>0.25798209674446926</v>
      </c>
      <c r="AD58" s="31">
        <f t="shared" si="17"/>
        <v>0.05</v>
      </c>
      <c r="AE58" s="146">
        <f t="shared" si="148"/>
        <v>-4743.4527128643504</v>
      </c>
    </row>
    <row r="59" spans="2:31" x14ac:dyDescent="0.2">
      <c r="B59" s="20" t="s">
        <v>271</v>
      </c>
      <c r="C59" s="127">
        <f t="shared" ref="C59:P59" si="161">(C7-C10-C9)/C42</f>
        <v>0</v>
      </c>
      <c r="D59" s="127">
        <f t="shared" si="161"/>
        <v>0</v>
      </c>
      <c r="E59" s="127">
        <f t="shared" si="161"/>
        <v>0</v>
      </c>
      <c r="F59" s="144">
        <f t="shared" si="161"/>
        <v>0</v>
      </c>
      <c r="G59" s="144">
        <f t="shared" si="161"/>
        <v>-380.54662379421222</v>
      </c>
      <c r="H59" s="144">
        <f t="shared" si="161"/>
        <v>-431.33179368745186</v>
      </c>
      <c r="I59" s="144">
        <f t="shared" si="161"/>
        <v>-387.32702112163145</v>
      </c>
      <c r="J59" s="144">
        <f t="shared" si="161"/>
        <v>-317.01977401129943</v>
      </c>
      <c r="K59" s="144">
        <f t="shared" si="161"/>
        <v>-518.85049606568589</v>
      </c>
      <c r="L59" s="144">
        <f t="shared" si="161"/>
        <v>-417.72540983606558</v>
      </c>
      <c r="M59" s="144">
        <f t="shared" si="161"/>
        <v>-422.17239661185852</v>
      </c>
      <c r="N59" s="144">
        <f t="shared" si="161"/>
        <v>-674.08015768725363</v>
      </c>
      <c r="O59" s="144">
        <f t="shared" si="161"/>
        <v>-911.51396374326316</v>
      </c>
      <c r="P59" s="144">
        <f t="shared" si="161"/>
        <v>-1135.2185925564766</v>
      </c>
      <c r="Q59" s="118">
        <f>((P59/G59)^(1/($H$2-$H$1) ))-1</f>
        <v>0.12912309714733272</v>
      </c>
      <c r="R59" s="128"/>
      <c r="S59" s="157">
        <f t="shared" ref="S59:AB59" si="162">(S7-S10-S9)/S42</f>
        <v>-1210.8998320602418</v>
      </c>
      <c r="T59" s="157">
        <f t="shared" si="162"/>
        <v>-1291.6264875309246</v>
      </c>
      <c r="U59" s="157">
        <f t="shared" si="162"/>
        <v>-1377.7349200329866</v>
      </c>
      <c r="V59" s="157">
        <f t="shared" si="162"/>
        <v>-1469.5839147018526</v>
      </c>
      <c r="W59" s="157">
        <f t="shared" si="162"/>
        <v>-1567.5561756819761</v>
      </c>
      <c r="X59" s="157">
        <f t="shared" si="162"/>
        <v>-1672.0599207274413</v>
      </c>
      <c r="Y59" s="157">
        <f t="shared" si="162"/>
        <v>-1783.5305821092711</v>
      </c>
      <c r="Z59" s="157">
        <f t="shared" si="162"/>
        <v>-1902.4326209165558</v>
      </c>
      <c r="AA59" s="157">
        <f t="shared" si="162"/>
        <v>-2029.2614623109928</v>
      </c>
      <c r="AB59" s="157">
        <f t="shared" si="162"/>
        <v>-2164.5455597983923</v>
      </c>
      <c r="AC59" s="138">
        <f t="shared" si="147"/>
        <v>9.5808529984021229E-2</v>
      </c>
      <c r="AD59" s="31">
        <f t="shared" si="17"/>
        <v>0.05</v>
      </c>
      <c r="AE59" s="146">
        <f t="shared" si="148"/>
        <v>-13369.251986990073</v>
      </c>
    </row>
    <row r="60" spans="2:31" x14ac:dyDescent="0.2">
      <c r="B60" s="20" t="s">
        <v>276</v>
      </c>
      <c r="C60" s="127">
        <f t="shared" ref="C60:P60" si="163">(C7+C15-C10-C9)/C42</f>
        <v>0</v>
      </c>
      <c r="D60" s="127">
        <f t="shared" si="163"/>
        <v>0</v>
      </c>
      <c r="E60" s="127">
        <f t="shared" si="163"/>
        <v>0</v>
      </c>
      <c r="F60" s="144">
        <f t="shared" si="163"/>
        <v>0</v>
      </c>
      <c r="G60" s="144">
        <f t="shared" si="163"/>
        <v>101.36655948553054</v>
      </c>
      <c r="H60" s="144">
        <f t="shared" si="163"/>
        <v>117.39799846035412</v>
      </c>
      <c r="I60" s="144">
        <f t="shared" si="163"/>
        <v>218.64530225782957</v>
      </c>
      <c r="J60" s="144">
        <f t="shared" si="163"/>
        <v>81.709039548022602</v>
      </c>
      <c r="K60" s="144">
        <f t="shared" si="163"/>
        <v>-15.189873417721518</v>
      </c>
      <c r="L60" s="144">
        <f t="shared" si="163"/>
        <v>-74.077868852459019</v>
      </c>
      <c r="M60" s="144">
        <f t="shared" si="163"/>
        <v>-143.979405414383</v>
      </c>
      <c r="N60" s="144">
        <f t="shared" si="163"/>
        <v>-326.42904073587385</v>
      </c>
      <c r="O60" s="144">
        <f t="shared" si="163"/>
        <v>-451.65768414176063</v>
      </c>
      <c r="P60" s="144">
        <f t="shared" si="163"/>
        <v>-618.1537461400942</v>
      </c>
      <c r="Q60" s="118">
        <f>((P60/G60)^(1/($H$2-$H$1) ))-1</f>
        <v>-2.222488111479362</v>
      </c>
      <c r="R60" s="128"/>
      <c r="S60" s="157">
        <f t="shared" ref="S60:AB60" si="164">(S7+S15-S10-S9)/S42</f>
        <v>-659.36399588276743</v>
      </c>
      <c r="T60" s="157">
        <f t="shared" si="164"/>
        <v>-703.32159560828529</v>
      </c>
      <c r="U60" s="157">
        <f t="shared" si="164"/>
        <v>-750.20970198217105</v>
      </c>
      <c r="V60" s="157">
        <f t="shared" si="164"/>
        <v>-800.22368211431592</v>
      </c>
      <c r="W60" s="157">
        <f t="shared" si="164"/>
        <v>-853.5719275886039</v>
      </c>
      <c r="X60" s="157">
        <f t="shared" si="164"/>
        <v>-910.4767227611776</v>
      </c>
      <c r="Y60" s="157">
        <f t="shared" si="164"/>
        <v>-971.17517094525613</v>
      </c>
      <c r="Z60" s="157">
        <f t="shared" si="164"/>
        <v>-1035.9201823416065</v>
      </c>
      <c r="AA60" s="157">
        <f t="shared" si="164"/>
        <v>-1104.9815278310466</v>
      </c>
      <c r="AB60" s="157">
        <f t="shared" si="164"/>
        <v>-1178.646963019783</v>
      </c>
      <c r="AC60" s="138">
        <f t="shared" si="147"/>
        <v>-2.1378325940082288</v>
      </c>
      <c r="AD60" s="31">
        <f t="shared" si="17"/>
        <v>0.05</v>
      </c>
      <c r="AE60" s="146">
        <f t="shared" si="148"/>
        <v>-7279.8783010045427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65">C12/C42</f>
        <v>0</v>
      </c>
      <c r="D62" s="127">
        <f t="shared" si="165"/>
        <v>0</v>
      </c>
      <c r="E62" s="127">
        <f t="shared" si="165"/>
        <v>0</v>
      </c>
      <c r="F62" s="144">
        <f t="shared" si="165"/>
        <v>0</v>
      </c>
      <c r="G62" s="144">
        <f t="shared" si="165"/>
        <v>43.167202572347271</v>
      </c>
      <c r="H62" s="144">
        <f t="shared" si="165"/>
        <v>76.135488837567365</v>
      </c>
      <c r="I62" s="144">
        <f t="shared" si="165"/>
        <v>59.359067734887105</v>
      </c>
      <c r="J62" s="144">
        <f t="shared" si="165"/>
        <v>60.628531073446325</v>
      </c>
      <c r="K62" s="144">
        <f t="shared" si="165"/>
        <v>53.369825521724252</v>
      </c>
      <c r="L62" s="144">
        <f t="shared" si="165"/>
        <v>24.897540983606557</v>
      </c>
      <c r="M62" s="144">
        <f t="shared" si="165"/>
        <v>55.156950672645742</v>
      </c>
      <c r="N62" s="144">
        <f t="shared" si="165"/>
        <v>59.871879106438897</v>
      </c>
      <c r="O62" s="144">
        <f t="shared" si="165"/>
        <v>57.520823125918668</v>
      </c>
      <c r="P62" s="144">
        <f t="shared" si="165"/>
        <v>59.011864131318056</v>
      </c>
      <c r="Q62" s="118">
        <f>((P62/G62)^(1/($H$2-$H$1) ))-1</f>
        <v>3.5350195477438673E-2</v>
      </c>
      <c r="R62" s="128"/>
      <c r="S62" s="157">
        <f t="shared" ref="S62:AB62" si="166">S12/S42</f>
        <v>62.945988406739268</v>
      </c>
      <c r="T62" s="157">
        <f t="shared" si="166"/>
        <v>67.142387633855208</v>
      </c>
      <c r="U62" s="157">
        <f t="shared" si="166"/>
        <v>71.618546809445562</v>
      </c>
      <c r="V62" s="157">
        <f t="shared" si="166"/>
        <v>76.393116596741947</v>
      </c>
      <c r="W62" s="157">
        <f t="shared" si="166"/>
        <v>81.485991036524752</v>
      </c>
      <c r="X62" s="157">
        <f t="shared" si="166"/>
        <v>86.918390438959747</v>
      </c>
      <c r="Y62" s="157">
        <f t="shared" si="166"/>
        <v>92.712949801557059</v>
      </c>
      <c r="Z62" s="157">
        <f t="shared" si="166"/>
        <v>98.89381312166087</v>
      </c>
      <c r="AA62" s="157">
        <f t="shared" si="166"/>
        <v>105.48673399643826</v>
      </c>
      <c r="AB62" s="157">
        <f t="shared" si="166"/>
        <v>112.51918292953415</v>
      </c>
      <c r="AC62" s="138">
        <f t="shared" si="147"/>
        <v>5.1716194450743158E-2</v>
      </c>
      <c r="AD62" s="31">
        <f t="shared" si="17"/>
        <v>0.05</v>
      </c>
      <c r="AE62" s="146">
        <f t="shared" si="148"/>
        <v>694.97142397653465</v>
      </c>
    </row>
    <row r="63" spans="2:31" x14ac:dyDescent="0.2">
      <c r="B63" s="20" t="s">
        <v>255</v>
      </c>
      <c r="C63" s="127">
        <f t="shared" ref="C63:P63" si="167">C13/C42</f>
        <v>0</v>
      </c>
      <c r="D63" s="127">
        <f t="shared" si="167"/>
        <v>0</v>
      </c>
      <c r="E63" s="127">
        <f t="shared" si="167"/>
        <v>0</v>
      </c>
      <c r="F63" s="144">
        <f t="shared" si="167"/>
        <v>0</v>
      </c>
      <c r="G63" s="144">
        <f t="shared" si="167"/>
        <v>50.080385852090032</v>
      </c>
      <c r="H63" s="144">
        <f t="shared" si="167"/>
        <v>52.347959969207082</v>
      </c>
      <c r="I63" s="144">
        <f t="shared" si="167"/>
        <v>121.99563000728332</v>
      </c>
      <c r="J63" s="144">
        <f t="shared" si="167"/>
        <v>87.5</v>
      </c>
      <c r="K63" s="144">
        <f t="shared" si="167"/>
        <v>189.94184057475198</v>
      </c>
      <c r="L63" s="144">
        <f t="shared" si="167"/>
        <v>116.20560109289617</v>
      </c>
      <c r="M63" s="144">
        <f t="shared" si="167"/>
        <v>164.87294469357249</v>
      </c>
      <c r="N63" s="144">
        <f t="shared" si="167"/>
        <v>151.3633377135348</v>
      </c>
      <c r="O63" s="144">
        <f t="shared" si="167"/>
        <v>143.54074799934673</v>
      </c>
      <c r="P63" s="144">
        <f t="shared" si="167"/>
        <v>142.48334145945068</v>
      </c>
      <c r="Q63" s="118">
        <f>((P63/G63)^(1/($H$2-$H$1) ))-1</f>
        <v>0.12319499188139926</v>
      </c>
      <c r="R63" s="128"/>
      <c r="S63" s="157">
        <f t="shared" ref="S63:AB63" si="168">S13/S42</f>
        <v>151.98223089008073</v>
      </c>
      <c r="T63" s="157">
        <f t="shared" si="168"/>
        <v>162.11437961608613</v>
      </c>
      <c r="U63" s="157">
        <f t="shared" si="168"/>
        <v>172.9220049238252</v>
      </c>
      <c r="V63" s="157">
        <f t="shared" si="168"/>
        <v>184.45013858541358</v>
      </c>
      <c r="W63" s="157">
        <f t="shared" si="168"/>
        <v>196.74681449110784</v>
      </c>
      <c r="X63" s="157">
        <f t="shared" si="168"/>
        <v>209.86326879051506</v>
      </c>
      <c r="Y63" s="157">
        <f t="shared" si="168"/>
        <v>223.85415337654942</v>
      </c>
      <c r="Z63" s="157">
        <f t="shared" si="168"/>
        <v>238.77776360165268</v>
      </c>
      <c r="AA63" s="157">
        <f t="shared" si="168"/>
        <v>254.6962811750962</v>
      </c>
      <c r="AB63" s="157">
        <f t="shared" si="168"/>
        <v>271.676033253436</v>
      </c>
      <c r="AC63" s="138">
        <f t="shared" si="147"/>
        <v>9.3079555809567394E-2</v>
      </c>
      <c r="AD63" s="31">
        <f t="shared" si="17"/>
        <v>0.05</v>
      </c>
      <c r="AE63" s="146">
        <f t="shared" si="148"/>
        <v>1677.9990289182815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69">(D62+D63)</f>
        <v>0</v>
      </c>
      <c r="E64" s="127">
        <f t="shared" si="169"/>
        <v>0</v>
      </c>
      <c r="F64" s="144">
        <f t="shared" si="169"/>
        <v>0</v>
      </c>
      <c r="G64" s="144">
        <f t="shared" si="169"/>
        <v>93.247588424437311</v>
      </c>
      <c r="H64" s="144">
        <f t="shared" si="169"/>
        <v>128.48344880677445</v>
      </c>
      <c r="I64" s="144">
        <f t="shared" si="169"/>
        <v>181.35469774217043</v>
      </c>
      <c r="J64" s="144">
        <f t="shared" si="169"/>
        <v>148.12853107344631</v>
      </c>
      <c r="K64" s="144">
        <f t="shared" si="169"/>
        <v>243.31166609647624</v>
      </c>
      <c r="L64" s="144">
        <f t="shared" si="169"/>
        <v>141.10314207650273</v>
      </c>
      <c r="M64" s="144">
        <f t="shared" si="169"/>
        <v>220.02989536621823</v>
      </c>
      <c r="N64" s="144">
        <f t="shared" si="169"/>
        <v>211.23521681997369</v>
      </c>
      <c r="O64" s="144">
        <f t="shared" ref="O64" si="170">(O62+O63)</f>
        <v>201.0615711252654</v>
      </c>
      <c r="P64" s="144">
        <f t="shared" si="169"/>
        <v>201.49520559076873</v>
      </c>
      <c r="Q64" s="118">
        <f>((P64/G64)^(1/($H$2-$H$1) ))-1</f>
        <v>8.9383491722206498E-2</v>
      </c>
      <c r="R64" s="128"/>
      <c r="S64" s="157">
        <f t="shared" ref="S64:AB64" si="171">(S62+S63)</f>
        <v>214.92821929682</v>
      </c>
      <c r="T64" s="157">
        <f t="shared" si="171"/>
        <v>229.25676724994133</v>
      </c>
      <c r="U64" s="157">
        <f t="shared" si="171"/>
        <v>244.54055173327077</v>
      </c>
      <c r="V64" s="157">
        <f t="shared" si="171"/>
        <v>260.84325518215553</v>
      </c>
      <c r="W64" s="157">
        <f t="shared" si="171"/>
        <v>278.23280552763259</v>
      </c>
      <c r="X64" s="157">
        <f t="shared" si="171"/>
        <v>296.78165922947483</v>
      </c>
      <c r="Y64" s="157">
        <f t="shared" si="171"/>
        <v>316.56710317810649</v>
      </c>
      <c r="Z64" s="157">
        <f t="shared" si="171"/>
        <v>337.67157672331354</v>
      </c>
      <c r="AA64" s="157">
        <f t="shared" si="171"/>
        <v>360.18301517153446</v>
      </c>
      <c r="AB64" s="157">
        <f t="shared" si="171"/>
        <v>384.19521618297017</v>
      </c>
      <c r="AC64" s="138">
        <f t="shared" si="147"/>
        <v>7.7367605228031211E-2</v>
      </c>
      <c r="AD64" s="31">
        <f t="shared" si="17"/>
        <v>0.05</v>
      </c>
      <c r="AE64" s="146">
        <f t="shared" si="148"/>
        <v>2372.9704528948159</v>
      </c>
    </row>
    <row r="65" spans="2:31" x14ac:dyDescent="0.2">
      <c r="B65" s="20" t="s">
        <v>249</v>
      </c>
      <c r="C65" s="127">
        <f t="shared" ref="C65:P65" si="172">C15/C42</f>
        <v>0</v>
      </c>
      <c r="D65" s="127">
        <f t="shared" si="172"/>
        <v>0</v>
      </c>
      <c r="E65" s="127">
        <f t="shared" si="172"/>
        <v>0</v>
      </c>
      <c r="F65" s="144">
        <f t="shared" si="172"/>
        <v>0</v>
      </c>
      <c r="G65" s="144">
        <f t="shared" si="172"/>
        <v>481.91318327974278</v>
      </c>
      <c r="H65" s="144">
        <f t="shared" si="172"/>
        <v>548.72979214780605</v>
      </c>
      <c r="I65" s="144">
        <f t="shared" si="172"/>
        <v>605.97232337946105</v>
      </c>
      <c r="J65" s="144">
        <f t="shared" si="172"/>
        <v>398.72881355932202</v>
      </c>
      <c r="K65" s="144">
        <f t="shared" si="172"/>
        <v>503.66062264796443</v>
      </c>
      <c r="L65" s="144">
        <f t="shared" si="172"/>
        <v>343.64754098360652</v>
      </c>
      <c r="M65" s="144">
        <f t="shared" si="172"/>
        <v>278.19299119747552</v>
      </c>
      <c r="N65" s="144">
        <f t="shared" si="172"/>
        <v>347.65111695137978</v>
      </c>
      <c r="O65" s="144">
        <f t="shared" si="172"/>
        <v>459.85627960150254</v>
      </c>
      <c r="P65" s="144">
        <f t="shared" si="172"/>
        <v>517.06484641638224</v>
      </c>
      <c r="Q65" s="118">
        <f>((P65/G65)^(1/($H$2-$H$1) ))-1</f>
        <v>7.8533789117853914E-3</v>
      </c>
      <c r="R65" s="128"/>
      <c r="S65" s="157">
        <f t="shared" ref="S65:AB65" si="173">S15/S42</f>
        <v>551.53583617747449</v>
      </c>
      <c r="T65" s="157">
        <f t="shared" si="173"/>
        <v>588.3048919226394</v>
      </c>
      <c r="U65" s="157">
        <f t="shared" si="173"/>
        <v>627.5252180508154</v>
      </c>
      <c r="V65" s="157">
        <f t="shared" si="173"/>
        <v>669.36023258753642</v>
      </c>
      <c r="W65" s="157">
        <f t="shared" si="173"/>
        <v>713.98424809337223</v>
      </c>
      <c r="X65" s="157">
        <f t="shared" si="173"/>
        <v>761.58319796626392</v>
      </c>
      <c r="Y65" s="157">
        <f t="shared" si="173"/>
        <v>812.35541116401487</v>
      </c>
      <c r="Z65" s="157">
        <f t="shared" si="173"/>
        <v>866.51243857494921</v>
      </c>
      <c r="AA65" s="157">
        <f t="shared" si="173"/>
        <v>924.27993447994595</v>
      </c>
      <c r="AB65" s="157">
        <f t="shared" si="173"/>
        <v>985.89859677860909</v>
      </c>
      <c r="AC65" s="138">
        <f t="shared" si="147"/>
        <v>3.839176135361333E-2</v>
      </c>
      <c r="AD65" s="31">
        <f t="shared" si="17"/>
        <v>0.05</v>
      </c>
      <c r="AE65" s="146">
        <f t="shared" si="148"/>
        <v>6089.373685985528</v>
      </c>
    </row>
    <row r="66" spans="2:31" x14ac:dyDescent="0.2">
      <c r="B66" s="20" t="s">
        <v>250</v>
      </c>
      <c r="C66" s="127">
        <f t="shared" ref="C66:P66" si="174">C16/C42</f>
        <v>0</v>
      </c>
      <c r="D66" s="127">
        <f t="shared" si="174"/>
        <v>0</v>
      </c>
      <c r="E66" s="127">
        <f t="shared" si="174"/>
        <v>0</v>
      </c>
      <c r="F66" s="144">
        <f t="shared" si="174"/>
        <v>0</v>
      </c>
      <c r="G66" s="144">
        <f t="shared" si="174"/>
        <v>213.66559485530547</v>
      </c>
      <c r="H66" s="144">
        <f t="shared" si="174"/>
        <v>303.15627405696688</v>
      </c>
      <c r="I66" s="144">
        <f t="shared" si="174"/>
        <v>284.04952658412236</v>
      </c>
      <c r="J66" s="144">
        <f t="shared" si="174"/>
        <v>214.12429378531073</v>
      </c>
      <c r="K66" s="144">
        <f t="shared" si="174"/>
        <v>340.91686623332191</v>
      </c>
      <c r="L66" s="144">
        <f t="shared" si="174"/>
        <v>222.35314207650273</v>
      </c>
      <c r="M66" s="144">
        <f t="shared" si="174"/>
        <v>295.28317555223384</v>
      </c>
      <c r="N66" s="144">
        <f t="shared" si="174"/>
        <v>427.67739816031536</v>
      </c>
      <c r="O66" s="144">
        <f t="shared" si="174"/>
        <v>639.22913604442272</v>
      </c>
      <c r="P66" s="144">
        <f t="shared" si="174"/>
        <v>725.61352185925568</v>
      </c>
      <c r="Q66" s="118">
        <f>((P66/G66)^(1/($H$2-$H$1) ))-1</f>
        <v>0.14550437529401616</v>
      </c>
      <c r="R66" s="128"/>
      <c r="S66" s="157">
        <f t="shared" ref="S66:AB66" si="175">S16/S42</f>
        <v>773.98775664987284</v>
      </c>
      <c r="T66" s="157">
        <f t="shared" si="175"/>
        <v>825.58694042653099</v>
      </c>
      <c r="U66" s="157">
        <f t="shared" si="175"/>
        <v>880.62606978829979</v>
      </c>
      <c r="V66" s="157">
        <f t="shared" si="175"/>
        <v>939.33447444085323</v>
      </c>
      <c r="W66" s="157">
        <f t="shared" si="175"/>
        <v>1001.9567727369102</v>
      </c>
      <c r="X66" s="157">
        <f t="shared" si="175"/>
        <v>1068.7538909193711</v>
      </c>
      <c r="Y66" s="157">
        <f t="shared" si="175"/>
        <v>1140.004150313996</v>
      </c>
      <c r="Z66" s="157">
        <f t="shared" si="175"/>
        <v>1216.0044270015958</v>
      </c>
      <c r="AA66" s="157">
        <f t="shared" si="175"/>
        <v>1297.0713888017019</v>
      </c>
      <c r="AB66" s="157">
        <f t="shared" si="175"/>
        <v>1383.5428147218156</v>
      </c>
      <c r="AC66" s="138">
        <f t="shared" si="147"/>
        <v>0.10331059791869612</v>
      </c>
      <c r="AD66" s="137"/>
      <c r="AE66" s="146">
        <f t="shared" si="148"/>
        <v>6288.8309760082529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48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76">D43</f>
        <v>0</v>
      </c>
      <c r="E68" s="159">
        <f t="shared" si="176"/>
        <v>0</v>
      </c>
      <c r="F68" s="159">
        <f t="shared" si="176"/>
        <v>0</v>
      </c>
      <c r="G68" s="159">
        <f t="shared" si="176"/>
        <v>80</v>
      </c>
      <c r="H68" s="159">
        <f t="shared" si="176"/>
        <v>27.5</v>
      </c>
      <c r="I68" s="159">
        <f t="shared" si="176"/>
        <v>22</v>
      </c>
      <c r="J68" s="159">
        <f t="shared" si="176"/>
        <v>13</v>
      </c>
      <c r="K68" s="159">
        <f t="shared" si="176"/>
        <v>17</v>
      </c>
      <c r="L68" s="159">
        <f t="shared" si="176"/>
        <v>10.5</v>
      </c>
      <c r="M68" s="159">
        <f t="shared" si="176"/>
        <v>12.5</v>
      </c>
      <c r="N68" s="159">
        <f t="shared" si="176"/>
        <v>14.5</v>
      </c>
      <c r="O68" s="159">
        <f t="shared" si="176"/>
        <v>16.5</v>
      </c>
      <c r="P68" s="159">
        <f t="shared" si="176"/>
        <v>18.5</v>
      </c>
      <c r="Q68" s="118">
        <f>((P68/G68)^(1/($H$2-$H$1) ))-1</f>
        <v>-0.15014973198187687</v>
      </c>
      <c r="R68" s="128"/>
      <c r="S68" s="159">
        <f t="shared" ref="S68:AB68" si="177">S43</f>
        <v>19.425000000000001</v>
      </c>
      <c r="T68" s="159">
        <f t="shared" si="177"/>
        <v>20.396250000000002</v>
      </c>
      <c r="U68" s="159">
        <f t="shared" si="177"/>
        <v>21.416062500000002</v>
      </c>
      <c r="V68" s="159">
        <f t="shared" si="177"/>
        <v>22.486865625000004</v>
      </c>
      <c r="W68" s="159">
        <f t="shared" si="177"/>
        <v>23.611208906250006</v>
      </c>
      <c r="X68" s="159">
        <f t="shared" si="177"/>
        <v>24.791769351562507</v>
      </c>
      <c r="Y68" s="159">
        <f t="shared" si="177"/>
        <v>26.031357819140634</v>
      </c>
      <c r="Z68" s="159">
        <f t="shared" si="177"/>
        <v>27.332925710097665</v>
      </c>
      <c r="AA68" s="159">
        <f t="shared" si="177"/>
        <v>28.69957199560255</v>
      </c>
      <c r="AB68" s="159">
        <f t="shared" si="177"/>
        <v>30.134550595382681</v>
      </c>
      <c r="AC68" s="138">
        <f t="shared" ref="AC68" si="178">((AB68/G68)^(1/($AB$3-$H$1) ))-1</f>
        <v>-5.008907919995953E-2</v>
      </c>
      <c r="AD68" s="31">
        <f t="shared" si="17"/>
        <v>0.05</v>
      </c>
      <c r="AE68" s="146">
        <f t="shared" si="148"/>
        <v>186.12516544206954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79">C20+C21</f>
        <v>0</v>
      </c>
      <c r="D70" s="127">
        <f t="shared" si="179"/>
        <v>0</v>
      </c>
      <c r="E70" s="127">
        <f t="shared" si="179"/>
        <v>0</v>
      </c>
      <c r="F70" s="144">
        <f t="shared" si="179"/>
        <v>0</v>
      </c>
      <c r="G70" s="144">
        <f t="shared" si="179"/>
        <v>530</v>
      </c>
      <c r="H70" s="144">
        <f t="shared" si="179"/>
        <v>348</v>
      </c>
      <c r="I70" s="144">
        <f t="shared" si="179"/>
        <v>43</v>
      </c>
      <c r="J70" s="144">
        <f t="shared" si="179"/>
        <v>542</v>
      </c>
      <c r="K70" s="144">
        <f t="shared" si="179"/>
        <v>-3296</v>
      </c>
      <c r="L70" s="144">
        <f t="shared" si="179"/>
        <v>-1830</v>
      </c>
      <c r="M70" s="144">
        <f t="shared" si="179"/>
        <v>-589</v>
      </c>
      <c r="N70" s="144">
        <f t="shared" si="179"/>
        <v>1424</v>
      </c>
      <c r="O70" s="144">
        <f t="shared" si="179"/>
        <v>-841</v>
      </c>
      <c r="P70" s="144">
        <f t="shared" si="179"/>
        <v>2579</v>
      </c>
      <c r="Q70" s="118">
        <f>((P70/G70)^(1/($H$2-$H$1) ))-1</f>
        <v>0.19221019217487467</v>
      </c>
      <c r="R70" s="128"/>
      <c r="S70" s="144">
        <f t="shared" ref="S70:AB70" si="180">S20+S21</f>
        <v>2888.4800000000005</v>
      </c>
      <c r="T70" s="144">
        <f t="shared" si="180"/>
        <v>3235.097600000001</v>
      </c>
      <c r="U70" s="144">
        <f t="shared" si="180"/>
        <v>3623.3093120000012</v>
      </c>
      <c r="V70" s="144">
        <f t="shared" si="180"/>
        <v>4058.1064294400016</v>
      </c>
      <c r="W70" s="144">
        <f t="shared" si="180"/>
        <v>4545.079200972802</v>
      </c>
      <c r="X70" s="144">
        <f t="shared" si="180"/>
        <v>5090.4887050895386</v>
      </c>
      <c r="Y70" s="144">
        <f t="shared" si="180"/>
        <v>5701.3473497002842</v>
      </c>
      <c r="Z70" s="144">
        <f t="shared" si="180"/>
        <v>6385.5090316643191</v>
      </c>
      <c r="AA70" s="144">
        <f t="shared" si="180"/>
        <v>7151.7701154640381</v>
      </c>
      <c r="AB70" s="144">
        <f t="shared" si="180"/>
        <v>8009.9825293197237</v>
      </c>
      <c r="AC70" s="138">
        <f t="shared" ref="AC70:AC75" si="181">((AB70/G70)^(1/($AB$3-$H$1) ))-1</f>
        <v>0.15364278046956814</v>
      </c>
      <c r="AD70" s="31">
        <f t="shared" si="17"/>
        <v>0.05</v>
      </c>
      <c r="AE70" s="146">
        <f t="shared" si="148"/>
        <v>49473.421504621831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82">C70/C42</f>
        <v>0</v>
      </c>
      <c r="D72" s="127">
        <f t="shared" si="182"/>
        <v>0</v>
      </c>
      <c r="E72" s="127">
        <f t="shared" si="182"/>
        <v>0</v>
      </c>
      <c r="F72" s="144">
        <f t="shared" si="182"/>
        <v>0</v>
      </c>
      <c r="G72" s="144">
        <f t="shared" si="182"/>
        <v>42.60450160771704</v>
      </c>
      <c r="H72" s="144">
        <f t="shared" si="182"/>
        <v>26.789838337182449</v>
      </c>
      <c r="I72" s="144">
        <f t="shared" si="182"/>
        <v>3.1318281136198105</v>
      </c>
      <c r="J72" s="144">
        <f t="shared" si="182"/>
        <v>19.138418079096045</v>
      </c>
      <c r="K72" s="144">
        <f t="shared" si="182"/>
        <v>-112.76086212795073</v>
      </c>
      <c r="L72" s="144">
        <f t="shared" si="182"/>
        <v>-31.25</v>
      </c>
      <c r="M72" s="144">
        <f t="shared" si="182"/>
        <v>-9.7824281680783916</v>
      </c>
      <c r="N72" s="144">
        <f t="shared" si="182"/>
        <v>23.390275952693823</v>
      </c>
      <c r="O72" s="144">
        <f t="shared" si="182"/>
        <v>-13.73509717458762</v>
      </c>
      <c r="P72" s="144">
        <f t="shared" si="182"/>
        <v>41.914513245571264</v>
      </c>
      <c r="Q72" s="118">
        <f>((P72/G72)^(1/($H$2-$H$1) ))-1</f>
        <v>-1.8125524620394851E-3</v>
      </c>
      <c r="R72" s="128"/>
      <c r="S72" s="146">
        <f t="shared" ref="S72:AB72" si="183">S70/S42</f>
        <v>44.708814128609362</v>
      </c>
      <c r="T72" s="146">
        <f t="shared" si="183"/>
        <v>47.689401737183317</v>
      </c>
      <c r="U72" s="146">
        <f t="shared" si="183"/>
        <v>50.868695186328878</v>
      </c>
      <c r="V72" s="146">
        <f t="shared" si="183"/>
        <v>54.259941532084135</v>
      </c>
      <c r="W72" s="146">
        <f t="shared" si="183"/>
        <v>57.87727096755642</v>
      </c>
      <c r="X72" s="146">
        <f t="shared" si="183"/>
        <v>61.735755698726848</v>
      </c>
      <c r="Y72" s="146">
        <f t="shared" si="183"/>
        <v>65.851472745308655</v>
      </c>
      <c r="Z72" s="146">
        <f t="shared" si="183"/>
        <v>70.241570928329224</v>
      </c>
      <c r="AA72" s="146">
        <f t="shared" si="183"/>
        <v>74.924342323551173</v>
      </c>
      <c r="AB72" s="146">
        <f t="shared" si="183"/>
        <v>79.919298478454593</v>
      </c>
      <c r="AC72" s="138">
        <f t="shared" si="181"/>
        <v>3.3662464532722591E-2</v>
      </c>
      <c r="AD72" s="31">
        <f t="shared" si="17"/>
        <v>0.05</v>
      </c>
      <c r="AE72" s="146">
        <f t="shared" si="148"/>
        <v>493.61919648457251</v>
      </c>
    </row>
    <row r="73" spans="2:31" x14ac:dyDescent="0.2">
      <c r="B73" s="20" t="s">
        <v>287</v>
      </c>
      <c r="C73" s="127">
        <f t="shared" ref="C73:P73" si="184">C20/C42</f>
        <v>0</v>
      </c>
      <c r="D73" s="127">
        <f t="shared" si="184"/>
        <v>0</v>
      </c>
      <c r="E73" s="127">
        <f t="shared" si="184"/>
        <v>0</v>
      </c>
      <c r="F73" s="144">
        <f t="shared" si="184"/>
        <v>0</v>
      </c>
      <c r="G73" s="144">
        <f t="shared" si="184"/>
        <v>26.527331189710612</v>
      </c>
      <c r="H73" s="144">
        <f t="shared" si="184"/>
        <v>8.6220169361046963</v>
      </c>
      <c r="I73" s="144">
        <f t="shared" si="184"/>
        <v>99.708667152221409</v>
      </c>
      <c r="J73" s="144">
        <f t="shared" si="184"/>
        <v>75.211864406779654</v>
      </c>
      <c r="K73" s="144">
        <f t="shared" si="184"/>
        <v>66.541224769072869</v>
      </c>
      <c r="L73" s="144">
        <f t="shared" si="184"/>
        <v>25.239071038251364</v>
      </c>
      <c r="M73" s="144">
        <f t="shared" si="184"/>
        <v>91.04799867131706</v>
      </c>
      <c r="N73" s="144">
        <f t="shared" si="184"/>
        <v>62.959921156373191</v>
      </c>
      <c r="O73" s="144">
        <f t="shared" si="184"/>
        <v>17.654744406336764</v>
      </c>
      <c r="P73" s="144">
        <f t="shared" si="184"/>
        <v>34.357224118316267</v>
      </c>
      <c r="Q73" s="118">
        <f>((P73/G73)^(1/($H$2-$H$1) ))-1</f>
        <v>2.9154318908213295E-2</v>
      </c>
      <c r="R73" s="128"/>
      <c r="S73" s="146">
        <f t="shared" ref="S73:AB73" si="185">S20/S42</f>
        <v>36.647705726204023</v>
      </c>
      <c r="T73" s="146">
        <f t="shared" si="185"/>
        <v>39.090886107950965</v>
      </c>
      <c r="U73" s="146">
        <f t="shared" si="185"/>
        <v>41.696945181814364</v>
      </c>
      <c r="V73" s="146">
        <f t="shared" si="185"/>
        <v>44.476741527268658</v>
      </c>
      <c r="W73" s="146">
        <f t="shared" si="185"/>
        <v>47.441857629086577</v>
      </c>
      <c r="X73" s="146">
        <f t="shared" si="185"/>
        <v>50.604648137692351</v>
      </c>
      <c r="Y73" s="146">
        <f t="shared" si="185"/>
        <v>53.978291346871842</v>
      </c>
      <c r="Z73" s="146">
        <f t="shared" si="185"/>
        <v>57.576844103329968</v>
      </c>
      <c r="AA73" s="146">
        <f t="shared" si="185"/>
        <v>61.415300376885298</v>
      </c>
      <c r="AB73" s="146">
        <f t="shared" si="185"/>
        <v>65.50965373534433</v>
      </c>
      <c r="AC73" s="138">
        <f t="shared" si="181"/>
        <v>4.8730203800664729E-2</v>
      </c>
      <c r="AD73" s="31">
        <f t="shared" si="17"/>
        <v>0.05</v>
      </c>
      <c r="AE73" s="146">
        <f t="shared" si="148"/>
        <v>404.61844954183266</v>
      </c>
    </row>
    <row r="74" spans="2:31" x14ac:dyDescent="0.2">
      <c r="B74" s="20" t="s">
        <v>288</v>
      </c>
      <c r="C74" s="127">
        <f t="shared" ref="C74:P74" si="186">C21/C42</f>
        <v>0</v>
      </c>
      <c r="D74" s="127">
        <f t="shared" si="186"/>
        <v>0</v>
      </c>
      <c r="E74" s="127">
        <f t="shared" si="186"/>
        <v>0</v>
      </c>
      <c r="F74" s="144">
        <f t="shared" si="186"/>
        <v>0</v>
      </c>
      <c r="G74" s="144">
        <f t="shared" si="186"/>
        <v>16.077170418006432</v>
      </c>
      <c r="H74" s="144">
        <f t="shared" si="186"/>
        <v>18.167821401077752</v>
      </c>
      <c r="I74" s="144">
        <f t="shared" si="186"/>
        <v>-96.576839038601605</v>
      </c>
      <c r="J74" s="144">
        <f t="shared" si="186"/>
        <v>-56.073446327683612</v>
      </c>
      <c r="K74" s="144">
        <f t="shared" si="186"/>
        <v>-179.3020868970236</v>
      </c>
      <c r="L74" s="144">
        <f t="shared" si="186"/>
        <v>-56.489071038251367</v>
      </c>
      <c r="M74" s="144">
        <f t="shared" si="186"/>
        <v>-100.83042683939544</v>
      </c>
      <c r="N74" s="144">
        <f t="shared" si="186"/>
        <v>-39.569645203679364</v>
      </c>
      <c r="O74" s="144">
        <f t="shared" si="186"/>
        <v>-31.389841580924386</v>
      </c>
      <c r="P74" s="144">
        <f t="shared" si="186"/>
        <v>7.5572891272549976</v>
      </c>
      <c r="Q74" s="118">
        <f>((P74/G74)^(1/($H$2-$H$1) ))-1</f>
        <v>-8.04551089103549E-2</v>
      </c>
      <c r="R74" s="128"/>
      <c r="S74" s="146">
        <f t="shared" ref="S74:AB74" si="187">S21/S42</f>
        <v>8.061108402405333</v>
      </c>
      <c r="T74" s="146">
        <f t="shared" si="187"/>
        <v>8.5985156292323541</v>
      </c>
      <c r="U74" s="146">
        <f t="shared" si="187"/>
        <v>9.1717500045145126</v>
      </c>
      <c r="V74" s="146">
        <f t="shared" si="187"/>
        <v>9.7832000048154804</v>
      </c>
      <c r="W74" s="146">
        <f t="shared" si="187"/>
        <v>10.435413338469848</v>
      </c>
      <c r="X74" s="146">
        <f t="shared" si="187"/>
        <v>11.131107561034506</v>
      </c>
      <c r="Y74" s="146">
        <f t="shared" si="187"/>
        <v>11.873181398436808</v>
      </c>
      <c r="Z74" s="146">
        <f t="shared" si="187"/>
        <v>12.66472682499926</v>
      </c>
      <c r="AA74" s="146">
        <f t="shared" si="187"/>
        <v>13.509041946665876</v>
      </c>
      <c r="AB74" s="146">
        <f t="shared" si="187"/>
        <v>14.409644743110269</v>
      </c>
      <c r="AC74" s="138">
        <f t="shared" si="181"/>
        <v>-5.746714785032192E-3</v>
      </c>
      <c r="AD74" s="31">
        <f t="shared" si="17"/>
        <v>0.05</v>
      </c>
      <c r="AE74" s="146">
        <f t="shared" si="148"/>
        <v>89.000746942739909</v>
      </c>
    </row>
    <row r="75" spans="2:31" x14ac:dyDescent="0.2">
      <c r="B75" s="20" t="s">
        <v>289</v>
      </c>
      <c r="C75" s="127">
        <f t="shared" ref="C75:P75" si="188">C22/C42</f>
        <v>0</v>
      </c>
      <c r="D75" s="127">
        <f t="shared" si="188"/>
        <v>0</v>
      </c>
      <c r="E75" s="127">
        <f t="shared" si="188"/>
        <v>0</v>
      </c>
      <c r="F75" s="144">
        <f t="shared" si="188"/>
        <v>0</v>
      </c>
      <c r="G75" s="144">
        <f t="shared" si="188"/>
        <v>-38.183279742765272</v>
      </c>
      <c r="H75" s="144">
        <f t="shared" si="188"/>
        <v>8.0061585835257887</v>
      </c>
      <c r="I75" s="144">
        <f t="shared" si="188"/>
        <v>-20.975965040058266</v>
      </c>
      <c r="J75" s="144">
        <f t="shared" si="188"/>
        <v>-1.094632768361582</v>
      </c>
      <c r="K75" s="144">
        <f t="shared" si="188"/>
        <v>108.34758809442354</v>
      </c>
      <c r="L75" s="144">
        <f t="shared" si="188"/>
        <v>28.005464480874316</v>
      </c>
      <c r="M75" s="144">
        <f t="shared" si="188"/>
        <v>20.677628300946687</v>
      </c>
      <c r="N75" s="144">
        <f t="shared" si="188"/>
        <v>-18.478975032851512</v>
      </c>
      <c r="O75" s="144">
        <f t="shared" si="188"/>
        <v>16.576841417605749</v>
      </c>
      <c r="P75" s="144">
        <f t="shared" si="188"/>
        <v>-48.59418169998375</v>
      </c>
      <c r="Q75" s="118">
        <f>((P75/G75)^(1/($H$2-$H$1) ))-1</f>
        <v>2.7151631811821453E-2</v>
      </c>
      <c r="R75" s="128"/>
      <c r="S75" s="146">
        <f t="shared" ref="S75:AB75" si="189">S22/S42</f>
        <v>-51.833793813315999</v>
      </c>
      <c r="T75" s="146">
        <f t="shared" si="189"/>
        <v>-55.289380067537067</v>
      </c>
      <c r="U75" s="146">
        <f t="shared" si="189"/>
        <v>-58.97533873870622</v>
      </c>
      <c r="V75" s="146">
        <f t="shared" si="189"/>
        <v>-62.907027987953306</v>
      </c>
      <c r="W75" s="146">
        <f t="shared" si="189"/>
        <v>-67.100829853816876</v>
      </c>
      <c r="X75" s="146">
        <f t="shared" si="189"/>
        <v>-71.574218510738007</v>
      </c>
      <c r="Y75" s="146">
        <f t="shared" si="189"/>
        <v>-76.345833078120549</v>
      </c>
      <c r="Z75" s="146">
        <f t="shared" si="189"/>
        <v>-81.435555283328583</v>
      </c>
      <c r="AA75" s="146">
        <f t="shared" si="189"/>
        <v>-86.864592302217162</v>
      </c>
      <c r="AB75" s="146">
        <f t="shared" si="189"/>
        <v>-92.655565122364976</v>
      </c>
      <c r="AC75" s="138">
        <f t="shared" si="181"/>
        <v>4.7763022601335914E-2</v>
      </c>
      <c r="AD75" s="31">
        <f t="shared" si="17"/>
        <v>0.05</v>
      </c>
      <c r="AE75" s="146">
        <f t="shared" si="148"/>
        <v>-572.28437281460731</v>
      </c>
    </row>
    <row r="76" spans="2:31" x14ac:dyDescent="0.2">
      <c r="B76" s="20" t="s">
        <v>296</v>
      </c>
      <c r="C76" s="127">
        <f t="shared" ref="C76:P76" si="190">C23/C42</f>
        <v>0</v>
      </c>
      <c r="D76" s="127">
        <f t="shared" si="190"/>
        <v>0</v>
      </c>
      <c r="E76" s="127">
        <f t="shared" si="190"/>
        <v>0</v>
      </c>
      <c r="F76" s="144">
        <f t="shared" si="190"/>
        <v>0</v>
      </c>
      <c r="G76" s="144">
        <f t="shared" si="190"/>
        <v>30.14469453376206</v>
      </c>
      <c r="H76" s="144">
        <f t="shared" si="190"/>
        <v>63.741339491916861</v>
      </c>
      <c r="I76" s="144">
        <f t="shared" si="190"/>
        <v>42.46176256372906</v>
      </c>
      <c r="J76" s="144">
        <f t="shared" si="190"/>
        <v>38.629943502824858</v>
      </c>
      <c r="K76" s="144">
        <f t="shared" si="190"/>
        <v>33.014026684912757</v>
      </c>
      <c r="L76" s="144">
        <f t="shared" si="190"/>
        <v>13.234289617486338</v>
      </c>
      <c r="M76" s="144">
        <f t="shared" si="190"/>
        <v>23.766816143497756</v>
      </c>
      <c r="N76" s="144">
        <f t="shared" si="190"/>
        <v>28.416557161629434</v>
      </c>
      <c r="O76" s="144">
        <f t="shared" si="190"/>
        <v>31.112199902008822</v>
      </c>
      <c r="P76" s="144">
        <f t="shared" si="190"/>
        <v>24.297090849991875</v>
      </c>
      <c r="Q76" s="118">
        <f>((P76/G76)^(1/($H$2-$H$1) ))-1</f>
        <v>-2.3676573816179491E-2</v>
      </c>
      <c r="R76" s="128"/>
      <c r="S76" s="146">
        <f t="shared" ref="S76:AB76" si="191">S23/S42</f>
        <v>25.916896906658</v>
      </c>
      <c r="T76" s="146">
        <f t="shared" si="191"/>
        <v>27.644690033768534</v>
      </c>
      <c r="U76" s="146">
        <f t="shared" si="191"/>
        <v>29.48766936935311</v>
      </c>
      <c r="V76" s="146">
        <f t="shared" si="191"/>
        <v>31.453513993976653</v>
      </c>
      <c r="W76" s="146">
        <f t="shared" si="191"/>
        <v>33.550414926908438</v>
      </c>
      <c r="X76" s="146">
        <f t="shared" si="191"/>
        <v>35.787109255369003</v>
      </c>
      <c r="Y76" s="146">
        <f t="shared" si="191"/>
        <v>38.172916539060274</v>
      </c>
      <c r="Z76" s="146">
        <f t="shared" si="191"/>
        <v>40.717777641664291</v>
      </c>
      <c r="AA76" s="146">
        <f t="shared" si="191"/>
        <v>43.432296151108581</v>
      </c>
      <c r="AB76" s="146">
        <f t="shared" si="191"/>
        <v>46.327782561182488</v>
      </c>
      <c r="AC76" s="138">
        <f t="shared" ref="AC76" si="192">((AB76/G76)^(1/($AB$3-$H$1) ))-1</f>
        <v>2.2875236356612705E-2</v>
      </c>
      <c r="AD76" s="31">
        <f t="shared" si="17"/>
        <v>0.05</v>
      </c>
      <c r="AE76" s="146">
        <f t="shared" si="148"/>
        <v>286.14218640730365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193">C36/C42</f>
        <v>0</v>
      </c>
      <c r="D78" s="144">
        <f t="shared" si="193"/>
        <v>0</v>
      </c>
      <c r="E78" s="144">
        <f t="shared" si="193"/>
        <v>0</v>
      </c>
      <c r="F78" s="144">
        <f t="shared" si="193"/>
        <v>0</v>
      </c>
      <c r="G78" s="144">
        <f t="shared" si="193"/>
        <v>62.942122186495176</v>
      </c>
      <c r="H78" s="144">
        <f t="shared" si="193"/>
        <v>109.93071593533487</v>
      </c>
      <c r="I78" s="144">
        <f t="shared" si="193"/>
        <v>135.10560815731972</v>
      </c>
      <c r="J78" s="144">
        <f t="shared" si="193"/>
        <v>103.28389830508475</v>
      </c>
      <c r="K78" s="144">
        <f t="shared" si="193"/>
        <v>146.66438590489224</v>
      </c>
      <c r="L78" s="144">
        <f t="shared" si="193"/>
        <v>100.68306010928961</v>
      </c>
      <c r="M78" s="144">
        <f t="shared" si="193"/>
        <v>121.00979903670486</v>
      </c>
      <c r="N78" s="144">
        <f t="shared" si="193"/>
        <v>127.56241787122207</v>
      </c>
      <c r="O78" s="144">
        <f t="shared" si="193"/>
        <v>143.21411073003429</v>
      </c>
      <c r="P78" s="144">
        <f t="shared" si="193"/>
        <v>160.23078173248823</v>
      </c>
      <c r="Q78" s="118">
        <f>((P78/G78)^(1/($H$2-$H$1) ))-1</f>
        <v>0.10940315506312781</v>
      </c>
      <c r="R78" s="128"/>
      <c r="S78" s="144">
        <f t="shared" ref="S78:AB78" si="194">S36/S42</f>
        <v>170.91283384798746</v>
      </c>
      <c r="T78" s="144">
        <f t="shared" si="194"/>
        <v>182.30702277118664</v>
      </c>
      <c r="U78" s="144">
        <f t="shared" si="194"/>
        <v>194.46082428926576</v>
      </c>
      <c r="V78" s="144">
        <f t="shared" si="194"/>
        <v>207.4248792418835</v>
      </c>
      <c r="W78" s="144">
        <f t="shared" si="194"/>
        <v>221.25320452467574</v>
      </c>
      <c r="X78" s="144">
        <f t="shared" si="194"/>
        <v>236.00341815965416</v>
      </c>
      <c r="Y78" s="144">
        <f t="shared" si="194"/>
        <v>251.7369793702978</v>
      </c>
      <c r="Z78" s="144">
        <f t="shared" si="194"/>
        <v>268.51944466165099</v>
      </c>
      <c r="AA78" s="144">
        <f t="shared" si="194"/>
        <v>286.42074097242772</v>
      </c>
      <c r="AB78" s="144">
        <f t="shared" si="194"/>
        <v>305.51545703725628</v>
      </c>
      <c r="AC78" s="138">
        <f t="shared" ref="AC78:AC80" si="195">((AB78/G78)^(1/($AB$3-$H$1) ))-1</f>
        <v>8.6701070907452271E-2</v>
      </c>
      <c r="AD78" s="31">
        <f t="shared" si="17"/>
        <v>0.05</v>
      </c>
      <c r="AE78" s="146">
        <f t="shared" si="148"/>
        <v>1887.0072346418772</v>
      </c>
    </row>
    <row r="79" spans="2:31" x14ac:dyDescent="0.2">
      <c r="B79" s="20" t="s">
        <v>312</v>
      </c>
      <c r="C79" s="144">
        <f t="shared" ref="C79:P79" si="196">C40/C42</f>
        <v>0</v>
      </c>
      <c r="D79" s="144">
        <f t="shared" si="196"/>
        <v>0</v>
      </c>
      <c r="E79" s="144">
        <f t="shared" si="196"/>
        <v>0</v>
      </c>
      <c r="F79" s="144">
        <f t="shared" si="196"/>
        <v>0</v>
      </c>
      <c r="G79" s="144">
        <f t="shared" si="196"/>
        <v>61.09324758842444</v>
      </c>
      <c r="H79" s="144">
        <f t="shared" si="196"/>
        <v>86.220169361046956</v>
      </c>
      <c r="I79" s="144">
        <f t="shared" si="196"/>
        <v>93.954843408594314</v>
      </c>
      <c r="J79" s="144">
        <f t="shared" si="196"/>
        <v>79.837570621468927</v>
      </c>
      <c r="K79" s="144">
        <f t="shared" si="196"/>
        <v>77.215189873417714</v>
      </c>
      <c r="L79" s="144">
        <f t="shared" si="196"/>
        <v>50.102459016393439</v>
      </c>
      <c r="M79" s="144">
        <f t="shared" si="196"/>
        <v>90.383657199800695</v>
      </c>
      <c r="N79" s="144">
        <f t="shared" si="196"/>
        <v>73.045335085413925</v>
      </c>
      <c r="O79" s="144">
        <f t="shared" si="196"/>
        <v>76.465784746039532</v>
      </c>
      <c r="P79" s="144">
        <f t="shared" si="196"/>
        <v>85.145457500406309</v>
      </c>
      <c r="Q79" s="118">
        <f>((P79/G79)^(1/($H$2-$H$1) ))-1</f>
        <v>3.7573083449375488E-2</v>
      </c>
      <c r="R79" s="128"/>
      <c r="S79" s="144">
        <f t="shared" ref="S79:AB79" si="197">S40/S42</f>
        <v>90.821821333766735</v>
      </c>
      <c r="T79" s="144">
        <f t="shared" si="197"/>
        <v>96.87660942268451</v>
      </c>
      <c r="U79" s="144">
        <f t="shared" si="197"/>
        <v>103.33505005086349</v>
      </c>
      <c r="V79" s="144">
        <f t="shared" si="197"/>
        <v>110.22405338758773</v>
      </c>
      <c r="W79" s="144">
        <f t="shared" si="197"/>
        <v>117.57232361342693</v>
      </c>
      <c r="X79" s="144">
        <f t="shared" si="197"/>
        <v>125.41047852098873</v>
      </c>
      <c r="Y79" s="144">
        <f t="shared" si="197"/>
        <v>133.77117708905467</v>
      </c>
      <c r="Z79" s="144">
        <f t="shared" si="197"/>
        <v>142.68925556165831</v>
      </c>
      <c r="AA79" s="144">
        <f t="shared" si="197"/>
        <v>152.20187259910222</v>
      </c>
      <c r="AB79" s="144">
        <f t="shared" si="197"/>
        <v>162.34866410570902</v>
      </c>
      <c r="AC79" s="138">
        <f t="shared" si="195"/>
        <v>5.2785181881823906E-2</v>
      </c>
      <c r="AD79" s="31">
        <f t="shared" si="17"/>
        <v>0.05</v>
      </c>
      <c r="AE79" s="146">
        <f t="shared" si="148"/>
        <v>1002.7417488882029</v>
      </c>
    </row>
    <row r="80" spans="2:31" x14ac:dyDescent="0.2">
      <c r="B80" s="20" t="s">
        <v>313</v>
      </c>
      <c r="C80" s="144">
        <f t="shared" ref="C80:P80" si="198">C6/C42</f>
        <v>0</v>
      </c>
      <c r="D80" s="144">
        <f t="shared" si="198"/>
        <v>0</v>
      </c>
      <c r="E80" s="144">
        <f t="shared" si="198"/>
        <v>0</v>
      </c>
      <c r="F80" s="144">
        <f t="shared" si="198"/>
        <v>0</v>
      </c>
      <c r="G80" s="144">
        <f t="shared" si="198"/>
        <v>210.77170418006432</v>
      </c>
      <c r="H80" s="144">
        <f t="shared" si="198"/>
        <v>248.65280985373363</v>
      </c>
      <c r="I80" s="144">
        <f t="shared" si="198"/>
        <v>354.84340859431899</v>
      </c>
      <c r="J80" s="144">
        <f t="shared" si="198"/>
        <v>241.38418079096044</v>
      </c>
      <c r="K80" s="144">
        <f t="shared" si="198"/>
        <v>367.63599042080057</v>
      </c>
      <c r="L80" s="144">
        <f t="shared" si="198"/>
        <v>231.64275956284152</v>
      </c>
      <c r="M80" s="144">
        <f t="shared" si="198"/>
        <v>340.30891878425513</v>
      </c>
      <c r="N80" s="144">
        <f t="shared" si="198"/>
        <v>402.66097240473061</v>
      </c>
      <c r="O80" s="144">
        <f t="shared" si="198"/>
        <v>477.93565245794548</v>
      </c>
      <c r="P80" s="144">
        <f t="shared" si="198"/>
        <v>548.28538924102065</v>
      </c>
      <c r="Q80" s="118">
        <f>((P80/G80)^(1/($H$2-$H$1) ))-1</f>
        <v>0.11207149095009616</v>
      </c>
      <c r="R80" s="128"/>
      <c r="S80" s="144">
        <f t="shared" ref="S80:AB80" si="199">S6/S42</f>
        <v>584.83774852375552</v>
      </c>
      <c r="T80" s="144">
        <f t="shared" si="199"/>
        <v>623.82693175867257</v>
      </c>
      <c r="U80" s="144">
        <f t="shared" si="199"/>
        <v>665.41539387591752</v>
      </c>
      <c r="V80" s="144">
        <f t="shared" si="199"/>
        <v>709.77642013431205</v>
      </c>
      <c r="W80" s="144">
        <f t="shared" si="199"/>
        <v>757.09484814326629</v>
      </c>
      <c r="X80" s="144">
        <f t="shared" si="199"/>
        <v>807.56783801948416</v>
      </c>
      <c r="Y80" s="144">
        <f t="shared" si="199"/>
        <v>861.40569388744984</v>
      </c>
      <c r="Z80" s="144">
        <f t="shared" si="199"/>
        <v>918.83274014661322</v>
      </c>
      <c r="AA80" s="144">
        <f t="shared" si="199"/>
        <v>980.08825615638739</v>
      </c>
      <c r="AB80" s="144">
        <f t="shared" si="199"/>
        <v>1045.4274732334798</v>
      </c>
      <c r="AC80" s="138">
        <f t="shared" si="195"/>
        <v>8.7938372202824855E-2</v>
      </c>
      <c r="AD80" s="31">
        <f t="shared" ref="AD80" si="200">$L$1</f>
        <v>0.05</v>
      </c>
      <c r="AE80" s="146">
        <f t="shared" si="148"/>
        <v>6457.052040559729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01">E36/E25</f>
        <v>#DIV/0!</v>
      </c>
      <c r="F84" s="152" t="e">
        <f t="shared" si="201"/>
        <v>#DIV/0!</v>
      </c>
      <c r="G84" s="152">
        <f t="shared" si="201"/>
        <v>6.5931289996631864E-2</v>
      </c>
      <c r="H84" s="152">
        <f t="shared" si="201"/>
        <v>9.4425709184685583E-2</v>
      </c>
      <c r="I84" s="152">
        <f t="shared" si="201"/>
        <v>0.10938144937791143</v>
      </c>
      <c r="J84" s="152">
        <f t="shared" si="201"/>
        <v>0.13557358053302435</v>
      </c>
      <c r="K84" s="152">
        <f t="shared" si="201"/>
        <v>0.13957804258644266</v>
      </c>
      <c r="L84" s="152">
        <f t="shared" si="201"/>
        <v>0.13993117360863891</v>
      </c>
      <c r="M84" s="152">
        <f t="shared" si="201"/>
        <v>0.15750789052704398</v>
      </c>
      <c r="N84" s="152">
        <f t="shared" si="201"/>
        <v>0.14577193805725011</v>
      </c>
      <c r="O84" s="152">
        <f t="shared" si="201"/>
        <v>0.13323710400364658</v>
      </c>
      <c r="P84" s="152">
        <f t="shared" si="201"/>
        <v>0.12719649077538381</v>
      </c>
      <c r="Q84" s="118">
        <f t="shared" ref="Q84:Q134" si="202">((P84/G84)^(1/($H$2-$H$1) ))-1</f>
        <v>7.574487090354376E-2</v>
      </c>
      <c r="R84" s="152"/>
      <c r="S84" s="152">
        <f t="shared" ref="S84:AB84" si="203">S36/S25</f>
        <v>0.12719649077538384</v>
      </c>
      <c r="T84" s="152">
        <f t="shared" si="203"/>
        <v>0.12719649077538384</v>
      </c>
      <c r="U84" s="152">
        <f t="shared" si="203"/>
        <v>0.12719649077538384</v>
      </c>
      <c r="V84" s="152">
        <f t="shared" si="203"/>
        <v>0.12719649077538384</v>
      </c>
      <c r="W84" s="152">
        <f t="shared" si="203"/>
        <v>0.12719649077538381</v>
      </c>
      <c r="X84" s="152">
        <f t="shared" si="203"/>
        <v>0.12719649077538381</v>
      </c>
      <c r="Y84" s="152">
        <f t="shared" si="203"/>
        <v>0.12719649077538384</v>
      </c>
      <c r="Z84" s="152">
        <f t="shared" si="203"/>
        <v>0.12719649077538384</v>
      </c>
      <c r="AA84" s="152">
        <f t="shared" si="203"/>
        <v>0.12719649077538384</v>
      </c>
      <c r="AB84" s="152">
        <f t="shared" si="203"/>
        <v>0.12719649077538384</v>
      </c>
      <c r="AC84" s="138">
        <f t="shared" ref="AC84:AC121" si="204">((AB84/G84)^(1/($AB$3-$H$1) ))-1</f>
        <v>3.5190284021633378E-2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05">E40/E25</f>
        <v>#DIV/0!</v>
      </c>
      <c r="F85" s="152" t="e">
        <f t="shared" si="205"/>
        <v>#DIV/0!</v>
      </c>
      <c r="G85" s="152">
        <f t="shared" si="205"/>
        <v>6.3994610980127986E-2</v>
      </c>
      <c r="H85" s="152">
        <f t="shared" si="205"/>
        <v>7.4059379752694568E-2</v>
      </c>
      <c r="I85" s="152">
        <f t="shared" si="205"/>
        <v>7.6065805766849459E-2</v>
      </c>
      <c r="J85" s="152">
        <f t="shared" si="205"/>
        <v>0.10479721900347624</v>
      </c>
      <c r="K85" s="152">
        <f t="shared" si="205"/>
        <v>7.3484404506088424E-2</v>
      </c>
      <c r="L85" s="152">
        <f t="shared" si="205"/>
        <v>6.9633321466714138E-2</v>
      </c>
      <c r="M85" s="152">
        <f t="shared" si="205"/>
        <v>0.11764451554325739</v>
      </c>
      <c r="N85" s="152">
        <f t="shared" si="205"/>
        <v>8.3472548099483804E-2</v>
      </c>
      <c r="O85" s="152">
        <f t="shared" si="205"/>
        <v>7.1138798146319224E-2</v>
      </c>
      <c r="P85" s="152">
        <f t="shared" si="205"/>
        <v>6.7591278544703912E-2</v>
      </c>
      <c r="Q85" s="118">
        <f t="shared" si="202"/>
        <v>6.0940584261521824E-3</v>
      </c>
      <c r="R85" s="152"/>
      <c r="S85" s="152">
        <f t="shared" ref="S85:AB85" si="206">S40/S25</f>
        <v>6.7591278544703898E-2</v>
      </c>
      <c r="T85" s="152">
        <f t="shared" si="206"/>
        <v>6.7591278544703898E-2</v>
      </c>
      <c r="U85" s="152">
        <f t="shared" si="206"/>
        <v>6.7591278544703898E-2</v>
      </c>
      <c r="V85" s="152">
        <f t="shared" si="206"/>
        <v>6.7591278544703898E-2</v>
      </c>
      <c r="W85" s="152">
        <f t="shared" si="206"/>
        <v>6.7591278544703898E-2</v>
      </c>
      <c r="X85" s="152">
        <f t="shared" si="206"/>
        <v>6.7591278544703898E-2</v>
      </c>
      <c r="Y85" s="152">
        <f t="shared" si="206"/>
        <v>6.7591278544703898E-2</v>
      </c>
      <c r="Z85" s="152">
        <f t="shared" si="206"/>
        <v>6.7591278544703898E-2</v>
      </c>
      <c r="AA85" s="152">
        <f t="shared" si="206"/>
        <v>6.7591278544703898E-2</v>
      </c>
      <c r="AB85" s="152">
        <f t="shared" si="206"/>
        <v>6.7591278544703898E-2</v>
      </c>
      <c r="AC85" s="138">
        <f t="shared" si="204"/>
        <v>2.8820442184203099E-3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07">E40/E7</f>
        <v>#DIV/0!</v>
      </c>
      <c r="F86" s="152" t="e">
        <f t="shared" si="207"/>
        <v>#DIV/0!</v>
      </c>
      <c r="G86" s="152">
        <f>G40/G7</f>
        <v>0.28711749149981108</v>
      </c>
      <c r="H86" s="152">
        <f t="shared" si="207"/>
        <v>0.33785822021116141</v>
      </c>
      <c r="I86" s="152">
        <f t="shared" si="207"/>
        <v>0.25987107171635776</v>
      </c>
      <c r="J86" s="152">
        <f t="shared" si="207"/>
        <v>0.32668689495737613</v>
      </c>
      <c r="K86" s="152">
        <f t="shared" si="207"/>
        <v>0.20838334410488413</v>
      </c>
      <c r="L86" s="152">
        <f t="shared" si="207"/>
        <v>0.20976621148209051</v>
      </c>
      <c r="M86" s="152">
        <f t="shared" si="207"/>
        <v>0.25925396598542233</v>
      </c>
      <c r="N86" s="152">
        <f t="shared" si="207"/>
        <v>0.1775249500998004</v>
      </c>
      <c r="O86" s="152">
        <f t="shared" si="207"/>
        <v>0.15932757095215408</v>
      </c>
      <c r="P86" s="152">
        <f t="shared" ref="P86" si="208">P40/P7</f>
        <v>0.15472990932986799</v>
      </c>
      <c r="Q86" s="118">
        <f t="shared" si="202"/>
        <v>-6.6383988771587021E-2</v>
      </c>
      <c r="R86" s="20"/>
      <c r="S86" s="152">
        <f t="shared" ref="S86" si="209">S40/S7</f>
        <v>0.15472990932986799</v>
      </c>
      <c r="T86" s="152">
        <f t="shared" ref="T86:AB86" si="210">T40/T7</f>
        <v>0.15472990932986797</v>
      </c>
      <c r="U86" s="152">
        <f t="shared" si="210"/>
        <v>0.15472990932986797</v>
      </c>
      <c r="V86" s="152">
        <f t="shared" si="210"/>
        <v>0.15472990932986797</v>
      </c>
      <c r="W86" s="152">
        <f t="shared" si="210"/>
        <v>0.15472990932986797</v>
      </c>
      <c r="X86" s="152">
        <f t="shared" si="210"/>
        <v>0.15472990932986799</v>
      </c>
      <c r="Y86" s="152">
        <f t="shared" si="210"/>
        <v>0.15472990932986799</v>
      </c>
      <c r="Z86" s="152">
        <f t="shared" si="210"/>
        <v>0.15472990932986799</v>
      </c>
      <c r="AA86" s="152">
        <f t="shared" si="210"/>
        <v>0.15472990932986797</v>
      </c>
      <c r="AB86" s="152">
        <f t="shared" si="210"/>
        <v>0.15472990932986797</v>
      </c>
      <c r="AC86" s="138">
        <f t="shared" si="204"/>
        <v>-3.2013745049883857E-2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11">(E40)/(E7+E10)</f>
        <v>#DIV/0!</v>
      </c>
      <c r="F87" s="152" t="e">
        <f t="shared" si="211"/>
        <v>#DIV/0!</v>
      </c>
      <c r="G87" s="152">
        <f>(G40)/(G7+G10)</f>
        <v>0.14032496307237813</v>
      </c>
      <c r="H87" s="152">
        <f t="shared" ref="H87:O87" si="212">(H40)/(H7+H10)</f>
        <v>0.16548463356973994</v>
      </c>
      <c r="I87" s="152">
        <f t="shared" si="212"/>
        <v>0.15244623020562514</v>
      </c>
      <c r="J87" s="152">
        <f t="shared" si="212"/>
        <v>0.16932524526323672</v>
      </c>
      <c r="K87" s="152">
        <f t="shared" si="212"/>
        <v>9.7511449062472999E-2</v>
      </c>
      <c r="L87" s="152">
        <f t="shared" si="212"/>
        <v>8.5397444480018625E-2</v>
      </c>
      <c r="M87" s="152">
        <f t="shared" si="212"/>
        <v>0.11934733979560506</v>
      </c>
      <c r="N87" s="152">
        <f t="shared" si="212"/>
        <v>7.1277448309023883E-2</v>
      </c>
      <c r="O87" s="152">
        <f t="shared" si="212"/>
        <v>5.8169439302264904E-2</v>
      </c>
      <c r="P87" s="152">
        <f t="shared" ref="P87" si="213">(P40)/(P7+P10)</f>
        <v>5.6637225543507641E-2</v>
      </c>
      <c r="Q87" s="118">
        <f t="shared" si="202"/>
        <v>-9.5895648896130337E-2</v>
      </c>
      <c r="R87" s="20"/>
      <c r="S87" s="152">
        <f t="shared" ref="S87:AB87" si="214">(S40)/(S7+S10)</f>
        <v>5.6637225543507634E-2</v>
      </c>
      <c r="T87" s="152">
        <f t="shared" si="214"/>
        <v>5.6637225543507634E-2</v>
      </c>
      <c r="U87" s="152">
        <f t="shared" si="214"/>
        <v>5.6637225543507634E-2</v>
      </c>
      <c r="V87" s="152">
        <f t="shared" si="214"/>
        <v>5.6637225543507627E-2</v>
      </c>
      <c r="W87" s="152">
        <f t="shared" si="214"/>
        <v>5.6637225543507641E-2</v>
      </c>
      <c r="X87" s="152">
        <f t="shared" si="214"/>
        <v>5.6637225543507634E-2</v>
      </c>
      <c r="Y87" s="152">
        <f t="shared" si="214"/>
        <v>5.6637225543507641E-2</v>
      </c>
      <c r="Z87" s="152">
        <f t="shared" si="214"/>
        <v>5.6637225543507641E-2</v>
      </c>
      <c r="AA87" s="152">
        <f t="shared" si="214"/>
        <v>5.6637225543507634E-2</v>
      </c>
      <c r="AB87" s="152">
        <f t="shared" si="214"/>
        <v>5.6637225543507634E-2</v>
      </c>
      <c r="AC87" s="138">
        <f t="shared" si="204"/>
        <v>-4.6630129247869911E-2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>
        <f>G20/G25</f>
        <v>2.7787133715055576E-2</v>
      </c>
      <c r="H88" s="152">
        <f t="shared" ref="H88:P88" si="215">H20/H25</f>
        <v>7.4059379752694568E-3</v>
      </c>
      <c r="I88" s="152">
        <f t="shared" si="215"/>
        <v>8.0724099298307678E-2</v>
      </c>
      <c r="J88" s="152">
        <f t="shared" si="215"/>
        <v>9.8725376593279263E-2</v>
      </c>
      <c r="K88" s="152">
        <f t="shared" si="215"/>
        <v>6.3326170476004431E-2</v>
      </c>
      <c r="L88" s="152">
        <f t="shared" si="215"/>
        <v>3.5077726355761243E-2</v>
      </c>
      <c r="M88" s="152">
        <f t="shared" si="215"/>
        <v>0.11850923083574733</v>
      </c>
      <c r="N88" s="152">
        <f t="shared" si="215"/>
        <v>7.194744251525105E-2</v>
      </c>
      <c r="O88" s="152">
        <f t="shared" si="215"/>
        <v>1.6424827167059182E-2</v>
      </c>
      <c r="P88" s="152">
        <f t="shared" si="215"/>
        <v>2.7273900141917173E-2</v>
      </c>
      <c r="Q88" s="118">
        <f t="shared" si="202"/>
        <v>-2.0692884447915949E-3</v>
      </c>
      <c r="R88" s="20"/>
      <c r="S88" s="152">
        <f t="shared" ref="S88:AB88" si="216">S20/S25</f>
        <v>2.7273900141917173E-2</v>
      </c>
      <c r="T88" s="152">
        <f t="shared" si="216"/>
        <v>2.7273900141917173E-2</v>
      </c>
      <c r="U88" s="152">
        <f t="shared" si="216"/>
        <v>2.7273900141917173E-2</v>
      </c>
      <c r="V88" s="152">
        <f t="shared" si="216"/>
        <v>2.7273900141917169E-2</v>
      </c>
      <c r="W88" s="152">
        <f t="shared" si="216"/>
        <v>2.7273900141917169E-2</v>
      </c>
      <c r="X88" s="152">
        <f t="shared" si="216"/>
        <v>2.7273900141917169E-2</v>
      </c>
      <c r="Y88" s="152">
        <f t="shared" si="216"/>
        <v>2.7273900141917169E-2</v>
      </c>
      <c r="Z88" s="152">
        <f t="shared" si="216"/>
        <v>2.7273900141917169E-2</v>
      </c>
      <c r="AA88" s="152">
        <f t="shared" si="216"/>
        <v>2.7273900141917169E-2</v>
      </c>
      <c r="AB88" s="152">
        <f t="shared" si="216"/>
        <v>2.7273900141917173E-2</v>
      </c>
      <c r="AC88" s="138">
        <f t="shared" si="204"/>
        <v>-9.8072358766210233E-4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>
        <f>G29/G25</f>
        <v>7.325698888514651E-3</v>
      </c>
      <c r="H90" s="152">
        <f t="shared" ref="H90:P90" si="217">H29/H25</f>
        <v>2.1688818356146267E-2</v>
      </c>
      <c r="I90" s="152">
        <f t="shared" si="217"/>
        <v>2.2524913025532167E-2</v>
      </c>
      <c r="J90" s="152">
        <f t="shared" si="217"/>
        <v>2.2665121668597913E-2</v>
      </c>
      <c r="K90" s="152">
        <f t="shared" si="217"/>
        <v>2.9856091684573809E-2</v>
      </c>
      <c r="L90" s="152">
        <f t="shared" si="217"/>
        <v>3.7640916103002256E-2</v>
      </c>
      <c r="M90" s="152">
        <f t="shared" si="217"/>
        <v>4.0425439923905057E-2</v>
      </c>
      <c r="N90" s="152">
        <f t="shared" si="217"/>
        <v>1.5579540122008446E-2</v>
      </c>
      <c r="O90" s="152">
        <f t="shared" si="217"/>
        <v>1.6728709260806808E-2</v>
      </c>
      <c r="P90" s="152">
        <f t="shared" si="217"/>
        <v>2.7028770481228228E-2</v>
      </c>
      <c r="Q90" s="118">
        <f t="shared" si="202"/>
        <v>0.15610550626274899</v>
      </c>
      <c r="R90" s="20"/>
      <c r="S90" s="152">
        <f t="shared" ref="S90:AB90" si="218">S29/S25</f>
        <v>2.7028770481228225E-2</v>
      </c>
      <c r="T90" s="152">
        <f t="shared" si="218"/>
        <v>2.7028770481228225E-2</v>
      </c>
      <c r="U90" s="152">
        <f t="shared" si="218"/>
        <v>2.7028770481228225E-2</v>
      </c>
      <c r="V90" s="152">
        <f t="shared" si="218"/>
        <v>2.7028770481228228E-2</v>
      </c>
      <c r="W90" s="152">
        <f t="shared" si="218"/>
        <v>2.7028770481228225E-2</v>
      </c>
      <c r="X90" s="152">
        <f t="shared" si="218"/>
        <v>2.7028770481228225E-2</v>
      </c>
      <c r="Y90" s="152">
        <f t="shared" si="218"/>
        <v>2.7028770481228228E-2</v>
      </c>
      <c r="Z90" s="152">
        <f t="shared" si="218"/>
        <v>2.7028770481228228E-2</v>
      </c>
      <c r="AA90" s="152">
        <f t="shared" si="218"/>
        <v>2.7028770481228228E-2</v>
      </c>
      <c r="AB90" s="152">
        <f t="shared" si="218"/>
        <v>2.7028770481228228E-2</v>
      </c>
      <c r="AC90" s="138">
        <f t="shared" si="204"/>
        <v>7.1126851817408632E-2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0.1111111111111111</v>
      </c>
      <c r="H91" s="152">
        <f t="shared" ref="H91:P91" si="219">H29/H36</f>
        <v>0.22969187675070027</v>
      </c>
      <c r="I91" s="152">
        <f t="shared" si="219"/>
        <v>0.20592991913746631</v>
      </c>
      <c r="J91" s="152">
        <f t="shared" si="219"/>
        <v>0.16717948717948719</v>
      </c>
      <c r="K91" s="152">
        <f t="shared" si="219"/>
        <v>0.21390249591789129</v>
      </c>
      <c r="L91" s="152">
        <f t="shared" si="219"/>
        <v>0.26899592944369066</v>
      </c>
      <c r="M91" s="152">
        <f t="shared" si="219"/>
        <v>0.25665660170189403</v>
      </c>
      <c r="N91" s="152">
        <f t="shared" si="219"/>
        <v>0.10687612670615504</v>
      </c>
      <c r="O91" s="152">
        <f t="shared" si="219"/>
        <v>0.12555593568251797</v>
      </c>
      <c r="P91" s="152">
        <f t="shared" si="219"/>
        <v>0.21249619636880007</v>
      </c>
      <c r="Q91" s="118">
        <f t="shared" ref="Q91" si="220">((P91/G91)^(1/($H$2-$H$1) ))-1</f>
        <v>7.470231793130333E-2</v>
      </c>
      <c r="R91" s="20"/>
      <c r="S91" s="152">
        <f t="shared" ref="S91:AB91" si="221">S29/S36</f>
        <v>0.21249619636880004</v>
      </c>
      <c r="T91" s="152">
        <f t="shared" si="221"/>
        <v>0.21249619636880004</v>
      </c>
      <c r="U91" s="152">
        <f t="shared" si="221"/>
        <v>0.21249619636880004</v>
      </c>
      <c r="V91" s="152">
        <f t="shared" si="221"/>
        <v>0.21249619636880004</v>
      </c>
      <c r="W91" s="152">
        <f t="shared" si="221"/>
        <v>0.21249619636880007</v>
      </c>
      <c r="X91" s="152">
        <f t="shared" si="221"/>
        <v>0.21249619636880007</v>
      </c>
      <c r="Y91" s="152">
        <f t="shared" si="221"/>
        <v>0.21249619636880007</v>
      </c>
      <c r="Z91" s="152">
        <f t="shared" si="221"/>
        <v>0.21249619636880007</v>
      </c>
      <c r="AA91" s="152">
        <f t="shared" si="221"/>
        <v>0.21249619636880004</v>
      </c>
      <c r="AB91" s="152">
        <f t="shared" si="221"/>
        <v>0.21249619636880007</v>
      </c>
      <c r="AC91" s="138">
        <f t="shared" ref="AC91" si="222">((AB91/G91)^(1/($AB$3-$H$1) ))-1</f>
        <v>3.4714939224665509E-2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 t="shared" ref="G92:P92" si="223">G29/G40</f>
        <v>0.11447368421052631</v>
      </c>
      <c r="H92" s="171">
        <f t="shared" si="223"/>
        <v>0.29285714285714287</v>
      </c>
      <c r="I92" s="171">
        <f t="shared" si="223"/>
        <v>0.29612403100775192</v>
      </c>
      <c r="J92" s="171">
        <f t="shared" si="223"/>
        <v>0.21627598407784165</v>
      </c>
      <c r="K92" s="171">
        <f t="shared" si="223"/>
        <v>0.40629153743907842</v>
      </c>
      <c r="L92" s="171">
        <f t="shared" si="223"/>
        <v>0.54055896387184732</v>
      </c>
      <c r="M92" s="171">
        <f t="shared" si="223"/>
        <v>0.3436236677692025</v>
      </c>
      <c r="N92" s="171">
        <f t="shared" si="223"/>
        <v>0.18664268045873622</v>
      </c>
      <c r="O92" s="171">
        <f t="shared" si="223"/>
        <v>0.23515591627509611</v>
      </c>
      <c r="P92" s="171">
        <f t="shared" si="223"/>
        <v>0.39988547432716165</v>
      </c>
      <c r="Q92" s="118">
        <f t="shared" ref="Q92" si="224">((P92/G92)^(1/($H$2-$H$1) ))-1</f>
        <v>0.14910280662154185</v>
      </c>
      <c r="R92" s="20"/>
      <c r="S92" s="171">
        <f t="shared" ref="S92:AB92" si="225">S29/S40</f>
        <v>0.39988547432716165</v>
      </c>
      <c r="T92" s="171">
        <f t="shared" si="225"/>
        <v>0.39988547432716165</v>
      </c>
      <c r="U92" s="171">
        <f t="shared" si="225"/>
        <v>0.39988547432716171</v>
      </c>
      <c r="V92" s="171">
        <f t="shared" si="225"/>
        <v>0.39988547432716171</v>
      </c>
      <c r="W92" s="171">
        <f t="shared" si="225"/>
        <v>0.39988547432716171</v>
      </c>
      <c r="X92" s="171">
        <f t="shared" si="225"/>
        <v>0.39988547432716171</v>
      </c>
      <c r="Y92" s="171">
        <f t="shared" si="225"/>
        <v>0.39988547432716176</v>
      </c>
      <c r="Z92" s="171">
        <f t="shared" si="225"/>
        <v>0.39988547432716171</v>
      </c>
      <c r="AA92" s="171">
        <f t="shared" si="225"/>
        <v>0.39988547432716171</v>
      </c>
      <c r="AB92" s="171">
        <f t="shared" si="225"/>
        <v>0.39988547432716171</v>
      </c>
      <c r="AC92" s="138">
        <f t="shared" ref="AC92" si="226">((AB92/G92)^(1/($AB$3-$H$1) ))-1</f>
        <v>6.8048688270387458E-2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>
        <f t="shared" ref="G93:P93" si="227">G29/G12</f>
        <v>0.16201117318435754</v>
      </c>
      <c r="H93" s="171">
        <f t="shared" si="227"/>
        <v>0.33164812942366029</v>
      </c>
      <c r="I93" s="171">
        <f t="shared" si="227"/>
        <v>0.46871165644171781</v>
      </c>
      <c r="J93" s="171">
        <f t="shared" si="227"/>
        <v>0.28479906814210831</v>
      </c>
      <c r="K93" s="171">
        <f t="shared" si="227"/>
        <v>0.58782051282051284</v>
      </c>
      <c r="L93" s="171">
        <f t="shared" si="227"/>
        <v>1.0877914951989025</v>
      </c>
      <c r="M93" s="171">
        <f t="shared" si="227"/>
        <v>0.5630834086118639</v>
      </c>
      <c r="N93" s="171">
        <f t="shared" si="227"/>
        <v>0.22770919067215364</v>
      </c>
      <c r="O93" s="171">
        <f t="shared" si="227"/>
        <v>0.31260647359454857</v>
      </c>
      <c r="P93" s="171">
        <f t="shared" si="227"/>
        <v>0.57697603965849631</v>
      </c>
      <c r="Q93" s="118">
        <f t="shared" si="202"/>
        <v>0.15156992047202023</v>
      </c>
      <c r="R93" s="20"/>
      <c r="S93" s="152">
        <f t="shared" ref="S93:AB93" si="228">S29/S12</f>
        <v>0.57697603965849631</v>
      </c>
      <c r="T93" s="152">
        <f t="shared" si="228"/>
        <v>0.57697603965849631</v>
      </c>
      <c r="U93" s="152">
        <f t="shared" si="228"/>
        <v>0.57697603965849631</v>
      </c>
      <c r="V93" s="152">
        <f t="shared" si="228"/>
        <v>0.57697603965849631</v>
      </c>
      <c r="W93" s="152">
        <f t="shared" si="228"/>
        <v>0.57697603965849631</v>
      </c>
      <c r="X93" s="152">
        <f t="shared" si="228"/>
        <v>0.57697603965849642</v>
      </c>
      <c r="Y93" s="152">
        <f t="shared" si="228"/>
        <v>0.57697603965849642</v>
      </c>
      <c r="Z93" s="152">
        <f t="shared" si="228"/>
        <v>0.57697603965849642</v>
      </c>
      <c r="AA93" s="152">
        <f t="shared" si="228"/>
        <v>0.57697603965849642</v>
      </c>
      <c r="AB93" s="152">
        <f t="shared" si="228"/>
        <v>0.57697603965849631</v>
      </c>
      <c r="AC93" s="138">
        <f t="shared" si="204"/>
        <v>6.9134276406776163E-2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>
        <f>G29/G23</f>
        <v>0.23200000000000001</v>
      </c>
      <c r="H94" s="171">
        <f t="shared" ref="H94:P94" si="229">H29/H23</f>
        <v>0.39613526570048307</v>
      </c>
      <c r="I94" s="171">
        <f t="shared" si="229"/>
        <v>0.65523156089193824</v>
      </c>
      <c r="J94" s="171">
        <f t="shared" si="229"/>
        <v>0.44698354661791589</v>
      </c>
      <c r="K94" s="171">
        <f t="shared" si="229"/>
        <v>0.95025906735751298</v>
      </c>
      <c r="L94" s="171">
        <f t="shared" si="229"/>
        <v>2.0464516129032257</v>
      </c>
      <c r="M94" s="171">
        <f t="shared" si="229"/>
        <v>1.3067784765897974</v>
      </c>
      <c r="N94" s="171">
        <f t="shared" si="229"/>
        <v>0.47976878612716761</v>
      </c>
      <c r="O94" s="171">
        <f t="shared" si="229"/>
        <v>0.57795275590551176</v>
      </c>
      <c r="P94" s="171">
        <f t="shared" si="229"/>
        <v>1.4013377926421404</v>
      </c>
      <c r="Q94" s="118">
        <f t="shared" ref="Q94" si="230">((P94/G94)^(1/($H$2-$H$1) ))-1</f>
        <v>0.2211917795795717</v>
      </c>
      <c r="R94" s="20"/>
      <c r="S94" s="171">
        <f t="shared" ref="S94:AB94" si="231">S29/S23</f>
        <v>1.4013377926421404</v>
      </c>
      <c r="T94" s="171">
        <f t="shared" si="231"/>
        <v>1.4013377926421404</v>
      </c>
      <c r="U94" s="171">
        <f t="shared" si="231"/>
        <v>1.4013377926421402</v>
      </c>
      <c r="V94" s="171">
        <f t="shared" si="231"/>
        <v>1.4013377926421404</v>
      </c>
      <c r="W94" s="171">
        <f t="shared" si="231"/>
        <v>1.4013377926421404</v>
      </c>
      <c r="X94" s="171">
        <f t="shared" si="231"/>
        <v>1.4013377926421404</v>
      </c>
      <c r="Y94" s="171">
        <f t="shared" si="231"/>
        <v>1.4013377926421404</v>
      </c>
      <c r="Z94" s="171">
        <f t="shared" si="231"/>
        <v>1.4013377926421404</v>
      </c>
      <c r="AA94" s="171">
        <f t="shared" si="231"/>
        <v>1.4013377926421402</v>
      </c>
      <c r="AB94" s="171">
        <f t="shared" si="231"/>
        <v>1.4013377926421402</v>
      </c>
      <c r="AC94" s="138">
        <f t="shared" ref="AC94" si="232">((AB94/G94)^(1/($AB$3-$H$1) ))-1</f>
        <v>9.9279552943802418E-2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403</v>
      </c>
      <c r="C96" s="152"/>
      <c r="D96" s="152"/>
      <c r="E96" s="152"/>
      <c r="F96" s="152"/>
      <c r="G96" s="127">
        <f>1/G90</f>
        <v>136.5057471264368</v>
      </c>
      <c r="H96" s="127">
        <f t="shared" ref="H96:P96" si="233">1/H90</f>
        <v>46.106707317073173</v>
      </c>
      <c r="I96" s="127">
        <f t="shared" si="233"/>
        <v>44.395287958115183</v>
      </c>
      <c r="J96" s="127">
        <f t="shared" si="233"/>
        <v>44.120654396728021</v>
      </c>
      <c r="K96" s="127">
        <f t="shared" si="233"/>
        <v>33.494002181025081</v>
      </c>
      <c r="L96" s="127">
        <f t="shared" si="233"/>
        <v>26.56683480453972</v>
      </c>
      <c r="M96" s="127">
        <f t="shared" si="233"/>
        <v>24.736898395721923</v>
      </c>
      <c r="N96" s="127">
        <f t="shared" si="233"/>
        <v>64.186746987951807</v>
      </c>
      <c r="O96" s="127">
        <f t="shared" si="233"/>
        <v>59.777475022706625</v>
      </c>
      <c r="P96" s="127">
        <f t="shared" si="233"/>
        <v>36.997613365155132</v>
      </c>
      <c r="Q96" s="118">
        <f t="shared" si="202"/>
        <v>-0.13502704157804679</v>
      </c>
      <c r="R96" s="20"/>
      <c r="S96" s="127">
        <f t="shared" ref="S96:AB96" si="234">1/S90</f>
        <v>36.997613365155139</v>
      </c>
      <c r="T96" s="127">
        <f t="shared" si="234"/>
        <v>36.997613365155139</v>
      </c>
      <c r="U96" s="127">
        <f t="shared" si="234"/>
        <v>36.997613365155139</v>
      </c>
      <c r="V96" s="127">
        <f t="shared" si="234"/>
        <v>36.997613365155132</v>
      </c>
      <c r="W96" s="127">
        <f t="shared" si="234"/>
        <v>36.997613365155139</v>
      </c>
      <c r="X96" s="127">
        <f t="shared" si="234"/>
        <v>36.997613365155139</v>
      </c>
      <c r="Y96" s="127">
        <f t="shared" si="234"/>
        <v>36.997613365155132</v>
      </c>
      <c r="Z96" s="127">
        <f t="shared" si="234"/>
        <v>36.997613365155132</v>
      </c>
      <c r="AA96" s="127">
        <f t="shared" si="234"/>
        <v>36.997613365155132</v>
      </c>
      <c r="AB96" s="127">
        <f t="shared" si="234"/>
        <v>36.997613365155132</v>
      </c>
      <c r="AC96" s="138">
        <f t="shared" si="204"/>
        <v>-6.6403761325491861E-2</v>
      </c>
      <c r="AD96" s="146"/>
      <c r="AE96" s="146"/>
    </row>
    <row r="97" spans="2:31" ht="12" customHeight="1" x14ac:dyDescent="0.2">
      <c r="B97" s="20" t="s">
        <v>404</v>
      </c>
      <c r="C97" s="152"/>
      <c r="D97" s="152"/>
      <c r="E97" s="152"/>
      <c r="F97" s="152"/>
      <c r="G97" s="127">
        <f t="shared" ref="G97:P100" si="235">1/G91</f>
        <v>9</v>
      </c>
      <c r="H97" s="127">
        <f t="shared" si="235"/>
        <v>4.3536585365853657</v>
      </c>
      <c r="I97" s="127">
        <f t="shared" si="235"/>
        <v>4.8560209424083771</v>
      </c>
      <c r="J97" s="127">
        <f t="shared" si="235"/>
        <v>5.9815950920245395</v>
      </c>
      <c r="K97" s="127">
        <f t="shared" si="235"/>
        <v>4.675027262813523</v>
      </c>
      <c r="L97" s="127">
        <f t="shared" si="235"/>
        <v>3.7175283732660778</v>
      </c>
      <c r="M97" s="127">
        <f t="shared" si="235"/>
        <v>3.8962566844919788</v>
      </c>
      <c r="N97" s="127">
        <f t="shared" si="235"/>
        <v>9.3566265060240958</v>
      </c>
      <c r="O97" s="127">
        <f t="shared" si="235"/>
        <v>7.9645776566757487</v>
      </c>
      <c r="P97" s="127">
        <f t="shared" si="235"/>
        <v>4.7059665871121723</v>
      </c>
      <c r="Q97" s="118">
        <f t="shared" si="202"/>
        <v>-6.9509776507319598E-2</v>
      </c>
      <c r="R97" s="20"/>
      <c r="S97" s="127">
        <f t="shared" ref="S97:AB97" si="236">1/S91</f>
        <v>4.7059665871121723</v>
      </c>
      <c r="T97" s="127">
        <f t="shared" si="236"/>
        <v>4.7059665871121723</v>
      </c>
      <c r="U97" s="127">
        <f t="shared" si="236"/>
        <v>4.7059665871121723</v>
      </c>
      <c r="V97" s="127">
        <f t="shared" si="236"/>
        <v>4.7059665871121723</v>
      </c>
      <c r="W97" s="127">
        <f t="shared" si="236"/>
        <v>4.7059665871121723</v>
      </c>
      <c r="X97" s="127">
        <f t="shared" si="236"/>
        <v>4.7059665871121723</v>
      </c>
      <c r="Y97" s="127">
        <f t="shared" si="236"/>
        <v>4.7059665871121723</v>
      </c>
      <c r="Z97" s="127">
        <f t="shared" si="236"/>
        <v>4.7059665871121723</v>
      </c>
      <c r="AA97" s="127">
        <f t="shared" si="236"/>
        <v>4.7059665871121723</v>
      </c>
      <c r="AB97" s="127">
        <f t="shared" si="236"/>
        <v>4.7059665871121723</v>
      </c>
      <c r="AC97" s="138">
        <f t="shared" si="204"/>
        <v>-3.3550244525007211E-2</v>
      </c>
      <c r="AD97" s="146"/>
      <c r="AE97" s="146"/>
    </row>
    <row r="98" spans="2:31" ht="12" customHeight="1" x14ac:dyDescent="0.2">
      <c r="B98" s="20" t="s">
        <v>405</v>
      </c>
      <c r="C98" s="152"/>
      <c r="D98" s="152"/>
      <c r="E98" s="152"/>
      <c r="F98" s="152"/>
      <c r="G98" s="127">
        <f t="shared" si="235"/>
        <v>8.7356321839080469</v>
      </c>
      <c r="H98" s="127">
        <f t="shared" si="235"/>
        <v>3.4146341463414633</v>
      </c>
      <c r="I98" s="127">
        <f t="shared" si="235"/>
        <v>3.3769633507853407</v>
      </c>
      <c r="J98" s="127">
        <f t="shared" si="235"/>
        <v>4.6237218813905931</v>
      </c>
      <c r="K98" s="127">
        <f t="shared" si="235"/>
        <v>2.461286804798255</v>
      </c>
      <c r="L98" s="127">
        <f t="shared" si="235"/>
        <v>1.849936948297604</v>
      </c>
      <c r="M98" s="127">
        <f t="shared" si="235"/>
        <v>2.9101604278074866</v>
      </c>
      <c r="N98" s="127">
        <f t="shared" si="235"/>
        <v>5.3578313253012047</v>
      </c>
      <c r="O98" s="127">
        <f t="shared" si="235"/>
        <v>4.2524977293369668</v>
      </c>
      <c r="P98" s="127">
        <f t="shared" si="235"/>
        <v>2.5007159904534606</v>
      </c>
      <c r="Q98" s="118">
        <f t="shared" si="202"/>
        <v>-0.12975584583238164</v>
      </c>
      <c r="R98" s="20"/>
      <c r="S98" s="127">
        <f t="shared" ref="S98:AB98" si="237">1/S92</f>
        <v>2.5007159904534606</v>
      </c>
      <c r="T98" s="127">
        <f t="shared" si="237"/>
        <v>2.5007159904534606</v>
      </c>
      <c r="U98" s="127">
        <f t="shared" si="237"/>
        <v>2.5007159904534606</v>
      </c>
      <c r="V98" s="127">
        <f t="shared" si="237"/>
        <v>2.5007159904534606</v>
      </c>
      <c r="W98" s="127">
        <f t="shared" si="237"/>
        <v>2.5007159904534606</v>
      </c>
      <c r="X98" s="127">
        <f t="shared" si="237"/>
        <v>2.5007159904534606</v>
      </c>
      <c r="Y98" s="127">
        <f t="shared" si="237"/>
        <v>2.5007159904534602</v>
      </c>
      <c r="Z98" s="127">
        <f t="shared" si="237"/>
        <v>2.5007159904534606</v>
      </c>
      <c r="AA98" s="127">
        <f t="shared" si="237"/>
        <v>2.5007159904534606</v>
      </c>
      <c r="AB98" s="127">
        <f t="shared" si="237"/>
        <v>2.5007159904534606</v>
      </c>
      <c r="AC98" s="138">
        <f t="shared" si="204"/>
        <v>-6.3713095683480936E-2</v>
      </c>
      <c r="AD98" s="146"/>
      <c r="AE98" s="146"/>
    </row>
    <row r="99" spans="2:31" ht="12" customHeight="1" x14ac:dyDescent="0.2">
      <c r="B99" s="20" t="s">
        <v>406</v>
      </c>
      <c r="C99" s="152"/>
      <c r="D99" s="152"/>
      <c r="E99" s="152"/>
      <c r="F99" s="152"/>
      <c r="G99" s="127">
        <f t="shared" si="235"/>
        <v>6.1724137931034484</v>
      </c>
      <c r="H99" s="127">
        <f t="shared" si="235"/>
        <v>3.0152439024390243</v>
      </c>
      <c r="I99" s="127">
        <f t="shared" si="235"/>
        <v>2.1335078534031413</v>
      </c>
      <c r="J99" s="127">
        <f t="shared" si="235"/>
        <v>3.5112474437627812</v>
      </c>
      <c r="K99" s="127">
        <f t="shared" si="235"/>
        <v>1.7011995637949835</v>
      </c>
      <c r="L99" s="127">
        <f t="shared" si="235"/>
        <v>0.91929382093316525</v>
      </c>
      <c r="M99" s="127">
        <f t="shared" si="235"/>
        <v>1.7759358288770053</v>
      </c>
      <c r="N99" s="127">
        <f t="shared" si="235"/>
        <v>4.3915662650602405</v>
      </c>
      <c r="O99" s="127">
        <f t="shared" si="235"/>
        <v>3.1989100817438691</v>
      </c>
      <c r="P99" s="127">
        <f t="shared" si="235"/>
        <v>1.7331742243436754</v>
      </c>
      <c r="Q99" s="118">
        <f t="shared" si="202"/>
        <v>-0.13162024969347297</v>
      </c>
      <c r="R99" s="20"/>
      <c r="S99" s="127">
        <f t="shared" ref="S99:AB99" si="238">1/S93</f>
        <v>1.7331742243436754</v>
      </c>
      <c r="T99" s="127">
        <f t="shared" si="238"/>
        <v>1.7331742243436754</v>
      </c>
      <c r="U99" s="127">
        <f t="shared" si="238"/>
        <v>1.7331742243436754</v>
      </c>
      <c r="V99" s="127">
        <f t="shared" si="238"/>
        <v>1.7331742243436754</v>
      </c>
      <c r="W99" s="127">
        <f t="shared" si="238"/>
        <v>1.7331742243436754</v>
      </c>
      <c r="X99" s="127">
        <f t="shared" si="238"/>
        <v>1.733174224343675</v>
      </c>
      <c r="Y99" s="127">
        <f t="shared" si="238"/>
        <v>1.733174224343675</v>
      </c>
      <c r="Z99" s="127">
        <f t="shared" si="238"/>
        <v>1.733174224343675</v>
      </c>
      <c r="AA99" s="127">
        <f t="shared" si="238"/>
        <v>1.733174224343675</v>
      </c>
      <c r="AB99" s="127">
        <f t="shared" si="238"/>
        <v>1.7331742243436754</v>
      </c>
      <c r="AC99" s="138">
        <f t="shared" si="204"/>
        <v>-6.4663791941202642E-2</v>
      </c>
      <c r="AD99" s="146"/>
      <c r="AE99" s="146"/>
    </row>
    <row r="100" spans="2:31" ht="12" customHeight="1" x14ac:dyDescent="0.2">
      <c r="B100" s="20" t="s">
        <v>407</v>
      </c>
      <c r="C100" s="152"/>
      <c r="D100" s="152"/>
      <c r="E100" s="152"/>
      <c r="F100" s="152"/>
      <c r="G100" s="127">
        <f t="shared" si="235"/>
        <v>4.3103448275862064</v>
      </c>
      <c r="H100" s="127">
        <f t="shared" si="235"/>
        <v>2.524390243902439</v>
      </c>
      <c r="I100" s="127">
        <f t="shared" si="235"/>
        <v>1.5261780104712042</v>
      </c>
      <c r="J100" s="127">
        <f t="shared" si="235"/>
        <v>2.2372188139059306</v>
      </c>
      <c r="K100" s="127">
        <f t="shared" si="235"/>
        <v>1.0523446019629226</v>
      </c>
      <c r="L100" s="127">
        <f t="shared" si="235"/>
        <v>0.48865069356872637</v>
      </c>
      <c r="M100" s="127">
        <f t="shared" si="235"/>
        <v>0.76524064171122996</v>
      </c>
      <c r="N100" s="127">
        <f t="shared" si="235"/>
        <v>2.0843373493975905</v>
      </c>
      <c r="O100" s="127">
        <f t="shared" si="235"/>
        <v>1.7302452316076296</v>
      </c>
      <c r="P100" s="127">
        <f t="shared" si="235"/>
        <v>0.71360381861575184</v>
      </c>
      <c r="Q100" s="118">
        <f t="shared" si="202"/>
        <v>-0.18112779931725631</v>
      </c>
      <c r="R100" s="20"/>
      <c r="S100" s="127">
        <f t="shared" ref="S100:AB100" si="239">1/S94</f>
        <v>0.71360381861575184</v>
      </c>
      <c r="T100" s="127">
        <f t="shared" si="239"/>
        <v>0.71360381861575184</v>
      </c>
      <c r="U100" s="127">
        <f t="shared" si="239"/>
        <v>0.71360381861575195</v>
      </c>
      <c r="V100" s="127">
        <f t="shared" si="239"/>
        <v>0.71360381861575184</v>
      </c>
      <c r="W100" s="127">
        <f t="shared" si="239"/>
        <v>0.71360381861575184</v>
      </c>
      <c r="X100" s="127">
        <f t="shared" si="239"/>
        <v>0.71360381861575184</v>
      </c>
      <c r="Y100" s="127">
        <f t="shared" si="239"/>
        <v>0.71360381861575184</v>
      </c>
      <c r="Z100" s="127">
        <f t="shared" si="239"/>
        <v>0.71360381861575184</v>
      </c>
      <c r="AA100" s="127">
        <f t="shared" si="239"/>
        <v>0.71360381861575195</v>
      </c>
      <c r="AB100" s="127">
        <f t="shared" si="239"/>
        <v>0.71360381861575195</v>
      </c>
      <c r="AC100" s="138">
        <f t="shared" si="204"/>
        <v>-9.0313289897859028E-2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40">F10-(F12+F13)</f>
        <v>0</v>
      </c>
      <c r="G103" s="163">
        <f t="shared" si="240"/>
        <v>1609</v>
      </c>
      <c r="H103" s="163">
        <f t="shared" si="240"/>
        <v>1784</v>
      </c>
      <c r="I103" s="163">
        <f t="shared" si="240"/>
        <v>1008</v>
      </c>
      <c r="J103" s="163">
        <f t="shared" si="240"/>
        <v>2237</v>
      </c>
      <c r="K103" s="163">
        <f t="shared" si="240"/>
        <v>5203</v>
      </c>
      <c r="L103" s="163">
        <f t="shared" si="240"/>
        <v>12107</v>
      </c>
      <c r="M103" s="163">
        <f t="shared" si="240"/>
        <v>11359</v>
      </c>
      <c r="N103" s="163">
        <f t="shared" si="240"/>
        <v>24480</v>
      </c>
      <c r="O103" s="163">
        <f t="shared" si="240"/>
        <v>38792</v>
      </c>
      <c r="P103" s="163">
        <f>P10-(P12+P13)</f>
        <v>46244</v>
      </c>
      <c r="Q103" s="118">
        <f t="shared" si="202"/>
        <v>0.4522971435091554</v>
      </c>
      <c r="R103" s="20"/>
      <c r="S103" s="163">
        <f>S10-(S12+S13)</f>
        <v>51793.280000000006</v>
      </c>
      <c r="T103" s="163">
        <f t="shared" ref="T103:AB103" si="241">T10-(T12+T13)</f>
        <v>58008.473600000012</v>
      </c>
      <c r="U103" s="163">
        <f t="shared" si="241"/>
        <v>64969.490432000021</v>
      </c>
      <c r="V103" s="163">
        <f t="shared" si="241"/>
        <v>72765.829283840023</v>
      </c>
      <c r="W103" s="163">
        <f t="shared" si="241"/>
        <v>81497.72879790084</v>
      </c>
      <c r="X103" s="163">
        <f t="shared" si="241"/>
        <v>91277.456253648939</v>
      </c>
      <c r="Y103" s="163">
        <f t="shared" si="241"/>
        <v>102230.75100408684</v>
      </c>
      <c r="Z103" s="163">
        <f t="shared" si="241"/>
        <v>114498.44112457725</v>
      </c>
      <c r="AA103" s="163">
        <f t="shared" si="241"/>
        <v>128238.25405952653</v>
      </c>
      <c r="AB103" s="163">
        <f t="shared" si="241"/>
        <v>143626.84454666972</v>
      </c>
      <c r="AC103" s="138">
        <f t="shared" si="204"/>
        <v>0.26668126192758579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 t="shared" ref="G104:P104" si="242">G40/G18</f>
        <v>0.36224976167778838</v>
      </c>
      <c r="H104" s="152">
        <f t="shared" si="242"/>
        <v>0.54928886709171165</v>
      </c>
      <c r="I104" s="152">
        <f t="shared" si="242"/>
        <v>0.50548589341692785</v>
      </c>
      <c r="J104" s="152">
        <f t="shared" si="242"/>
        <v>0.456398869600323</v>
      </c>
      <c r="K104" s="152">
        <f t="shared" si="242"/>
        <v>0.31299403688808763</v>
      </c>
      <c r="L104" s="152">
        <f t="shared" si="242"/>
        <v>0.23190009484666457</v>
      </c>
      <c r="M104" s="152">
        <f t="shared" si="242"/>
        <v>0.3661194833153929</v>
      </c>
      <c r="N104" s="152">
        <f t="shared" si="242"/>
        <v>0.19435339364538262</v>
      </c>
      <c r="O104" s="152">
        <f t="shared" si="242"/>
        <v>0.17712037527426799</v>
      </c>
      <c r="P104" s="152">
        <f t="shared" si="242"/>
        <v>0.17214865442118751</v>
      </c>
      <c r="Q104" s="118">
        <f t="shared" si="202"/>
        <v>-7.9339516790119635E-2</v>
      </c>
      <c r="R104" s="20"/>
      <c r="S104" s="152">
        <f t="shared" ref="S104:AB104" si="243">S40/S18</f>
        <v>0.17214865442118751</v>
      </c>
      <c r="T104" s="152">
        <f t="shared" si="243"/>
        <v>0.17214865442118751</v>
      </c>
      <c r="U104" s="152">
        <f t="shared" si="243"/>
        <v>0.17214865442118751</v>
      </c>
      <c r="V104" s="152">
        <f t="shared" si="243"/>
        <v>0.17214865442118751</v>
      </c>
      <c r="W104" s="152">
        <f t="shared" si="243"/>
        <v>0.17214865442118751</v>
      </c>
      <c r="X104" s="152">
        <f t="shared" si="243"/>
        <v>0.17214865442118754</v>
      </c>
      <c r="Y104" s="152">
        <f t="shared" si="243"/>
        <v>0.17214865442118754</v>
      </c>
      <c r="Z104" s="152">
        <f t="shared" si="243"/>
        <v>0.17214865442118754</v>
      </c>
      <c r="AA104" s="152">
        <f t="shared" si="243"/>
        <v>0.17214865442118757</v>
      </c>
      <c r="AB104" s="152">
        <f t="shared" si="243"/>
        <v>0.17214865442118754</v>
      </c>
      <c r="AC104" s="138">
        <f t="shared" si="204"/>
        <v>-3.8399896807443046E-2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>
        <f t="shared" ref="G105:P105" si="244">G40/G25</f>
        <v>6.3994610980127986E-2</v>
      </c>
      <c r="H105" s="152">
        <f t="shared" si="244"/>
        <v>7.4059379752694568E-2</v>
      </c>
      <c r="I105" s="152">
        <f t="shared" si="244"/>
        <v>7.6065805766849459E-2</v>
      </c>
      <c r="J105" s="152">
        <f t="shared" si="244"/>
        <v>0.10479721900347624</v>
      </c>
      <c r="K105" s="152">
        <f t="shared" si="244"/>
        <v>7.3484404506088424E-2</v>
      </c>
      <c r="L105" s="152">
        <f t="shared" si="244"/>
        <v>6.9633321466714138E-2</v>
      </c>
      <c r="M105" s="152">
        <f t="shared" si="244"/>
        <v>0.11764451554325739</v>
      </c>
      <c r="N105" s="152">
        <f t="shared" si="244"/>
        <v>8.3472548099483804E-2</v>
      </c>
      <c r="O105" s="152">
        <f t="shared" si="244"/>
        <v>7.1138798146319224E-2</v>
      </c>
      <c r="P105" s="152">
        <f t="shared" si="244"/>
        <v>6.7591278544703912E-2</v>
      </c>
      <c r="Q105" s="118">
        <f t="shared" si="202"/>
        <v>6.0940584261521824E-3</v>
      </c>
      <c r="R105" s="20"/>
      <c r="S105" s="152">
        <f t="shared" ref="S105:AB105" si="245">S40/S25</f>
        <v>6.7591278544703898E-2</v>
      </c>
      <c r="T105" s="152">
        <f t="shared" si="245"/>
        <v>6.7591278544703898E-2</v>
      </c>
      <c r="U105" s="152">
        <f t="shared" si="245"/>
        <v>6.7591278544703898E-2</v>
      </c>
      <c r="V105" s="152">
        <f t="shared" si="245"/>
        <v>6.7591278544703898E-2</v>
      </c>
      <c r="W105" s="152">
        <f t="shared" si="245"/>
        <v>6.7591278544703898E-2</v>
      </c>
      <c r="X105" s="152">
        <f t="shared" si="245"/>
        <v>6.7591278544703898E-2</v>
      </c>
      <c r="Y105" s="152">
        <f t="shared" si="245"/>
        <v>6.7591278544703898E-2</v>
      </c>
      <c r="Z105" s="152">
        <f t="shared" si="245"/>
        <v>6.7591278544703898E-2</v>
      </c>
      <c r="AA105" s="152">
        <f t="shared" si="245"/>
        <v>6.7591278544703898E-2</v>
      </c>
      <c r="AB105" s="152">
        <f t="shared" si="245"/>
        <v>6.7591278544703898E-2</v>
      </c>
      <c r="AC105" s="138">
        <f t="shared" si="204"/>
        <v>2.8820442184203099E-3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 t="shared" ref="G106:O106" si="246">G25/G18</f>
        <v>5.6606291706387033</v>
      </c>
      <c r="H106" s="152">
        <f t="shared" si="246"/>
        <v>7.4168710152035313</v>
      </c>
      <c r="I106" s="152">
        <f t="shared" si="246"/>
        <v>6.6453761755485896</v>
      </c>
      <c r="J106" s="152">
        <f t="shared" si="246"/>
        <v>4.3550666128381108</v>
      </c>
      <c r="K106" s="152">
        <f t="shared" si="246"/>
        <v>4.2593260296768829</v>
      </c>
      <c r="L106" s="152">
        <f t="shared" si="246"/>
        <v>3.3303035093265887</v>
      </c>
      <c r="M106" s="152">
        <f t="shared" si="246"/>
        <v>3.1120828848223896</v>
      </c>
      <c r="N106" s="152">
        <f t="shared" si="246"/>
        <v>2.328351033608671</v>
      </c>
      <c r="O106" s="152">
        <f t="shared" si="246"/>
        <v>2.4897858818188698</v>
      </c>
      <c r="P106" s="152">
        <f>P25/P18</f>
        <v>2.5469063187986727</v>
      </c>
      <c r="Q106" s="118">
        <f t="shared" si="202"/>
        <v>-8.4916091592785015E-2</v>
      </c>
      <c r="R106" s="20"/>
      <c r="S106" s="152">
        <f>S25/S18</f>
        <v>2.5469063187986722</v>
      </c>
      <c r="T106" s="152">
        <f t="shared" ref="T106:AB106" si="247">T25/T18</f>
        <v>2.5469063187986727</v>
      </c>
      <c r="U106" s="152">
        <f t="shared" si="247"/>
        <v>2.5469063187986727</v>
      </c>
      <c r="V106" s="152">
        <f t="shared" si="247"/>
        <v>2.5469063187986727</v>
      </c>
      <c r="W106" s="152">
        <f t="shared" si="247"/>
        <v>2.5469063187986731</v>
      </c>
      <c r="X106" s="152">
        <f t="shared" si="247"/>
        <v>2.5469063187986731</v>
      </c>
      <c r="Y106" s="152">
        <f t="shared" si="247"/>
        <v>2.5469063187986731</v>
      </c>
      <c r="Z106" s="152">
        <f t="shared" si="247"/>
        <v>2.5469063187986731</v>
      </c>
      <c r="AA106" s="152">
        <f t="shared" si="247"/>
        <v>2.5469063187986731</v>
      </c>
      <c r="AB106" s="152">
        <f t="shared" si="247"/>
        <v>2.5469063187986731</v>
      </c>
      <c r="AC106" s="138">
        <f t="shared" si="204"/>
        <v>-4.1163306556192159E-2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48">E68*E42</f>
        <v>0</v>
      </c>
      <c r="F108" s="165">
        <f t="shared" si="248"/>
        <v>0</v>
      </c>
      <c r="G108" s="165">
        <f>G68*G42</f>
        <v>995.19999999999993</v>
      </c>
      <c r="H108" s="165">
        <f t="shared" ref="H108:P108" si="249">H68*H42</f>
        <v>357.22500000000002</v>
      </c>
      <c r="I108" s="165">
        <f t="shared" si="249"/>
        <v>302.06</v>
      </c>
      <c r="J108" s="165">
        <f t="shared" si="249"/>
        <v>368.16</v>
      </c>
      <c r="K108" s="165">
        <f t="shared" si="249"/>
        <v>496.91</v>
      </c>
      <c r="L108" s="165">
        <f t="shared" si="249"/>
        <v>614.88</v>
      </c>
      <c r="M108" s="165">
        <f t="shared" si="249"/>
        <v>752.625</v>
      </c>
      <c r="N108" s="165">
        <f t="shared" si="249"/>
        <v>882.76</v>
      </c>
      <c r="O108" s="165">
        <f t="shared" si="249"/>
        <v>1010.295</v>
      </c>
      <c r="P108" s="165">
        <f t="shared" si="249"/>
        <v>1138.3050000000001</v>
      </c>
      <c r="Q108" s="118">
        <f t="shared" si="202"/>
        <v>1.5039964540551898E-2</v>
      </c>
      <c r="R108" s="20"/>
      <c r="S108" s="165">
        <f t="shared" ref="S108:AB108" si="250">S68*S42</f>
        <v>1254.9812625</v>
      </c>
      <c r="T108" s="165">
        <f t="shared" si="250"/>
        <v>1383.6168419062503</v>
      </c>
      <c r="U108" s="165">
        <f t="shared" si="250"/>
        <v>1525.4375682016409</v>
      </c>
      <c r="V108" s="165">
        <f t="shared" si="250"/>
        <v>1681.7949189423091</v>
      </c>
      <c r="W108" s="165">
        <f t="shared" si="250"/>
        <v>1854.1788981338959</v>
      </c>
      <c r="X108" s="165">
        <f t="shared" si="250"/>
        <v>2044.2322351926202</v>
      </c>
      <c r="Y108" s="165">
        <f t="shared" si="250"/>
        <v>2253.7660392998641</v>
      </c>
      <c r="Z108" s="165">
        <f t="shared" si="250"/>
        <v>2484.7770583281003</v>
      </c>
      <c r="AA108" s="165">
        <f t="shared" si="250"/>
        <v>2739.4667068067311</v>
      </c>
      <c r="AB108" s="165">
        <f t="shared" si="250"/>
        <v>3020.2620442544212</v>
      </c>
      <c r="AC108" s="138">
        <f t="shared" si="204"/>
        <v>6.0169942772914542E-2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51">(G108*0.17)+G108</f>
        <v>1164.384</v>
      </c>
      <c r="H109" s="165">
        <f t="shared" si="251"/>
        <v>417.95325000000003</v>
      </c>
      <c r="I109" s="165">
        <f t="shared" si="251"/>
        <v>353.41020000000003</v>
      </c>
      <c r="J109" s="165">
        <f t="shared" si="251"/>
        <v>430.74720000000002</v>
      </c>
      <c r="K109" s="165">
        <f t="shared" si="251"/>
        <v>581.38470000000007</v>
      </c>
      <c r="L109" s="165">
        <f t="shared" si="251"/>
        <v>719.40959999999995</v>
      </c>
      <c r="M109" s="165">
        <f t="shared" si="251"/>
        <v>880.57124999999996</v>
      </c>
      <c r="N109" s="165">
        <f t="shared" si="251"/>
        <v>1032.8291999999999</v>
      </c>
      <c r="O109" s="165">
        <f t="shared" si="251"/>
        <v>1182.0451499999999</v>
      </c>
      <c r="P109" s="165">
        <f t="shared" si="251"/>
        <v>1331.8168500000002</v>
      </c>
      <c r="Q109" s="118">
        <f t="shared" si="202"/>
        <v>1.5039964540551898E-2</v>
      </c>
      <c r="R109" s="20"/>
      <c r="S109" s="165">
        <f t="shared" ref="S109:AB109" si="252">(S108*0.17)+S108</f>
        <v>1468.3280771249999</v>
      </c>
      <c r="T109" s="165">
        <f t="shared" si="252"/>
        <v>1618.8317050303128</v>
      </c>
      <c r="U109" s="165">
        <f t="shared" si="252"/>
        <v>1784.7619547959198</v>
      </c>
      <c r="V109" s="165">
        <f t="shared" si="252"/>
        <v>1967.7000551625017</v>
      </c>
      <c r="W109" s="165">
        <f t="shared" si="252"/>
        <v>2169.3893108166585</v>
      </c>
      <c r="X109" s="165">
        <f t="shared" si="252"/>
        <v>2391.7517151753655</v>
      </c>
      <c r="Y109" s="165">
        <f t="shared" si="252"/>
        <v>2636.906265980841</v>
      </c>
      <c r="Z109" s="165">
        <f t="shared" si="252"/>
        <v>2907.1891582438775</v>
      </c>
      <c r="AA109" s="165">
        <f t="shared" si="252"/>
        <v>3205.1760469638753</v>
      </c>
      <c r="AB109" s="165">
        <f t="shared" si="252"/>
        <v>3533.7065917776727</v>
      </c>
      <c r="AC109" s="138">
        <f t="shared" si="204"/>
        <v>6.0169942772914542E-2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53">F109/F40</f>
        <v>#DIV/0!</v>
      </c>
      <c r="G110" s="152">
        <f t="shared" si="253"/>
        <v>1.5320842105263157</v>
      </c>
      <c r="H110" s="152">
        <f t="shared" si="253"/>
        <v>0.37317254464285715</v>
      </c>
      <c r="I110" s="152">
        <f t="shared" si="253"/>
        <v>0.27396139534883723</v>
      </c>
      <c r="J110" s="152">
        <f t="shared" si="253"/>
        <v>0.19051180893409997</v>
      </c>
      <c r="K110" s="152">
        <f t="shared" si="253"/>
        <v>0.25759180327868858</v>
      </c>
      <c r="L110" s="152">
        <f t="shared" si="253"/>
        <v>0.24519754601226992</v>
      </c>
      <c r="M110" s="152">
        <f t="shared" si="253"/>
        <v>0.16181022601984563</v>
      </c>
      <c r="N110" s="152">
        <f t="shared" si="253"/>
        <v>0.23225302451090621</v>
      </c>
      <c r="O110" s="152">
        <f t="shared" si="253"/>
        <v>0.2524658586074327</v>
      </c>
      <c r="P110" s="152">
        <f t="shared" si="253"/>
        <v>0.25421203473945414</v>
      </c>
      <c r="Q110" s="118">
        <f t="shared" si="202"/>
        <v>-0.1809249087371988</v>
      </c>
      <c r="R110" s="20"/>
      <c r="S110" s="152">
        <f t="shared" ref="S110:AB110" si="254">S109/S40</f>
        <v>0.25023997169665008</v>
      </c>
      <c r="T110" s="152">
        <f t="shared" si="254"/>
        <v>0.24632997213888999</v>
      </c>
      <c r="U110" s="152">
        <f t="shared" si="254"/>
        <v>0.24248106632421981</v>
      </c>
      <c r="V110" s="152">
        <f t="shared" si="254"/>
        <v>0.23869229966290387</v>
      </c>
      <c r="W110" s="152">
        <f t="shared" si="254"/>
        <v>0.23496273248067101</v>
      </c>
      <c r="X110" s="152">
        <f t="shared" si="254"/>
        <v>0.23129143978566044</v>
      </c>
      <c r="Y110" s="152">
        <f t="shared" si="254"/>
        <v>0.22767751103900952</v>
      </c>
      <c r="Z110" s="152">
        <f t="shared" si="254"/>
        <v>0.22412004992902498</v>
      </c>
      <c r="AA110" s="152">
        <f t="shared" si="254"/>
        <v>0.22061817414888399</v>
      </c>
      <c r="AB110" s="152">
        <f t="shared" si="254"/>
        <v>0.21717101517780768</v>
      </c>
      <c r="AC110" s="138">
        <f t="shared" si="204"/>
        <v>-9.7716288994397327E-2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>
        <f>1-G110</f>
        <v>-0.53208421052631572</v>
      </c>
      <c r="H111" s="152">
        <f t="shared" ref="H111:P111" si="255">1-H110</f>
        <v>0.6268274553571429</v>
      </c>
      <c r="I111" s="152">
        <f t="shared" si="255"/>
        <v>0.72603860465116277</v>
      </c>
      <c r="J111" s="152">
        <f t="shared" si="255"/>
        <v>0.80948819106589998</v>
      </c>
      <c r="K111" s="152">
        <f t="shared" si="255"/>
        <v>0.74240819672131142</v>
      </c>
      <c r="L111" s="152">
        <f t="shared" si="255"/>
        <v>0.75480245398773005</v>
      </c>
      <c r="M111" s="152">
        <f t="shared" si="255"/>
        <v>0.83818977398015437</v>
      </c>
      <c r="N111" s="152">
        <f t="shared" si="255"/>
        <v>0.76774697548909376</v>
      </c>
      <c r="O111" s="152">
        <f t="shared" si="255"/>
        <v>0.74753414139256735</v>
      </c>
      <c r="P111" s="152">
        <f t="shared" si="255"/>
        <v>0.74578796526054592</v>
      </c>
      <c r="Q111" s="118">
        <f t="shared" si="202"/>
        <v>-2.0382280968352813</v>
      </c>
      <c r="R111" s="20"/>
      <c r="S111" s="152">
        <f t="shared" ref="S111:AB111" si="256">1-S110</f>
        <v>0.74976002830334987</v>
      </c>
      <c r="T111" s="152">
        <f t="shared" si="256"/>
        <v>0.75367002786111004</v>
      </c>
      <c r="U111" s="152">
        <f t="shared" si="256"/>
        <v>0.75751893367578016</v>
      </c>
      <c r="V111" s="152">
        <f t="shared" si="256"/>
        <v>0.76130770033709616</v>
      </c>
      <c r="W111" s="152">
        <f t="shared" si="256"/>
        <v>0.76503726751932899</v>
      </c>
      <c r="X111" s="152">
        <f t="shared" si="256"/>
        <v>0.76870856021433953</v>
      </c>
      <c r="Y111" s="152">
        <f t="shared" si="256"/>
        <v>0.77232248896099054</v>
      </c>
      <c r="Z111" s="152">
        <f t="shared" si="256"/>
        <v>0.77587995007097499</v>
      </c>
      <c r="AA111" s="152">
        <f t="shared" si="256"/>
        <v>0.77938182585111604</v>
      </c>
      <c r="AB111" s="152">
        <f t="shared" si="256"/>
        <v>0.78282898482219232</v>
      </c>
      <c r="AC111" s="138">
        <f t="shared" si="204"/>
        <v>-2.0205296020503551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57">H31/H25</f>
        <v>0</v>
      </c>
      <c r="I113" s="152">
        <f t="shared" si="257"/>
        <v>0</v>
      </c>
      <c r="J113" s="152">
        <f t="shared" si="257"/>
        <v>0</v>
      </c>
      <c r="K113" s="152">
        <f t="shared" si="257"/>
        <v>0</v>
      </c>
      <c r="L113" s="152">
        <f t="shared" si="257"/>
        <v>0</v>
      </c>
      <c r="M113" s="152">
        <f t="shared" si="257"/>
        <v>0</v>
      </c>
      <c r="N113" s="152">
        <f t="shared" si="257"/>
        <v>0</v>
      </c>
      <c r="O113" s="152">
        <f t="shared" si="257"/>
        <v>0</v>
      </c>
      <c r="P113" s="152">
        <f t="shared" si="257"/>
        <v>0</v>
      </c>
      <c r="Q113" s="118" t="e">
        <f t="shared" si="202"/>
        <v>#DIV/0!</v>
      </c>
      <c r="R113" s="20"/>
      <c r="S113" s="152">
        <f t="shared" ref="S113:AB113" si="258">S31/S25</f>
        <v>0</v>
      </c>
      <c r="T113" s="152">
        <f t="shared" si="258"/>
        <v>0</v>
      </c>
      <c r="U113" s="152">
        <f t="shared" si="258"/>
        <v>0</v>
      </c>
      <c r="V113" s="152">
        <f t="shared" si="258"/>
        <v>0</v>
      </c>
      <c r="W113" s="152">
        <f t="shared" si="258"/>
        <v>0</v>
      </c>
      <c r="X113" s="152">
        <f t="shared" si="258"/>
        <v>0</v>
      </c>
      <c r="Y113" s="152">
        <f t="shared" si="258"/>
        <v>0</v>
      </c>
      <c r="Z113" s="152">
        <f t="shared" si="258"/>
        <v>0</v>
      </c>
      <c r="AA113" s="152">
        <f t="shared" si="258"/>
        <v>0</v>
      </c>
      <c r="AB113" s="152">
        <f t="shared" si="258"/>
        <v>0</v>
      </c>
      <c r="AC113" s="138" t="e">
        <f t="shared" si="204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59">H32/H25</f>
        <v>0</v>
      </c>
      <c r="I114" s="152">
        <f t="shared" si="259"/>
        <v>0</v>
      </c>
      <c r="J114" s="152">
        <f t="shared" si="259"/>
        <v>0</v>
      </c>
      <c r="K114" s="152">
        <f t="shared" si="259"/>
        <v>0</v>
      </c>
      <c r="L114" s="152">
        <f t="shared" si="259"/>
        <v>0</v>
      </c>
      <c r="M114" s="152">
        <f t="shared" si="259"/>
        <v>0</v>
      </c>
      <c r="N114" s="152">
        <f t="shared" si="259"/>
        <v>0</v>
      </c>
      <c r="O114" s="152">
        <f t="shared" si="259"/>
        <v>0</v>
      </c>
      <c r="P114" s="152">
        <f t="shared" si="259"/>
        <v>0</v>
      </c>
      <c r="Q114" s="118" t="e">
        <f t="shared" si="202"/>
        <v>#DIV/0!</v>
      </c>
      <c r="R114" s="20"/>
      <c r="S114" s="152">
        <f t="shared" ref="S114:AB114" si="260">S32/S25</f>
        <v>0</v>
      </c>
      <c r="T114" s="152">
        <f t="shared" si="260"/>
        <v>0</v>
      </c>
      <c r="U114" s="152">
        <f t="shared" si="260"/>
        <v>0</v>
      </c>
      <c r="V114" s="152">
        <f t="shared" si="260"/>
        <v>0</v>
      </c>
      <c r="W114" s="152">
        <f t="shared" si="260"/>
        <v>0</v>
      </c>
      <c r="X114" s="152">
        <f t="shared" si="260"/>
        <v>0</v>
      </c>
      <c r="Y114" s="152">
        <f t="shared" si="260"/>
        <v>0</v>
      </c>
      <c r="Z114" s="152">
        <f t="shared" si="260"/>
        <v>0</v>
      </c>
      <c r="AA114" s="152">
        <f t="shared" si="260"/>
        <v>0</v>
      </c>
      <c r="AB114" s="152">
        <f t="shared" si="260"/>
        <v>0</v>
      </c>
      <c r="AC114" s="138" t="e">
        <f t="shared" si="204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>
        <f>G27/G25</f>
        <v>0.88565173459077129</v>
      </c>
      <c r="H116" s="152">
        <f t="shared" ref="H116:P116" si="261">H27/H25</f>
        <v>0.87211532103418632</v>
      </c>
      <c r="I116" s="152">
        <f t="shared" si="261"/>
        <v>0.86060498850168055</v>
      </c>
      <c r="J116" s="152">
        <f t="shared" si="261"/>
        <v>0.82252607184241022</v>
      </c>
      <c r="K116" s="152">
        <f t="shared" si="261"/>
        <v>0.84271016474571858</v>
      </c>
      <c r="L116" s="152">
        <f t="shared" si="261"/>
        <v>0.82344843953957514</v>
      </c>
      <c r="M116" s="152">
        <f t="shared" si="261"/>
        <v>0.76306800985775436</v>
      </c>
      <c r="N116" s="152">
        <f t="shared" si="261"/>
        <v>0.8319474425152511</v>
      </c>
      <c r="O116" s="152">
        <f t="shared" si="261"/>
        <v>0.85330091924333362</v>
      </c>
      <c r="P116" s="152">
        <f t="shared" si="261"/>
        <v>0.8534769707134563</v>
      </c>
      <c r="Q116" s="118">
        <f t="shared" si="202"/>
        <v>-4.1032516249703832E-3</v>
      </c>
      <c r="R116" s="20"/>
      <c r="S116" s="152">
        <f t="shared" ref="S116:AB116" si="262">S27/S25</f>
        <v>0.85347697071345618</v>
      </c>
      <c r="T116" s="152">
        <f t="shared" si="262"/>
        <v>0.8534769707134563</v>
      </c>
      <c r="U116" s="152">
        <f t="shared" si="262"/>
        <v>0.8534769707134563</v>
      </c>
      <c r="V116" s="152">
        <f t="shared" si="262"/>
        <v>0.8534769707134563</v>
      </c>
      <c r="W116" s="152">
        <f t="shared" si="262"/>
        <v>0.85347697071345618</v>
      </c>
      <c r="X116" s="152">
        <f t="shared" si="262"/>
        <v>0.85347697071345618</v>
      </c>
      <c r="Y116" s="152">
        <f t="shared" si="262"/>
        <v>0.85347697071345618</v>
      </c>
      <c r="Z116" s="152">
        <f t="shared" si="262"/>
        <v>0.85347697071345618</v>
      </c>
      <c r="AA116" s="152">
        <f t="shared" si="262"/>
        <v>0.85347697071345618</v>
      </c>
      <c r="AB116" s="152">
        <f t="shared" si="262"/>
        <v>0.85347697071345618</v>
      </c>
      <c r="AC116" s="138">
        <f t="shared" si="204"/>
        <v>-1.9457486537164392E-3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0.27509262377905019</v>
      </c>
      <c r="H117" s="152">
        <f t="shared" ref="H117:P117" si="263">H33/H25</f>
        <v>0.34893870263836541</v>
      </c>
      <c r="I117" s="152">
        <f t="shared" si="263"/>
        <v>0.26782239518839557</v>
      </c>
      <c r="J117" s="152">
        <f t="shared" si="263"/>
        <v>0.24982618771726536</v>
      </c>
      <c r="K117" s="152">
        <f t="shared" si="263"/>
        <v>0.28596079963534543</v>
      </c>
      <c r="L117" s="152">
        <f t="shared" si="263"/>
        <v>0.23759344962620149</v>
      </c>
      <c r="M117" s="152">
        <f t="shared" si="263"/>
        <v>0.20348912620519694</v>
      </c>
      <c r="N117" s="152">
        <f t="shared" si="263"/>
        <v>0</v>
      </c>
      <c r="O117" s="152">
        <f t="shared" si="263"/>
        <v>0.23968700144343993</v>
      </c>
      <c r="P117" s="152">
        <f t="shared" si="263"/>
        <v>0.17035221261772673</v>
      </c>
      <c r="Q117" s="118">
        <f t="shared" si="202"/>
        <v>-5.1855970108648508E-2</v>
      </c>
      <c r="R117" s="20"/>
      <c r="S117" s="152">
        <f t="shared" ref="S117:AB117" si="264">S33/S25</f>
        <v>0.17035221261772673</v>
      </c>
      <c r="T117" s="152">
        <f t="shared" si="264"/>
        <v>0.17035221261772676</v>
      </c>
      <c r="U117" s="152">
        <f t="shared" si="264"/>
        <v>0.17035221261772673</v>
      </c>
      <c r="V117" s="152">
        <f t="shared" si="264"/>
        <v>0.17035221261772673</v>
      </c>
      <c r="W117" s="152">
        <f t="shared" si="264"/>
        <v>0.17035221261772671</v>
      </c>
      <c r="X117" s="152">
        <f t="shared" si="264"/>
        <v>0.17035221261772671</v>
      </c>
      <c r="Y117" s="152">
        <f t="shared" si="264"/>
        <v>0.17035221261772671</v>
      </c>
      <c r="Z117" s="152">
        <f t="shared" si="264"/>
        <v>0.17035221261772673</v>
      </c>
      <c r="AA117" s="152">
        <f t="shared" si="264"/>
        <v>0.17035221261772671</v>
      </c>
      <c r="AB117" s="152">
        <f t="shared" si="264"/>
        <v>0.17035221261772671</v>
      </c>
      <c r="AC117" s="138">
        <f t="shared" si="204"/>
        <v>-2.4907697529092276E-2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6.4415628157628829E-2</v>
      </c>
      <c r="H118" s="152">
        <f t="shared" ref="H118:P118" si="265">H34/H25</f>
        <v>5.7594392646961583E-2</v>
      </c>
      <c r="I118" s="152">
        <f t="shared" si="265"/>
        <v>6.1560233504333983E-2</v>
      </c>
      <c r="J118" s="152">
        <f t="shared" si="265"/>
        <v>8.7137891077636153E-3</v>
      </c>
      <c r="K118" s="152">
        <f t="shared" si="265"/>
        <v>6.6712248486032424E-2</v>
      </c>
      <c r="L118" s="152">
        <f t="shared" si="265"/>
        <v>6.3272813575412368E-2</v>
      </c>
      <c r="M118" s="152">
        <f t="shared" si="265"/>
        <v>6.6258809287042239E-2</v>
      </c>
      <c r="N118" s="152">
        <f t="shared" si="265"/>
        <v>7.1346785546691688E-2</v>
      </c>
      <c r="O118" s="152">
        <f t="shared" si="265"/>
        <v>7.5879358808782188E-2</v>
      </c>
      <c r="P118" s="152">
        <f t="shared" si="265"/>
        <v>8.0299316217262287E-2</v>
      </c>
      <c r="Q118" s="118">
        <f t="shared" si="202"/>
        <v>2.4791754291546564E-2</v>
      </c>
      <c r="R118" s="20"/>
      <c r="S118" s="152">
        <f t="shared" ref="S118:AB118" si="266">S34/S25</f>
        <v>8.0299316217262287E-2</v>
      </c>
      <c r="T118" s="152">
        <f t="shared" si="266"/>
        <v>8.0299316217262287E-2</v>
      </c>
      <c r="U118" s="152">
        <f t="shared" si="266"/>
        <v>8.0299316217262287E-2</v>
      </c>
      <c r="V118" s="152">
        <f t="shared" si="266"/>
        <v>8.0299316217262287E-2</v>
      </c>
      <c r="W118" s="152">
        <f t="shared" si="266"/>
        <v>8.0299316217262273E-2</v>
      </c>
      <c r="X118" s="152">
        <f t="shared" si="266"/>
        <v>8.0299316217262273E-2</v>
      </c>
      <c r="Y118" s="152">
        <f t="shared" si="266"/>
        <v>8.0299316217262273E-2</v>
      </c>
      <c r="Z118" s="152">
        <f t="shared" si="266"/>
        <v>8.0299316217262273E-2</v>
      </c>
      <c r="AA118" s="152">
        <f t="shared" si="266"/>
        <v>8.0299316217262273E-2</v>
      </c>
      <c r="AB118" s="152">
        <f t="shared" si="266"/>
        <v>8.0299316217262287E-2</v>
      </c>
      <c r="AC118" s="138">
        <f t="shared" si="204"/>
        <v>1.1667798009665331E-2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1.2998699045967042</v>
      </c>
      <c r="H121" s="25">
        <f t="shared" ref="H121:AB121" si="267">H15/H9</f>
        <v>1.3043000914913083</v>
      </c>
      <c r="I121" s="25">
        <f t="shared" si="267"/>
        <v>1.2264150943396226</v>
      </c>
      <c r="J121" s="25">
        <f t="shared" si="267"/>
        <v>1.1927749022921728</v>
      </c>
      <c r="K121" s="25">
        <f t="shared" si="267"/>
        <v>1.0760122789065927</v>
      </c>
      <c r="L121" s="25">
        <f t="shared" si="267"/>
        <v>1.1131146634216493</v>
      </c>
      <c r="M121" s="25">
        <f t="shared" si="267"/>
        <v>0.76824290235288717</v>
      </c>
      <c r="N121" s="25">
        <f t="shared" si="267"/>
        <v>0.73622512870460555</v>
      </c>
      <c r="O121" s="25">
        <f t="shared" si="267"/>
        <v>0.8258395659187564</v>
      </c>
      <c r="P121" s="25">
        <f t="shared" si="267"/>
        <v>0.70594892049615021</v>
      </c>
      <c r="Q121" s="118">
        <f t="shared" si="202"/>
        <v>-6.5581371883514206E-2</v>
      </c>
      <c r="R121" s="20"/>
      <c r="S121" s="20">
        <f t="shared" si="267"/>
        <v>0.7059489204961501</v>
      </c>
      <c r="T121" s="20">
        <f t="shared" si="267"/>
        <v>0.70594892049614999</v>
      </c>
      <c r="U121" s="20">
        <f t="shared" si="267"/>
        <v>0.70594892049614999</v>
      </c>
      <c r="V121" s="20">
        <f t="shared" si="267"/>
        <v>0.70594892049614999</v>
      </c>
      <c r="W121" s="20">
        <f t="shared" si="267"/>
        <v>0.70594892049614988</v>
      </c>
      <c r="X121" s="20">
        <f t="shared" si="267"/>
        <v>0.70594892049614988</v>
      </c>
      <c r="Y121" s="20">
        <f t="shared" si="267"/>
        <v>0.70594892049614988</v>
      </c>
      <c r="Z121" s="20">
        <f t="shared" si="267"/>
        <v>0.70594892049614988</v>
      </c>
      <c r="AA121" s="20">
        <f t="shared" si="267"/>
        <v>0.70594892049614999</v>
      </c>
      <c r="AB121" s="20">
        <f t="shared" si="267"/>
        <v>0.7059489204961501</v>
      </c>
      <c r="AC121" s="138">
        <f t="shared" si="204"/>
        <v>-3.1619650996687065E-2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0.11643538594969645</v>
      </c>
      <c r="H122" s="25">
        <f t="shared" ref="H122:P122" si="268">H12/H9</f>
        <v>0.18096980786825251</v>
      </c>
      <c r="I122" s="25">
        <f t="shared" si="268"/>
        <v>0.12013561320754718</v>
      </c>
      <c r="J122" s="25">
        <f t="shared" si="268"/>
        <v>0.18136685327981408</v>
      </c>
      <c r="K122" s="25">
        <f t="shared" si="268"/>
        <v>0.11401841835988891</v>
      </c>
      <c r="L122" s="25">
        <f t="shared" si="268"/>
        <v>8.064605343215886E-2</v>
      </c>
      <c r="M122" s="25">
        <f t="shared" si="268"/>
        <v>0.15231848828142916</v>
      </c>
      <c r="N122" s="25">
        <f t="shared" si="268"/>
        <v>0.12679142896897175</v>
      </c>
      <c r="O122" s="25">
        <f t="shared" si="268"/>
        <v>0.1032996040475143</v>
      </c>
      <c r="P122" s="25">
        <f t="shared" si="268"/>
        <v>8.0568930703175279E-2</v>
      </c>
      <c r="Q122" s="118">
        <f t="shared" si="202"/>
        <v>-4.0088043041782595E-2</v>
      </c>
      <c r="R122" s="128"/>
      <c r="S122" s="20">
        <f t="shared" ref="S122:AB122" si="269">S12/S9</f>
        <v>8.0568930703175265E-2</v>
      </c>
      <c r="T122" s="20">
        <f t="shared" si="269"/>
        <v>8.0568930703175251E-2</v>
      </c>
      <c r="U122" s="20">
        <f t="shared" si="269"/>
        <v>8.0568930703175265E-2</v>
      </c>
      <c r="V122" s="20">
        <f t="shared" si="269"/>
        <v>8.0568930703175251E-2</v>
      </c>
      <c r="W122" s="20">
        <f t="shared" si="269"/>
        <v>8.0568930703175251E-2</v>
      </c>
      <c r="X122" s="20">
        <f t="shared" si="269"/>
        <v>8.0568930703175237E-2</v>
      </c>
      <c r="Y122" s="20">
        <f t="shared" si="269"/>
        <v>8.0568930703175237E-2</v>
      </c>
      <c r="Z122" s="20">
        <f t="shared" si="269"/>
        <v>8.0568930703175237E-2</v>
      </c>
      <c r="AA122" s="20">
        <f t="shared" si="269"/>
        <v>8.0568930703175237E-2</v>
      </c>
      <c r="AB122" s="20">
        <f t="shared" si="269"/>
        <v>8.0568930703175251E-2</v>
      </c>
      <c r="AC122" s="118">
        <f t="shared" ref="AC122" si="270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32.988888888888887</v>
      </c>
      <c r="H123" s="25">
        <f t="shared" ref="H123:P123" si="271">H25/360</f>
        <v>42.008333333333333</v>
      </c>
      <c r="I123" s="25">
        <f t="shared" si="271"/>
        <v>47.108333333333334</v>
      </c>
      <c r="J123" s="25">
        <f t="shared" si="271"/>
        <v>59.930555555555557</v>
      </c>
      <c r="K123" s="25">
        <f t="shared" si="271"/>
        <v>85.316666666666663</v>
      </c>
      <c r="L123" s="25">
        <f t="shared" si="271"/>
        <v>117.04166666666667</v>
      </c>
      <c r="M123" s="25">
        <f t="shared" si="271"/>
        <v>128.49444444444444</v>
      </c>
      <c r="N123" s="25">
        <f t="shared" si="271"/>
        <v>147.98611111111111</v>
      </c>
      <c r="O123" s="25">
        <f t="shared" si="271"/>
        <v>182.81944444444446</v>
      </c>
      <c r="P123" s="25">
        <f t="shared" si="271"/>
        <v>215.30555555555554</v>
      </c>
      <c r="Q123" s="118">
        <f t="shared" si="202"/>
        <v>0.23174508688949813</v>
      </c>
      <c r="R123" s="128"/>
      <c r="S123" s="25">
        <f t="shared" ref="S123:AB123" si="272">S25/360</f>
        <v>241.14222222222224</v>
      </c>
      <c r="T123" s="25">
        <f t="shared" si="272"/>
        <v>270.07928888888898</v>
      </c>
      <c r="U123" s="25">
        <f t="shared" si="272"/>
        <v>302.48880355555565</v>
      </c>
      <c r="V123" s="25">
        <f t="shared" si="272"/>
        <v>338.78745998222234</v>
      </c>
      <c r="W123" s="25">
        <f t="shared" si="272"/>
        <v>379.44195518008911</v>
      </c>
      <c r="X123" s="25">
        <f t="shared" si="272"/>
        <v>424.97498980169985</v>
      </c>
      <c r="Y123" s="25">
        <f t="shared" si="272"/>
        <v>475.97198857790386</v>
      </c>
      <c r="Z123" s="25">
        <f t="shared" si="272"/>
        <v>533.08862720725233</v>
      </c>
      <c r="AA123" s="25">
        <f t="shared" si="272"/>
        <v>597.05926247212278</v>
      </c>
      <c r="AB123" s="25">
        <f t="shared" si="272"/>
        <v>668.70637396877748</v>
      </c>
      <c r="AC123" s="118">
        <f t="shared" ref="AC123:AC134" si="273">((AB123/S123)^(1/($H$2-$H$1) ))-1</f>
        <v>0.12000000000000011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29.216666666666665</v>
      </c>
      <c r="H124" s="25">
        <f t="shared" ref="H124:P124" si="274">H27/360</f>
        <v>36.636111111111113</v>
      </c>
      <c r="I124" s="25">
        <f t="shared" si="274"/>
        <v>40.541666666666664</v>
      </c>
      <c r="J124" s="25">
        <f t="shared" si="274"/>
        <v>49.294444444444444</v>
      </c>
      <c r="K124" s="25">
        <f t="shared" si="274"/>
        <v>71.897222222222226</v>
      </c>
      <c r="L124" s="25">
        <f t="shared" si="274"/>
        <v>96.37777777777778</v>
      </c>
      <c r="M124" s="25">
        <f t="shared" si="274"/>
        <v>98.05</v>
      </c>
      <c r="N124" s="25">
        <f t="shared" si="274"/>
        <v>123.11666666666666</v>
      </c>
      <c r="O124" s="25">
        <f t="shared" si="274"/>
        <v>156</v>
      </c>
      <c r="P124" s="25">
        <f t="shared" si="274"/>
        <v>183.75833333333333</v>
      </c>
      <c r="Q124" s="118">
        <f t="shared" si="202"/>
        <v>0.22669092686016934</v>
      </c>
      <c r="R124" s="128"/>
      <c r="S124" s="25">
        <f t="shared" ref="S124:AB124" si="275">S27/360</f>
        <v>205.80933333333334</v>
      </c>
      <c r="T124" s="25">
        <f t="shared" si="275"/>
        <v>230.50645333333338</v>
      </c>
      <c r="U124" s="25">
        <f t="shared" si="275"/>
        <v>258.16722773333339</v>
      </c>
      <c r="V124" s="25">
        <f t="shared" si="275"/>
        <v>289.14729506133341</v>
      </c>
      <c r="W124" s="25">
        <f t="shared" si="275"/>
        <v>323.84497046869348</v>
      </c>
      <c r="X124" s="25">
        <f t="shared" si="275"/>
        <v>362.70636692493673</v>
      </c>
      <c r="Y124" s="25">
        <f t="shared" si="275"/>
        <v>406.23113095592919</v>
      </c>
      <c r="Z124" s="25">
        <f t="shared" si="275"/>
        <v>454.97886667064068</v>
      </c>
      <c r="AA124" s="25">
        <f t="shared" si="275"/>
        <v>509.5763306711176</v>
      </c>
      <c r="AB124" s="25">
        <f t="shared" si="275"/>
        <v>570.72549035165184</v>
      </c>
      <c r="AC124" s="118">
        <f t="shared" si="273"/>
        <v>0.12000000000000011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1.0460899131091803</v>
      </c>
      <c r="H126" s="25">
        <f t="shared" ref="H126:P126" si="276">H10/H7</f>
        <v>1.0416289592760182</v>
      </c>
      <c r="I126" s="25">
        <f t="shared" si="276"/>
        <v>0.70467365028203066</v>
      </c>
      <c r="J126" s="25">
        <f t="shared" si="276"/>
        <v>0.92934547030775905</v>
      </c>
      <c r="K126" s="25">
        <f t="shared" si="276"/>
        <v>1.1370141261194719</v>
      </c>
      <c r="L126" s="25">
        <f t="shared" si="276"/>
        <v>1.4563523271609351</v>
      </c>
      <c r="M126" s="25">
        <f t="shared" si="276"/>
        <v>1.172264303749226</v>
      </c>
      <c r="N126" s="25">
        <f t="shared" si="276"/>
        <v>1.49061876247505</v>
      </c>
      <c r="O126" s="25">
        <f t="shared" si="276"/>
        <v>1.7390253862383447</v>
      </c>
      <c r="P126" s="25">
        <f t="shared" si="276"/>
        <v>1.7319471927700167</v>
      </c>
      <c r="Q126" s="118">
        <f t="shared" si="202"/>
        <v>5.7619658443879507E-2</v>
      </c>
      <c r="R126" s="128"/>
      <c r="S126" s="25">
        <f t="shared" ref="S126:AB126" si="277">S10/S7</f>
        <v>1.731947192770017</v>
      </c>
      <c r="T126" s="25">
        <f t="shared" si="277"/>
        <v>1.731947192770017</v>
      </c>
      <c r="U126" s="25">
        <f t="shared" si="277"/>
        <v>1.731947192770017</v>
      </c>
      <c r="V126" s="25">
        <f t="shared" si="277"/>
        <v>1.731947192770017</v>
      </c>
      <c r="W126" s="25">
        <f t="shared" si="277"/>
        <v>1.731947192770017</v>
      </c>
      <c r="X126" s="25">
        <f t="shared" si="277"/>
        <v>1.731947192770017</v>
      </c>
      <c r="Y126" s="25">
        <f t="shared" si="277"/>
        <v>1.731947192770017</v>
      </c>
      <c r="Z126" s="25">
        <f t="shared" si="277"/>
        <v>1.7319471927700167</v>
      </c>
      <c r="AA126" s="25">
        <f t="shared" si="277"/>
        <v>1.7319471927700167</v>
      </c>
      <c r="AB126" s="25">
        <f t="shared" si="277"/>
        <v>1.7319471927700167</v>
      </c>
      <c r="AC126" s="118">
        <f t="shared" si="273"/>
        <v>0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0.51126292466765144</v>
      </c>
      <c r="H127" s="25">
        <f t="shared" ref="H127:P127" si="278">H10/(H10+H7)</f>
        <v>0.51019503546099287</v>
      </c>
      <c r="I127" s="25">
        <f t="shared" si="278"/>
        <v>0.41337745213897426</v>
      </c>
      <c r="J127" s="25">
        <f t="shared" si="278"/>
        <v>0.48168950797573579</v>
      </c>
      <c r="K127" s="25">
        <f t="shared" si="278"/>
        <v>0.53205737492439298</v>
      </c>
      <c r="L127" s="25">
        <f t="shared" si="278"/>
        <v>0.59289227813837064</v>
      </c>
      <c r="M127" s="25">
        <f t="shared" si="278"/>
        <v>0.53965086187990696</v>
      </c>
      <c r="N127" s="25">
        <f t="shared" si="278"/>
        <v>0.59849334829299572</v>
      </c>
      <c r="O127" s="25">
        <f t="shared" si="278"/>
        <v>0.63490663320453722</v>
      </c>
      <c r="P127" s="25">
        <f t="shared" si="278"/>
        <v>0.63396071393822773</v>
      </c>
      <c r="Q127" s="118">
        <f t="shared" si="202"/>
        <v>2.4188235325970808E-2</v>
      </c>
      <c r="R127" s="128"/>
      <c r="S127" s="25">
        <f t="shared" ref="S127:AB127" si="279">S10/(S10+S7)</f>
        <v>0.63396071393822773</v>
      </c>
      <c r="T127" s="25">
        <f t="shared" si="279"/>
        <v>0.63396071393822773</v>
      </c>
      <c r="U127" s="25">
        <f t="shared" si="279"/>
        <v>0.63396071393822773</v>
      </c>
      <c r="V127" s="25">
        <f t="shared" si="279"/>
        <v>0.63396071393822773</v>
      </c>
      <c r="W127" s="25">
        <f t="shared" si="279"/>
        <v>0.63396071393822773</v>
      </c>
      <c r="X127" s="25">
        <f t="shared" si="279"/>
        <v>0.63396071393822773</v>
      </c>
      <c r="Y127" s="25">
        <f t="shared" si="279"/>
        <v>0.63396071393822773</v>
      </c>
      <c r="Z127" s="25">
        <f t="shared" si="279"/>
        <v>0.63396071393822773</v>
      </c>
      <c r="AA127" s="25">
        <f t="shared" si="279"/>
        <v>0.63396071393822762</v>
      </c>
      <c r="AB127" s="25">
        <f t="shared" si="279"/>
        <v>0.63396071393822762</v>
      </c>
      <c r="AC127" s="118">
        <f t="shared" si="273"/>
        <v>0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2658</v>
      </c>
      <c r="H129" s="25">
        <f t="shared" ref="H129:P129" si="280">H16</f>
        <v>3938</v>
      </c>
      <c r="I129" s="25">
        <f t="shared" si="280"/>
        <v>3900</v>
      </c>
      <c r="J129" s="25">
        <f t="shared" si="280"/>
        <v>6064</v>
      </c>
      <c r="K129" s="25">
        <f t="shared" si="280"/>
        <v>9965</v>
      </c>
      <c r="L129" s="25">
        <f t="shared" si="280"/>
        <v>13021</v>
      </c>
      <c r="M129" s="25">
        <f t="shared" si="280"/>
        <v>17779</v>
      </c>
      <c r="N129" s="25">
        <f t="shared" si="280"/>
        <v>26037</v>
      </c>
      <c r="O129" s="25">
        <f t="shared" si="280"/>
        <v>39140</v>
      </c>
      <c r="P129" s="25">
        <f t="shared" si="280"/>
        <v>44647</v>
      </c>
      <c r="Q129" s="118">
        <f t="shared" si="202"/>
        <v>0.36816185654799338</v>
      </c>
      <c r="R129" s="128"/>
      <c r="S129" s="25">
        <f t="shared" ref="S129:AB129" si="281">S16</f>
        <v>50004.640000000007</v>
      </c>
      <c r="T129" s="25">
        <f t="shared" si="281"/>
        <v>56005.196800000012</v>
      </c>
      <c r="U129" s="25">
        <f t="shared" si="281"/>
        <v>62725.820416000017</v>
      </c>
      <c r="V129" s="25">
        <f t="shared" si="281"/>
        <v>70252.91886592003</v>
      </c>
      <c r="W129" s="25">
        <f t="shared" si="281"/>
        <v>78683.269129830442</v>
      </c>
      <c r="X129" s="25">
        <f t="shared" si="281"/>
        <v>88125.261425410106</v>
      </c>
      <c r="Y129" s="25">
        <f t="shared" si="281"/>
        <v>98700.292796459325</v>
      </c>
      <c r="Z129" s="25">
        <f t="shared" si="281"/>
        <v>110544.32793203446</v>
      </c>
      <c r="AA129" s="25">
        <f t="shared" si="281"/>
        <v>123809.6472838786</v>
      </c>
      <c r="AB129" s="25">
        <f t="shared" si="281"/>
        <v>138666.80495794406</v>
      </c>
      <c r="AC129" s="118">
        <f t="shared" si="273"/>
        <v>0.12000000000000011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82">G129*365/G25</f>
        <v>81.691647019198385</v>
      </c>
      <c r="H130" s="119">
        <f t="shared" si="282"/>
        <v>95.045295245652312</v>
      </c>
      <c r="I130" s="119">
        <f t="shared" si="282"/>
        <v>83.937732177604815</v>
      </c>
      <c r="J130" s="119">
        <f t="shared" si="282"/>
        <v>102.58910776361529</v>
      </c>
      <c r="K130" s="119">
        <f t="shared" si="282"/>
        <v>118.4223806733086</v>
      </c>
      <c r="L130" s="119">
        <f t="shared" si="282"/>
        <v>112.79613148214074</v>
      </c>
      <c r="M130" s="119">
        <f t="shared" si="282"/>
        <v>140.28568031475638</v>
      </c>
      <c r="N130" s="119">
        <f t="shared" si="282"/>
        <v>178.38582824964806</v>
      </c>
      <c r="O130" s="119">
        <f t="shared" si="282"/>
        <v>217.06449897439794</v>
      </c>
      <c r="P130" s="119">
        <f t="shared" si="282"/>
        <v>210.24583924654883</v>
      </c>
      <c r="Q130" s="118">
        <f t="shared" si="202"/>
        <v>0.11075081289992061</v>
      </c>
      <c r="R130" s="128"/>
      <c r="S130" s="119">
        <f t="shared" ref="S130:AB130" si="283">S129*365/S25</f>
        <v>210.24583924654883</v>
      </c>
      <c r="T130" s="119">
        <f t="shared" si="283"/>
        <v>210.24583924654885</v>
      </c>
      <c r="U130" s="119">
        <f t="shared" si="283"/>
        <v>210.24583924654883</v>
      </c>
      <c r="V130" s="119">
        <f t="shared" si="283"/>
        <v>210.24583924654883</v>
      </c>
      <c r="W130" s="119">
        <f t="shared" si="283"/>
        <v>210.24583924654883</v>
      </c>
      <c r="X130" s="119">
        <f t="shared" si="283"/>
        <v>210.24583924654883</v>
      </c>
      <c r="Y130" s="119">
        <f t="shared" si="283"/>
        <v>210.24583924654883</v>
      </c>
      <c r="Z130" s="119">
        <f t="shared" si="283"/>
        <v>210.24583924654883</v>
      </c>
      <c r="AA130" s="119">
        <f t="shared" si="283"/>
        <v>210.24583924654883</v>
      </c>
      <c r="AB130" s="119">
        <f t="shared" si="283"/>
        <v>210.24583924654883</v>
      </c>
      <c r="AC130" s="118">
        <f t="shared" si="273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>
        <f>G78/G29</f>
        <v>0.72347266881028938</v>
      </c>
      <c r="H131" s="133">
        <f t="shared" ref="H131:P131" si="284">H78/H29</f>
        <v>0.33515462175406974</v>
      </c>
      <c r="I131" s="133">
        <f t="shared" si="284"/>
        <v>0.35367960250607255</v>
      </c>
      <c r="J131" s="133">
        <f t="shared" si="284"/>
        <v>0.21121451596131849</v>
      </c>
      <c r="K131" s="133">
        <f t="shared" si="284"/>
        <v>0.15993935213183449</v>
      </c>
      <c r="L131" s="133">
        <f t="shared" si="284"/>
        <v>6.3482383423259528E-2</v>
      </c>
      <c r="M131" s="133">
        <f t="shared" si="284"/>
        <v>6.4711122479521321E-2</v>
      </c>
      <c r="N131" s="133">
        <f t="shared" si="284"/>
        <v>0.15368966008580973</v>
      </c>
      <c r="O131" s="133">
        <f t="shared" si="284"/>
        <v>0.13007639485016739</v>
      </c>
      <c r="P131" s="133">
        <f t="shared" si="284"/>
        <v>7.6482473380662636E-2</v>
      </c>
      <c r="Q131" s="118">
        <f t="shared" si="202"/>
        <v>-0.22093967385664903</v>
      </c>
      <c r="R131" s="128"/>
      <c r="S131" s="133">
        <f t="shared" ref="S131:AB131" si="285">S78/S29</f>
        <v>7.2840450838726326E-2</v>
      </c>
      <c r="T131" s="133">
        <f t="shared" si="285"/>
        <v>6.9371857941644119E-2</v>
      </c>
      <c r="U131" s="133">
        <f t="shared" si="285"/>
        <v>6.6068436134899156E-2</v>
      </c>
      <c r="V131" s="133">
        <f t="shared" si="285"/>
        <v>6.2922320128475387E-2</v>
      </c>
      <c r="W131" s="133">
        <f t="shared" si="285"/>
        <v>5.9926019169976558E-2</v>
      </c>
      <c r="X131" s="133">
        <f t="shared" si="285"/>
        <v>5.7072399209501481E-2</v>
      </c>
      <c r="Y131" s="133">
        <f t="shared" si="285"/>
        <v>5.4354665913810933E-2</v>
      </c>
      <c r="Z131" s="133">
        <f t="shared" si="285"/>
        <v>5.1766348489343743E-2</v>
      </c>
      <c r="AA131" s="133">
        <f t="shared" si="285"/>
        <v>4.9301284275565467E-2</v>
      </c>
      <c r="AB131" s="133">
        <f t="shared" si="285"/>
        <v>4.6953604071967116E-2</v>
      </c>
      <c r="AC131" s="118">
        <f t="shared" si="273"/>
        <v>-4.7619047619047672E-2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>
        <f>G25/G14</f>
        <v>6.0376207422470767</v>
      </c>
      <c r="H133" s="180">
        <f t="shared" ref="H133:P133" si="286">H25/H14</f>
        <v>6.2132292522596551</v>
      </c>
      <c r="I133" s="180">
        <f t="shared" si="286"/>
        <v>6.8465886152603961</v>
      </c>
      <c r="J133" s="180">
        <f t="shared" si="286"/>
        <v>5.8675550720696217</v>
      </c>
      <c r="K133" s="180">
        <f t="shared" si="286"/>
        <v>6.119545726240287</v>
      </c>
      <c r="L133" s="180">
        <f t="shared" si="286"/>
        <v>5.9303307529908516</v>
      </c>
      <c r="M133" s="180">
        <f t="shared" si="286"/>
        <v>19.452481076534902</v>
      </c>
      <c r="N133" s="180">
        <f t="shared" si="286"/>
        <v>17.524671052631579</v>
      </c>
      <c r="O133" s="180">
        <f t="shared" si="286"/>
        <v>15.56278079924332</v>
      </c>
      <c r="P133" s="180">
        <f t="shared" si="286"/>
        <v>14.995163474559876</v>
      </c>
      <c r="Q133" s="118">
        <f t="shared" si="202"/>
        <v>0.10636486427740732</v>
      </c>
      <c r="R133" s="128"/>
      <c r="S133" s="20">
        <f t="shared" ref="S133" si="287">S25/S14</f>
        <v>14.995163474559876</v>
      </c>
      <c r="T133" s="20">
        <f t="shared" ref="T133:AB133" si="288">T25/T14</f>
        <v>14.995163474559876</v>
      </c>
      <c r="U133" s="20">
        <f t="shared" si="288"/>
        <v>14.995163474559876</v>
      </c>
      <c r="V133" s="20">
        <f t="shared" si="288"/>
        <v>14.995163474559876</v>
      </c>
      <c r="W133" s="20">
        <f t="shared" si="288"/>
        <v>14.995163474559876</v>
      </c>
      <c r="X133" s="20">
        <f t="shared" si="288"/>
        <v>14.995163474559877</v>
      </c>
      <c r="Y133" s="20">
        <f t="shared" si="288"/>
        <v>14.995163474559876</v>
      </c>
      <c r="Z133" s="20">
        <f t="shared" si="288"/>
        <v>14.995163474559876</v>
      </c>
      <c r="AA133" s="20">
        <f t="shared" si="288"/>
        <v>14.995163474559876</v>
      </c>
      <c r="AB133" s="20">
        <f t="shared" si="288"/>
        <v>14.995163474559876</v>
      </c>
      <c r="AC133" s="118">
        <f t="shared" si="273"/>
        <v>0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>
        <f>G27/G14</f>
        <v>5.3472292831723438</v>
      </c>
      <c r="H134" s="180">
        <f t="shared" ref="H134:P134" si="289">H27/H14</f>
        <v>5.4186524239934268</v>
      </c>
      <c r="I134" s="180">
        <f t="shared" si="289"/>
        <v>5.8922083165119092</v>
      </c>
      <c r="J134" s="180">
        <f t="shared" si="289"/>
        <v>4.8262170247484359</v>
      </c>
      <c r="K134" s="180">
        <f t="shared" si="289"/>
        <v>5.1570033871289098</v>
      </c>
      <c r="L134" s="180">
        <f t="shared" si="289"/>
        <v>4.8833216045038705</v>
      </c>
      <c r="M134" s="180">
        <f t="shared" si="289"/>
        <v>14.843566021867115</v>
      </c>
      <c r="N134" s="180">
        <f t="shared" si="289"/>
        <v>14.579605263157895</v>
      </c>
      <c r="O134" s="180">
        <f t="shared" si="289"/>
        <v>13.279735161976827</v>
      </c>
      <c r="P134" s="180">
        <f t="shared" si="289"/>
        <v>12.798026697620429</v>
      </c>
      <c r="Q134" s="118">
        <f t="shared" si="202"/>
        <v>0.10182517085025111</v>
      </c>
      <c r="R134" s="128"/>
      <c r="S134" s="20">
        <f t="shared" ref="S134:AB134" si="290">S27/S14</f>
        <v>12.798026697620427</v>
      </c>
      <c r="T134" s="20">
        <f t="shared" si="290"/>
        <v>12.798026697620429</v>
      </c>
      <c r="U134" s="20">
        <f t="shared" si="290"/>
        <v>12.798026697620429</v>
      </c>
      <c r="V134" s="20">
        <f t="shared" si="290"/>
        <v>12.798026697620427</v>
      </c>
      <c r="W134" s="20">
        <f t="shared" si="290"/>
        <v>12.798026697620427</v>
      </c>
      <c r="X134" s="20">
        <f t="shared" si="290"/>
        <v>12.798026697620427</v>
      </c>
      <c r="Y134" s="20">
        <f t="shared" si="290"/>
        <v>12.798026697620427</v>
      </c>
      <c r="Z134" s="20">
        <f t="shared" si="290"/>
        <v>12.798026697620427</v>
      </c>
      <c r="AA134" s="20">
        <f t="shared" si="290"/>
        <v>12.798026697620426</v>
      </c>
      <c r="AB134" s="20">
        <f t="shared" si="290"/>
        <v>12.798026697620427</v>
      </c>
      <c r="AC134" s="118">
        <f t="shared" si="273"/>
        <v>0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77.346371440100626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194.59028430242904</v>
      </c>
      <c r="S138" s="133">
        <f>PV($C$1, ($AB$3-$S$3), 0, -AB52)</f>
        <v>27.115039615912238</v>
      </c>
      <c r="T138" s="133">
        <f>PV($C$1, ($AB$3-$S$3), 0, -AE52)</f>
        <v>167.47524468651679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291">S139+T139</f>
        <v>1257.6126047329535</v>
      </c>
      <c r="S139" s="133">
        <f>PV($C$1, ($AB$3-$S$3), 0, -AB54)</f>
        <v>175.2411006595099</v>
      </c>
      <c r="T139" s="133">
        <f>PV($C$1, ($AB$3-$S$3), 0, -AE54)</f>
        <v>1082.3715040734437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291"/>
        <v>1253.044060169259</v>
      </c>
      <c r="S140" s="133">
        <f>PV($C$1, ($AB$3-$S$3), 0, -AB55)</f>
        <v>174.60450018751965</v>
      </c>
      <c r="T140" s="133">
        <f>PV($C$1, ($AB$3-$S$3), 0, -AE55)</f>
        <v>1078.4395599817392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291"/>
        <v>2178.118620359428</v>
      </c>
      <c r="S141" s="133">
        <f>PV($C$1, ($AB$3-$S$3), 0, -AB56)</f>
        <v>303.50833234516614</v>
      </c>
      <c r="T141" s="133">
        <f>PV($C$1, ($AB$3-$S$3), 0, -AE56)</f>
        <v>1874.6102880142616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291"/>
        <v>134.86492122582931</v>
      </c>
      <c r="S142" s="133">
        <f>PV($C$1, ($AB$3-$S$3), 0, -AB62)</f>
        <v>18.792652957697523</v>
      </c>
      <c r="T142" s="133">
        <f>PV($C$1, ($AB$3-$S$3), 0, -AE62)</f>
        <v>116.07226826813179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291"/>
        <v>-920.50601562647421</v>
      </c>
      <c r="S144" s="133">
        <f>PV($C$1, ($AB$3-$S$3), 0, -AB58)</f>
        <v>-128.26723168565621</v>
      </c>
      <c r="T144" s="133">
        <f>PV($C$1, ($AB$3-$S$3), 0, -$AE$58)</f>
        <v>-792.23878394081794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91"/>
        <v>-2594.4133152366235</v>
      </c>
      <c r="S145" s="133">
        <f>PV($C$1, ($AB$3-$S$3), 0, -AB59)</f>
        <v>-361.51660950018521</v>
      </c>
      <c r="T145" s="133">
        <f>PV($C$1, ($AB$3-$S$3), 0, -$AE$59)</f>
        <v>-2232.8967057364384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291"/>
        <v>-1412.7202640662126</v>
      </c>
      <c r="S146" s="133">
        <f>PV($C$1, ($AB$3-$S$3), 0, -AB60)</f>
        <v>-196.85446302561979</v>
      </c>
      <c r="T146" s="133">
        <f>PV($C$1, ($AB$3-$S$3), 0, -$AE$60)</f>
        <v>-1215.8658010405929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91"/>
        <v>1181.6930511704104</v>
      </c>
      <c r="S148" s="133">
        <f>PV($C$1, ($AB$3-$S$3), 0, -AB65)</f>
        <v>164.66214647456536</v>
      </c>
      <c r="T148" s="133">
        <f>PV($C$1, ($AB$3-$S$3), 0, -AE65)</f>
        <v>1017.030904695845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91"/>
        <v>1281.4193478566287</v>
      </c>
      <c r="S149" s="133">
        <f>PV($C$1, ($AB$3-$S$3), 0, -AB66)</f>
        <v>231.07562010529372</v>
      </c>
      <c r="T149" s="133">
        <f>PV($C$1, ($AB$3-$S$3), 0, -AE66)</f>
        <v>1050.3437277513351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292">S151+T151</f>
        <v>13516.95627218502</v>
      </c>
      <c r="S151" s="133">
        <f>PV($C$1, ($AB$3-$S$3), 0, -AB12)</f>
        <v>1883.5103002225026</v>
      </c>
      <c r="T151" s="133">
        <f>PV($C$1, ($AB$3-$S$3), 0, -AE12)</f>
        <v>11633.445971962517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219.68074552551633</v>
      </c>
      <c r="S152" s="140">
        <f>S151/P42</f>
        <v>30.611251425686699</v>
      </c>
      <c r="T152" s="140">
        <f>T151/P42</f>
        <v>189.06949409982963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293">S155+T155</f>
        <v>175.31867132530724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144.23254405545887</v>
      </c>
      <c r="T155" s="133">
        <f>PV($C$1, ($AB$3-$S$3), 0, -AE68)</f>
        <v>31.086127269848372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291"/>
        <v>46600.976840000701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38338.05831571226</v>
      </c>
      <c r="T157" s="133">
        <f>PV($C$1, ($AB$3-$S$3), 0, -AE70)</f>
        <v>8262.9185242884432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294">S159+T159</f>
        <v>464.95948821749386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382.51653039223584</v>
      </c>
      <c r="T159" s="133">
        <f>PV($C$1, ($AB$3-$S$3), 0, -AE72)</f>
        <v>82.44295782525802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294"/>
        <v>381.12615668545254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313.54786554834692</v>
      </c>
      <c r="T160" s="133">
        <f>PV($C$1, ($AB$3-$S$3), 0, -AE73)</f>
        <v>67.578291137105651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294"/>
        <v>83.833331532041356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68.968664843888973</v>
      </c>
      <c r="T161" s="133">
        <f>PV($C$1, ($AB$3-$S$3), 0, -AE74)</f>
        <v>14.864666688152377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294"/>
        <v>-539.05733608774995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-443.4759309316733</v>
      </c>
      <c r="T162" s="133">
        <f>PV($C$1, ($AB$3-$S$3), 0, -AE75)</f>
        <v>-95.581405156076613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269.52866804387497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221.73796546583665</v>
      </c>
      <c r="T164" s="133">
        <f>PV($C$1, ($AB$3-$S$3), 0, -AE76)</f>
        <v>47.790702578038307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1310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>
        <v>1271</v>
      </c>
      <c r="Q166" s="20" t="s">
        <v>392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530</v>
      </c>
      <c r="H167" s="22">
        <v>965</v>
      </c>
      <c r="I167" s="22">
        <v>2375</v>
      </c>
      <c r="J167" s="22">
        <v>1400</v>
      </c>
      <c r="K167" s="22">
        <v>2550</v>
      </c>
      <c r="L167" s="22">
        <v>580</v>
      </c>
      <c r="M167" s="22">
        <v>1550</v>
      </c>
      <c r="N167" s="22">
        <v>1500</v>
      </c>
      <c r="O167" s="22">
        <v>1280</v>
      </c>
      <c r="P167" s="22">
        <v>1310</v>
      </c>
      <c r="Q167" s="118">
        <f t="shared" ref="Q167:Q172" si="295">((P167/G167)^(1/($H$2-$H$1) ))-1</f>
        <v>0.10577345071851729</v>
      </c>
      <c r="R167" s="31">
        <f>L2-3%</f>
        <v>0.09</v>
      </c>
      <c r="S167" s="119">
        <f t="shared" ref="S167" si="296">P167*(1+$R167)</f>
        <v>1427.9</v>
      </c>
      <c r="T167" s="119">
        <f t="shared" ref="T167:AB167" si="297">S167*(1+$R167)</f>
        <v>1556.4110000000003</v>
      </c>
      <c r="U167" s="119">
        <f t="shared" si="297"/>
        <v>1696.4879900000005</v>
      </c>
      <c r="V167" s="119">
        <f t="shared" si="297"/>
        <v>1849.1719091000007</v>
      </c>
      <c r="W167" s="119">
        <f t="shared" si="297"/>
        <v>2015.5973809190009</v>
      </c>
      <c r="X167" s="119">
        <f t="shared" si="297"/>
        <v>2197.0011452017111</v>
      </c>
      <c r="Y167" s="119">
        <f t="shared" si="297"/>
        <v>2394.7312482698653</v>
      </c>
      <c r="Z167" s="119">
        <f t="shared" si="297"/>
        <v>2610.2570606141535</v>
      </c>
      <c r="AA167" s="119">
        <f t="shared" si="297"/>
        <v>2845.1801960694274</v>
      </c>
      <c r="AB167" s="119">
        <f t="shared" si="297"/>
        <v>3101.2464137156762</v>
      </c>
      <c r="AC167" s="138">
        <f t="shared" ref="AC167:AC172" si="298">((AB167/G167)^(1/($AB$3-$H$1) ))-1</f>
        <v>9.7443388868238889E-2</v>
      </c>
      <c r="AD167" s="31">
        <v>0.08</v>
      </c>
      <c r="AE167" s="127">
        <f t="shared" ref="AE167:AE175" si="299">(AB167*(1+AC167))/($C$1-AD167)</f>
        <v>24310.302671311456</v>
      </c>
    </row>
    <row r="168" spans="2:31" x14ac:dyDescent="0.2">
      <c r="B168" s="20" t="s">
        <v>361</v>
      </c>
      <c r="C168" s="25" t="e">
        <f t="shared" ref="C168:P168" si="300">C167/C49</f>
        <v>#DIV/0!</v>
      </c>
      <c r="D168" s="25" t="e">
        <f t="shared" si="300"/>
        <v>#DIV/0!</v>
      </c>
      <c r="E168" s="25" t="e">
        <f t="shared" si="300"/>
        <v>#DIV/0!</v>
      </c>
      <c r="F168" s="25" t="e">
        <f t="shared" si="300"/>
        <v>#DIV/0!</v>
      </c>
      <c r="G168" s="25">
        <f t="shared" si="300"/>
        <v>0.55517009093971037</v>
      </c>
      <c r="H168" s="25">
        <f t="shared" si="300"/>
        <v>0.82889307677048207</v>
      </c>
      <c r="I168" s="25">
        <f t="shared" si="300"/>
        <v>1.9227991037207381</v>
      </c>
      <c r="J168" s="25">
        <f t="shared" si="300"/>
        <v>1.8376825028968713</v>
      </c>
      <c r="K168" s="25">
        <f t="shared" si="300"/>
        <v>2.4267923422543465</v>
      </c>
      <c r="L168" s="25">
        <f t="shared" si="300"/>
        <v>0.80609469562121749</v>
      </c>
      <c r="M168" s="25">
        <f t="shared" si="300"/>
        <v>2.0174996757317651</v>
      </c>
      <c r="N168" s="25">
        <f t="shared" si="300"/>
        <v>1.7141248240262787</v>
      </c>
      <c r="O168" s="25">
        <f t="shared" si="300"/>
        <v>1.1908288384106966</v>
      </c>
      <c r="P168" s="25">
        <f t="shared" si="300"/>
        <v>1.0399213004773578</v>
      </c>
      <c r="Q168" s="118">
        <f t="shared" ref="Q168" si="301">((P168/G168)^(1/($H$2-$H$1) ))-1</f>
        <v>7.2225288492234752E-2</v>
      </c>
      <c r="R168" s="128"/>
      <c r="S168" s="25">
        <f t="shared" ref="S168:AB168" si="302">S167/S49</f>
        <v>1.0626695789252998</v>
      </c>
      <c r="T168" s="25">
        <f t="shared" si="302"/>
        <v>1.0859154759642908</v>
      </c>
      <c r="U168" s="25">
        <f t="shared" si="302"/>
        <v>1.1096698770010098</v>
      </c>
      <c r="V168" s="25">
        <f t="shared" si="302"/>
        <v>1.1339439055604068</v>
      </c>
      <c r="W168" s="25">
        <f t="shared" si="302"/>
        <v>1.1587489284945405</v>
      </c>
      <c r="X168" s="25">
        <f t="shared" si="302"/>
        <v>1.1840965613053585</v>
      </c>
      <c r="Y168" s="25">
        <f t="shared" si="302"/>
        <v>1.2099986735839134</v>
      </c>
      <c r="Z168" s="25">
        <f t="shared" si="302"/>
        <v>1.2364673945685618</v>
      </c>
      <c r="AA168" s="25">
        <f t="shared" si="302"/>
        <v>1.2635151188247489</v>
      </c>
      <c r="AB168" s="25">
        <f t="shared" si="302"/>
        <v>1.2911545120490404</v>
      </c>
      <c r="AC168" s="138">
        <f t="shared" ref="AC168" si="303">((AB168/G168)^(1/($AB$3-$H$1) ))-1</f>
        <v>4.542340468248951E-2</v>
      </c>
      <c r="AD168" s="31">
        <v>0.08</v>
      </c>
      <c r="AE168" s="127">
        <f t="shared" ref="AE168" si="304">(AB168*(1+AC168))/($C$1-AD168)</f>
        <v>9.6414510425533297</v>
      </c>
    </row>
    <row r="169" spans="2:31" x14ac:dyDescent="0.2">
      <c r="B169" s="20" t="s">
        <v>389</v>
      </c>
      <c r="C169" s="25" t="e">
        <f t="shared" ref="C169:P169" si="305">C167/C52</f>
        <v>#DIV/0!</v>
      </c>
      <c r="D169" s="25" t="e">
        <f t="shared" si="305"/>
        <v>#DIV/0!</v>
      </c>
      <c r="E169" s="25" t="e">
        <f t="shared" si="305"/>
        <v>#DIV/0!</v>
      </c>
      <c r="F169" s="25" t="e">
        <f t="shared" si="305"/>
        <v>#DIV/0!</v>
      </c>
      <c r="G169" s="25">
        <f t="shared" si="305"/>
        <v>8.6752631578947366</v>
      </c>
      <c r="H169" s="25">
        <f t="shared" si="305"/>
        <v>11.192276785714286</v>
      </c>
      <c r="I169" s="25">
        <f t="shared" si="305"/>
        <v>25.278100775193799</v>
      </c>
      <c r="J169" s="25">
        <f t="shared" si="305"/>
        <v>17.535603715170279</v>
      </c>
      <c r="K169" s="25">
        <f t="shared" si="305"/>
        <v>33.024590163934427</v>
      </c>
      <c r="L169" s="25">
        <f t="shared" si="305"/>
        <v>11.576278118609407</v>
      </c>
      <c r="M169" s="25">
        <f t="shared" si="305"/>
        <v>17.149117971334068</v>
      </c>
      <c r="N169" s="25">
        <f t="shared" si="305"/>
        <v>20.535192264447943</v>
      </c>
      <c r="O169" s="25">
        <f t="shared" si="305"/>
        <v>16.739513028620244</v>
      </c>
      <c r="P169" s="25">
        <f t="shared" si="305"/>
        <v>15.385436151937393</v>
      </c>
      <c r="Q169" s="118">
        <f t="shared" si="295"/>
        <v>6.5730663561946123E-2</v>
      </c>
      <c r="R169" s="128"/>
      <c r="S169" s="119">
        <f t="shared" ref="S169:AB169" si="306">S167/S52</f>
        <v>15.721992567761022</v>
      </c>
      <c r="T169" s="119">
        <f t="shared" si="306"/>
        <v>16.0659111551808</v>
      </c>
      <c r="U169" s="119">
        <f t="shared" si="306"/>
        <v>16.417352961700377</v>
      </c>
      <c r="V169" s="119">
        <f t="shared" si="306"/>
        <v>16.776482557737573</v>
      </c>
      <c r="W169" s="119">
        <f t="shared" si="306"/>
        <v>17.143468113688083</v>
      </c>
      <c r="X169" s="119">
        <f t="shared" si="306"/>
        <v>17.51848147867501</v>
      </c>
      <c r="Y169" s="119">
        <f t="shared" si="306"/>
        <v>17.901698261021021</v>
      </c>
      <c r="Z169" s="119">
        <f t="shared" si="306"/>
        <v>18.29329791048086</v>
      </c>
      <c r="AA169" s="119">
        <f t="shared" si="306"/>
        <v>18.693463802272628</v>
      </c>
      <c r="AB169" s="119">
        <f t="shared" si="306"/>
        <v>19.102383322947347</v>
      </c>
      <c r="AC169" s="138">
        <f t="shared" si="298"/>
        <v>4.2419106722788147E-2</v>
      </c>
      <c r="AD169" s="31">
        <v>0.08</v>
      </c>
      <c r="AE169" s="127">
        <f t="shared" si="299"/>
        <v>142.23349542702184</v>
      </c>
    </row>
    <row r="170" spans="2:31" x14ac:dyDescent="0.2">
      <c r="B170" s="20" t="s">
        <v>258</v>
      </c>
      <c r="C170" s="25" t="e">
        <f t="shared" ref="C170:P170" si="307">C167/C55</f>
        <v>#DIV/0!</v>
      </c>
      <c r="D170" s="25" t="e">
        <f t="shared" si="307"/>
        <v>#DIV/0!</v>
      </c>
      <c r="E170" s="25" t="e">
        <f t="shared" si="307"/>
        <v>#DIV/0!</v>
      </c>
      <c r="F170" s="25" t="e">
        <f t="shared" si="307"/>
        <v>#DIV/0!</v>
      </c>
      <c r="G170" s="25">
        <f t="shared" si="307"/>
        <v>2.5145690312738367</v>
      </c>
      <c r="H170" s="25">
        <f t="shared" si="307"/>
        <v>3.8809133126934987</v>
      </c>
      <c r="I170" s="25">
        <f t="shared" si="307"/>
        <v>6.6930931855500821</v>
      </c>
      <c r="J170" s="25">
        <f t="shared" si="307"/>
        <v>5.799882972498537</v>
      </c>
      <c r="K170" s="25">
        <f t="shared" si="307"/>
        <v>6.9362088218872131</v>
      </c>
      <c r="L170" s="25">
        <f t="shared" si="307"/>
        <v>2.5038555105049762</v>
      </c>
      <c r="M170" s="25">
        <f t="shared" si="307"/>
        <v>4.5546852122986818</v>
      </c>
      <c r="N170" s="25">
        <f t="shared" si="307"/>
        <v>3.7252182426368607</v>
      </c>
      <c r="O170" s="25">
        <f t="shared" si="307"/>
        <v>2.6781848004373972</v>
      </c>
      <c r="P170" s="25">
        <f t="shared" si="307"/>
        <v>2.3892666587621529</v>
      </c>
      <c r="Q170" s="118">
        <f t="shared" si="295"/>
        <v>-5.6633411456291638E-3</v>
      </c>
      <c r="R170" s="128"/>
      <c r="S170" s="119">
        <f t="shared" ref="S170:AB170" si="308">S167/S55</f>
        <v>2.4415318669225745</v>
      </c>
      <c r="T170" s="119">
        <f t="shared" si="308"/>
        <v>2.4949403765115061</v>
      </c>
      <c r="U170" s="119">
        <f t="shared" si="308"/>
        <v>2.5495171972476953</v>
      </c>
      <c r="V170" s="119">
        <f t="shared" si="308"/>
        <v>2.6052878859374888</v>
      </c>
      <c r="W170" s="119">
        <f t="shared" si="308"/>
        <v>2.6622785584423712</v>
      </c>
      <c r="X170" s="119">
        <f t="shared" si="308"/>
        <v>2.7205159019082976</v>
      </c>
      <c r="Y170" s="119">
        <f t="shared" si="308"/>
        <v>2.7800271872625419</v>
      </c>
      <c r="Z170" s="119">
        <f t="shared" si="308"/>
        <v>2.84084028198391</v>
      </c>
      <c r="AA170" s="119">
        <f t="shared" si="308"/>
        <v>2.9029836631523085</v>
      </c>
      <c r="AB170" s="119">
        <f t="shared" si="308"/>
        <v>2.9664864307837657</v>
      </c>
      <c r="AC170" s="138">
        <f t="shared" si="298"/>
        <v>8.7367234287072382E-3</v>
      </c>
      <c r="AD170" s="31">
        <v>0.08</v>
      </c>
      <c r="AE170" s="127">
        <f t="shared" si="299"/>
        <v>21.374312873460973</v>
      </c>
    </row>
    <row r="171" spans="2:31" x14ac:dyDescent="0.2">
      <c r="B171" s="20" t="s">
        <v>259</v>
      </c>
      <c r="C171" s="25" t="e">
        <f t="shared" ref="C171:P171" si="309">C167/C64</f>
        <v>#DIV/0!</v>
      </c>
      <c r="D171" s="25" t="e">
        <f t="shared" si="309"/>
        <v>#DIV/0!</v>
      </c>
      <c r="E171" s="25" t="e">
        <f t="shared" si="309"/>
        <v>#DIV/0!</v>
      </c>
      <c r="F171" s="25" t="e">
        <f t="shared" si="309"/>
        <v>#DIV/0!</v>
      </c>
      <c r="G171" s="25">
        <f t="shared" si="309"/>
        <v>5.6837931034482754</v>
      </c>
      <c r="H171" s="25">
        <f t="shared" si="309"/>
        <v>7.5106950269622521</v>
      </c>
      <c r="I171" s="25">
        <f t="shared" si="309"/>
        <v>13.095883534136545</v>
      </c>
      <c r="J171" s="25">
        <f t="shared" si="309"/>
        <v>9.4512514898688931</v>
      </c>
      <c r="K171" s="25">
        <f t="shared" si="309"/>
        <v>10.480385264341956</v>
      </c>
      <c r="L171" s="25">
        <f t="shared" si="309"/>
        <v>4.1104683528984634</v>
      </c>
      <c r="M171" s="25">
        <f t="shared" si="309"/>
        <v>7.0444972826086962</v>
      </c>
      <c r="N171" s="25">
        <f t="shared" si="309"/>
        <v>7.1010886469673418</v>
      </c>
      <c r="O171" s="25">
        <f t="shared" si="309"/>
        <v>6.3662090813093979</v>
      </c>
      <c r="P171" s="25">
        <f t="shared" si="309"/>
        <v>6.5013953863526375</v>
      </c>
      <c r="Q171" s="118">
        <f t="shared" si="295"/>
        <v>1.5045169236409084E-2</v>
      </c>
      <c r="R171" s="128"/>
      <c r="S171" s="119">
        <f t="shared" ref="S171:AB171" si="310">S167/S64</f>
        <v>6.6436134104291016</v>
      </c>
      <c r="T171" s="119">
        <f t="shared" si="310"/>
        <v>6.7889424537822389</v>
      </c>
      <c r="U171" s="119">
        <f t="shared" si="310"/>
        <v>6.9374505699587257</v>
      </c>
      <c r="V171" s="119">
        <f t="shared" si="310"/>
        <v>7.0892073011765717</v>
      </c>
      <c r="W171" s="119">
        <f t="shared" si="310"/>
        <v>7.2442837108898095</v>
      </c>
      <c r="X171" s="119">
        <f t="shared" si="310"/>
        <v>7.402752417065523</v>
      </c>
      <c r="Y171" s="119">
        <f t="shared" si="310"/>
        <v>7.5646876261888316</v>
      </c>
      <c r="Z171" s="119">
        <f t="shared" si="310"/>
        <v>7.7301651680117143</v>
      </c>
      <c r="AA171" s="119">
        <f t="shared" si="310"/>
        <v>7.8992625310619706</v>
      </c>
      <c r="AB171" s="119">
        <f t="shared" si="310"/>
        <v>8.072058898928951</v>
      </c>
      <c r="AC171" s="138">
        <f t="shared" si="298"/>
        <v>1.8634107376895193E-2</v>
      </c>
      <c r="AD171" s="31">
        <v>0.08</v>
      </c>
      <c r="AE171" s="127">
        <f t="shared" si="299"/>
        <v>58.731960794315818</v>
      </c>
    </row>
    <row r="172" spans="2:31" x14ac:dyDescent="0.2">
      <c r="B172" s="20" t="s">
        <v>260</v>
      </c>
      <c r="C172" s="25" t="e">
        <f t="shared" ref="C172:P172" si="311">C167/C66</f>
        <v>#DIV/0!</v>
      </c>
      <c r="D172" s="25" t="e">
        <f t="shared" si="311"/>
        <v>#DIV/0!</v>
      </c>
      <c r="E172" s="25" t="e">
        <f t="shared" si="311"/>
        <v>#DIV/0!</v>
      </c>
      <c r="F172" s="25" t="e">
        <f t="shared" si="311"/>
        <v>#DIV/0!</v>
      </c>
      <c r="G172" s="25">
        <f t="shared" si="311"/>
        <v>2.4805116629044393</v>
      </c>
      <c r="H172" s="25">
        <f t="shared" si="311"/>
        <v>3.1831767394616559</v>
      </c>
      <c r="I172" s="25">
        <f t="shared" si="311"/>
        <v>8.3612179487179485</v>
      </c>
      <c r="J172" s="25">
        <f t="shared" si="311"/>
        <v>6.5382585751978892</v>
      </c>
      <c r="K172" s="25">
        <f t="shared" si="311"/>
        <v>7.4798294029101857</v>
      </c>
      <c r="L172" s="25">
        <f t="shared" si="311"/>
        <v>2.6084632516703787</v>
      </c>
      <c r="M172" s="25">
        <f t="shared" si="311"/>
        <v>5.2491984926036332</v>
      </c>
      <c r="N172" s="25">
        <f t="shared" si="311"/>
        <v>3.5073165111187925</v>
      </c>
      <c r="O172" s="25">
        <f t="shared" si="311"/>
        <v>2.0024118548799179</v>
      </c>
      <c r="P172" s="25">
        <f t="shared" si="311"/>
        <v>1.805368781777051</v>
      </c>
      <c r="Q172" s="118">
        <f t="shared" si="295"/>
        <v>-3.4684218962761304E-2</v>
      </c>
      <c r="R172" s="128"/>
      <c r="S172" s="119">
        <f t="shared" ref="S172:AB172" si="312">S167/S66</f>
        <v>1.8448612238784239</v>
      </c>
      <c r="T172" s="119">
        <f t="shared" si="312"/>
        <v>1.8852175631507646</v>
      </c>
      <c r="U172" s="119">
        <f t="shared" si="312"/>
        <v>1.9264566973446877</v>
      </c>
      <c r="V172" s="119">
        <f t="shared" si="312"/>
        <v>1.9685979375991027</v>
      </c>
      <c r="W172" s="119">
        <f t="shared" si="312"/>
        <v>2.0116610174840828</v>
      </c>
      <c r="X172" s="119">
        <f t="shared" si="312"/>
        <v>2.0556661022415472</v>
      </c>
      <c r="Y172" s="119">
        <f t="shared" si="312"/>
        <v>2.1006337982280807</v>
      </c>
      <c r="Z172" s="119">
        <f t="shared" si="312"/>
        <v>2.1465851625643202</v>
      </c>
      <c r="AA172" s="119">
        <f t="shared" si="312"/>
        <v>2.1935417129954153</v>
      </c>
      <c r="AB172" s="119">
        <f t="shared" si="312"/>
        <v>2.2415254379671898</v>
      </c>
      <c r="AC172" s="138">
        <f t="shared" si="298"/>
        <v>-5.317821709974746E-3</v>
      </c>
      <c r="AD172" s="31">
        <v>0.08</v>
      </c>
      <c r="AE172" s="127">
        <f t="shared" si="299"/>
        <v>15.925752895212195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13">G167/G60</f>
        <v>5.2285487708168121</v>
      </c>
      <c r="H173" s="182">
        <f t="shared" si="313"/>
        <v>8.219901639344263</v>
      </c>
      <c r="I173" s="182">
        <f t="shared" si="313"/>
        <v>10.862341772151899</v>
      </c>
      <c r="J173" s="182">
        <f t="shared" si="313"/>
        <v>17.133967156439066</v>
      </c>
      <c r="K173" s="182">
        <f t="shared" si="313"/>
        <v>-167.875</v>
      </c>
      <c r="L173" s="182">
        <f t="shared" si="313"/>
        <v>-7.8295988934993082</v>
      </c>
      <c r="M173" s="182">
        <f t="shared" si="313"/>
        <v>-10.765428538470411</v>
      </c>
      <c r="N173" s="182">
        <f t="shared" si="313"/>
        <v>-4.5951793891209176</v>
      </c>
      <c r="O173" s="182">
        <f t="shared" si="313"/>
        <v>-2.8340047007774358</v>
      </c>
      <c r="P173" s="182">
        <f t="shared" si="313"/>
        <v>-2.1192138819508348</v>
      </c>
      <c r="Q173" s="118">
        <f t="shared" ref="Q173:Q175" si="314">((P173/G173)^(1/($H$2-$H$1) ))-1</f>
        <v>-1.9045269564056491</v>
      </c>
      <c r="R173" s="128"/>
      <c r="S173" s="135">
        <f t="shared" ref="S173:AB173" si="315">S167/S60</f>
        <v>-2.1655716856185085</v>
      </c>
      <c r="T173" s="135">
        <f t="shared" si="315"/>
        <v>-2.2129435662414139</v>
      </c>
      <c r="U173" s="135">
        <f t="shared" si="315"/>
        <v>-2.2613517067529449</v>
      </c>
      <c r="V173" s="135">
        <f t="shared" si="315"/>
        <v>-2.310818775338165</v>
      </c>
      <c r="W173" s="135">
        <f t="shared" si="315"/>
        <v>-2.361367936048687</v>
      </c>
      <c r="X173" s="135">
        <f t="shared" si="315"/>
        <v>-2.413022859649752</v>
      </c>
      <c r="Y173" s="135">
        <f t="shared" si="315"/>
        <v>-2.4658077347045904</v>
      </c>
      <c r="Z173" s="135">
        <f t="shared" si="315"/>
        <v>-2.5197472789012538</v>
      </c>
      <c r="AA173" s="135">
        <f t="shared" si="315"/>
        <v>-2.5748667506272196</v>
      </c>
      <c r="AB173" s="135">
        <f t="shared" si="315"/>
        <v>-2.6311919607971901</v>
      </c>
      <c r="AC173" s="138">
        <f t="shared" ref="AC173" si="316">((AB173/G173)^(1/($AB$3-$H$1) ))-1</f>
        <v>-1.9645033853374585</v>
      </c>
      <c r="AD173" s="31">
        <v>0.08</v>
      </c>
      <c r="AE173" s="127">
        <f t="shared" si="299"/>
        <v>18.127096811868537</v>
      </c>
    </row>
    <row r="174" spans="2:31" x14ac:dyDescent="0.2">
      <c r="B174" s="20" t="s">
        <v>371</v>
      </c>
      <c r="C174" s="161" t="e">
        <f t="shared" ref="C174:P174" si="317">C52/C167</f>
        <v>#DIV/0!</v>
      </c>
      <c r="D174" s="161" t="e">
        <f t="shared" si="317"/>
        <v>#DIV/0!</v>
      </c>
      <c r="E174" s="161" t="e">
        <f t="shared" si="317"/>
        <v>#DIV/0!</v>
      </c>
      <c r="F174" s="161" t="e">
        <f t="shared" si="317"/>
        <v>#DIV/0!</v>
      </c>
      <c r="G174" s="161">
        <f t="shared" si="317"/>
        <v>0.11527027846872535</v>
      </c>
      <c r="H174" s="161">
        <f t="shared" si="317"/>
        <v>8.9347325762742957E-2</v>
      </c>
      <c r="I174" s="161">
        <f t="shared" si="317"/>
        <v>3.9559934066776554E-2</v>
      </c>
      <c r="J174" s="161">
        <f t="shared" si="317"/>
        <v>5.7026836158192089E-2</v>
      </c>
      <c r="K174" s="161">
        <f t="shared" si="317"/>
        <v>3.0280466617026554E-2</v>
      </c>
      <c r="L174" s="161">
        <f t="shared" si="317"/>
        <v>8.6383550028264547E-2</v>
      </c>
      <c r="M174" s="161">
        <f t="shared" si="317"/>
        <v>5.831203690309722E-2</v>
      </c>
      <c r="N174" s="161">
        <f t="shared" si="317"/>
        <v>4.8696890056942617E-2</v>
      </c>
      <c r="O174" s="161">
        <f t="shared" si="317"/>
        <v>5.9738894332843386E-2</v>
      </c>
      <c r="P174" s="161">
        <f t="shared" si="317"/>
        <v>6.4996532443058253E-2</v>
      </c>
      <c r="Q174" s="118">
        <f t="shared" si="314"/>
        <v>-6.1676618501580238E-2</v>
      </c>
      <c r="R174" s="128"/>
      <c r="S174" s="161">
        <f t="shared" ref="S174:AB174" si="318">S52/S167</f>
        <v>6.3605169363237429E-2</v>
      </c>
      <c r="T174" s="161">
        <f t="shared" si="318"/>
        <v>6.224359081417729E-2</v>
      </c>
      <c r="U174" s="161">
        <f t="shared" si="318"/>
        <v>6.0911159206534352E-2</v>
      </c>
      <c r="V174" s="161">
        <f t="shared" si="318"/>
        <v>5.9607250599666643E-2</v>
      </c>
      <c r="W174" s="161">
        <f t="shared" si="318"/>
        <v>5.8331254409459722E-2</v>
      </c>
      <c r="X174" s="161">
        <f t="shared" si="318"/>
        <v>5.7082573122407061E-2</v>
      </c>
      <c r="Y174" s="161">
        <f t="shared" si="318"/>
        <v>5.5860622015811198E-2</v>
      </c>
      <c r="Z174" s="161">
        <f t="shared" si="318"/>
        <v>5.4664828883974254E-2</v>
      </c>
      <c r="AA174" s="161">
        <f t="shared" si="318"/>
        <v>5.3494633770250037E-2</v>
      </c>
      <c r="AB174" s="161">
        <f t="shared" si="318"/>
        <v>5.2349488704831831E-2</v>
      </c>
      <c r="AC174" s="138">
        <f t="shared" ref="AC174:AC175" si="319">((AB174/G174)^(1/($AB$3-$H$1) ))-1</f>
        <v>-4.0692948209811175E-2</v>
      </c>
      <c r="AD174" s="31">
        <v>0.08</v>
      </c>
      <c r="AE174" s="127">
        <f t="shared" si="299"/>
        <v>0.35870881194397147</v>
      </c>
    </row>
    <row r="175" spans="2:31" x14ac:dyDescent="0.2">
      <c r="B175" s="20" t="s">
        <v>320</v>
      </c>
      <c r="C175" s="152" t="e">
        <f t="shared" ref="C175:P175" si="320">C43/C167</f>
        <v>#DIV/0!</v>
      </c>
      <c r="D175" s="152" t="e">
        <f t="shared" si="320"/>
        <v>#DIV/0!</v>
      </c>
      <c r="E175" s="152" t="e">
        <f t="shared" si="320"/>
        <v>#DIV/0!</v>
      </c>
      <c r="F175" s="152" t="e">
        <f t="shared" si="320"/>
        <v>#DIV/0!</v>
      </c>
      <c r="G175" s="152">
        <f t="shared" si="320"/>
        <v>0.15094339622641509</v>
      </c>
      <c r="H175" s="152">
        <f t="shared" si="320"/>
        <v>2.8497409326424871E-2</v>
      </c>
      <c r="I175" s="152">
        <f t="shared" si="320"/>
        <v>9.2631578947368429E-3</v>
      </c>
      <c r="J175" s="152">
        <f t="shared" si="320"/>
        <v>9.285714285714286E-3</v>
      </c>
      <c r="K175" s="152">
        <f t="shared" si="320"/>
        <v>6.6666666666666671E-3</v>
      </c>
      <c r="L175" s="152">
        <f t="shared" si="320"/>
        <v>1.810344827586207E-2</v>
      </c>
      <c r="M175" s="152">
        <f t="shared" si="320"/>
        <v>8.0645161290322578E-3</v>
      </c>
      <c r="N175" s="152">
        <f t="shared" si="320"/>
        <v>9.6666666666666672E-3</v>
      </c>
      <c r="O175" s="152">
        <f t="shared" si="320"/>
        <v>1.2890624999999999E-2</v>
      </c>
      <c r="P175" s="152">
        <f t="shared" si="320"/>
        <v>1.4122137404580152E-2</v>
      </c>
      <c r="Q175" s="118">
        <f t="shared" si="314"/>
        <v>-0.23144269066516165</v>
      </c>
      <c r="R175" s="128"/>
      <c r="S175" s="152">
        <f t="shared" ref="S175:AB175" si="321">S43/S167</f>
        <v>1.3603893830100147E-2</v>
      </c>
      <c r="T175" s="152">
        <f t="shared" si="321"/>
        <v>1.3104668368445095E-2</v>
      </c>
      <c r="U175" s="152">
        <f t="shared" si="321"/>
        <v>1.262376310721775E-2</v>
      </c>
      <c r="V175" s="152">
        <f t="shared" si="321"/>
        <v>1.2160505745484988E-2</v>
      </c>
      <c r="W175" s="152">
        <f t="shared" si="321"/>
        <v>1.1714248653907558E-2</v>
      </c>
      <c r="X175" s="152">
        <f t="shared" si="321"/>
        <v>1.1284367969360491E-2</v>
      </c>
      <c r="Y175" s="152">
        <f t="shared" si="321"/>
        <v>1.0870262722778455E-2</v>
      </c>
      <c r="Z175" s="152">
        <f t="shared" si="321"/>
        <v>1.0471353999006767E-2</v>
      </c>
      <c r="AA175" s="152">
        <f t="shared" si="321"/>
        <v>1.0087084127483582E-2</v>
      </c>
      <c r="AB175" s="152">
        <f t="shared" si="321"/>
        <v>9.7169159026217998E-3</v>
      </c>
      <c r="AC175" s="138">
        <f t="shared" si="319"/>
        <v>-0.13443287331690457</v>
      </c>
      <c r="AD175" s="31">
        <v>0.08</v>
      </c>
      <c r="AE175" s="127">
        <f t="shared" si="299"/>
        <v>6.0076021271811629E-2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8" t="s">
        <v>351</v>
      </c>
      <c r="L178" s="199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0.86616895318678844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2.0784124153177195</v>
      </c>
      <c r="N180" s="20"/>
      <c r="O180" s="20"/>
      <c r="P180" s="128">
        <f>(P167-R146)/P167</f>
        <v>2.0784124153177195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3.9990378066447702E-2</v>
      </c>
      <c r="N181" s="20"/>
      <c r="O181" s="20"/>
      <c r="P181" s="128">
        <f>(P167-R139)/P167</f>
        <v>3.9990378066447702E-2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0.83230477440800277</v>
      </c>
      <c r="N182" s="20"/>
      <c r="O182" s="20"/>
      <c r="P182" s="128">
        <f>(P167-R152)/P167</f>
        <v>0.83230477440800277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400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0.79425292515734747</v>
      </c>
      <c r="N183" s="20"/>
      <c r="O183" s="20"/>
      <c r="P183" s="128">
        <f>(P167-R164)/P167</f>
        <v>0.79425292515734747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6.7320935610742998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408</v>
      </c>
      <c r="AD184" s="115" t="s">
        <v>409</v>
      </c>
      <c r="AE184" s="115" t="s">
        <v>410</v>
      </c>
      <c r="AF184" s="115" t="s">
        <v>411</v>
      </c>
      <c r="AG184" s="115" t="s">
        <v>412</v>
      </c>
      <c r="AH184" s="115" t="s">
        <v>413</v>
      </c>
      <c r="AI184" s="115" t="s">
        <v>414</v>
      </c>
      <c r="AJ184" s="115" t="s">
        <v>415</v>
      </c>
      <c r="AK184" s="115" t="s">
        <v>416</v>
      </c>
      <c r="AL184" s="115" t="s">
        <v>417</v>
      </c>
      <c r="AM184" s="115" t="s">
        <v>418</v>
      </c>
      <c r="AN184" s="115" t="s">
        <v>419</v>
      </c>
      <c r="AO184" s="115" t="s">
        <v>420</v>
      </c>
      <c r="AP184" s="115" t="s">
        <v>421</v>
      </c>
      <c r="AQ184" s="115" t="s">
        <v>422</v>
      </c>
      <c r="AR184" s="115" t="s">
        <v>423</v>
      </c>
      <c r="AS184" s="115" t="s">
        <v>424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0.14854220175757943</v>
      </c>
      <c r="Q185" s="20"/>
      <c r="R185" s="20"/>
      <c r="S185" s="185">
        <f>P167-S186</f>
        <v>1228.7863099878944</v>
      </c>
      <c r="T185" s="185">
        <f>S185-T186</f>
        <v>1143.5119354751835</v>
      </c>
      <c r="U185" s="185">
        <f t="shared" ref="U185:W185" si="322">T185-U186</f>
        <v>1053.9738422368368</v>
      </c>
      <c r="V185" s="185">
        <f t="shared" si="322"/>
        <v>959.95884433657307</v>
      </c>
      <c r="W185" s="185">
        <f t="shared" si="322"/>
        <v>861.24309654129604</v>
      </c>
      <c r="X185" s="185">
        <f>W185-X186</f>
        <v>757.59156135625517</v>
      </c>
      <c r="Y185" s="185">
        <f t="shared" ref="Y185:AB185" si="323">X185-Y186</f>
        <v>648.75744941196228</v>
      </c>
      <c r="Z185" s="185">
        <f t="shared" si="323"/>
        <v>534.48163187045475</v>
      </c>
      <c r="AA185" s="185">
        <f t="shared" si="323"/>
        <v>414.49202345187177</v>
      </c>
      <c r="AB185" s="185">
        <f t="shared" si="323"/>
        <v>288.50293461235964</v>
      </c>
      <c r="AC185" s="185">
        <f t="shared" ref="AC185" si="324">AB185-AC186</f>
        <v>156.2143913308719</v>
      </c>
      <c r="AD185" s="185">
        <f t="shared" ref="AD185" si="325">AC185-AD186</f>
        <v>17.311420885309786</v>
      </c>
      <c r="AE185" s="185">
        <f t="shared" ref="AE185" si="326">AD185-AE186</f>
        <v>-128.53669808253045</v>
      </c>
      <c r="AF185" s="185">
        <f t="shared" ref="AF185" si="327">AE185-AF186</f>
        <v>-281.67722299876272</v>
      </c>
      <c r="AG185" s="185">
        <f t="shared" ref="AG185" si="328">AF185-AG186</f>
        <v>-442.47477416080659</v>
      </c>
      <c r="AH185" s="185">
        <f t="shared" ref="AH185" si="329">AG185-AH186</f>
        <v>-611.31220288095267</v>
      </c>
      <c r="AI185" s="185">
        <f t="shared" ref="AI185" si="330">AH185-AI186</f>
        <v>-788.59150303710612</v>
      </c>
      <c r="AJ185" s="185">
        <f t="shared" ref="AJ185" si="331">AI185-AJ186</f>
        <v>-974.73476820106725</v>
      </c>
      <c r="AK185" s="185">
        <f t="shared" ref="AK185" si="332">AJ185-AK186</f>
        <v>-1170.1851966232264</v>
      </c>
      <c r="AL185" s="185">
        <f t="shared" ref="AL185" si="333">AK185-AL186</f>
        <v>-1375.4081464664935</v>
      </c>
      <c r="AM185" s="185">
        <f t="shared" ref="AM185" si="334">AL185-AM186</f>
        <v>-1590.892243801924</v>
      </c>
      <c r="AN185" s="185">
        <f t="shared" ref="AN185" si="335">AM185-AN186</f>
        <v>-1817.150546004126</v>
      </c>
      <c r="AO185" s="185">
        <f t="shared" ref="AO185" si="336">AN185-AO186</f>
        <v>-2054.7217633164382</v>
      </c>
      <c r="AP185" s="185">
        <f t="shared" ref="AP185" si="337">AO185-AP186</f>
        <v>-2304.171541494366</v>
      </c>
      <c r="AQ185" s="185">
        <f t="shared" ref="AQ185" si="338">AP185-AQ186</f>
        <v>-2566.0938085811904</v>
      </c>
      <c r="AR185" s="185">
        <f t="shared" ref="AR185" si="339">AQ185-AR186</f>
        <v>-2841.1121890223558</v>
      </c>
      <c r="AS185" s="185">
        <f t="shared" ref="AS185" si="340">AR185-AS186</f>
        <v>-3129.8814884855792</v>
      </c>
    </row>
    <row r="186" spans="2:45" x14ac:dyDescent="0.2">
      <c r="B186" s="20" t="s">
        <v>397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7"/>
      <c r="N186" s="20"/>
      <c r="O186" s="20"/>
      <c r="P186" s="181">
        <f>P167/Q137</f>
        <v>16.936799692206684</v>
      </c>
      <c r="Q186" s="20"/>
      <c r="R186" s="20"/>
      <c r="S186" s="186">
        <f>Q137*(1+$K$186)</f>
        <v>81.213690012105658</v>
      </c>
      <c r="T186" s="186">
        <f>S186*(1+$K$186)</f>
        <v>85.274374512710949</v>
      </c>
      <c r="U186" s="186">
        <f t="shared" ref="U186:AB186" si="341">T186*(1+$K$186)</f>
        <v>89.538093238346505</v>
      </c>
      <c r="V186" s="186">
        <f t="shared" si="341"/>
        <v>94.014997900263836</v>
      </c>
      <c r="W186" s="186">
        <f t="shared" si="341"/>
        <v>98.715747795277025</v>
      </c>
      <c r="X186" s="186">
        <f t="shared" si="341"/>
        <v>103.65153518504088</v>
      </c>
      <c r="Y186" s="186">
        <f t="shared" si="341"/>
        <v>108.83411194429293</v>
      </c>
      <c r="Z186" s="186">
        <f t="shared" si="341"/>
        <v>114.27581754150758</v>
      </c>
      <c r="AA186" s="186">
        <f t="shared" si="341"/>
        <v>119.98960841858296</v>
      </c>
      <c r="AB186" s="186">
        <f t="shared" si="341"/>
        <v>125.98908883951212</v>
      </c>
      <c r="AC186" s="186">
        <f t="shared" ref="AC186" si="342">AB186*(1+$K$186)</f>
        <v>132.28854328148773</v>
      </c>
      <c r="AD186" s="186">
        <f t="shared" ref="AD186" si="343">AC186*(1+$K$186)</f>
        <v>138.90297044556212</v>
      </c>
      <c r="AE186" s="186">
        <f t="shared" ref="AE186" si="344">AD186*(1+$K$186)</f>
        <v>145.84811896784024</v>
      </c>
      <c r="AF186" s="186">
        <f t="shared" ref="AF186" si="345">AE186*(1+$K$186)</f>
        <v>153.14052491623227</v>
      </c>
      <c r="AG186" s="186">
        <f t="shared" ref="AG186" si="346">AF186*(1+$K$186)</f>
        <v>160.79755116204387</v>
      </c>
      <c r="AH186" s="186">
        <f t="shared" ref="AH186" si="347">AG186*(1+$K$186)</f>
        <v>168.83742872014608</v>
      </c>
      <c r="AI186" s="186">
        <f t="shared" ref="AI186" si="348">AH186*(1+$K$186)</f>
        <v>177.2793001561534</v>
      </c>
      <c r="AJ186" s="186">
        <f t="shared" ref="AJ186" si="349">AI186*(1+$K$186)</f>
        <v>186.14326516396108</v>
      </c>
      <c r="AK186" s="186">
        <f t="shared" ref="AK186" si="350">AJ186*(1+$K$186)</f>
        <v>195.45042842215915</v>
      </c>
      <c r="AL186" s="186">
        <f t="shared" ref="AL186" si="351">AK186*(1+$K$186)</f>
        <v>205.22294984326712</v>
      </c>
      <c r="AM186" s="186">
        <f t="shared" ref="AM186" si="352">AL186*(1+$K$186)</f>
        <v>215.48409733543048</v>
      </c>
      <c r="AN186" s="186">
        <f t="shared" ref="AN186" si="353">AM186*(1+$K$186)</f>
        <v>226.258302202202</v>
      </c>
      <c r="AO186" s="186">
        <f t="shared" ref="AO186" si="354">AN186*(1+$K$186)</f>
        <v>237.57121731231211</v>
      </c>
      <c r="AP186" s="186">
        <f t="shared" ref="AP186" si="355">AO186*(1+$K$186)</f>
        <v>249.44977817792773</v>
      </c>
      <c r="AQ186" s="186">
        <f t="shared" ref="AQ186" si="356">AP186*(1+$K$186)</f>
        <v>261.92226708682415</v>
      </c>
      <c r="AR186" s="186">
        <f t="shared" ref="AR186" si="357">AQ186*(1+$K$186)</f>
        <v>275.01838044116539</v>
      </c>
      <c r="AS186" s="186">
        <f t="shared" ref="AS186" si="358">AR186*(1+$K$186)</f>
        <v>288.76929946322366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7"/>
      <c r="N187" s="20"/>
      <c r="O187" s="20"/>
      <c r="P187" s="181">
        <f>P167/P52</f>
        <v>15.385436151937393</v>
      </c>
      <c r="Q187" s="20"/>
      <c r="R187" s="20"/>
      <c r="S187" s="186">
        <f>P52*(1+$K$187)</f>
        <v>89.402730375426628</v>
      </c>
      <c r="T187" s="186">
        <f>S187*(1+$K$187)</f>
        <v>93.872866894197969</v>
      </c>
      <c r="U187" s="186">
        <f t="shared" ref="U187:AB187" si="359">T187*(1+$K$187)</f>
        <v>98.566510238907867</v>
      </c>
      <c r="V187" s="186">
        <f t="shared" si="359"/>
        <v>103.49483575085327</v>
      </c>
      <c r="W187" s="186">
        <f t="shared" si="359"/>
        <v>108.66957753839594</v>
      </c>
      <c r="X187" s="186">
        <f t="shared" si="359"/>
        <v>114.10305641531575</v>
      </c>
      <c r="Y187" s="186">
        <f t="shared" si="359"/>
        <v>119.80820923608154</v>
      </c>
      <c r="Z187" s="186">
        <f t="shared" si="359"/>
        <v>125.79861969788563</v>
      </c>
      <c r="AA187" s="186">
        <f t="shared" si="359"/>
        <v>132.08855068277992</v>
      </c>
      <c r="AB187" s="186">
        <f t="shared" si="359"/>
        <v>138.69297821691893</v>
      </c>
      <c r="AC187" s="186">
        <f t="shared" ref="AC187" si="360">AB187*(1+$K$187)</f>
        <v>145.6276271277649</v>
      </c>
      <c r="AD187" s="186">
        <f t="shared" ref="AD187" si="361">AC187*(1+$K$187)</f>
        <v>152.90900848415313</v>
      </c>
      <c r="AE187" s="186">
        <f t="shared" ref="AE187" si="362">AD187*(1+$K$187)</f>
        <v>160.5544589083608</v>
      </c>
      <c r="AF187" s="186">
        <f t="shared" ref="AF187" si="363">AE187*(1+$K$187)</f>
        <v>168.58218185377885</v>
      </c>
      <c r="AG187" s="186">
        <f t="shared" ref="AG187" si="364">AF187*(1+$K$187)</f>
        <v>177.0112909464678</v>
      </c>
      <c r="AH187" s="186">
        <f t="shared" ref="AH187" si="365">AG187*(1+$K$187)</f>
        <v>185.86185549379118</v>
      </c>
      <c r="AI187" s="186">
        <f t="shared" ref="AI187" si="366">AH187*(1+$K$187)</f>
        <v>195.15494826848075</v>
      </c>
      <c r="AJ187" s="186">
        <f t="shared" ref="AJ187" si="367">AI187*(1+$K$187)</f>
        <v>204.91269568190481</v>
      </c>
      <c r="AK187" s="186">
        <f t="shared" ref="AK187" si="368">AJ187*(1+$K$187)</f>
        <v>215.15833046600005</v>
      </c>
      <c r="AL187" s="186">
        <f t="shared" ref="AL187" si="369">AK187*(1+$K$187)</f>
        <v>225.91624698930008</v>
      </c>
      <c r="AM187" s="186">
        <f t="shared" ref="AM187" si="370">AL187*(1+$K$187)</f>
        <v>237.2120593387651</v>
      </c>
      <c r="AN187" s="186">
        <f t="shared" ref="AN187" si="371">AM187*(1+$K$187)</f>
        <v>249.07266230570337</v>
      </c>
      <c r="AO187" s="186">
        <f t="shared" ref="AO187" si="372">AN187*(1+$K$187)</f>
        <v>261.52629542098856</v>
      </c>
      <c r="AP187" s="186">
        <f t="shared" ref="AP187" si="373">AO187*(1+$K$187)</f>
        <v>274.60261019203801</v>
      </c>
      <c r="AQ187" s="186">
        <f t="shared" ref="AQ187" si="374">AP187*(1+$K$187)</f>
        <v>288.33274070163992</v>
      </c>
      <c r="AR187" s="186">
        <f t="shared" ref="AR187" si="375">AQ187*(1+$K$187)</f>
        <v>302.74937773672195</v>
      </c>
      <c r="AS187" s="186">
        <f t="shared" ref="AS187" si="376">AR187*(1+$K$187)</f>
        <v>317.88684662355809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1220.5972696245733</v>
      </c>
      <c r="T188" s="185">
        <f>S188-T187</f>
        <v>1126.7244027303752</v>
      </c>
      <c r="U188" s="185">
        <f t="shared" ref="U188:Z188" si="377">T188-U187</f>
        <v>1028.1578924914675</v>
      </c>
      <c r="V188" s="185">
        <f t="shared" si="377"/>
        <v>924.66305674061414</v>
      </c>
      <c r="W188" s="185">
        <f t="shared" si="377"/>
        <v>815.99347920221817</v>
      </c>
      <c r="X188" s="185">
        <f t="shared" si="377"/>
        <v>701.89042278690238</v>
      </c>
      <c r="Y188" s="185">
        <f t="shared" si="377"/>
        <v>582.08221355082082</v>
      </c>
      <c r="Z188" s="185">
        <f t="shared" si="377"/>
        <v>456.28359385293521</v>
      </c>
      <c r="AA188" s="185">
        <f>Z188-AA187</f>
        <v>324.19504317015526</v>
      </c>
      <c r="AB188" s="185">
        <f t="shared" ref="AB188" si="378">AA188-AB187</f>
        <v>185.50206495323633</v>
      </c>
      <c r="AC188" s="185">
        <f t="shared" ref="AC188" si="379">AB188-AC187</f>
        <v>39.874437825471432</v>
      </c>
      <c r="AD188" s="185">
        <f t="shared" ref="AD188" si="380">AC188-AD187</f>
        <v>-113.0345706586817</v>
      </c>
      <c r="AE188" s="185">
        <f t="shared" ref="AE188" si="381">AD188-AE187</f>
        <v>-273.58902956704253</v>
      </c>
      <c r="AF188" s="185">
        <f t="shared" ref="AF188" si="382">AE188-AF187</f>
        <v>-442.17121142082135</v>
      </c>
      <c r="AG188" s="185">
        <f t="shared" ref="AG188" si="383">AF188-AG187</f>
        <v>-619.18250236728909</v>
      </c>
      <c r="AH188" s="185">
        <f t="shared" ref="AH188" si="384">AG188-AH187</f>
        <v>-805.04435786108024</v>
      </c>
      <c r="AI188" s="185">
        <f t="shared" ref="AI188" si="385">AH188-AI187</f>
        <v>-1000.199306129561</v>
      </c>
      <c r="AJ188" s="185">
        <f t="shared" ref="AJ188" si="386">AI188-AJ187</f>
        <v>-1205.1120018114659</v>
      </c>
      <c r="AK188" s="185">
        <f t="shared" ref="AK188" si="387">AJ188-AK187</f>
        <v>-1420.270332277466</v>
      </c>
      <c r="AL188" s="185">
        <f t="shared" ref="AL188" si="388">AK188-AL187</f>
        <v>-1646.1865792667661</v>
      </c>
      <c r="AM188" s="185">
        <f t="shared" ref="AM188" si="389">AL188-AM187</f>
        <v>-1883.3986386055312</v>
      </c>
      <c r="AN188" s="185">
        <f t="shared" ref="AN188" si="390">AM188-AN187</f>
        <v>-2132.4713009112347</v>
      </c>
      <c r="AO188" s="185">
        <f t="shared" ref="AO188" si="391">AN188-AO187</f>
        <v>-2393.9975963322231</v>
      </c>
      <c r="AP188" s="185">
        <f t="shared" ref="AP188" si="392">AO188-AP187</f>
        <v>-2668.600206524261</v>
      </c>
      <c r="AQ188" s="185">
        <f t="shared" ref="AQ188" si="393">AP188-AQ187</f>
        <v>-2956.932947225901</v>
      </c>
      <c r="AR188" s="185">
        <f t="shared" ref="AR188" si="394">AQ188-AR187</f>
        <v>-3259.6823249626232</v>
      </c>
      <c r="AS188" s="185">
        <f t="shared" ref="AS188" si="395">AR188-AS187</f>
        <v>-3577.5691715861813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396">C10/C7</f>
        <v>#DIV/0!</v>
      </c>
      <c r="D190" s="25" t="e">
        <f t="shared" si="396"/>
        <v>#DIV/0!</v>
      </c>
      <c r="E190" s="25" t="e">
        <f t="shared" si="396"/>
        <v>#DIV/0!</v>
      </c>
      <c r="F190" s="25" t="e">
        <f t="shared" si="396"/>
        <v>#DIV/0!</v>
      </c>
      <c r="G190" s="25">
        <f t="shared" si="396"/>
        <v>1.0460899131091803</v>
      </c>
      <c r="H190" s="25">
        <f t="shared" si="396"/>
        <v>1.0416289592760182</v>
      </c>
      <c r="I190" s="25">
        <f t="shared" si="396"/>
        <v>0.70467365028203066</v>
      </c>
      <c r="J190" s="25">
        <f t="shared" si="396"/>
        <v>0.92934547030775905</v>
      </c>
      <c r="K190" s="25">
        <f t="shared" si="396"/>
        <v>1.1370141261194719</v>
      </c>
      <c r="L190" s="25">
        <f t="shared" si="396"/>
        <v>1.4563523271609351</v>
      </c>
      <c r="M190" s="25">
        <f t="shared" si="396"/>
        <v>1.172264303749226</v>
      </c>
      <c r="N190" s="25">
        <f t="shared" si="396"/>
        <v>1.49061876247505</v>
      </c>
      <c r="O190" s="25">
        <f t="shared" si="396"/>
        <v>1.7390253862383447</v>
      </c>
      <c r="P190" s="25">
        <f t="shared" si="396"/>
        <v>1.7319471927700167</v>
      </c>
      <c r="Q190" s="118">
        <f t="shared" ref="Q190:Q192" si="397">((P190/G190)^(1/($H$2-$H$1) ))-1</f>
        <v>5.7619658443879507E-2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5.1564245810055862</v>
      </c>
      <c r="H191" s="112">
        <f t="shared" ref="H191:P191" si="398">H10/H12</f>
        <v>3.4914054600606672</v>
      </c>
      <c r="I191" s="112">
        <f t="shared" si="398"/>
        <v>4.2920245398773007</v>
      </c>
      <c r="J191" s="112">
        <f t="shared" si="398"/>
        <v>3.7460687245195108</v>
      </c>
      <c r="K191" s="112">
        <f t="shared" si="398"/>
        <v>7.8942307692307692</v>
      </c>
      <c r="L191" s="112">
        <f t="shared" si="398"/>
        <v>13.97119341563786</v>
      </c>
      <c r="M191" s="112">
        <f t="shared" si="398"/>
        <v>7.4095152062631735</v>
      </c>
      <c r="N191" s="112">
        <f t="shared" si="398"/>
        <v>10.244170096021948</v>
      </c>
      <c r="O191" s="112">
        <f t="shared" si="398"/>
        <v>14.509653605905735</v>
      </c>
      <c r="P191" s="112">
        <f t="shared" si="398"/>
        <v>16.150371798402645</v>
      </c>
      <c r="Q191" s="118">
        <f t="shared" si="397"/>
        <v>0.13525297982718087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2.3870689655172415</v>
      </c>
      <c r="H192" s="25">
        <f t="shared" ref="H192:P192" si="399">H10/(H12+H13)</f>
        <v>2.0689035350509286</v>
      </c>
      <c r="I192" s="25">
        <f t="shared" si="399"/>
        <v>1.4048192771084338</v>
      </c>
      <c r="J192" s="25">
        <f t="shared" si="399"/>
        <v>1.5332538736591179</v>
      </c>
      <c r="K192" s="25">
        <f t="shared" si="399"/>
        <v>1.7315804274465691</v>
      </c>
      <c r="L192" s="25">
        <f t="shared" si="399"/>
        <v>2.4652063415224497</v>
      </c>
      <c r="M192" s="25">
        <f t="shared" si="399"/>
        <v>1.8574124396135265</v>
      </c>
      <c r="N192" s="25">
        <f t="shared" si="399"/>
        <v>2.9035769828926905</v>
      </c>
      <c r="O192" s="25">
        <f t="shared" si="399"/>
        <v>4.1510031678986277</v>
      </c>
      <c r="P192" s="25">
        <f t="shared" si="399"/>
        <v>4.7299564445878364</v>
      </c>
      <c r="Q192" s="118">
        <f t="shared" si="397"/>
        <v>7.8944562233315141E-2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5" t="s">
        <v>337</v>
      </c>
      <c r="M195" s="196"/>
      <c r="N195" s="197"/>
      <c r="O195" s="23" t="s">
        <v>340</v>
      </c>
      <c r="P195" s="20"/>
      <c r="Q195" s="195" t="s">
        <v>338</v>
      </c>
      <c r="R195" s="196"/>
      <c r="S195" s="197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530</v>
      </c>
      <c r="E197" s="176" t="s">
        <v>384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341</v>
      </c>
      <c r="M197" s="167"/>
      <c r="N197" s="21">
        <v>80</v>
      </c>
      <c r="O197" s="173">
        <f>N197</f>
        <v>80</v>
      </c>
      <c r="P197" s="20"/>
      <c r="Q197" s="167" t="s">
        <v>341</v>
      </c>
      <c r="R197" s="167"/>
      <c r="S197" s="21">
        <v>1</v>
      </c>
      <c r="T197" s="173">
        <f>S197</f>
        <v>1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</v>
      </c>
      <c r="E198" s="176" t="s">
        <v>385</v>
      </c>
      <c r="F198" s="22">
        <v>1</v>
      </c>
      <c r="G198" s="22">
        <v>1</v>
      </c>
      <c r="H198" s="167">
        <f>F198/G198</f>
        <v>1</v>
      </c>
      <c r="I198" s="167">
        <f>H198*J197</f>
        <v>2</v>
      </c>
      <c r="J198" s="167">
        <f>I198+J197</f>
        <v>4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530</v>
      </c>
      <c r="E199" s="176" t="s">
        <v>398</v>
      </c>
      <c r="F199" s="22">
        <v>0</v>
      </c>
      <c r="G199" s="22">
        <v>1</v>
      </c>
      <c r="H199" s="167">
        <f>F199/G199</f>
        <v>0</v>
      </c>
      <c r="I199" s="167">
        <f>H199*J198</f>
        <v>0</v>
      </c>
      <c r="J199" s="167">
        <f>I199+J198</f>
        <v>4</v>
      </c>
      <c r="K199" s="20"/>
      <c r="L199" s="167" t="s">
        <v>343</v>
      </c>
      <c r="M199" s="167"/>
      <c r="N199" s="168">
        <f>N197*N198</f>
        <v>80</v>
      </c>
      <c r="O199" s="173">
        <f>N199</f>
        <v>80</v>
      </c>
      <c r="P199" s="20"/>
      <c r="Q199" s="167" t="s">
        <v>344</v>
      </c>
      <c r="R199" s="167"/>
      <c r="S199" s="168">
        <f>S197*S198</f>
        <v>1</v>
      </c>
      <c r="T199" s="173">
        <f>S199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2</v>
      </c>
      <c r="H200" s="167">
        <f>F200/G200</f>
        <v>5</v>
      </c>
      <c r="I200" s="167">
        <f>H200*J199</f>
        <v>20</v>
      </c>
      <c r="J200" s="167">
        <f>I200</f>
        <v>20</v>
      </c>
      <c r="K200" s="20"/>
      <c r="L200" s="167" t="s">
        <v>345</v>
      </c>
      <c r="M200" s="167"/>
      <c r="N200" s="21">
        <v>1000</v>
      </c>
      <c r="O200" s="21">
        <v>1565</v>
      </c>
      <c r="P200" s="20"/>
      <c r="Q200" s="167" t="s">
        <v>345</v>
      </c>
      <c r="R200" s="167"/>
      <c r="S200" s="21">
        <v>1</v>
      </c>
      <c r="T200" s="21"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1000</v>
      </c>
      <c r="E201" s="176"/>
      <c r="F201" s="167"/>
      <c r="G201" s="167"/>
      <c r="H201" s="169" t="s">
        <v>387</v>
      </c>
      <c r="I201" s="167"/>
      <c r="J201" s="167">
        <f>J200</f>
        <v>20</v>
      </c>
      <c r="K201" s="20"/>
      <c r="L201" s="167" t="s">
        <v>346</v>
      </c>
      <c r="M201" s="167"/>
      <c r="N201" s="168">
        <f>N200*N198</f>
        <v>1000</v>
      </c>
      <c r="O201" s="168">
        <f>O200*O198</f>
        <v>1565</v>
      </c>
      <c r="P201" s="20"/>
      <c r="Q201" s="167" t="s">
        <v>342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6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1</v>
      </c>
      <c r="T202" s="168">
        <f>T201*T200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6000</v>
      </c>
      <c r="E203" s="167"/>
      <c r="F203" s="167"/>
      <c r="G203" s="167"/>
      <c r="H203" s="169" t="s">
        <v>387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347</v>
      </c>
      <c r="M204" s="169"/>
      <c r="N204" s="170">
        <f>N201/N199</f>
        <v>12.5</v>
      </c>
      <c r="O204" s="170">
        <f>O201/O199</f>
        <v>19.5625</v>
      </c>
      <c r="P204" s="20"/>
      <c r="Q204" s="169" t="s">
        <v>347</v>
      </c>
      <c r="R204" s="169"/>
      <c r="S204" s="170">
        <f>S202/S199</f>
        <v>1</v>
      </c>
      <c r="T204" s="170">
        <f>T202/T199</f>
        <v>1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11.320754716981131</v>
      </c>
      <c r="E205" s="176"/>
      <c r="F205" s="167"/>
      <c r="G205" s="167"/>
      <c r="H205" s="169" t="s">
        <v>387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8" t="s">
        <v>27</v>
      </c>
      <c r="E208" s="189"/>
      <c r="F208" s="189"/>
      <c r="G208" s="190"/>
      <c r="H208" s="20"/>
      <c r="I208" s="188" t="s">
        <v>393</v>
      </c>
      <c r="J208" s="189"/>
      <c r="K208" s="19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530</v>
      </c>
      <c r="H209" s="20"/>
      <c r="I209" s="20" t="s">
        <v>28</v>
      </c>
      <c r="J209" s="127"/>
      <c r="K209" s="21">
        <f>G209</f>
        <v>530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6000</v>
      </c>
      <c r="H210" s="20"/>
      <c r="I210" s="20" t="s">
        <v>29</v>
      </c>
      <c r="J210" s="20"/>
      <c r="K210" s="21">
        <f>G210</f>
        <v>6000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10.320754716981131</v>
      </c>
      <c r="H212" s="20"/>
      <c r="I212" s="23" t="s">
        <v>394</v>
      </c>
      <c r="J212" s="23"/>
      <c r="K212" s="23">
        <f>(K210-K209)/K209</f>
        <v>10.320754716981131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</v>
      </c>
      <c r="H213" s="20"/>
      <c r="I213" s="23" t="s">
        <v>395</v>
      </c>
      <c r="J213" s="23"/>
      <c r="K213" s="23">
        <f>K210/K209</f>
        <v>11.320754716981131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10.320754716981131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0" t="s">
        <v>27</v>
      </c>
      <c r="K5" s="200"/>
      <c r="M5" s="200" t="s">
        <v>65</v>
      </c>
      <c r="N5" s="20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0" t="s">
        <v>36</v>
      </c>
      <c r="K14" s="200"/>
      <c r="L14" s="20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0" t="s">
        <v>27</v>
      </c>
      <c r="S5" s="20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0" t="s">
        <v>36</v>
      </c>
      <c r="S14" s="200"/>
      <c r="T14" s="20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0" t="s">
        <v>27</v>
      </c>
      <c r="C2" s="200"/>
      <c r="E2" s="200" t="s">
        <v>65</v>
      </c>
      <c r="F2" s="200"/>
      <c r="H2" s="204" t="s">
        <v>36</v>
      </c>
      <c r="I2" s="20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1" t="s">
        <v>68</v>
      </c>
      <c r="E10" s="202"/>
      <c r="F10" s="202"/>
      <c r="G10" s="202"/>
      <c r="H10" s="203"/>
      <c r="I10" s="201" t="s">
        <v>72</v>
      </c>
      <c r="J10" s="202"/>
      <c r="K10" s="202"/>
      <c r="L10" s="20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2014-04-18T17:08:21Z</dcterms:modified>
</cp:coreProperties>
</file>
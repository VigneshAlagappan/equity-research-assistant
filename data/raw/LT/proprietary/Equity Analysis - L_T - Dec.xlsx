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2"/>
  </bookViews>
  <sheets>
    <sheet name="1 - Eval Steps" sheetId="16" r:id="rId1"/>
    <sheet name="2 - Analysis" sheetId="15" r:id="rId2"/>
    <sheet name="3 - Forecast" sheetId="18" r:id="rId3"/>
    <sheet name="BV calc" sheetId="8" r:id="rId4"/>
    <sheet name="Sheet1" sheetId="11" state="hidden" r:id="rId5"/>
    <sheet name="IOB" sheetId="9" state="hidden" r:id="rId6"/>
    <sheet name="Template" sheetId="12" state="hidden" r:id="rId7"/>
  </sheets>
  <calcPr calcId="144525"/>
</workbook>
</file>

<file path=xl/calcChain.xml><?xml version="1.0" encoding="utf-8"?>
<calcChain xmlns="http://schemas.openxmlformats.org/spreadsheetml/2006/main">
  <c r="T189" i="18" l="1"/>
  <c r="T191" i="18"/>
  <c r="T188" i="18"/>
  <c r="S40" i="18"/>
  <c r="D186" i="18"/>
  <c r="H186" i="18"/>
  <c r="L26" i="18"/>
  <c r="N12" i="18"/>
  <c r="M12" i="18"/>
  <c r="L12" i="18"/>
  <c r="L91" i="18" s="1"/>
  <c r="K12" i="18"/>
  <c r="J12" i="18"/>
  <c r="J91" i="18" s="1"/>
  <c r="I12" i="18"/>
  <c r="H12" i="18"/>
  <c r="H91" i="18" s="1"/>
  <c r="F91" i="18"/>
  <c r="G91" i="18"/>
  <c r="I91" i="18"/>
  <c r="K91" i="18"/>
  <c r="M91" i="18"/>
  <c r="N91" i="18"/>
  <c r="O91" i="18"/>
  <c r="P91" i="18"/>
  <c r="H122" i="18"/>
  <c r="I122" i="18"/>
  <c r="J122" i="18"/>
  <c r="K122" i="18"/>
  <c r="L122" i="18"/>
  <c r="M122" i="18"/>
  <c r="N122" i="18"/>
  <c r="O122" i="18"/>
  <c r="P122" i="18"/>
  <c r="H121" i="18"/>
  <c r="I121" i="18"/>
  <c r="J121" i="18"/>
  <c r="K121" i="18"/>
  <c r="L121" i="18"/>
  <c r="M121" i="18"/>
  <c r="N121" i="18"/>
  <c r="O121" i="18"/>
  <c r="P121" i="18"/>
  <c r="R40" i="18"/>
  <c r="G200" i="18"/>
  <c r="G201" i="18" s="1"/>
  <c r="G202" i="18" s="1"/>
  <c r="G199" i="18"/>
  <c r="K197" i="18"/>
  <c r="K196" i="18"/>
  <c r="AD48" i="18"/>
  <c r="C48" i="18"/>
  <c r="D48" i="18"/>
  <c r="E48" i="18"/>
  <c r="F48" i="18"/>
  <c r="H48" i="18"/>
  <c r="I48" i="18"/>
  <c r="J48" i="18"/>
  <c r="K48" i="18"/>
  <c r="L48" i="18"/>
  <c r="M48" i="18"/>
  <c r="N48" i="18"/>
  <c r="O48" i="18"/>
  <c r="P48" i="18"/>
  <c r="G48" i="18"/>
  <c r="H191" i="18"/>
  <c r="D190" i="18"/>
  <c r="D192" i="18" s="1"/>
  <c r="I189" i="18"/>
  <c r="J189" i="18" s="1"/>
  <c r="J190" i="18" s="1"/>
  <c r="H189" i="18"/>
  <c r="H187" i="18"/>
  <c r="H185" i="18"/>
  <c r="H184" i="18"/>
  <c r="I184" i="18" s="1"/>
  <c r="J184" i="18" s="1"/>
  <c r="K200" i="18" l="1"/>
  <c r="Q48" i="18"/>
  <c r="K199" i="18"/>
  <c r="I185" i="18"/>
  <c r="J185" i="18" s="1"/>
  <c r="I191" i="18"/>
  <c r="J191" i="18" s="1"/>
  <c r="J192" i="18" s="1"/>
  <c r="H83" i="18"/>
  <c r="I83" i="18"/>
  <c r="J83" i="18"/>
  <c r="K83" i="18"/>
  <c r="L83" i="18"/>
  <c r="M83" i="18"/>
  <c r="N83" i="18"/>
  <c r="O83" i="18"/>
  <c r="P83" i="18"/>
  <c r="G83" i="18"/>
  <c r="H39" i="18"/>
  <c r="I39" i="18"/>
  <c r="J39" i="18"/>
  <c r="K39" i="18"/>
  <c r="L39" i="18"/>
  <c r="M39" i="18"/>
  <c r="N39" i="18"/>
  <c r="O39" i="18"/>
  <c r="P39" i="18"/>
  <c r="K37" i="18"/>
  <c r="L37" i="18"/>
  <c r="M37" i="18"/>
  <c r="J37" i="18"/>
  <c r="I37" i="18"/>
  <c r="H37" i="18"/>
  <c r="G37" i="18"/>
  <c r="P37" i="18"/>
  <c r="O37" i="18"/>
  <c r="N37" i="18"/>
  <c r="P30" i="18"/>
  <c r="O30" i="18"/>
  <c r="N30" i="18"/>
  <c r="M30" i="18"/>
  <c r="N28" i="18"/>
  <c r="O28" i="18"/>
  <c r="P28" i="18"/>
  <c r="N26" i="18"/>
  <c r="O26" i="18"/>
  <c r="P26" i="18"/>
  <c r="H11" i="18"/>
  <c r="I11" i="18"/>
  <c r="J11" i="18"/>
  <c r="K11" i="18"/>
  <c r="L11" i="18"/>
  <c r="M11" i="18"/>
  <c r="N11" i="18"/>
  <c r="O11" i="18"/>
  <c r="P11" i="18"/>
  <c r="G122" i="18"/>
  <c r="G121" i="18"/>
  <c r="AD14" i="18"/>
  <c r="R14" i="18"/>
  <c r="S14" i="18" s="1"/>
  <c r="T14" i="18" s="1"/>
  <c r="U14" i="18" s="1"/>
  <c r="V14" i="18" s="1"/>
  <c r="W14" i="18" s="1"/>
  <c r="X14" i="18" s="1"/>
  <c r="Y14" i="18" s="1"/>
  <c r="Z14" i="18" s="1"/>
  <c r="AA14" i="18" s="1"/>
  <c r="AB14" i="18" s="1"/>
  <c r="Q14" i="18"/>
  <c r="T185" i="18"/>
  <c r="T184" i="18"/>
  <c r="O185" i="18"/>
  <c r="O188" i="18" s="1"/>
  <c r="O184" i="18"/>
  <c r="H89" i="18"/>
  <c r="I89" i="18"/>
  <c r="J89" i="18"/>
  <c r="K89" i="18"/>
  <c r="L89" i="18"/>
  <c r="M89" i="18"/>
  <c r="N89" i="18"/>
  <c r="O89" i="18"/>
  <c r="P89" i="18"/>
  <c r="G89" i="18"/>
  <c r="H86" i="18"/>
  <c r="I86" i="18"/>
  <c r="J86" i="18"/>
  <c r="K86" i="18"/>
  <c r="L86" i="18"/>
  <c r="M86" i="18"/>
  <c r="N86" i="18"/>
  <c r="O86" i="18"/>
  <c r="P86" i="18"/>
  <c r="G86" i="18"/>
  <c r="H87" i="18"/>
  <c r="I87" i="18"/>
  <c r="J87" i="18"/>
  <c r="K87" i="18"/>
  <c r="L87" i="18"/>
  <c r="M87" i="18"/>
  <c r="N87" i="18"/>
  <c r="O87" i="18"/>
  <c r="P87" i="18"/>
  <c r="G87" i="18"/>
  <c r="H117" i="18"/>
  <c r="H118" i="18" s="1"/>
  <c r="I117" i="18"/>
  <c r="I118" i="18" s="1"/>
  <c r="J117" i="18"/>
  <c r="J118" i="18" s="1"/>
  <c r="K117" i="18"/>
  <c r="K118" i="18" s="1"/>
  <c r="L117" i="18"/>
  <c r="L118" i="18" s="1"/>
  <c r="M117" i="18"/>
  <c r="M118" i="18" s="1"/>
  <c r="N117" i="18"/>
  <c r="N118" i="18" s="1"/>
  <c r="O117" i="18"/>
  <c r="O118" i="18" s="1"/>
  <c r="P117" i="18"/>
  <c r="P118" i="18" s="1"/>
  <c r="G117" i="18"/>
  <c r="G118" i="18" s="1"/>
  <c r="I186" i="18" l="1"/>
  <c r="J186" i="18" s="1"/>
  <c r="I187" i="18" s="1"/>
  <c r="J187" i="18" s="1"/>
  <c r="J188" i="18" s="1"/>
  <c r="Q121" i="18"/>
  <c r="Q122" i="18"/>
  <c r="Q83" i="18"/>
  <c r="Q89" i="18"/>
  <c r="AC14" i="18"/>
  <c r="AE14" i="18"/>
  <c r="Q86" i="18"/>
  <c r="Q118" i="18"/>
  <c r="Q117" i="18"/>
  <c r="Q87" i="18"/>
  <c r="P82" i="18"/>
  <c r="P81" i="18"/>
  <c r="E82" i="18"/>
  <c r="F82" i="18"/>
  <c r="H82" i="18"/>
  <c r="I82" i="18"/>
  <c r="J82" i="18"/>
  <c r="K82" i="18"/>
  <c r="L82" i="18"/>
  <c r="M82" i="18"/>
  <c r="N82" i="18"/>
  <c r="O82" i="18"/>
  <c r="G82" i="18"/>
  <c r="G81" i="18"/>
  <c r="H115" i="18"/>
  <c r="I115" i="18"/>
  <c r="J115" i="18"/>
  <c r="K115" i="18"/>
  <c r="L115" i="18"/>
  <c r="M115" i="18"/>
  <c r="N115" i="18"/>
  <c r="O115" i="18"/>
  <c r="P115" i="18"/>
  <c r="G115" i="18"/>
  <c r="H114" i="18"/>
  <c r="I114" i="18"/>
  <c r="J114" i="18"/>
  <c r="K114" i="18"/>
  <c r="L114" i="18"/>
  <c r="M114" i="18"/>
  <c r="N114" i="18"/>
  <c r="O114" i="18"/>
  <c r="P114" i="18"/>
  <c r="G114" i="18"/>
  <c r="H111" i="18"/>
  <c r="I111" i="18"/>
  <c r="J111" i="18"/>
  <c r="K111" i="18"/>
  <c r="L111" i="18"/>
  <c r="M111" i="18"/>
  <c r="N111" i="18"/>
  <c r="O111" i="18"/>
  <c r="P111" i="18"/>
  <c r="G111" i="18"/>
  <c r="H112" i="18"/>
  <c r="I112" i="18"/>
  <c r="J112" i="18"/>
  <c r="K112" i="18"/>
  <c r="L112" i="18"/>
  <c r="M112" i="18"/>
  <c r="N112" i="18"/>
  <c r="O112" i="18"/>
  <c r="P112" i="18"/>
  <c r="G112" i="18"/>
  <c r="H110" i="18"/>
  <c r="I110" i="18"/>
  <c r="J110" i="18"/>
  <c r="K110" i="18"/>
  <c r="L110" i="18"/>
  <c r="M110" i="18"/>
  <c r="N110" i="18"/>
  <c r="O110" i="18"/>
  <c r="P110" i="18"/>
  <c r="G110" i="18"/>
  <c r="H109" i="18"/>
  <c r="I109" i="18"/>
  <c r="J109" i="18"/>
  <c r="K109" i="18"/>
  <c r="L109" i="18"/>
  <c r="M109" i="18"/>
  <c r="N109" i="18"/>
  <c r="O109" i="18"/>
  <c r="P109" i="18"/>
  <c r="G109" i="18"/>
  <c r="R155" i="18"/>
  <c r="H106" i="18"/>
  <c r="I106" i="18"/>
  <c r="J106" i="18"/>
  <c r="K106" i="18"/>
  <c r="L106" i="18"/>
  <c r="M106" i="18"/>
  <c r="N106" i="18"/>
  <c r="O106" i="18"/>
  <c r="P106" i="18"/>
  <c r="G106" i="18"/>
  <c r="H105" i="18"/>
  <c r="I105" i="18"/>
  <c r="J105" i="18"/>
  <c r="K105" i="18"/>
  <c r="L105" i="18"/>
  <c r="M105" i="18"/>
  <c r="N105" i="18"/>
  <c r="O105" i="18"/>
  <c r="P105" i="18"/>
  <c r="G105" i="18"/>
  <c r="H104" i="18"/>
  <c r="I104" i="18"/>
  <c r="J104" i="18"/>
  <c r="K104" i="18"/>
  <c r="L104" i="18"/>
  <c r="M104" i="18"/>
  <c r="N104" i="18"/>
  <c r="O104" i="18"/>
  <c r="P104" i="18"/>
  <c r="G104" i="18"/>
  <c r="B106" i="18"/>
  <c r="B105" i="18"/>
  <c r="K170" i="18"/>
  <c r="K169" i="18"/>
  <c r="K168" i="18"/>
  <c r="AD32" i="18"/>
  <c r="R32" i="18"/>
  <c r="S32" i="18" s="1"/>
  <c r="T32" i="18" s="1"/>
  <c r="U32" i="18" s="1"/>
  <c r="V32" i="18" s="1"/>
  <c r="W32" i="18" s="1"/>
  <c r="X32" i="18" s="1"/>
  <c r="Y32" i="18" s="1"/>
  <c r="Z32" i="18" s="1"/>
  <c r="AA32" i="18" s="1"/>
  <c r="AB32" i="18" s="1"/>
  <c r="Q32" i="18"/>
  <c r="G94" i="18"/>
  <c r="H94" i="18"/>
  <c r="I94" i="18"/>
  <c r="J94" i="18"/>
  <c r="K94" i="18"/>
  <c r="L94" i="18"/>
  <c r="M94" i="18"/>
  <c r="N94" i="18"/>
  <c r="O94" i="18"/>
  <c r="P94" i="18"/>
  <c r="S189" i="18"/>
  <c r="N188" i="18"/>
  <c r="S186" i="18"/>
  <c r="T186" i="18" s="1"/>
  <c r="N186" i="18"/>
  <c r="O186" i="18" s="1"/>
  <c r="O191" i="18" s="1"/>
  <c r="F102" i="18"/>
  <c r="H102" i="18"/>
  <c r="I102" i="18"/>
  <c r="J102" i="18"/>
  <c r="K102" i="18"/>
  <c r="L102" i="18"/>
  <c r="M102" i="18"/>
  <c r="N102" i="18"/>
  <c r="O102" i="18"/>
  <c r="P102" i="18"/>
  <c r="G102" i="18"/>
  <c r="F101" i="18"/>
  <c r="H101" i="18"/>
  <c r="I101" i="18"/>
  <c r="J101" i="18"/>
  <c r="K101" i="18"/>
  <c r="L101" i="18"/>
  <c r="M101" i="18"/>
  <c r="N101" i="18"/>
  <c r="O101" i="18"/>
  <c r="P101" i="18"/>
  <c r="G101" i="18"/>
  <c r="Q112" i="18" l="1"/>
  <c r="Q82" i="18"/>
  <c r="Q109" i="18"/>
  <c r="Q115" i="18"/>
  <c r="Q114" i="18"/>
  <c r="Q110" i="18"/>
  <c r="Q111" i="18"/>
  <c r="Q104" i="18"/>
  <c r="Q105" i="18"/>
  <c r="Q106" i="18"/>
  <c r="Q94" i="18"/>
  <c r="AC32" i="18"/>
  <c r="AE32" i="18"/>
  <c r="N191" i="18"/>
  <c r="S191" i="18"/>
  <c r="Q102" i="18"/>
  <c r="Q101" i="18"/>
  <c r="R9" i="18"/>
  <c r="R10" i="18"/>
  <c r="R12" i="18"/>
  <c r="R13" i="18"/>
  <c r="R15" i="18"/>
  <c r="R16" i="18"/>
  <c r="R18" i="18"/>
  <c r="R20" i="18"/>
  <c r="R21" i="18"/>
  <c r="R22" i="18"/>
  <c r="R23" i="18"/>
  <c r="R25" i="18"/>
  <c r="R27" i="18"/>
  <c r="R29" i="18"/>
  <c r="R31" i="18"/>
  <c r="S31" i="18" s="1"/>
  <c r="T31" i="18" s="1"/>
  <c r="U31" i="18" s="1"/>
  <c r="V31" i="18" s="1"/>
  <c r="W31" i="18" s="1"/>
  <c r="X31" i="18" s="1"/>
  <c r="Y31" i="18" s="1"/>
  <c r="Z31" i="18" s="1"/>
  <c r="AA31" i="18" s="1"/>
  <c r="AB31" i="18" s="1"/>
  <c r="R33" i="18"/>
  <c r="R34" i="18"/>
  <c r="R36" i="18"/>
  <c r="R38" i="18"/>
  <c r="R7" i="18"/>
  <c r="R6" i="18"/>
  <c r="AD9" i="18"/>
  <c r="AD10" i="18"/>
  <c r="AD11" i="18"/>
  <c r="AD12" i="18"/>
  <c r="AD13" i="18"/>
  <c r="AD15" i="18"/>
  <c r="AD16" i="18"/>
  <c r="AD18" i="18"/>
  <c r="AD20" i="18"/>
  <c r="AD21" i="18"/>
  <c r="AD22" i="18"/>
  <c r="AD23" i="18"/>
  <c r="AD25" i="18"/>
  <c r="AD27" i="18"/>
  <c r="AD29" i="18"/>
  <c r="AD31" i="18"/>
  <c r="AD33" i="18"/>
  <c r="AD34" i="18"/>
  <c r="AD36" i="18"/>
  <c r="AD38" i="18"/>
  <c r="AD40" i="18"/>
  <c r="AD41" i="18"/>
  <c r="AD44" i="18"/>
  <c r="AD45" i="18"/>
  <c r="AD47" i="18"/>
  <c r="AD49" i="18"/>
  <c r="AD50" i="18"/>
  <c r="AD51" i="18"/>
  <c r="AD53" i="18"/>
  <c r="AD54" i="18"/>
  <c r="AD55" i="18"/>
  <c r="AD57" i="18"/>
  <c r="AD58" i="18"/>
  <c r="AD59" i="18"/>
  <c r="AD60" i="18"/>
  <c r="AD62" i="18"/>
  <c r="AD63" i="18"/>
  <c r="AD65" i="18"/>
  <c r="AD67" i="18"/>
  <c r="AD68" i="18"/>
  <c r="AD69" i="18"/>
  <c r="AD70" i="18"/>
  <c r="AD71" i="18"/>
  <c r="AD73" i="18"/>
  <c r="AD74" i="18"/>
  <c r="AD75" i="18"/>
  <c r="AD7" i="18"/>
  <c r="AD6" i="18"/>
  <c r="Q91" i="18" l="1"/>
  <c r="H85" i="18"/>
  <c r="I85" i="18"/>
  <c r="J85" i="18"/>
  <c r="K85" i="18"/>
  <c r="L85" i="18"/>
  <c r="M85" i="18"/>
  <c r="N85" i="18"/>
  <c r="O85" i="18"/>
  <c r="P85" i="18"/>
  <c r="H88" i="18"/>
  <c r="I88" i="18"/>
  <c r="J88" i="18"/>
  <c r="K88" i="18"/>
  <c r="L88" i="18"/>
  <c r="M88" i="18"/>
  <c r="N88" i="18"/>
  <c r="O88" i="18"/>
  <c r="P88" i="18"/>
  <c r="G88" i="18"/>
  <c r="G85" i="18"/>
  <c r="S29" i="18"/>
  <c r="Q29" i="18"/>
  <c r="L30" i="18"/>
  <c r="K30" i="18"/>
  <c r="J30" i="18"/>
  <c r="I30" i="18"/>
  <c r="H30" i="18"/>
  <c r="G30" i="18"/>
  <c r="T29" i="18" l="1"/>
  <c r="Q88" i="18"/>
  <c r="Q85" i="18"/>
  <c r="H93" i="18"/>
  <c r="I93" i="18"/>
  <c r="J93" i="18"/>
  <c r="K93" i="18"/>
  <c r="L93" i="18"/>
  <c r="M93" i="18"/>
  <c r="N93" i="18"/>
  <c r="O93" i="18"/>
  <c r="P93" i="18"/>
  <c r="G93" i="18"/>
  <c r="H92" i="18"/>
  <c r="I92" i="18"/>
  <c r="J92" i="18"/>
  <c r="K92" i="18"/>
  <c r="L92" i="18"/>
  <c r="M92" i="18"/>
  <c r="N92" i="18"/>
  <c r="O92" i="18"/>
  <c r="P92" i="18"/>
  <c r="G92" i="18"/>
  <c r="U29" i="18" l="1"/>
  <c r="Q92" i="18"/>
  <c r="Q93" i="18"/>
  <c r="AE62" i="18"/>
  <c r="V29" i="18" l="1"/>
  <c r="C163" i="18"/>
  <c r="D163" i="18"/>
  <c r="E163" i="18"/>
  <c r="F163" i="18"/>
  <c r="G163" i="18"/>
  <c r="H163" i="18"/>
  <c r="I163" i="18"/>
  <c r="J163" i="18"/>
  <c r="K163" i="18"/>
  <c r="L163" i="18"/>
  <c r="M163" i="18"/>
  <c r="N163" i="18"/>
  <c r="O163" i="18"/>
  <c r="P163" i="18"/>
  <c r="C9" i="15"/>
  <c r="D63" i="18"/>
  <c r="E63" i="18"/>
  <c r="E96" i="18" s="1"/>
  <c r="E97" i="18" s="1"/>
  <c r="F63" i="18"/>
  <c r="F96" i="18" s="1"/>
  <c r="F97" i="18" s="1"/>
  <c r="G63" i="18"/>
  <c r="G96" i="18" s="1"/>
  <c r="G97" i="18" s="1"/>
  <c r="H63" i="18"/>
  <c r="H96" i="18" s="1"/>
  <c r="H97" i="18" s="1"/>
  <c r="I63" i="18"/>
  <c r="I96" i="18" s="1"/>
  <c r="I97" i="18" s="1"/>
  <c r="J63" i="18"/>
  <c r="J96" i="18" s="1"/>
  <c r="J97" i="18" s="1"/>
  <c r="K63" i="18"/>
  <c r="K96" i="18" s="1"/>
  <c r="K97" i="18" s="1"/>
  <c r="L63" i="18"/>
  <c r="L96" i="18" s="1"/>
  <c r="L97" i="18" s="1"/>
  <c r="M63" i="18"/>
  <c r="M96" i="18" s="1"/>
  <c r="M97" i="18" s="1"/>
  <c r="N63" i="18"/>
  <c r="N96" i="18" s="1"/>
  <c r="N97" i="18" s="1"/>
  <c r="O63" i="18"/>
  <c r="O96" i="18" s="1"/>
  <c r="O97" i="18" s="1"/>
  <c r="P63" i="18"/>
  <c r="P96" i="18" s="1"/>
  <c r="C63" i="18"/>
  <c r="S41" i="18"/>
  <c r="Q41" i="18"/>
  <c r="S63" i="18" l="1"/>
  <c r="S96" i="18" s="1"/>
  <c r="S97" i="18" s="1"/>
  <c r="W29" i="18"/>
  <c r="Q163" i="18"/>
  <c r="N98" i="18"/>
  <c r="N99" i="18" s="1"/>
  <c r="J98" i="18"/>
  <c r="J99" i="18" s="1"/>
  <c r="L98" i="18"/>
  <c r="L99" i="18" s="1"/>
  <c r="H98" i="18"/>
  <c r="H99" i="18" s="1"/>
  <c r="M98" i="18"/>
  <c r="M99" i="18" s="1"/>
  <c r="I98" i="18"/>
  <c r="I99" i="18" s="1"/>
  <c r="F98" i="18"/>
  <c r="F99" i="18" s="1"/>
  <c r="O98" i="18"/>
  <c r="O99" i="18" s="1"/>
  <c r="K98" i="18"/>
  <c r="K99" i="18" s="1"/>
  <c r="G98" i="18"/>
  <c r="G99" i="18" s="1"/>
  <c r="P97" i="18"/>
  <c r="Q96" i="18"/>
  <c r="T41" i="18"/>
  <c r="U41" i="18" l="1"/>
  <c r="X29" i="18"/>
  <c r="P98" i="18"/>
  <c r="Q97" i="18"/>
  <c r="T63" i="18"/>
  <c r="C73" i="18"/>
  <c r="D73" i="18"/>
  <c r="E73" i="18"/>
  <c r="F73" i="18"/>
  <c r="G73" i="18"/>
  <c r="G119" i="18" s="1"/>
  <c r="H73" i="18"/>
  <c r="H119" i="18" s="1"/>
  <c r="I73" i="18"/>
  <c r="I119" i="18" s="1"/>
  <c r="J73" i="18"/>
  <c r="J119" i="18" s="1"/>
  <c r="K73" i="18"/>
  <c r="K119" i="18" s="1"/>
  <c r="L73" i="18"/>
  <c r="L119" i="18" s="1"/>
  <c r="M73" i="18"/>
  <c r="M119" i="18" s="1"/>
  <c r="N73" i="18"/>
  <c r="N119" i="18" s="1"/>
  <c r="O73" i="18"/>
  <c r="O119" i="18" s="1"/>
  <c r="C74" i="18"/>
  <c r="D74" i="18"/>
  <c r="E74" i="18"/>
  <c r="F74" i="18"/>
  <c r="G74" i="18"/>
  <c r="H74" i="18"/>
  <c r="I74" i="18"/>
  <c r="J74" i="18"/>
  <c r="K74" i="18"/>
  <c r="L74" i="18"/>
  <c r="M74" i="18"/>
  <c r="N74" i="18"/>
  <c r="O74" i="18"/>
  <c r="C75" i="18"/>
  <c r="D75" i="18"/>
  <c r="E75" i="18"/>
  <c r="F75" i="18"/>
  <c r="G75" i="18"/>
  <c r="H75" i="18"/>
  <c r="I75" i="18"/>
  <c r="J75" i="18"/>
  <c r="K75" i="18"/>
  <c r="L75" i="18"/>
  <c r="M75" i="18"/>
  <c r="N75" i="18"/>
  <c r="O75" i="18"/>
  <c r="P75" i="18"/>
  <c r="P74" i="18"/>
  <c r="P73" i="18"/>
  <c r="P119" i="18" s="1"/>
  <c r="E81" i="18"/>
  <c r="F81" i="18"/>
  <c r="H81" i="18"/>
  <c r="I81" i="18"/>
  <c r="J81" i="18"/>
  <c r="K81" i="18"/>
  <c r="L81" i="18"/>
  <c r="M81" i="18"/>
  <c r="N81" i="18"/>
  <c r="O81" i="18"/>
  <c r="E79" i="18"/>
  <c r="E80" i="18"/>
  <c r="F80" i="18"/>
  <c r="G80" i="18"/>
  <c r="H80" i="18"/>
  <c r="I80" i="18"/>
  <c r="J80" i="18"/>
  <c r="K80" i="18"/>
  <c r="L80" i="18"/>
  <c r="M80" i="18"/>
  <c r="N80" i="18"/>
  <c r="O80" i="18"/>
  <c r="F79" i="18"/>
  <c r="G79" i="18"/>
  <c r="H79" i="18"/>
  <c r="I79" i="18"/>
  <c r="J79" i="18"/>
  <c r="K79" i="18"/>
  <c r="L79" i="18"/>
  <c r="M79" i="18"/>
  <c r="N79" i="18"/>
  <c r="O79" i="18"/>
  <c r="P80" i="18"/>
  <c r="G39" i="18"/>
  <c r="G28" i="18"/>
  <c r="G11" i="18"/>
  <c r="G8" i="18"/>
  <c r="G26" i="18"/>
  <c r="V41" i="18" l="1"/>
  <c r="U63" i="18"/>
  <c r="Q119" i="18"/>
  <c r="Y29" i="18"/>
  <c r="Q75" i="18"/>
  <c r="Q73" i="18"/>
  <c r="Q74" i="18"/>
  <c r="Q80" i="18"/>
  <c r="Q81" i="18"/>
  <c r="P79" i="18"/>
  <c r="Q79" i="18" s="1"/>
  <c r="C177" i="18"/>
  <c r="D177" i="18"/>
  <c r="E177" i="18"/>
  <c r="F177" i="18"/>
  <c r="C178" i="18"/>
  <c r="D178" i="18"/>
  <c r="E178" i="18"/>
  <c r="F178" i="18"/>
  <c r="C179" i="18"/>
  <c r="D179" i="18"/>
  <c r="E179" i="18"/>
  <c r="F179" i="18"/>
  <c r="H179" i="18"/>
  <c r="I179" i="18"/>
  <c r="J179" i="18"/>
  <c r="K179" i="18"/>
  <c r="L179" i="18"/>
  <c r="M179" i="18"/>
  <c r="N179" i="18"/>
  <c r="O179" i="18"/>
  <c r="P179" i="18"/>
  <c r="G179" i="18"/>
  <c r="H178" i="18"/>
  <c r="I178" i="18"/>
  <c r="J178" i="18"/>
  <c r="K178" i="18"/>
  <c r="L178" i="18"/>
  <c r="M178" i="18"/>
  <c r="N178" i="18"/>
  <c r="O178" i="18"/>
  <c r="P178" i="18"/>
  <c r="G178" i="18"/>
  <c r="H177" i="18"/>
  <c r="I177" i="18"/>
  <c r="J177" i="18"/>
  <c r="K177" i="18"/>
  <c r="L177" i="18"/>
  <c r="M177" i="18"/>
  <c r="N177" i="18"/>
  <c r="O177" i="18"/>
  <c r="P177" i="18"/>
  <c r="G177" i="18"/>
  <c r="H45" i="18"/>
  <c r="I45" i="18"/>
  <c r="J45" i="18"/>
  <c r="K45" i="18"/>
  <c r="L45" i="18"/>
  <c r="M45" i="18"/>
  <c r="N45" i="18"/>
  <c r="O45" i="18"/>
  <c r="P45" i="18"/>
  <c r="C45" i="18"/>
  <c r="D45" i="18"/>
  <c r="E45" i="18"/>
  <c r="F45" i="18"/>
  <c r="G45" i="18"/>
  <c r="G47" i="18"/>
  <c r="G162" i="18" s="1"/>
  <c r="H44" i="18"/>
  <c r="H156" i="18" s="1"/>
  <c r="I44" i="18"/>
  <c r="I156" i="18" s="1"/>
  <c r="J44" i="18"/>
  <c r="J156" i="18" s="1"/>
  <c r="K44" i="18"/>
  <c r="K156" i="18" s="1"/>
  <c r="L44" i="18"/>
  <c r="L156" i="18" s="1"/>
  <c r="M44" i="18"/>
  <c r="M156" i="18" s="1"/>
  <c r="N44" i="18"/>
  <c r="N156" i="18" s="1"/>
  <c r="O44" i="18"/>
  <c r="O156" i="18" s="1"/>
  <c r="P44" i="18"/>
  <c r="P156" i="18" s="1"/>
  <c r="C44" i="18"/>
  <c r="C156" i="18" s="1"/>
  <c r="D44" i="18"/>
  <c r="D156" i="18" s="1"/>
  <c r="E44" i="18"/>
  <c r="E156" i="18" s="1"/>
  <c r="F44" i="18"/>
  <c r="F156" i="18" s="1"/>
  <c r="G44" i="18"/>
  <c r="G156" i="18" s="1"/>
  <c r="M28" i="18"/>
  <c r="L28" i="18"/>
  <c r="K28" i="18"/>
  <c r="J28" i="18"/>
  <c r="I28" i="18"/>
  <c r="H28" i="18"/>
  <c r="M26" i="18"/>
  <c r="K26" i="18"/>
  <c r="J26" i="18"/>
  <c r="I26" i="18"/>
  <c r="H26" i="18"/>
  <c r="I8" i="18"/>
  <c r="J8" i="18"/>
  <c r="K8" i="18"/>
  <c r="L8" i="18"/>
  <c r="M8" i="18"/>
  <c r="N8" i="18"/>
  <c r="O8" i="18"/>
  <c r="P8" i="18"/>
  <c r="H8" i="18"/>
  <c r="Q40" i="18"/>
  <c r="S36" i="18"/>
  <c r="S86" i="18" s="1"/>
  <c r="Q36" i="18"/>
  <c r="W41" i="18" l="1"/>
  <c r="V63" i="18"/>
  <c r="Q156" i="18"/>
  <c r="Z29" i="18"/>
  <c r="T36" i="18"/>
  <c r="T86" i="18" s="1"/>
  <c r="Q179" i="18"/>
  <c r="Q45" i="18"/>
  <c r="Q44" i="18"/>
  <c r="Q178" i="18"/>
  <c r="Q177" i="18"/>
  <c r="Q31" i="18"/>
  <c r="Q34" i="18"/>
  <c r="X41" i="18" l="1"/>
  <c r="W63" i="18"/>
  <c r="AA29" i="18"/>
  <c r="U36" i="18"/>
  <c r="U86" i="18" s="1"/>
  <c r="I70" i="18"/>
  <c r="J70" i="18"/>
  <c r="K70" i="18"/>
  <c r="L70" i="18"/>
  <c r="M70" i="18"/>
  <c r="N70" i="18"/>
  <c r="O70" i="18"/>
  <c r="P70" i="18"/>
  <c r="I71" i="18"/>
  <c r="J71" i="18"/>
  <c r="K71" i="18"/>
  <c r="L71" i="18"/>
  <c r="M71" i="18"/>
  <c r="N71" i="18"/>
  <c r="O71" i="18"/>
  <c r="P71" i="18"/>
  <c r="I65" i="18"/>
  <c r="I67" i="18" s="1"/>
  <c r="J65" i="18"/>
  <c r="J67" i="18" s="1"/>
  <c r="K65" i="18"/>
  <c r="K67" i="18" s="1"/>
  <c r="L65" i="18"/>
  <c r="L67" i="18" s="1"/>
  <c r="M65" i="18"/>
  <c r="M67" i="18" s="1"/>
  <c r="N65" i="18"/>
  <c r="N67" i="18" s="1"/>
  <c r="O65" i="18"/>
  <c r="O67" i="18" s="1"/>
  <c r="P65" i="18"/>
  <c r="P67" i="18" s="1"/>
  <c r="I68" i="18"/>
  <c r="J68" i="18"/>
  <c r="K68" i="18"/>
  <c r="L68" i="18"/>
  <c r="M68" i="18"/>
  <c r="N68" i="18"/>
  <c r="O68" i="18"/>
  <c r="P68" i="18"/>
  <c r="I69" i="18"/>
  <c r="J69" i="18"/>
  <c r="K69" i="18"/>
  <c r="L69" i="18"/>
  <c r="M69" i="18"/>
  <c r="N69" i="18"/>
  <c r="O69" i="18"/>
  <c r="P69" i="18"/>
  <c r="C68" i="18"/>
  <c r="D68" i="18"/>
  <c r="E68" i="18"/>
  <c r="F68" i="18"/>
  <c r="G68" i="18"/>
  <c r="C69" i="18"/>
  <c r="D69" i="18"/>
  <c r="E69" i="18"/>
  <c r="F69" i="18"/>
  <c r="G69" i="18"/>
  <c r="C70" i="18"/>
  <c r="D70" i="18"/>
  <c r="E70" i="18"/>
  <c r="F70" i="18"/>
  <c r="G70" i="18"/>
  <c r="C71" i="18"/>
  <c r="D71" i="18"/>
  <c r="E71" i="18"/>
  <c r="F71" i="18"/>
  <c r="G71" i="18"/>
  <c r="H71" i="18"/>
  <c r="H70" i="18"/>
  <c r="S23" i="18"/>
  <c r="Q23" i="18"/>
  <c r="S22" i="18"/>
  <c r="T22" i="18" s="1"/>
  <c r="U22" i="18" s="1"/>
  <c r="V22" i="18" s="1"/>
  <c r="W22" i="18" s="1"/>
  <c r="X22" i="18" s="1"/>
  <c r="Y22" i="18" s="1"/>
  <c r="Z22" i="18" s="1"/>
  <c r="AA22" i="18" s="1"/>
  <c r="AB22" i="18" s="1"/>
  <c r="S21" i="18"/>
  <c r="Q20" i="18"/>
  <c r="C65" i="18"/>
  <c r="C67" i="18" s="1"/>
  <c r="D65" i="18"/>
  <c r="D67" i="18" s="1"/>
  <c r="E65" i="18"/>
  <c r="E67" i="18" s="1"/>
  <c r="F65" i="18"/>
  <c r="F67" i="18" s="1"/>
  <c r="G65" i="18"/>
  <c r="G67" i="18" s="1"/>
  <c r="H65" i="18"/>
  <c r="H67" i="18" s="1"/>
  <c r="H69" i="18"/>
  <c r="H68" i="18"/>
  <c r="Y41" i="18" l="1"/>
  <c r="X63" i="18"/>
  <c r="T23" i="18"/>
  <c r="S89" i="18"/>
  <c r="AB29" i="18"/>
  <c r="AE31" i="18"/>
  <c r="AC31" i="18"/>
  <c r="AC22" i="18"/>
  <c r="AE22" i="18"/>
  <c r="V36" i="18"/>
  <c r="V86" i="18" s="1"/>
  <c r="Q70" i="18"/>
  <c r="Q71" i="18"/>
  <c r="Q69" i="18"/>
  <c r="Q67" i="18"/>
  <c r="Q68" i="18"/>
  <c r="Q22" i="18"/>
  <c r="Q21" i="18"/>
  <c r="Q65" i="18"/>
  <c r="S20" i="18"/>
  <c r="S48" i="18" s="1"/>
  <c r="T21" i="18"/>
  <c r="Q63" i="18"/>
  <c r="Q155" i="18"/>
  <c r="Y63" i="18" l="1"/>
  <c r="Z41" i="18"/>
  <c r="U23" i="18"/>
  <c r="T89" i="18"/>
  <c r="AE29" i="18"/>
  <c r="AC29" i="18"/>
  <c r="T20" i="18"/>
  <c r="S65" i="18"/>
  <c r="U21" i="18"/>
  <c r="C19" i="15"/>
  <c r="S9" i="18"/>
  <c r="T9" i="18" s="1"/>
  <c r="U9" i="18" s="1"/>
  <c r="V9" i="18" s="1"/>
  <c r="W9" i="18" s="1"/>
  <c r="X9" i="18" s="1"/>
  <c r="Y9" i="18" s="1"/>
  <c r="Z9" i="18" s="1"/>
  <c r="AA9" i="18" s="1"/>
  <c r="AB9" i="18" s="1"/>
  <c r="AE9" i="18" s="1"/>
  <c r="Q38" i="18"/>
  <c r="Q33" i="18"/>
  <c r="Q27" i="18"/>
  <c r="Q25" i="18"/>
  <c r="Q18" i="18"/>
  <c r="Q16" i="18"/>
  <c r="Q15" i="18"/>
  <c r="Q13" i="18"/>
  <c r="Q12" i="18"/>
  <c r="Q10" i="18"/>
  <c r="Q9" i="18"/>
  <c r="Q7" i="18"/>
  <c r="Q6" i="18"/>
  <c r="S18" i="18"/>
  <c r="S25" i="18"/>
  <c r="S83" i="18" s="1"/>
  <c r="S27" i="18"/>
  <c r="S33" i="18"/>
  <c r="T33" i="18" s="1"/>
  <c r="U33" i="18" s="1"/>
  <c r="V33" i="18" s="1"/>
  <c r="W33" i="18" s="1"/>
  <c r="X33" i="18" s="1"/>
  <c r="Y33" i="18" s="1"/>
  <c r="Z33" i="18" s="1"/>
  <c r="AA33" i="18" s="1"/>
  <c r="AB33" i="18" s="1"/>
  <c r="AE33" i="18" s="1"/>
  <c r="S34" i="18"/>
  <c r="T34" i="18" s="1"/>
  <c r="U34" i="18" s="1"/>
  <c r="V34" i="18" s="1"/>
  <c r="W34" i="18" s="1"/>
  <c r="X34" i="18" s="1"/>
  <c r="Y34" i="18" s="1"/>
  <c r="Z34" i="18" s="1"/>
  <c r="AA34" i="18" s="1"/>
  <c r="AB34" i="18" s="1"/>
  <c r="AE34" i="18" s="1"/>
  <c r="W36" i="18"/>
  <c r="W86" i="18" s="1"/>
  <c r="O61" i="18"/>
  <c r="O160" i="18" s="1"/>
  <c r="O60" i="18"/>
  <c r="O58" i="18"/>
  <c r="O57" i="18"/>
  <c r="O55" i="18"/>
  <c r="O161" i="18" s="1"/>
  <c r="O54" i="18"/>
  <c r="O53" i="18"/>
  <c r="O51" i="18"/>
  <c r="O50" i="18"/>
  <c r="O158" i="18" s="1"/>
  <c r="O49" i="18"/>
  <c r="O47" i="18"/>
  <c r="Z63" i="18" l="1"/>
  <c r="AA41" i="18"/>
  <c r="T65" i="18"/>
  <c r="S111" i="18"/>
  <c r="S121" i="18"/>
  <c r="S112" i="18"/>
  <c r="S122" i="18"/>
  <c r="V23" i="18"/>
  <c r="U89" i="18"/>
  <c r="S105" i="18"/>
  <c r="S106" i="18"/>
  <c r="S104" i="18"/>
  <c r="S94" i="18"/>
  <c r="P99" i="18"/>
  <c r="Q99" i="18" s="1"/>
  <c r="Q98" i="18"/>
  <c r="S85" i="18"/>
  <c r="S102" i="18"/>
  <c r="S101" i="18"/>
  <c r="T18" i="18"/>
  <c r="O157" i="18"/>
  <c r="O162" i="18"/>
  <c r="U20" i="18"/>
  <c r="T27" i="18"/>
  <c r="X36" i="18"/>
  <c r="X86" i="18" s="1"/>
  <c r="T25" i="18"/>
  <c r="T83" i="18" s="1"/>
  <c r="S79" i="18"/>
  <c r="V21" i="18"/>
  <c r="AC33" i="18"/>
  <c r="AC34" i="18"/>
  <c r="AC9" i="18"/>
  <c r="O59" i="18"/>
  <c r="O159" i="18" s="1"/>
  <c r="D55" i="18"/>
  <c r="E55" i="18"/>
  <c r="F55" i="18"/>
  <c r="G55" i="18"/>
  <c r="G161" i="18" s="1"/>
  <c r="H55" i="18"/>
  <c r="H161" i="18" s="1"/>
  <c r="I55" i="18"/>
  <c r="I161" i="18" s="1"/>
  <c r="J55" i="18"/>
  <c r="J161" i="18" s="1"/>
  <c r="K55" i="18"/>
  <c r="K161" i="18" s="1"/>
  <c r="L55" i="18"/>
  <c r="L161" i="18" s="1"/>
  <c r="M55" i="18"/>
  <c r="M161" i="18" s="1"/>
  <c r="N55" i="18"/>
  <c r="N161" i="18" s="1"/>
  <c r="P55" i="18"/>
  <c r="C55" i="18"/>
  <c r="C54" i="18"/>
  <c r="AB41" i="18" l="1"/>
  <c r="AA63" i="18"/>
  <c r="T112" i="18"/>
  <c r="T122" i="18"/>
  <c r="T111" i="18"/>
  <c r="T121" i="18"/>
  <c r="W23" i="18"/>
  <c r="V89" i="18"/>
  <c r="T104" i="18"/>
  <c r="T106" i="18"/>
  <c r="T105" i="18"/>
  <c r="T94" i="18"/>
  <c r="T85" i="18"/>
  <c r="T102" i="18"/>
  <c r="T101" i="18"/>
  <c r="U18" i="18"/>
  <c r="V20" i="18"/>
  <c r="U65" i="18"/>
  <c r="U27" i="18"/>
  <c r="U25" i="18"/>
  <c r="T79" i="18"/>
  <c r="Y36" i="18"/>
  <c r="Y86" i="18" s="1"/>
  <c r="W21" i="18"/>
  <c r="P161" i="18"/>
  <c r="Q161" i="18" s="1"/>
  <c r="Q55" i="18"/>
  <c r="D54" i="18"/>
  <c r="E54" i="18"/>
  <c r="F54" i="18"/>
  <c r="G54" i="18"/>
  <c r="H54" i="18"/>
  <c r="I54" i="18"/>
  <c r="J54" i="18"/>
  <c r="K54" i="18"/>
  <c r="L54" i="18"/>
  <c r="M54" i="18"/>
  <c r="N54" i="18"/>
  <c r="P54" i="18"/>
  <c r="D53" i="18"/>
  <c r="E53" i="18"/>
  <c r="F53" i="18"/>
  <c r="G53" i="18"/>
  <c r="H53" i="18"/>
  <c r="I53" i="18"/>
  <c r="J53" i="18"/>
  <c r="K53" i="18"/>
  <c r="L53" i="18"/>
  <c r="M53" i="18"/>
  <c r="N53" i="18"/>
  <c r="P53" i="18"/>
  <c r="C53" i="18"/>
  <c r="AE41" i="18" l="1"/>
  <c r="AB63" i="18"/>
  <c r="AC41" i="18"/>
  <c r="U111" i="18"/>
  <c r="U121" i="18"/>
  <c r="U112" i="18"/>
  <c r="U122" i="18"/>
  <c r="U83" i="18"/>
  <c r="X23" i="18"/>
  <c r="W89" i="18"/>
  <c r="U106" i="18"/>
  <c r="U105" i="18"/>
  <c r="U104" i="18"/>
  <c r="U94" i="18"/>
  <c r="U85" i="18"/>
  <c r="U102" i="18"/>
  <c r="U101" i="18"/>
  <c r="V18" i="18"/>
  <c r="W20" i="18"/>
  <c r="V65" i="18"/>
  <c r="V27" i="18"/>
  <c r="V25" i="18"/>
  <c r="V83" i="18" s="1"/>
  <c r="U79" i="18"/>
  <c r="Z36" i="18"/>
  <c r="Z86" i="18" s="1"/>
  <c r="X21" i="18"/>
  <c r="Q53" i="18"/>
  <c r="Q54" i="18"/>
  <c r="C46" i="15"/>
  <c r="S143" i="18" l="1"/>
  <c r="AE63" i="18"/>
  <c r="T143" i="18" s="1"/>
  <c r="AC63" i="18"/>
  <c r="V112" i="18"/>
  <c r="V122" i="18"/>
  <c r="V111" i="18"/>
  <c r="V121" i="18"/>
  <c r="Y23" i="18"/>
  <c r="X89" i="18"/>
  <c r="V94" i="18"/>
  <c r="V106" i="18"/>
  <c r="V105" i="18"/>
  <c r="V104" i="18"/>
  <c r="V85" i="18"/>
  <c r="V102" i="18"/>
  <c r="V101" i="18"/>
  <c r="W18" i="18"/>
  <c r="X20" i="18"/>
  <c r="W65" i="18"/>
  <c r="W27" i="18"/>
  <c r="W25" i="18"/>
  <c r="V79" i="18"/>
  <c r="AA36" i="18"/>
  <c r="AA86" i="18" s="1"/>
  <c r="Y21" i="18"/>
  <c r="S155" i="18"/>
  <c r="S163" i="18" s="1"/>
  <c r="C47" i="18"/>
  <c r="D47" i="18"/>
  <c r="E47" i="18"/>
  <c r="F47" i="18"/>
  <c r="H47" i="18"/>
  <c r="I47" i="18"/>
  <c r="J47" i="18"/>
  <c r="K47" i="18"/>
  <c r="L47" i="18"/>
  <c r="L162" i="18" s="1"/>
  <c r="M47" i="18"/>
  <c r="N47" i="18"/>
  <c r="N162" i="18" s="1"/>
  <c r="P47" i="18"/>
  <c r="P174" i="18" s="1"/>
  <c r="D61" i="18"/>
  <c r="D160" i="18" s="1"/>
  <c r="E61" i="18"/>
  <c r="E160" i="18" s="1"/>
  <c r="F61" i="18"/>
  <c r="F160" i="18" s="1"/>
  <c r="G61" i="18"/>
  <c r="H61" i="18"/>
  <c r="H160" i="18" s="1"/>
  <c r="I61" i="18"/>
  <c r="I160" i="18" s="1"/>
  <c r="J61" i="18"/>
  <c r="J160" i="18" s="1"/>
  <c r="K61" i="18"/>
  <c r="K160" i="18" s="1"/>
  <c r="L61" i="18"/>
  <c r="L160" i="18" s="1"/>
  <c r="M61" i="18"/>
  <c r="M160" i="18" s="1"/>
  <c r="N61" i="18"/>
  <c r="P61" i="18"/>
  <c r="D60" i="18"/>
  <c r="E60" i="18"/>
  <c r="F60" i="18"/>
  <c r="G60" i="18"/>
  <c r="H60" i="18"/>
  <c r="I60" i="18"/>
  <c r="J60" i="18"/>
  <c r="K60" i="18"/>
  <c r="L60" i="18"/>
  <c r="M60" i="18"/>
  <c r="N60" i="18"/>
  <c r="P60" i="18"/>
  <c r="D58" i="18"/>
  <c r="E58" i="18"/>
  <c r="F58" i="18"/>
  <c r="G58" i="18"/>
  <c r="H58" i="18"/>
  <c r="I58" i="18"/>
  <c r="J58" i="18"/>
  <c r="K58" i="18"/>
  <c r="L58" i="18"/>
  <c r="M58" i="18"/>
  <c r="N58" i="18"/>
  <c r="P58" i="18"/>
  <c r="D57" i="18"/>
  <c r="D59" i="18" s="1"/>
  <c r="D159" i="18" s="1"/>
  <c r="E57" i="18"/>
  <c r="E59" i="18" s="1"/>
  <c r="E159" i="18" s="1"/>
  <c r="F57" i="18"/>
  <c r="G57" i="18"/>
  <c r="H57" i="18"/>
  <c r="I57" i="18"/>
  <c r="J57" i="18"/>
  <c r="K57" i="18"/>
  <c r="L57" i="18"/>
  <c r="M57" i="18"/>
  <c r="N57" i="18"/>
  <c r="P57" i="18"/>
  <c r="D51" i="18"/>
  <c r="E51" i="18"/>
  <c r="F51" i="18"/>
  <c r="G51" i="18"/>
  <c r="H51" i="18"/>
  <c r="I51" i="18"/>
  <c r="J51" i="18"/>
  <c r="K51" i="18"/>
  <c r="L51" i="18"/>
  <c r="M51" i="18"/>
  <c r="N51" i="18"/>
  <c r="P51" i="18"/>
  <c r="D50" i="18"/>
  <c r="D158" i="18" s="1"/>
  <c r="E50" i="18"/>
  <c r="E158" i="18" s="1"/>
  <c r="F50" i="18"/>
  <c r="F158" i="18" s="1"/>
  <c r="G50" i="18"/>
  <c r="H50" i="18"/>
  <c r="H158" i="18" s="1"/>
  <c r="I50" i="18"/>
  <c r="I158" i="18" s="1"/>
  <c r="J50" i="18"/>
  <c r="J158" i="18" s="1"/>
  <c r="K50" i="18"/>
  <c r="K158" i="18" s="1"/>
  <c r="L50" i="18"/>
  <c r="L158" i="18" s="1"/>
  <c r="M50" i="18"/>
  <c r="M158" i="18" s="1"/>
  <c r="N50" i="18"/>
  <c r="P50" i="18"/>
  <c r="C61" i="18"/>
  <c r="C160" i="18" s="1"/>
  <c r="C60" i="18"/>
  <c r="C58" i="18"/>
  <c r="C57" i="18"/>
  <c r="C51" i="18"/>
  <c r="C50" i="18"/>
  <c r="C158" i="18" s="1"/>
  <c r="D49" i="18"/>
  <c r="E49" i="18"/>
  <c r="F49" i="18"/>
  <c r="G49" i="18"/>
  <c r="H49" i="18"/>
  <c r="I49" i="18"/>
  <c r="J49" i="18"/>
  <c r="K49" i="18"/>
  <c r="L49" i="18"/>
  <c r="M49" i="18"/>
  <c r="N49" i="18"/>
  <c r="P49" i="18"/>
  <c r="C49" i="18"/>
  <c r="S15" i="18"/>
  <c r="S109" i="18" s="1"/>
  <c r="S16" i="18"/>
  <c r="S117" i="18" s="1"/>
  <c r="S118" i="18" s="1"/>
  <c r="S38" i="18"/>
  <c r="S87" i="18" s="1"/>
  <c r="S10" i="18"/>
  <c r="S12" i="18"/>
  <c r="S13" i="18"/>
  <c r="S7" i="18"/>
  <c r="S6" i="18"/>
  <c r="S91" i="18" l="1"/>
  <c r="R143" i="18"/>
  <c r="P167" i="18" s="1"/>
  <c r="W111" i="18"/>
  <c r="W121" i="18"/>
  <c r="W83" i="18"/>
  <c r="W112" i="18"/>
  <c r="W122" i="18"/>
  <c r="Z23" i="18"/>
  <c r="Y89" i="18"/>
  <c r="S81" i="18"/>
  <c r="S82" i="18"/>
  <c r="S115" i="18"/>
  <c r="S114" i="18"/>
  <c r="S88" i="18"/>
  <c r="S110" i="18"/>
  <c r="H162" i="18"/>
  <c r="H157" i="18"/>
  <c r="W94" i="18"/>
  <c r="W105" i="18"/>
  <c r="W104" i="18"/>
  <c r="W106" i="18"/>
  <c r="S93" i="18"/>
  <c r="S98" i="18"/>
  <c r="S99" i="18" s="1"/>
  <c r="W85" i="18"/>
  <c r="W102" i="18"/>
  <c r="W101" i="18"/>
  <c r="S92" i="18"/>
  <c r="X18" i="18"/>
  <c r="D157" i="18"/>
  <c r="D161" i="18" s="1"/>
  <c r="D162" i="18"/>
  <c r="E157" i="18"/>
  <c r="E161" i="18" s="1"/>
  <c r="E162" i="18"/>
  <c r="C157" i="18"/>
  <c r="C161" i="18" s="1"/>
  <c r="C162" i="18"/>
  <c r="P157" i="18"/>
  <c r="P162" i="18"/>
  <c r="Q162" i="18" s="1"/>
  <c r="K157" i="18"/>
  <c r="K162" i="18"/>
  <c r="F157" i="18"/>
  <c r="F161" i="18" s="1"/>
  <c r="F162" i="18"/>
  <c r="J157" i="18"/>
  <c r="J162" i="18"/>
  <c r="M157" i="18"/>
  <c r="M162" i="18"/>
  <c r="I157" i="18"/>
  <c r="I162" i="18"/>
  <c r="Q125" i="18"/>
  <c r="P173" i="18" s="1"/>
  <c r="Y20" i="18"/>
  <c r="X65" i="18"/>
  <c r="H59" i="18"/>
  <c r="H159" i="18" s="1"/>
  <c r="X27" i="18"/>
  <c r="T12" i="18"/>
  <c r="T15" i="18"/>
  <c r="T109" i="18" s="1"/>
  <c r="T13" i="18"/>
  <c r="T10" i="18"/>
  <c r="T16" i="18"/>
  <c r="T117" i="18" s="1"/>
  <c r="T118" i="18" s="1"/>
  <c r="T6" i="18"/>
  <c r="T7" i="18"/>
  <c r="X25" i="18"/>
  <c r="X83" i="18" s="1"/>
  <c r="W79" i="18"/>
  <c r="T38" i="18"/>
  <c r="T87" i="18" s="1"/>
  <c r="S80" i="18"/>
  <c r="AB36" i="18"/>
  <c r="F59" i="18"/>
  <c r="F159" i="18" s="1"/>
  <c r="L59" i="18"/>
  <c r="L159" i="18" s="1"/>
  <c r="K59" i="18"/>
  <c r="K159" i="18" s="1"/>
  <c r="J59" i="18"/>
  <c r="J159" i="18" s="1"/>
  <c r="Z21" i="18"/>
  <c r="C59" i="18"/>
  <c r="C159" i="18" s="1"/>
  <c r="T155" i="18"/>
  <c r="T163" i="18" s="1"/>
  <c r="I59" i="18"/>
  <c r="I159" i="18" s="1"/>
  <c r="Q49" i="18"/>
  <c r="G158" i="18"/>
  <c r="Q50" i="18"/>
  <c r="Q51" i="18"/>
  <c r="Q58" i="18"/>
  <c r="Q60" i="18"/>
  <c r="G157" i="18"/>
  <c r="Q47" i="18"/>
  <c r="G160" i="18"/>
  <c r="Q61" i="18"/>
  <c r="G59" i="18"/>
  <c r="Q57" i="18"/>
  <c r="N158" i="18"/>
  <c r="N157" i="18"/>
  <c r="N160" i="18"/>
  <c r="P158" i="18"/>
  <c r="L157" i="18"/>
  <c r="N59" i="18"/>
  <c r="M59" i="18"/>
  <c r="M159" i="18" s="1"/>
  <c r="P160" i="18"/>
  <c r="P59" i="18"/>
  <c r="S58" i="18"/>
  <c r="C6" i="12"/>
  <c r="C26" i="15"/>
  <c r="C58" i="15"/>
  <c r="C57" i="15"/>
  <c r="C54" i="15"/>
  <c r="C53" i="15"/>
  <c r="C50" i="15"/>
  <c r="C49" i="15"/>
  <c r="C45" i="15"/>
  <c r="T91" i="18" l="1"/>
  <c r="X111" i="18"/>
  <c r="X121" i="18"/>
  <c r="X112" i="18"/>
  <c r="X122" i="18"/>
  <c r="AE36" i="18"/>
  <c r="AB86" i="18"/>
  <c r="AC86" i="18" s="1"/>
  <c r="AA23" i="18"/>
  <c r="Z89" i="18"/>
  <c r="T115" i="18"/>
  <c r="T114" i="18"/>
  <c r="T88" i="18"/>
  <c r="T110" i="18"/>
  <c r="T82" i="18"/>
  <c r="X104" i="18"/>
  <c r="X105" i="18"/>
  <c r="X106" i="18"/>
  <c r="X94" i="18"/>
  <c r="X85" i="18"/>
  <c r="X102" i="18"/>
  <c r="X101" i="18"/>
  <c r="T92" i="18"/>
  <c r="T93" i="18"/>
  <c r="Y18" i="18"/>
  <c r="Z20" i="18"/>
  <c r="Y65" i="18"/>
  <c r="S57" i="18"/>
  <c r="S74" i="18"/>
  <c r="S53" i="18"/>
  <c r="S55" i="18"/>
  <c r="S161" i="18" s="1"/>
  <c r="S61" i="18"/>
  <c r="S160" i="18" s="1"/>
  <c r="S71" i="18"/>
  <c r="S73" i="18"/>
  <c r="S119" i="18" s="1"/>
  <c r="S45" i="18"/>
  <c r="S44" i="18"/>
  <c r="S156" i="18" s="1"/>
  <c r="S54" i="18"/>
  <c r="S50" i="18"/>
  <c r="S51" i="18"/>
  <c r="S60" i="18"/>
  <c r="S49" i="18"/>
  <c r="S75" i="18"/>
  <c r="S47" i="18"/>
  <c r="S162" i="18" s="1"/>
  <c r="Y27" i="18"/>
  <c r="U15" i="18"/>
  <c r="U109" i="18" s="1"/>
  <c r="U13" i="18"/>
  <c r="U12" i="18"/>
  <c r="S59" i="18"/>
  <c r="U16" i="18"/>
  <c r="U117" i="18" s="1"/>
  <c r="U118" i="18" s="1"/>
  <c r="U10" i="18"/>
  <c r="U7" i="18"/>
  <c r="U6" i="18"/>
  <c r="AC36" i="18"/>
  <c r="Y25" i="18"/>
  <c r="Y83" i="18" s="1"/>
  <c r="X79" i="18"/>
  <c r="U38" i="18"/>
  <c r="U87" i="18" s="1"/>
  <c r="T81" i="18"/>
  <c r="T80" i="18"/>
  <c r="T40" i="18"/>
  <c r="S68" i="18"/>
  <c r="S69" i="18"/>
  <c r="S70" i="18"/>
  <c r="S67" i="18"/>
  <c r="AA21" i="18"/>
  <c r="U155" i="18"/>
  <c r="U163" i="18" s="1"/>
  <c r="Q158" i="18"/>
  <c r="Q157" i="18"/>
  <c r="Q160" i="18"/>
  <c r="G159" i="18"/>
  <c r="Q59" i="18"/>
  <c r="N159" i="18"/>
  <c r="P159" i="18"/>
  <c r="C16" i="15"/>
  <c r="C21" i="15"/>
  <c r="C10" i="15"/>
  <c r="U91" i="18" l="1"/>
  <c r="T96" i="18"/>
  <c r="T97" i="18" s="1"/>
  <c r="T98" i="18" s="1"/>
  <c r="T99" i="18" s="1"/>
  <c r="T48" i="18"/>
  <c r="Y111" i="18"/>
  <c r="Y121" i="18"/>
  <c r="Y112" i="18"/>
  <c r="Y122" i="18"/>
  <c r="AB23" i="18"/>
  <c r="AA89" i="18"/>
  <c r="U88" i="18"/>
  <c r="U110" i="18"/>
  <c r="U115" i="18"/>
  <c r="U114" i="18"/>
  <c r="U82" i="18"/>
  <c r="Y106" i="18"/>
  <c r="Y105" i="18"/>
  <c r="Y104" i="18"/>
  <c r="Y94" i="18"/>
  <c r="T57" i="18"/>
  <c r="Y85" i="18"/>
  <c r="Y102" i="18"/>
  <c r="Y101" i="18"/>
  <c r="U92" i="18"/>
  <c r="U93" i="18"/>
  <c r="T53" i="18"/>
  <c r="Z18" i="18"/>
  <c r="AA20" i="18"/>
  <c r="Z65" i="18"/>
  <c r="T55" i="18"/>
  <c r="T161" i="18" s="1"/>
  <c r="T61" i="18"/>
  <c r="T160" i="18" s="1"/>
  <c r="T71" i="18"/>
  <c r="T73" i="18"/>
  <c r="T119" i="18" s="1"/>
  <c r="T44" i="18"/>
  <c r="T156" i="18" s="1"/>
  <c r="T45" i="18"/>
  <c r="T50" i="18"/>
  <c r="T49" i="18"/>
  <c r="T60" i="18"/>
  <c r="T75" i="18"/>
  <c r="T54" i="18"/>
  <c r="T51" i="18"/>
  <c r="T47" i="18"/>
  <c r="T162" i="18" s="1"/>
  <c r="T58" i="18"/>
  <c r="T74" i="18"/>
  <c r="Z27" i="18"/>
  <c r="V13" i="18"/>
  <c r="V12" i="18"/>
  <c r="V15" i="18"/>
  <c r="V109" i="18" s="1"/>
  <c r="V10" i="18"/>
  <c r="V16" i="18"/>
  <c r="V117" i="18" s="1"/>
  <c r="V118" i="18" s="1"/>
  <c r="V6" i="18"/>
  <c r="V7" i="18"/>
  <c r="V38" i="18"/>
  <c r="V87" i="18" s="1"/>
  <c r="U81" i="18"/>
  <c r="U80" i="18"/>
  <c r="Z25" i="18"/>
  <c r="Z83" i="18" s="1"/>
  <c r="Y79" i="18"/>
  <c r="U40" i="18"/>
  <c r="T70" i="18"/>
  <c r="T69" i="18"/>
  <c r="T68" i="18"/>
  <c r="T67" i="18"/>
  <c r="AB21" i="18"/>
  <c r="AE21" i="18" s="1"/>
  <c r="S159" i="18"/>
  <c r="V155" i="18"/>
  <c r="V163" i="18" s="1"/>
  <c r="S157" i="18"/>
  <c r="S158" i="18"/>
  <c r="Q159" i="18"/>
  <c r="D31" i="8"/>
  <c r="D29" i="8"/>
  <c r="D28" i="8"/>
  <c r="D13" i="8"/>
  <c r="D30" i="8" s="1"/>
  <c r="E14" i="8"/>
  <c r="F14" i="8" s="1"/>
  <c r="G14" i="8" s="1"/>
  <c r="H14" i="8" s="1"/>
  <c r="I14" i="8" s="1"/>
  <c r="V91" i="18" l="1"/>
  <c r="U96" i="18"/>
  <c r="U97" i="18" s="1"/>
  <c r="U98" i="18" s="1"/>
  <c r="U99" i="18" s="1"/>
  <c r="U48" i="18"/>
  <c r="Z111" i="18"/>
  <c r="Z121" i="18"/>
  <c r="Z112" i="18"/>
  <c r="Z122" i="18"/>
  <c r="AE23" i="18"/>
  <c r="AB89" i="18"/>
  <c r="AC89" i="18" s="1"/>
  <c r="AC23" i="18"/>
  <c r="V82" i="18"/>
  <c r="V114" i="18"/>
  <c r="V115" i="18"/>
  <c r="V88" i="18"/>
  <c r="V110" i="18"/>
  <c r="Z106" i="18"/>
  <c r="Z105" i="18"/>
  <c r="Z104" i="18"/>
  <c r="Z94" i="18"/>
  <c r="U57" i="18"/>
  <c r="T59" i="18"/>
  <c r="T159" i="18" s="1"/>
  <c r="Z85" i="18"/>
  <c r="Z102" i="18"/>
  <c r="Z101" i="18"/>
  <c r="V93" i="18"/>
  <c r="V92" i="18"/>
  <c r="AA18" i="18"/>
  <c r="AB20" i="18"/>
  <c r="AA65" i="18"/>
  <c r="U75" i="18"/>
  <c r="U74" i="18"/>
  <c r="U53" i="18"/>
  <c r="U61" i="18"/>
  <c r="U160" i="18" s="1"/>
  <c r="U60" i="18"/>
  <c r="U55" i="18"/>
  <c r="U161" i="18" s="1"/>
  <c r="U58" i="18"/>
  <c r="U49" i="18"/>
  <c r="U71" i="18"/>
  <c r="U73" i="18"/>
  <c r="U119" i="18" s="1"/>
  <c r="U45" i="18"/>
  <c r="U44" i="18"/>
  <c r="U156" i="18" s="1"/>
  <c r="U54" i="18"/>
  <c r="U50" i="18"/>
  <c r="U51" i="18"/>
  <c r="U47" i="18"/>
  <c r="U162" i="18" s="1"/>
  <c r="AA27" i="18"/>
  <c r="W12" i="18"/>
  <c r="W15" i="18"/>
  <c r="W109" i="18" s="1"/>
  <c r="W13" i="18"/>
  <c r="W16" i="18"/>
  <c r="W117" i="18" s="1"/>
  <c r="W118" i="18" s="1"/>
  <c r="W10" i="18"/>
  <c r="W7" i="18"/>
  <c r="W6" i="18"/>
  <c r="AA25" i="18"/>
  <c r="Z79" i="18"/>
  <c r="W38" i="18"/>
  <c r="W87" i="18" s="1"/>
  <c r="V80" i="18"/>
  <c r="V81" i="18"/>
  <c r="V40" i="18"/>
  <c r="U70" i="18"/>
  <c r="U68" i="18"/>
  <c r="U69" i="18"/>
  <c r="U67" i="18"/>
  <c r="AC21" i="18"/>
  <c r="W155" i="18"/>
  <c r="W163" i="18" s="1"/>
  <c r="T157" i="18"/>
  <c r="T158" i="18"/>
  <c r="I7" i="12"/>
  <c r="F7" i="12"/>
  <c r="H39" i="12"/>
  <c r="L25" i="12"/>
  <c r="L26" i="12" s="1"/>
  <c r="L27" i="12" s="1"/>
  <c r="L28" i="12" s="1"/>
  <c r="L29" i="12" s="1"/>
  <c r="L30" i="12" s="1"/>
  <c r="L31" i="12" s="1"/>
  <c r="L32" i="12" s="1"/>
  <c r="L33" i="12" s="1"/>
  <c r="L34" i="12" s="1"/>
  <c r="L39" i="12" s="1"/>
  <c r="I25" i="12"/>
  <c r="I26" i="12" s="1"/>
  <c r="I27" i="12" s="1"/>
  <c r="I28" i="12" s="1"/>
  <c r="I29" i="12" s="1"/>
  <c r="I30" i="12" s="1"/>
  <c r="I31" i="12" s="1"/>
  <c r="I32" i="12" s="1"/>
  <c r="I33" i="12" s="1"/>
  <c r="I34" i="12" s="1"/>
  <c r="F24" i="12"/>
  <c r="G24" i="12" s="1"/>
  <c r="K25" i="12" s="1"/>
  <c r="K26" i="12" s="1"/>
  <c r="K27" i="12" s="1"/>
  <c r="K28" i="12" s="1"/>
  <c r="K29" i="12" s="1"/>
  <c r="K30" i="12" s="1"/>
  <c r="K31" i="12" s="1"/>
  <c r="K32" i="12" s="1"/>
  <c r="K33" i="12" s="1"/>
  <c r="K34" i="12" s="1"/>
  <c r="K40" i="12" s="1"/>
  <c r="F23" i="12"/>
  <c r="G23" i="12" s="1"/>
  <c r="F22" i="12"/>
  <c r="G22" i="12" s="1"/>
  <c r="F21" i="12"/>
  <c r="G21" i="12" s="1"/>
  <c r="F20" i="12"/>
  <c r="G20" i="12" s="1"/>
  <c r="F19" i="12"/>
  <c r="G19" i="12" s="1"/>
  <c r="F18" i="12"/>
  <c r="G18" i="12" s="1"/>
  <c r="F17" i="12"/>
  <c r="G17" i="12" s="1"/>
  <c r="F16" i="12"/>
  <c r="G16" i="12" s="1"/>
  <c r="F15" i="12"/>
  <c r="G15" i="12" s="1"/>
  <c r="F14" i="12"/>
  <c r="G14" i="12" s="1"/>
  <c r="F13" i="12"/>
  <c r="G13" i="12" s="1"/>
  <c r="W91" i="18" l="1"/>
  <c r="V96" i="18"/>
  <c r="V97" i="18" s="1"/>
  <c r="V98" i="18" s="1"/>
  <c r="V99" i="18" s="1"/>
  <c r="V48" i="18"/>
  <c r="AA111" i="18"/>
  <c r="AA121" i="18"/>
  <c r="AA112" i="18"/>
  <c r="AA122" i="18"/>
  <c r="AE20" i="18"/>
  <c r="AA83" i="18"/>
  <c r="W115" i="18"/>
  <c r="W114" i="18"/>
  <c r="W88" i="18"/>
  <c r="W110" i="18"/>
  <c r="W82" i="18"/>
  <c r="AA105" i="18"/>
  <c r="AA104" i="18"/>
  <c r="AA106" i="18"/>
  <c r="AA94" i="18"/>
  <c r="U59" i="18"/>
  <c r="U159" i="18" s="1"/>
  <c r="AA85" i="18"/>
  <c r="AA102" i="18"/>
  <c r="AA101" i="18"/>
  <c r="V60" i="18"/>
  <c r="W93" i="18"/>
  <c r="W92" i="18"/>
  <c r="AB18" i="18"/>
  <c r="V75" i="18"/>
  <c r="V51" i="18"/>
  <c r="V58" i="18"/>
  <c r="AC20" i="18"/>
  <c r="AB65" i="18"/>
  <c r="V49" i="18"/>
  <c r="V57" i="18"/>
  <c r="V54" i="18"/>
  <c r="V74" i="18"/>
  <c r="V50" i="18"/>
  <c r="V55" i="18"/>
  <c r="V161" i="18" s="1"/>
  <c r="V71" i="18"/>
  <c r="V73" i="18"/>
  <c r="V119" i="18" s="1"/>
  <c r="V44" i="18"/>
  <c r="V156" i="18" s="1"/>
  <c r="V45" i="18"/>
  <c r="V53" i="18"/>
  <c r="V61" i="18"/>
  <c r="V160" i="18" s="1"/>
  <c r="V47" i="18"/>
  <c r="V162" i="18" s="1"/>
  <c r="AB27" i="18"/>
  <c r="AB122" i="18" s="1"/>
  <c r="AC122" i="18" s="1"/>
  <c r="X15" i="18"/>
  <c r="X109" i="18" s="1"/>
  <c r="X13" i="18"/>
  <c r="X12" i="18"/>
  <c r="X10" i="18"/>
  <c r="X16" i="18"/>
  <c r="X117" i="18" s="1"/>
  <c r="X118" i="18" s="1"/>
  <c r="X6" i="18"/>
  <c r="X7" i="18"/>
  <c r="X38" i="18"/>
  <c r="X87" i="18" s="1"/>
  <c r="W81" i="18"/>
  <c r="W80" i="18"/>
  <c r="AB25" i="18"/>
  <c r="AB83" i="18" s="1"/>
  <c r="AC83" i="18" s="1"/>
  <c r="AA79" i="18"/>
  <c r="W40" i="18"/>
  <c r="V70" i="18"/>
  <c r="V68" i="18"/>
  <c r="V69" i="18"/>
  <c r="V67" i="18"/>
  <c r="X155" i="18"/>
  <c r="X163" i="18" s="1"/>
  <c r="U157" i="18"/>
  <c r="U158" i="18"/>
  <c r="G40" i="12"/>
  <c r="J25" i="12"/>
  <c r="J26" i="12" s="1"/>
  <c r="J27" i="12" s="1"/>
  <c r="J28" i="12" s="1"/>
  <c r="J29" i="12" s="1"/>
  <c r="J30" i="12" s="1"/>
  <c r="J31" i="12" s="1"/>
  <c r="J32" i="12" s="1"/>
  <c r="J33" i="12" s="1"/>
  <c r="J34" i="12" s="1"/>
  <c r="K37" i="12" s="1"/>
  <c r="N10" i="11"/>
  <c r="H44" i="11"/>
  <c r="I41" i="11"/>
  <c r="F41" i="11"/>
  <c r="G41" i="11" s="1"/>
  <c r="K41" i="11" s="1"/>
  <c r="I40" i="11"/>
  <c r="F40" i="11"/>
  <c r="G40" i="11" s="1"/>
  <c r="K40" i="11" s="1"/>
  <c r="I39" i="11"/>
  <c r="F39" i="11"/>
  <c r="G39" i="11" s="1"/>
  <c r="K39" i="11" s="1"/>
  <c r="I38" i="11"/>
  <c r="F38" i="11"/>
  <c r="G38" i="11" s="1"/>
  <c r="K38" i="11" s="1"/>
  <c r="I37" i="11"/>
  <c r="F37" i="11"/>
  <c r="G37" i="11" s="1"/>
  <c r="K37" i="11" s="1"/>
  <c r="I36" i="11"/>
  <c r="F36" i="11"/>
  <c r="G36" i="11" s="1"/>
  <c r="K36" i="11" s="1"/>
  <c r="I35" i="11"/>
  <c r="F35" i="11"/>
  <c r="G35" i="11" s="1"/>
  <c r="K35" i="11" s="1"/>
  <c r="I34" i="11"/>
  <c r="F34" i="11"/>
  <c r="G34" i="11" s="1"/>
  <c r="K34" i="11" s="1"/>
  <c r="I33" i="11"/>
  <c r="F33" i="11"/>
  <c r="G33" i="11" s="1"/>
  <c r="K33" i="11" s="1"/>
  <c r="I32" i="11"/>
  <c r="F32" i="11"/>
  <c r="G32" i="11" s="1"/>
  <c r="K32" i="11" s="1"/>
  <c r="N31" i="11"/>
  <c r="Q31" i="11" s="1"/>
  <c r="I31" i="11"/>
  <c r="F31" i="11"/>
  <c r="G31" i="11" s="1"/>
  <c r="I30" i="11"/>
  <c r="F30" i="11"/>
  <c r="G30" i="11" s="1"/>
  <c r="K30" i="11" s="1"/>
  <c r="I29" i="11"/>
  <c r="D22" i="11"/>
  <c r="L19" i="11"/>
  <c r="K11" i="11"/>
  <c r="K12" i="11" s="1"/>
  <c r="K9" i="11"/>
  <c r="H44" i="9"/>
  <c r="N31" i="9"/>
  <c r="P31" i="9" s="1"/>
  <c r="I29" i="9"/>
  <c r="I30" i="9"/>
  <c r="I32" i="9"/>
  <c r="I33" i="9"/>
  <c r="I34" i="9"/>
  <c r="I35" i="9"/>
  <c r="I36" i="9"/>
  <c r="I37" i="9"/>
  <c r="I38" i="9"/>
  <c r="I39" i="9"/>
  <c r="I40" i="9"/>
  <c r="I41" i="9"/>
  <c r="I31" i="9"/>
  <c r="F31" i="9"/>
  <c r="G31" i="9" s="1"/>
  <c r="K31" i="9" s="1"/>
  <c r="L31" i="9" s="1"/>
  <c r="F32" i="9"/>
  <c r="G32" i="9" s="1"/>
  <c r="K32" i="9" s="1"/>
  <c r="F33" i="9"/>
  <c r="G33" i="9" s="1"/>
  <c r="K33" i="9" s="1"/>
  <c r="F34" i="9"/>
  <c r="G34" i="9" s="1"/>
  <c r="K34" i="9" s="1"/>
  <c r="F35" i="9"/>
  <c r="G35" i="9" s="1"/>
  <c r="K35" i="9" s="1"/>
  <c r="F36" i="9"/>
  <c r="G36" i="9" s="1"/>
  <c r="K36" i="9" s="1"/>
  <c r="F37" i="9"/>
  <c r="G37" i="9" s="1"/>
  <c r="K37" i="9" s="1"/>
  <c r="F38" i="9"/>
  <c r="G38" i="9" s="1"/>
  <c r="K38" i="9" s="1"/>
  <c r="F39" i="9"/>
  <c r="G39" i="9" s="1"/>
  <c r="K39" i="9" s="1"/>
  <c r="F40" i="9"/>
  <c r="G40" i="9" s="1"/>
  <c r="K40" i="9" s="1"/>
  <c r="F41" i="9"/>
  <c r="G41" i="9" s="1"/>
  <c r="K41" i="9" s="1"/>
  <c r="F30" i="9"/>
  <c r="G30" i="9" s="1"/>
  <c r="K30" i="9" s="1"/>
  <c r="X91" i="18" l="1"/>
  <c r="W96" i="18"/>
  <c r="W97" i="18" s="1"/>
  <c r="W98" i="18" s="1"/>
  <c r="W99" i="18" s="1"/>
  <c r="W48" i="18"/>
  <c r="AB111" i="18"/>
  <c r="AC111" i="18" s="1"/>
  <c r="AB121" i="18"/>
  <c r="AC121" i="18" s="1"/>
  <c r="X88" i="18"/>
  <c r="X110" i="18"/>
  <c r="X115" i="18"/>
  <c r="X114" i="18"/>
  <c r="AE27" i="18"/>
  <c r="AB112" i="18"/>
  <c r="AC112" i="18" s="1"/>
  <c r="X82" i="18"/>
  <c r="AB104" i="18"/>
  <c r="AC104" i="18" s="1"/>
  <c r="AB106" i="18"/>
  <c r="AC106" i="18" s="1"/>
  <c r="AB105" i="18"/>
  <c r="AC105" i="18" s="1"/>
  <c r="N32" i="9"/>
  <c r="N33" i="9" s="1"/>
  <c r="N34" i="9" s="1"/>
  <c r="N35" i="9" s="1"/>
  <c r="N36" i="9" s="1"/>
  <c r="N37" i="9" s="1"/>
  <c r="N38" i="9" s="1"/>
  <c r="N39" i="9" s="1"/>
  <c r="N40" i="9" s="1"/>
  <c r="N41" i="9" s="1"/>
  <c r="N42" i="9" s="1"/>
  <c r="M45" i="9"/>
  <c r="AB94" i="18"/>
  <c r="AC94" i="18" s="1"/>
  <c r="V59" i="18"/>
  <c r="V159" i="18" s="1"/>
  <c r="W58" i="18"/>
  <c r="AB85" i="18"/>
  <c r="AC85" i="18" s="1"/>
  <c r="AB102" i="18"/>
  <c r="AC102" i="18" s="1"/>
  <c r="AB101" i="18"/>
  <c r="AC101" i="18" s="1"/>
  <c r="X93" i="18"/>
  <c r="X92" i="18"/>
  <c r="AE25" i="18"/>
  <c r="AE18" i="18"/>
  <c r="AC18" i="18"/>
  <c r="S145" i="18"/>
  <c r="AE65" i="18"/>
  <c r="AC65" i="18"/>
  <c r="M32" i="9"/>
  <c r="M33" i="9" s="1"/>
  <c r="M34" i="9" s="1"/>
  <c r="M35" i="9" s="1"/>
  <c r="M36" i="9" s="1"/>
  <c r="M37" i="9" s="1"/>
  <c r="M38" i="9" s="1"/>
  <c r="M39" i="9" s="1"/>
  <c r="M40" i="9" s="1"/>
  <c r="M41" i="9" s="1"/>
  <c r="P32" i="9"/>
  <c r="W61" i="18"/>
  <c r="W160" i="18" s="1"/>
  <c r="W60" i="18"/>
  <c r="W55" i="18"/>
  <c r="W161" i="18" s="1"/>
  <c r="W57" i="18"/>
  <c r="W54" i="18"/>
  <c r="W74" i="18"/>
  <c r="W53" i="18"/>
  <c r="W75" i="18"/>
  <c r="W71" i="18"/>
  <c r="W73" i="18"/>
  <c r="W119" i="18" s="1"/>
  <c r="W45" i="18"/>
  <c r="W44" i="18"/>
  <c r="W156" i="18" s="1"/>
  <c r="W49" i="18"/>
  <c r="W50" i="18"/>
  <c r="W51" i="18"/>
  <c r="W47" i="18"/>
  <c r="W162" i="18" s="1"/>
  <c r="AC27" i="18"/>
  <c r="Y12" i="18"/>
  <c r="Y15" i="18"/>
  <c r="Y109" i="18" s="1"/>
  <c r="Y13" i="18"/>
  <c r="Y10" i="18"/>
  <c r="Y16" i="18"/>
  <c r="Y117" i="18" s="1"/>
  <c r="Y118" i="18" s="1"/>
  <c r="Y7" i="18"/>
  <c r="Y6" i="18"/>
  <c r="AC25" i="18"/>
  <c r="AB79" i="18"/>
  <c r="AC79" i="18" s="1"/>
  <c r="Y38" i="18"/>
  <c r="Y87" i="18" s="1"/>
  <c r="X81" i="18"/>
  <c r="X80" i="18"/>
  <c r="O31" i="9"/>
  <c r="O32" i="9" s="1"/>
  <c r="X40" i="18"/>
  <c r="W70" i="18"/>
  <c r="W68" i="18"/>
  <c r="W69" i="18"/>
  <c r="W67" i="18"/>
  <c r="Y155" i="18"/>
  <c r="Y163" i="18" s="1"/>
  <c r="V157" i="18"/>
  <c r="V158" i="18"/>
  <c r="P31" i="11"/>
  <c r="N32" i="11"/>
  <c r="T19" i="9"/>
  <c r="D22" i="9"/>
  <c r="Y91" i="18" l="1"/>
  <c r="X96" i="18"/>
  <c r="X97" i="18" s="1"/>
  <c r="X98" i="18" s="1"/>
  <c r="X99" i="18" s="1"/>
  <c r="X48" i="18"/>
  <c r="Y115" i="18"/>
  <c r="Y114" i="18"/>
  <c r="Y88" i="18"/>
  <c r="Y110" i="18"/>
  <c r="Y82" i="18"/>
  <c r="W59" i="18"/>
  <c r="W159" i="18" s="1"/>
  <c r="X51" i="18"/>
  <c r="Y92" i="18"/>
  <c r="Y93" i="18"/>
  <c r="T145" i="18"/>
  <c r="R145" i="18" s="1"/>
  <c r="X53" i="18"/>
  <c r="X60" i="18"/>
  <c r="X47" i="18"/>
  <c r="X162" i="18" s="1"/>
  <c r="X55" i="18"/>
  <c r="X161" i="18" s="1"/>
  <c r="X50" i="18"/>
  <c r="X49" i="18"/>
  <c r="X71" i="18"/>
  <c r="X73" i="18"/>
  <c r="X119" i="18" s="1"/>
  <c r="X45" i="18"/>
  <c r="X44" i="18"/>
  <c r="X156" i="18" s="1"/>
  <c r="X75" i="18"/>
  <c r="X54" i="18"/>
  <c r="X61" i="18"/>
  <c r="X160" i="18" s="1"/>
  <c r="X58" i="18"/>
  <c r="X57" i="18"/>
  <c r="X74" i="18"/>
  <c r="Z13" i="18"/>
  <c r="Z12" i="18"/>
  <c r="Z15" i="18"/>
  <c r="Z109" i="18" s="1"/>
  <c r="Z10" i="18"/>
  <c r="Z16" i="18"/>
  <c r="Z117" i="18" s="1"/>
  <c r="Z118" i="18" s="1"/>
  <c r="Z6" i="18"/>
  <c r="Z7" i="18"/>
  <c r="Z38" i="18"/>
  <c r="Z87" i="18" s="1"/>
  <c r="Y81" i="18"/>
  <c r="Y80" i="18"/>
  <c r="Y40" i="18"/>
  <c r="X70" i="18"/>
  <c r="X68" i="18"/>
  <c r="X69" i="18"/>
  <c r="X67" i="18"/>
  <c r="Z155" i="18"/>
  <c r="Z163" i="18" s="1"/>
  <c r="W157" i="18"/>
  <c r="W158" i="18"/>
  <c r="N33" i="11"/>
  <c r="O32" i="11"/>
  <c r="P32" i="11"/>
  <c r="M45" i="11"/>
  <c r="L31" i="11"/>
  <c r="M32" i="11" s="1"/>
  <c r="M33" i="11" s="1"/>
  <c r="M34" i="11" s="1"/>
  <c r="M35" i="11" s="1"/>
  <c r="M36" i="11" s="1"/>
  <c r="M37" i="11" s="1"/>
  <c r="M38" i="11" s="1"/>
  <c r="M39" i="11" s="1"/>
  <c r="M40" i="11" s="1"/>
  <c r="M41" i="11" s="1"/>
  <c r="Q32" i="11"/>
  <c r="S11" i="9"/>
  <c r="S12" i="9" s="1"/>
  <c r="S9" i="9"/>
  <c r="Z91" i="18" l="1"/>
  <c r="Y96" i="18"/>
  <c r="Y97" i="18" s="1"/>
  <c r="Y98" i="18" s="1"/>
  <c r="Y99" i="18" s="1"/>
  <c r="Y48" i="18"/>
  <c r="Z88" i="18"/>
  <c r="Z110" i="18"/>
  <c r="Z114" i="18"/>
  <c r="Z115" i="18"/>
  <c r="Z82" i="18"/>
  <c r="Z92" i="18"/>
  <c r="Z93" i="18"/>
  <c r="X59" i="18"/>
  <c r="X159" i="18" s="1"/>
  <c r="Y71" i="18"/>
  <c r="Y73" i="18"/>
  <c r="Y119" i="18" s="1"/>
  <c r="Y44" i="18"/>
  <c r="Y156" i="18" s="1"/>
  <c r="Y45" i="18"/>
  <c r="Y55" i="18"/>
  <c r="Y161" i="18" s="1"/>
  <c r="Y61" i="18"/>
  <c r="Y160" i="18" s="1"/>
  <c r="Y60" i="18"/>
  <c r="Y58" i="18"/>
  <c r="Y49" i="18"/>
  <c r="Y47" i="18"/>
  <c r="Y162" i="18" s="1"/>
  <c r="Y54" i="18"/>
  <c r="Y50" i="18"/>
  <c r="Y51" i="18"/>
  <c r="Y57" i="18"/>
  <c r="Y74" i="18"/>
  <c r="Y53" i="18"/>
  <c r="Y75" i="18"/>
  <c r="AA12" i="18"/>
  <c r="AA15" i="18"/>
  <c r="AA109" i="18" s="1"/>
  <c r="AA13" i="18"/>
  <c r="AA10" i="18"/>
  <c r="AA16" i="18"/>
  <c r="AA117" i="18" s="1"/>
  <c r="AA118" i="18" s="1"/>
  <c r="AA7" i="18"/>
  <c r="AA6" i="18"/>
  <c r="AA38" i="18"/>
  <c r="AA87" i="18" s="1"/>
  <c r="Z80" i="18"/>
  <c r="Z81" i="18"/>
  <c r="Z40" i="18"/>
  <c r="Y70" i="18"/>
  <c r="Y68" i="18"/>
  <c r="Y69" i="18"/>
  <c r="Y67" i="18"/>
  <c r="AA155" i="18"/>
  <c r="AA163" i="18" s="1"/>
  <c r="X157" i="18"/>
  <c r="X158" i="18"/>
  <c r="N34" i="11"/>
  <c r="O33" i="11"/>
  <c r="D25" i="8"/>
  <c r="D23" i="8"/>
  <c r="AA91" i="18" l="1"/>
  <c r="Z96" i="18"/>
  <c r="Z97" i="18" s="1"/>
  <c r="Z98" i="18" s="1"/>
  <c r="Z99" i="18" s="1"/>
  <c r="Z48" i="18"/>
  <c r="AA82" i="18"/>
  <c r="AA114" i="18"/>
  <c r="AA115" i="18"/>
  <c r="AA88" i="18"/>
  <c r="AA110" i="18"/>
  <c r="AA92" i="18"/>
  <c r="AA93" i="18"/>
  <c r="Y59" i="18"/>
  <c r="Y159" i="18" s="1"/>
  <c r="Z71" i="18"/>
  <c r="Z73" i="18"/>
  <c r="Z119" i="18" s="1"/>
  <c r="Z45" i="18"/>
  <c r="Z44" i="18"/>
  <c r="Z156" i="18" s="1"/>
  <c r="Z49" i="18"/>
  <c r="Z60" i="18"/>
  <c r="Z50" i="18"/>
  <c r="Z55" i="18"/>
  <c r="Z161" i="18" s="1"/>
  <c r="Z58" i="18"/>
  <c r="Z57" i="18"/>
  <c r="Z75" i="18"/>
  <c r="Z61" i="18"/>
  <c r="Z160" i="18" s="1"/>
  <c r="Z47" i="18"/>
  <c r="Z162" i="18" s="1"/>
  <c r="Z54" i="18"/>
  <c r="Z74" i="18"/>
  <c r="Z53" i="18"/>
  <c r="Z51" i="18"/>
  <c r="AB15" i="18"/>
  <c r="AB13" i="18"/>
  <c r="AE13" i="18" s="1"/>
  <c r="AB12" i="18"/>
  <c r="AB110" i="18" s="1"/>
  <c r="AC110" i="18" s="1"/>
  <c r="AB10" i="18"/>
  <c r="AB16" i="18"/>
  <c r="AB6" i="18"/>
  <c r="AE6" i="18" s="1"/>
  <c r="AB7" i="18"/>
  <c r="AE7" i="18" s="1"/>
  <c r="AB38" i="18"/>
  <c r="AB87" i="18" s="1"/>
  <c r="AC87" i="18" s="1"/>
  <c r="AA81" i="18"/>
  <c r="AA80" i="18"/>
  <c r="AA40" i="18"/>
  <c r="Z70" i="18"/>
  <c r="Z68" i="18"/>
  <c r="Z69" i="18"/>
  <c r="Z67" i="18"/>
  <c r="AB155" i="18"/>
  <c r="AB163" i="18" s="1"/>
  <c r="Y157" i="18"/>
  <c r="Y158" i="18"/>
  <c r="N35" i="11"/>
  <c r="O34" i="11"/>
  <c r="D35" i="8"/>
  <c r="E5" i="8"/>
  <c r="E18" i="8" s="1"/>
  <c r="D18" i="8"/>
  <c r="D19" i="8"/>
  <c r="D21" i="8"/>
  <c r="D20" i="8"/>
  <c r="AB91" i="18" l="1"/>
  <c r="AC163" i="18"/>
  <c r="AE163" i="18" s="1"/>
  <c r="AA96" i="18"/>
  <c r="AA97" i="18" s="1"/>
  <c r="AA98" i="18" s="1"/>
  <c r="AA99" i="18" s="1"/>
  <c r="AA48" i="18"/>
  <c r="AE16" i="18"/>
  <c r="AB117" i="18"/>
  <c r="AB115" i="18"/>
  <c r="AC115" i="18" s="1"/>
  <c r="AB114" i="18"/>
  <c r="AC114" i="18" s="1"/>
  <c r="AE15" i="18"/>
  <c r="AB109" i="18"/>
  <c r="AC109" i="18" s="1"/>
  <c r="AB82" i="18"/>
  <c r="AC82" i="18" s="1"/>
  <c r="AE10" i="18"/>
  <c r="AC91" i="18"/>
  <c r="AE12" i="18"/>
  <c r="AB88" i="18"/>
  <c r="AC88" i="18" s="1"/>
  <c r="AE38" i="18"/>
  <c r="AB92" i="18"/>
  <c r="AC92" i="18" s="1"/>
  <c r="AB93" i="18"/>
  <c r="AC93" i="18" s="1"/>
  <c r="Z59" i="18"/>
  <c r="Z159" i="18" s="1"/>
  <c r="AA71" i="18"/>
  <c r="AA73" i="18"/>
  <c r="AA119" i="18" s="1"/>
  <c r="AA44" i="18"/>
  <c r="AA156" i="18" s="1"/>
  <c r="AA45" i="18"/>
  <c r="AA53" i="18"/>
  <c r="AA61" i="18"/>
  <c r="AA160" i="18" s="1"/>
  <c r="AA47" i="18"/>
  <c r="AA162" i="18" s="1"/>
  <c r="AA55" i="18"/>
  <c r="AA161" i="18" s="1"/>
  <c r="AA58" i="18"/>
  <c r="AA74" i="18"/>
  <c r="AA49" i="18"/>
  <c r="AA50" i="18"/>
  <c r="AA51" i="18"/>
  <c r="AA54" i="18"/>
  <c r="AA75" i="18"/>
  <c r="AA57" i="18"/>
  <c r="AA60" i="18"/>
  <c r="AC15" i="18"/>
  <c r="AC13" i="18"/>
  <c r="S139" i="18"/>
  <c r="AC12" i="18"/>
  <c r="AC10" i="18"/>
  <c r="AC16" i="18"/>
  <c r="AC7" i="18"/>
  <c r="AC6" i="18"/>
  <c r="AB81" i="18"/>
  <c r="AC81" i="18" s="1"/>
  <c r="AB80" i="18"/>
  <c r="AC80" i="18" s="1"/>
  <c r="AC38" i="18"/>
  <c r="AB40" i="18"/>
  <c r="AA70" i="18"/>
  <c r="AA68" i="18"/>
  <c r="AA69" i="18"/>
  <c r="AA67" i="18"/>
  <c r="AC155" i="18"/>
  <c r="AE155" i="18" s="1"/>
  <c r="Z157" i="18"/>
  <c r="Z158" i="18"/>
  <c r="N36" i="11"/>
  <c r="O35" i="11"/>
  <c r="F5" i="8"/>
  <c r="G5" i="8" s="1"/>
  <c r="H5" i="8" s="1"/>
  <c r="I5" i="8" s="1"/>
  <c r="AB96" i="18" l="1"/>
  <c r="AB97" i="18" s="1"/>
  <c r="AB98" i="18" s="1"/>
  <c r="AB99" i="18" s="1"/>
  <c r="AB48" i="18"/>
  <c r="AC117" i="18"/>
  <c r="AB118" i="18"/>
  <c r="AC118" i="18" s="1"/>
  <c r="AE40" i="18"/>
  <c r="T139" i="18"/>
  <c r="T140" i="18" s="1"/>
  <c r="AA59" i="18"/>
  <c r="AA159" i="18" s="1"/>
  <c r="AB71" i="18"/>
  <c r="AB73" i="18"/>
  <c r="AB44" i="18"/>
  <c r="AB156" i="18" s="1"/>
  <c r="AC156" i="18" s="1"/>
  <c r="AE156" i="18" s="1"/>
  <c r="AB45" i="18"/>
  <c r="AB53" i="18"/>
  <c r="AB58" i="18"/>
  <c r="AB47" i="18"/>
  <c r="AB55" i="18"/>
  <c r="AB51" i="18"/>
  <c r="AB74" i="18"/>
  <c r="AB50" i="18"/>
  <c r="AE50" i="18" s="1"/>
  <c r="AB49" i="18"/>
  <c r="AB60" i="18"/>
  <c r="AB75" i="18"/>
  <c r="AB54" i="18"/>
  <c r="AB61" i="18"/>
  <c r="AB57" i="18"/>
  <c r="S140" i="18"/>
  <c r="AB70" i="18"/>
  <c r="AB68" i="18"/>
  <c r="AC40" i="18"/>
  <c r="AB69" i="18"/>
  <c r="AB67" i="18"/>
  <c r="AA157" i="18"/>
  <c r="AA158" i="18"/>
  <c r="N37" i="11"/>
  <c r="O36" i="11"/>
  <c r="F18" i="8"/>
  <c r="G18" i="8"/>
  <c r="AE47" i="18" l="1"/>
  <c r="AB162" i="18"/>
  <c r="AE48" i="18"/>
  <c r="AC48" i="18"/>
  <c r="AE73" i="18"/>
  <c r="AB119" i="18"/>
  <c r="AC119" i="18" s="1"/>
  <c r="AC96" i="18"/>
  <c r="R139" i="18"/>
  <c r="R140" i="18"/>
  <c r="AC74" i="18"/>
  <c r="AE74" i="18"/>
  <c r="AC45" i="18"/>
  <c r="AE45" i="18"/>
  <c r="S136" i="18"/>
  <c r="AE60" i="18"/>
  <c r="AB160" i="18"/>
  <c r="AC160" i="18" s="1"/>
  <c r="AE160" i="18" s="1"/>
  <c r="AE61" i="18"/>
  <c r="AC44" i="18"/>
  <c r="AE44" i="18"/>
  <c r="AC58" i="18"/>
  <c r="AE58" i="18"/>
  <c r="S130" i="18"/>
  <c r="AE57" i="18"/>
  <c r="S129" i="18"/>
  <c r="AE51" i="18"/>
  <c r="AB161" i="18"/>
  <c r="AC161" i="18" s="1"/>
  <c r="AE161" i="18" s="1"/>
  <c r="AE55" i="18"/>
  <c r="AC54" i="18"/>
  <c r="AE54" i="18"/>
  <c r="S127" i="18"/>
  <c r="AE49" i="18"/>
  <c r="S132" i="18"/>
  <c r="AE53" i="18"/>
  <c r="AC75" i="18"/>
  <c r="AE75" i="18"/>
  <c r="S152" i="18"/>
  <c r="AE71" i="18"/>
  <c r="S150" i="18"/>
  <c r="AE70" i="18"/>
  <c r="S149" i="18"/>
  <c r="AE69" i="18"/>
  <c r="S147" i="18"/>
  <c r="AE67" i="18"/>
  <c r="S148" i="18"/>
  <c r="AE68" i="18"/>
  <c r="AC60" i="18"/>
  <c r="S133" i="18"/>
  <c r="AC49" i="18"/>
  <c r="AC51" i="18"/>
  <c r="T129" i="18" s="1"/>
  <c r="AC53" i="18"/>
  <c r="S134" i="18"/>
  <c r="AC71" i="18"/>
  <c r="AC57" i="18"/>
  <c r="S137" i="18"/>
  <c r="AB59" i="18"/>
  <c r="AC55" i="18"/>
  <c r="AC61" i="18"/>
  <c r="AC73" i="18"/>
  <c r="AC69" i="18"/>
  <c r="AC68" i="18"/>
  <c r="AC67" i="18"/>
  <c r="AC70" i="18"/>
  <c r="S126" i="18"/>
  <c r="AC47" i="18"/>
  <c r="AB157" i="18"/>
  <c r="AC50" i="18"/>
  <c r="T128" i="18" s="1"/>
  <c r="AB158" i="18"/>
  <c r="S128" i="18"/>
  <c r="N38" i="11"/>
  <c r="O37" i="11"/>
  <c r="H18" i="8"/>
  <c r="AC162" i="18" l="1"/>
  <c r="AE162" i="18" s="1"/>
  <c r="T126" i="18"/>
  <c r="P170" i="18"/>
  <c r="M170" i="18"/>
  <c r="AC97" i="18"/>
  <c r="T137" i="18"/>
  <c r="R137" i="18" s="1"/>
  <c r="T127" i="18"/>
  <c r="R127" i="18" s="1"/>
  <c r="T136" i="18"/>
  <c r="R136" i="18" s="1"/>
  <c r="T132" i="18"/>
  <c r="R132" i="18" s="1"/>
  <c r="T134" i="18"/>
  <c r="R134" i="18" s="1"/>
  <c r="T152" i="18"/>
  <c r="R152" i="18" s="1"/>
  <c r="T149" i="18"/>
  <c r="R149" i="18" s="1"/>
  <c r="AC59" i="18"/>
  <c r="AE59" i="18"/>
  <c r="T130" i="18"/>
  <c r="R130" i="18" s="1"/>
  <c r="R129" i="18"/>
  <c r="T133" i="18"/>
  <c r="R133" i="18" s="1"/>
  <c r="T147" i="18"/>
  <c r="R147" i="18" s="1"/>
  <c r="AB159" i="18"/>
  <c r="AC159" i="18" s="1"/>
  <c r="AE159" i="18" s="1"/>
  <c r="T150" i="18"/>
  <c r="R150" i="18" s="1"/>
  <c r="T148" i="18"/>
  <c r="R148" i="18" s="1"/>
  <c r="R126" i="18"/>
  <c r="P171" i="18" s="1"/>
  <c r="P172" i="18" s="1"/>
  <c r="AC158" i="18"/>
  <c r="AE158" i="18" s="1"/>
  <c r="AC157" i="18"/>
  <c r="AE157" i="18" s="1"/>
  <c r="R128" i="18"/>
  <c r="N39" i="11"/>
  <c r="O38" i="11"/>
  <c r="I18" i="8"/>
  <c r="P169" i="18" l="1"/>
  <c r="M169" i="18"/>
  <c r="P168" i="18"/>
  <c r="M168" i="18"/>
  <c r="AC99" i="18"/>
  <c r="AC98" i="18"/>
  <c r="N40" i="11"/>
  <c r="O39" i="11"/>
  <c r="N41" i="11" l="1"/>
  <c r="O40" i="11"/>
  <c r="N42" i="11" l="1"/>
  <c r="O41" i="11"/>
</calcChain>
</file>

<file path=xl/comments1.xml><?xml version="1.0" encoding="utf-8"?>
<comments xmlns="http://schemas.openxmlformats.org/spreadsheetml/2006/main">
  <authors>
    <author>Author</author>
  </authors>
  <commentList>
    <comment ref="B119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ability for company to pay interest on outstanding debt.
Lesser ratio is risky...</t>
        </r>
      </text>
    </comment>
    <comment ref="B157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payback period</t>
        </r>
      </text>
    </comment>
  </commentList>
</comments>
</file>

<file path=xl/sharedStrings.xml><?xml version="1.0" encoding="utf-8"?>
<sst xmlns="http://schemas.openxmlformats.org/spreadsheetml/2006/main" count="578" uniqueCount="400">
  <si>
    <t>#</t>
  </si>
  <si>
    <t>CAGR</t>
  </si>
  <si>
    <t>Cash and equivalents</t>
  </si>
  <si>
    <t>Total Number of outstanding shares</t>
  </si>
  <si>
    <t>Total Liabilities</t>
  </si>
  <si>
    <t>Current year</t>
  </si>
  <si>
    <t>in INR Cr</t>
  </si>
  <si>
    <t>INR Cr to INR</t>
  </si>
  <si>
    <t>Book Value (Networth based)</t>
  </si>
  <si>
    <t>Book Value (Total Liability)</t>
  </si>
  <si>
    <t>Book Value (Cash Based)</t>
  </si>
  <si>
    <t>Y1</t>
  </si>
  <si>
    <t>Y2</t>
  </si>
  <si>
    <t>Y3</t>
  </si>
  <si>
    <t>Y4</t>
  </si>
  <si>
    <t>Y5</t>
  </si>
  <si>
    <t>Networth (reserves only)</t>
  </si>
  <si>
    <t>Networth (includes reserves &amp; Share capital</t>
  </si>
  <si>
    <t>Book Value (reserves &amp; Surplus alone)</t>
  </si>
  <si>
    <t>Total Current Assets</t>
  </si>
  <si>
    <t>In Mn</t>
  </si>
  <si>
    <t>to INR Cr</t>
  </si>
  <si>
    <t>Book Value (Total C.A)</t>
  </si>
  <si>
    <t>Net Current Assets</t>
  </si>
  <si>
    <t>Book Value (on Net Current Assets)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</si>
  <si>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</si>
  <si>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</si>
  <si>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</si>
  <si>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</si>
  <si>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</si>
  <si>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</si>
  <si>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</si>
  <si>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</si>
  <si>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</si>
  <si>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</si>
  <si>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</si>
  <si>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</si>
  <si>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</si>
  <si>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</si>
  <si>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</si>
  <si>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</si>
  <si>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</si>
  <si>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</si>
  <si>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</si>
  <si>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</si>
  <si>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</si>
  <si>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</si>
  <si>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</si>
  <si>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</si>
  <si>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</si>
  <si>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</si>
  <si>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</si>
  <si>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</si>
  <si>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</si>
  <si>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</si>
  <si>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</si>
  <si>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</si>
  <si>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</si>
  <si>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</si>
  <si>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</si>
  <si>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</si>
  <si>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</si>
  <si>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</si>
  <si>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</si>
  <si>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</si>
  <si>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</si>
  <si>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</si>
  <si>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</si>
  <si>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</si>
  <si>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</si>
  <si>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</si>
  <si>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</si>
  <si>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</si>
  <si>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</si>
  <si>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</si>
  <si>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</si>
  <si>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</si>
  <si>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</si>
  <si>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Total Debt (For Banks)</t>
  </si>
  <si>
    <t>Total Advances (For Banks)</t>
  </si>
  <si>
    <t>Net (Advances - Debt)</t>
  </si>
  <si>
    <t>Ratio of Advances to Debt (for Banks)</t>
  </si>
  <si>
    <t>Debt per share</t>
  </si>
  <si>
    <t>For Banks Only</t>
  </si>
  <si>
    <t>Advances per share</t>
  </si>
  <si>
    <t>Net per share</t>
  </si>
  <si>
    <t>BOI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</si>
  <si>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</si>
  <si>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</si>
  <si>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</si>
  <si>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</si>
  <si>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</si>
  <si>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</si>
  <si>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</si>
  <si>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</si>
  <si>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</si>
  <si>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</si>
  <si>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</si>
  <si>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</si>
  <si>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</si>
  <si>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</si>
  <si>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</si>
  <si>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</si>
  <si>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</si>
  <si>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</si>
  <si>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</si>
  <si>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</si>
  <si>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</si>
  <si>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</si>
  <si>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</si>
  <si>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</si>
  <si>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</si>
  <si>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</si>
  <si>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</si>
  <si>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</si>
  <si>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</si>
  <si>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</si>
  <si>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</si>
  <si>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</si>
  <si>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</si>
  <si>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</si>
  <si>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</si>
  <si>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</si>
  <si>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</si>
  <si>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</si>
  <si>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</si>
  <si>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</si>
  <si>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</si>
  <si>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</si>
  <si>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</si>
  <si>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</si>
  <si>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</si>
  <si>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</si>
  <si>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</si>
  <si>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</si>
  <si>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</si>
  <si>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</si>
  <si>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</si>
  <si>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</si>
  <si>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</si>
  <si>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</si>
  <si>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</si>
  <si>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</si>
  <si>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</si>
  <si>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</si>
  <si>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</si>
  <si>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</si>
  <si>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</si>
  <si>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</si>
  <si>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</si>
  <si>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</si>
  <si>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</si>
  <si>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</si>
  <si>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</si>
  <si>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</si>
  <si>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</si>
  <si>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</si>
  <si>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</si>
  <si>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</si>
  <si>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</si>
  <si>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</si>
  <si>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</si>
  <si>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</si>
  <si>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</si>
  <si>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</si>
  <si>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</si>
  <si>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</si>
  <si>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</si>
  <si>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</si>
  <si>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</si>
  <si>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</si>
  <si>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</si>
  <si>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</si>
  <si>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</si>
  <si>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</si>
  <si>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</si>
  <si>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</si>
  <si>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</si>
  <si>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</si>
  <si>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</si>
  <si>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</si>
  <si>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</si>
  <si>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</si>
  <si>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</si>
  <si>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</si>
  <si>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</si>
  <si>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</si>
  <si>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</si>
  <si>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</si>
  <si>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</si>
  <si>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</si>
  <si>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</si>
  <si>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</si>
  <si>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</si>
  <si>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</si>
  <si>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</si>
  <si>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</si>
  <si>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</si>
  <si>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</si>
  <si>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</si>
  <si>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</si>
  <si>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</si>
  <si>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</si>
  <si>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</si>
  <si>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</si>
  <si>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</si>
  <si>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</si>
  <si>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</si>
  <si>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</si>
  <si>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</si>
  <si>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</si>
  <si>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</si>
  <si>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Long Term Debt</t>
  </si>
  <si>
    <t>Secured Loan alone</t>
  </si>
  <si>
    <t>Un-secured Alone</t>
  </si>
  <si>
    <t>Total Free Reserves</t>
  </si>
  <si>
    <t>Total Shareholder Equity</t>
  </si>
  <si>
    <t>Cash &amp; Cash Equivalents</t>
  </si>
  <si>
    <t>Investments</t>
  </si>
  <si>
    <t>Current Liability</t>
  </si>
  <si>
    <t>How Much cash/Cash equivalent required</t>
  </si>
  <si>
    <t>How many years required to pay-off the LT Debt</t>
  </si>
  <si>
    <t>years required to pay-off</t>
  </si>
  <si>
    <t>Repayment capability of LT Debt with Net profit (in years)</t>
  </si>
  <si>
    <t>Repayment capability of Secured Loan with Net profit  (in years)</t>
  </si>
  <si>
    <t>Repayment capability of Un-Secured Loan with Net profit  (in years)</t>
  </si>
  <si>
    <t>Repayment capability of Current Liability with Net profit  (in years)</t>
  </si>
  <si>
    <t>Multiples</t>
  </si>
  <si>
    <t>P/E ratio</t>
  </si>
  <si>
    <t>RE - % earnings retained</t>
  </si>
  <si>
    <t>Return of Assets (ROA)</t>
  </si>
  <si>
    <t>Return of Equity (ROE)</t>
  </si>
  <si>
    <t>Return of Capital Employed (ROCE)</t>
  </si>
  <si>
    <t>Return of Investment (ROI)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</si>
  <si>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</si>
  <si>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</si>
  <si>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</si>
  <si>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</si>
  <si>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</si>
  <si>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</si>
  <si>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</si>
  <si>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Required Rate of Return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</si>
  <si>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</si>
  <si>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</si>
  <si>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</si>
  <si>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</si>
  <si>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</si>
  <si>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</si>
  <si>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</si>
  <si>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</si>
  <si>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</si>
  <si>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</si>
  <si>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</si>
  <si>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</si>
  <si>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</si>
  <si>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</si>
  <si>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</si>
  <si>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Net Earnings (Net Profit)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</si>
  <si>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</si>
  <si>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</si>
  <si>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</si>
  <si>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</si>
  <si>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</si>
  <si>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Repayment capability of LT Debt with Cash + Investment</t>
  </si>
  <si>
    <t>Repayment capability of Secured Loan with Cash + Investment</t>
  </si>
  <si>
    <t>Repayment capability of Un-Secured Loan with Cash + Investment</t>
  </si>
  <si>
    <t>Repayment capability of Current Liability with Cash + Investment</t>
  </si>
  <si>
    <t>Net Profit Margin</t>
  </si>
  <si>
    <t>Gross Profit Margin - Operating</t>
  </si>
  <si>
    <t>??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</si>
  <si>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</si>
  <si>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</si>
  <si>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</si>
  <si>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</si>
  <si>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</si>
  <si>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</si>
  <si>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</si>
  <si>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</si>
  <si>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</si>
  <si>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</si>
  <si>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Suzlon Energy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</si>
  <si>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</si>
  <si>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</si>
  <si>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</si>
  <si>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</si>
  <si>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</si>
  <si>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</si>
  <si>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- Investments) per share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</si>
  <si>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</si>
  <si>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</si>
  <si>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</si>
  <si>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</si>
  <si>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</si>
  <si>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</si>
  <si>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</si>
  <si>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</si>
  <si>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</si>
  <si>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</si>
  <si>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</si>
  <si>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</si>
  <si>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</si>
  <si>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</si>
  <si>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</si>
  <si>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</si>
  <si>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</si>
  <si>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</si>
  <si>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</si>
  <si>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</si>
  <si>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</si>
  <si>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2nd highest Expenses Comp. ( Empl )</t>
  </si>
  <si>
    <t>Operating Profit Margin</t>
  </si>
  <si>
    <t>Profitability Ratios</t>
  </si>
  <si>
    <t>Operating profit per year</t>
  </si>
  <si>
    <t>Net Profit per year</t>
  </si>
  <si>
    <t>Reserves per share</t>
  </si>
  <si>
    <t>if NEGATIVE, then stock is in DISCOUNT, if POSITIVE, then stock is in PREMIUM</t>
  </si>
  <si>
    <t>Company Name</t>
  </si>
  <si>
    <t>Top Expenses ( Raw material )</t>
  </si>
  <si>
    <t>Net Cash Flow (Operations + Investments)</t>
  </si>
  <si>
    <t>Net Cash Flow (Operations + Investments) per share</t>
  </si>
  <si>
    <t>Earnings yield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</si>
  <si>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</si>
  <si>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</si>
  <si>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</si>
  <si>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</si>
  <si>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</si>
  <si>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</si>
  <si>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</si>
  <si>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</si>
  <si>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</si>
  <si>
    <t>Retention Ratio</t>
  </si>
  <si>
    <t>R&amp;D - Opex / Sales</t>
  </si>
  <si>
    <t>R&amp;D Expenses -  Opex</t>
  </si>
  <si>
    <t>R&amp;D Expenses - Capex / Total</t>
  </si>
  <si>
    <t>R&amp;D - Capex or Total/Sales</t>
  </si>
  <si>
    <t>Dividend out-go</t>
  </si>
  <si>
    <t>Dividend out go + DDT @ 17%</t>
  </si>
  <si>
    <t>Dividend/Net Earnings ratio</t>
  </si>
  <si>
    <t>MoneyControl</t>
  </si>
  <si>
    <t>Investment calc</t>
  </si>
  <si>
    <t>Desc</t>
  </si>
  <si>
    <t>10 yr</t>
  </si>
  <si>
    <t>Purch Price</t>
  </si>
  <si>
    <t>Qty</t>
  </si>
  <si>
    <t>Purchase Value</t>
  </si>
  <si>
    <t>Value</t>
  </si>
  <si>
    <t>Curr Price</t>
  </si>
  <si>
    <t>Current Value</t>
  </si>
  <si>
    <t>Returns</t>
  </si>
  <si>
    <t>Total Sales/Total Net Fixed Assets</t>
  </si>
  <si>
    <t>% Discount (Price / B.V) BV means - (SHE + CA - Total Liability - CL)</t>
  </si>
  <si>
    <t>% Discount (Price / B.V) BV means - (reserves &amp; Surplus alone)</t>
  </si>
  <si>
    <t>For FMCG/Growth</t>
  </si>
  <si>
    <t>multipler</t>
  </si>
  <si>
    <t>% Discount (Price / Cash) Cash means cash &amp; cash eqv</t>
  </si>
  <si>
    <t>Total Exp/Total sales</t>
  </si>
  <si>
    <t>Quick ratio (CA/CL) - preferred is 1</t>
  </si>
  <si>
    <t>COGS per day in Cr</t>
  </si>
  <si>
    <t>Avg per day sales in Cr</t>
  </si>
  <si>
    <t>Debt to capitalization ratio (l.T.L + SHE)</t>
  </si>
  <si>
    <t>RONW or ROE</t>
  </si>
  <si>
    <t>ROI i.e ROCE</t>
  </si>
  <si>
    <t>P/Sales per share</t>
  </si>
  <si>
    <t>Other Ratio's</t>
  </si>
  <si>
    <t>Avg Working Capital (CA-CL) i.e. Net Current Assets</t>
  </si>
  <si>
    <t>Days Working Capital (W.C*365/Sales)</t>
  </si>
  <si>
    <t>Cuurent Ratio (CA/CL) - preferred &gt;=1.25-1.33</t>
  </si>
  <si>
    <t>Debt to Equity Ratio &lt; 1/1 (For heaving ind &lt; 4/1)</t>
  </si>
  <si>
    <t>Interest Coverage ratio - EBITDA/Interest &gt; 1.5 to 2</t>
  </si>
  <si>
    <t>Interest Out go/ Net Profit</t>
  </si>
  <si>
    <t>Interest Out go/Operating Profit</t>
  </si>
  <si>
    <t>Interest Out go/Net cash and cash eqv</t>
  </si>
  <si>
    <t>Earnings yield/ratio (to compare with other investment options)</t>
  </si>
  <si>
    <t>Peak</t>
  </si>
  <si>
    <t>Inventories</t>
  </si>
  <si>
    <t>Inventory Turnover (Sales/inventory) - higher better</t>
  </si>
  <si>
    <t>Inventory Turnover (COGS/inventory) - higher better</t>
  </si>
  <si>
    <t>Cash Profit Margin (Net cash from ops/Rev), higher better</t>
  </si>
  <si>
    <t>Bonus + Stock Split Calculator</t>
  </si>
  <si>
    <t>Bonus Cal</t>
  </si>
  <si>
    <t>X</t>
  </si>
  <si>
    <t>Y</t>
  </si>
  <si>
    <t>Multiple</t>
  </si>
  <si>
    <t>Addition</t>
  </si>
  <si>
    <t>Held</t>
  </si>
  <si>
    <t>B-1</t>
  </si>
  <si>
    <t>B-2</t>
  </si>
  <si>
    <t>S-1</t>
  </si>
  <si>
    <t>Result Quantity</t>
  </si>
  <si>
    <t>Cash EPS (Net Profit per share)</t>
  </si>
  <si>
    <t>P/E (how many years it will take to recover invested amount)</t>
  </si>
  <si>
    <t>Current</t>
  </si>
  <si>
    <t>Preferred</t>
  </si>
  <si>
    <t>xxxx</t>
  </si>
  <si>
    <t>Overall gains</t>
  </si>
  <si>
    <t>Total Gain</t>
  </si>
  <si>
    <t>Multiplication - x</t>
  </si>
  <si>
    <t>Payback Period - with Last EPS i.e. P/EPSlast</t>
  </si>
  <si>
    <t>Payback Period -in years  with Avg EPS i.e. P/EPSavg</t>
  </si>
  <si>
    <t>B-3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</si>
</sst>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_(&quot;$&quot;* #,##0_);_(&quot;$&quot;* \(#,##0\);_(&quot;$&quot;* &quot;-&quot;??_);_(@_)"/>
    <numFmt numFmtId="174" formatCode="#,##0.00_ ;[Red]\-#,##0.00\ "/>
    <numFmt numFmtId="175" formatCode="#,##0_ ;[Red]\-#,##0\ "/>
    <numFmt numFmtId="176" formatCode="0_);[Red]\(0\)"/>
    <numFmt numFmtId="179" formatCode="0.00_);[Red]\(0.00\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0"/>
      <color rgb="FF0070C0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mbria"/>
      <family val="1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03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9" fontId="2" fillId="6" borderId="0" xfId="0" applyNumberFormat="1" applyFont="1" applyFill="1"/>
    <xf numFmtId="164" fontId="2" fillId="6" borderId="0" xfId="2" applyNumberFormat="1" applyFont="1" applyFill="1"/>
    <xf numFmtId="164" fontId="2" fillId="5" borderId="0" xfId="2" applyNumberFormat="1" applyFont="1" applyFill="1"/>
    <xf numFmtId="1" fontId="2" fillId="5" borderId="0" xfId="2" applyNumberFormat="1" applyFont="1" applyFill="1"/>
    <xf numFmtId="164" fontId="2" fillId="6" borderId="1" xfId="2" applyNumberFormat="1" applyFont="1" applyFill="1" applyBorder="1"/>
    <xf numFmtId="165" fontId="2" fillId="5" borderId="1" xfId="0" applyNumberFormat="1" applyFont="1" applyFill="1" applyBorder="1"/>
    <xf numFmtId="43" fontId="2" fillId="5" borderId="0" xfId="0" applyNumberFormat="1" applyFont="1" applyFill="1"/>
    <xf numFmtId="43" fontId="2" fillId="5" borderId="0" xfId="2" applyNumberFormat="1" applyFont="1" applyFill="1"/>
    <xf numFmtId="38" fontId="2" fillId="6" borderId="0" xfId="2" applyNumberFormat="1" applyFont="1" applyFill="1"/>
    <xf numFmtId="40" fontId="2" fillId="5" borderId="0" xfId="2" applyNumberFormat="1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10" fontId="2" fillId="5" borderId="0" xfId="1" applyNumberFormat="1" applyFont="1" applyFill="1"/>
    <xf numFmtId="0" fontId="3" fillId="5" borderId="0" xfId="0" applyFont="1" applyFill="1"/>
    <xf numFmtId="164" fontId="2" fillId="5" borderId="0" xfId="0" applyNumberFormat="1" applyFont="1" applyFill="1"/>
    <xf numFmtId="9" fontId="2" fillId="5" borderId="0" xfId="0" applyNumberFormat="1" applyFont="1" applyFill="1"/>
    <xf numFmtId="38" fontId="2" fillId="5" borderId="0" xfId="2" applyNumberFormat="1" applyFont="1" applyFill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9" fontId="4" fillId="6" borderId="1" xfId="0" applyNumberFormat="1" applyFont="1" applyFill="1" applyBorder="1"/>
    <xf numFmtId="172" fontId="4" fillId="5" borderId="1" xfId="0" applyNumberFormat="1" applyFont="1" applyFill="1" applyBorder="1"/>
    <xf numFmtId="173" fontId="4" fillId="6" borderId="1" xfId="3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69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9" fontId="5" fillId="6" borderId="0" xfId="0" applyNumberFormat="1" applyFont="1" applyFill="1"/>
    <xf numFmtId="0" fontId="7" fillId="13" borderId="0" xfId="0" applyFont="1" applyFill="1"/>
    <xf numFmtId="0" fontId="4" fillId="6" borderId="0" xfId="0" applyFont="1" applyFill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170" fontId="4" fillId="6" borderId="1" xfId="3" applyNumberFormat="1" applyFont="1" applyFill="1" applyBorder="1"/>
    <xf numFmtId="9" fontId="4" fillId="6" borderId="1" xfId="1" applyFont="1" applyFill="1" applyBorder="1"/>
    <xf numFmtId="10" fontId="4" fillId="6" borderId="1" xfId="0" applyNumberFormat="1" applyFont="1" applyFill="1" applyBorder="1"/>
    <xf numFmtId="40" fontId="4" fillId="5" borderId="1" xfId="0" applyNumberFormat="1" applyFont="1" applyFill="1" applyBorder="1"/>
    <xf numFmtId="0" fontId="5" fillId="5" borderId="1" xfId="0" applyFont="1" applyFill="1" applyBorder="1" applyAlignment="1">
      <alignment horizontal="center" vertical="center"/>
    </xf>
    <xf numFmtId="43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4" fontId="4" fillId="5" borderId="1" xfId="0" applyNumberFormat="1" applyFont="1" applyFill="1" applyBorder="1"/>
    <xf numFmtId="0" fontId="8" fillId="5" borderId="1" xfId="0" applyFont="1" applyFill="1" applyBorder="1"/>
    <xf numFmtId="1" fontId="8" fillId="5" borderId="1" xfId="0" applyNumberFormat="1" applyFont="1" applyFill="1" applyBorder="1"/>
    <xf numFmtId="1" fontId="8" fillId="5" borderId="1" xfId="2" applyNumberFormat="1" applyFont="1" applyFill="1" applyBorder="1"/>
    <xf numFmtId="40" fontId="4" fillId="5" borderId="1" xfId="2" applyNumberFormat="1" applyFont="1" applyFill="1" applyBorder="1"/>
    <xf numFmtId="43" fontId="8" fillId="5" borderId="1" xfId="2" applyNumberFormat="1" applyFont="1" applyFill="1" applyBorder="1"/>
    <xf numFmtId="175" fontId="4" fillId="5" borderId="1" xfId="2" applyNumberFormat="1" applyFont="1" applyFill="1" applyBorder="1"/>
    <xf numFmtId="175" fontId="8" fillId="5" borderId="1" xfId="2" applyNumberFormat="1" applyFont="1" applyFill="1" applyBorder="1"/>
    <xf numFmtId="9" fontId="9" fillId="5" borderId="1" xfId="1" applyFont="1" applyFill="1" applyBorder="1"/>
    <xf numFmtId="0" fontId="10" fillId="5" borderId="1" xfId="0" applyFont="1" applyFill="1" applyBorder="1"/>
    <xf numFmtId="175" fontId="10" fillId="5" borderId="1" xfId="2" applyNumberFormat="1" applyFont="1" applyFill="1" applyBorder="1"/>
    <xf numFmtId="9" fontId="9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5" fontId="4" fillId="5" borderId="1" xfId="0" applyNumberFormat="1" applyFont="1" applyFill="1" applyBorder="1"/>
    <xf numFmtId="175" fontId="5" fillId="5" borderId="1" xfId="0" applyNumberFormat="1" applyFont="1" applyFill="1" applyBorder="1"/>
    <xf numFmtId="175" fontId="5" fillId="5" borderId="1" xfId="2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43" fontId="11" fillId="5" borderId="1" xfId="2" applyNumberFormat="1" applyFont="1" applyFill="1" applyBorder="1"/>
    <xf numFmtId="40" fontId="5" fillId="5" borderId="1" xfId="0" applyNumberFormat="1" applyFont="1" applyFill="1" applyBorder="1"/>
    <xf numFmtId="168" fontId="4" fillId="5" borderId="1" xfId="1" applyNumberFormat="1" applyFont="1" applyFill="1" applyBorder="1"/>
    <xf numFmtId="1" fontId="4" fillId="5" borderId="4" xfId="0" applyNumberFormat="1" applyFont="1" applyFill="1" applyBorder="1"/>
    <xf numFmtId="176" fontId="4" fillId="5" borderId="1" xfId="1" applyNumberFormat="1" applyFont="1" applyFill="1" applyBorder="1"/>
    <xf numFmtId="9" fontId="4" fillId="6" borderId="0" xfId="0" applyNumberFormat="1" applyFont="1" applyFill="1"/>
    <xf numFmtId="1" fontId="4" fillId="5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164" fontId="4" fillId="0" borderId="1" xfId="2" applyNumberFormat="1" applyFont="1" applyBorder="1"/>
    <xf numFmtId="0" fontId="5" fillId="0" borderId="1" xfId="0" applyFont="1" applyBorder="1"/>
    <xf numFmtId="43" fontId="5" fillId="0" borderId="1" xfId="2" applyNumberFormat="1" applyFont="1" applyBorder="1"/>
    <xf numFmtId="9" fontId="4" fillId="5" borderId="1" xfId="1" applyNumberFormat="1" applyFont="1" applyFill="1" applyBorder="1"/>
    <xf numFmtId="0" fontId="4" fillId="6" borderId="1" xfId="0" applyFont="1" applyFill="1" applyBorder="1" applyAlignment="1">
      <alignment horizontal="center"/>
    </xf>
    <xf numFmtId="0" fontId="8" fillId="5" borderId="1" xfId="2" applyNumberFormat="1" applyFont="1" applyFill="1" applyBorder="1"/>
    <xf numFmtId="164" fontId="4" fillId="5" borderId="1" xfId="0" applyNumberFormat="1" applyFont="1" applyFill="1" applyBorder="1"/>
    <xf numFmtId="0" fontId="5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/>
    <xf numFmtId="0" fontId="4" fillId="5" borderId="5" xfId="0" applyFont="1" applyFill="1" applyBorder="1"/>
    <xf numFmtId="0" fontId="4" fillId="5" borderId="6" xfId="0" applyFont="1" applyFill="1" applyBorder="1"/>
    <xf numFmtId="43" fontId="4" fillId="5" borderId="1" xfId="2" applyFont="1" applyFill="1" applyBorder="1"/>
    <xf numFmtId="0" fontId="14" fillId="2" borderId="4" xfId="0" applyFont="1" applyFill="1" applyBorder="1" applyAlignment="1">
      <alignment horizontal="center"/>
    </xf>
    <xf numFmtId="0" fontId="14" fillId="2" borderId="5" xfId="0" applyFont="1" applyFill="1" applyBorder="1" applyAlignment="1">
      <alignment horizontal="center"/>
    </xf>
    <xf numFmtId="0" fontId="14" fillId="2" borderId="6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16" fontId="4" fillId="5" borderId="1" xfId="0" applyNumberFormat="1" applyFont="1" applyFill="1" applyBorder="1"/>
    <xf numFmtId="2" fontId="4" fillId="5" borderId="1" xfId="1" applyNumberFormat="1" applyFont="1" applyFill="1" applyBorder="1"/>
    <xf numFmtId="179" fontId="4" fillId="5" borderId="1" xfId="0" applyNumberFormat="1" applyFont="1" applyFill="1" applyBorder="1"/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641664"/>
        <c:axId val="82643200"/>
      </c:lineChart>
      <c:catAx>
        <c:axId val="82641664"/>
        <c:scaling>
          <c:orientation val="minMax"/>
        </c:scaling>
        <c:delete val="0"/>
        <c:axPos val="b"/>
        <c:majorTickMark val="out"/>
        <c:minorTickMark val="none"/>
        <c:tickLblPos val="nextTo"/>
        <c:crossAx val="82643200"/>
        <c:crosses val="autoZero"/>
        <c:auto val="1"/>
        <c:lblAlgn val="ctr"/>
        <c:lblOffset val="100"/>
        <c:noMultiLvlLbl val="0"/>
      </c:catAx>
      <c:valAx>
        <c:axId val="826432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82641664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000000000000444" l="0.70000000000000062" r="0.70000000000000062" t="0.75000000000000444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108"/>
  <sheetViews>
    <sheetView zoomScale="80" zoomScaleNormal="80" workbookViewId="0">
      <selection activeCell="D21" sqref="D21"/>
    </sheetView>
  </sheetViews>
  <sheetFormatPr defaultRowHeight="12.75" x14ac:dyDescent="0.2"/>
  <cols>
    <col min="1" max="1" width="9.140625" style="104"/>
    <col min="2" max="2" width="9.140625" style="105"/>
    <col min="3" max="3" width="24.28515625" style="104" bestFit="1" customWidth="1"/>
    <col min="4" max="4" width="39.28515625" style="104" bestFit="1" customWidth="1"/>
    <col min="5" max="5" width="39.42578125" style="104" customWidth="1"/>
    <col min="6" max="6" width="56" style="104" bestFit="1" customWidth="1"/>
    <col min="7" max="16384" width="9.140625" style="104"/>
  </cols>
  <sheetData>
    <row r="3" spans="2:6" x14ac:dyDescent="0.2">
      <c r="B3" s="103"/>
      <c r="C3" s="107" t="s">
        <v>87</v>
      </c>
      <c r="D3" s="107" t="s">
        <v>90</v>
      </c>
      <c r="E3" s="107" t="s">
        <v>95</v>
      </c>
      <c r="F3" s="107" t="s">
        <v>96</v>
      </c>
    </row>
    <row r="4" spans="2:6" x14ac:dyDescent="0.2">
      <c r="B4" s="103"/>
      <c r="C4" s="20"/>
      <c r="D4" s="20"/>
      <c r="E4" s="20"/>
      <c r="F4" s="20"/>
    </row>
    <row r="5" spans="2:6" x14ac:dyDescent="0.2">
      <c r="B5" s="103"/>
      <c r="C5" s="108" t="s">
        <v>126</v>
      </c>
      <c r="D5" s="20"/>
      <c r="E5" s="20"/>
      <c r="F5" s="20"/>
    </row>
    <row r="6" spans="2:6" x14ac:dyDescent="0.2">
      <c r="B6" s="103">
        <v>1</v>
      </c>
      <c r="C6" s="20" t="s">
        <v>127</v>
      </c>
      <c r="D6" s="20" t="s">
        <v>128</v>
      </c>
      <c r="E6" s="20" t="s">
        <v>208</v>
      </c>
      <c r="F6" s="20"/>
    </row>
    <row r="7" spans="2:6" x14ac:dyDescent="0.2">
      <c r="B7" s="103"/>
      <c r="C7" s="20"/>
      <c r="D7" s="20" t="s">
        <v>129</v>
      </c>
      <c r="E7" s="20"/>
      <c r="F7" s="20"/>
    </row>
    <row r="8" spans="2:6" x14ac:dyDescent="0.2">
      <c r="B8" s="103"/>
      <c r="C8" s="20"/>
      <c r="D8" s="20" t="s">
        <v>135</v>
      </c>
      <c r="E8" s="20"/>
      <c r="F8" s="20"/>
    </row>
    <row r="9" spans="2:6" x14ac:dyDescent="0.2">
      <c r="B9" s="103"/>
      <c r="C9" s="20"/>
      <c r="D9" s="20"/>
      <c r="E9" s="20"/>
      <c r="F9" s="20"/>
    </row>
    <row r="10" spans="2:6" x14ac:dyDescent="0.2">
      <c r="B10" s="103">
        <v>2</v>
      </c>
      <c r="C10" s="20" t="s">
        <v>209</v>
      </c>
      <c r="D10" s="20" t="s">
        <v>130</v>
      </c>
      <c r="E10" s="20" t="s">
        <v>132</v>
      </c>
      <c r="F10" s="20" t="s">
        <v>133</v>
      </c>
    </row>
    <row r="11" spans="2:6" x14ac:dyDescent="0.2">
      <c r="B11" s="103"/>
      <c r="C11" s="20"/>
      <c r="D11" s="20" t="s">
        <v>131</v>
      </c>
      <c r="E11" s="20"/>
      <c r="F11" s="20"/>
    </row>
    <row r="12" spans="2:6" x14ac:dyDescent="0.2">
      <c r="B12" s="103"/>
      <c r="C12" s="20"/>
      <c r="D12" s="20"/>
      <c r="E12" s="20"/>
      <c r="F12" s="20"/>
    </row>
    <row r="13" spans="2:6" x14ac:dyDescent="0.2">
      <c r="B13" s="103">
        <v>3</v>
      </c>
      <c r="C13" s="20" t="s">
        <v>134</v>
      </c>
      <c r="D13" s="20" t="s">
        <v>137</v>
      </c>
      <c r="E13" s="20" t="s">
        <v>138</v>
      </c>
      <c r="F13" s="20"/>
    </row>
    <row r="14" spans="2:6" x14ac:dyDescent="0.2">
      <c r="B14" s="103"/>
      <c r="C14" s="20"/>
      <c r="D14" s="20" t="s">
        <v>136</v>
      </c>
      <c r="E14" s="20" t="s">
        <v>139</v>
      </c>
      <c r="F14" s="20"/>
    </row>
    <row r="15" spans="2:6" x14ac:dyDescent="0.2">
      <c r="B15" s="103"/>
      <c r="C15" s="20"/>
      <c r="D15" s="20"/>
      <c r="E15" s="20" t="s">
        <v>140</v>
      </c>
      <c r="F15" s="20"/>
    </row>
    <row r="16" spans="2:6" x14ac:dyDescent="0.2">
      <c r="B16" s="103"/>
      <c r="C16" s="20"/>
      <c r="D16" s="20"/>
      <c r="E16" s="20"/>
      <c r="F16" s="20"/>
    </row>
    <row r="17" spans="2:6" x14ac:dyDescent="0.2">
      <c r="B17" s="103">
        <v>4</v>
      </c>
      <c r="C17" s="20" t="s">
        <v>141</v>
      </c>
      <c r="D17" s="20" t="s">
        <v>142</v>
      </c>
      <c r="E17" s="20"/>
      <c r="F17" s="20"/>
    </row>
    <row r="18" spans="2:6" x14ac:dyDescent="0.2">
      <c r="B18" s="103"/>
      <c r="C18" s="20"/>
      <c r="D18" s="20" t="s">
        <v>143</v>
      </c>
      <c r="E18" s="20"/>
      <c r="F18" s="20"/>
    </row>
    <row r="19" spans="2:6" x14ac:dyDescent="0.2">
      <c r="B19" s="103"/>
      <c r="C19" s="20"/>
      <c r="D19" s="20" t="s">
        <v>144</v>
      </c>
      <c r="E19" s="20"/>
      <c r="F19" s="20"/>
    </row>
    <row r="20" spans="2:6" x14ac:dyDescent="0.2">
      <c r="B20" s="103"/>
      <c r="C20" s="20"/>
      <c r="D20" s="20" t="s">
        <v>145</v>
      </c>
      <c r="E20" s="20"/>
      <c r="F20" s="20"/>
    </row>
    <row r="21" spans="2:6" x14ac:dyDescent="0.2">
      <c r="B21" s="103"/>
      <c r="C21" s="20"/>
      <c r="D21" s="20"/>
      <c r="E21" s="20"/>
      <c r="F21" s="20"/>
    </row>
    <row r="22" spans="2:6" x14ac:dyDescent="0.2">
      <c r="B22" s="103">
        <v>5</v>
      </c>
      <c r="C22" s="20" t="s">
        <v>146</v>
      </c>
      <c r="D22" s="20" t="s">
        <v>147</v>
      </c>
      <c r="E22" s="20"/>
      <c r="F22" s="20"/>
    </row>
    <row r="23" spans="2:6" x14ac:dyDescent="0.2">
      <c r="B23" s="103"/>
      <c r="C23" s="20"/>
      <c r="D23" s="20" t="s">
        <v>148</v>
      </c>
      <c r="E23" s="20"/>
      <c r="F23" s="20"/>
    </row>
    <row r="24" spans="2:6" ht="25.5" x14ac:dyDescent="0.2">
      <c r="B24" s="103"/>
      <c r="C24" s="20"/>
      <c r="D24" s="20" t="s">
        <v>149</v>
      </c>
      <c r="E24" s="106" t="s">
        <v>150</v>
      </c>
      <c r="F24" s="20"/>
    </row>
    <row r="25" spans="2:6" x14ac:dyDescent="0.2">
      <c r="B25" s="103"/>
      <c r="C25" s="20"/>
      <c r="D25" s="20"/>
      <c r="E25" s="20"/>
      <c r="F25" s="20"/>
    </row>
    <row r="26" spans="2:6" x14ac:dyDescent="0.2">
      <c r="B26" s="103"/>
      <c r="C26" s="20"/>
      <c r="D26" s="20"/>
      <c r="E26" s="20"/>
      <c r="F26" s="20"/>
    </row>
    <row r="27" spans="2:6" x14ac:dyDescent="0.2">
      <c r="B27" s="103"/>
      <c r="C27" s="108" t="s">
        <v>88</v>
      </c>
      <c r="D27" s="20"/>
      <c r="E27" s="20"/>
      <c r="F27" s="20"/>
    </row>
    <row r="28" spans="2:6" x14ac:dyDescent="0.2">
      <c r="B28" s="103">
        <v>1</v>
      </c>
      <c r="C28" s="20" t="s">
        <v>89</v>
      </c>
      <c r="D28" s="20" t="s">
        <v>91</v>
      </c>
      <c r="E28" s="20" t="s">
        <v>93</v>
      </c>
      <c r="F28" s="20" t="s">
        <v>97</v>
      </c>
    </row>
    <row r="29" spans="2:6" x14ac:dyDescent="0.2">
      <c r="B29" s="103"/>
      <c r="C29" s="20"/>
      <c r="D29" s="20" t="s">
        <v>92</v>
      </c>
      <c r="E29" s="20" t="s">
        <v>94</v>
      </c>
      <c r="F29" s="20"/>
    </row>
    <row r="30" spans="2:6" x14ac:dyDescent="0.2">
      <c r="B30" s="103"/>
      <c r="C30" s="20"/>
      <c r="D30" s="20"/>
      <c r="E30" s="20"/>
      <c r="F30" s="20"/>
    </row>
    <row r="31" spans="2:6" x14ac:dyDescent="0.2">
      <c r="B31" s="103">
        <v>2</v>
      </c>
      <c r="C31" s="20" t="s">
        <v>98</v>
      </c>
      <c r="D31" s="20" t="s">
        <v>99</v>
      </c>
      <c r="E31" s="20"/>
      <c r="F31" s="20"/>
    </row>
    <row r="32" spans="2:6" x14ac:dyDescent="0.2">
      <c r="B32" s="103"/>
      <c r="C32" s="20"/>
      <c r="D32" s="20" t="s">
        <v>25</v>
      </c>
      <c r="E32" s="20"/>
      <c r="F32" s="20"/>
    </row>
    <row r="33" spans="2:6" x14ac:dyDescent="0.2">
      <c r="B33" s="103"/>
      <c r="C33" s="20"/>
      <c r="D33" s="20" t="s">
        <v>100</v>
      </c>
      <c r="E33" s="20"/>
      <c r="F33" s="20"/>
    </row>
    <row r="34" spans="2:6" x14ac:dyDescent="0.2">
      <c r="B34" s="103"/>
      <c r="C34" s="20"/>
      <c r="D34" s="20"/>
      <c r="E34" s="20"/>
      <c r="F34" s="20"/>
    </row>
    <row r="35" spans="2:6" x14ac:dyDescent="0.2">
      <c r="B35" s="103">
        <v>3</v>
      </c>
      <c r="C35" s="20" t="s">
        <v>101</v>
      </c>
      <c r="D35" s="20" t="s">
        <v>25</v>
      </c>
      <c r="E35" s="20"/>
      <c r="F35" s="20"/>
    </row>
    <row r="36" spans="2:6" x14ac:dyDescent="0.2">
      <c r="B36" s="103"/>
      <c r="C36" s="20"/>
      <c r="D36" s="20" t="s">
        <v>102</v>
      </c>
      <c r="E36" s="20"/>
      <c r="F36" s="20"/>
    </row>
    <row r="37" spans="2:6" x14ac:dyDescent="0.2">
      <c r="B37" s="103"/>
      <c r="C37" s="20"/>
      <c r="D37" s="20" t="s">
        <v>103</v>
      </c>
      <c r="E37" s="20"/>
      <c r="F37" s="20"/>
    </row>
    <row r="38" spans="2:6" x14ac:dyDescent="0.2">
      <c r="B38" s="103"/>
      <c r="C38" s="20"/>
      <c r="D38" s="20" t="s">
        <v>104</v>
      </c>
      <c r="E38" s="20"/>
      <c r="F38" s="20"/>
    </row>
    <row r="39" spans="2:6" x14ac:dyDescent="0.2">
      <c r="B39" s="103"/>
      <c r="C39" s="20"/>
      <c r="D39" s="20"/>
      <c r="E39" s="20"/>
      <c r="F39" s="20"/>
    </row>
    <row r="40" spans="2:6" x14ac:dyDescent="0.2">
      <c r="B40" s="103">
        <v>4</v>
      </c>
      <c r="C40" s="20" t="s">
        <v>109</v>
      </c>
      <c r="D40" s="20" t="s">
        <v>105</v>
      </c>
      <c r="E40" s="20" t="s">
        <v>107</v>
      </c>
      <c r="F40" s="20" t="s">
        <v>108</v>
      </c>
    </row>
    <row r="41" spans="2:6" x14ac:dyDescent="0.2">
      <c r="B41" s="103"/>
      <c r="C41" s="20"/>
      <c r="D41" s="20" t="s">
        <v>106</v>
      </c>
      <c r="E41" s="20"/>
      <c r="F41" s="20"/>
    </row>
    <row r="42" spans="2:6" x14ac:dyDescent="0.2">
      <c r="B42" s="103"/>
      <c r="C42" s="20"/>
      <c r="D42" s="20" t="s">
        <v>110</v>
      </c>
      <c r="E42" s="20" t="s">
        <v>111</v>
      </c>
      <c r="F42" s="20" t="s">
        <v>108</v>
      </c>
    </row>
    <row r="43" spans="2:6" x14ac:dyDescent="0.2">
      <c r="B43" s="103"/>
      <c r="C43" s="20"/>
      <c r="D43" s="20"/>
      <c r="E43" s="106" t="s">
        <v>125</v>
      </c>
      <c r="F43" s="20"/>
    </row>
    <row r="44" spans="2:6" x14ac:dyDescent="0.2">
      <c r="B44" s="103"/>
      <c r="C44" s="20"/>
      <c r="D44" s="20"/>
      <c r="E44" s="20"/>
      <c r="F44" s="20"/>
    </row>
    <row r="45" spans="2:6" ht="25.5" x14ac:dyDescent="0.2">
      <c r="B45" s="103">
        <v>5</v>
      </c>
      <c r="C45" s="20" t="s">
        <v>112</v>
      </c>
      <c r="D45" s="20" t="s">
        <v>114</v>
      </c>
      <c r="E45" s="106" t="s">
        <v>117</v>
      </c>
      <c r="F45" s="20" t="s">
        <v>118</v>
      </c>
    </row>
    <row r="46" spans="2:6" x14ac:dyDescent="0.2">
      <c r="B46" s="103"/>
      <c r="C46" s="20" t="s">
        <v>113</v>
      </c>
      <c r="D46" s="20" t="s">
        <v>115</v>
      </c>
      <c r="E46" s="20"/>
      <c r="F46" s="20"/>
    </row>
    <row r="47" spans="2:6" x14ac:dyDescent="0.2">
      <c r="B47" s="103"/>
      <c r="C47" s="20"/>
      <c r="D47" s="20" t="s">
        <v>116</v>
      </c>
      <c r="E47" s="20"/>
      <c r="F47" s="20"/>
    </row>
    <row r="48" spans="2:6" x14ac:dyDescent="0.2">
      <c r="B48" s="103"/>
      <c r="C48" s="20"/>
      <c r="D48" s="20"/>
      <c r="E48" s="20"/>
      <c r="F48" s="20"/>
    </row>
    <row r="49" spans="2:6" x14ac:dyDescent="0.2">
      <c r="B49" s="103">
        <v>6</v>
      </c>
      <c r="C49" s="20" t="s">
        <v>119</v>
      </c>
      <c r="D49" s="20" t="s">
        <v>120</v>
      </c>
      <c r="E49" s="20"/>
      <c r="F49" s="20"/>
    </row>
    <row r="50" spans="2:6" x14ac:dyDescent="0.2">
      <c r="B50" s="103"/>
      <c r="C50" s="20"/>
      <c r="D50" s="20" t="s">
        <v>121</v>
      </c>
      <c r="E50" s="20"/>
      <c r="F50" s="20"/>
    </row>
    <row r="51" spans="2:6" x14ac:dyDescent="0.2">
      <c r="B51" s="103"/>
      <c r="C51" s="20"/>
      <c r="D51" s="20"/>
      <c r="E51" s="20"/>
      <c r="F51" s="20"/>
    </row>
    <row r="52" spans="2:6" x14ac:dyDescent="0.2">
      <c r="B52" s="103">
        <v>7</v>
      </c>
      <c r="C52" s="20" t="s">
        <v>122</v>
      </c>
      <c r="D52" s="20" t="s">
        <v>124</v>
      </c>
      <c r="E52" s="20"/>
      <c r="F52" s="20"/>
    </row>
    <row r="53" spans="2:6" ht="25.5" x14ac:dyDescent="0.2">
      <c r="B53" s="103"/>
      <c r="C53" s="20"/>
      <c r="D53" s="106" t="s">
        <v>123</v>
      </c>
      <c r="E53" s="20"/>
      <c r="F53" s="20"/>
    </row>
    <row r="54" spans="2:6" x14ac:dyDescent="0.2">
      <c r="B54" s="103"/>
      <c r="C54" s="20"/>
      <c r="D54" s="20"/>
      <c r="E54" s="20"/>
      <c r="F54" s="20"/>
    </row>
    <row r="55" spans="2:6" x14ac:dyDescent="0.2">
      <c r="B55" s="103"/>
      <c r="C55" s="20"/>
      <c r="D55" s="20"/>
      <c r="E55" s="20"/>
      <c r="F55" s="20"/>
    </row>
    <row r="56" spans="2:6" x14ac:dyDescent="0.2">
      <c r="B56" s="103"/>
      <c r="C56" s="108" t="s">
        <v>151</v>
      </c>
      <c r="D56" s="20"/>
      <c r="E56" s="20"/>
      <c r="F56" s="20"/>
    </row>
    <row r="57" spans="2:6" x14ac:dyDescent="0.2">
      <c r="B57" s="103">
        <v>1</v>
      </c>
      <c r="C57" s="20" t="s">
        <v>152</v>
      </c>
      <c r="D57" s="20" t="s">
        <v>153</v>
      </c>
      <c r="E57" s="20"/>
      <c r="F57" s="20"/>
    </row>
    <row r="58" spans="2:6" x14ac:dyDescent="0.2">
      <c r="B58" s="103"/>
      <c r="C58" s="20"/>
      <c r="D58" s="20" t="s">
        <v>154</v>
      </c>
      <c r="E58" s="20"/>
      <c r="F58" s="20"/>
    </row>
    <row r="59" spans="2:6" x14ac:dyDescent="0.2">
      <c r="B59" s="103"/>
      <c r="C59" s="20"/>
      <c r="D59" s="20" t="s">
        <v>155</v>
      </c>
      <c r="E59" s="20"/>
      <c r="F59" s="20"/>
    </row>
    <row r="60" spans="2:6" x14ac:dyDescent="0.2">
      <c r="B60" s="103"/>
      <c r="C60" s="20"/>
      <c r="D60" s="20"/>
      <c r="E60" s="20"/>
      <c r="F60" s="20"/>
    </row>
    <row r="61" spans="2:6" x14ac:dyDescent="0.2">
      <c r="B61" s="103">
        <v>2</v>
      </c>
      <c r="C61" s="20" t="s">
        <v>156</v>
      </c>
      <c r="D61" s="20" t="s">
        <v>157</v>
      </c>
      <c r="E61" s="20"/>
      <c r="F61" s="20"/>
    </row>
    <row r="62" spans="2:6" x14ac:dyDescent="0.2">
      <c r="B62" s="103"/>
      <c r="C62" s="20"/>
      <c r="D62" s="20"/>
      <c r="E62" s="20"/>
      <c r="F62" s="20"/>
    </row>
    <row r="63" spans="2:6" x14ac:dyDescent="0.2">
      <c r="B63" s="103">
        <v>3</v>
      </c>
      <c r="C63" s="20" t="s">
        <v>158</v>
      </c>
      <c r="D63" s="20" t="s">
        <v>159</v>
      </c>
      <c r="E63" s="20"/>
      <c r="F63" s="20"/>
    </row>
    <row r="64" spans="2:6" x14ac:dyDescent="0.2">
      <c r="B64" s="103"/>
      <c r="C64" s="20"/>
      <c r="D64" s="20"/>
      <c r="E64" s="20"/>
      <c r="F64" s="20"/>
    </row>
    <row r="65" spans="2:6" ht="25.5" x14ac:dyDescent="0.2">
      <c r="B65" s="103">
        <v>4</v>
      </c>
      <c r="C65" s="20" t="s">
        <v>160</v>
      </c>
      <c r="D65" s="20" t="s">
        <v>161</v>
      </c>
      <c r="E65" s="106" t="s">
        <v>166</v>
      </c>
      <c r="F65" s="20" t="s">
        <v>167</v>
      </c>
    </row>
    <row r="66" spans="2:6" x14ac:dyDescent="0.2">
      <c r="B66" s="103"/>
      <c r="C66" s="20"/>
      <c r="D66" s="20" t="s">
        <v>162</v>
      </c>
      <c r="E66" s="20" t="s">
        <v>168</v>
      </c>
      <c r="F66" s="20"/>
    </row>
    <row r="67" spans="2:6" x14ac:dyDescent="0.2">
      <c r="B67" s="103"/>
      <c r="C67" s="20"/>
      <c r="D67" s="20" t="s">
        <v>163</v>
      </c>
      <c r="E67" s="20"/>
      <c r="F67" s="20"/>
    </row>
    <row r="68" spans="2:6" x14ac:dyDescent="0.2">
      <c r="B68" s="103"/>
      <c r="C68" s="20"/>
      <c r="D68" s="20" t="s">
        <v>164</v>
      </c>
      <c r="E68" s="20"/>
      <c r="F68" s="20"/>
    </row>
    <row r="69" spans="2:6" x14ac:dyDescent="0.2">
      <c r="B69" s="103"/>
      <c r="C69" s="20"/>
      <c r="D69" s="20" t="s">
        <v>165</v>
      </c>
      <c r="E69" s="20"/>
      <c r="F69" s="20"/>
    </row>
    <row r="70" spans="2:6" x14ac:dyDescent="0.2">
      <c r="B70" s="103"/>
      <c r="C70" s="20"/>
      <c r="D70" s="20"/>
      <c r="E70" s="20"/>
      <c r="F70" s="20"/>
    </row>
    <row r="71" spans="2:6" x14ac:dyDescent="0.2">
      <c r="B71" s="103">
        <v>5</v>
      </c>
      <c r="C71" s="20" t="s">
        <v>169</v>
      </c>
      <c r="D71" s="20" t="s">
        <v>170</v>
      </c>
      <c r="E71" s="20"/>
      <c r="F71" s="20"/>
    </row>
    <row r="72" spans="2:6" x14ac:dyDescent="0.2">
      <c r="B72" s="103"/>
      <c r="C72" s="20"/>
      <c r="D72" s="20" t="s">
        <v>171</v>
      </c>
      <c r="E72" s="20"/>
      <c r="F72" s="20"/>
    </row>
    <row r="73" spans="2:6" x14ac:dyDescent="0.2">
      <c r="B73" s="103"/>
      <c r="C73" s="20"/>
      <c r="D73" s="20" t="s">
        <v>172</v>
      </c>
      <c r="E73" s="20" t="s">
        <v>173</v>
      </c>
      <c r="F73" s="20" t="s">
        <v>174</v>
      </c>
    </row>
    <row r="74" spans="2:6" x14ac:dyDescent="0.2">
      <c r="B74" s="103"/>
      <c r="C74" s="20"/>
      <c r="D74" s="20" t="s">
        <v>175</v>
      </c>
      <c r="E74" s="20"/>
      <c r="F74" s="20"/>
    </row>
    <row r="75" spans="2:6" x14ac:dyDescent="0.2">
      <c r="B75" s="103"/>
      <c r="C75" s="20"/>
      <c r="D75" s="20"/>
      <c r="E75" s="20"/>
      <c r="F75" s="20"/>
    </row>
    <row r="76" spans="2:6" x14ac:dyDescent="0.2">
      <c r="B76" s="103">
        <v>6</v>
      </c>
      <c r="C76" s="20" t="s">
        <v>176</v>
      </c>
      <c r="D76" s="20" t="s">
        <v>177</v>
      </c>
      <c r="E76" s="20"/>
      <c r="F76" s="20"/>
    </row>
    <row r="77" spans="2:6" x14ac:dyDescent="0.2">
      <c r="B77" s="103"/>
      <c r="C77" s="20"/>
      <c r="D77" s="20" t="s">
        <v>178</v>
      </c>
      <c r="E77" s="20"/>
      <c r="F77" s="20"/>
    </row>
    <row r="78" spans="2:6" x14ac:dyDescent="0.2">
      <c r="B78" s="103"/>
      <c r="C78" s="20"/>
      <c r="D78" s="20"/>
      <c r="E78" s="20"/>
      <c r="F78" s="20"/>
    </row>
    <row r="79" spans="2:6" x14ac:dyDescent="0.2">
      <c r="B79" s="103">
        <v>7</v>
      </c>
      <c r="C79" s="20" t="s">
        <v>179</v>
      </c>
      <c r="D79" s="20" t="s">
        <v>180</v>
      </c>
      <c r="E79" s="20"/>
      <c r="F79" s="20"/>
    </row>
    <row r="80" spans="2:6" x14ac:dyDescent="0.2">
      <c r="B80" s="103"/>
      <c r="C80" s="20"/>
      <c r="D80" s="20" t="s">
        <v>181</v>
      </c>
      <c r="E80" s="20"/>
      <c r="F80" s="20"/>
    </row>
    <row r="81" spans="2:6" x14ac:dyDescent="0.2">
      <c r="B81" s="103"/>
      <c r="C81" s="20"/>
      <c r="D81" s="20"/>
      <c r="E81" s="20"/>
      <c r="F81" s="20"/>
    </row>
    <row r="82" spans="2:6" x14ac:dyDescent="0.2">
      <c r="B82" s="103">
        <v>8</v>
      </c>
      <c r="C82" s="20" t="s">
        <v>182</v>
      </c>
      <c r="D82" s="20" t="s">
        <v>183</v>
      </c>
      <c r="E82" s="20" t="s">
        <v>185</v>
      </c>
      <c r="F82" s="20"/>
    </row>
    <row r="83" spans="2:6" x14ac:dyDescent="0.2">
      <c r="B83" s="103"/>
      <c r="C83" s="20"/>
      <c r="D83" s="20" t="s">
        <v>184</v>
      </c>
      <c r="E83" s="20" t="s">
        <v>186</v>
      </c>
      <c r="F83" s="20"/>
    </row>
    <row r="84" spans="2:6" x14ac:dyDescent="0.2">
      <c r="B84" s="103"/>
      <c r="C84" s="20"/>
      <c r="D84" s="20"/>
      <c r="E84" s="20"/>
      <c r="F84" s="20"/>
    </row>
    <row r="85" spans="2:6" x14ac:dyDescent="0.2">
      <c r="B85" s="103">
        <v>9</v>
      </c>
      <c r="C85" s="20" t="s">
        <v>187</v>
      </c>
      <c r="D85" s="20" t="s">
        <v>188</v>
      </c>
      <c r="E85" s="23"/>
      <c r="F85" s="20"/>
    </row>
    <row r="86" spans="2:6" x14ac:dyDescent="0.2">
      <c r="B86" s="103"/>
      <c r="C86" s="20"/>
      <c r="D86" s="20" t="s">
        <v>189</v>
      </c>
      <c r="E86" s="20"/>
      <c r="F86" s="20"/>
    </row>
    <row r="87" spans="2:6" x14ac:dyDescent="0.2">
      <c r="B87" s="103"/>
      <c r="C87" s="20"/>
      <c r="D87" s="20" t="s">
        <v>190</v>
      </c>
      <c r="E87" s="20"/>
      <c r="F87" s="20"/>
    </row>
    <row r="88" spans="2:6" ht="25.5" x14ac:dyDescent="0.2">
      <c r="B88" s="103"/>
      <c r="C88" s="20"/>
      <c r="D88" s="109" t="s">
        <v>210</v>
      </c>
      <c r="E88" s="23" t="s">
        <v>211</v>
      </c>
      <c r="F88" s="20"/>
    </row>
    <row r="89" spans="2:6" x14ac:dyDescent="0.2">
      <c r="B89" s="103"/>
      <c r="C89" s="20"/>
      <c r="D89" s="20" t="s">
        <v>191</v>
      </c>
      <c r="E89" s="20"/>
      <c r="F89" s="20"/>
    </row>
    <row r="90" spans="2:6" x14ac:dyDescent="0.2">
      <c r="B90" s="103"/>
      <c r="C90" s="20"/>
      <c r="D90" s="20"/>
      <c r="E90" s="20"/>
      <c r="F90" s="20"/>
    </row>
    <row r="91" spans="2:6" x14ac:dyDescent="0.2">
      <c r="B91" s="103">
        <v>10</v>
      </c>
      <c r="C91" s="20" t="s">
        <v>110</v>
      </c>
      <c r="D91" s="20" t="s">
        <v>192</v>
      </c>
      <c r="E91" s="20"/>
      <c r="F91" s="20"/>
    </row>
    <row r="92" spans="2:6" x14ac:dyDescent="0.2">
      <c r="B92" s="103"/>
      <c r="C92" s="20"/>
      <c r="D92" s="20"/>
      <c r="E92" s="20"/>
      <c r="F92" s="20"/>
    </row>
    <row r="93" spans="2:6" x14ac:dyDescent="0.2">
      <c r="B93" s="103">
        <v>11</v>
      </c>
      <c r="C93" s="20" t="s">
        <v>193</v>
      </c>
      <c r="D93" s="20" t="s">
        <v>194</v>
      </c>
      <c r="E93" s="20"/>
      <c r="F93" s="20"/>
    </row>
    <row r="94" spans="2:6" x14ac:dyDescent="0.2">
      <c r="B94" s="103"/>
      <c r="C94" s="20"/>
      <c r="D94" s="20"/>
      <c r="E94" s="20"/>
      <c r="F94" s="20"/>
    </row>
    <row r="95" spans="2:6" x14ac:dyDescent="0.2">
      <c r="B95" s="103">
        <v>12</v>
      </c>
      <c r="C95" s="20" t="s">
        <v>195</v>
      </c>
      <c r="D95" s="20" t="s">
        <v>77</v>
      </c>
      <c r="E95" s="20" t="s">
        <v>206</v>
      </c>
      <c r="F95" s="20"/>
    </row>
    <row r="96" spans="2:6" x14ac:dyDescent="0.2">
      <c r="B96" s="103"/>
      <c r="C96" s="20"/>
      <c r="D96" s="20" t="s">
        <v>204</v>
      </c>
      <c r="E96" s="20" t="s">
        <v>207</v>
      </c>
      <c r="F96" s="20"/>
    </row>
    <row r="97" spans="2:6" x14ac:dyDescent="0.2">
      <c r="B97" s="103"/>
      <c r="C97" s="20"/>
      <c r="D97" s="20"/>
      <c r="E97" s="20" t="s">
        <v>205</v>
      </c>
      <c r="F97" s="20"/>
    </row>
    <row r="98" spans="2:6" x14ac:dyDescent="0.2">
      <c r="B98" s="103"/>
      <c r="C98" s="20"/>
      <c r="D98" s="20"/>
      <c r="E98" s="20"/>
      <c r="F98" s="20"/>
    </row>
    <row r="99" spans="2:6" x14ac:dyDescent="0.2">
      <c r="B99" s="103">
        <v>13</v>
      </c>
      <c r="C99" s="20" t="s">
        <v>196</v>
      </c>
      <c r="D99" s="20" t="s">
        <v>197</v>
      </c>
      <c r="E99" s="20"/>
      <c r="F99" s="20"/>
    </row>
    <row r="100" spans="2:6" x14ac:dyDescent="0.2">
      <c r="B100" s="103"/>
      <c r="C100" s="20"/>
      <c r="D100" s="20" t="s">
        <v>198</v>
      </c>
      <c r="E100" s="20"/>
      <c r="F100" s="20"/>
    </row>
    <row r="101" spans="2:6" x14ac:dyDescent="0.2">
      <c r="B101" s="103"/>
      <c r="C101" s="20"/>
      <c r="D101" s="20" t="s">
        <v>199</v>
      </c>
      <c r="E101" s="20"/>
      <c r="F101" s="20"/>
    </row>
    <row r="102" spans="2:6" x14ac:dyDescent="0.2">
      <c r="B102" s="103"/>
      <c r="C102" s="20"/>
      <c r="D102" s="20"/>
      <c r="E102" s="20"/>
      <c r="F102" s="20"/>
    </row>
    <row r="103" spans="2:6" x14ac:dyDescent="0.2">
      <c r="B103" s="103">
        <v>14</v>
      </c>
      <c r="C103" s="20" t="s">
        <v>200</v>
      </c>
      <c r="D103" s="20" t="s">
        <v>201</v>
      </c>
      <c r="E103" s="20" t="s">
        <v>203</v>
      </c>
      <c r="F103" s="20"/>
    </row>
    <row r="104" spans="2:6" x14ac:dyDescent="0.2">
      <c r="B104" s="103"/>
      <c r="C104" s="20"/>
      <c r="D104" s="20" t="s">
        <v>202</v>
      </c>
      <c r="E104" s="20"/>
      <c r="F104" s="20"/>
    </row>
    <row r="105" spans="2:6" x14ac:dyDescent="0.2">
      <c r="B105" s="103"/>
      <c r="C105" s="20"/>
      <c r="D105" s="20"/>
      <c r="E105" s="20"/>
      <c r="F105" s="20"/>
    </row>
    <row r="106" spans="2:6" x14ac:dyDescent="0.2">
      <c r="B106" s="103"/>
      <c r="C106" s="20"/>
      <c r="D106" s="20"/>
      <c r="E106" s="20"/>
      <c r="F106" s="20"/>
    </row>
    <row r="107" spans="2:6" x14ac:dyDescent="0.2">
      <c r="B107" s="103"/>
      <c r="C107" s="20"/>
      <c r="D107" s="20"/>
      <c r="E107" s="20"/>
      <c r="F107" s="20"/>
    </row>
    <row r="108" spans="2:6" x14ac:dyDescent="0.2">
      <c r="B108" s="103"/>
      <c r="C108" s="20"/>
      <c r="D108" s="20"/>
      <c r="E108" s="20"/>
      <c r="F108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64"/>
  <sheetViews>
    <sheetView zoomScale="80" zoomScaleNormal="80" workbookViewId="0">
      <selection activeCell="C9" sqref="C9"/>
    </sheetView>
  </sheetViews>
  <sheetFormatPr defaultRowHeight="12.75" x14ac:dyDescent="0.2"/>
  <cols>
    <col min="1" max="1" width="9.140625" style="104"/>
    <col min="2" max="2" width="59.42578125" style="104" bestFit="1" customWidth="1"/>
    <col min="3" max="3" width="12.28515625" style="104" bestFit="1" customWidth="1"/>
    <col min="4" max="4" width="40" style="104" bestFit="1" customWidth="1"/>
    <col min="5" max="16384" width="9.140625" style="104"/>
  </cols>
  <sheetData>
    <row r="2" spans="2:7" ht="18" x14ac:dyDescent="0.25">
      <c r="B2" s="125" t="s">
        <v>280</v>
      </c>
    </row>
    <row r="3" spans="2:7" x14ac:dyDescent="0.2">
      <c r="B3" s="20"/>
      <c r="C3" s="20"/>
      <c r="D3" s="20"/>
      <c r="E3" s="20"/>
      <c r="F3" s="20"/>
      <c r="G3" s="20"/>
    </row>
    <row r="4" spans="2:7" x14ac:dyDescent="0.2">
      <c r="B4" s="20" t="s">
        <v>114</v>
      </c>
      <c r="C4" s="113">
        <v>5</v>
      </c>
      <c r="D4" s="20"/>
      <c r="E4" s="20"/>
      <c r="F4" s="20"/>
      <c r="G4" s="20"/>
    </row>
    <row r="5" spans="2:7" x14ac:dyDescent="0.2">
      <c r="B5" s="20"/>
      <c r="C5" s="20"/>
      <c r="D5" s="20"/>
      <c r="E5" s="20"/>
      <c r="F5" s="20"/>
      <c r="G5" s="20"/>
    </row>
    <row r="6" spans="2:7" x14ac:dyDescent="0.2">
      <c r="B6" s="108" t="s">
        <v>98</v>
      </c>
      <c r="C6" s="20"/>
      <c r="D6" s="20"/>
      <c r="E6" s="20"/>
      <c r="F6" s="20"/>
      <c r="G6" s="20"/>
    </row>
    <row r="7" spans="2:7" x14ac:dyDescent="0.2">
      <c r="B7" s="20" t="s">
        <v>99</v>
      </c>
      <c r="C7" s="130">
        <v>14</v>
      </c>
      <c r="D7" s="20"/>
      <c r="E7" s="20"/>
      <c r="F7" s="20"/>
      <c r="G7" s="20"/>
    </row>
    <row r="8" spans="2:7" x14ac:dyDescent="0.2">
      <c r="B8" s="20" t="s">
        <v>25</v>
      </c>
      <c r="C8" s="130">
        <v>5</v>
      </c>
      <c r="D8" s="20"/>
      <c r="E8" s="20"/>
      <c r="F8" s="20"/>
      <c r="G8" s="20"/>
    </row>
    <row r="9" spans="2:7" x14ac:dyDescent="0.2">
      <c r="B9" s="20" t="s">
        <v>320</v>
      </c>
      <c r="C9" s="152">
        <f>C8/C7</f>
        <v>0.35714285714285715</v>
      </c>
      <c r="D9" s="20"/>
      <c r="E9" s="20"/>
      <c r="F9" s="20"/>
      <c r="G9" s="20"/>
    </row>
    <row r="10" spans="2:7" x14ac:dyDescent="0.2">
      <c r="B10" s="20" t="s">
        <v>100</v>
      </c>
      <c r="C10" s="110">
        <f>C7/C8</f>
        <v>2.8</v>
      </c>
      <c r="D10" s="20" t="s">
        <v>269</v>
      </c>
      <c r="E10" s="20"/>
      <c r="F10" s="20"/>
      <c r="G10" s="20"/>
    </row>
    <row r="11" spans="2:7" x14ac:dyDescent="0.2">
      <c r="B11" s="20"/>
      <c r="C11" s="20"/>
      <c r="D11" s="20"/>
      <c r="E11" s="20"/>
      <c r="F11" s="20"/>
      <c r="G11" s="20"/>
    </row>
    <row r="12" spans="2:7" x14ac:dyDescent="0.2">
      <c r="B12" s="108" t="s">
        <v>101</v>
      </c>
      <c r="C12" s="20"/>
      <c r="D12" s="20"/>
      <c r="E12" s="20"/>
      <c r="F12" s="20"/>
      <c r="G12" s="20"/>
    </row>
    <row r="13" spans="2:7" x14ac:dyDescent="0.2">
      <c r="B13" s="20" t="s">
        <v>25</v>
      </c>
      <c r="C13" s="130">
        <v>-2.66</v>
      </c>
      <c r="D13" s="20"/>
      <c r="E13" s="20"/>
      <c r="F13" s="20"/>
      <c r="G13" s="20"/>
    </row>
    <row r="14" spans="2:7" x14ac:dyDescent="0.2">
      <c r="B14" s="20" t="s">
        <v>102</v>
      </c>
      <c r="C14" s="130">
        <v>28</v>
      </c>
      <c r="D14" s="20"/>
      <c r="E14" s="20"/>
      <c r="F14" s="20"/>
      <c r="G14" s="20"/>
    </row>
    <row r="15" spans="2:7" x14ac:dyDescent="0.2">
      <c r="B15" s="20" t="s">
        <v>103</v>
      </c>
      <c r="C15" s="130">
        <v>1000</v>
      </c>
      <c r="D15" s="20"/>
      <c r="E15" s="20"/>
      <c r="F15" s="20"/>
      <c r="G15" s="20"/>
    </row>
    <row r="16" spans="2:7" x14ac:dyDescent="0.2">
      <c r="B16" s="20" t="s">
        <v>104</v>
      </c>
      <c r="C16" s="20">
        <f>C15*C13</f>
        <v>-2660</v>
      </c>
      <c r="D16" s="20" t="s">
        <v>269</v>
      </c>
      <c r="E16" s="20"/>
      <c r="F16" s="20"/>
      <c r="G16" s="20"/>
    </row>
    <row r="17" spans="2:7" x14ac:dyDescent="0.2">
      <c r="B17" s="20"/>
      <c r="C17" s="20"/>
      <c r="D17" s="20"/>
      <c r="E17" s="20"/>
      <c r="F17" s="20"/>
      <c r="G17" s="20"/>
    </row>
    <row r="18" spans="2:7" x14ac:dyDescent="0.2">
      <c r="B18" s="108" t="s">
        <v>112</v>
      </c>
      <c r="C18" s="20"/>
      <c r="D18" s="20"/>
      <c r="E18" s="20"/>
      <c r="F18" s="20"/>
      <c r="G18" s="20"/>
    </row>
    <row r="19" spans="2:7" x14ac:dyDescent="0.2">
      <c r="B19" s="20" t="s">
        <v>114</v>
      </c>
      <c r="C19" s="130">
        <f>C4</f>
        <v>5</v>
      </c>
      <c r="D19" s="20"/>
      <c r="E19" s="20"/>
      <c r="F19" s="20"/>
      <c r="G19" s="20"/>
    </row>
    <row r="20" spans="2:7" x14ac:dyDescent="0.2">
      <c r="B20" s="20" t="s">
        <v>115</v>
      </c>
      <c r="C20" s="111">
        <v>0.08</v>
      </c>
      <c r="D20" s="20"/>
      <c r="E20" s="20"/>
      <c r="F20" s="20"/>
      <c r="G20" s="20"/>
    </row>
    <row r="21" spans="2:7" x14ac:dyDescent="0.2">
      <c r="B21" s="20" t="s">
        <v>116</v>
      </c>
      <c r="C21" s="112">
        <f>C19/C20</f>
        <v>62.5</v>
      </c>
      <c r="D21" s="20" t="s">
        <v>269</v>
      </c>
      <c r="E21" s="20"/>
      <c r="F21" s="20"/>
      <c r="G21" s="20"/>
    </row>
    <row r="22" spans="2:7" x14ac:dyDescent="0.2">
      <c r="B22" s="20"/>
      <c r="C22" s="20"/>
      <c r="D22" s="20"/>
      <c r="E22" s="20"/>
      <c r="F22" s="20"/>
      <c r="G22" s="20"/>
    </row>
    <row r="23" spans="2:7" x14ac:dyDescent="0.2">
      <c r="B23" s="108" t="s">
        <v>227</v>
      </c>
      <c r="C23" s="20"/>
      <c r="D23" s="20"/>
      <c r="E23" s="20"/>
      <c r="F23" s="20"/>
      <c r="G23" s="20"/>
    </row>
    <row r="24" spans="2:7" x14ac:dyDescent="0.2">
      <c r="B24" s="20" t="s">
        <v>99</v>
      </c>
      <c r="C24" s="130">
        <v>14</v>
      </c>
      <c r="D24" s="20"/>
      <c r="E24" s="20"/>
      <c r="F24" s="20"/>
      <c r="G24" s="20"/>
    </row>
    <row r="25" spans="2:7" x14ac:dyDescent="0.2">
      <c r="B25" s="20" t="s">
        <v>114</v>
      </c>
      <c r="C25" s="130">
        <v>-2.66</v>
      </c>
      <c r="D25" s="20"/>
      <c r="E25" s="20"/>
      <c r="F25" s="20"/>
      <c r="G25" s="20"/>
    </row>
    <row r="26" spans="2:7" x14ac:dyDescent="0.2">
      <c r="B26" s="20" t="s">
        <v>228</v>
      </c>
      <c r="C26" s="20">
        <f>C24/C25</f>
        <v>-5.2631578947368416</v>
      </c>
      <c r="D26" s="20"/>
      <c r="E26" s="20"/>
      <c r="F26" s="20"/>
      <c r="G26" s="20"/>
    </row>
    <row r="27" spans="2:7" x14ac:dyDescent="0.2">
      <c r="B27" s="20" t="s">
        <v>77</v>
      </c>
      <c r="C27" s="130">
        <v>15</v>
      </c>
      <c r="D27" s="20"/>
      <c r="E27" s="20"/>
      <c r="F27" s="20"/>
      <c r="G27" s="20"/>
    </row>
    <row r="28" spans="2:7" x14ac:dyDescent="0.2">
      <c r="B28" s="20" t="s">
        <v>229</v>
      </c>
      <c r="C28" s="131">
        <v>1</v>
      </c>
      <c r="D28" s="20"/>
      <c r="E28" s="20"/>
      <c r="F28" s="20"/>
      <c r="G28" s="20"/>
    </row>
    <row r="29" spans="2:7" x14ac:dyDescent="0.2">
      <c r="B29" s="20" t="s">
        <v>230</v>
      </c>
      <c r="C29" s="22">
        <v>139.13</v>
      </c>
      <c r="D29" s="20"/>
      <c r="E29" s="20"/>
      <c r="F29" s="20"/>
      <c r="G29" s="20"/>
    </row>
    <row r="30" spans="2:7" x14ac:dyDescent="0.2">
      <c r="B30" s="20" t="s">
        <v>231</v>
      </c>
      <c r="C30" s="132">
        <v>2.5499999999999998E-2</v>
      </c>
      <c r="D30" s="20"/>
      <c r="E30" s="20"/>
      <c r="F30" s="20"/>
      <c r="G30" s="20"/>
    </row>
    <row r="31" spans="2:7" x14ac:dyDescent="0.2">
      <c r="B31" s="20" t="s">
        <v>232</v>
      </c>
      <c r="C31" s="132">
        <v>3.1899999999999998E-2</v>
      </c>
      <c r="D31" s="20"/>
      <c r="E31" s="20"/>
      <c r="F31" s="20"/>
      <c r="G31" s="20"/>
    </row>
    <row r="32" spans="2:7" x14ac:dyDescent="0.2">
      <c r="B32" s="20" t="s">
        <v>233</v>
      </c>
      <c r="C32" s="132"/>
      <c r="D32" s="20"/>
      <c r="E32" s="20"/>
      <c r="F32" s="20"/>
      <c r="G32" s="20"/>
    </row>
    <row r="33" spans="2:7" x14ac:dyDescent="0.2">
      <c r="B33" s="20" t="s">
        <v>268</v>
      </c>
      <c r="C33" s="132">
        <v>3.44E-2</v>
      </c>
      <c r="D33" s="20"/>
      <c r="E33" s="20"/>
      <c r="F33" s="20"/>
      <c r="G33" s="20"/>
    </row>
    <row r="34" spans="2:7" x14ac:dyDescent="0.2">
      <c r="B34" s="20" t="s">
        <v>267</v>
      </c>
      <c r="C34" s="132">
        <v>0.1241</v>
      </c>
      <c r="D34" s="20"/>
      <c r="E34" s="20"/>
      <c r="F34" s="20"/>
      <c r="G34" s="20"/>
    </row>
    <row r="35" spans="2:7" x14ac:dyDescent="0.2">
      <c r="B35" s="20"/>
      <c r="C35" s="20"/>
      <c r="D35" s="20"/>
      <c r="E35" s="20"/>
      <c r="F35" s="20"/>
      <c r="G35" s="20"/>
    </row>
    <row r="36" spans="2:7" x14ac:dyDescent="0.2">
      <c r="B36" s="20"/>
      <c r="C36" s="20"/>
      <c r="D36" s="20"/>
      <c r="E36" s="20"/>
      <c r="F36" s="20"/>
      <c r="G36" s="20"/>
    </row>
    <row r="37" spans="2:7" x14ac:dyDescent="0.2">
      <c r="B37" s="108" t="s">
        <v>187</v>
      </c>
      <c r="C37" s="20"/>
      <c r="D37" s="20"/>
      <c r="E37" s="20"/>
      <c r="F37" s="20"/>
      <c r="G37" s="20"/>
    </row>
    <row r="38" spans="2:7" x14ac:dyDescent="0.2">
      <c r="B38" s="20" t="s">
        <v>215</v>
      </c>
      <c r="C38" s="130">
        <v>3141.2</v>
      </c>
      <c r="D38" s="20"/>
      <c r="E38" s="20"/>
      <c r="F38" s="20"/>
      <c r="G38" s="20"/>
    </row>
    <row r="39" spans="2:7" x14ac:dyDescent="0.2">
      <c r="B39" s="20" t="s">
        <v>216</v>
      </c>
      <c r="C39" s="130">
        <v>3384.26</v>
      </c>
      <c r="D39" s="20"/>
      <c r="E39" s="20"/>
      <c r="F39" s="20"/>
      <c r="G39" s="20"/>
    </row>
    <row r="40" spans="2:7" x14ac:dyDescent="0.2">
      <c r="B40" s="20" t="s">
        <v>34</v>
      </c>
      <c r="C40" s="130">
        <v>92.03</v>
      </c>
      <c r="D40" s="20"/>
      <c r="E40" s="20"/>
      <c r="F40" s="20"/>
      <c r="G40" s="20"/>
    </row>
    <row r="41" spans="2:7" x14ac:dyDescent="0.2">
      <c r="B41" s="20" t="s">
        <v>217</v>
      </c>
      <c r="C41" s="130">
        <v>31.09</v>
      </c>
      <c r="D41" s="20"/>
      <c r="E41" s="20"/>
      <c r="F41" s="20"/>
      <c r="G41" s="20"/>
    </row>
    <row r="42" spans="2:7" x14ac:dyDescent="0.2">
      <c r="B42" s="20" t="s">
        <v>218</v>
      </c>
      <c r="C42" s="130">
        <v>1005.03</v>
      </c>
      <c r="D42" s="20"/>
      <c r="E42" s="20"/>
      <c r="F42" s="20"/>
      <c r="G42" s="20"/>
    </row>
    <row r="43" spans="2:7" x14ac:dyDescent="0.2">
      <c r="B43" s="20"/>
      <c r="C43" s="20"/>
      <c r="D43" s="20"/>
      <c r="E43" s="20"/>
      <c r="F43" s="20"/>
      <c r="G43" s="20"/>
    </row>
    <row r="44" spans="2:7" x14ac:dyDescent="0.2">
      <c r="B44" s="23" t="s">
        <v>212</v>
      </c>
      <c r="C44" s="130">
        <v>281.95</v>
      </c>
      <c r="D44" s="20"/>
      <c r="E44" s="20"/>
      <c r="F44" s="20"/>
      <c r="G44" s="20"/>
    </row>
    <row r="45" spans="2:7" x14ac:dyDescent="0.2">
      <c r="B45" s="20" t="s">
        <v>263</v>
      </c>
      <c r="C45" s="25">
        <f>C44/(C41+C42)</f>
        <v>0.27212098984673594</v>
      </c>
      <c r="D45" s="20" t="s">
        <v>220</v>
      </c>
      <c r="E45" s="20"/>
      <c r="F45" s="20"/>
      <c r="G45" s="20"/>
    </row>
    <row r="46" spans="2:7" x14ac:dyDescent="0.2">
      <c r="B46" s="20" t="s">
        <v>223</v>
      </c>
      <c r="C46" s="25">
        <f>C44/C40</f>
        <v>3.0636748886232748</v>
      </c>
      <c r="D46" s="20" t="s">
        <v>221</v>
      </c>
      <c r="E46" s="20"/>
      <c r="F46" s="20"/>
      <c r="G46" s="20"/>
    </row>
    <row r="47" spans="2:7" x14ac:dyDescent="0.2">
      <c r="B47" s="20"/>
      <c r="C47" s="25"/>
      <c r="D47" s="20"/>
      <c r="E47" s="20"/>
      <c r="F47" s="20"/>
      <c r="G47" s="20"/>
    </row>
    <row r="48" spans="2:7" x14ac:dyDescent="0.2">
      <c r="B48" s="23" t="s">
        <v>213</v>
      </c>
      <c r="C48" s="130">
        <v>171.6</v>
      </c>
      <c r="D48" s="20"/>
      <c r="E48" s="20"/>
      <c r="F48" s="20"/>
      <c r="G48" s="20"/>
    </row>
    <row r="49" spans="2:7" x14ac:dyDescent="0.2">
      <c r="B49" s="20" t="s">
        <v>264</v>
      </c>
      <c r="C49" s="25">
        <f>C48/(C41+C42)</f>
        <v>0.16561788209859862</v>
      </c>
      <c r="D49" s="20" t="s">
        <v>220</v>
      </c>
      <c r="E49" s="20"/>
      <c r="F49" s="20"/>
      <c r="G49" s="20"/>
    </row>
    <row r="50" spans="2:7" x14ac:dyDescent="0.2">
      <c r="B50" s="20" t="s">
        <v>224</v>
      </c>
      <c r="C50" s="25">
        <f>C48/C40</f>
        <v>1.8646093665109202</v>
      </c>
      <c r="D50" s="20" t="s">
        <v>222</v>
      </c>
      <c r="E50" s="20"/>
      <c r="F50" s="20"/>
      <c r="G50" s="20"/>
    </row>
    <row r="51" spans="2:7" x14ac:dyDescent="0.2">
      <c r="B51" s="20"/>
      <c r="C51" s="25"/>
      <c r="D51" s="20"/>
      <c r="E51" s="20"/>
      <c r="F51" s="20"/>
      <c r="G51" s="20"/>
    </row>
    <row r="52" spans="2:7" x14ac:dyDescent="0.2">
      <c r="B52" s="23" t="s">
        <v>214</v>
      </c>
      <c r="C52" s="130">
        <v>110.33</v>
      </c>
      <c r="D52" s="20"/>
      <c r="E52" s="20"/>
      <c r="F52" s="20"/>
      <c r="G52" s="20"/>
    </row>
    <row r="53" spans="2:7" x14ac:dyDescent="0.2">
      <c r="B53" s="20" t="s">
        <v>265</v>
      </c>
      <c r="C53" s="25">
        <f>C52/(C41+C42)</f>
        <v>0.10648380496467591</v>
      </c>
      <c r="D53" s="20" t="s">
        <v>220</v>
      </c>
      <c r="E53" s="20"/>
      <c r="F53" s="20"/>
      <c r="G53" s="20"/>
    </row>
    <row r="54" spans="2:7" x14ac:dyDescent="0.2">
      <c r="B54" s="20" t="s">
        <v>225</v>
      </c>
      <c r="C54" s="25">
        <f>C52/C40</f>
        <v>1.1988482016733673</v>
      </c>
      <c r="D54" s="20" t="s">
        <v>222</v>
      </c>
      <c r="E54" s="20"/>
      <c r="F54" s="20"/>
      <c r="G54" s="20"/>
    </row>
    <row r="55" spans="2:7" x14ac:dyDescent="0.2">
      <c r="B55" s="20"/>
      <c r="C55" s="20"/>
      <c r="D55" s="20"/>
      <c r="E55" s="20"/>
      <c r="F55" s="20"/>
      <c r="G55" s="20"/>
    </row>
    <row r="56" spans="2:7" x14ac:dyDescent="0.2">
      <c r="B56" s="23" t="s">
        <v>219</v>
      </c>
      <c r="C56" s="130">
        <v>1320.99</v>
      </c>
      <c r="D56" s="20"/>
      <c r="E56" s="20"/>
      <c r="F56" s="20"/>
      <c r="G56" s="20"/>
    </row>
    <row r="57" spans="2:7" x14ac:dyDescent="0.2">
      <c r="B57" s="20" t="s">
        <v>266</v>
      </c>
      <c r="C57" s="25">
        <f>C56/(C41+C42)</f>
        <v>1.2749391962320968</v>
      </c>
      <c r="D57" s="20" t="s">
        <v>220</v>
      </c>
      <c r="E57" s="20"/>
      <c r="F57" s="20"/>
      <c r="G57" s="20"/>
    </row>
    <row r="58" spans="2:7" x14ac:dyDescent="0.2">
      <c r="B58" s="20" t="s">
        <v>226</v>
      </c>
      <c r="C58" s="25">
        <f>C56/C40</f>
        <v>14.353906334890796</v>
      </c>
      <c r="D58" s="20" t="s">
        <v>222</v>
      </c>
      <c r="E58" s="20"/>
      <c r="F58" s="20"/>
      <c r="G58" s="20"/>
    </row>
    <row r="59" spans="2:7" x14ac:dyDescent="0.2">
      <c r="B59" s="20"/>
      <c r="C59" s="20"/>
      <c r="D59" s="20"/>
      <c r="E59" s="20"/>
      <c r="F59" s="20"/>
      <c r="G59" s="20"/>
    </row>
    <row r="60" spans="2:7" x14ac:dyDescent="0.2">
      <c r="B60" s="20"/>
      <c r="C60" s="25"/>
      <c r="D60" s="20"/>
      <c r="E60" s="20"/>
      <c r="F60" s="20"/>
      <c r="G60" s="20"/>
    </row>
    <row r="61" spans="2:7" x14ac:dyDescent="0.2">
      <c r="B61" s="20"/>
      <c r="C61" s="25"/>
      <c r="D61" s="20"/>
      <c r="E61" s="20"/>
      <c r="F61" s="20"/>
      <c r="G61" s="20"/>
    </row>
    <row r="62" spans="2:7" x14ac:dyDescent="0.2">
      <c r="B62" s="20"/>
      <c r="C62" s="20"/>
      <c r="D62" s="20"/>
      <c r="E62" s="20"/>
      <c r="F62" s="20"/>
      <c r="G62" s="20"/>
    </row>
    <row r="63" spans="2:7" x14ac:dyDescent="0.2">
      <c r="B63" s="20"/>
      <c r="C63" s="20"/>
      <c r="D63" s="20"/>
      <c r="E63" s="20"/>
      <c r="F63" s="20"/>
      <c r="G63" s="20"/>
    </row>
    <row r="64" spans="2:7" x14ac:dyDescent="0.2">
      <c r="B64" s="20"/>
      <c r="C64" s="20"/>
      <c r="D64" s="20"/>
      <c r="E64" s="20"/>
      <c r="F64" s="20"/>
      <c r="G64" s="2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AE204"/>
  <sheetViews>
    <sheetView tabSelected="1" zoomScale="80" zoomScaleNormal="80" workbookViewId="0">
      <pane xSplit="2" ySplit="3" topLeftCell="C150" activePane="bottomRight" state="frozen"/>
      <selection pane="topRight" activeCell="C1" sqref="C1"/>
      <selection pane="bottomLeft" activeCell="A5" sqref="A5"/>
      <selection pane="bottomRight" activeCell="Q173" sqref="Q173"/>
    </sheetView>
  </sheetViews>
  <sheetFormatPr defaultRowHeight="12.75" x14ac:dyDescent="0.2"/>
  <cols>
    <col min="1" max="1" width="4.7109375" style="104" customWidth="1"/>
    <col min="2" max="2" width="46.7109375" style="104" bestFit="1" customWidth="1"/>
    <col min="3" max="3" width="7.85546875" style="104" customWidth="1"/>
    <col min="4" max="4" width="8.140625" style="104" customWidth="1"/>
    <col min="5" max="5" width="8.42578125" style="104" bestFit="1" customWidth="1"/>
    <col min="6" max="6" width="9" style="104" bestFit="1" customWidth="1"/>
    <col min="7" max="7" width="11.85546875" style="104" bestFit="1" customWidth="1"/>
    <col min="8" max="15" width="10.140625" style="104" bestFit="1" customWidth="1"/>
    <col min="16" max="16" width="10.7109375" style="104" bestFit="1" customWidth="1"/>
    <col min="17" max="17" width="9.42578125" style="104" bestFit="1" customWidth="1"/>
    <col min="18" max="18" width="10.85546875" style="104" bestFit="1" customWidth="1"/>
    <col min="19" max="20" width="9.7109375" style="104" bestFit="1" customWidth="1"/>
    <col min="21" max="27" width="8" style="104" bestFit="1" customWidth="1"/>
    <col min="28" max="28" width="11.28515625" style="104" bestFit="1" customWidth="1"/>
    <col min="29" max="29" width="9.28515625" style="104" bestFit="1" customWidth="1"/>
    <col min="30" max="30" width="9" style="104" customWidth="1"/>
    <col min="31" max="31" width="10.7109375" style="104" customWidth="1"/>
    <col min="32" max="16384" width="9.140625" style="104"/>
  </cols>
  <sheetData>
    <row r="1" spans="2:31" x14ac:dyDescent="0.2">
      <c r="B1" s="123" t="s">
        <v>241</v>
      </c>
      <c r="C1" s="124">
        <v>0.22</v>
      </c>
      <c r="F1" s="104" t="s">
        <v>252</v>
      </c>
      <c r="H1" s="126">
        <v>2004</v>
      </c>
      <c r="J1" s="104" t="s">
        <v>328</v>
      </c>
      <c r="L1" s="164">
        <v>0.08</v>
      </c>
    </row>
    <row r="2" spans="2:31" x14ac:dyDescent="0.2">
      <c r="B2" s="153" t="s">
        <v>316</v>
      </c>
      <c r="C2" s="120"/>
      <c r="F2" s="104" t="s">
        <v>253</v>
      </c>
      <c r="H2" s="126">
        <v>2013</v>
      </c>
      <c r="J2" s="104" t="s">
        <v>329</v>
      </c>
      <c r="L2" s="164">
        <v>0.12</v>
      </c>
      <c r="S2" s="115" t="s">
        <v>11</v>
      </c>
      <c r="T2" s="115" t="s">
        <v>12</v>
      </c>
      <c r="U2" s="115" t="s">
        <v>13</v>
      </c>
      <c r="V2" s="115" t="s">
        <v>14</v>
      </c>
      <c r="W2" s="115" t="s">
        <v>15</v>
      </c>
      <c r="X2" s="115" t="s">
        <v>234</v>
      </c>
      <c r="Y2" s="115" t="s">
        <v>235</v>
      </c>
      <c r="Z2" s="115" t="s">
        <v>236</v>
      </c>
      <c r="AA2" s="115" t="s">
        <v>237</v>
      </c>
      <c r="AB2" s="115" t="s">
        <v>238</v>
      </c>
      <c r="AD2" s="185" t="s">
        <v>292</v>
      </c>
      <c r="AE2" s="186"/>
    </row>
    <row r="3" spans="2:31" x14ac:dyDescent="0.2">
      <c r="B3" s="20"/>
      <c r="C3" s="114">
        <v>2000</v>
      </c>
      <c r="D3" s="114">
        <v>2001</v>
      </c>
      <c r="E3" s="114">
        <v>2002</v>
      </c>
      <c r="F3" s="114">
        <v>2003</v>
      </c>
      <c r="G3" s="114">
        <v>2004</v>
      </c>
      <c r="H3" s="114">
        <v>2005</v>
      </c>
      <c r="I3" s="114">
        <v>2006</v>
      </c>
      <c r="J3" s="114">
        <v>2007</v>
      </c>
      <c r="K3" s="114">
        <v>2008</v>
      </c>
      <c r="L3" s="114">
        <v>2009</v>
      </c>
      <c r="M3" s="114">
        <v>2010</v>
      </c>
      <c r="N3" s="114">
        <v>2011</v>
      </c>
      <c r="O3" s="114">
        <v>2012</v>
      </c>
      <c r="P3" s="114">
        <v>2013</v>
      </c>
      <c r="Q3" s="116" t="s">
        <v>1</v>
      </c>
      <c r="R3" s="116" t="s">
        <v>254</v>
      </c>
      <c r="S3" s="115">
        <v>2014</v>
      </c>
      <c r="T3" s="115">
        <v>2015</v>
      </c>
      <c r="U3" s="115">
        <v>2016</v>
      </c>
      <c r="V3" s="115">
        <v>2017</v>
      </c>
      <c r="W3" s="115">
        <v>2018</v>
      </c>
      <c r="X3" s="115">
        <v>2019</v>
      </c>
      <c r="Y3" s="115">
        <v>2020</v>
      </c>
      <c r="Z3" s="115">
        <v>2021</v>
      </c>
      <c r="AA3" s="115">
        <v>2022</v>
      </c>
      <c r="AB3" s="115">
        <v>2023</v>
      </c>
      <c r="AC3" s="136" t="s">
        <v>1</v>
      </c>
      <c r="AD3" s="187" t="s">
        <v>293</v>
      </c>
      <c r="AE3" s="188"/>
    </row>
    <row r="4" spans="2:31" x14ac:dyDescent="0.2"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117"/>
      <c r="T4" s="117"/>
      <c r="U4" s="117"/>
      <c r="V4" s="117"/>
      <c r="W4" s="117"/>
      <c r="X4" s="117"/>
      <c r="Y4" s="117"/>
      <c r="Z4" s="117"/>
      <c r="AA4" s="117"/>
      <c r="AB4" s="117"/>
      <c r="AC4" s="137"/>
      <c r="AD4" s="20"/>
      <c r="AE4" s="20"/>
    </row>
    <row r="5" spans="2:31" x14ac:dyDescent="0.2">
      <c r="B5" s="108" t="s">
        <v>242</v>
      </c>
      <c r="C5" s="20"/>
      <c r="D5" s="20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20"/>
      <c r="R5" s="20"/>
      <c r="S5" s="154"/>
      <c r="T5" s="154"/>
      <c r="U5" s="154"/>
      <c r="V5" s="154"/>
      <c r="W5" s="154"/>
      <c r="X5" s="154"/>
      <c r="Y5" s="154"/>
      <c r="Z5" s="154"/>
      <c r="AA5" s="154"/>
      <c r="AB5" s="154"/>
      <c r="AC5" s="137"/>
      <c r="AD5" s="20"/>
      <c r="AE5" s="154"/>
    </row>
    <row r="6" spans="2:31" x14ac:dyDescent="0.2">
      <c r="B6" s="20" t="s">
        <v>16</v>
      </c>
      <c r="C6" s="141"/>
      <c r="D6" s="141"/>
      <c r="E6" s="147"/>
      <c r="F6" s="147"/>
      <c r="G6" s="147">
        <v>2622</v>
      </c>
      <c r="H6" s="147">
        <v>3230</v>
      </c>
      <c r="I6" s="147">
        <v>4872</v>
      </c>
      <c r="J6" s="147">
        <v>6836</v>
      </c>
      <c r="K6" s="147">
        <v>10746</v>
      </c>
      <c r="L6" s="147">
        <v>13565</v>
      </c>
      <c r="M6" s="147">
        <v>20490</v>
      </c>
      <c r="N6" s="147">
        <v>24514</v>
      </c>
      <c r="O6" s="147">
        <v>29264</v>
      </c>
      <c r="P6" s="147">
        <v>33736</v>
      </c>
      <c r="Q6" s="118">
        <f>((P6/G6)^(1/($H$2-$H$1) ))-1</f>
        <v>0.32823045331612755</v>
      </c>
      <c r="R6" s="31">
        <f>$L$2</f>
        <v>0.12</v>
      </c>
      <c r="S6" s="154">
        <f>P6*(1+$R6)</f>
        <v>37784.320000000007</v>
      </c>
      <c r="T6" s="154">
        <f>S6*(1+$R6)</f>
        <v>42318.438400000014</v>
      </c>
      <c r="U6" s="154">
        <f t="shared" ref="U6:AB6" si="0">T6*(1+$R6)</f>
        <v>47396.651008000023</v>
      </c>
      <c r="V6" s="154">
        <f t="shared" si="0"/>
        <v>53084.249128960029</v>
      </c>
      <c r="W6" s="154">
        <f t="shared" si="0"/>
        <v>59454.359024435238</v>
      </c>
      <c r="X6" s="154">
        <f t="shared" si="0"/>
        <v>66588.882107367477</v>
      </c>
      <c r="Y6" s="154">
        <f t="shared" si="0"/>
        <v>74579.547960251584</v>
      </c>
      <c r="Z6" s="154">
        <f t="shared" si="0"/>
        <v>83529.09371548178</v>
      </c>
      <c r="AA6" s="154">
        <f t="shared" si="0"/>
        <v>93552.584961339599</v>
      </c>
      <c r="AB6" s="154">
        <f t="shared" si="0"/>
        <v>104778.89515670035</v>
      </c>
      <c r="AC6" s="138">
        <f>((AB6/G6)^(1/($AB$3-$H$1) ))-1</f>
        <v>0.21421865623705294</v>
      </c>
      <c r="AD6" s="31">
        <f>$L$1</f>
        <v>0.08</v>
      </c>
      <c r="AE6" s="146">
        <f t="shared" ref="AE6:AE41" si="1">(AB6*(1+AD6))/($C$1-AD6)</f>
        <v>808294.33406597411</v>
      </c>
    </row>
    <row r="7" spans="2:31" x14ac:dyDescent="0.2">
      <c r="B7" s="20" t="s">
        <v>240</v>
      </c>
      <c r="C7" s="141"/>
      <c r="D7" s="141"/>
      <c r="E7" s="147"/>
      <c r="F7" s="147"/>
      <c r="G7" s="147">
        <v>2647</v>
      </c>
      <c r="H7" s="147">
        <v>3315</v>
      </c>
      <c r="I7" s="147">
        <v>4964</v>
      </c>
      <c r="J7" s="147">
        <v>6921</v>
      </c>
      <c r="K7" s="147">
        <v>10831</v>
      </c>
      <c r="L7" s="147">
        <v>13987</v>
      </c>
      <c r="M7" s="147">
        <v>20991</v>
      </c>
      <c r="N7" s="147">
        <v>25050</v>
      </c>
      <c r="O7" s="147">
        <v>29386</v>
      </c>
      <c r="P7" s="147">
        <v>33859</v>
      </c>
      <c r="Q7" s="118">
        <f>((P7/G7)^(1/($H$2-$H$1) ))-1</f>
        <v>0.3273673528633827</v>
      </c>
      <c r="R7" s="31">
        <f>$L$2</f>
        <v>0.12</v>
      </c>
      <c r="S7" s="154">
        <f t="shared" ref="S7:S16" si="2">P7*(1+$R7)</f>
        <v>37922.080000000002</v>
      </c>
      <c r="T7" s="154">
        <f t="shared" ref="T7:AB7" si="3">S7*(1+$R7)</f>
        <v>42472.729600000006</v>
      </c>
      <c r="U7" s="154">
        <f t="shared" si="3"/>
        <v>47569.45715200001</v>
      </c>
      <c r="V7" s="154">
        <f t="shared" si="3"/>
        <v>53277.792010240017</v>
      </c>
      <c r="W7" s="154">
        <f t="shared" si="3"/>
        <v>59671.127051468822</v>
      </c>
      <c r="X7" s="154">
        <f t="shared" si="3"/>
        <v>66831.662297645089</v>
      </c>
      <c r="Y7" s="154">
        <f t="shared" si="3"/>
        <v>74851.461773362505</v>
      </c>
      <c r="Z7" s="154">
        <f t="shared" si="3"/>
        <v>83833.637186166015</v>
      </c>
      <c r="AA7" s="154">
        <f t="shared" si="3"/>
        <v>93893.673648505952</v>
      </c>
      <c r="AB7" s="154">
        <f t="shared" si="3"/>
        <v>105160.91448632667</v>
      </c>
      <c r="AC7" s="138">
        <f>((AB7/G7)^(1/($AB$3-$H$1) ))-1</f>
        <v>0.21384484874206056</v>
      </c>
      <c r="AD7" s="31">
        <f>$L$1</f>
        <v>0.08</v>
      </c>
      <c r="AE7" s="146">
        <f t="shared" si="1"/>
        <v>811241.34032309137</v>
      </c>
    </row>
    <row r="8" spans="2:31" x14ac:dyDescent="0.2">
      <c r="B8" s="20"/>
      <c r="C8" s="141"/>
      <c r="D8" s="141"/>
      <c r="E8" s="147"/>
      <c r="F8" s="147"/>
      <c r="G8" s="148">
        <f>(G7-F7)/G7</f>
        <v>1</v>
      </c>
      <c r="H8" s="151">
        <f>(H7-G7)/H7</f>
        <v>0.20150829562594269</v>
      </c>
      <c r="I8" s="151">
        <f t="shared" ref="I8:P8" si="4">(I7-H7)/I7</f>
        <v>0.3321917808219178</v>
      </c>
      <c r="J8" s="151">
        <f t="shared" si="4"/>
        <v>0.28276260655974572</v>
      </c>
      <c r="K8" s="151">
        <f t="shared" si="4"/>
        <v>0.36100083094820423</v>
      </c>
      <c r="L8" s="151">
        <f t="shared" si="4"/>
        <v>0.22563809251447772</v>
      </c>
      <c r="M8" s="151">
        <f t="shared" si="4"/>
        <v>0.33366680958506029</v>
      </c>
      <c r="N8" s="151">
        <f t="shared" si="4"/>
        <v>0.16203592814371257</v>
      </c>
      <c r="O8" s="151">
        <f t="shared" si="4"/>
        <v>0.14755325665282787</v>
      </c>
      <c r="P8" s="151">
        <f t="shared" si="4"/>
        <v>0.13210667769278478</v>
      </c>
      <c r="Q8" s="128"/>
      <c r="R8" s="20"/>
      <c r="S8" s="154"/>
      <c r="T8" s="154"/>
      <c r="U8" s="154"/>
      <c r="V8" s="154"/>
      <c r="W8" s="154"/>
      <c r="X8" s="154"/>
      <c r="Y8" s="154"/>
      <c r="Z8" s="154"/>
      <c r="AA8" s="154"/>
      <c r="AB8" s="154"/>
      <c r="AC8" s="137"/>
      <c r="AD8" s="137"/>
      <c r="AE8" s="146"/>
    </row>
    <row r="9" spans="2:31" x14ac:dyDescent="0.2">
      <c r="B9" s="20" t="s">
        <v>270</v>
      </c>
      <c r="C9" s="141"/>
      <c r="D9" s="141"/>
      <c r="E9" s="147"/>
      <c r="F9" s="147"/>
      <c r="G9" s="147">
        <v>4612</v>
      </c>
      <c r="H9" s="147">
        <v>5465</v>
      </c>
      <c r="I9" s="147">
        <v>6784</v>
      </c>
      <c r="J9" s="147">
        <v>9467</v>
      </c>
      <c r="K9" s="147">
        <v>13682</v>
      </c>
      <c r="L9" s="147">
        <v>18079</v>
      </c>
      <c r="M9" s="147">
        <v>21803</v>
      </c>
      <c r="N9" s="147">
        <v>28748</v>
      </c>
      <c r="O9" s="147">
        <v>34095</v>
      </c>
      <c r="P9" s="147">
        <v>45067</v>
      </c>
      <c r="Q9" s="118">
        <f t="shared" ref="Q9:Q16" si="5">((P9/G9)^(1/($H$2-$H$1) ))-1</f>
        <v>0.2882394499800176</v>
      </c>
      <c r="R9" s="31">
        <f t="shared" ref="R9:R40" si="6">$L$2</f>
        <v>0.12</v>
      </c>
      <c r="S9" s="154">
        <f t="shared" ref="S9" si="7">P9*(1+$R9)</f>
        <v>50475.040000000008</v>
      </c>
      <c r="T9" s="154">
        <f t="shared" ref="T9" si="8">S9*(1+$R9)</f>
        <v>56532.044800000018</v>
      </c>
      <c r="U9" s="154">
        <f t="shared" ref="U9" si="9">T9*(1+$R9)</f>
        <v>63315.890176000023</v>
      </c>
      <c r="V9" s="154">
        <f t="shared" ref="V9" si="10">U9*(1+$R9)</f>
        <v>70913.796997120036</v>
      </c>
      <c r="W9" s="154">
        <f t="shared" ref="W9" si="11">V9*(1+$R9)</f>
        <v>79423.452636774455</v>
      </c>
      <c r="X9" s="154">
        <f t="shared" ref="X9" si="12">W9*(1+$R9)</f>
        <v>88954.266953187398</v>
      </c>
      <c r="Y9" s="154">
        <f t="shared" ref="Y9" si="13">X9*(1+$R9)</f>
        <v>99628.778987569895</v>
      </c>
      <c r="Z9" s="154">
        <f t="shared" ref="Z9" si="14">Y9*(1+$R9)</f>
        <v>111584.23246607829</v>
      </c>
      <c r="AA9" s="154">
        <f t="shared" ref="AA9" si="15">Z9*(1+$R9)</f>
        <v>124974.3403620077</v>
      </c>
      <c r="AB9" s="154">
        <f t="shared" ref="AB9" si="16">AA9*(1+$R9)</f>
        <v>139971.26120544862</v>
      </c>
      <c r="AC9" s="138">
        <f>((AB9/G9)^(1/($AB$3-$H$1) ))-1</f>
        <v>0.19676222489563422</v>
      </c>
      <c r="AD9" s="31">
        <f t="shared" ref="AD9:AD74" si="17">$L$1</f>
        <v>0.08</v>
      </c>
      <c r="AE9" s="146">
        <f t="shared" si="1"/>
        <v>1079778.3007277467</v>
      </c>
    </row>
    <row r="10" spans="2:31" x14ac:dyDescent="0.2">
      <c r="B10" s="20" t="s">
        <v>4</v>
      </c>
      <c r="C10" s="141"/>
      <c r="D10" s="141"/>
      <c r="E10" s="147"/>
      <c r="F10" s="147"/>
      <c r="G10" s="147">
        <v>2769</v>
      </c>
      <c r="H10" s="147">
        <v>3453</v>
      </c>
      <c r="I10" s="147">
        <v>3498</v>
      </c>
      <c r="J10" s="147">
        <v>6432</v>
      </c>
      <c r="K10" s="147">
        <v>12315</v>
      </c>
      <c r="L10" s="147">
        <v>20370</v>
      </c>
      <c r="M10" s="147">
        <v>24607</v>
      </c>
      <c r="N10" s="147">
        <v>37340</v>
      </c>
      <c r="O10" s="147">
        <v>51103</v>
      </c>
      <c r="P10" s="147">
        <v>58642</v>
      </c>
      <c r="Q10" s="118">
        <f t="shared" si="5"/>
        <v>0.4038498063649274</v>
      </c>
      <c r="R10" s="31">
        <f t="shared" si="6"/>
        <v>0.12</v>
      </c>
      <c r="S10" s="154">
        <f t="shared" si="2"/>
        <v>65679.040000000008</v>
      </c>
      <c r="T10" s="154">
        <f t="shared" ref="T10:AB10" si="18">S10*(1+$R10)</f>
        <v>73560.524800000014</v>
      </c>
      <c r="U10" s="154">
        <f t="shared" si="18"/>
        <v>82387.787776000026</v>
      </c>
      <c r="V10" s="154">
        <f t="shared" si="18"/>
        <v>92274.322309120034</v>
      </c>
      <c r="W10" s="154">
        <f t="shared" si="18"/>
        <v>103347.24098621444</v>
      </c>
      <c r="X10" s="154">
        <f t="shared" si="18"/>
        <v>115748.90990456019</v>
      </c>
      <c r="Y10" s="154">
        <f t="shared" si="18"/>
        <v>129638.77909310743</v>
      </c>
      <c r="Z10" s="154">
        <f t="shared" si="18"/>
        <v>145195.43258428032</v>
      </c>
      <c r="AA10" s="154">
        <f t="shared" si="18"/>
        <v>162618.88449439398</v>
      </c>
      <c r="AB10" s="154">
        <f t="shared" si="18"/>
        <v>182133.15063372126</v>
      </c>
      <c r="AC10" s="138">
        <f t="shared" ref="AC10:AC40" si="19">((AB10/G10)^(1/($AB$3-$H$1) ))-1</f>
        <v>0.24648680794318745</v>
      </c>
      <c r="AD10" s="31">
        <f t="shared" si="17"/>
        <v>0.08</v>
      </c>
      <c r="AE10" s="146">
        <f t="shared" si="1"/>
        <v>1405027.1620315639</v>
      </c>
    </row>
    <row r="11" spans="2:31" x14ac:dyDescent="0.2">
      <c r="B11" s="20"/>
      <c r="C11" s="141"/>
      <c r="D11" s="141"/>
      <c r="E11" s="147"/>
      <c r="F11" s="147"/>
      <c r="G11" s="148">
        <f>(G10-F10)/G10</f>
        <v>1</v>
      </c>
      <c r="H11" s="148">
        <f t="shared" ref="H11:P11" si="20">(H10-G10)/H10</f>
        <v>0.19808861859252824</v>
      </c>
      <c r="I11" s="148">
        <f t="shared" si="20"/>
        <v>1.2864493996569469E-2</v>
      </c>
      <c r="J11" s="148">
        <f t="shared" si="20"/>
        <v>0.45615671641791045</v>
      </c>
      <c r="K11" s="148">
        <f t="shared" si="20"/>
        <v>0.47771010962241167</v>
      </c>
      <c r="L11" s="148">
        <f t="shared" si="20"/>
        <v>0.39543446244477171</v>
      </c>
      <c r="M11" s="148">
        <f t="shared" si="20"/>
        <v>0.17218677612061609</v>
      </c>
      <c r="N11" s="148">
        <f t="shared" si="20"/>
        <v>0.34100160685591857</v>
      </c>
      <c r="O11" s="148">
        <f t="shared" si="20"/>
        <v>0.26931882668336499</v>
      </c>
      <c r="P11" s="148">
        <f t="shared" si="20"/>
        <v>0.12855973534326934</v>
      </c>
      <c r="Q11" s="128"/>
      <c r="R11" s="20"/>
      <c r="S11" s="154"/>
      <c r="T11" s="154"/>
      <c r="U11" s="154"/>
      <c r="V11" s="154"/>
      <c r="W11" s="154"/>
      <c r="X11" s="154"/>
      <c r="Y11" s="154"/>
      <c r="Z11" s="154"/>
      <c r="AA11" s="154"/>
      <c r="AB11" s="154"/>
      <c r="AC11" s="119"/>
      <c r="AD11" s="31">
        <f t="shared" si="17"/>
        <v>0.08</v>
      </c>
      <c r="AE11" s="154"/>
    </row>
    <row r="12" spans="2:31" x14ac:dyDescent="0.2">
      <c r="B12" s="20" t="s">
        <v>2</v>
      </c>
      <c r="C12" s="141"/>
      <c r="D12" s="141"/>
      <c r="E12" s="147"/>
      <c r="F12" s="147"/>
      <c r="G12" s="147">
        <v>537</v>
      </c>
      <c r="H12" s="147">
        <f>442+547</f>
        <v>989</v>
      </c>
      <c r="I12" s="147">
        <f>561+254</f>
        <v>815</v>
      </c>
      <c r="J12" s="147">
        <f>1205+512</f>
        <v>1717</v>
      </c>
      <c r="K12" s="147">
        <f>1237+323</f>
        <v>1560</v>
      </c>
      <c r="L12" s="147">
        <f>1154+304</f>
        <v>1458</v>
      </c>
      <c r="M12" s="147">
        <f>1844+1477</f>
        <v>3321</v>
      </c>
      <c r="N12" s="147">
        <f>3645</f>
        <v>3645</v>
      </c>
      <c r="O12" s="147">
        <v>3522</v>
      </c>
      <c r="P12" s="147">
        <v>3631</v>
      </c>
      <c r="Q12" s="118">
        <f t="shared" si="5"/>
        <v>0.23659645146109631</v>
      </c>
      <c r="R12" s="31">
        <f t="shared" si="6"/>
        <v>0.12</v>
      </c>
      <c r="S12" s="154">
        <f t="shared" si="2"/>
        <v>4066.7200000000003</v>
      </c>
      <c r="T12" s="154">
        <f t="shared" ref="T12:AB12" si="21">S12*(1+$R12)</f>
        <v>4554.7264000000005</v>
      </c>
      <c r="U12" s="154">
        <f t="shared" si="21"/>
        <v>5101.293568000001</v>
      </c>
      <c r="V12" s="154">
        <f t="shared" si="21"/>
        <v>5713.4487961600016</v>
      </c>
      <c r="W12" s="154">
        <f t="shared" si="21"/>
        <v>6399.0626516992024</v>
      </c>
      <c r="X12" s="154">
        <f t="shared" si="21"/>
        <v>7166.9501699031071</v>
      </c>
      <c r="Y12" s="154">
        <f t="shared" si="21"/>
        <v>8026.9841902914804</v>
      </c>
      <c r="Z12" s="154">
        <f t="shared" si="21"/>
        <v>8990.2222931264587</v>
      </c>
      <c r="AA12" s="154">
        <f t="shared" si="21"/>
        <v>10069.048968301635</v>
      </c>
      <c r="AB12" s="154">
        <f t="shared" si="21"/>
        <v>11277.334844497833</v>
      </c>
      <c r="AC12" s="138">
        <f t="shared" si="19"/>
        <v>0.17379206120202384</v>
      </c>
      <c r="AD12" s="31">
        <f t="shared" si="17"/>
        <v>0.08</v>
      </c>
      <c r="AE12" s="146">
        <f t="shared" si="1"/>
        <v>86996.583086126135</v>
      </c>
    </row>
    <row r="13" spans="2:31" x14ac:dyDescent="0.2">
      <c r="B13" s="20" t="s">
        <v>218</v>
      </c>
      <c r="C13" s="141"/>
      <c r="D13" s="141"/>
      <c r="E13" s="147"/>
      <c r="F13" s="147"/>
      <c r="G13" s="147">
        <v>623</v>
      </c>
      <c r="H13" s="147">
        <v>680</v>
      </c>
      <c r="I13" s="147">
        <v>1675</v>
      </c>
      <c r="J13" s="147">
        <v>2478</v>
      </c>
      <c r="K13" s="147">
        <v>5552</v>
      </c>
      <c r="L13" s="147">
        <v>6805</v>
      </c>
      <c r="M13" s="147">
        <v>9927</v>
      </c>
      <c r="N13" s="147">
        <v>9215</v>
      </c>
      <c r="O13" s="147">
        <v>8789</v>
      </c>
      <c r="P13" s="147">
        <v>8767</v>
      </c>
      <c r="Q13" s="118">
        <f t="shared" si="5"/>
        <v>0.34151608540424472</v>
      </c>
      <c r="R13" s="31">
        <f t="shared" si="6"/>
        <v>0.12</v>
      </c>
      <c r="S13" s="154">
        <f t="shared" si="2"/>
        <v>9819.0400000000009</v>
      </c>
      <c r="T13" s="154">
        <f t="shared" ref="T13:AB13" si="22">S13*(1+$R13)</f>
        <v>10997.324800000002</v>
      </c>
      <c r="U13" s="154">
        <f t="shared" si="22"/>
        <v>12317.003776000003</v>
      </c>
      <c r="V13" s="154">
        <f t="shared" si="22"/>
        <v>13795.044229120005</v>
      </c>
      <c r="W13" s="154">
        <f t="shared" si="22"/>
        <v>15450.449536614407</v>
      </c>
      <c r="X13" s="154">
        <f t="shared" si="22"/>
        <v>17304.503481008138</v>
      </c>
      <c r="Y13" s="154">
        <f t="shared" si="22"/>
        <v>19381.043898729116</v>
      </c>
      <c r="Z13" s="154">
        <f t="shared" si="22"/>
        <v>21706.769166576611</v>
      </c>
      <c r="AA13" s="154">
        <f t="shared" si="22"/>
        <v>24311.581466565807</v>
      </c>
      <c r="AB13" s="154">
        <f t="shared" si="22"/>
        <v>27228.971242553707</v>
      </c>
      <c r="AC13" s="138">
        <f t="shared" si="19"/>
        <v>0.21995659251170352</v>
      </c>
      <c r="AD13" s="31">
        <f t="shared" si="17"/>
        <v>0.08</v>
      </c>
      <c r="AE13" s="146">
        <f t="shared" si="1"/>
        <v>210052.0638711286</v>
      </c>
    </row>
    <row r="14" spans="2:31" x14ac:dyDescent="0.2">
      <c r="B14" s="20" t="s">
        <v>374</v>
      </c>
      <c r="C14" s="141"/>
      <c r="D14" s="141"/>
      <c r="E14" s="147"/>
      <c r="F14" s="147"/>
      <c r="G14" s="147">
        <v>1967</v>
      </c>
      <c r="H14" s="147">
        <v>2434</v>
      </c>
      <c r="I14" s="147">
        <v>2477</v>
      </c>
      <c r="J14" s="147">
        <v>3677</v>
      </c>
      <c r="K14" s="147">
        <v>5019</v>
      </c>
      <c r="L14" s="147">
        <v>7105</v>
      </c>
      <c r="M14" s="147">
        <v>2378</v>
      </c>
      <c r="N14" s="147">
        <v>3040</v>
      </c>
      <c r="O14" s="147">
        <v>4229</v>
      </c>
      <c r="P14" s="147">
        <v>5169</v>
      </c>
      <c r="Q14" s="118">
        <f t="shared" ref="Q14" si="23">((P14/G14)^(1/($H$2-$H$1) ))-1</f>
        <v>0.11332628743048456</v>
      </c>
      <c r="R14" s="31">
        <f t="shared" si="6"/>
        <v>0.12</v>
      </c>
      <c r="S14" s="154">
        <f t="shared" ref="S14" si="24">P14*(1+$R14)</f>
        <v>5789.2800000000007</v>
      </c>
      <c r="T14" s="154">
        <f t="shared" ref="T14" si="25">S14*(1+$R14)</f>
        <v>6483.9936000000016</v>
      </c>
      <c r="U14" s="154">
        <f t="shared" ref="U14" si="26">T14*(1+$R14)</f>
        <v>7262.0728320000026</v>
      </c>
      <c r="V14" s="154">
        <f t="shared" ref="V14" si="27">U14*(1+$R14)</f>
        <v>8133.5215718400041</v>
      </c>
      <c r="W14" s="154">
        <f t="shared" ref="W14" si="28">V14*(1+$R14)</f>
        <v>9109.5441604608059</v>
      </c>
      <c r="X14" s="154">
        <f t="shared" ref="X14" si="29">W14*(1+$R14)</f>
        <v>10202.689459716103</v>
      </c>
      <c r="Y14" s="154">
        <f t="shared" ref="Y14" si="30">X14*(1+$R14)</f>
        <v>11427.012194882036</v>
      </c>
      <c r="Z14" s="154">
        <f t="shared" ref="Z14" si="31">Y14*(1+$R14)</f>
        <v>12798.253658267882</v>
      </c>
      <c r="AA14" s="154">
        <f t="shared" ref="AA14" si="32">Z14*(1+$R14)</f>
        <v>14334.04409726003</v>
      </c>
      <c r="AB14" s="154">
        <f t="shared" ref="AB14" si="33">AA14*(1+$R14)</f>
        <v>16054.129388931235</v>
      </c>
      <c r="AC14" s="138">
        <f t="shared" ref="AC14" si="34">((AB14/G14)^(1/($AB$3-$H$1) ))-1</f>
        <v>0.11683379560722895</v>
      </c>
      <c r="AD14" s="31">
        <f t="shared" si="17"/>
        <v>0.08</v>
      </c>
      <c r="AE14" s="146">
        <f t="shared" ref="AE14" si="35">(AB14*(1+AD14))/($C$1-AD14)</f>
        <v>123846.14100032666</v>
      </c>
    </row>
    <row r="15" spans="2:31" x14ac:dyDescent="0.2">
      <c r="B15" s="20" t="s">
        <v>19</v>
      </c>
      <c r="C15" s="141"/>
      <c r="D15" s="141"/>
      <c r="E15" s="147"/>
      <c r="F15" s="147"/>
      <c r="G15" s="147">
        <v>5995</v>
      </c>
      <c r="H15" s="147">
        <v>7128</v>
      </c>
      <c r="I15" s="147">
        <v>8320</v>
      </c>
      <c r="J15" s="147">
        <v>11292</v>
      </c>
      <c r="K15" s="147">
        <v>14722</v>
      </c>
      <c r="L15" s="147">
        <v>20124</v>
      </c>
      <c r="M15" s="147">
        <v>16750</v>
      </c>
      <c r="N15" s="147">
        <v>21165</v>
      </c>
      <c r="O15" s="147">
        <v>28157</v>
      </c>
      <c r="P15" s="147">
        <v>31815</v>
      </c>
      <c r="Q15" s="118">
        <f t="shared" si="5"/>
        <v>0.20375493953586421</v>
      </c>
      <c r="R15" s="31">
        <f t="shared" si="6"/>
        <v>0.12</v>
      </c>
      <c r="S15" s="154">
        <f t="shared" si="2"/>
        <v>35632.800000000003</v>
      </c>
      <c r="T15" s="154">
        <f t="shared" ref="T15:AB15" si="36">S15*(1+$R15)</f>
        <v>39908.736000000004</v>
      </c>
      <c r="U15" s="154">
        <f t="shared" si="36"/>
        <v>44697.784320000006</v>
      </c>
      <c r="V15" s="154">
        <f t="shared" si="36"/>
        <v>50061.518438400009</v>
      </c>
      <c r="W15" s="154">
        <f t="shared" si="36"/>
        <v>56068.900651008014</v>
      </c>
      <c r="X15" s="154">
        <f t="shared" si="36"/>
        <v>62797.168729128985</v>
      </c>
      <c r="Y15" s="154">
        <f t="shared" si="36"/>
        <v>70332.828976624471</v>
      </c>
      <c r="Z15" s="154">
        <f t="shared" si="36"/>
        <v>78772.768453819415</v>
      </c>
      <c r="AA15" s="154">
        <f t="shared" si="36"/>
        <v>88225.50066827776</v>
      </c>
      <c r="AB15" s="154">
        <f t="shared" si="36"/>
        <v>98812.560748471107</v>
      </c>
      <c r="AC15" s="138">
        <f t="shared" si="19"/>
        <v>0.15892102101841554</v>
      </c>
      <c r="AD15" s="31">
        <f t="shared" si="17"/>
        <v>0.08</v>
      </c>
      <c r="AE15" s="146">
        <f t="shared" si="1"/>
        <v>762268.32577391993</v>
      </c>
    </row>
    <row r="16" spans="2:31" x14ac:dyDescent="0.2">
      <c r="B16" s="20" t="s">
        <v>23</v>
      </c>
      <c r="C16" s="141"/>
      <c r="D16" s="141"/>
      <c r="E16" s="147"/>
      <c r="F16" s="147"/>
      <c r="G16" s="147">
        <v>2658</v>
      </c>
      <c r="H16" s="147">
        <v>3938</v>
      </c>
      <c r="I16" s="147">
        <v>3900</v>
      </c>
      <c r="J16" s="147">
        <v>6064</v>
      </c>
      <c r="K16" s="147">
        <v>9965</v>
      </c>
      <c r="L16" s="147">
        <v>13021</v>
      </c>
      <c r="M16" s="147">
        <v>17779</v>
      </c>
      <c r="N16" s="147">
        <v>26037</v>
      </c>
      <c r="O16" s="147">
        <v>39140</v>
      </c>
      <c r="P16" s="147">
        <v>44647</v>
      </c>
      <c r="Q16" s="118">
        <f t="shared" si="5"/>
        <v>0.36816185654799338</v>
      </c>
      <c r="R16" s="31">
        <f t="shared" si="6"/>
        <v>0.12</v>
      </c>
      <c r="S16" s="154">
        <f t="shared" si="2"/>
        <v>50004.640000000007</v>
      </c>
      <c r="T16" s="154">
        <f t="shared" ref="T16:AB16" si="37">S16*(1+$R16)</f>
        <v>56005.196800000012</v>
      </c>
      <c r="U16" s="154">
        <f t="shared" si="37"/>
        <v>62725.820416000017</v>
      </c>
      <c r="V16" s="154">
        <f t="shared" si="37"/>
        <v>70252.91886592003</v>
      </c>
      <c r="W16" s="154">
        <f t="shared" si="37"/>
        <v>78683.269129830442</v>
      </c>
      <c r="X16" s="154">
        <f t="shared" si="37"/>
        <v>88125.261425410106</v>
      </c>
      <c r="Y16" s="154">
        <f t="shared" si="37"/>
        <v>98700.292796459325</v>
      </c>
      <c r="Z16" s="154">
        <f t="shared" si="37"/>
        <v>110544.32793203446</v>
      </c>
      <c r="AA16" s="154">
        <f t="shared" si="37"/>
        <v>123809.6472838786</v>
      </c>
      <c r="AB16" s="154">
        <f t="shared" si="37"/>
        <v>138666.80495794406</v>
      </c>
      <c r="AC16" s="138">
        <f t="shared" si="19"/>
        <v>0.23137518249718014</v>
      </c>
      <c r="AD16" s="31">
        <f t="shared" si="17"/>
        <v>0.08</v>
      </c>
      <c r="AE16" s="146">
        <f t="shared" si="1"/>
        <v>1069715.3525327113</v>
      </c>
    </row>
    <row r="17" spans="2:31" x14ac:dyDescent="0.2">
      <c r="B17" s="20"/>
      <c r="C17" s="141"/>
      <c r="D17" s="141"/>
      <c r="E17" s="147"/>
      <c r="F17" s="147"/>
      <c r="G17" s="147"/>
      <c r="H17" s="147"/>
      <c r="I17" s="147"/>
      <c r="J17" s="147"/>
      <c r="K17" s="147"/>
      <c r="L17" s="147"/>
      <c r="M17" s="147"/>
      <c r="N17" s="147"/>
      <c r="O17" s="147"/>
      <c r="P17" s="147"/>
      <c r="Q17" s="128"/>
      <c r="R17" s="20"/>
      <c r="S17" s="154"/>
      <c r="T17" s="154"/>
      <c r="U17" s="154"/>
      <c r="V17" s="154"/>
      <c r="W17" s="154"/>
      <c r="X17" s="154"/>
      <c r="Y17" s="154"/>
      <c r="Z17" s="154"/>
      <c r="AA17" s="154"/>
      <c r="AB17" s="154"/>
      <c r="AC17" s="139"/>
      <c r="AD17" s="137"/>
      <c r="AE17" s="154"/>
    </row>
    <row r="18" spans="2:31" x14ac:dyDescent="0.2">
      <c r="B18" s="20" t="s">
        <v>278</v>
      </c>
      <c r="C18" s="141"/>
      <c r="D18" s="141"/>
      <c r="E18" s="147"/>
      <c r="F18" s="147"/>
      <c r="G18" s="147">
        <v>2098</v>
      </c>
      <c r="H18" s="147">
        <v>2039</v>
      </c>
      <c r="I18" s="147">
        <v>2552</v>
      </c>
      <c r="J18" s="147">
        <v>4954</v>
      </c>
      <c r="K18" s="147">
        <v>7211</v>
      </c>
      <c r="L18" s="147">
        <v>12652</v>
      </c>
      <c r="M18" s="147">
        <v>14864</v>
      </c>
      <c r="N18" s="147">
        <v>22881</v>
      </c>
      <c r="O18" s="147">
        <v>26434</v>
      </c>
      <c r="P18" s="147">
        <v>30433</v>
      </c>
      <c r="Q18" s="118">
        <f>((P18/G18)^(1/($H$2-$H$1) ))-1</f>
        <v>0.34604605716809078</v>
      </c>
      <c r="R18" s="31">
        <f t="shared" si="6"/>
        <v>0.12</v>
      </c>
      <c r="S18" s="154">
        <f t="shared" ref="S18:S34" si="38">P18*(1+$R18)</f>
        <v>34084.960000000006</v>
      </c>
      <c r="T18" s="154">
        <f t="shared" ref="T18:T34" si="39">S18*(1+$R18)</f>
        <v>38175.155200000008</v>
      </c>
      <c r="U18" s="154">
        <f t="shared" ref="U18:U34" si="40">T18*(1+$R18)</f>
        <v>42756.173824000012</v>
      </c>
      <c r="V18" s="154">
        <f t="shared" ref="V18:V34" si="41">U18*(1+$R18)</f>
        <v>47886.914682880015</v>
      </c>
      <c r="W18" s="154">
        <f t="shared" ref="W18:W36" si="42">V18*(1+$R18)</f>
        <v>53633.34444482562</v>
      </c>
      <c r="X18" s="154">
        <f t="shared" ref="X18:X36" si="43">W18*(1+$R18)</f>
        <v>60069.345778204697</v>
      </c>
      <c r="Y18" s="154">
        <f t="shared" ref="Y18:Y36" si="44">X18*(1+$R18)</f>
        <v>67277.667271589264</v>
      </c>
      <c r="Z18" s="154">
        <f t="shared" ref="Z18:Z36" si="45">Y18*(1+$R18)</f>
        <v>75350.987344179986</v>
      </c>
      <c r="AA18" s="154">
        <f t="shared" ref="AA18:AA36" si="46">Z18*(1+$R18)</f>
        <v>84393.105825481587</v>
      </c>
      <c r="AB18" s="154">
        <f t="shared" ref="AB18:AB36" si="47">AA18*(1+$R18)</f>
        <v>94520.27852453939</v>
      </c>
      <c r="AC18" s="138">
        <f t="shared" si="19"/>
        <v>0.22190620126111904</v>
      </c>
      <c r="AD18" s="31">
        <f t="shared" si="17"/>
        <v>0.08</v>
      </c>
      <c r="AE18" s="146">
        <f t="shared" si="1"/>
        <v>729156.43433216098</v>
      </c>
    </row>
    <row r="19" spans="2:31" x14ac:dyDescent="0.2">
      <c r="B19" s="20"/>
      <c r="C19" s="141"/>
      <c r="D19" s="141"/>
      <c r="E19" s="147"/>
      <c r="F19" s="147"/>
      <c r="G19" s="147"/>
      <c r="H19" s="147"/>
      <c r="I19" s="147"/>
      <c r="J19" s="147"/>
      <c r="K19" s="147"/>
      <c r="L19" s="147"/>
      <c r="M19" s="147"/>
      <c r="N19" s="147"/>
      <c r="O19" s="147"/>
      <c r="P19" s="147"/>
      <c r="Q19" s="128"/>
      <c r="R19" s="20"/>
      <c r="S19" s="154"/>
      <c r="T19" s="154"/>
      <c r="U19" s="154"/>
      <c r="V19" s="154"/>
      <c r="W19" s="154"/>
      <c r="X19" s="154"/>
      <c r="Y19" s="154"/>
      <c r="Z19" s="154"/>
      <c r="AA19" s="154"/>
      <c r="AB19" s="154"/>
      <c r="AC19" s="139"/>
      <c r="AD19" s="137"/>
      <c r="AE19" s="154"/>
    </row>
    <row r="20" spans="2:31" x14ac:dyDescent="0.2">
      <c r="B20" s="20" t="s">
        <v>284</v>
      </c>
      <c r="C20" s="141"/>
      <c r="D20" s="141"/>
      <c r="E20" s="147"/>
      <c r="F20" s="147"/>
      <c r="G20" s="147">
        <v>330</v>
      </c>
      <c r="H20" s="147">
        <v>112</v>
      </c>
      <c r="I20" s="147">
        <v>1369</v>
      </c>
      <c r="J20" s="147">
        <v>2130</v>
      </c>
      <c r="K20" s="147">
        <v>1945</v>
      </c>
      <c r="L20" s="147">
        <v>1478</v>
      </c>
      <c r="M20" s="147">
        <v>5482</v>
      </c>
      <c r="N20" s="147">
        <v>3833</v>
      </c>
      <c r="O20" s="147">
        <v>1081</v>
      </c>
      <c r="P20" s="147">
        <v>2114</v>
      </c>
      <c r="Q20" s="118">
        <f>((P20/G20)^(1/($H$2-$H$1) ))-1</f>
        <v>0.22919625101426866</v>
      </c>
      <c r="R20" s="31">
        <f t="shared" si="6"/>
        <v>0.12</v>
      </c>
      <c r="S20" s="154">
        <f t="shared" ref="S20:S22" si="48">P20*(1+$R20)</f>
        <v>2367.6800000000003</v>
      </c>
      <c r="T20" s="154">
        <f t="shared" ref="T20:T22" si="49">S20*(1+$R20)</f>
        <v>2651.8016000000007</v>
      </c>
      <c r="U20" s="154">
        <f t="shared" ref="U20:U22" si="50">T20*(1+$R20)</f>
        <v>2970.017792000001</v>
      </c>
      <c r="V20" s="154">
        <f t="shared" ref="V20:V22" si="51">U20*(1+$R20)</f>
        <v>3326.4199270400013</v>
      </c>
      <c r="W20" s="154">
        <f t="shared" ref="W20:W22" si="52">V20*(1+$R20)</f>
        <v>3725.5903182848019</v>
      </c>
      <c r="X20" s="154">
        <f t="shared" ref="X20:X22" si="53">W20*(1+$R20)</f>
        <v>4172.6611564789782</v>
      </c>
      <c r="Y20" s="154">
        <f t="shared" ref="Y20:Y22" si="54">X20*(1+$R20)</f>
        <v>4673.380495256456</v>
      </c>
      <c r="Z20" s="154">
        <f t="shared" ref="Z20:Z22" si="55">Y20*(1+$R20)</f>
        <v>5234.1861546872315</v>
      </c>
      <c r="AA20" s="154">
        <f t="shared" ref="AA20:AA22" si="56">Z20*(1+$R20)</f>
        <v>5862.2884932497</v>
      </c>
      <c r="AB20" s="154">
        <f t="shared" ref="AB20:AB22" si="57">AA20*(1+$R20)</f>
        <v>6565.7631124396648</v>
      </c>
      <c r="AC20" s="138">
        <f t="shared" ref="AC20:AC22" si="58">((AB20/G20)^(1/($AB$3-$H$1) ))-1</f>
        <v>0.17045947762255742</v>
      </c>
      <c r="AD20" s="31">
        <f t="shared" si="17"/>
        <v>0.08</v>
      </c>
      <c r="AE20" s="146">
        <f t="shared" si="1"/>
        <v>50650.172581677412</v>
      </c>
    </row>
    <row r="21" spans="2:31" x14ac:dyDescent="0.2">
      <c r="B21" s="20" t="s">
        <v>285</v>
      </c>
      <c r="C21" s="141"/>
      <c r="D21" s="141"/>
      <c r="E21" s="147"/>
      <c r="F21" s="147"/>
      <c r="G21" s="147">
        <v>200</v>
      </c>
      <c r="H21" s="147">
        <v>236</v>
      </c>
      <c r="I21" s="147">
        <v>-1326</v>
      </c>
      <c r="J21" s="147">
        <v>-1588</v>
      </c>
      <c r="K21" s="147">
        <v>-5241</v>
      </c>
      <c r="L21" s="147">
        <v>-3308</v>
      </c>
      <c r="M21" s="147">
        <v>-6071</v>
      </c>
      <c r="N21" s="147">
        <v>-2409</v>
      </c>
      <c r="O21" s="147">
        <v>-1922</v>
      </c>
      <c r="P21" s="147">
        <v>465</v>
      </c>
      <c r="Q21" s="118">
        <f>((P21/G21)^(1/($H$2-$H$1) ))-1</f>
        <v>9.8281484127477725E-2</v>
      </c>
      <c r="R21" s="31">
        <f t="shared" si="6"/>
        <v>0.12</v>
      </c>
      <c r="S21" s="154">
        <f t="shared" si="48"/>
        <v>520.80000000000007</v>
      </c>
      <c r="T21" s="154">
        <f t="shared" si="49"/>
        <v>583.29600000000016</v>
      </c>
      <c r="U21" s="154">
        <f t="shared" si="50"/>
        <v>653.29152000000022</v>
      </c>
      <c r="V21" s="154">
        <f t="shared" si="51"/>
        <v>731.68650240000034</v>
      </c>
      <c r="W21" s="154">
        <f t="shared" si="52"/>
        <v>819.48888268800044</v>
      </c>
      <c r="X21" s="154">
        <f t="shared" si="53"/>
        <v>917.8275486105606</v>
      </c>
      <c r="Y21" s="154">
        <f t="shared" si="54"/>
        <v>1027.966854443828</v>
      </c>
      <c r="Z21" s="154">
        <f t="shared" si="55"/>
        <v>1151.3228769770874</v>
      </c>
      <c r="AA21" s="154">
        <f t="shared" si="56"/>
        <v>1289.4816222143379</v>
      </c>
      <c r="AB21" s="154">
        <f t="shared" si="57"/>
        <v>1444.2194168800586</v>
      </c>
      <c r="AC21" s="138">
        <f t="shared" si="58"/>
        <v>0.10965925899700402</v>
      </c>
      <c r="AD21" s="31">
        <f t="shared" si="17"/>
        <v>0.08</v>
      </c>
      <c r="AE21" s="146">
        <f t="shared" si="1"/>
        <v>11141.12121593188</v>
      </c>
    </row>
    <row r="22" spans="2:31" x14ac:dyDescent="0.2">
      <c r="B22" s="20" t="s">
        <v>286</v>
      </c>
      <c r="C22" s="141"/>
      <c r="D22" s="141"/>
      <c r="E22" s="147"/>
      <c r="F22" s="147"/>
      <c r="G22" s="147">
        <v>-475</v>
      </c>
      <c r="H22" s="147">
        <v>104</v>
      </c>
      <c r="I22" s="147">
        <v>-288</v>
      </c>
      <c r="J22" s="147">
        <v>-31</v>
      </c>
      <c r="K22" s="147">
        <v>3167</v>
      </c>
      <c r="L22" s="147">
        <v>1640</v>
      </c>
      <c r="M22" s="147">
        <v>1245</v>
      </c>
      <c r="N22" s="147">
        <v>-1125</v>
      </c>
      <c r="O22" s="147">
        <v>1015</v>
      </c>
      <c r="P22" s="147">
        <v>-2990</v>
      </c>
      <c r="Q22" s="118">
        <f>((P22/G22)^(1/($H$2-$H$1) ))-1</f>
        <v>0.22680429149409598</v>
      </c>
      <c r="R22" s="31">
        <f t="shared" si="6"/>
        <v>0.12</v>
      </c>
      <c r="S22" s="154">
        <f t="shared" si="48"/>
        <v>-3348.8</v>
      </c>
      <c r="T22" s="154">
        <f t="shared" si="49"/>
        <v>-3750.6560000000004</v>
      </c>
      <c r="U22" s="154">
        <f t="shared" si="50"/>
        <v>-4200.7347200000013</v>
      </c>
      <c r="V22" s="154">
        <f t="shared" si="51"/>
        <v>-4704.8228864000021</v>
      </c>
      <c r="W22" s="154">
        <f t="shared" si="52"/>
        <v>-5269.4016327680029</v>
      </c>
      <c r="X22" s="154">
        <f t="shared" si="53"/>
        <v>-5901.729828700164</v>
      </c>
      <c r="Y22" s="154">
        <f t="shared" si="54"/>
        <v>-6609.9374081441847</v>
      </c>
      <c r="Z22" s="154">
        <f t="shared" si="55"/>
        <v>-7403.1298971214874</v>
      </c>
      <c r="AA22" s="154">
        <f t="shared" si="56"/>
        <v>-8291.5054847760675</v>
      </c>
      <c r="AB22" s="154">
        <f t="shared" si="57"/>
        <v>-9286.4861429491957</v>
      </c>
      <c r="AC22" s="138">
        <f t="shared" si="58"/>
        <v>0.16938003278800395</v>
      </c>
      <c r="AD22" s="31">
        <f t="shared" si="17"/>
        <v>0.08</v>
      </c>
      <c r="AE22" s="146">
        <f t="shared" si="1"/>
        <v>-71638.607388465229</v>
      </c>
    </row>
    <row r="23" spans="2:31" x14ac:dyDescent="0.2">
      <c r="B23" s="20" t="s">
        <v>296</v>
      </c>
      <c r="C23" s="141"/>
      <c r="D23" s="141"/>
      <c r="E23" s="147"/>
      <c r="F23" s="147"/>
      <c r="G23" s="147">
        <v>375</v>
      </c>
      <c r="H23" s="147">
        <v>828</v>
      </c>
      <c r="I23" s="147">
        <v>583</v>
      </c>
      <c r="J23" s="147">
        <v>1094</v>
      </c>
      <c r="K23" s="147">
        <v>965</v>
      </c>
      <c r="L23" s="147">
        <v>775</v>
      </c>
      <c r="M23" s="147">
        <v>1431</v>
      </c>
      <c r="N23" s="147">
        <v>1730</v>
      </c>
      <c r="O23" s="147">
        <v>1905</v>
      </c>
      <c r="P23" s="147">
        <v>1495</v>
      </c>
      <c r="Q23" s="118">
        <f>((P23/G23)^(1/($H$2-$H$1) ))-1</f>
        <v>0.16609635036627646</v>
      </c>
      <c r="R23" s="31">
        <f t="shared" si="6"/>
        <v>0.12</v>
      </c>
      <c r="S23" s="154">
        <f t="shared" ref="S23" si="59">P23*(1+$R23)</f>
        <v>1674.4</v>
      </c>
      <c r="T23" s="154">
        <f t="shared" ref="T23" si="60">S23*(1+$R23)</f>
        <v>1875.3280000000002</v>
      </c>
      <c r="U23" s="154">
        <f t="shared" ref="U23" si="61">T23*(1+$R23)</f>
        <v>2100.3673600000006</v>
      </c>
      <c r="V23" s="154">
        <f t="shared" ref="V23" si="62">U23*(1+$R23)</f>
        <v>2352.411443200001</v>
      </c>
      <c r="W23" s="154">
        <f t="shared" ref="W23" si="63">V23*(1+$R23)</f>
        <v>2634.7008163840014</v>
      </c>
      <c r="X23" s="154">
        <f t="shared" ref="X23" si="64">W23*(1+$R23)</f>
        <v>2950.864914350082</v>
      </c>
      <c r="Y23" s="154">
        <f t="shared" ref="Y23" si="65">X23*(1+$R23)</f>
        <v>3304.9687040720924</v>
      </c>
      <c r="Z23" s="154">
        <f t="shared" ref="Z23" si="66">Y23*(1+$R23)</f>
        <v>3701.5649485607437</v>
      </c>
      <c r="AA23" s="154">
        <f t="shared" ref="AA23" si="67">Z23*(1+$R23)</f>
        <v>4145.7527423880338</v>
      </c>
      <c r="AB23" s="154">
        <f t="shared" ref="AB23" si="68">AA23*(1+$R23)</f>
        <v>4643.2430714745979</v>
      </c>
      <c r="AC23" s="138">
        <f t="shared" ref="AC23" si="69">((AB23/G23)^(1/($AB$3-$H$1) ))-1</f>
        <v>0.14160344622492871</v>
      </c>
      <c r="AD23" s="31">
        <f t="shared" si="17"/>
        <v>0.08</v>
      </c>
      <c r="AE23" s="146">
        <f t="shared" si="1"/>
        <v>35819.303694232614</v>
      </c>
    </row>
    <row r="24" spans="2:31" x14ac:dyDescent="0.2">
      <c r="B24" s="20"/>
      <c r="C24" s="141"/>
      <c r="D24" s="141"/>
      <c r="E24" s="147"/>
      <c r="F24" s="147"/>
      <c r="G24" s="147"/>
      <c r="H24" s="147"/>
      <c r="I24" s="147"/>
      <c r="J24" s="147"/>
      <c r="K24" s="147"/>
      <c r="L24" s="147"/>
      <c r="M24" s="147"/>
      <c r="N24" s="147"/>
      <c r="O24" s="147"/>
      <c r="P24" s="147"/>
      <c r="Q24" s="128"/>
      <c r="R24" s="20"/>
      <c r="S24" s="154"/>
      <c r="T24" s="154"/>
      <c r="U24" s="154"/>
      <c r="V24" s="154"/>
      <c r="W24" s="154"/>
      <c r="X24" s="154"/>
      <c r="Y24" s="154"/>
      <c r="Z24" s="154"/>
      <c r="AA24" s="154"/>
      <c r="AB24" s="154"/>
      <c r="AC24" s="119"/>
      <c r="AD24" s="137"/>
      <c r="AE24" s="154"/>
    </row>
    <row r="25" spans="2:31" x14ac:dyDescent="0.2">
      <c r="B25" s="20" t="s">
        <v>89</v>
      </c>
      <c r="C25" s="141"/>
      <c r="D25" s="141"/>
      <c r="E25" s="147"/>
      <c r="F25" s="147"/>
      <c r="G25" s="147">
        <v>11876</v>
      </c>
      <c r="H25" s="147">
        <v>15123</v>
      </c>
      <c r="I25" s="147">
        <v>16959</v>
      </c>
      <c r="J25" s="147">
        <v>21575</v>
      </c>
      <c r="K25" s="147">
        <v>30714</v>
      </c>
      <c r="L25" s="147">
        <v>42135</v>
      </c>
      <c r="M25" s="147">
        <v>46258</v>
      </c>
      <c r="N25" s="147">
        <v>53275</v>
      </c>
      <c r="O25" s="147">
        <v>65815</v>
      </c>
      <c r="P25" s="147">
        <v>77510</v>
      </c>
      <c r="Q25" s="118">
        <f>((P25/G25)^(1/($H$2-$H$1) ))-1</f>
        <v>0.23174508688949813</v>
      </c>
      <c r="R25" s="31">
        <f t="shared" si="6"/>
        <v>0.12</v>
      </c>
      <c r="S25" s="154">
        <f t="shared" si="38"/>
        <v>86811.200000000012</v>
      </c>
      <c r="T25" s="154">
        <f t="shared" si="39"/>
        <v>97228.544000000024</v>
      </c>
      <c r="U25" s="154">
        <f t="shared" si="40"/>
        <v>108895.96928000003</v>
      </c>
      <c r="V25" s="154">
        <f t="shared" si="41"/>
        <v>121963.48559360005</v>
      </c>
      <c r="W25" s="154">
        <f t="shared" si="42"/>
        <v>136599.10386483208</v>
      </c>
      <c r="X25" s="154">
        <f t="shared" si="43"/>
        <v>152990.99632861195</v>
      </c>
      <c r="Y25" s="154">
        <f t="shared" si="44"/>
        <v>171349.91588804539</v>
      </c>
      <c r="Z25" s="154">
        <f t="shared" si="45"/>
        <v>191911.90579461085</v>
      </c>
      <c r="AA25" s="154">
        <f t="shared" si="46"/>
        <v>214941.33448996418</v>
      </c>
      <c r="AB25" s="154">
        <f t="shared" si="47"/>
        <v>240734.2946287599</v>
      </c>
      <c r="AC25" s="138">
        <f t="shared" si="19"/>
        <v>0.17160850171569542</v>
      </c>
      <c r="AD25" s="31">
        <f t="shared" si="17"/>
        <v>0.08</v>
      </c>
      <c r="AE25" s="146">
        <f t="shared" si="1"/>
        <v>1857093.1299932906</v>
      </c>
    </row>
    <row r="26" spans="2:31" s="123" customFormat="1" x14ac:dyDescent="0.2">
      <c r="B26" s="23"/>
      <c r="C26" s="149"/>
      <c r="D26" s="149"/>
      <c r="E26" s="150"/>
      <c r="F26" s="150"/>
      <c r="G26" s="148">
        <f>(G25-F25)/G25</f>
        <v>1</v>
      </c>
      <c r="H26" s="148">
        <f>(H25-G25)/H25</f>
        <v>0.2147060768366065</v>
      </c>
      <c r="I26" s="148">
        <f t="shared" ref="I26" si="70">(I25-H25)/I25</f>
        <v>0.10826110030072528</v>
      </c>
      <c r="J26" s="148">
        <f t="shared" ref="J26" si="71">(J25-I25)/J25</f>
        <v>0.21395133256083429</v>
      </c>
      <c r="K26" s="148">
        <f t="shared" ref="K26" si="72">(K25-J25)/K25</f>
        <v>0.29755160513121054</v>
      </c>
      <c r="L26" s="148">
        <f t="shared" ref="L26" si="73">(L25-K25)/L25</f>
        <v>0.27105731577073694</v>
      </c>
      <c r="M26" s="148">
        <f t="shared" ref="M26" si="74">(M25-L25)/M25</f>
        <v>8.9130528773401357E-2</v>
      </c>
      <c r="N26" s="148">
        <f t="shared" ref="N26" si="75">(N25-M25)/N25</f>
        <v>0.13171281088690756</v>
      </c>
      <c r="O26" s="148">
        <f t="shared" ref="O26" si="76">(O25-N25)/O25</f>
        <v>0.19053407277976145</v>
      </c>
      <c r="P26" s="148">
        <f t="shared" ref="P26" si="77">(P25-O25)/P25</f>
        <v>0.15088375693458908</v>
      </c>
      <c r="Q26" s="128"/>
      <c r="R26" s="20"/>
      <c r="S26" s="155"/>
      <c r="T26" s="155"/>
      <c r="U26" s="155"/>
      <c r="V26" s="155"/>
      <c r="W26" s="155"/>
      <c r="X26" s="155"/>
      <c r="Y26" s="155"/>
      <c r="Z26" s="155"/>
      <c r="AA26" s="155"/>
      <c r="AB26" s="155"/>
      <c r="AC26" s="119"/>
      <c r="AD26" s="137"/>
      <c r="AE26" s="154"/>
    </row>
    <row r="27" spans="2:31" x14ac:dyDescent="0.2">
      <c r="B27" s="20" t="s">
        <v>262</v>
      </c>
      <c r="C27" s="141"/>
      <c r="D27" s="141"/>
      <c r="E27" s="147"/>
      <c r="F27" s="147"/>
      <c r="G27" s="147">
        <v>10518</v>
      </c>
      <c r="H27" s="147">
        <v>13189</v>
      </c>
      <c r="I27" s="147">
        <v>14595</v>
      </c>
      <c r="J27" s="147">
        <v>17746</v>
      </c>
      <c r="K27" s="147">
        <v>25883</v>
      </c>
      <c r="L27" s="147">
        <v>34696</v>
      </c>
      <c r="M27" s="147">
        <v>35298</v>
      </c>
      <c r="N27" s="147">
        <v>44322</v>
      </c>
      <c r="O27" s="147">
        <v>56160</v>
      </c>
      <c r="P27" s="147">
        <v>66153</v>
      </c>
      <c r="Q27" s="118">
        <f>((P27/G27)^(1/($H$2-$H$1) ))-1</f>
        <v>0.22669092686016934</v>
      </c>
      <c r="R27" s="31">
        <f t="shared" si="6"/>
        <v>0.12</v>
      </c>
      <c r="S27" s="154">
        <f t="shared" si="38"/>
        <v>74091.360000000001</v>
      </c>
      <c r="T27" s="154">
        <f t="shared" si="39"/>
        <v>82982.323200000013</v>
      </c>
      <c r="U27" s="154">
        <f t="shared" si="40"/>
        <v>92940.201984000028</v>
      </c>
      <c r="V27" s="154">
        <f t="shared" si="41"/>
        <v>104093.02622208004</v>
      </c>
      <c r="W27" s="154">
        <f t="shared" si="42"/>
        <v>116584.18936872965</v>
      </c>
      <c r="X27" s="154">
        <f t="shared" si="43"/>
        <v>130574.29209297722</v>
      </c>
      <c r="Y27" s="154">
        <f t="shared" si="44"/>
        <v>146243.2071441345</v>
      </c>
      <c r="Z27" s="154">
        <f t="shared" si="45"/>
        <v>163792.39200143065</v>
      </c>
      <c r="AA27" s="154">
        <f t="shared" si="46"/>
        <v>183447.47904160235</v>
      </c>
      <c r="AB27" s="154">
        <f t="shared" si="47"/>
        <v>205461.17652659465</v>
      </c>
      <c r="AC27" s="138">
        <f t="shared" si="19"/>
        <v>0.16932884605079934</v>
      </c>
      <c r="AD27" s="31">
        <f t="shared" si="17"/>
        <v>0.08</v>
      </c>
      <c r="AE27" s="146">
        <f t="shared" si="1"/>
        <v>1584986.2189194444</v>
      </c>
    </row>
    <row r="28" spans="2:31" s="123" customFormat="1" x14ac:dyDescent="0.2">
      <c r="B28" s="23"/>
      <c r="C28" s="149"/>
      <c r="D28" s="149"/>
      <c r="E28" s="150"/>
      <c r="F28" s="150"/>
      <c r="G28" s="148">
        <f t="shared" ref="G28:M28" si="78">(G27-F27)/G27</f>
        <v>1</v>
      </c>
      <c r="H28" s="148">
        <f t="shared" si="78"/>
        <v>0.2025172492228372</v>
      </c>
      <c r="I28" s="148">
        <f t="shared" si="78"/>
        <v>9.633436108256252E-2</v>
      </c>
      <c r="J28" s="148">
        <f t="shared" si="78"/>
        <v>0.17756114053871294</v>
      </c>
      <c r="K28" s="148">
        <f t="shared" si="78"/>
        <v>0.31437623150330335</v>
      </c>
      <c r="L28" s="148">
        <f t="shared" si="78"/>
        <v>0.25400622550149871</v>
      </c>
      <c r="M28" s="148">
        <f t="shared" si="78"/>
        <v>1.70547906396963E-2</v>
      </c>
      <c r="N28" s="148">
        <f t="shared" ref="N28" si="79">(N27-M27)/N27</f>
        <v>0.2036009205360769</v>
      </c>
      <c r="O28" s="148">
        <f t="shared" ref="O28" si="80">(O27-N27)/O27</f>
        <v>0.21079059829059829</v>
      </c>
      <c r="P28" s="148">
        <f t="shared" ref="P28" si="81">(P27-O27)/P27</f>
        <v>0.15105890889302073</v>
      </c>
      <c r="Q28" s="128"/>
      <c r="R28" s="20"/>
      <c r="S28" s="155"/>
      <c r="T28" s="155"/>
      <c r="U28" s="155"/>
      <c r="V28" s="155"/>
      <c r="W28" s="155"/>
      <c r="X28" s="155"/>
      <c r="Y28" s="155"/>
      <c r="Z28" s="155"/>
      <c r="AA28" s="155"/>
      <c r="AB28" s="155"/>
      <c r="AC28" s="119"/>
      <c r="AD28" s="137"/>
      <c r="AE28" s="154"/>
    </row>
    <row r="29" spans="2:31" s="123" customFormat="1" x14ac:dyDescent="0.2">
      <c r="B29" s="20" t="s">
        <v>325</v>
      </c>
      <c r="C29" s="149"/>
      <c r="D29" s="149"/>
      <c r="E29" s="150"/>
      <c r="F29" s="147"/>
      <c r="G29" s="147">
        <v>87</v>
      </c>
      <c r="H29" s="147">
        <v>328</v>
      </c>
      <c r="I29" s="147">
        <v>382</v>
      </c>
      <c r="J29" s="147">
        <v>489</v>
      </c>
      <c r="K29" s="147">
        <v>917</v>
      </c>
      <c r="L29" s="147">
        <v>1586</v>
      </c>
      <c r="M29" s="147">
        <v>1870</v>
      </c>
      <c r="N29" s="147">
        <v>830</v>
      </c>
      <c r="O29" s="147">
        <v>1101</v>
      </c>
      <c r="P29" s="147">
        <v>2095</v>
      </c>
      <c r="Q29" s="118">
        <f>((P29/G29)^(1/($H$2-$H$1) ))-1</f>
        <v>0.42402727726503686</v>
      </c>
      <c r="R29" s="31">
        <f t="shared" si="6"/>
        <v>0.12</v>
      </c>
      <c r="S29" s="154">
        <f t="shared" ref="S29" si="82">P29*(1+$R29)</f>
        <v>2346.4</v>
      </c>
      <c r="T29" s="154">
        <f t="shared" ref="T29" si="83">S29*(1+$R29)</f>
        <v>2627.9680000000003</v>
      </c>
      <c r="U29" s="154">
        <f t="shared" ref="U29" si="84">T29*(1+$R29)</f>
        <v>2943.3241600000006</v>
      </c>
      <c r="V29" s="154">
        <f t="shared" ref="V29" si="85">U29*(1+$R29)</f>
        <v>3296.5230592000012</v>
      </c>
      <c r="W29" s="154">
        <f t="shared" ref="W29" si="86">V29*(1+$R29)</f>
        <v>3692.1058263040018</v>
      </c>
      <c r="X29" s="154">
        <f t="shared" ref="X29" si="87">W29*(1+$R29)</f>
        <v>4135.1585254604825</v>
      </c>
      <c r="Y29" s="154">
        <f t="shared" ref="Y29" si="88">X29*(1+$R29)</f>
        <v>4631.3775485157412</v>
      </c>
      <c r="Z29" s="154">
        <f t="shared" ref="Z29" si="89">Y29*(1+$R29)</f>
        <v>5187.1428543376305</v>
      </c>
      <c r="AA29" s="154">
        <f t="shared" ref="AA29" si="90">Z29*(1+$R29)</f>
        <v>5809.5999968581464</v>
      </c>
      <c r="AB29" s="154">
        <f t="shared" ref="AB29" si="91">AA29*(1+$R29)</f>
        <v>6506.7519964811245</v>
      </c>
      <c r="AC29" s="138">
        <f t="shared" ref="AC29" si="92">((AB29/G29)^(1/($AB$3-$H$1) ))-1</f>
        <v>0.25494132600524377</v>
      </c>
      <c r="AD29" s="31">
        <f t="shared" si="17"/>
        <v>0.08</v>
      </c>
      <c r="AE29" s="146">
        <f t="shared" ref="AE29" si="93">(AB29*(1+AD29))/($C$1-AD29)</f>
        <v>50194.943972854388</v>
      </c>
    </row>
    <row r="30" spans="2:31" s="123" customFormat="1" x14ac:dyDescent="0.2">
      <c r="B30" s="23"/>
      <c r="C30" s="149"/>
      <c r="D30" s="149"/>
      <c r="E30" s="150"/>
      <c r="F30" s="150"/>
      <c r="G30" s="148">
        <f t="shared" ref="G30:L30" si="94">(G29-F29)/G29</f>
        <v>1</v>
      </c>
      <c r="H30" s="148">
        <f t="shared" si="94"/>
        <v>0.7347560975609756</v>
      </c>
      <c r="I30" s="148">
        <f t="shared" si="94"/>
        <v>0.14136125654450263</v>
      </c>
      <c r="J30" s="148">
        <f t="shared" si="94"/>
        <v>0.21881390593047034</v>
      </c>
      <c r="K30" s="148">
        <f t="shared" si="94"/>
        <v>0.46673936750272627</v>
      </c>
      <c r="L30" s="148">
        <f t="shared" si="94"/>
        <v>0.4218158890290038</v>
      </c>
      <c r="M30" s="148">
        <f t="shared" ref="M30" si="95">(M29-L29)/M29</f>
        <v>0.15187165775401071</v>
      </c>
      <c r="N30" s="148">
        <f t="shared" ref="N30" si="96">(N29-M29)/N29</f>
        <v>-1.2530120481927711</v>
      </c>
      <c r="O30" s="148">
        <f t="shared" ref="O30" si="97">(O29-N29)/O29</f>
        <v>0.24613987284287012</v>
      </c>
      <c r="P30" s="148">
        <f t="shared" ref="P30" si="98">(P29-O29)/P29</f>
        <v>0.47446300715990453</v>
      </c>
      <c r="Q30" s="128"/>
      <c r="R30" s="20"/>
      <c r="S30" s="155"/>
      <c r="T30" s="155"/>
      <c r="U30" s="155"/>
      <c r="V30" s="155"/>
      <c r="W30" s="155"/>
      <c r="X30" s="155"/>
      <c r="Y30" s="155"/>
      <c r="Z30" s="155"/>
      <c r="AA30" s="155"/>
      <c r="AB30" s="155"/>
      <c r="AC30" s="162"/>
      <c r="AD30" s="137"/>
      <c r="AE30" s="154"/>
    </row>
    <row r="31" spans="2:31" x14ac:dyDescent="0.2">
      <c r="B31" s="20" t="s">
        <v>333</v>
      </c>
      <c r="C31" s="141"/>
      <c r="D31" s="141"/>
      <c r="E31" s="147"/>
      <c r="F31" s="147"/>
      <c r="G31" s="147"/>
      <c r="H31" s="147"/>
      <c r="I31" s="147"/>
      <c r="J31" s="147"/>
      <c r="K31" s="147"/>
      <c r="L31" s="147"/>
      <c r="M31" s="147"/>
      <c r="N31" s="147"/>
      <c r="O31" s="147"/>
      <c r="P31" s="147"/>
      <c r="Q31" s="118" t="e">
        <f>((P31/G31)^(1/($H$2-$H$1) ))-1</f>
        <v>#DIV/0!</v>
      </c>
      <c r="R31" s="31">
        <f t="shared" si="6"/>
        <v>0.12</v>
      </c>
      <c r="S31" s="154">
        <f>P31*(1+$R31)</f>
        <v>0</v>
      </c>
      <c r="T31" s="154">
        <f>S31*(1+$R31)</f>
        <v>0</v>
      </c>
      <c r="U31" s="154">
        <f t="shared" ref="U31:AB32" si="99">T31*(1+$R31)</f>
        <v>0</v>
      </c>
      <c r="V31" s="154">
        <f t="shared" si="99"/>
        <v>0</v>
      </c>
      <c r="W31" s="154">
        <f t="shared" si="99"/>
        <v>0</v>
      </c>
      <c r="X31" s="154">
        <f t="shared" si="99"/>
        <v>0</v>
      </c>
      <c r="Y31" s="154">
        <f t="shared" si="99"/>
        <v>0</v>
      </c>
      <c r="Z31" s="154">
        <f t="shared" si="99"/>
        <v>0</v>
      </c>
      <c r="AA31" s="154">
        <f t="shared" si="99"/>
        <v>0</v>
      </c>
      <c r="AB31" s="154">
        <f t="shared" si="99"/>
        <v>0</v>
      </c>
      <c r="AC31" s="138" t="e">
        <f t="shared" ref="AC31" si="100">((AB31/G31)^(1/($AB$3-$H$1) ))-1</f>
        <v>#DIV/0!</v>
      </c>
      <c r="AD31" s="31">
        <f t="shared" si="17"/>
        <v>0.08</v>
      </c>
      <c r="AE31" s="146">
        <f t="shared" si="1"/>
        <v>0</v>
      </c>
    </row>
    <row r="32" spans="2:31" x14ac:dyDescent="0.2">
      <c r="B32" s="20" t="s">
        <v>332</v>
      </c>
      <c r="C32" s="141"/>
      <c r="D32" s="141"/>
      <c r="E32" s="147"/>
      <c r="F32" s="147"/>
      <c r="G32" s="147"/>
      <c r="H32" s="147"/>
      <c r="I32" s="147"/>
      <c r="J32" s="147"/>
      <c r="K32" s="147"/>
      <c r="L32" s="147"/>
      <c r="M32" s="147"/>
      <c r="N32" s="147"/>
      <c r="O32" s="147"/>
      <c r="P32" s="147"/>
      <c r="Q32" s="118" t="e">
        <f>((P32/G32)^(1/($H$2-$H$1) ))-1</f>
        <v>#DIV/0!</v>
      </c>
      <c r="R32" s="31">
        <f t="shared" si="6"/>
        <v>0.12</v>
      </c>
      <c r="S32" s="154">
        <f>P32*(1+$R32)</f>
        <v>0</v>
      </c>
      <c r="T32" s="154">
        <f>S32*(1+$R32)</f>
        <v>0</v>
      </c>
      <c r="U32" s="154">
        <f t="shared" si="99"/>
        <v>0</v>
      </c>
      <c r="V32" s="154">
        <f t="shared" si="99"/>
        <v>0</v>
      </c>
      <c r="W32" s="154">
        <f t="shared" si="99"/>
        <v>0</v>
      </c>
      <c r="X32" s="154">
        <f t="shared" si="99"/>
        <v>0</v>
      </c>
      <c r="Y32" s="154">
        <f t="shared" si="99"/>
        <v>0</v>
      </c>
      <c r="Z32" s="154">
        <f t="shared" si="99"/>
        <v>0</v>
      </c>
      <c r="AA32" s="154">
        <f t="shared" si="99"/>
        <v>0</v>
      </c>
      <c r="AB32" s="154">
        <f t="shared" si="99"/>
        <v>0</v>
      </c>
      <c r="AC32" s="138" t="e">
        <f t="shared" ref="AC32" si="101">((AB32/G32)^(1/($AB$3-$H$1) ))-1</f>
        <v>#DIV/0!</v>
      </c>
      <c r="AD32" s="31">
        <f t="shared" si="17"/>
        <v>0.08</v>
      </c>
      <c r="AE32" s="146">
        <f t="shared" si="1"/>
        <v>0</v>
      </c>
    </row>
    <row r="33" spans="2:31" x14ac:dyDescent="0.2">
      <c r="B33" s="20" t="s">
        <v>317</v>
      </c>
      <c r="C33" s="141"/>
      <c r="D33" s="141"/>
      <c r="E33" s="147"/>
      <c r="F33" s="147"/>
      <c r="G33" s="147">
        <v>3267</v>
      </c>
      <c r="H33" s="147">
        <v>5277</v>
      </c>
      <c r="I33" s="147">
        <v>4542</v>
      </c>
      <c r="J33" s="147">
        <v>5390</v>
      </c>
      <c r="K33" s="147">
        <v>8783</v>
      </c>
      <c r="L33" s="147">
        <v>10011</v>
      </c>
      <c r="M33" s="147">
        <v>9413</v>
      </c>
      <c r="N33" s="147">
        <v>0</v>
      </c>
      <c r="O33" s="147">
        <v>15775</v>
      </c>
      <c r="P33" s="147">
        <v>13204</v>
      </c>
      <c r="Q33" s="118">
        <f>((P33/G33)^(1/($H$2-$H$1) ))-1</f>
        <v>0.16787175048228176</v>
      </c>
      <c r="R33" s="31">
        <f t="shared" si="6"/>
        <v>0.12</v>
      </c>
      <c r="S33" s="154">
        <f t="shared" si="38"/>
        <v>14788.480000000001</v>
      </c>
      <c r="T33" s="154">
        <f t="shared" si="39"/>
        <v>16563.097600000005</v>
      </c>
      <c r="U33" s="154">
        <f t="shared" si="40"/>
        <v>18550.669312000005</v>
      </c>
      <c r="V33" s="154">
        <f t="shared" si="41"/>
        <v>20776.749629440008</v>
      </c>
      <c r="W33" s="154">
        <f t="shared" si="42"/>
        <v>23269.95958497281</v>
      </c>
      <c r="X33" s="154">
        <f t="shared" si="43"/>
        <v>26062.354735169549</v>
      </c>
      <c r="Y33" s="154">
        <f t="shared" si="44"/>
        <v>29189.837303389897</v>
      </c>
      <c r="Z33" s="154">
        <f t="shared" si="45"/>
        <v>32692.617779796688</v>
      </c>
      <c r="AA33" s="154">
        <f t="shared" si="46"/>
        <v>36615.731913372292</v>
      </c>
      <c r="AB33" s="154">
        <f t="shared" si="47"/>
        <v>41009.619742976975</v>
      </c>
      <c r="AC33" s="138">
        <f t="shared" si="19"/>
        <v>0.14242643153244794</v>
      </c>
      <c r="AD33" s="31">
        <f t="shared" si="17"/>
        <v>0.08</v>
      </c>
      <c r="AE33" s="146">
        <f t="shared" si="1"/>
        <v>316359.9237315366</v>
      </c>
    </row>
    <row r="34" spans="2:31" x14ac:dyDescent="0.2">
      <c r="B34" s="20" t="s">
        <v>309</v>
      </c>
      <c r="C34" s="141"/>
      <c r="D34" s="141"/>
      <c r="E34" s="147"/>
      <c r="F34" s="147"/>
      <c r="G34" s="147">
        <v>765</v>
      </c>
      <c r="H34" s="147">
        <v>871</v>
      </c>
      <c r="I34" s="147">
        <v>1044</v>
      </c>
      <c r="J34" s="147">
        <v>188</v>
      </c>
      <c r="K34" s="147">
        <v>2049</v>
      </c>
      <c r="L34" s="147">
        <v>2666</v>
      </c>
      <c r="M34" s="147">
        <v>3065</v>
      </c>
      <c r="N34" s="147">
        <v>3801</v>
      </c>
      <c r="O34" s="147">
        <v>4994</v>
      </c>
      <c r="P34" s="147">
        <v>6224</v>
      </c>
      <c r="Q34" s="118">
        <f>((P34/G34)^(1/($H$2-$H$1) ))-1</f>
        <v>0.26228220843348216</v>
      </c>
      <c r="R34" s="31">
        <f t="shared" si="6"/>
        <v>0.12</v>
      </c>
      <c r="S34" s="154">
        <f t="shared" si="38"/>
        <v>6970.880000000001</v>
      </c>
      <c r="T34" s="154">
        <f t="shared" si="39"/>
        <v>7807.3856000000014</v>
      </c>
      <c r="U34" s="154">
        <f t="shared" si="40"/>
        <v>8744.271872000003</v>
      </c>
      <c r="V34" s="154">
        <f t="shared" si="41"/>
        <v>9793.5844966400036</v>
      </c>
      <c r="W34" s="154">
        <f t="shared" si="42"/>
        <v>10968.814636236804</v>
      </c>
      <c r="X34" s="154">
        <f t="shared" si="43"/>
        <v>12285.072392585222</v>
      </c>
      <c r="Y34" s="154">
        <f t="shared" si="44"/>
        <v>13759.281079695449</v>
      </c>
      <c r="Z34" s="154">
        <f t="shared" si="45"/>
        <v>15410.394809258905</v>
      </c>
      <c r="AA34" s="154">
        <f t="shared" si="46"/>
        <v>17259.642186369976</v>
      </c>
      <c r="AB34" s="154">
        <f t="shared" si="47"/>
        <v>19330.799248734376</v>
      </c>
      <c r="AC34" s="138">
        <f t="shared" si="19"/>
        <v>0.18527859306012062</v>
      </c>
      <c r="AD34" s="31">
        <f t="shared" si="17"/>
        <v>0.08</v>
      </c>
      <c r="AE34" s="146">
        <f t="shared" si="1"/>
        <v>149123.30849023661</v>
      </c>
    </row>
    <row r="35" spans="2:31" x14ac:dyDescent="0.2">
      <c r="B35" s="20"/>
      <c r="C35" s="141"/>
      <c r="D35" s="141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28"/>
      <c r="R35" s="20"/>
      <c r="S35" s="154"/>
      <c r="T35" s="154"/>
      <c r="U35" s="154"/>
      <c r="V35" s="154"/>
      <c r="W35" s="154"/>
      <c r="X35" s="154"/>
      <c r="Y35" s="154"/>
      <c r="Z35" s="154"/>
      <c r="AA35" s="154"/>
      <c r="AB35" s="154"/>
      <c r="AC35" s="139"/>
      <c r="AD35" s="137"/>
      <c r="AE35" s="154"/>
    </row>
    <row r="36" spans="2:31" x14ac:dyDescent="0.2">
      <c r="B36" s="20" t="s">
        <v>279</v>
      </c>
      <c r="C36" s="141"/>
      <c r="D36" s="141"/>
      <c r="E36" s="147"/>
      <c r="F36" s="147"/>
      <c r="G36" s="147">
        <v>783</v>
      </c>
      <c r="H36" s="147">
        <v>1428</v>
      </c>
      <c r="I36" s="147">
        <v>1855</v>
      </c>
      <c r="J36" s="147">
        <v>2925</v>
      </c>
      <c r="K36" s="147">
        <v>4287</v>
      </c>
      <c r="L36" s="147">
        <v>5896</v>
      </c>
      <c r="M36" s="147">
        <v>7286</v>
      </c>
      <c r="N36" s="147">
        <v>7766</v>
      </c>
      <c r="O36" s="147">
        <v>8769</v>
      </c>
      <c r="P36" s="147">
        <v>9859</v>
      </c>
      <c r="Q36" s="118">
        <f>((P36/G36)^(1/($H$2-$H$1) ))-1</f>
        <v>0.32504345948201729</v>
      </c>
      <c r="R36" s="31">
        <f t="shared" si="6"/>
        <v>0.12</v>
      </c>
      <c r="S36" s="154">
        <f t="shared" ref="S36" si="102">P36*(1+$R36)</f>
        <v>11042.080000000002</v>
      </c>
      <c r="T36" s="154">
        <f t="shared" ref="T36" si="103">S36*(1+$R36)</f>
        <v>12367.129600000004</v>
      </c>
      <c r="U36" s="154">
        <f t="shared" ref="U36" si="104">T36*(1+$R36)</f>
        <v>13851.185152000005</v>
      </c>
      <c r="V36" s="154">
        <f t="shared" ref="V36" si="105">U36*(1+$R36)</f>
        <v>15513.327370240007</v>
      </c>
      <c r="W36" s="154">
        <f t="shared" si="42"/>
        <v>17374.926654668809</v>
      </c>
      <c r="X36" s="154">
        <f t="shared" si="43"/>
        <v>19459.917853229068</v>
      </c>
      <c r="Y36" s="154">
        <f t="shared" si="44"/>
        <v>21795.107995616559</v>
      </c>
      <c r="Z36" s="154">
        <f t="shared" si="45"/>
        <v>24410.520955090549</v>
      </c>
      <c r="AA36" s="154">
        <f t="shared" si="46"/>
        <v>27339.783469701419</v>
      </c>
      <c r="AB36" s="154">
        <f t="shared" si="47"/>
        <v>30620.557486065591</v>
      </c>
      <c r="AC36" s="138">
        <f t="shared" si="19"/>
        <v>0.21283773765323111</v>
      </c>
      <c r="AD36" s="31">
        <f t="shared" si="17"/>
        <v>0.08</v>
      </c>
      <c r="AE36" s="146">
        <f t="shared" si="1"/>
        <v>236215.72917822027</v>
      </c>
    </row>
    <row r="37" spans="2:31" s="123" customFormat="1" x14ac:dyDescent="0.2">
      <c r="B37" s="23"/>
      <c r="C37" s="149"/>
      <c r="D37" s="149"/>
      <c r="E37" s="150"/>
      <c r="F37" s="150"/>
      <c r="G37" s="148">
        <f t="shared" ref="G37" si="106">(G36-F36)/G36</f>
        <v>1</v>
      </c>
      <c r="H37" s="148">
        <f t="shared" ref="H37" si="107">(H36-G36)/H36</f>
        <v>0.45168067226890757</v>
      </c>
      <c r="I37" s="148">
        <f t="shared" ref="I37" si="108">(I36-H36)/I36</f>
        <v>0.23018867924528302</v>
      </c>
      <c r="J37" s="148">
        <f t="shared" ref="J37" si="109">(J36-I36)/J36</f>
        <v>0.36581196581196579</v>
      </c>
      <c r="K37" s="148">
        <f t="shared" ref="K37" si="110">(K36-J36)/K36</f>
        <v>0.31770468859342199</v>
      </c>
      <c r="L37" s="148">
        <f t="shared" ref="L37" si="111">(L36-K36)/L36</f>
        <v>0.27289687924016282</v>
      </c>
      <c r="M37" s="148">
        <f t="shared" ref="M37" si="112">(M36-L36)/M36</f>
        <v>0.19077683228108702</v>
      </c>
      <c r="N37" s="148">
        <f t="shared" ref="N37" si="113">(N36-M36)/N36</f>
        <v>6.1807880504764358E-2</v>
      </c>
      <c r="O37" s="148">
        <f t="shared" ref="O37" si="114">(O36-N36)/O36</f>
        <v>0.11438020298779793</v>
      </c>
      <c r="P37" s="148">
        <f t="shared" ref="P37" si="115">(P36-O36)/P36</f>
        <v>0.11055888021097475</v>
      </c>
      <c r="Q37" s="128"/>
      <c r="R37" s="20"/>
      <c r="S37" s="155"/>
      <c r="T37" s="155"/>
      <c r="U37" s="155"/>
      <c r="V37" s="155"/>
      <c r="W37" s="155"/>
      <c r="X37" s="155"/>
      <c r="Y37" s="155"/>
      <c r="Z37" s="155"/>
      <c r="AA37" s="155"/>
      <c r="AB37" s="155"/>
      <c r="AC37" s="139"/>
      <c r="AD37" s="137"/>
      <c r="AE37" s="156"/>
    </row>
    <row r="38" spans="2:31" x14ac:dyDescent="0.2">
      <c r="B38" s="20" t="s">
        <v>257</v>
      </c>
      <c r="C38" s="141"/>
      <c r="D38" s="141"/>
      <c r="E38" s="147"/>
      <c r="F38" s="147"/>
      <c r="G38" s="147">
        <v>760</v>
      </c>
      <c r="H38" s="147">
        <v>1120</v>
      </c>
      <c r="I38" s="147">
        <v>1290</v>
      </c>
      <c r="J38" s="147">
        <v>2261</v>
      </c>
      <c r="K38" s="147">
        <v>2257</v>
      </c>
      <c r="L38" s="147">
        <v>2934</v>
      </c>
      <c r="M38" s="147">
        <v>5442</v>
      </c>
      <c r="N38" s="147">
        <v>4447</v>
      </c>
      <c r="O38" s="147">
        <v>4682</v>
      </c>
      <c r="P38" s="147">
        <v>5239</v>
      </c>
      <c r="Q38" s="118">
        <f>((P38/G38)^(1/($H$2-$H$1) ))-1</f>
        <v>0.23925141341512868</v>
      </c>
      <c r="R38" s="31">
        <f t="shared" si="6"/>
        <v>0.12</v>
      </c>
      <c r="S38" s="154">
        <f>P38*(1+$R38)</f>
        <v>5867.68</v>
      </c>
      <c r="T38" s="154">
        <f t="shared" ref="T38:AB38" si="116">S38*(1+$R38)</f>
        <v>6571.8016000000007</v>
      </c>
      <c r="U38" s="154">
        <f t="shared" si="116"/>
        <v>7360.4177920000011</v>
      </c>
      <c r="V38" s="154">
        <f t="shared" si="116"/>
        <v>8243.6679270400018</v>
      </c>
      <c r="W38" s="154">
        <f t="shared" si="116"/>
        <v>9232.9080782848032</v>
      </c>
      <c r="X38" s="154">
        <f t="shared" si="116"/>
        <v>10340.857047678981</v>
      </c>
      <c r="Y38" s="154">
        <f t="shared" si="116"/>
        <v>11581.75989340046</v>
      </c>
      <c r="Z38" s="154">
        <f t="shared" si="116"/>
        <v>12971.571080608517</v>
      </c>
      <c r="AA38" s="154">
        <f t="shared" si="116"/>
        <v>14528.15961028154</v>
      </c>
      <c r="AB38" s="154">
        <f t="shared" si="116"/>
        <v>16271.538763515326</v>
      </c>
      <c r="AC38" s="138">
        <f t="shared" si="19"/>
        <v>0.17498512922431742</v>
      </c>
      <c r="AD38" s="31">
        <f t="shared" si="17"/>
        <v>0.08</v>
      </c>
      <c r="AE38" s="146">
        <f t="shared" si="1"/>
        <v>125523.29903283251</v>
      </c>
    </row>
    <row r="39" spans="2:31" s="123" customFormat="1" x14ac:dyDescent="0.2">
      <c r="B39" s="23"/>
      <c r="C39" s="149"/>
      <c r="D39" s="149"/>
      <c r="E39" s="150"/>
      <c r="F39" s="150"/>
      <c r="G39" s="148">
        <f>(G38-F38)/G38</f>
        <v>1</v>
      </c>
      <c r="H39" s="148">
        <f t="shared" ref="H39:P39" si="117">(H38-G38)/H38</f>
        <v>0.32142857142857145</v>
      </c>
      <c r="I39" s="148">
        <f t="shared" si="117"/>
        <v>0.13178294573643412</v>
      </c>
      <c r="J39" s="148">
        <f t="shared" si="117"/>
        <v>0.42945599292348519</v>
      </c>
      <c r="K39" s="148">
        <f t="shared" si="117"/>
        <v>-1.7722640673460345E-3</v>
      </c>
      <c r="L39" s="148">
        <f t="shared" si="117"/>
        <v>0.23074301295160191</v>
      </c>
      <c r="M39" s="148">
        <f t="shared" si="117"/>
        <v>0.46085997794928335</v>
      </c>
      <c r="N39" s="148">
        <f t="shared" si="117"/>
        <v>-0.22374634585113559</v>
      </c>
      <c r="O39" s="148">
        <f t="shared" si="117"/>
        <v>5.0192225544639042E-2</v>
      </c>
      <c r="P39" s="148">
        <f t="shared" si="117"/>
        <v>0.10631799961824775</v>
      </c>
      <c r="Q39" s="128"/>
      <c r="R39" s="20"/>
      <c r="S39" s="155"/>
      <c r="T39" s="155"/>
      <c r="U39" s="155"/>
      <c r="V39" s="155"/>
      <c r="W39" s="155"/>
      <c r="X39" s="155"/>
      <c r="Y39" s="155"/>
      <c r="Z39" s="155"/>
      <c r="AA39" s="155"/>
      <c r="AB39" s="155"/>
      <c r="AC39" s="139"/>
      <c r="AD39" s="137"/>
      <c r="AE39" s="156"/>
    </row>
    <row r="40" spans="2:31" x14ac:dyDescent="0.2">
      <c r="B40" s="20" t="s">
        <v>239</v>
      </c>
      <c r="C40" s="142">
        <v>1</v>
      </c>
      <c r="D40" s="142">
        <v>1</v>
      </c>
      <c r="E40" s="143">
        <v>1</v>
      </c>
      <c r="F40" s="147">
        <v>12.44</v>
      </c>
      <c r="G40" s="147">
        <v>12.44</v>
      </c>
      <c r="H40" s="147">
        <v>12.99</v>
      </c>
      <c r="I40" s="147">
        <v>13.73</v>
      </c>
      <c r="J40" s="147">
        <v>28.32</v>
      </c>
      <c r="K40" s="147">
        <v>29.23</v>
      </c>
      <c r="L40" s="147">
        <v>58.56</v>
      </c>
      <c r="M40" s="147">
        <v>60.21</v>
      </c>
      <c r="N40" s="147">
        <v>60.88</v>
      </c>
      <c r="O40" s="147">
        <v>61.23</v>
      </c>
      <c r="P40" s="147">
        <v>61.53</v>
      </c>
      <c r="Q40" s="118">
        <f>((P40/G40)^(1/($H$2-$H$1) ))-1</f>
        <v>0.19437505962980528</v>
      </c>
      <c r="R40" s="31">
        <f t="shared" si="6"/>
        <v>0.12</v>
      </c>
      <c r="S40" s="154">
        <f>P40*(1.5)</f>
        <v>92.295000000000002</v>
      </c>
      <c r="T40" s="154">
        <f t="shared" ref="T40:AB40" si="118">S40*(1+$R40)</f>
        <v>103.37040000000002</v>
      </c>
      <c r="U40" s="154">
        <f t="shared" si="118"/>
        <v>115.77484800000003</v>
      </c>
      <c r="V40" s="154">
        <f t="shared" si="118"/>
        <v>129.66782976000005</v>
      </c>
      <c r="W40" s="154">
        <f t="shared" si="118"/>
        <v>145.22796933120006</v>
      </c>
      <c r="X40" s="154">
        <f t="shared" si="118"/>
        <v>162.65532565094409</v>
      </c>
      <c r="Y40" s="154">
        <f t="shared" si="118"/>
        <v>182.17396472905739</v>
      </c>
      <c r="Z40" s="154">
        <f t="shared" si="118"/>
        <v>204.03484049654429</v>
      </c>
      <c r="AA40" s="154">
        <f t="shared" si="118"/>
        <v>228.51902135612963</v>
      </c>
      <c r="AB40" s="154">
        <f t="shared" si="118"/>
        <v>255.9413039188652</v>
      </c>
      <c r="AC40" s="138">
        <f t="shared" si="19"/>
        <v>0.17252498339538036</v>
      </c>
      <c r="AD40" s="31">
        <f t="shared" si="17"/>
        <v>0.08</v>
      </c>
      <c r="AE40" s="146">
        <f t="shared" si="1"/>
        <v>1974.40434451696</v>
      </c>
    </row>
    <row r="41" spans="2:31" x14ac:dyDescent="0.2">
      <c r="B41" s="20" t="s">
        <v>283</v>
      </c>
      <c r="C41" s="145"/>
      <c r="D41" s="145"/>
      <c r="E41" s="145"/>
      <c r="F41" s="147"/>
      <c r="G41" s="147">
        <v>80</v>
      </c>
      <c r="H41" s="147">
        <v>27.5</v>
      </c>
      <c r="I41" s="147">
        <v>22</v>
      </c>
      <c r="J41" s="147">
        <v>13</v>
      </c>
      <c r="K41" s="173">
        <v>17</v>
      </c>
      <c r="L41" s="173">
        <v>10.5</v>
      </c>
      <c r="M41" s="173">
        <v>12.5</v>
      </c>
      <c r="N41" s="173">
        <v>14.5</v>
      </c>
      <c r="O41" s="173">
        <v>16.5</v>
      </c>
      <c r="P41" s="147">
        <v>18.5</v>
      </c>
      <c r="Q41" s="118">
        <f>((P41/G41)^(1/($H$2-$H$1) ))-1</f>
        <v>-0.15014973198187687</v>
      </c>
      <c r="R41" s="31">
        <v>0.05</v>
      </c>
      <c r="S41" s="154">
        <f t="shared" ref="S41" si="119">P41*(1+$R41)</f>
        <v>19.425000000000001</v>
      </c>
      <c r="T41" s="154">
        <f t="shared" ref="T41" si="120">S41*(1+$R41)</f>
        <v>20.396250000000002</v>
      </c>
      <c r="U41" s="154">
        <f t="shared" ref="U41" si="121">T41*(1+$R41)</f>
        <v>21.416062500000002</v>
      </c>
      <c r="V41" s="154">
        <f t="shared" ref="V41" si="122">U41*(1+$R41)</f>
        <v>22.486865625000004</v>
      </c>
      <c r="W41" s="154">
        <f t="shared" ref="W41" si="123">V41*(1+$R41)</f>
        <v>23.611208906250006</v>
      </c>
      <c r="X41" s="154">
        <f t="shared" ref="X41" si="124">W41*(1+$R41)</f>
        <v>24.791769351562507</v>
      </c>
      <c r="Y41" s="154">
        <f t="shared" ref="Y41" si="125">X41*(1+$R41)</f>
        <v>26.031357819140634</v>
      </c>
      <c r="Z41" s="154">
        <f t="shared" ref="Z41" si="126">Y41*(1+$R41)</f>
        <v>27.332925710097665</v>
      </c>
      <c r="AA41" s="154">
        <f t="shared" ref="AA41" si="127">Z41*(1+$R41)</f>
        <v>28.69957199560255</v>
      </c>
      <c r="AB41" s="154">
        <f t="shared" ref="AB41" si="128">AA41*(1+$R41)</f>
        <v>30.134550595382681</v>
      </c>
      <c r="AC41" s="138">
        <f t="shared" ref="AC41" si="129">((AB41/G41)^(1/($AB$3-$H$1) ))-1</f>
        <v>-5.008907919995953E-2</v>
      </c>
      <c r="AD41" s="31">
        <f t="shared" si="17"/>
        <v>0.08</v>
      </c>
      <c r="AE41" s="146">
        <f t="shared" si="1"/>
        <v>232.46653316438068</v>
      </c>
    </row>
    <row r="42" spans="2:31" x14ac:dyDescent="0.2">
      <c r="B42" s="20"/>
      <c r="C42" s="20"/>
      <c r="D42" s="20"/>
      <c r="E42" s="127"/>
      <c r="F42" s="127"/>
      <c r="G42" s="127"/>
      <c r="H42" s="20"/>
      <c r="I42" s="20"/>
      <c r="J42" s="20"/>
      <c r="K42" s="20"/>
      <c r="L42" s="20"/>
      <c r="M42" s="20"/>
      <c r="N42" s="20"/>
      <c r="O42" s="20"/>
      <c r="P42" s="20"/>
      <c r="Q42" s="128"/>
      <c r="R42" s="128"/>
      <c r="S42" s="154"/>
      <c r="T42" s="154"/>
      <c r="U42" s="154"/>
      <c r="V42" s="154"/>
      <c r="W42" s="154"/>
      <c r="X42" s="154"/>
      <c r="Y42" s="154"/>
      <c r="Z42" s="154"/>
      <c r="AA42" s="154"/>
      <c r="AB42" s="154"/>
      <c r="AC42" s="139"/>
      <c r="AD42" s="137"/>
      <c r="AE42" s="154"/>
    </row>
    <row r="43" spans="2:31" x14ac:dyDescent="0.2">
      <c r="B43" s="108" t="s">
        <v>243</v>
      </c>
      <c r="C43" s="20"/>
      <c r="D43" s="20"/>
      <c r="E43" s="127"/>
      <c r="F43" s="127"/>
      <c r="G43" s="127"/>
      <c r="H43" s="20"/>
      <c r="I43" s="20"/>
      <c r="J43" s="20"/>
      <c r="K43" s="20"/>
      <c r="L43" s="20"/>
      <c r="M43" s="20"/>
      <c r="N43" s="20"/>
      <c r="O43" s="20"/>
      <c r="P43" s="20"/>
      <c r="Q43" s="128"/>
      <c r="R43" s="128"/>
      <c r="S43" s="154"/>
      <c r="T43" s="154"/>
      <c r="U43" s="154"/>
      <c r="V43" s="154"/>
      <c r="W43" s="154"/>
      <c r="X43" s="154"/>
      <c r="Y43" s="154"/>
      <c r="Z43" s="154"/>
      <c r="AA43" s="154"/>
      <c r="AB43" s="154"/>
      <c r="AC43" s="139"/>
      <c r="AD43" s="137"/>
      <c r="AE43" s="154"/>
    </row>
    <row r="44" spans="2:31" x14ac:dyDescent="0.2">
      <c r="B44" s="20" t="s">
        <v>304</v>
      </c>
      <c r="C44" s="133">
        <f t="shared" ref="C44:P44" si="130">C25/C40</f>
        <v>0</v>
      </c>
      <c r="D44" s="133">
        <f t="shared" si="130"/>
        <v>0</v>
      </c>
      <c r="E44" s="133">
        <f t="shared" si="130"/>
        <v>0</v>
      </c>
      <c r="F44" s="133">
        <f t="shared" si="130"/>
        <v>0</v>
      </c>
      <c r="G44" s="133">
        <f t="shared" si="130"/>
        <v>954.66237942122189</v>
      </c>
      <c r="H44" s="133">
        <f t="shared" si="130"/>
        <v>1164.203233256351</v>
      </c>
      <c r="I44" s="133">
        <f t="shared" si="130"/>
        <v>1235.1784413692644</v>
      </c>
      <c r="J44" s="133">
        <f t="shared" si="130"/>
        <v>761.82909604519773</v>
      </c>
      <c r="K44" s="133">
        <f t="shared" si="130"/>
        <v>1050.769757098871</v>
      </c>
      <c r="L44" s="133">
        <f t="shared" si="130"/>
        <v>719.51844262295083</v>
      </c>
      <c r="M44" s="133">
        <f t="shared" si="130"/>
        <v>768.27769473509386</v>
      </c>
      <c r="N44" s="133">
        <f t="shared" si="130"/>
        <v>875.0821287779238</v>
      </c>
      <c r="O44" s="133">
        <f t="shared" si="130"/>
        <v>1074.8815939898743</v>
      </c>
      <c r="P44" s="133">
        <f t="shared" si="130"/>
        <v>1259.7107102226555</v>
      </c>
      <c r="Q44" s="118">
        <f>((P44/G44)^(1/($H$2-$H$1) ))-1</f>
        <v>3.1288351978209894E-2</v>
      </c>
      <c r="R44" s="128"/>
      <c r="S44" s="158">
        <f t="shared" ref="S44:AB44" si="131">S25/S40</f>
        <v>940.58399696624963</v>
      </c>
      <c r="T44" s="158">
        <f t="shared" si="131"/>
        <v>940.58399696624963</v>
      </c>
      <c r="U44" s="158">
        <f t="shared" si="131"/>
        <v>940.58399696624952</v>
      </c>
      <c r="V44" s="158">
        <f t="shared" si="131"/>
        <v>940.58399696624963</v>
      </c>
      <c r="W44" s="158">
        <f t="shared" si="131"/>
        <v>940.58399696624974</v>
      </c>
      <c r="X44" s="158">
        <f t="shared" si="131"/>
        <v>940.58399696624963</v>
      </c>
      <c r="Y44" s="158">
        <f t="shared" si="131"/>
        <v>940.58399696624963</v>
      </c>
      <c r="Z44" s="158">
        <f t="shared" si="131"/>
        <v>940.58399696624963</v>
      </c>
      <c r="AA44" s="158">
        <f t="shared" si="131"/>
        <v>940.58399696624974</v>
      </c>
      <c r="AB44" s="158">
        <f t="shared" si="131"/>
        <v>940.58399696624974</v>
      </c>
      <c r="AC44" s="138">
        <f t="shared" ref="AC44" si="132">((AB44/G44)^(1/($AB$3-$H$1) ))-1</f>
        <v>-7.8163083317073223E-4</v>
      </c>
      <c r="AD44" s="31">
        <f t="shared" si="17"/>
        <v>0.08</v>
      </c>
      <c r="AE44" s="146">
        <f t="shared" ref="AE44:AE45" si="133">(AB44*(1+AD44))/($C$1-AD44)</f>
        <v>7255.933690882498</v>
      </c>
    </row>
    <row r="45" spans="2:31" x14ac:dyDescent="0.2">
      <c r="B45" s="20" t="s">
        <v>305</v>
      </c>
      <c r="C45" s="133">
        <f t="shared" ref="C45:P45" si="134">C27/C40</f>
        <v>0</v>
      </c>
      <c r="D45" s="133">
        <f t="shared" si="134"/>
        <v>0</v>
      </c>
      <c r="E45" s="133">
        <f t="shared" si="134"/>
        <v>0</v>
      </c>
      <c r="F45" s="133">
        <f t="shared" si="134"/>
        <v>0</v>
      </c>
      <c r="G45" s="133">
        <f t="shared" si="134"/>
        <v>845.49839228295821</v>
      </c>
      <c r="H45" s="133">
        <f t="shared" si="134"/>
        <v>1015.3194765204003</v>
      </c>
      <c r="I45" s="133">
        <f t="shared" si="134"/>
        <v>1063.0007283321195</v>
      </c>
      <c r="J45" s="133">
        <f t="shared" si="134"/>
        <v>626.62429378531078</v>
      </c>
      <c r="K45" s="133">
        <f t="shared" si="134"/>
        <v>885.49435511460831</v>
      </c>
      <c r="L45" s="133">
        <f t="shared" si="134"/>
        <v>592.48633879781414</v>
      </c>
      <c r="M45" s="133">
        <f t="shared" si="134"/>
        <v>586.24813153961134</v>
      </c>
      <c r="N45" s="133">
        <f t="shared" si="134"/>
        <v>728.02233902759519</v>
      </c>
      <c r="O45" s="133">
        <f t="shared" si="134"/>
        <v>917.19745222929942</v>
      </c>
      <c r="P45" s="133">
        <f t="shared" si="134"/>
        <v>1075.1340809361286</v>
      </c>
      <c r="Q45" s="118">
        <f>((P45/G45)^(1/($H$2-$H$1) ))-1</f>
        <v>2.7056716372142242E-2</v>
      </c>
      <c r="R45" s="128"/>
      <c r="S45" s="158">
        <f t="shared" ref="S45:AB45" si="135">S27/S40</f>
        <v>802.76678043230947</v>
      </c>
      <c r="T45" s="158">
        <f t="shared" si="135"/>
        <v>802.76678043230947</v>
      </c>
      <c r="U45" s="158">
        <f t="shared" si="135"/>
        <v>802.76678043230947</v>
      </c>
      <c r="V45" s="158">
        <f t="shared" si="135"/>
        <v>802.76678043230947</v>
      </c>
      <c r="W45" s="158">
        <f t="shared" si="135"/>
        <v>802.76678043230947</v>
      </c>
      <c r="X45" s="158">
        <f t="shared" si="135"/>
        <v>802.76678043230947</v>
      </c>
      <c r="Y45" s="158">
        <f t="shared" si="135"/>
        <v>802.76678043230947</v>
      </c>
      <c r="Z45" s="158">
        <f t="shared" si="135"/>
        <v>802.76678043230947</v>
      </c>
      <c r="AA45" s="158">
        <f t="shared" si="135"/>
        <v>802.76678043230947</v>
      </c>
      <c r="AB45" s="158">
        <f t="shared" si="135"/>
        <v>802.76678043230947</v>
      </c>
      <c r="AC45" s="138">
        <f t="shared" ref="AC45" si="136">((AB45/G45)^(1/($AB$3-$H$1) ))-1</f>
        <v>-2.7258586297458365E-3</v>
      </c>
      <c r="AD45" s="31">
        <f t="shared" si="17"/>
        <v>0.08</v>
      </c>
      <c r="AE45" s="146">
        <f t="shared" si="133"/>
        <v>6192.7723061921015</v>
      </c>
    </row>
    <row r="46" spans="2:31" x14ac:dyDescent="0.2">
      <c r="B46" s="20"/>
      <c r="C46" s="133"/>
      <c r="D46" s="133"/>
      <c r="E46" s="133"/>
      <c r="F46" s="133"/>
      <c r="G46" s="133"/>
      <c r="H46" s="133"/>
      <c r="I46" s="133"/>
      <c r="J46" s="133"/>
      <c r="K46" s="133"/>
      <c r="L46" s="133"/>
      <c r="M46" s="133"/>
      <c r="N46" s="133"/>
      <c r="O46" s="133"/>
      <c r="P46" s="133"/>
      <c r="Q46" s="128"/>
      <c r="R46" s="128"/>
      <c r="S46" s="158"/>
      <c r="T46" s="158"/>
      <c r="U46" s="158"/>
      <c r="V46" s="158"/>
      <c r="W46" s="158"/>
      <c r="X46" s="158"/>
      <c r="Y46" s="158"/>
      <c r="Z46" s="158"/>
      <c r="AA46" s="158"/>
      <c r="AB46" s="158"/>
      <c r="AC46" s="119"/>
      <c r="AD46" s="137"/>
      <c r="AE46" s="146"/>
    </row>
    <row r="47" spans="2:31" x14ac:dyDescent="0.2">
      <c r="B47" s="20" t="s">
        <v>258</v>
      </c>
      <c r="C47" s="25">
        <f t="shared" ref="C47:P47" si="137">C38/C40</f>
        <v>0</v>
      </c>
      <c r="D47" s="25">
        <f t="shared" si="137"/>
        <v>0</v>
      </c>
      <c r="E47" s="25">
        <f t="shared" si="137"/>
        <v>0</v>
      </c>
      <c r="F47" s="133">
        <f t="shared" si="137"/>
        <v>0</v>
      </c>
      <c r="G47" s="133">
        <f t="shared" si="137"/>
        <v>61.09324758842444</v>
      </c>
      <c r="H47" s="133">
        <f t="shared" si="137"/>
        <v>86.220169361046956</v>
      </c>
      <c r="I47" s="133">
        <f t="shared" si="137"/>
        <v>93.954843408594314</v>
      </c>
      <c r="J47" s="133">
        <f t="shared" si="137"/>
        <v>79.837570621468927</v>
      </c>
      <c r="K47" s="133">
        <f t="shared" si="137"/>
        <v>77.215189873417714</v>
      </c>
      <c r="L47" s="133">
        <f t="shared" si="137"/>
        <v>50.102459016393439</v>
      </c>
      <c r="M47" s="133">
        <f t="shared" si="137"/>
        <v>90.383657199800695</v>
      </c>
      <c r="N47" s="133">
        <f t="shared" si="137"/>
        <v>73.045335085413925</v>
      </c>
      <c r="O47" s="133">
        <f t="shared" si="137"/>
        <v>76.465784746039532</v>
      </c>
      <c r="P47" s="133">
        <f t="shared" si="137"/>
        <v>85.145457500406309</v>
      </c>
      <c r="Q47" s="118">
        <f>((P47/G47)^(1/($H$2-$H$1) ))-1</f>
        <v>3.7573083449375488E-2</v>
      </c>
      <c r="R47" s="128"/>
      <c r="S47" s="158">
        <f t="shared" ref="S47:AB47" si="138">S38/S40</f>
        <v>63.575274933636713</v>
      </c>
      <c r="T47" s="158">
        <f t="shared" si="138"/>
        <v>63.575274933636706</v>
      </c>
      <c r="U47" s="158">
        <f t="shared" si="138"/>
        <v>63.575274933636699</v>
      </c>
      <c r="V47" s="158">
        <f t="shared" si="138"/>
        <v>63.575274933636699</v>
      </c>
      <c r="W47" s="158">
        <f t="shared" si="138"/>
        <v>63.575274933636706</v>
      </c>
      <c r="X47" s="158">
        <f t="shared" si="138"/>
        <v>63.575274933636706</v>
      </c>
      <c r="Y47" s="158">
        <f t="shared" si="138"/>
        <v>63.575274933636706</v>
      </c>
      <c r="Z47" s="158">
        <f t="shared" si="138"/>
        <v>63.575274933636713</v>
      </c>
      <c r="AA47" s="158">
        <f t="shared" si="138"/>
        <v>63.575274933636713</v>
      </c>
      <c r="AB47" s="158">
        <f t="shared" si="138"/>
        <v>63.575274933636706</v>
      </c>
      <c r="AC47" s="138">
        <f t="shared" ref="AC47:AC61" si="139">((AB47/G47)^(1/($AB$3-$H$1) ))-1</f>
        <v>2.0981606906258499E-3</v>
      </c>
      <c r="AD47" s="31">
        <f t="shared" si="17"/>
        <v>0.08</v>
      </c>
      <c r="AE47" s="146">
        <f t="shared" ref="AE47:AE75" si="140">(AB47*(1+AD47))/($C$1-AD47)</f>
        <v>490.4378352023403</v>
      </c>
    </row>
    <row r="48" spans="2:31" x14ac:dyDescent="0.2">
      <c r="B48" s="20" t="s">
        <v>389</v>
      </c>
      <c r="C48" s="133">
        <f t="shared" ref="C48:F48" si="141">C20/C40</f>
        <v>0</v>
      </c>
      <c r="D48" s="133">
        <f t="shared" si="141"/>
        <v>0</v>
      </c>
      <c r="E48" s="133">
        <f t="shared" si="141"/>
        <v>0</v>
      </c>
      <c r="F48" s="133">
        <f t="shared" si="141"/>
        <v>0</v>
      </c>
      <c r="G48" s="133">
        <f>G20/G40</f>
        <v>26.527331189710612</v>
      </c>
      <c r="H48" s="133">
        <f t="shared" ref="H48:P48" si="142">H20/H40</f>
        <v>8.6220169361046963</v>
      </c>
      <c r="I48" s="133">
        <f t="shared" si="142"/>
        <v>99.708667152221409</v>
      </c>
      <c r="J48" s="133">
        <f t="shared" si="142"/>
        <v>75.211864406779654</v>
      </c>
      <c r="K48" s="133">
        <f t="shared" si="142"/>
        <v>66.541224769072869</v>
      </c>
      <c r="L48" s="133">
        <f t="shared" si="142"/>
        <v>25.239071038251364</v>
      </c>
      <c r="M48" s="133">
        <f t="shared" si="142"/>
        <v>91.04799867131706</v>
      </c>
      <c r="N48" s="133">
        <f t="shared" si="142"/>
        <v>62.959921156373191</v>
      </c>
      <c r="O48" s="133">
        <f t="shared" si="142"/>
        <v>17.654744406336764</v>
      </c>
      <c r="P48" s="133">
        <f t="shared" si="142"/>
        <v>34.357224118316267</v>
      </c>
      <c r="Q48" s="118">
        <f>((P48/G48)^(1/($H$2-$H$1) ))-1</f>
        <v>2.9154318908213295E-2</v>
      </c>
      <c r="R48" s="128"/>
      <c r="S48" s="133">
        <f t="shared" ref="S48:AB48" si="143">S20/S40</f>
        <v>25.653394008342815</v>
      </c>
      <c r="T48" s="133">
        <f t="shared" si="143"/>
        <v>25.653394008342815</v>
      </c>
      <c r="U48" s="133">
        <f t="shared" si="143"/>
        <v>25.653394008342815</v>
      </c>
      <c r="V48" s="133">
        <f t="shared" si="143"/>
        <v>25.653394008342815</v>
      </c>
      <c r="W48" s="133">
        <f t="shared" si="143"/>
        <v>25.653394008342818</v>
      </c>
      <c r="X48" s="133">
        <f t="shared" si="143"/>
        <v>25.653394008342811</v>
      </c>
      <c r="Y48" s="133">
        <f t="shared" si="143"/>
        <v>25.653394008342815</v>
      </c>
      <c r="Z48" s="133">
        <f t="shared" si="143"/>
        <v>25.653394008342815</v>
      </c>
      <c r="AA48" s="133">
        <f t="shared" si="143"/>
        <v>25.653394008342818</v>
      </c>
      <c r="AB48" s="133">
        <f t="shared" si="143"/>
        <v>25.653394008342818</v>
      </c>
      <c r="AC48" s="138">
        <f t="shared" ref="AC48" si="144">((AB48/G48)^(1/($AB$3-$H$1) ))-1</f>
        <v>-1.7615878570379495E-3</v>
      </c>
      <c r="AD48" s="31">
        <f t="shared" si="17"/>
        <v>0.08</v>
      </c>
      <c r="AE48" s="146">
        <f t="shared" si="140"/>
        <v>197.89761092150175</v>
      </c>
    </row>
    <row r="49" spans="2:31" x14ac:dyDescent="0.2">
      <c r="B49" s="20" t="s">
        <v>245</v>
      </c>
      <c r="C49" s="25">
        <f t="shared" ref="C49:P49" si="145">C7/C40</f>
        <v>0</v>
      </c>
      <c r="D49" s="25">
        <f t="shared" si="145"/>
        <v>0</v>
      </c>
      <c r="E49" s="25">
        <f t="shared" si="145"/>
        <v>0</v>
      </c>
      <c r="F49" s="133">
        <f t="shared" si="145"/>
        <v>0</v>
      </c>
      <c r="G49" s="133">
        <f t="shared" si="145"/>
        <v>212.78135048231513</v>
      </c>
      <c r="H49" s="133">
        <f t="shared" si="145"/>
        <v>255.19630484988451</v>
      </c>
      <c r="I49" s="133">
        <f t="shared" si="145"/>
        <v>361.5440640932265</v>
      </c>
      <c r="J49" s="133">
        <f t="shared" si="145"/>
        <v>244.38559322033899</v>
      </c>
      <c r="K49" s="133">
        <f t="shared" si="145"/>
        <v>370.54396168320221</v>
      </c>
      <c r="L49" s="133">
        <f t="shared" si="145"/>
        <v>238.84904371584699</v>
      </c>
      <c r="M49" s="133">
        <f t="shared" si="145"/>
        <v>348.6297957149975</v>
      </c>
      <c r="N49" s="133">
        <f t="shared" si="145"/>
        <v>411.46517739816028</v>
      </c>
      <c r="O49" s="133">
        <f t="shared" si="145"/>
        <v>479.9281398007513</v>
      </c>
      <c r="P49" s="133">
        <f t="shared" si="145"/>
        <v>550.28441410693972</v>
      </c>
      <c r="Q49" s="118">
        <f>((P49/G49)^(1/($H$2-$H$1) ))-1</f>
        <v>0.11134885324447263</v>
      </c>
      <c r="R49" s="128"/>
      <c r="S49" s="158">
        <f t="shared" ref="S49:AB49" si="146">S7/S40</f>
        <v>410.87902919984833</v>
      </c>
      <c r="T49" s="158">
        <f t="shared" si="146"/>
        <v>410.87902919984828</v>
      </c>
      <c r="U49" s="158">
        <f t="shared" si="146"/>
        <v>410.87902919984828</v>
      </c>
      <c r="V49" s="158">
        <f t="shared" si="146"/>
        <v>410.87902919984828</v>
      </c>
      <c r="W49" s="158">
        <f t="shared" si="146"/>
        <v>410.87902919984828</v>
      </c>
      <c r="X49" s="158">
        <f t="shared" si="146"/>
        <v>410.87902919984828</v>
      </c>
      <c r="Y49" s="158">
        <f t="shared" si="146"/>
        <v>410.87902919984828</v>
      </c>
      <c r="Z49" s="158">
        <f t="shared" si="146"/>
        <v>410.87902919984833</v>
      </c>
      <c r="AA49" s="158">
        <f t="shared" si="146"/>
        <v>410.87902919984833</v>
      </c>
      <c r="AB49" s="158">
        <f t="shared" si="146"/>
        <v>410.87902919984833</v>
      </c>
      <c r="AC49" s="138">
        <f t="shared" si="139"/>
        <v>3.5240072434982839E-2</v>
      </c>
      <c r="AD49" s="31">
        <f t="shared" si="17"/>
        <v>0.08</v>
      </c>
      <c r="AE49" s="146">
        <f t="shared" si="140"/>
        <v>3169.6382252559729</v>
      </c>
    </row>
    <row r="50" spans="2:31" x14ac:dyDescent="0.2">
      <c r="B50" s="20" t="s">
        <v>246</v>
      </c>
      <c r="C50" s="127">
        <f t="shared" ref="C50:P50" si="147">C6/C40</f>
        <v>0</v>
      </c>
      <c r="D50" s="127">
        <f t="shared" si="147"/>
        <v>0</v>
      </c>
      <c r="E50" s="127">
        <f t="shared" si="147"/>
        <v>0</v>
      </c>
      <c r="F50" s="144">
        <f t="shared" si="147"/>
        <v>0</v>
      </c>
      <c r="G50" s="144">
        <f t="shared" si="147"/>
        <v>210.77170418006432</v>
      </c>
      <c r="H50" s="144">
        <f t="shared" si="147"/>
        <v>248.65280985373363</v>
      </c>
      <c r="I50" s="144">
        <f t="shared" si="147"/>
        <v>354.84340859431899</v>
      </c>
      <c r="J50" s="144">
        <f t="shared" si="147"/>
        <v>241.38418079096044</v>
      </c>
      <c r="K50" s="144">
        <f t="shared" si="147"/>
        <v>367.63599042080057</v>
      </c>
      <c r="L50" s="144">
        <f t="shared" si="147"/>
        <v>231.64275956284152</v>
      </c>
      <c r="M50" s="144">
        <f t="shared" si="147"/>
        <v>340.30891878425513</v>
      </c>
      <c r="N50" s="144">
        <f t="shared" si="147"/>
        <v>402.66097240473061</v>
      </c>
      <c r="O50" s="144">
        <f t="shared" si="147"/>
        <v>477.93565245794548</v>
      </c>
      <c r="P50" s="144">
        <f t="shared" si="147"/>
        <v>548.28538924102065</v>
      </c>
      <c r="Q50" s="118">
        <f>((P50/G50)^(1/($H$2-$H$1) ))-1</f>
        <v>0.11207149095009616</v>
      </c>
      <c r="R50" s="128"/>
      <c r="S50" s="157">
        <f t="shared" ref="S50:AB50" si="148">S6/S40</f>
        <v>409.3864239666288</v>
      </c>
      <c r="T50" s="157">
        <f t="shared" si="148"/>
        <v>409.3864239666288</v>
      </c>
      <c r="U50" s="157">
        <f t="shared" si="148"/>
        <v>409.3864239666288</v>
      </c>
      <c r="V50" s="157">
        <f t="shared" si="148"/>
        <v>409.3864239666288</v>
      </c>
      <c r="W50" s="157">
        <f t="shared" si="148"/>
        <v>409.38642396662885</v>
      </c>
      <c r="X50" s="157">
        <f t="shared" si="148"/>
        <v>409.38642396662885</v>
      </c>
      <c r="Y50" s="157">
        <f t="shared" si="148"/>
        <v>409.38642396662885</v>
      </c>
      <c r="Z50" s="157">
        <f t="shared" si="148"/>
        <v>409.38642396662885</v>
      </c>
      <c r="AA50" s="157">
        <f t="shared" si="148"/>
        <v>409.38642396662885</v>
      </c>
      <c r="AB50" s="157">
        <f t="shared" si="148"/>
        <v>409.38642396662885</v>
      </c>
      <c r="AC50" s="138">
        <f t="shared" si="139"/>
        <v>3.5558878004404271E-2</v>
      </c>
      <c r="AD50" s="31">
        <f t="shared" si="17"/>
        <v>0.08</v>
      </c>
      <c r="AE50" s="146">
        <f t="shared" si="140"/>
        <v>3158.1238420282798</v>
      </c>
    </row>
    <row r="51" spans="2:31" x14ac:dyDescent="0.2">
      <c r="B51" s="20" t="s">
        <v>247</v>
      </c>
      <c r="C51" s="127">
        <f t="shared" ref="C51:P51" si="149">C10/C40</f>
        <v>0</v>
      </c>
      <c r="D51" s="127">
        <f t="shared" si="149"/>
        <v>0</v>
      </c>
      <c r="E51" s="127">
        <f t="shared" si="149"/>
        <v>0</v>
      </c>
      <c r="F51" s="144">
        <f t="shared" si="149"/>
        <v>0</v>
      </c>
      <c r="G51" s="144">
        <f t="shared" si="149"/>
        <v>222.58842443729904</v>
      </c>
      <c r="H51" s="144">
        <f t="shared" si="149"/>
        <v>265.81986143187066</v>
      </c>
      <c r="I51" s="144">
        <f t="shared" si="149"/>
        <v>254.77057538237435</v>
      </c>
      <c r="J51" s="144">
        <f t="shared" si="149"/>
        <v>227.11864406779659</v>
      </c>
      <c r="K51" s="144">
        <f t="shared" si="149"/>
        <v>421.31371878207318</v>
      </c>
      <c r="L51" s="144">
        <f t="shared" si="149"/>
        <v>347.84836065573768</v>
      </c>
      <c r="M51" s="144">
        <f t="shared" si="149"/>
        <v>408.68626474007641</v>
      </c>
      <c r="N51" s="144">
        <f t="shared" si="149"/>
        <v>613.33771353482257</v>
      </c>
      <c r="O51" s="144">
        <f t="shared" si="149"/>
        <v>834.60721868365181</v>
      </c>
      <c r="P51" s="144">
        <f t="shared" si="149"/>
        <v>953.06354623760762</v>
      </c>
      <c r="Q51" s="118">
        <f>((P51/G51)^(1/($H$2-$H$1) ))-1</f>
        <v>0.17538439458041633</v>
      </c>
      <c r="R51" s="128"/>
      <c r="S51" s="157">
        <f t="shared" ref="S51:AB51" si="150">S10/S40</f>
        <v>711.62078119074715</v>
      </c>
      <c r="T51" s="157">
        <f t="shared" si="150"/>
        <v>711.62078119074704</v>
      </c>
      <c r="U51" s="157">
        <f t="shared" si="150"/>
        <v>711.62078119074704</v>
      </c>
      <c r="V51" s="157">
        <f t="shared" si="150"/>
        <v>711.62078119074704</v>
      </c>
      <c r="W51" s="157">
        <f t="shared" si="150"/>
        <v>711.62078119074704</v>
      </c>
      <c r="X51" s="157">
        <f t="shared" si="150"/>
        <v>711.62078119074704</v>
      </c>
      <c r="Y51" s="157">
        <f t="shared" si="150"/>
        <v>711.62078119074715</v>
      </c>
      <c r="Z51" s="157">
        <f t="shared" si="150"/>
        <v>711.62078119074704</v>
      </c>
      <c r="AA51" s="157">
        <f t="shared" si="150"/>
        <v>711.62078119074704</v>
      </c>
      <c r="AB51" s="157">
        <f t="shared" si="150"/>
        <v>711.62078119074704</v>
      </c>
      <c r="AC51" s="138">
        <f t="shared" si="139"/>
        <v>6.3079103298617767E-2</v>
      </c>
      <c r="AD51" s="31">
        <f t="shared" si="17"/>
        <v>0.08</v>
      </c>
      <c r="AE51" s="146">
        <f t="shared" si="140"/>
        <v>5489.6460263286199</v>
      </c>
    </row>
    <row r="52" spans="2:31" x14ac:dyDescent="0.2">
      <c r="B52" s="20"/>
      <c r="C52" s="127"/>
      <c r="D52" s="127"/>
      <c r="E52" s="127"/>
      <c r="F52" s="144"/>
      <c r="G52" s="144"/>
      <c r="H52" s="144"/>
      <c r="I52" s="144"/>
      <c r="J52" s="144"/>
      <c r="K52" s="144"/>
      <c r="L52" s="144"/>
      <c r="M52" s="144"/>
      <c r="N52" s="144"/>
      <c r="O52" s="144"/>
      <c r="P52" s="144"/>
      <c r="Q52" s="128"/>
      <c r="R52" s="128"/>
      <c r="S52" s="157"/>
      <c r="T52" s="157"/>
      <c r="U52" s="157"/>
      <c r="V52" s="157"/>
      <c r="W52" s="157"/>
      <c r="X52" s="157"/>
      <c r="Y52" s="157"/>
      <c r="Z52" s="157"/>
      <c r="AA52" s="157"/>
      <c r="AB52" s="157"/>
      <c r="AC52" s="139"/>
      <c r="AD52" s="137"/>
      <c r="AE52" s="146"/>
    </row>
    <row r="53" spans="2:31" x14ac:dyDescent="0.2">
      <c r="B53" s="20" t="s">
        <v>271</v>
      </c>
      <c r="C53" s="127">
        <f t="shared" ref="C53:P53" si="151">(C7-C10)/C40</f>
        <v>0</v>
      </c>
      <c r="D53" s="127">
        <f t="shared" si="151"/>
        <v>0</v>
      </c>
      <c r="E53" s="127">
        <f t="shared" si="151"/>
        <v>0</v>
      </c>
      <c r="F53" s="144">
        <f t="shared" si="151"/>
        <v>0</v>
      </c>
      <c r="G53" s="144">
        <f t="shared" si="151"/>
        <v>-9.8070739549839239</v>
      </c>
      <c r="H53" s="144">
        <f t="shared" si="151"/>
        <v>-10.623556581986143</v>
      </c>
      <c r="I53" s="144">
        <f t="shared" si="151"/>
        <v>106.77348871085215</v>
      </c>
      <c r="J53" s="144">
        <f t="shared" si="151"/>
        <v>17.266949152542374</v>
      </c>
      <c r="K53" s="144">
        <f t="shared" si="151"/>
        <v>-50.769757098871025</v>
      </c>
      <c r="L53" s="144">
        <f t="shared" si="151"/>
        <v>-108.9993169398907</v>
      </c>
      <c r="M53" s="144">
        <f t="shared" si="151"/>
        <v>-60.05646902507889</v>
      </c>
      <c r="N53" s="144">
        <f t="shared" si="151"/>
        <v>-201.87253613666229</v>
      </c>
      <c r="O53" s="144">
        <f t="shared" si="151"/>
        <v>-354.67907888290057</v>
      </c>
      <c r="P53" s="144">
        <f t="shared" si="151"/>
        <v>-402.77913213066796</v>
      </c>
      <c r="Q53" s="118">
        <f>((P53/G53)^(1/($H$2-$H$1) ))-1</f>
        <v>0.51105695661353079</v>
      </c>
      <c r="R53" s="128"/>
      <c r="S53" s="157">
        <f t="shared" ref="S53:AB53" si="152">(S7-S10)/S40</f>
        <v>-300.74175199089882</v>
      </c>
      <c r="T53" s="157">
        <f t="shared" si="152"/>
        <v>-300.74175199089876</v>
      </c>
      <c r="U53" s="157">
        <f t="shared" si="152"/>
        <v>-300.74175199089882</v>
      </c>
      <c r="V53" s="157">
        <f t="shared" si="152"/>
        <v>-300.74175199089876</v>
      </c>
      <c r="W53" s="157">
        <f t="shared" si="152"/>
        <v>-300.74175199089876</v>
      </c>
      <c r="X53" s="157">
        <f t="shared" si="152"/>
        <v>-300.74175199089876</v>
      </c>
      <c r="Y53" s="157">
        <f t="shared" si="152"/>
        <v>-300.74175199089882</v>
      </c>
      <c r="Z53" s="157">
        <f t="shared" si="152"/>
        <v>-300.74175199089876</v>
      </c>
      <c r="AA53" s="157">
        <f t="shared" si="152"/>
        <v>-300.74175199089871</v>
      </c>
      <c r="AB53" s="157">
        <f t="shared" si="152"/>
        <v>-300.74175199089871</v>
      </c>
      <c r="AC53" s="138">
        <f t="shared" si="139"/>
        <v>0.19741573782036337</v>
      </c>
      <c r="AD53" s="31">
        <f t="shared" si="17"/>
        <v>0.08</v>
      </c>
      <c r="AE53" s="146">
        <f t="shared" si="140"/>
        <v>-2320.007801072647</v>
      </c>
    </row>
    <row r="54" spans="2:31" x14ac:dyDescent="0.2">
      <c r="B54" s="20" t="s">
        <v>272</v>
      </c>
      <c r="C54" s="127">
        <f t="shared" ref="C54:P54" si="153">(C7-C10-C9)/C40</f>
        <v>0</v>
      </c>
      <c r="D54" s="127">
        <f t="shared" si="153"/>
        <v>0</v>
      </c>
      <c r="E54" s="127">
        <f t="shared" si="153"/>
        <v>0</v>
      </c>
      <c r="F54" s="144">
        <f t="shared" si="153"/>
        <v>0</v>
      </c>
      <c r="G54" s="144">
        <f t="shared" si="153"/>
        <v>-380.54662379421222</v>
      </c>
      <c r="H54" s="144">
        <f t="shared" si="153"/>
        <v>-431.33179368745186</v>
      </c>
      <c r="I54" s="144">
        <f t="shared" si="153"/>
        <v>-387.32702112163145</v>
      </c>
      <c r="J54" s="144">
        <f t="shared" si="153"/>
        <v>-317.01977401129943</v>
      </c>
      <c r="K54" s="144">
        <f t="shared" si="153"/>
        <v>-518.85049606568589</v>
      </c>
      <c r="L54" s="144">
        <f t="shared" si="153"/>
        <v>-417.72540983606558</v>
      </c>
      <c r="M54" s="144">
        <f t="shared" si="153"/>
        <v>-422.17239661185852</v>
      </c>
      <c r="N54" s="144">
        <f t="shared" si="153"/>
        <v>-674.08015768725363</v>
      </c>
      <c r="O54" s="144">
        <f t="shared" si="153"/>
        <v>-911.51396374326316</v>
      </c>
      <c r="P54" s="144">
        <f t="shared" si="153"/>
        <v>-1135.2185925564766</v>
      </c>
      <c r="Q54" s="118">
        <f>((P54/G54)^(1/($H$2-$H$1) ))-1</f>
        <v>0.12912309714733272</v>
      </c>
      <c r="R54" s="128"/>
      <c r="S54" s="157">
        <f t="shared" ref="S54:AB54" si="154">(S7-S10-S9)/S40</f>
        <v>-847.62988244216922</v>
      </c>
      <c r="T54" s="157">
        <f t="shared" si="154"/>
        <v>-847.62988244216922</v>
      </c>
      <c r="U54" s="157">
        <f t="shared" si="154"/>
        <v>-847.62988244216922</v>
      </c>
      <c r="V54" s="157">
        <f t="shared" si="154"/>
        <v>-847.62988244216933</v>
      </c>
      <c r="W54" s="157">
        <f t="shared" si="154"/>
        <v>-847.62988244216933</v>
      </c>
      <c r="X54" s="157">
        <f t="shared" si="154"/>
        <v>-847.62988244216922</v>
      </c>
      <c r="Y54" s="157">
        <f t="shared" si="154"/>
        <v>-847.62988244216933</v>
      </c>
      <c r="Z54" s="157">
        <f t="shared" si="154"/>
        <v>-847.62988244216933</v>
      </c>
      <c r="AA54" s="157">
        <f t="shared" si="154"/>
        <v>-847.62988244216933</v>
      </c>
      <c r="AB54" s="157">
        <f t="shared" si="154"/>
        <v>-847.62988244216933</v>
      </c>
      <c r="AC54" s="138">
        <f t="shared" si="139"/>
        <v>4.3050121966239585E-2</v>
      </c>
      <c r="AD54" s="31">
        <f t="shared" si="17"/>
        <v>0.08</v>
      </c>
      <c r="AE54" s="146">
        <f t="shared" si="140"/>
        <v>-6538.8590931253066</v>
      </c>
    </row>
    <row r="55" spans="2:31" x14ac:dyDescent="0.2">
      <c r="B55" s="20" t="s">
        <v>277</v>
      </c>
      <c r="C55" s="127">
        <f t="shared" ref="C55:P55" si="155">(C7+C15-C10-C9)/C40</f>
        <v>0</v>
      </c>
      <c r="D55" s="127">
        <f t="shared" si="155"/>
        <v>0</v>
      </c>
      <c r="E55" s="127">
        <f t="shared" si="155"/>
        <v>0</v>
      </c>
      <c r="F55" s="144">
        <f t="shared" si="155"/>
        <v>0</v>
      </c>
      <c r="G55" s="144">
        <f t="shared" si="155"/>
        <v>101.36655948553054</v>
      </c>
      <c r="H55" s="144">
        <f t="shared" si="155"/>
        <v>117.39799846035412</v>
      </c>
      <c r="I55" s="144">
        <f t="shared" si="155"/>
        <v>218.64530225782957</v>
      </c>
      <c r="J55" s="144">
        <f t="shared" si="155"/>
        <v>81.709039548022602</v>
      </c>
      <c r="K55" s="144">
        <f t="shared" si="155"/>
        <v>-15.189873417721518</v>
      </c>
      <c r="L55" s="144">
        <f t="shared" si="155"/>
        <v>-74.077868852459019</v>
      </c>
      <c r="M55" s="144">
        <f t="shared" si="155"/>
        <v>-143.979405414383</v>
      </c>
      <c r="N55" s="144">
        <f t="shared" si="155"/>
        <v>-326.42904073587385</v>
      </c>
      <c r="O55" s="144">
        <f t="shared" si="155"/>
        <v>-451.65768414176063</v>
      </c>
      <c r="P55" s="144">
        <f t="shared" si="155"/>
        <v>-618.1537461400942</v>
      </c>
      <c r="Q55" s="118">
        <f>((P55/G55)^(1/($H$2-$H$1) ))-1</f>
        <v>-2.222488111479362</v>
      </c>
      <c r="R55" s="128"/>
      <c r="S55" s="157">
        <f t="shared" ref="S55:AB55" si="156">(S7+S15-S10-S9)/S40</f>
        <v>-461.55479711793714</v>
      </c>
      <c r="T55" s="157">
        <f t="shared" si="156"/>
        <v>-461.5547971179372</v>
      </c>
      <c r="U55" s="157">
        <f t="shared" si="156"/>
        <v>-461.55479711793714</v>
      </c>
      <c r="V55" s="157">
        <f t="shared" si="156"/>
        <v>-461.55479711793726</v>
      </c>
      <c r="W55" s="157">
        <f t="shared" si="156"/>
        <v>-461.55479711793731</v>
      </c>
      <c r="X55" s="157">
        <f t="shared" si="156"/>
        <v>-461.55479711793726</v>
      </c>
      <c r="Y55" s="157">
        <f t="shared" si="156"/>
        <v>-461.55479711793726</v>
      </c>
      <c r="Z55" s="157">
        <f t="shared" si="156"/>
        <v>-461.5547971179372</v>
      </c>
      <c r="AA55" s="157">
        <f t="shared" si="156"/>
        <v>-461.55479711793714</v>
      </c>
      <c r="AB55" s="157">
        <f t="shared" si="156"/>
        <v>-461.55479711793708</v>
      </c>
      <c r="AC55" s="138">
        <f t="shared" si="139"/>
        <v>-2.0830509103399222</v>
      </c>
      <c r="AD55" s="31">
        <f t="shared" si="17"/>
        <v>0.08</v>
      </c>
      <c r="AE55" s="146">
        <f t="shared" si="140"/>
        <v>-3560.5655777669431</v>
      </c>
    </row>
    <row r="56" spans="2:31" x14ac:dyDescent="0.2">
      <c r="B56" s="20"/>
      <c r="C56" s="127"/>
      <c r="D56" s="127"/>
      <c r="E56" s="127"/>
      <c r="F56" s="144"/>
      <c r="G56" s="144"/>
      <c r="H56" s="144"/>
      <c r="I56" s="144"/>
      <c r="J56" s="144"/>
      <c r="K56" s="144"/>
      <c r="L56" s="144"/>
      <c r="M56" s="144"/>
      <c r="N56" s="144"/>
      <c r="O56" s="144"/>
      <c r="P56" s="144"/>
      <c r="Q56" s="128"/>
      <c r="R56" s="128"/>
      <c r="S56" s="154"/>
      <c r="T56" s="154"/>
      <c r="U56" s="154"/>
      <c r="V56" s="154"/>
      <c r="W56" s="154"/>
      <c r="X56" s="154"/>
      <c r="Y56" s="154"/>
      <c r="Z56" s="154"/>
      <c r="AA56" s="154"/>
      <c r="AB56" s="154"/>
      <c r="AC56" s="139"/>
      <c r="AD56" s="137"/>
      <c r="AE56" s="154"/>
    </row>
    <row r="57" spans="2:31" x14ac:dyDescent="0.2">
      <c r="B57" s="20" t="s">
        <v>248</v>
      </c>
      <c r="C57" s="127">
        <f t="shared" ref="C57:P57" si="157">C12/C40</f>
        <v>0</v>
      </c>
      <c r="D57" s="127">
        <f t="shared" si="157"/>
        <v>0</v>
      </c>
      <c r="E57" s="127">
        <f t="shared" si="157"/>
        <v>0</v>
      </c>
      <c r="F57" s="144">
        <f t="shared" si="157"/>
        <v>0</v>
      </c>
      <c r="G57" s="144">
        <f t="shared" si="157"/>
        <v>43.167202572347271</v>
      </c>
      <c r="H57" s="144">
        <f t="shared" si="157"/>
        <v>76.135488837567365</v>
      </c>
      <c r="I57" s="144">
        <f t="shared" si="157"/>
        <v>59.359067734887105</v>
      </c>
      <c r="J57" s="144">
        <f t="shared" si="157"/>
        <v>60.628531073446325</v>
      </c>
      <c r="K57" s="144">
        <f t="shared" si="157"/>
        <v>53.369825521724252</v>
      </c>
      <c r="L57" s="144">
        <f t="shared" si="157"/>
        <v>24.897540983606557</v>
      </c>
      <c r="M57" s="144">
        <f t="shared" si="157"/>
        <v>55.156950672645742</v>
      </c>
      <c r="N57" s="144">
        <f t="shared" si="157"/>
        <v>59.871879106438897</v>
      </c>
      <c r="O57" s="144">
        <f t="shared" si="157"/>
        <v>57.520823125918668</v>
      </c>
      <c r="P57" s="144">
        <f t="shared" si="157"/>
        <v>59.011864131318056</v>
      </c>
      <c r="Q57" s="118">
        <f>((P57/G57)^(1/($H$2-$H$1) ))-1</f>
        <v>3.5350195477438673E-2</v>
      </c>
      <c r="R57" s="128"/>
      <c r="S57" s="157">
        <f t="shared" ref="S57:AB57" si="158">S12/S40</f>
        <v>44.062191884717485</v>
      </c>
      <c r="T57" s="157">
        <f t="shared" si="158"/>
        <v>44.062191884717478</v>
      </c>
      <c r="U57" s="157">
        <f t="shared" si="158"/>
        <v>44.062191884717478</v>
      </c>
      <c r="V57" s="157">
        <f t="shared" si="158"/>
        <v>44.062191884717478</v>
      </c>
      <c r="W57" s="157">
        <f t="shared" si="158"/>
        <v>44.062191884717478</v>
      </c>
      <c r="X57" s="157">
        <f t="shared" si="158"/>
        <v>44.062191884717478</v>
      </c>
      <c r="Y57" s="157">
        <f t="shared" si="158"/>
        <v>44.062191884717478</v>
      </c>
      <c r="Z57" s="157">
        <f t="shared" si="158"/>
        <v>44.062191884717478</v>
      </c>
      <c r="AA57" s="157">
        <f t="shared" si="158"/>
        <v>44.062191884717478</v>
      </c>
      <c r="AB57" s="157">
        <f t="shared" si="158"/>
        <v>44.062191884717478</v>
      </c>
      <c r="AC57" s="138">
        <f t="shared" si="139"/>
        <v>1.0806403484677762E-3</v>
      </c>
      <c r="AD57" s="31">
        <f t="shared" si="17"/>
        <v>0.08</v>
      </c>
      <c r="AE57" s="146">
        <f t="shared" si="140"/>
        <v>339.90833739639197</v>
      </c>
    </row>
    <row r="58" spans="2:31" x14ac:dyDescent="0.2">
      <c r="B58" s="20" t="s">
        <v>255</v>
      </c>
      <c r="C58" s="127">
        <f t="shared" ref="C58:P58" si="159">C13/C40</f>
        <v>0</v>
      </c>
      <c r="D58" s="127">
        <f t="shared" si="159"/>
        <v>0</v>
      </c>
      <c r="E58" s="127">
        <f t="shared" si="159"/>
        <v>0</v>
      </c>
      <c r="F58" s="144">
        <f t="shared" si="159"/>
        <v>0</v>
      </c>
      <c r="G58" s="144">
        <f t="shared" si="159"/>
        <v>50.080385852090032</v>
      </c>
      <c r="H58" s="144">
        <f t="shared" si="159"/>
        <v>52.347959969207082</v>
      </c>
      <c r="I58" s="144">
        <f t="shared" si="159"/>
        <v>121.99563000728332</v>
      </c>
      <c r="J58" s="144">
        <f t="shared" si="159"/>
        <v>87.5</v>
      </c>
      <c r="K58" s="144">
        <f t="shared" si="159"/>
        <v>189.94184057475198</v>
      </c>
      <c r="L58" s="144">
        <f t="shared" si="159"/>
        <v>116.20560109289617</v>
      </c>
      <c r="M58" s="144">
        <f t="shared" si="159"/>
        <v>164.87294469357249</v>
      </c>
      <c r="N58" s="144">
        <f t="shared" si="159"/>
        <v>151.3633377135348</v>
      </c>
      <c r="O58" s="144">
        <f t="shared" si="159"/>
        <v>143.54074799934673</v>
      </c>
      <c r="P58" s="144">
        <f t="shared" si="159"/>
        <v>142.48334145945068</v>
      </c>
      <c r="Q58" s="118">
        <f>((P58/G58)^(1/($H$2-$H$1) ))-1</f>
        <v>0.12319499188139926</v>
      </c>
      <c r="R58" s="128"/>
      <c r="S58" s="157">
        <f t="shared" ref="S58:AB58" si="160">S13/S40</f>
        <v>106.38756162305651</v>
      </c>
      <c r="T58" s="157">
        <f t="shared" si="160"/>
        <v>106.38756162305651</v>
      </c>
      <c r="U58" s="157">
        <f t="shared" si="160"/>
        <v>106.3875616230565</v>
      </c>
      <c r="V58" s="157">
        <f t="shared" si="160"/>
        <v>106.3875616230565</v>
      </c>
      <c r="W58" s="157">
        <f t="shared" si="160"/>
        <v>106.38756162305651</v>
      </c>
      <c r="X58" s="157">
        <f t="shared" si="160"/>
        <v>106.3875616230565</v>
      </c>
      <c r="Y58" s="157">
        <f t="shared" si="160"/>
        <v>106.38756162305651</v>
      </c>
      <c r="Z58" s="157">
        <f t="shared" si="160"/>
        <v>106.3875616230565</v>
      </c>
      <c r="AA58" s="157">
        <f t="shared" si="160"/>
        <v>106.38756162305651</v>
      </c>
      <c r="AB58" s="157">
        <f t="shared" si="160"/>
        <v>106.38756162305651</v>
      </c>
      <c r="AC58" s="138">
        <f t="shared" si="139"/>
        <v>4.0452536012470786E-2</v>
      </c>
      <c r="AD58" s="31">
        <f t="shared" si="17"/>
        <v>0.08</v>
      </c>
      <c r="AE58" s="146">
        <f t="shared" si="140"/>
        <v>820.70404680643594</v>
      </c>
    </row>
    <row r="59" spans="2:31" x14ac:dyDescent="0.2">
      <c r="B59" s="20" t="s">
        <v>256</v>
      </c>
      <c r="C59" s="127">
        <f>(C57+C58)</f>
        <v>0</v>
      </c>
      <c r="D59" s="127">
        <f t="shared" ref="D59:P59" si="161">(D57+D58)</f>
        <v>0</v>
      </c>
      <c r="E59" s="127">
        <f t="shared" si="161"/>
        <v>0</v>
      </c>
      <c r="F59" s="144">
        <f t="shared" si="161"/>
        <v>0</v>
      </c>
      <c r="G59" s="144">
        <f t="shared" si="161"/>
        <v>93.247588424437311</v>
      </c>
      <c r="H59" s="144">
        <f t="shared" si="161"/>
        <v>128.48344880677445</v>
      </c>
      <c r="I59" s="144">
        <f t="shared" si="161"/>
        <v>181.35469774217043</v>
      </c>
      <c r="J59" s="144">
        <f t="shared" si="161"/>
        <v>148.12853107344631</v>
      </c>
      <c r="K59" s="144">
        <f t="shared" si="161"/>
        <v>243.31166609647624</v>
      </c>
      <c r="L59" s="144">
        <f t="shared" si="161"/>
        <v>141.10314207650273</v>
      </c>
      <c r="M59" s="144">
        <f t="shared" si="161"/>
        <v>220.02989536621823</v>
      </c>
      <c r="N59" s="144">
        <f t="shared" si="161"/>
        <v>211.23521681997369</v>
      </c>
      <c r="O59" s="144">
        <f t="shared" ref="O59" si="162">(O57+O58)</f>
        <v>201.0615711252654</v>
      </c>
      <c r="P59" s="144">
        <f t="shared" si="161"/>
        <v>201.49520559076873</v>
      </c>
      <c r="Q59" s="118">
        <f>((P59/G59)^(1/($H$2-$H$1) ))-1</f>
        <v>8.9383491722206498E-2</v>
      </c>
      <c r="R59" s="128"/>
      <c r="S59" s="157">
        <f t="shared" ref="S59:AB59" si="163">(S57+S58)</f>
        <v>150.44975350777401</v>
      </c>
      <c r="T59" s="157">
        <f t="shared" si="163"/>
        <v>150.44975350777401</v>
      </c>
      <c r="U59" s="157">
        <f t="shared" si="163"/>
        <v>150.44975350777398</v>
      </c>
      <c r="V59" s="157">
        <f t="shared" si="163"/>
        <v>150.44975350777398</v>
      </c>
      <c r="W59" s="157">
        <f t="shared" si="163"/>
        <v>150.44975350777401</v>
      </c>
      <c r="X59" s="157">
        <f t="shared" si="163"/>
        <v>150.44975350777398</v>
      </c>
      <c r="Y59" s="157">
        <f t="shared" si="163"/>
        <v>150.44975350777401</v>
      </c>
      <c r="Z59" s="157">
        <f t="shared" si="163"/>
        <v>150.44975350777398</v>
      </c>
      <c r="AA59" s="157">
        <f t="shared" si="163"/>
        <v>150.44975350777401</v>
      </c>
      <c r="AB59" s="157">
        <f t="shared" si="163"/>
        <v>150.44975350777401</v>
      </c>
      <c r="AC59" s="138">
        <f t="shared" si="139"/>
        <v>2.5497047419369645E-2</v>
      </c>
      <c r="AD59" s="31">
        <f t="shared" si="17"/>
        <v>0.08</v>
      </c>
      <c r="AE59" s="146">
        <f t="shared" si="140"/>
        <v>1160.612384202828</v>
      </c>
    </row>
    <row r="60" spans="2:31" x14ac:dyDescent="0.2">
      <c r="B60" s="20" t="s">
        <v>249</v>
      </c>
      <c r="C60" s="127">
        <f t="shared" ref="C60:P60" si="164">C15/C40</f>
        <v>0</v>
      </c>
      <c r="D60" s="127">
        <f t="shared" si="164"/>
        <v>0</v>
      </c>
      <c r="E60" s="127">
        <f t="shared" si="164"/>
        <v>0</v>
      </c>
      <c r="F60" s="144">
        <f t="shared" si="164"/>
        <v>0</v>
      </c>
      <c r="G60" s="144">
        <f t="shared" si="164"/>
        <v>481.91318327974278</v>
      </c>
      <c r="H60" s="144">
        <f t="shared" si="164"/>
        <v>548.72979214780605</v>
      </c>
      <c r="I60" s="144">
        <f t="shared" si="164"/>
        <v>605.97232337946105</v>
      </c>
      <c r="J60" s="144">
        <f t="shared" si="164"/>
        <v>398.72881355932202</v>
      </c>
      <c r="K60" s="144">
        <f t="shared" si="164"/>
        <v>503.66062264796443</v>
      </c>
      <c r="L60" s="144">
        <f t="shared" si="164"/>
        <v>343.64754098360652</v>
      </c>
      <c r="M60" s="144">
        <f t="shared" si="164"/>
        <v>278.19299119747552</v>
      </c>
      <c r="N60" s="144">
        <f t="shared" si="164"/>
        <v>347.65111695137978</v>
      </c>
      <c r="O60" s="144">
        <f t="shared" si="164"/>
        <v>459.85627960150254</v>
      </c>
      <c r="P60" s="144">
        <f t="shared" si="164"/>
        <v>517.06484641638224</v>
      </c>
      <c r="Q60" s="118">
        <f>((P60/G60)^(1/($H$2-$H$1) ))-1</f>
        <v>7.8533789117853914E-3</v>
      </c>
      <c r="R60" s="128"/>
      <c r="S60" s="157">
        <f t="shared" ref="S60:AB60" si="165">S15/S40</f>
        <v>386.07508532423213</v>
      </c>
      <c r="T60" s="157">
        <f t="shared" si="165"/>
        <v>386.07508532423208</v>
      </c>
      <c r="U60" s="157">
        <f t="shared" si="165"/>
        <v>386.07508532423202</v>
      </c>
      <c r="V60" s="157">
        <f t="shared" si="165"/>
        <v>386.07508532423202</v>
      </c>
      <c r="W60" s="157">
        <f t="shared" si="165"/>
        <v>386.07508532423202</v>
      </c>
      <c r="X60" s="157">
        <f t="shared" si="165"/>
        <v>386.07508532423202</v>
      </c>
      <c r="Y60" s="157">
        <f t="shared" si="165"/>
        <v>386.07508532423202</v>
      </c>
      <c r="Z60" s="157">
        <f t="shared" si="165"/>
        <v>386.07508532423208</v>
      </c>
      <c r="AA60" s="157">
        <f t="shared" si="165"/>
        <v>386.07508532423208</v>
      </c>
      <c r="AB60" s="157">
        <f t="shared" si="165"/>
        <v>386.07508532423213</v>
      </c>
      <c r="AC60" s="138">
        <f t="shared" si="139"/>
        <v>-1.1602279328471576E-2</v>
      </c>
      <c r="AD60" s="31">
        <f t="shared" si="17"/>
        <v>0.08</v>
      </c>
      <c r="AE60" s="146">
        <f t="shared" si="140"/>
        <v>2978.2935153583621</v>
      </c>
    </row>
    <row r="61" spans="2:31" x14ac:dyDescent="0.2">
      <c r="B61" s="20" t="s">
        <v>250</v>
      </c>
      <c r="C61" s="127">
        <f t="shared" ref="C61:P61" si="166">C16/C40</f>
        <v>0</v>
      </c>
      <c r="D61" s="127">
        <f t="shared" si="166"/>
        <v>0</v>
      </c>
      <c r="E61" s="127">
        <f t="shared" si="166"/>
        <v>0</v>
      </c>
      <c r="F61" s="144">
        <f t="shared" si="166"/>
        <v>0</v>
      </c>
      <c r="G61" s="144">
        <f t="shared" si="166"/>
        <v>213.66559485530547</v>
      </c>
      <c r="H61" s="144">
        <f t="shared" si="166"/>
        <v>303.15627405696688</v>
      </c>
      <c r="I61" s="144">
        <f t="shared" si="166"/>
        <v>284.04952658412236</v>
      </c>
      <c r="J61" s="144">
        <f t="shared" si="166"/>
        <v>214.12429378531073</v>
      </c>
      <c r="K61" s="144">
        <f t="shared" si="166"/>
        <v>340.91686623332191</v>
      </c>
      <c r="L61" s="144">
        <f t="shared" si="166"/>
        <v>222.35314207650273</v>
      </c>
      <c r="M61" s="144">
        <f t="shared" si="166"/>
        <v>295.28317555223384</v>
      </c>
      <c r="N61" s="144">
        <f t="shared" si="166"/>
        <v>427.67739816031536</v>
      </c>
      <c r="O61" s="144">
        <f t="shared" si="166"/>
        <v>639.22913604442272</v>
      </c>
      <c r="P61" s="144">
        <f t="shared" si="166"/>
        <v>725.61352185925568</v>
      </c>
      <c r="Q61" s="118">
        <f>((P61/G61)^(1/($H$2-$H$1) ))-1</f>
        <v>0.14550437529401616</v>
      </c>
      <c r="R61" s="128"/>
      <c r="S61" s="157">
        <f t="shared" ref="S61:AB61" si="167">S16/S40</f>
        <v>541.79142965491098</v>
      </c>
      <c r="T61" s="157">
        <f t="shared" si="167"/>
        <v>541.79142965491087</v>
      </c>
      <c r="U61" s="157">
        <f t="shared" si="167"/>
        <v>541.79142965491087</v>
      </c>
      <c r="V61" s="157">
        <f t="shared" si="167"/>
        <v>541.79142965491087</v>
      </c>
      <c r="W61" s="157">
        <f t="shared" si="167"/>
        <v>541.79142965491098</v>
      </c>
      <c r="X61" s="157">
        <f t="shared" si="167"/>
        <v>541.79142965491098</v>
      </c>
      <c r="Y61" s="157">
        <f t="shared" si="167"/>
        <v>541.79142965491098</v>
      </c>
      <c r="Z61" s="157">
        <f t="shared" si="167"/>
        <v>541.79142965491098</v>
      </c>
      <c r="AA61" s="157">
        <f t="shared" si="167"/>
        <v>541.79142965491098</v>
      </c>
      <c r="AB61" s="157">
        <f t="shared" si="167"/>
        <v>541.79142965491098</v>
      </c>
      <c r="AC61" s="138">
        <f t="shared" si="139"/>
        <v>5.0190998004479459E-2</v>
      </c>
      <c r="AD61" s="137"/>
      <c r="AE61" s="146">
        <f t="shared" si="140"/>
        <v>2462.6883166132316</v>
      </c>
    </row>
    <row r="62" spans="2:31" x14ac:dyDescent="0.2">
      <c r="B62" s="20"/>
      <c r="C62" s="127"/>
      <c r="D62" s="127"/>
      <c r="E62" s="127"/>
      <c r="F62" s="144"/>
      <c r="G62" s="144"/>
      <c r="H62" s="144"/>
      <c r="I62" s="144"/>
      <c r="J62" s="144"/>
      <c r="K62" s="144"/>
      <c r="L62" s="144"/>
      <c r="M62" s="144"/>
      <c r="N62" s="144"/>
      <c r="O62" s="144"/>
      <c r="P62" s="144"/>
      <c r="Q62" s="128"/>
      <c r="R62" s="128"/>
      <c r="S62" s="154"/>
      <c r="T62" s="154"/>
      <c r="U62" s="154"/>
      <c r="V62" s="154"/>
      <c r="W62" s="154"/>
      <c r="X62" s="154"/>
      <c r="Y62" s="154"/>
      <c r="Z62" s="154"/>
      <c r="AA62" s="154"/>
      <c r="AB62" s="154"/>
      <c r="AC62" s="139"/>
      <c r="AD62" s="31">
        <f t="shared" si="17"/>
        <v>0.08</v>
      </c>
      <c r="AE62" s="146">
        <f t="shared" si="140"/>
        <v>0</v>
      </c>
    </row>
    <row r="63" spans="2:31" x14ac:dyDescent="0.2">
      <c r="B63" s="20" t="s">
        <v>283</v>
      </c>
      <c r="C63" s="159">
        <f>C41</f>
        <v>0</v>
      </c>
      <c r="D63" s="159">
        <f t="shared" ref="D63:P63" si="168">D41</f>
        <v>0</v>
      </c>
      <c r="E63" s="159">
        <f t="shared" si="168"/>
        <v>0</v>
      </c>
      <c r="F63" s="159">
        <f t="shared" si="168"/>
        <v>0</v>
      </c>
      <c r="G63" s="159">
        <f t="shared" si="168"/>
        <v>80</v>
      </c>
      <c r="H63" s="159">
        <f t="shared" si="168"/>
        <v>27.5</v>
      </c>
      <c r="I63" s="159">
        <f t="shared" si="168"/>
        <v>22</v>
      </c>
      <c r="J63" s="159">
        <f t="shared" si="168"/>
        <v>13</v>
      </c>
      <c r="K63" s="159">
        <f t="shared" si="168"/>
        <v>17</v>
      </c>
      <c r="L63" s="159">
        <f t="shared" si="168"/>
        <v>10.5</v>
      </c>
      <c r="M63" s="159">
        <f t="shared" si="168"/>
        <v>12.5</v>
      </c>
      <c r="N63" s="159">
        <f t="shared" si="168"/>
        <v>14.5</v>
      </c>
      <c r="O63" s="159">
        <f t="shared" si="168"/>
        <v>16.5</v>
      </c>
      <c r="P63" s="159">
        <f t="shared" si="168"/>
        <v>18.5</v>
      </c>
      <c r="Q63" s="118">
        <f>((P63/G63)^(1/($H$2-$H$1) ))-1</f>
        <v>-0.15014973198187687</v>
      </c>
      <c r="R63" s="128"/>
      <c r="S63" s="159">
        <f t="shared" ref="S63:AB63" si="169">S41</f>
        <v>19.425000000000001</v>
      </c>
      <c r="T63" s="159">
        <f t="shared" si="169"/>
        <v>20.396250000000002</v>
      </c>
      <c r="U63" s="159">
        <f t="shared" si="169"/>
        <v>21.416062500000002</v>
      </c>
      <c r="V63" s="159">
        <f t="shared" si="169"/>
        <v>22.486865625000004</v>
      </c>
      <c r="W63" s="159">
        <f t="shared" si="169"/>
        <v>23.611208906250006</v>
      </c>
      <c r="X63" s="159">
        <f t="shared" si="169"/>
        <v>24.791769351562507</v>
      </c>
      <c r="Y63" s="159">
        <f t="shared" si="169"/>
        <v>26.031357819140634</v>
      </c>
      <c r="Z63" s="159">
        <f t="shared" si="169"/>
        <v>27.332925710097665</v>
      </c>
      <c r="AA63" s="159">
        <f t="shared" si="169"/>
        <v>28.69957199560255</v>
      </c>
      <c r="AB63" s="159">
        <f t="shared" si="169"/>
        <v>30.134550595382681</v>
      </c>
      <c r="AC63" s="138">
        <f t="shared" ref="AC63" si="170">((AB63/G63)^(1/($AB$3-$H$1) ))-1</f>
        <v>-5.008907919995953E-2</v>
      </c>
      <c r="AD63" s="31">
        <f t="shared" si="17"/>
        <v>0.08</v>
      </c>
      <c r="AE63" s="146">
        <f t="shared" si="140"/>
        <v>232.46653316438068</v>
      </c>
    </row>
    <row r="64" spans="2:31" x14ac:dyDescent="0.2">
      <c r="B64" s="20"/>
      <c r="C64" s="127"/>
      <c r="D64" s="127"/>
      <c r="E64" s="127"/>
      <c r="F64" s="144"/>
      <c r="G64" s="144"/>
      <c r="H64" s="144"/>
      <c r="I64" s="144"/>
      <c r="J64" s="144"/>
      <c r="K64" s="144"/>
      <c r="L64" s="144"/>
      <c r="M64" s="144"/>
      <c r="N64" s="144"/>
      <c r="O64" s="144"/>
      <c r="P64" s="144"/>
      <c r="Q64" s="128"/>
      <c r="R64" s="128"/>
      <c r="S64" s="154"/>
      <c r="T64" s="154"/>
      <c r="U64" s="154"/>
      <c r="V64" s="154"/>
      <c r="W64" s="154"/>
      <c r="X64" s="154"/>
      <c r="Y64" s="154"/>
      <c r="Z64" s="154"/>
      <c r="AA64" s="154"/>
      <c r="AB64" s="154"/>
      <c r="AC64" s="139"/>
      <c r="AD64" s="137"/>
      <c r="AE64" s="154"/>
    </row>
    <row r="65" spans="2:31" x14ac:dyDescent="0.2">
      <c r="B65" s="20" t="s">
        <v>318</v>
      </c>
      <c r="C65" s="127">
        <f t="shared" ref="C65:P65" si="171">C20+C21</f>
        <v>0</v>
      </c>
      <c r="D65" s="127">
        <f t="shared" si="171"/>
        <v>0</v>
      </c>
      <c r="E65" s="127">
        <f t="shared" si="171"/>
        <v>0</v>
      </c>
      <c r="F65" s="144">
        <f t="shared" si="171"/>
        <v>0</v>
      </c>
      <c r="G65" s="144">
        <f t="shared" si="171"/>
        <v>530</v>
      </c>
      <c r="H65" s="144">
        <f t="shared" si="171"/>
        <v>348</v>
      </c>
      <c r="I65" s="144">
        <f t="shared" si="171"/>
        <v>43</v>
      </c>
      <c r="J65" s="144">
        <f t="shared" si="171"/>
        <v>542</v>
      </c>
      <c r="K65" s="144">
        <f t="shared" si="171"/>
        <v>-3296</v>
      </c>
      <c r="L65" s="144">
        <f t="shared" si="171"/>
        <v>-1830</v>
      </c>
      <c r="M65" s="144">
        <f t="shared" si="171"/>
        <v>-589</v>
      </c>
      <c r="N65" s="144">
        <f t="shared" si="171"/>
        <v>1424</v>
      </c>
      <c r="O65" s="144">
        <f t="shared" si="171"/>
        <v>-841</v>
      </c>
      <c r="P65" s="144">
        <f t="shared" si="171"/>
        <v>2579</v>
      </c>
      <c r="Q65" s="118">
        <f>((P65/G65)^(1/($H$2-$H$1) ))-1</f>
        <v>0.19221019217487467</v>
      </c>
      <c r="R65" s="128"/>
      <c r="S65" s="144">
        <f t="shared" ref="S65:AB65" si="172">S20+S21</f>
        <v>2888.4800000000005</v>
      </c>
      <c r="T65" s="144">
        <f t="shared" si="172"/>
        <v>3235.097600000001</v>
      </c>
      <c r="U65" s="144">
        <f t="shared" si="172"/>
        <v>3623.3093120000012</v>
      </c>
      <c r="V65" s="144">
        <f t="shared" si="172"/>
        <v>4058.1064294400016</v>
      </c>
      <c r="W65" s="144">
        <f t="shared" si="172"/>
        <v>4545.079200972802</v>
      </c>
      <c r="X65" s="144">
        <f t="shared" si="172"/>
        <v>5090.4887050895386</v>
      </c>
      <c r="Y65" s="144">
        <f t="shared" si="172"/>
        <v>5701.3473497002842</v>
      </c>
      <c r="Z65" s="144">
        <f t="shared" si="172"/>
        <v>6385.5090316643191</v>
      </c>
      <c r="AA65" s="144">
        <f t="shared" si="172"/>
        <v>7151.7701154640381</v>
      </c>
      <c r="AB65" s="144">
        <f t="shared" si="172"/>
        <v>8009.9825293197237</v>
      </c>
      <c r="AC65" s="138">
        <f t="shared" ref="AC65:AC70" si="173">((AB65/G65)^(1/($AB$3-$H$1) ))-1</f>
        <v>0.15364278046956814</v>
      </c>
      <c r="AD65" s="31">
        <f t="shared" si="17"/>
        <v>0.08</v>
      </c>
      <c r="AE65" s="146">
        <f t="shared" si="140"/>
        <v>61791.293797609294</v>
      </c>
    </row>
    <row r="66" spans="2:31" x14ac:dyDescent="0.2">
      <c r="B66" s="20"/>
      <c r="C66" s="127"/>
      <c r="D66" s="127"/>
      <c r="E66" s="127"/>
      <c r="F66" s="144"/>
      <c r="G66" s="144"/>
      <c r="H66" s="144"/>
      <c r="I66" s="144"/>
      <c r="J66" s="144"/>
      <c r="K66" s="144"/>
      <c r="L66" s="144"/>
      <c r="M66" s="144"/>
      <c r="N66" s="144"/>
      <c r="O66" s="144"/>
      <c r="P66" s="144"/>
      <c r="Q66" s="128"/>
      <c r="R66" s="128"/>
      <c r="S66" s="146"/>
      <c r="T66" s="146"/>
      <c r="U66" s="146"/>
      <c r="V66" s="146"/>
      <c r="W66" s="146"/>
      <c r="X66" s="146"/>
      <c r="Y66" s="146"/>
      <c r="Z66" s="146"/>
      <c r="AA66" s="146"/>
      <c r="AB66" s="146"/>
      <c r="AC66" s="139"/>
      <c r="AD66" s="137"/>
      <c r="AE66" s="146"/>
    </row>
    <row r="67" spans="2:31" x14ac:dyDescent="0.2">
      <c r="B67" s="20" t="s">
        <v>319</v>
      </c>
      <c r="C67" s="127">
        <f t="shared" ref="C67:P67" si="174">C65/C40</f>
        <v>0</v>
      </c>
      <c r="D67" s="127">
        <f t="shared" si="174"/>
        <v>0</v>
      </c>
      <c r="E67" s="127">
        <f t="shared" si="174"/>
        <v>0</v>
      </c>
      <c r="F67" s="144">
        <f t="shared" si="174"/>
        <v>0</v>
      </c>
      <c r="G67" s="144">
        <f t="shared" si="174"/>
        <v>42.60450160771704</v>
      </c>
      <c r="H67" s="144">
        <f t="shared" si="174"/>
        <v>26.789838337182449</v>
      </c>
      <c r="I67" s="144">
        <f t="shared" si="174"/>
        <v>3.1318281136198105</v>
      </c>
      <c r="J67" s="144">
        <f t="shared" si="174"/>
        <v>19.138418079096045</v>
      </c>
      <c r="K67" s="144">
        <f t="shared" si="174"/>
        <v>-112.76086212795073</v>
      </c>
      <c r="L67" s="144">
        <f t="shared" si="174"/>
        <v>-31.25</v>
      </c>
      <c r="M67" s="144">
        <f t="shared" si="174"/>
        <v>-9.7824281680783916</v>
      </c>
      <c r="N67" s="144">
        <f t="shared" si="174"/>
        <v>23.390275952693823</v>
      </c>
      <c r="O67" s="144">
        <f t="shared" si="174"/>
        <v>-13.73509717458762</v>
      </c>
      <c r="P67" s="144">
        <f t="shared" si="174"/>
        <v>41.914513245571264</v>
      </c>
      <c r="Q67" s="118">
        <f>((P67/G67)^(1/($H$2-$H$1) ))-1</f>
        <v>-1.8125524620394851E-3</v>
      </c>
      <c r="R67" s="128"/>
      <c r="S67" s="146">
        <f t="shared" ref="S67:AB67" si="175">S65/S40</f>
        <v>31.296169890026551</v>
      </c>
      <c r="T67" s="146">
        <f t="shared" si="175"/>
        <v>31.296169890026551</v>
      </c>
      <c r="U67" s="146">
        <f t="shared" si="175"/>
        <v>31.296169890026547</v>
      </c>
      <c r="V67" s="146">
        <f t="shared" si="175"/>
        <v>31.296169890026547</v>
      </c>
      <c r="W67" s="146">
        <f t="shared" si="175"/>
        <v>31.296169890026547</v>
      </c>
      <c r="X67" s="146">
        <f t="shared" si="175"/>
        <v>31.296169890026544</v>
      </c>
      <c r="Y67" s="146">
        <f t="shared" si="175"/>
        <v>31.296169890026547</v>
      </c>
      <c r="Z67" s="146">
        <f t="shared" si="175"/>
        <v>31.296169890026551</v>
      </c>
      <c r="AA67" s="146">
        <f t="shared" si="175"/>
        <v>31.296169890026551</v>
      </c>
      <c r="AB67" s="146">
        <f t="shared" si="175"/>
        <v>31.296169890026551</v>
      </c>
      <c r="AC67" s="138">
        <f t="shared" si="173"/>
        <v>-1.6103881105486773E-2</v>
      </c>
      <c r="AD67" s="31">
        <f t="shared" si="17"/>
        <v>0.08</v>
      </c>
      <c r="AE67" s="146">
        <f t="shared" si="140"/>
        <v>241.42759629449051</v>
      </c>
    </row>
    <row r="68" spans="2:31" x14ac:dyDescent="0.2">
      <c r="B68" s="20" t="s">
        <v>288</v>
      </c>
      <c r="C68" s="127">
        <f t="shared" ref="C68:P68" si="176">C20/C40</f>
        <v>0</v>
      </c>
      <c r="D68" s="127">
        <f t="shared" si="176"/>
        <v>0</v>
      </c>
      <c r="E68" s="127">
        <f t="shared" si="176"/>
        <v>0</v>
      </c>
      <c r="F68" s="144">
        <f t="shared" si="176"/>
        <v>0</v>
      </c>
      <c r="G68" s="144">
        <f t="shared" si="176"/>
        <v>26.527331189710612</v>
      </c>
      <c r="H68" s="144">
        <f t="shared" si="176"/>
        <v>8.6220169361046963</v>
      </c>
      <c r="I68" s="144">
        <f t="shared" si="176"/>
        <v>99.708667152221409</v>
      </c>
      <c r="J68" s="144">
        <f t="shared" si="176"/>
        <v>75.211864406779654</v>
      </c>
      <c r="K68" s="144">
        <f t="shared" si="176"/>
        <v>66.541224769072869</v>
      </c>
      <c r="L68" s="144">
        <f t="shared" si="176"/>
        <v>25.239071038251364</v>
      </c>
      <c r="M68" s="144">
        <f t="shared" si="176"/>
        <v>91.04799867131706</v>
      </c>
      <c r="N68" s="144">
        <f t="shared" si="176"/>
        <v>62.959921156373191</v>
      </c>
      <c r="O68" s="144">
        <f t="shared" si="176"/>
        <v>17.654744406336764</v>
      </c>
      <c r="P68" s="144">
        <f t="shared" si="176"/>
        <v>34.357224118316267</v>
      </c>
      <c r="Q68" s="118">
        <f>((P68/G68)^(1/($H$2-$H$1) ))-1</f>
        <v>2.9154318908213295E-2</v>
      </c>
      <c r="R68" s="128"/>
      <c r="S68" s="146">
        <f t="shared" ref="S68:AB68" si="177">S20/S40</f>
        <v>25.653394008342815</v>
      </c>
      <c r="T68" s="146">
        <f t="shared" si="177"/>
        <v>25.653394008342815</v>
      </c>
      <c r="U68" s="146">
        <f t="shared" si="177"/>
        <v>25.653394008342815</v>
      </c>
      <c r="V68" s="146">
        <f t="shared" si="177"/>
        <v>25.653394008342815</v>
      </c>
      <c r="W68" s="146">
        <f t="shared" si="177"/>
        <v>25.653394008342818</v>
      </c>
      <c r="X68" s="146">
        <f t="shared" si="177"/>
        <v>25.653394008342811</v>
      </c>
      <c r="Y68" s="146">
        <f t="shared" si="177"/>
        <v>25.653394008342815</v>
      </c>
      <c r="Z68" s="146">
        <f t="shared" si="177"/>
        <v>25.653394008342815</v>
      </c>
      <c r="AA68" s="146">
        <f t="shared" si="177"/>
        <v>25.653394008342818</v>
      </c>
      <c r="AB68" s="146">
        <f t="shared" si="177"/>
        <v>25.653394008342818</v>
      </c>
      <c r="AC68" s="138">
        <f t="shared" si="173"/>
        <v>-1.7615878570379495E-3</v>
      </c>
      <c r="AD68" s="31">
        <f t="shared" si="17"/>
        <v>0.08</v>
      </c>
      <c r="AE68" s="146">
        <f t="shared" si="140"/>
        <v>197.89761092150175</v>
      </c>
    </row>
    <row r="69" spans="2:31" x14ac:dyDescent="0.2">
      <c r="B69" s="20" t="s">
        <v>289</v>
      </c>
      <c r="C69" s="127">
        <f t="shared" ref="C69:P69" si="178">C21/C40</f>
        <v>0</v>
      </c>
      <c r="D69" s="127">
        <f t="shared" si="178"/>
        <v>0</v>
      </c>
      <c r="E69" s="127">
        <f t="shared" si="178"/>
        <v>0</v>
      </c>
      <c r="F69" s="144">
        <f t="shared" si="178"/>
        <v>0</v>
      </c>
      <c r="G69" s="144">
        <f t="shared" si="178"/>
        <v>16.077170418006432</v>
      </c>
      <c r="H69" s="144">
        <f t="shared" si="178"/>
        <v>18.167821401077752</v>
      </c>
      <c r="I69" s="144">
        <f t="shared" si="178"/>
        <v>-96.576839038601605</v>
      </c>
      <c r="J69" s="144">
        <f t="shared" si="178"/>
        <v>-56.073446327683612</v>
      </c>
      <c r="K69" s="144">
        <f t="shared" si="178"/>
        <v>-179.3020868970236</v>
      </c>
      <c r="L69" s="144">
        <f t="shared" si="178"/>
        <v>-56.489071038251367</v>
      </c>
      <c r="M69" s="144">
        <f t="shared" si="178"/>
        <v>-100.83042683939544</v>
      </c>
      <c r="N69" s="144">
        <f t="shared" si="178"/>
        <v>-39.569645203679364</v>
      </c>
      <c r="O69" s="144">
        <f t="shared" si="178"/>
        <v>-31.389841580924386</v>
      </c>
      <c r="P69" s="144">
        <f t="shared" si="178"/>
        <v>7.5572891272549976</v>
      </c>
      <c r="Q69" s="118">
        <f>((P69/G69)^(1/($H$2-$H$1) ))-1</f>
        <v>-8.04551089103549E-2</v>
      </c>
      <c r="R69" s="128"/>
      <c r="S69" s="146">
        <f t="shared" ref="S69:AB69" si="179">S21/S40</f>
        <v>5.6427758816837326</v>
      </c>
      <c r="T69" s="146">
        <f t="shared" si="179"/>
        <v>5.6427758816837317</v>
      </c>
      <c r="U69" s="146">
        <f t="shared" si="179"/>
        <v>5.6427758816837317</v>
      </c>
      <c r="V69" s="146">
        <f t="shared" si="179"/>
        <v>5.6427758816837317</v>
      </c>
      <c r="W69" s="146">
        <f t="shared" si="179"/>
        <v>5.6427758816837326</v>
      </c>
      <c r="X69" s="146">
        <f t="shared" si="179"/>
        <v>5.6427758816837317</v>
      </c>
      <c r="Y69" s="146">
        <f t="shared" si="179"/>
        <v>5.6427758816837326</v>
      </c>
      <c r="Z69" s="146">
        <f t="shared" si="179"/>
        <v>5.6427758816837326</v>
      </c>
      <c r="AA69" s="146">
        <f t="shared" si="179"/>
        <v>5.6427758816837317</v>
      </c>
      <c r="AB69" s="146">
        <f t="shared" si="179"/>
        <v>5.6427758816837317</v>
      </c>
      <c r="AC69" s="138">
        <f t="shared" si="173"/>
        <v>-5.3615680082424011E-2</v>
      </c>
      <c r="AD69" s="31">
        <f t="shared" si="17"/>
        <v>0.08</v>
      </c>
      <c r="AE69" s="146">
        <f t="shared" si="140"/>
        <v>43.529985372988783</v>
      </c>
    </row>
    <row r="70" spans="2:31" x14ac:dyDescent="0.2">
      <c r="B70" s="20" t="s">
        <v>290</v>
      </c>
      <c r="C70" s="127">
        <f t="shared" ref="C70:P70" si="180">C22/C40</f>
        <v>0</v>
      </c>
      <c r="D70" s="127">
        <f t="shared" si="180"/>
        <v>0</v>
      </c>
      <c r="E70" s="127">
        <f t="shared" si="180"/>
        <v>0</v>
      </c>
      <c r="F70" s="144">
        <f t="shared" si="180"/>
        <v>0</v>
      </c>
      <c r="G70" s="144">
        <f t="shared" si="180"/>
        <v>-38.183279742765272</v>
      </c>
      <c r="H70" s="144">
        <f t="shared" si="180"/>
        <v>8.0061585835257887</v>
      </c>
      <c r="I70" s="144">
        <f t="shared" si="180"/>
        <v>-20.975965040058266</v>
      </c>
      <c r="J70" s="144">
        <f t="shared" si="180"/>
        <v>-1.094632768361582</v>
      </c>
      <c r="K70" s="144">
        <f t="shared" si="180"/>
        <v>108.34758809442354</v>
      </c>
      <c r="L70" s="144">
        <f t="shared" si="180"/>
        <v>28.005464480874316</v>
      </c>
      <c r="M70" s="144">
        <f t="shared" si="180"/>
        <v>20.677628300946687</v>
      </c>
      <c r="N70" s="144">
        <f t="shared" si="180"/>
        <v>-18.478975032851512</v>
      </c>
      <c r="O70" s="144">
        <f t="shared" si="180"/>
        <v>16.576841417605749</v>
      </c>
      <c r="P70" s="144">
        <f t="shared" si="180"/>
        <v>-48.59418169998375</v>
      </c>
      <c r="Q70" s="118">
        <f>((P70/G70)^(1/($H$2-$H$1) ))-1</f>
        <v>2.7151631811821453E-2</v>
      </c>
      <c r="R70" s="128"/>
      <c r="S70" s="146">
        <f t="shared" ref="S70:AB70" si="181">S22/S40</f>
        <v>-36.283655669321199</v>
      </c>
      <c r="T70" s="146">
        <f t="shared" si="181"/>
        <v>-36.283655669321199</v>
      </c>
      <c r="U70" s="146">
        <f t="shared" si="181"/>
        <v>-36.283655669321199</v>
      </c>
      <c r="V70" s="146">
        <f t="shared" si="181"/>
        <v>-36.283655669321199</v>
      </c>
      <c r="W70" s="146">
        <f t="shared" si="181"/>
        <v>-36.283655669321206</v>
      </c>
      <c r="X70" s="146">
        <f t="shared" si="181"/>
        <v>-36.283655669321199</v>
      </c>
      <c r="Y70" s="146">
        <f t="shared" si="181"/>
        <v>-36.283655669321206</v>
      </c>
      <c r="Z70" s="146">
        <f t="shared" si="181"/>
        <v>-36.283655669321206</v>
      </c>
      <c r="AA70" s="146">
        <f t="shared" si="181"/>
        <v>-36.283655669321213</v>
      </c>
      <c r="AB70" s="146">
        <f t="shared" si="181"/>
        <v>-36.283655669321206</v>
      </c>
      <c r="AC70" s="138">
        <f t="shared" si="173"/>
        <v>-2.6822034940946482E-3</v>
      </c>
      <c r="AD70" s="31">
        <f t="shared" si="17"/>
        <v>0.08</v>
      </c>
      <c r="AE70" s="146">
        <f t="shared" si="140"/>
        <v>-279.90248659190644</v>
      </c>
    </row>
    <row r="71" spans="2:31" x14ac:dyDescent="0.2">
      <c r="B71" s="20" t="s">
        <v>297</v>
      </c>
      <c r="C71" s="127">
        <f t="shared" ref="C71:P71" si="182">C23/C40</f>
        <v>0</v>
      </c>
      <c r="D71" s="127">
        <f t="shared" si="182"/>
        <v>0</v>
      </c>
      <c r="E71" s="127">
        <f t="shared" si="182"/>
        <v>0</v>
      </c>
      <c r="F71" s="144">
        <f t="shared" si="182"/>
        <v>0</v>
      </c>
      <c r="G71" s="144">
        <f t="shared" si="182"/>
        <v>30.14469453376206</v>
      </c>
      <c r="H71" s="144">
        <f t="shared" si="182"/>
        <v>63.741339491916861</v>
      </c>
      <c r="I71" s="144">
        <f t="shared" si="182"/>
        <v>42.46176256372906</v>
      </c>
      <c r="J71" s="144">
        <f t="shared" si="182"/>
        <v>38.629943502824858</v>
      </c>
      <c r="K71" s="144">
        <f t="shared" si="182"/>
        <v>33.014026684912757</v>
      </c>
      <c r="L71" s="144">
        <f t="shared" si="182"/>
        <v>13.234289617486338</v>
      </c>
      <c r="M71" s="144">
        <f t="shared" si="182"/>
        <v>23.766816143497756</v>
      </c>
      <c r="N71" s="144">
        <f t="shared" si="182"/>
        <v>28.416557161629434</v>
      </c>
      <c r="O71" s="144">
        <f t="shared" si="182"/>
        <v>31.112199902008822</v>
      </c>
      <c r="P71" s="144">
        <f t="shared" si="182"/>
        <v>24.297090849991875</v>
      </c>
      <c r="Q71" s="118">
        <f>((P71/G71)^(1/($H$2-$H$1) ))-1</f>
        <v>-2.3676573816179491E-2</v>
      </c>
      <c r="R71" s="128"/>
      <c r="S71" s="146">
        <f t="shared" ref="S71:AB71" si="183">S23/S40</f>
        <v>18.141827834660599</v>
      </c>
      <c r="T71" s="146">
        <f t="shared" si="183"/>
        <v>18.141827834660599</v>
      </c>
      <c r="U71" s="146">
        <f t="shared" si="183"/>
        <v>18.141827834660599</v>
      </c>
      <c r="V71" s="146">
        <f t="shared" si="183"/>
        <v>18.141827834660599</v>
      </c>
      <c r="W71" s="146">
        <f t="shared" si="183"/>
        <v>18.141827834660603</v>
      </c>
      <c r="X71" s="146">
        <f t="shared" si="183"/>
        <v>18.141827834660599</v>
      </c>
      <c r="Y71" s="146">
        <f t="shared" si="183"/>
        <v>18.141827834660603</v>
      </c>
      <c r="Z71" s="146">
        <f t="shared" si="183"/>
        <v>18.141827834660603</v>
      </c>
      <c r="AA71" s="146">
        <f t="shared" si="183"/>
        <v>18.141827834660607</v>
      </c>
      <c r="AB71" s="146">
        <f t="shared" si="183"/>
        <v>18.141827834660603</v>
      </c>
      <c r="AC71" s="138">
        <f t="shared" ref="AC71" si="184">((AB71/G71)^(1/($AB$3-$H$1) ))-1</f>
        <v>-2.6371751227773021E-2</v>
      </c>
      <c r="AD71" s="31">
        <f t="shared" si="17"/>
        <v>0.08</v>
      </c>
      <c r="AE71" s="146">
        <f t="shared" si="140"/>
        <v>139.95124329595322</v>
      </c>
    </row>
    <row r="72" spans="2:31" x14ac:dyDescent="0.2">
      <c r="B72" s="20"/>
      <c r="C72" s="127"/>
      <c r="D72" s="127"/>
      <c r="E72" s="127"/>
      <c r="F72" s="144"/>
      <c r="G72" s="144"/>
      <c r="H72" s="144"/>
      <c r="I72" s="144"/>
      <c r="J72" s="144"/>
      <c r="K72" s="144"/>
      <c r="L72" s="144"/>
      <c r="M72" s="144"/>
      <c r="N72" s="144"/>
      <c r="O72" s="144"/>
      <c r="P72" s="144"/>
      <c r="Q72" s="128"/>
      <c r="R72" s="128"/>
      <c r="S72" s="119"/>
      <c r="T72" s="119"/>
      <c r="U72" s="119"/>
      <c r="V72" s="119"/>
      <c r="W72" s="119"/>
      <c r="X72" s="119"/>
      <c r="Y72" s="119"/>
      <c r="Z72" s="119"/>
      <c r="AA72" s="119"/>
      <c r="AB72" s="119"/>
      <c r="AC72" s="139"/>
      <c r="AD72" s="137"/>
      <c r="AE72" s="154"/>
    </row>
    <row r="73" spans="2:31" x14ac:dyDescent="0.2">
      <c r="B73" s="20" t="s">
        <v>312</v>
      </c>
      <c r="C73" s="144">
        <f t="shared" ref="C73:P73" si="185">C36/C40</f>
        <v>0</v>
      </c>
      <c r="D73" s="144">
        <f t="shared" si="185"/>
        <v>0</v>
      </c>
      <c r="E73" s="144">
        <f t="shared" si="185"/>
        <v>0</v>
      </c>
      <c r="F73" s="144">
        <f t="shared" si="185"/>
        <v>0</v>
      </c>
      <c r="G73" s="144">
        <f t="shared" si="185"/>
        <v>62.942122186495176</v>
      </c>
      <c r="H73" s="144">
        <f t="shared" si="185"/>
        <v>109.93071593533487</v>
      </c>
      <c r="I73" s="144">
        <f t="shared" si="185"/>
        <v>135.10560815731972</v>
      </c>
      <c r="J73" s="144">
        <f t="shared" si="185"/>
        <v>103.28389830508475</v>
      </c>
      <c r="K73" s="144">
        <f t="shared" si="185"/>
        <v>146.66438590489224</v>
      </c>
      <c r="L73" s="144">
        <f t="shared" si="185"/>
        <v>100.68306010928961</v>
      </c>
      <c r="M73" s="144">
        <f t="shared" si="185"/>
        <v>121.00979903670486</v>
      </c>
      <c r="N73" s="144">
        <f t="shared" si="185"/>
        <v>127.56241787122207</v>
      </c>
      <c r="O73" s="144">
        <f t="shared" si="185"/>
        <v>143.21411073003429</v>
      </c>
      <c r="P73" s="144">
        <f t="shared" si="185"/>
        <v>160.23078173248823</v>
      </c>
      <c r="Q73" s="118">
        <f>((P73/G73)^(1/($H$2-$H$1) ))-1</f>
        <v>0.10940315506312781</v>
      </c>
      <c r="R73" s="128"/>
      <c r="S73" s="144">
        <f t="shared" ref="S73:AB73" si="186">S36/S40</f>
        <v>119.63898369359121</v>
      </c>
      <c r="T73" s="144">
        <f t="shared" si="186"/>
        <v>119.63898369359121</v>
      </c>
      <c r="U73" s="144">
        <f t="shared" si="186"/>
        <v>119.63898369359121</v>
      </c>
      <c r="V73" s="144">
        <f t="shared" si="186"/>
        <v>119.63898369359121</v>
      </c>
      <c r="W73" s="144">
        <f t="shared" si="186"/>
        <v>119.63898369359121</v>
      </c>
      <c r="X73" s="144">
        <f t="shared" si="186"/>
        <v>119.63898369359121</v>
      </c>
      <c r="Y73" s="144">
        <f t="shared" si="186"/>
        <v>119.63898369359123</v>
      </c>
      <c r="Z73" s="144">
        <f t="shared" si="186"/>
        <v>119.63898369359123</v>
      </c>
      <c r="AA73" s="144">
        <f t="shared" si="186"/>
        <v>119.63898369359123</v>
      </c>
      <c r="AB73" s="144">
        <f t="shared" si="186"/>
        <v>119.63898369359123</v>
      </c>
      <c r="AC73" s="138">
        <f t="shared" ref="AC73:AC75" si="187">((AB73/G73)^(1/($AB$3-$H$1) ))-1</f>
        <v>3.4381147377443355E-2</v>
      </c>
      <c r="AD73" s="31">
        <f t="shared" si="17"/>
        <v>0.08</v>
      </c>
      <c r="AE73" s="146">
        <f t="shared" si="140"/>
        <v>922.9293027791324</v>
      </c>
    </row>
    <row r="74" spans="2:31" x14ac:dyDescent="0.2">
      <c r="B74" s="20" t="s">
        <v>313</v>
      </c>
      <c r="C74" s="144">
        <f t="shared" ref="C74:P74" si="188">C38/C40</f>
        <v>0</v>
      </c>
      <c r="D74" s="144">
        <f t="shared" si="188"/>
        <v>0</v>
      </c>
      <c r="E74" s="144">
        <f t="shared" si="188"/>
        <v>0</v>
      </c>
      <c r="F74" s="144">
        <f t="shared" si="188"/>
        <v>0</v>
      </c>
      <c r="G74" s="144">
        <f t="shared" si="188"/>
        <v>61.09324758842444</v>
      </c>
      <c r="H74" s="144">
        <f t="shared" si="188"/>
        <v>86.220169361046956</v>
      </c>
      <c r="I74" s="144">
        <f t="shared" si="188"/>
        <v>93.954843408594314</v>
      </c>
      <c r="J74" s="144">
        <f t="shared" si="188"/>
        <v>79.837570621468927</v>
      </c>
      <c r="K74" s="144">
        <f t="shared" si="188"/>
        <v>77.215189873417714</v>
      </c>
      <c r="L74" s="144">
        <f t="shared" si="188"/>
        <v>50.102459016393439</v>
      </c>
      <c r="M74" s="144">
        <f t="shared" si="188"/>
        <v>90.383657199800695</v>
      </c>
      <c r="N74" s="144">
        <f t="shared" si="188"/>
        <v>73.045335085413925</v>
      </c>
      <c r="O74" s="144">
        <f t="shared" si="188"/>
        <v>76.465784746039532</v>
      </c>
      <c r="P74" s="144">
        <f t="shared" si="188"/>
        <v>85.145457500406309</v>
      </c>
      <c r="Q74" s="118">
        <f>((P74/G74)^(1/($H$2-$H$1) ))-1</f>
        <v>3.7573083449375488E-2</v>
      </c>
      <c r="R74" s="128"/>
      <c r="S74" s="144">
        <f t="shared" ref="S74:AB74" si="189">S38/S40</f>
        <v>63.575274933636713</v>
      </c>
      <c r="T74" s="144">
        <f t="shared" si="189"/>
        <v>63.575274933636706</v>
      </c>
      <c r="U74" s="144">
        <f t="shared" si="189"/>
        <v>63.575274933636699</v>
      </c>
      <c r="V74" s="144">
        <f t="shared" si="189"/>
        <v>63.575274933636699</v>
      </c>
      <c r="W74" s="144">
        <f t="shared" si="189"/>
        <v>63.575274933636706</v>
      </c>
      <c r="X74" s="144">
        <f t="shared" si="189"/>
        <v>63.575274933636706</v>
      </c>
      <c r="Y74" s="144">
        <f t="shared" si="189"/>
        <v>63.575274933636706</v>
      </c>
      <c r="Z74" s="144">
        <f t="shared" si="189"/>
        <v>63.575274933636713</v>
      </c>
      <c r="AA74" s="144">
        <f t="shared" si="189"/>
        <v>63.575274933636713</v>
      </c>
      <c r="AB74" s="144">
        <f t="shared" si="189"/>
        <v>63.575274933636706</v>
      </c>
      <c r="AC74" s="138">
        <f t="shared" si="187"/>
        <v>2.0981606906258499E-3</v>
      </c>
      <c r="AD74" s="31">
        <f t="shared" si="17"/>
        <v>0.08</v>
      </c>
      <c r="AE74" s="146">
        <f t="shared" si="140"/>
        <v>490.4378352023403</v>
      </c>
    </row>
    <row r="75" spans="2:31" x14ac:dyDescent="0.2">
      <c r="B75" s="20" t="s">
        <v>314</v>
      </c>
      <c r="C75" s="144">
        <f t="shared" ref="C75:P75" si="190">C6/C40</f>
        <v>0</v>
      </c>
      <c r="D75" s="144">
        <f t="shared" si="190"/>
        <v>0</v>
      </c>
      <c r="E75" s="144">
        <f t="shared" si="190"/>
        <v>0</v>
      </c>
      <c r="F75" s="144">
        <f t="shared" si="190"/>
        <v>0</v>
      </c>
      <c r="G75" s="144">
        <f t="shared" si="190"/>
        <v>210.77170418006432</v>
      </c>
      <c r="H75" s="144">
        <f t="shared" si="190"/>
        <v>248.65280985373363</v>
      </c>
      <c r="I75" s="144">
        <f t="shared" si="190"/>
        <v>354.84340859431899</v>
      </c>
      <c r="J75" s="144">
        <f t="shared" si="190"/>
        <v>241.38418079096044</v>
      </c>
      <c r="K75" s="144">
        <f t="shared" si="190"/>
        <v>367.63599042080057</v>
      </c>
      <c r="L75" s="144">
        <f t="shared" si="190"/>
        <v>231.64275956284152</v>
      </c>
      <c r="M75" s="144">
        <f t="shared" si="190"/>
        <v>340.30891878425513</v>
      </c>
      <c r="N75" s="144">
        <f t="shared" si="190"/>
        <v>402.66097240473061</v>
      </c>
      <c r="O75" s="144">
        <f t="shared" si="190"/>
        <v>477.93565245794548</v>
      </c>
      <c r="P75" s="144">
        <f t="shared" si="190"/>
        <v>548.28538924102065</v>
      </c>
      <c r="Q75" s="118">
        <f>((P75/G75)^(1/($H$2-$H$1) ))-1</f>
        <v>0.11207149095009616</v>
      </c>
      <c r="R75" s="128"/>
      <c r="S75" s="144">
        <f t="shared" ref="S75:AB75" si="191">S6/S40</f>
        <v>409.3864239666288</v>
      </c>
      <c r="T75" s="144">
        <f t="shared" si="191"/>
        <v>409.3864239666288</v>
      </c>
      <c r="U75" s="144">
        <f t="shared" si="191"/>
        <v>409.3864239666288</v>
      </c>
      <c r="V75" s="144">
        <f t="shared" si="191"/>
        <v>409.3864239666288</v>
      </c>
      <c r="W75" s="144">
        <f t="shared" si="191"/>
        <v>409.38642396662885</v>
      </c>
      <c r="X75" s="144">
        <f t="shared" si="191"/>
        <v>409.38642396662885</v>
      </c>
      <c r="Y75" s="144">
        <f t="shared" si="191"/>
        <v>409.38642396662885</v>
      </c>
      <c r="Z75" s="144">
        <f t="shared" si="191"/>
        <v>409.38642396662885</v>
      </c>
      <c r="AA75" s="144">
        <f t="shared" si="191"/>
        <v>409.38642396662885</v>
      </c>
      <c r="AB75" s="144">
        <f t="shared" si="191"/>
        <v>409.38642396662885</v>
      </c>
      <c r="AC75" s="138">
        <f t="shared" si="187"/>
        <v>3.5558878004404271E-2</v>
      </c>
      <c r="AD75" s="31">
        <f t="shared" ref="AD75" si="192">$L$1</f>
        <v>0.08</v>
      </c>
      <c r="AE75" s="146">
        <f t="shared" si="140"/>
        <v>3158.1238420282798</v>
      </c>
    </row>
    <row r="76" spans="2:31" x14ac:dyDescent="0.2">
      <c r="B76" s="20"/>
      <c r="C76" s="127"/>
      <c r="D76" s="127"/>
      <c r="E76" s="127"/>
      <c r="F76" s="144"/>
      <c r="G76" s="144"/>
      <c r="H76" s="144"/>
      <c r="I76" s="144"/>
      <c r="J76" s="144"/>
      <c r="K76" s="144"/>
      <c r="L76" s="144"/>
      <c r="M76" s="144"/>
      <c r="N76" s="144"/>
      <c r="O76" s="144"/>
      <c r="P76" s="144"/>
      <c r="Q76" s="128"/>
      <c r="R76" s="128"/>
      <c r="S76" s="119"/>
      <c r="T76" s="119"/>
      <c r="U76" s="119"/>
      <c r="V76" s="119"/>
      <c r="W76" s="119"/>
      <c r="X76" s="119"/>
      <c r="Y76" s="119"/>
      <c r="Z76" s="119"/>
      <c r="AA76" s="119"/>
      <c r="AB76" s="119"/>
      <c r="AC76" s="139"/>
      <c r="AD76" s="20"/>
      <c r="AE76" s="154"/>
    </row>
    <row r="77" spans="2:31" x14ac:dyDescent="0.2">
      <c r="B77" s="20"/>
      <c r="C77" s="127"/>
      <c r="D77" s="127"/>
      <c r="E77" s="127"/>
      <c r="F77" s="144"/>
      <c r="G77" s="144"/>
      <c r="H77" s="144"/>
      <c r="I77" s="144"/>
      <c r="J77" s="144"/>
      <c r="K77" s="144"/>
      <c r="L77" s="144"/>
      <c r="M77" s="144"/>
      <c r="N77" s="144"/>
      <c r="O77" s="144"/>
      <c r="P77" s="144"/>
      <c r="Q77" s="128"/>
      <c r="R77" s="128"/>
      <c r="S77" s="119"/>
      <c r="T77" s="119"/>
      <c r="U77" s="119"/>
      <c r="V77" s="119"/>
      <c r="W77" s="119"/>
      <c r="X77" s="119"/>
      <c r="Y77" s="119"/>
      <c r="Z77" s="119"/>
      <c r="AA77" s="119"/>
      <c r="AB77" s="119"/>
      <c r="AC77" s="139"/>
      <c r="AD77" s="20"/>
      <c r="AE77" s="154"/>
    </row>
    <row r="78" spans="2:31" x14ac:dyDescent="0.2">
      <c r="B78" s="108" t="s">
        <v>311</v>
      </c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</row>
    <row r="79" spans="2:31" x14ac:dyDescent="0.2">
      <c r="B79" s="20" t="s">
        <v>310</v>
      </c>
      <c r="C79" s="152"/>
      <c r="D79" s="152"/>
      <c r="E79" s="152" t="e">
        <f t="shared" ref="E79:P79" si="193">E36/E25</f>
        <v>#DIV/0!</v>
      </c>
      <c r="F79" s="152" t="e">
        <f t="shared" si="193"/>
        <v>#DIV/0!</v>
      </c>
      <c r="G79" s="152">
        <f t="shared" si="193"/>
        <v>6.5931289996631864E-2</v>
      </c>
      <c r="H79" s="152">
        <f t="shared" si="193"/>
        <v>9.4425709184685583E-2</v>
      </c>
      <c r="I79" s="152">
        <f t="shared" si="193"/>
        <v>0.10938144937791143</v>
      </c>
      <c r="J79" s="152">
        <f t="shared" si="193"/>
        <v>0.13557358053302435</v>
      </c>
      <c r="K79" s="152">
        <f t="shared" si="193"/>
        <v>0.13957804258644266</v>
      </c>
      <c r="L79" s="152">
        <f t="shared" si="193"/>
        <v>0.13993117360863891</v>
      </c>
      <c r="M79" s="152">
        <f t="shared" si="193"/>
        <v>0.15750789052704398</v>
      </c>
      <c r="N79" s="152">
        <f t="shared" si="193"/>
        <v>0.14577193805725011</v>
      </c>
      <c r="O79" s="152">
        <f t="shared" si="193"/>
        <v>0.13323710400364658</v>
      </c>
      <c r="P79" s="152">
        <f t="shared" si="193"/>
        <v>0.12719649077538381</v>
      </c>
      <c r="Q79" s="118">
        <f t="shared" ref="Q79:Q122" si="194">((P79/G79)^(1/($H$2-$H$1) ))-1</f>
        <v>7.574487090354376E-2</v>
      </c>
      <c r="R79" s="152"/>
      <c r="S79" s="152">
        <f t="shared" ref="S79:AB79" si="195">S36/S25</f>
        <v>0.12719649077538384</v>
      </c>
      <c r="T79" s="152">
        <f t="shared" si="195"/>
        <v>0.12719649077538384</v>
      </c>
      <c r="U79" s="152">
        <f t="shared" si="195"/>
        <v>0.12719649077538384</v>
      </c>
      <c r="V79" s="152">
        <f t="shared" si="195"/>
        <v>0.12719649077538384</v>
      </c>
      <c r="W79" s="152">
        <f t="shared" si="195"/>
        <v>0.12719649077538381</v>
      </c>
      <c r="X79" s="152">
        <f t="shared" si="195"/>
        <v>0.12719649077538381</v>
      </c>
      <c r="Y79" s="152">
        <f t="shared" si="195"/>
        <v>0.12719649077538384</v>
      </c>
      <c r="Z79" s="152">
        <f t="shared" si="195"/>
        <v>0.12719649077538384</v>
      </c>
      <c r="AA79" s="152">
        <f t="shared" si="195"/>
        <v>0.12719649077538384</v>
      </c>
      <c r="AB79" s="152">
        <f t="shared" si="195"/>
        <v>0.12719649077538384</v>
      </c>
      <c r="AC79" s="138">
        <f t="shared" ref="AC79:AC109" si="196">((AB79/G79)^(1/($AB$3-$H$1) ))-1</f>
        <v>3.5190284021633378E-2</v>
      </c>
      <c r="AD79" s="146"/>
      <c r="AE79" s="146"/>
    </row>
    <row r="80" spans="2:31" x14ac:dyDescent="0.2">
      <c r="B80" s="20" t="s">
        <v>267</v>
      </c>
      <c r="C80" s="152"/>
      <c r="D80" s="152"/>
      <c r="E80" s="152" t="e">
        <f t="shared" ref="E80:P80" si="197">E38/E25</f>
        <v>#DIV/0!</v>
      </c>
      <c r="F80" s="152" t="e">
        <f t="shared" si="197"/>
        <v>#DIV/0!</v>
      </c>
      <c r="G80" s="152">
        <f t="shared" si="197"/>
        <v>6.3994610980127986E-2</v>
      </c>
      <c r="H80" s="152">
        <f t="shared" si="197"/>
        <v>7.4059379752694568E-2</v>
      </c>
      <c r="I80" s="152">
        <f t="shared" si="197"/>
        <v>7.6065805766849459E-2</v>
      </c>
      <c r="J80" s="152">
        <f t="shared" si="197"/>
        <v>0.10479721900347624</v>
      </c>
      <c r="K80" s="152">
        <f t="shared" si="197"/>
        <v>7.3484404506088424E-2</v>
      </c>
      <c r="L80" s="152">
        <f t="shared" si="197"/>
        <v>6.9633321466714138E-2</v>
      </c>
      <c r="M80" s="152">
        <f t="shared" si="197"/>
        <v>0.11764451554325739</v>
      </c>
      <c r="N80" s="152">
        <f t="shared" si="197"/>
        <v>8.3472548099483804E-2</v>
      </c>
      <c r="O80" s="152">
        <f t="shared" si="197"/>
        <v>7.1138798146319224E-2</v>
      </c>
      <c r="P80" s="152">
        <f t="shared" si="197"/>
        <v>6.7591278544703912E-2</v>
      </c>
      <c r="Q80" s="118">
        <f t="shared" si="194"/>
        <v>6.0940584261521824E-3</v>
      </c>
      <c r="R80" s="152"/>
      <c r="S80" s="152">
        <f t="shared" ref="S80:AB80" si="198">S38/S25</f>
        <v>6.7591278544703898E-2</v>
      </c>
      <c r="T80" s="152">
        <f t="shared" si="198"/>
        <v>6.7591278544703898E-2</v>
      </c>
      <c r="U80" s="152">
        <f t="shared" si="198"/>
        <v>6.7591278544703898E-2</v>
      </c>
      <c r="V80" s="152">
        <f t="shared" si="198"/>
        <v>6.7591278544703898E-2</v>
      </c>
      <c r="W80" s="152">
        <f t="shared" si="198"/>
        <v>6.7591278544703898E-2</v>
      </c>
      <c r="X80" s="152">
        <f t="shared" si="198"/>
        <v>6.7591278544703898E-2</v>
      </c>
      <c r="Y80" s="152">
        <f t="shared" si="198"/>
        <v>6.7591278544703898E-2</v>
      </c>
      <c r="Z80" s="152">
        <f t="shared" si="198"/>
        <v>6.7591278544703898E-2</v>
      </c>
      <c r="AA80" s="152">
        <f t="shared" si="198"/>
        <v>6.7591278544703898E-2</v>
      </c>
      <c r="AB80" s="152">
        <f t="shared" si="198"/>
        <v>6.7591278544703898E-2</v>
      </c>
      <c r="AC80" s="138">
        <f t="shared" si="196"/>
        <v>2.8820442184203099E-3</v>
      </c>
      <c r="AD80" s="146"/>
      <c r="AE80" s="146"/>
    </row>
    <row r="81" spans="2:31" x14ac:dyDescent="0.2">
      <c r="B81" s="20" t="s">
        <v>360</v>
      </c>
      <c r="C81" s="152"/>
      <c r="D81" s="152"/>
      <c r="E81" s="152" t="e">
        <f t="shared" ref="E81:O81" si="199">E38/E7</f>
        <v>#DIV/0!</v>
      </c>
      <c r="F81" s="152" t="e">
        <f t="shared" si="199"/>
        <v>#DIV/0!</v>
      </c>
      <c r="G81" s="152">
        <f>G38/G7</f>
        <v>0.28711749149981108</v>
      </c>
      <c r="H81" s="152">
        <f t="shared" si="199"/>
        <v>0.33785822021116141</v>
      </c>
      <c r="I81" s="152">
        <f t="shared" si="199"/>
        <v>0.25987107171635776</v>
      </c>
      <c r="J81" s="152">
        <f t="shared" si="199"/>
        <v>0.32668689495737613</v>
      </c>
      <c r="K81" s="152">
        <f t="shared" si="199"/>
        <v>0.20838334410488413</v>
      </c>
      <c r="L81" s="152">
        <f t="shared" si="199"/>
        <v>0.20976621148209051</v>
      </c>
      <c r="M81" s="152">
        <f t="shared" si="199"/>
        <v>0.25925396598542233</v>
      </c>
      <c r="N81" s="152">
        <f t="shared" si="199"/>
        <v>0.1775249500998004</v>
      </c>
      <c r="O81" s="152">
        <f t="shared" si="199"/>
        <v>0.15932757095215408</v>
      </c>
      <c r="P81" s="152">
        <f t="shared" ref="P81" si="200">P38/P7</f>
        <v>0.15472990932986799</v>
      </c>
      <c r="Q81" s="118">
        <f t="shared" si="194"/>
        <v>-6.6383988771587021E-2</v>
      </c>
      <c r="R81" s="20"/>
      <c r="S81" s="152">
        <f t="shared" ref="S81" si="201">S38/S7</f>
        <v>0.15472990932986799</v>
      </c>
      <c r="T81" s="152">
        <f t="shared" ref="T81:AB81" si="202">T38/T7</f>
        <v>0.15472990932986797</v>
      </c>
      <c r="U81" s="152">
        <f t="shared" si="202"/>
        <v>0.15472990932986797</v>
      </c>
      <c r="V81" s="152">
        <f t="shared" si="202"/>
        <v>0.15472990932986797</v>
      </c>
      <c r="W81" s="152">
        <f t="shared" si="202"/>
        <v>0.15472990932986797</v>
      </c>
      <c r="X81" s="152">
        <f t="shared" si="202"/>
        <v>0.15472990932986799</v>
      </c>
      <c r="Y81" s="152">
        <f t="shared" si="202"/>
        <v>0.15472990932986799</v>
      </c>
      <c r="Z81" s="152">
        <f t="shared" si="202"/>
        <v>0.15472990932986799</v>
      </c>
      <c r="AA81" s="152">
        <f t="shared" si="202"/>
        <v>0.15472990932986797</v>
      </c>
      <c r="AB81" s="152">
        <f t="shared" si="202"/>
        <v>0.15472990932986797</v>
      </c>
      <c r="AC81" s="138">
        <f t="shared" si="196"/>
        <v>-3.2013745049883857E-2</v>
      </c>
      <c r="AD81" s="146"/>
      <c r="AE81" s="146"/>
    </row>
    <row r="82" spans="2:31" x14ac:dyDescent="0.2">
      <c r="B82" s="20" t="s">
        <v>361</v>
      </c>
      <c r="C82" s="152"/>
      <c r="D82" s="152"/>
      <c r="E82" s="152" t="e">
        <f t="shared" ref="E82:F82" si="203">(E38)/(E7+E10)</f>
        <v>#DIV/0!</v>
      </c>
      <c r="F82" s="152" t="e">
        <f t="shared" si="203"/>
        <v>#DIV/0!</v>
      </c>
      <c r="G82" s="152">
        <f>(G38)/(G7+G10)</f>
        <v>0.14032496307237813</v>
      </c>
      <c r="H82" s="152">
        <f t="shared" ref="H82:O82" si="204">(H38)/(H7+H10)</f>
        <v>0.16548463356973994</v>
      </c>
      <c r="I82" s="152">
        <f t="shared" si="204"/>
        <v>0.15244623020562514</v>
      </c>
      <c r="J82" s="152">
        <f t="shared" si="204"/>
        <v>0.16932524526323672</v>
      </c>
      <c r="K82" s="152">
        <f t="shared" si="204"/>
        <v>9.7511449062472999E-2</v>
      </c>
      <c r="L82" s="152">
        <f t="shared" si="204"/>
        <v>8.5397444480018625E-2</v>
      </c>
      <c r="M82" s="152">
        <f t="shared" si="204"/>
        <v>0.11934733979560506</v>
      </c>
      <c r="N82" s="152">
        <f t="shared" si="204"/>
        <v>7.1277448309023883E-2</v>
      </c>
      <c r="O82" s="152">
        <f t="shared" si="204"/>
        <v>5.8169439302264904E-2</v>
      </c>
      <c r="P82" s="152">
        <f t="shared" ref="P82" si="205">(P38)/(P7+P10)</f>
        <v>5.6637225543507641E-2</v>
      </c>
      <c r="Q82" s="118">
        <f t="shared" si="194"/>
        <v>-9.5895648896130337E-2</v>
      </c>
      <c r="R82" s="20"/>
      <c r="S82" s="152">
        <f t="shared" ref="S82:AB82" si="206">(S38)/(S7+S10)</f>
        <v>5.6637225543507634E-2</v>
      </c>
      <c r="T82" s="152">
        <f t="shared" si="206"/>
        <v>5.6637225543507634E-2</v>
      </c>
      <c r="U82" s="152">
        <f t="shared" si="206"/>
        <v>5.6637225543507634E-2</v>
      </c>
      <c r="V82" s="152">
        <f t="shared" si="206"/>
        <v>5.6637225543507627E-2</v>
      </c>
      <c r="W82" s="152">
        <f t="shared" si="206"/>
        <v>5.6637225543507641E-2</v>
      </c>
      <c r="X82" s="152">
        <f t="shared" si="206"/>
        <v>5.6637225543507634E-2</v>
      </c>
      <c r="Y82" s="152">
        <f t="shared" si="206"/>
        <v>5.6637225543507641E-2</v>
      </c>
      <c r="Z82" s="152">
        <f t="shared" si="206"/>
        <v>5.6637225543507641E-2</v>
      </c>
      <c r="AA82" s="152">
        <f t="shared" si="206"/>
        <v>5.6637225543507634E-2</v>
      </c>
      <c r="AB82" s="152">
        <f t="shared" si="206"/>
        <v>5.6637225543507634E-2</v>
      </c>
      <c r="AC82" s="138">
        <f t="shared" si="196"/>
        <v>-4.6630129247869911E-2</v>
      </c>
      <c r="AD82" s="146"/>
      <c r="AE82" s="146"/>
    </row>
    <row r="83" spans="2:31" x14ac:dyDescent="0.2">
      <c r="B83" s="20" t="s">
        <v>377</v>
      </c>
      <c r="C83" s="152"/>
      <c r="D83" s="152"/>
      <c r="E83" s="152"/>
      <c r="F83" s="152"/>
      <c r="G83" s="152">
        <f>G20/G25</f>
        <v>2.7787133715055576E-2</v>
      </c>
      <c r="H83" s="152">
        <f t="shared" ref="H83:P83" si="207">H20/H25</f>
        <v>7.4059379752694568E-3</v>
      </c>
      <c r="I83" s="152">
        <f t="shared" si="207"/>
        <v>8.0724099298307678E-2</v>
      </c>
      <c r="J83" s="152">
        <f t="shared" si="207"/>
        <v>9.8725376593279263E-2</v>
      </c>
      <c r="K83" s="152">
        <f t="shared" si="207"/>
        <v>6.3326170476004431E-2</v>
      </c>
      <c r="L83" s="152">
        <f t="shared" si="207"/>
        <v>3.5077726355761243E-2</v>
      </c>
      <c r="M83" s="152">
        <f t="shared" si="207"/>
        <v>0.11850923083574733</v>
      </c>
      <c r="N83" s="152">
        <f t="shared" si="207"/>
        <v>7.194744251525105E-2</v>
      </c>
      <c r="O83" s="152">
        <f t="shared" si="207"/>
        <v>1.6424827167059182E-2</v>
      </c>
      <c r="P83" s="152">
        <f t="shared" si="207"/>
        <v>2.7273900141917173E-2</v>
      </c>
      <c r="Q83" s="118">
        <f t="shared" si="194"/>
        <v>-2.0692884447915949E-3</v>
      </c>
      <c r="R83" s="20"/>
      <c r="S83" s="152">
        <f t="shared" ref="S83:AB83" si="208">S20/S25</f>
        <v>2.7273900141917173E-2</v>
      </c>
      <c r="T83" s="152">
        <f t="shared" si="208"/>
        <v>2.7273900141917173E-2</v>
      </c>
      <c r="U83" s="152">
        <f t="shared" si="208"/>
        <v>2.7273900141917173E-2</v>
      </c>
      <c r="V83" s="152">
        <f t="shared" si="208"/>
        <v>2.7273900141917169E-2</v>
      </c>
      <c r="W83" s="152">
        <f t="shared" si="208"/>
        <v>2.7273900141917169E-2</v>
      </c>
      <c r="X83" s="152">
        <f t="shared" si="208"/>
        <v>2.7273900141917169E-2</v>
      </c>
      <c r="Y83" s="152">
        <f t="shared" si="208"/>
        <v>2.7273900141917169E-2</v>
      </c>
      <c r="Z83" s="152">
        <f t="shared" si="208"/>
        <v>2.7273900141917169E-2</v>
      </c>
      <c r="AA83" s="152">
        <f t="shared" si="208"/>
        <v>2.7273900141917169E-2</v>
      </c>
      <c r="AB83" s="152">
        <f t="shared" si="208"/>
        <v>2.7273900141917173E-2</v>
      </c>
      <c r="AC83" s="138">
        <f t="shared" si="196"/>
        <v>-9.8072358766210233E-4</v>
      </c>
      <c r="AD83" s="146"/>
      <c r="AE83" s="146"/>
    </row>
    <row r="84" spans="2:31" x14ac:dyDescent="0.2">
      <c r="B84" s="20"/>
      <c r="C84" s="152"/>
      <c r="D84" s="152"/>
      <c r="E84" s="152"/>
      <c r="F84" s="152"/>
      <c r="G84" s="152"/>
      <c r="H84" s="152"/>
      <c r="I84" s="152"/>
      <c r="J84" s="152"/>
      <c r="K84" s="152"/>
      <c r="L84" s="152"/>
      <c r="M84" s="152"/>
      <c r="N84" s="152"/>
      <c r="O84" s="152"/>
      <c r="P84" s="152"/>
      <c r="Q84" s="152"/>
      <c r="R84" s="20"/>
      <c r="S84" s="152"/>
      <c r="T84" s="152"/>
      <c r="U84" s="152"/>
      <c r="V84" s="152"/>
      <c r="W84" s="152"/>
      <c r="X84" s="152"/>
      <c r="Y84" s="152"/>
      <c r="Z84" s="152"/>
      <c r="AA84" s="152"/>
      <c r="AB84" s="152"/>
      <c r="AC84" s="3"/>
      <c r="AD84" s="146"/>
      <c r="AE84" s="146"/>
    </row>
    <row r="85" spans="2:31" x14ac:dyDescent="0.2">
      <c r="B85" s="20" t="s">
        <v>324</v>
      </c>
      <c r="C85" s="152"/>
      <c r="D85" s="152"/>
      <c r="E85" s="152"/>
      <c r="F85" s="152"/>
      <c r="G85" s="152">
        <f>G29/G25</f>
        <v>7.325698888514651E-3</v>
      </c>
      <c r="H85" s="152">
        <f t="shared" ref="H85:P85" si="209">H29/H25</f>
        <v>2.1688818356146267E-2</v>
      </c>
      <c r="I85" s="152">
        <f t="shared" si="209"/>
        <v>2.2524913025532167E-2</v>
      </c>
      <c r="J85" s="152">
        <f t="shared" si="209"/>
        <v>2.2665121668597913E-2</v>
      </c>
      <c r="K85" s="152">
        <f t="shared" si="209"/>
        <v>2.9856091684573809E-2</v>
      </c>
      <c r="L85" s="152">
        <f t="shared" si="209"/>
        <v>3.7640916103002256E-2</v>
      </c>
      <c r="M85" s="152">
        <f t="shared" si="209"/>
        <v>4.0425439923905057E-2</v>
      </c>
      <c r="N85" s="152">
        <f t="shared" si="209"/>
        <v>1.5579540122008446E-2</v>
      </c>
      <c r="O85" s="152">
        <f t="shared" si="209"/>
        <v>1.6728709260806808E-2</v>
      </c>
      <c r="P85" s="152">
        <f t="shared" si="209"/>
        <v>2.7028770481228228E-2</v>
      </c>
      <c r="Q85" s="118">
        <f t="shared" si="194"/>
        <v>0.15610550626274899</v>
      </c>
      <c r="R85" s="20"/>
      <c r="S85" s="152">
        <f t="shared" ref="S85:AB85" si="210">S29/S25</f>
        <v>2.7028770481228225E-2</v>
      </c>
      <c r="T85" s="152">
        <f t="shared" si="210"/>
        <v>2.7028770481228225E-2</v>
      </c>
      <c r="U85" s="152">
        <f t="shared" si="210"/>
        <v>2.7028770481228225E-2</v>
      </c>
      <c r="V85" s="152">
        <f t="shared" si="210"/>
        <v>2.7028770481228228E-2</v>
      </c>
      <c r="W85" s="152">
        <f t="shared" si="210"/>
        <v>2.7028770481228225E-2</v>
      </c>
      <c r="X85" s="152">
        <f t="shared" si="210"/>
        <v>2.7028770481228225E-2</v>
      </c>
      <c r="Y85" s="152">
        <f t="shared" si="210"/>
        <v>2.7028770481228228E-2</v>
      </c>
      <c r="Z85" s="152">
        <f t="shared" si="210"/>
        <v>2.7028770481228228E-2</v>
      </c>
      <c r="AA85" s="152">
        <f t="shared" si="210"/>
        <v>2.7028770481228228E-2</v>
      </c>
      <c r="AB85" s="152">
        <f t="shared" si="210"/>
        <v>2.7028770481228228E-2</v>
      </c>
      <c r="AC85" s="138">
        <f t="shared" si="196"/>
        <v>7.1126851817408632E-2</v>
      </c>
      <c r="AD85" s="146"/>
      <c r="AE85" s="146"/>
    </row>
    <row r="86" spans="2:31" x14ac:dyDescent="0.2">
      <c r="B86" s="20" t="s">
        <v>370</v>
      </c>
      <c r="C86" s="152"/>
      <c r="D86" s="152"/>
      <c r="E86" s="152"/>
      <c r="F86" s="152"/>
      <c r="G86" s="152">
        <f>G29/G36</f>
        <v>0.1111111111111111</v>
      </c>
      <c r="H86" s="152">
        <f t="shared" ref="H86:P86" si="211">H29/H36</f>
        <v>0.22969187675070027</v>
      </c>
      <c r="I86" s="152">
        <f t="shared" si="211"/>
        <v>0.20592991913746631</v>
      </c>
      <c r="J86" s="152">
        <f t="shared" si="211"/>
        <v>0.16717948717948719</v>
      </c>
      <c r="K86" s="152">
        <f t="shared" si="211"/>
        <v>0.21390249591789129</v>
      </c>
      <c r="L86" s="152">
        <f t="shared" si="211"/>
        <v>0.26899592944369066</v>
      </c>
      <c r="M86" s="152">
        <f t="shared" si="211"/>
        <v>0.25665660170189403</v>
      </c>
      <c r="N86" s="152">
        <f t="shared" si="211"/>
        <v>0.10687612670615504</v>
      </c>
      <c r="O86" s="152">
        <f t="shared" si="211"/>
        <v>0.12555593568251797</v>
      </c>
      <c r="P86" s="152">
        <f t="shared" si="211"/>
        <v>0.21249619636880007</v>
      </c>
      <c r="Q86" s="118">
        <f t="shared" ref="Q86" si="212">((P86/G86)^(1/($H$2-$H$1) ))-1</f>
        <v>7.470231793130333E-2</v>
      </c>
      <c r="R86" s="20"/>
      <c r="S86" s="152">
        <f t="shared" ref="S86:AB86" si="213">S29/S36</f>
        <v>0.21249619636880004</v>
      </c>
      <c r="T86" s="152">
        <f t="shared" si="213"/>
        <v>0.21249619636880004</v>
      </c>
      <c r="U86" s="152">
        <f t="shared" si="213"/>
        <v>0.21249619636880004</v>
      </c>
      <c r="V86" s="152">
        <f t="shared" si="213"/>
        <v>0.21249619636880004</v>
      </c>
      <c r="W86" s="152">
        <f t="shared" si="213"/>
        <v>0.21249619636880007</v>
      </c>
      <c r="X86" s="152">
        <f t="shared" si="213"/>
        <v>0.21249619636880007</v>
      </c>
      <c r="Y86" s="152">
        <f t="shared" si="213"/>
        <v>0.21249619636880007</v>
      </c>
      <c r="Z86" s="152">
        <f t="shared" si="213"/>
        <v>0.21249619636880007</v>
      </c>
      <c r="AA86" s="152">
        <f t="shared" si="213"/>
        <v>0.21249619636880004</v>
      </c>
      <c r="AB86" s="152">
        <f t="shared" si="213"/>
        <v>0.21249619636880007</v>
      </c>
      <c r="AC86" s="138">
        <f t="shared" ref="AC86" si="214">((AB86/G86)^(1/($AB$3-$H$1) ))-1</f>
        <v>3.4714939224665509E-2</v>
      </c>
      <c r="AD86" s="146"/>
      <c r="AE86" s="146"/>
    </row>
    <row r="87" spans="2:31" ht="12" customHeight="1" x14ac:dyDescent="0.2">
      <c r="B87" s="20" t="s">
        <v>369</v>
      </c>
      <c r="C87" s="152"/>
      <c r="D87" s="152"/>
      <c r="E87" s="152"/>
      <c r="F87" s="152"/>
      <c r="G87" s="171">
        <f t="shared" ref="G87:P87" si="215">G29/G38</f>
        <v>0.11447368421052631</v>
      </c>
      <c r="H87" s="171">
        <f t="shared" si="215"/>
        <v>0.29285714285714287</v>
      </c>
      <c r="I87" s="171">
        <f t="shared" si="215"/>
        <v>0.29612403100775192</v>
      </c>
      <c r="J87" s="171">
        <f t="shared" si="215"/>
        <v>0.21627598407784165</v>
      </c>
      <c r="K87" s="171">
        <f t="shared" si="215"/>
        <v>0.40629153743907842</v>
      </c>
      <c r="L87" s="171">
        <f t="shared" si="215"/>
        <v>0.54055896387184732</v>
      </c>
      <c r="M87" s="171">
        <f t="shared" si="215"/>
        <v>0.3436236677692025</v>
      </c>
      <c r="N87" s="171">
        <f t="shared" si="215"/>
        <v>0.18664268045873622</v>
      </c>
      <c r="O87" s="171">
        <f t="shared" si="215"/>
        <v>0.23515591627509611</v>
      </c>
      <c r="P87" s="171">
        <f t="shared" si="215"/>
        <v>0.39988547432716165</v>
      </c>
      <c r="Q87" s="118">
        <f t="shared" ref="Q87" si="216">((P87/G87)^(1/($H$2-$H$1) ))-1</f>
        <v>0.14910280662154185</v>
      </c>
      <c r="R87" s="20"/>
      <c r="S87" s="171">
        <f t="shared" ref="S87:AB87" si="217">S29/S38</f>
        <v>0.39988547432716165</v>
      </c>
      <c r="T87" s="171">
        <f t="shared" si="217"/>
        <v>0.39988547432716165</v>
      </c>
      <c r="U87" s="171">
        <f t="shared" si="217"/>
        <v>0.39988547432716171</v>
      </c>
      <c r="V87" s="171">
        <f t="shared" si="217"/>
        <v>0.39988547432716171</v>
      </c>
      <c r="W87" s="171">
        <f t="shared" si="217"/>
        <v>0.39988547432716171</v>
      </c>
      <c r="X87" s="171">
        <f t="shared" si="217"/>
        <v>0.39988547432716171</v>
      </c>
      <c r="Y87" s="171">
        <f t="shared" si="217"/>
        <v>0.39988547432716176</v>
      </c>
      <c r="Z87" s="171">
        <f t="shared" si="217"/>
        <v>0.39988547432716171</v>
      </c>
      <c r="AA87" s="171">
        <f t="shared" si="217"/>
        <v>0.39988547432716171</v>
      </c>
      <c r="AB87" s="171">
        <f t="shared" si="217"/>
        <v>0.39988547432716171</v>
      </c>
      <c r="AC87" s="138">
        <f t="shared" ref="AC87" si="218">((AB87/G87)^(1/($AB$3-$H$1) ))-1</f>
        <v>6.8048688270387458E-2</v>
      </c>
      <c r="AD87" s="146"/>
      <c r="AE87" s="146"/>
    </row>
    <row r="88" spans="2:31" ht="12" customHeight="1" x14ac:dyDescent="0.2">
      <c r="B88" s="20" t="s">
        <v>326</v>
      </c>
      <c r="C88" s="152"/>
      <c r="D88" s="152"/>
      <c r="E88" s="152"/>
      <c r="F88" s="152"/>
      <c r="G88" s="171">
        <f t="shared" ref="G88:P88" si="219">G29/G12</f>
        <v>0.16201117318435754</v>
      </c>
      <c r="H88" s="171">
        <f t="shared" si="219"/>
        <v>0.33164812942366029</v>
      </c>
      <c r="I88" s="171">
        <f t="shared" si="219"/>
        <v>0.46871165644171781</v>
      </c>
      <c r="J88" s="171">
        <f t="shared" si="219"/>
        <v>0.28479906814210831</v>
      </c>
      <c r="K88" s="171">
        <f t="shared" si="219"/>
        <v>0.58782051282051284</v>
      </c>
      <c r="L88" s="171">
        <f t="shared" si="219"/>
        <v>1.0877914951989025</v>
      </c>
      <c r="M88" s="171">
        <f t="shared" si="219"/>
        <v>0.5630834086118639</v>
      </c>
      <c r="N88" s="171">
        <f t="shared" si="219"/>
        <v>0.22770919067215364</v>
      </c>
      <c r="O88" s="171">
        <f t="shared" si="219"/>
        <v>0.31260647359454857</v>
      </c>
      <c r="P88" s="171">
        <f t="shared" si="219"/>
        <v>0.57697603965849631</v>
      </c>
      <c r="Q88" s="118">
        <f t="shared" si="194"/>
        <v>0.15156992047202023</v>
      </c>
      <c r="R88" s="20"/>
      <c r="S88" s="152">
        <f t="shared" ref="S88:AB88" si="220">S29/S12</f>
        <v>0.57697603965849631</v>
      </c>
      <c r="T88" s="152">
        <f t="shared" si="220"/>
        <v>0.57697603965849631</v>
      </c>
      <c r="U88" s="152">
        <f t="shared" si="220"/>
        <v>0.57697603965849631</v>
      </c>
      <c r="V88" s="152">
        <f t="shared" si="220"/>
        <v>0.57697603965849631</v>
      </c>
      <c r="W88" s="152">
        <f t="shared" si="220"/>
        <v>0.57697603965849631</v>
      </c>
      <c r="X88" s="152">
        <f t="shared" si="220"/>
        <v>0.57697603965849642</v>
      </c>
      <c r="Y88" s="152">
        <f t="shared" si="220"/>
        <v>0.57697603965849642</v>
      </c>
      <c r="Z88" s="152">
        <f t="shared" si="220"/>
        <v>0.57697603965849642</v>
      </c>
      <c r="AA88" s="152">
        <f t="shared" si="220"/>
        <v>0.57697603965849642</v>
      </c>
      <c r="AB88" s="152">
        <f t="shared" si="220"/>
        <v>0.57697603965849631</v>
      </c>
      <c r="AC88" s="138">
        <f t="shared" si="196"/>
        <v>6.9134276406776163E-2</v>
      </c>
      <c r="AD88" s="146"/>
      <c r="AE88" s="146"/>
    </row>
    <row r="89" spans="2:31" ht="12" customHeight="1" x14ac:dyDescent="0.2">
      <c r="B89" s="20" t="s">
        <v>371</v>
      </c>
      <c r="C89" s="152"/>
      <c r="D89" s="152"/>
      <c r="E89" s="152"/>
      <c r="F89" s="152"/>
      <c r="G89" s="171">
        <f>G29/G23</f>
        <v>0.23200000000000001</v>
      </c>
      <c r="H89" s="171">
        <f t="shared" ref="H89:P89" si="221">H29/H23</f>
        <v>0.39613526570048307</v>
      </c>
      <c r="I89" s="171">
        <f t="shared" si="221"/>
        <v>0.65523156089193824</v>
      </c>
      <c r="J89" s="171">
        <f t="shared" si="221"/>
        <v>0.44698354661791589</v>
      </c>
      <c r="K89" s="171">
        <f t="shared" si="221"/>
        <v>0.95025906735751298</v>
      </c>
      <c r="L89" s="171">
        <f t="shared" si="221"/>
        <v>2.0464516129032257</v>
      </c>
      <c r="M89" s="171">
        <f t="shared" si="221"/>
        <v>1.3067784765897974</v>
      </c>
      <c r="N89" s="171">
        <f t="shared" si="221"/>
        <v>0.47976878612716761</v>
      </c>
      <c r="O89" s="171">
        <f t="shared" si="221"/>
        <v>0.57795275590551176</v>
      </c>
      <c r="P89" s="171">
        <f t="shared" si="221"/>
        <v>1.4013377926421404</v>
      </c>
      <c r="Q89" s="118">
        <f t="shared" ref="Q89" si="222">((P89/G89)^(1/($H$2-$H$1) ))-1</f>
        <v>0.2211917795795717</v>
      </c>
      <c r="R89" s="20"/>
      <c r="S89" s="171">
        <f t="shared" ref="S89:AB89" si="223">S29/S23</f>
        <v>1.4013377926421404</v>
      </c>
      <c r="T89" s="171">
        <f t="shared" si="223"/>
        <v>1.4013377926421404</v>
      </c>
      <c r="U89" s="171">
        <f t="shared" si="223"/>
        <v>1.4013377926421402</v>
      </c>
      <c r="V89" s="171">
        <f t="shared" si="223"/>
        <v>1.4013377926421404</v>
      </c>
      <c r="W89" s="171">
        <f t="shared" si="223"/>
        <v>1.4013377926421404</v>
      </c>
      <c r="X89" s="171">
        <f t="shared" si="223"/>
        <v>1.4013377926421404</v>
      </c>
      <c r="Y89" s="171">
        <f t="shared" si="223"/>
        <v>1.4013377926421404</v>
      </c>
      <c r="Z89" s="171">
        <f t="shared" si="223"/>
        <v>1.4013377926421404</v>
      </c>
      <c r="AA89" s="171">
        <f t="shared" si="223"/>
        <v>1.4013377926421402</v>
      </c>
      <c r="AB89" s="171">
        <f t="shared" si="223"/>
        <v>1.4013377926421402</v>
      </c>
      <c r="AC89" s="138">
        <f t="shared" ref="AC89" si="224">((AB89/G89)^(1/($AB$3-$H$1) ))-1</f>
        <v>9.9279552943802418E-2</v>
      </c>
      <c r="AD89" s="146"/>
      <c r="AE89" s="146"/>
    </row>
    <row r="90" spans="2:31" ht="12" customHeight="1" x14ac:dyDescent="0.2">
      <c r="B90" s="20"/>
      <c r="C90" s="152"/>
      <c r="D90" s="152"/>
      <c r="E90" s="152"/>
      <c r="F90" s="152"/>
      <c r="G90" s="171"/>
      <c r="H90" s="171"/>
      <c r="I90" s="171"/>
      <c r="J90" s="171"/>
      <c r="K90" s="171"/>
      <c r="L90" s="171"/>
      <c r="M90" s="171"/>
      <c r="N90" s="171"/>
      <c r="O90" s="171"/>
      <c r="P90" s="171"/>
      <c r="Q90" s="171"/>
      <c r="R90" s="20"/>
      <c r="S90" s="152"/>
      <c r="T90" s="152"/>
      <c r="U90" s="152"/>
      <c r="V90" s="152"/>
      <c r="W90" s="152"/>
      <c r="X90" s="152"/>
      <c r="Y90" s="152"/>
      <c r="Z90" s="152"/>
      <c r="AA90" s="152"/>
      <c r="AB90" s="152"/>
      <c r="AC90" s="138"/>
      <c r="AD90" s="146"/>
      <c r="AE90" s="146"/>
    </row>
    <row r="91" spans="2:31" x14ac:dyDescent="0.2">
      <c r="B91" s="20" t="s">
        <v>327</v>
      </c>
      <c r="C91" s="152"/>
      <c r="D91" s="152"/>
      <c r="E91" s="152"/>
      <c r="F91" s="163">
        <f t="shared" ref="F91:O91" si="225">F10-(F12+F13)</f>
        <v>0</v>
      </c>
      <c r="G91" s="163">
        <f t="shared" si="225"/>
        <v>1609</v>
      </c>
      <c r="H91" s="163">
        <f t="shared" si="225"/>
        <v>1784</v>
      </c>
      <c r="I91" s="163">
        <f t="shared" si="225"/>
        <v>1008</v>
      </c>
      <c r="J91" s="163">
        <f t="shared" si="225"/>
        <v>2237</v>
      </c>
      <c r="K91" s="163">
        <f t="shared" si="225"/>
        <v>5203</v>
      </c>
      <c r="L91" s="163">
        <f t="shared" si="225"/>
        <v>12107</v>
      </c>
      <c r="M91" s="163">
        <f t="shared" si="225"/>
        <v>11359</v>
      </c>
      <c r="N91" s="163">
        <f t="shared" si="225"/>
        <v>24480</v>
      </c>
      <c r="O91" s="163">
        <f t="shared" si="225"/>
        <v>38792</v>
      </c>
      <c r="P91" s="163">
        <f>P10-(P12+P13)</f>
        <v>46244</v>
      </c>
      <c r="Q91" s="118">
        <f t="shared" si="194"/>
        <v>0.4522971435091554</v>
      </c>
      <c r="R91" s="20"/>
      <c r="S91" s="163">
        <f>S10-(S12+S13)</f>
        <v>51793.280000000006</v>
      </c>
      <c r="T91" s="163">
        <f t="shared" ref="T91:AB91" si="226">T10-(T12+T13)</f>
        <v>58008.473600000012</v>
      </c>
      <c r="U91" s="163">
        <f t="shared" si="226"/>
        <v>64969.490432000021</v>
      </c>
      <c r="V91" s="163">
        <f t="shared" si="226"/>
        <v>72765.829283840023</v>
      </c>
      <c r="W91" s="163">
        <f t="shared" si="226"/>
        <v>81497.72879790084</v>
      </c>
      <c r="X91" s="163">
        <f t="shared" si="226"/>
        <v>91277.456253648939</v>
      </c>
      <c r="Y91" s="163">
        <f t="shared" si="226"/>
        <v>102230.75100408684</v>
      </c>
      <c r="Z91" s="163">
        <f t="shared" si="226"/>
        <v>114498.44112457725</v>
      </c>
      <c r="AA91" s="163">
        <f t="shared" si="226"/>
        <v>128238.25405952653</v>
      </c>
      <c r="AB91" s="163">
        <f t="shared" si="226"/>
        <v>143626.84454666972</v>
      </c>
      <c r="AC91" s="138">
        <f t="shared" si="196"/>
        <v>0.26668126192758579</v>
      </c>
      <c r="AD91" s="146"/>
      <c r="AE91" s="146"/>
    </row>
    <row r="92" spans="2:31" ht="12" customHeight="1" x14ac:dyDescent="0.2">
      <c r="B92" s="20" t="s">
        <v>322</v>
      </c>
      <c r="C92" s="20"/>
      <c r="D92" s="20"/>
      <c r="E92" s="20"/>
      <c r="F92" s="20"/>
      <c r="G92" s="152">
        <f t="shared" ref="G92:P92" si="227">G38/G18</f>
        <v>0.36224976167778838</v>
      </c>
      <c r="H92" s="152">
        <f t="shared" si="227"/>
        <v>0.54928886709171165</v>
      </c>
      <c r="I92" s="152">
        <f t="shared" si="227"/>
        <v>0.50548589341692785</v>
      </c>
      <c r="J92" s="152">
        <f t="shared" si="227"/>
        <v>0.456398869600323</v>
      </c>
      <c r="K92" s="152">
        <f t="shared" si="227"/>
        <v>0.31299403688808763</v>
      </c>
      <c r="L92" s="152">
        <f t="shared" si="227"/>
        <v>0.23190009484666457</v>
      </c>
      <c r="M92" s="152">
        <f t="shared" si="227"/>
        <v>0.3661194833153929</v>
      </c>
      <c r="N92" s="152">
        <f t="shared" si="227"/>
        <v>0.19435339364538262</v>
      </c>
      <c r="O92" s="152">
        <f t="shared" si="227"/>
        <v>0.17712037527426799</v>
      </c>
      <c r="P92" s="152">
        <f t="shared" si="227"/>
        <v>0.17214865442118751</v>
      </c>
      <c r="Q92" s="118">
        <f t="shared" si="194"/>
        <v>-7.9339516790119635E-2</v>
      </c>
      <c r="R92" s="20"/>
      <c r="S92" s="152">
        <f t="shared" ref="S92:AB92" si="228">S38/S18</f>
        <v>0.17214865442118751</v>
      </c>
      <c r="T92" s="152">
        <f t="shared" si="228"/>
        <v>0.17214865442118751</v>
      </c>
      <c r="U92" s="152">
        <f t="shared" si="228"/>
        <v>0.17214865442118751</v>
      </c>
      <c r="V92" s="152">
        <f t="shared" si="228"/>
        <v>0.17214865442118751</v>
      </c>
      <c r="W92" s="152">
        <f t="shared" si="228"/>
        <v>0.17214865442118751</v>
      </c>
      <c r="X92" s="152">
        <f t="shared" si="228"/>
        <v>0.17214865442118754</v>
      </c>
      <c r="Y92" s="152">
        <f t="shared" si="228"/>
        <v>0.17214865442118754</v>
      </c>
      <c r="Z92" s="152">
        <f t="shared" si="228"/>
        <v>0.17214865442118754</v>
      </c>
      <c r="AA92" s="152">
        <f t="shared" si="228"/>
        <v>0.17214865442118757</v>
      </c>
      <c r="AB92" s="152">
        <f t="shared" si="228"/>
        <v>0.17214865442118754</v>
      </c>
      <c r="AC92" s="138">
        <f t="shared" si="196"/>
        <v>-3.8399896807443046E-2</v>
      </c>
      <c r="AD92" s="20"/>
      <c r="AE92" s="20"/>
    </row>
    <row r="93" spans="2:31" x14ac:dyDescent="0.2">
      <c r="B93" s="20" t="s">
        <v>323</v>
      </c>
      <c r="C93" s="20"/>
      <c r="D93" s="20"/>
      <c r="E93" s="20"/>
      <c r="F93" s="20"/>
      <c r="G93" s="152">
        <f t="shared" ref="G93:P93" si="229">G38/G25</f>
        <v>6.3994610980127986E-2</v>
      </c>
      <c r="H93" s="152">
        <f t="shared" si="229"/>
        <v>7.4059379752694568E-2</v>
      </c>
      <c r="I93" s="152">
        <f t="shared" si="229"/>
        <v>7.6065805766849459E-2</v>
      </c>
      <c r="J93" s="152">
        <f t="shared" si="229"/>
        <v>0.10479721900347624</v>
      </c>
      <c r="K93" s="152">
        <f t="shared" si="229"/>
        <v>7.3484404506088424E-2</v>
      </c>
      <c r="L93" s="152">
        <f t="shared" si="229"/>
        <v>6.9633321466714138E-2</v>
      </c>
      <c r="M93" s="152">
        <f t="shared" si="229"/>
        <v>0.11764451554325739</v>
      </c>
      <c r="N93" s="152">
        <f t="shared" si="229"/>
        <v>8.3472548099483804E-2</v>
      </c>
      <c r="O93" s="152">
        <f t="shared" si="229"/>
        <v>7.1138798146319224E-2</v>
      </c>
      <c r="P93" s="152">
        <f t="shared" si="229"/>
        <v>6.7591278544703912E-2</v>
      </c>
      <c r="Q93" s="118">
        <f t="shared" si="194"/>
        <v>6.0940584261521824E-3</v>
      </c>
      <c r="R93" s="20"/>
      <c r="S93" s="152">
        <f t="shared" ref="S93:AB93" si="230">S38/S25</f>
        <v>6.7591278544703898E-2</v>
      </c>
      <c r="T93" s="152">
        <f t="shared" si="230"/>
        <v>6.7591278544703898E-2</v>
      </c>
      <c r="U93" s="152">
        <f t="shared" si="230"/>
        <v>6.7591278544703898E-2</v>
      </c>
      <c r="V93" s="152">
        <f t="shared" si="230"/>
        <v>6.7591278544703898E-2</v>
      </c>
      <c r="W93" s="152">
        <f t="shared" si="230"/>
        <v>6.7591278544703898E-2</v>
      </c>
      <c r="X93" s="152">
        <f t="shared" si="230"/>
        <v>6.7591278544703898E-2</v>
      </c>
      <c r="Y93" s="152">
        <f t="shared" si="230"/>
        <v>6.7591278544703898E-2</v>
      </c>
      <c r="Z93" s="152">
        <f t="shared" si="230"/>
        <v>6.7591278544703898E-2</v>
      </c>
      <c r="AA93" s="152">
        <f t="shared" si="230"/>
        <v>6.7591278544703898E-2</v>
      </c>
      <c r="AB93" s="152">
        <f t="shared" si="230"/>
        <v>6.7591278544703898E-2</v>
      </c>
      <c r="AC93" s="138">
        <f t="shared" si="196"/>
        <v>2.8820442184203099E-3</v>
      </c>
      <c r="AD93" s="20"/>
      <c r="AE93" s="20"/>
    </row>
    <row r="94" spans="2:31" x14ac:dyDescent="0.2">
      <c r="B94" s="20" t="s">
        <v>349</v>
      </c>
      <c r="C94" s="20"/>
      <c r="D94" s="20"/>
      <c r="E94" s="152"/>
      <c r="F94" s="152"/>
      <c r="G94" s="152">
        <f t="shared" ref="G94:O94" si="231">G25/G18</f>
        <v>5.6606291706387033</v>
      </c>
      <c r="H94" s="152">
        <f t="shared" si="231"/>
        <v>7.4168710152035313</v>
      </c>
      <c r="I94" s="152">
        <f t="shared" si="231"/>
        <v>6.6453761755485896</v>
      </c>
      <c r="J94" s="152">
        <f t="shared" si="231"/>
        <v>4.3550666128381108</v>
      </c>
      <c r="K94" s="152">
        <f t="shared" si="231"/>
        <v>4.2593260296768829</v>
      </c>
      <c r="L94" s="152">
        <f t="shared" si="231"/>
        <v>3.3303035093265887</v>
      </c>
      <c r="M94" s="152">
        <f t="shared" si="231"/>
        <v>3.1120828848223896</v>
      </c>
      <c r="N94" s="152">
        <f t="shared" si="231"/>
        <v>2.328351033608671</v>
      </c>
      <c r="O94" s="152">
        <f t="shared" si="231"/>
        <v>2.4897858818188698</v>
      </c>
      <c r="P94" s="152">
        <f>P25/P18</f>
        <v>2.5469063187986727</v>
      </c>
      <c r="Q94" s="118">
        <f t="shared" si="194"/>
        <v>-8.4916091592785015E-2</v>
      </c>
      <c r="R94" s="20"/>
      <c r="S94" s="152">
        <f>S25/S18</f>
        <v>2.5469063187986722</v>
      </c>
      <c r="T94" s="152">
        <f t="shared" ref="T94:AB94" si="232">T25/T18</f>
        <v>2.5469063187986727</v>
      </c>
      <c r="U94" s="152">
        <f t="shared" si="232"/>
        <v>2.5469063187986727</v>
      </c>
      <c r="V94" s="152">
        <f t="shared" si="232"/>
        <v>2.5469063187986727</v>
      </c>
      <c r="W94" s="152">
        <f t="shared" si="232"/>
        <v>2.5469063187986731</v>
      </c>
      <c r="X94" s="152">
        <f t="shared" si="232"/>
        <v>2.5469063187986731</v>
      </c>
      <c r="Y94" s="152">
        <f t="shared" si="232"/>
        <v>2.5469063187986731</v>
      </c>
      <c r="Z94" s="152">
        <f t="shared" si="232"/>
        <v>2.5469063187986731</v>
      </c>
      <c r="AA94" s="152">
        <f t="shared" si="232"/>
        <v>2.5469063187986731</v>
      </c>
      <c r="AB94" s="152">
        <f t="shared" si="232"/>
        <v>2.5469063187986731</v>
      </c>
      <c r="AC94" s="138">
        <f t="shared" si="196"/>
        <v>-4.1163306556192159E-2</v>
      </c>
      <c r="AD94" s="20"/>
      <c r="AE94" s="20"/>
    </row>
    <row r="95" spans="2:31" x14ac:dyDescent="0.2">
      <c r="B95" s="20"/>
      <c r="C95" s="20"/>
      <c r="D95" s="20"/>
      <c r="E95" s="20"/>
      <c r="F95" s="20"/>
      <c r="G95" s="152"/>
      <c r="H95" s="152"/>
      <c r="I95" s="152"/>
      <c r="J95" s="152"/>
      <c r="K95" s="152"/>
      <c r="L95" s="152"/>
      <c r="M95" s="152"/>
      <c r="N95" s="152"/>
      <c r="O95" s="152"/>
      <c r="P95" s="152"/>
      <c r="Q95" s="128"/>
      <c r="R95" s="20"/>
      <c r="S95" s="152"/>
      <c r="T95" s="152"/>
      <c r="U95" s="152"/>
      <c r="V95" s="152"/>
      <c r="W95" s="152"/>
      <c r="X95" s="152"/>
      <c r="Y95" s="152"/>
      <c r="Z95" s="152"/>
      <c r="AA95" s="152"/>
      <c r="AB95" s="152"/>
      <c r="AC95" s="128"/>
      <c r="AD95" s="20"/>
      <c r="AE95" s="20"/>
    </row>
    <row r="96" spans="2:31" x14ac:dyDescent="0.2">
      <c r="B96" s="20" t="s">
        <v>335</v>
      </c>
      <c r="C96" s="20"/>
      <c r="D96" s="20"/>
      <c r="E96" s="165">
        <f t="shared" ref="E96:F96" si="233">E63*E40</f>
        <v>0</v>
      </c>
      <c r="F96" s="165">
        <f t="shared" si="233"/>
        <v>0</v>
      </c>
      <c r="G96" s="165">
        <f>G63*G40</f>
        <v>995.19999999999993</v>
      </c>
      <c r="H96" s="165">
        <f t="shared" ref="H96:P96" si="234">H63*H40</f>
        <v>357.22500000000002</v>
      </c>
      <c r="I96" s="165">
        <f t="shared" si="234"/>
        <v>302.06</v>
      </c>
      <c r="J96" s="165">
        <f t="shared" si="234"/>
        <v>368.16</v>
      </c>
      <c r="K96" s="165">
        <f t="shared" si="234"/>
        <v>496.91</v>
      </c>
      <c r="L96" s="165">
        <f t="shared" si="234"/>
        <v>614.88</v>
      </c>
      <c r="M96" s="165">
        <f t="shared" si="234"/>
        <v>752.625</v>
      </c>
      <c r="N96" s="165">
        <f t="shared" si="234"/>
        <v>882.76</v>
      </c>
      <c r="O96" s="165">
        <f t="shared" si="234"/>
        <v>1010.295</v>
      </c>
      <c r="P96" s="165">
        <f t="shared" si="234"/>
        <v>1138.3050000000001</v>
      </c>
      <c r="Q96" s="118">
        <f t="shared" si="194"/>
        <v>1.5039964540551898E-2</v>
      </c>
      <c r="R96" s="20"/>
      <c r="S96" s="165">
        <f t="shared" ref="S96:AB96" si="235">S63*S40</f>
        <v>1792.830375</v>
      </c>
      <c r="T96" s="165">
        <f t="shared" si="235"/>
        <v>2108.3685210000008</v>
      </c>
      <c r="U96" s="165">
        <f t="shared" si="235"/>
        <v>2479.441380696001</v>
      </c>
      <c r="V96" s="165">
        <f t="shared" si="235"/>
        <v>2915.8230636984977</v>
      </c>
      <c r="W96" s="165">
        <f t="shared" si="235"/>
        <v>3429.0079229094335</v>
      </c>
      <c r="X96" s="165">
        <f t="shared" si="235"/>
        <v>4032.5133173414947</v>
      </c>
      <c r="Y96" s="165">
        <f t="shared" si="235"/>
        <v>4742.2356611935984</v>
      </c>
      <c r="Z96" s="165">
        <f t="shared" si="235"/>
        <v>5576.8691375636718</v>
      </c>
      <c r="AA96" s="165">
        <f t="shared" si="235"/>
        <v>6558.3981057748788</v>
      </c>
      <c r="AB96" s="165">
        <f t="shared" si="235"/>
        <v>7712.6761723912587</v>
      </c>
      <c r="AC96" s="138">
        <f t="shared" si="196"/>
        <v>0.11379428663815783</v>
      </c>
      <c r="AD96" s="20"/>
      <c r="AE96" s="20"/>
    </row>
    <row r="97" spans="2:31" x14ac:dyDescent="0.2">
      <c r="B97" s="20" t="s">
        <v>336</v>
      </c>
      <c r="C97" s="20"/>
      <c r="D97" s="20"/>
      <c r="E97" s="165">
        <f>(E96*0.17)+E96</f>
        <v>0</v>
      </c>
      <c r="F97" s="165">
        <f>(F96*0.17)+F96</f>
        <v>0</v>
      </c>
      <c r="G97" s="165">
        <f t="shared" ref="G97:P97" si="236">(G96*0.17)+G96</f>
        <v>1164.384</v>
      </c>
      <c r="H97" s="165">
        <f t="shared" si="236"/>
        <v>417.95325000000003</v>
      </c>
      <c r="I97" s="165">
        <f t="shared" si="236"/>
        <v>353.41020000000003</v>
      </c>
      <c r="J97" s="165">
        <f t="shared" si="236"/>
        <v>430.74720000000002</v>
      </c>
      <c r="K97" s="165">
        <f t="shared" si="236"/>
        <v>581.38470000000007</v>
      </c>
      <c r="L97" s="165">
        <f t="shared" si="236"/>
        <v>719.40959999999995</v>
      </c>
      <c r="M97" s="165">
        <f t="shared" si="236"/>
        <v>880.57124999999996</v>
      </c>
      <c r="N97" s="165">
        <f t="shared" si="236"/>
        <v>1032.8291999999999</v>
      </c>
      <c r="O97" s="165">
        <f t="shared" si="236"/>
        <v>1182.0451499999999</v>
      </c>
      <c r="P97" s="165">
        <f t="shared" si="236"/>
        <v>1331.8168500000002</v>
      </c>
      <c r="Q97" s="118">
        <f t="shared" si="194"/>
        <v>1.5039964540551898E-2</v>
      </c>
      <c r="R97" s="20"/>
      <c r="S97" s="165">
        <f t="shared" ref="S97:AB97" si="237">(S96*0.17)+S96</f>
        <v>2097.6115387499999</v>
      </c>
      <c r="T97" s="165">
        <f t="shared" si="237"/>
        <v>2466.7911695700009</v>
      </c>
      <c r="U97" s="165">
        <f t="shared" si="237"/>
        <v>2900.9464154143211</v>
      </c>
      <c r="V97" s="165">
        <f t="shared" si="237"/>
        <v>3411.5129845272422</v>
      </c>
      <c r="W97" s="165">
        <f t="shared" si="237"/>
        <v>4011.9392698040374</v>
      </c>
      <c r="X97" s="165">
        <f t="shared" si="237"/>
        <v>4718.0405812895488</v>
      </c>
      <c r="Y97" s="165">
        <f t="shared" si="237"/>
        <v>5548.4157235965104</v>
      </c>
      <c r="Z97" s="165">
        <f t="shared" si="237"/>
        <v>6524.936890949496</v>
      </c>
      <c r="AA97" s="165">
        <f t="shared" si="237"/>
        <v>7673.325783756608</v>
      </c>
      <c r="AB97" s="165">
        <f t="shared" si="237"/>
        <v>9023.8311216977727</v>
      </c>
      <c r="AC97" s="138">
        <f t="shared" si="196"/>
        <v>0.11379428663815783</v>
      </c>
      <c r="AD97" s="20"/>
      <c r="AE97" s="20"/>
    </row>
    <row r="98" spans="2:31" x14ac:dyDescent="0.2">
      <c r="B98" s="20" t="s">
        <v>337</v>
      </c>
      <c r="C98" s="20"/>
      <c r="D98" s="20"/>
      <c r="E98" s="20"/>
      <c r="F98" s="152" t="e">
        <f t="shared" ref="F98:P98" si="238">F97/F38</f>
        <v>#DIV/0!</v>
      </c>
      <c r="G98" s="152">
        <f t="shared" si="238"/>
        <v>1.5320842105263157</v>
      </c>
      <c r="H98" s="152">
        <f t="shared" si="238"/>
        <v>0.37317254464285715</v>
      </c>
      <c r="I98" s="152">
        <f t="shared" si="238"/>
        <v>0.27396139534883723</v>
      </c>
      <c r="J98" s="152">
        <f t="shared" si="238"/>
        <v>0.19051180893409997</v>
      </c>
      <c r="K98" s="152">
        <f t="shared" si="238"/>
        <v>0.25759180327868858</v>
      </c>
      <c r="L98" s="152">
        <f t="shared" si="238"/>
        <v>0.24519754601226992</v>
      </c>
      <c r="M98" s="152">
        <f t="shared" si="238"/>
        <v>0.16181022601984563</v>
      </c>
      <c r="N98" s="152">
        <f t="shared" si="238"/>
        <v>0.23225302451090621</v>
      </c>
      <c r="O98" s="152">
        <f t="shared" si="238"/>
        <v>0.2524658586074327</v>
      </c>
      <c r="P98" s="152">
        <f t="shared" si="238"/>
        <v>0.25421203473945414</v>
      </c>
      <c r="Q98" s="118">
        <f t="shared" si="194"/>
        <v>-0.1809249087371988</v>
      </c>
      <c r="R98" s="20"/>
      <c r="S98" s="152">
        <f t="shared" ref="S98:AB98" si="239">S97/S38</f>
        <v>0.3574856738523573</v>
      </c>
      <c r="T98" s="152">
        <f t="shared" si="239"/>
        <v>0.37535995754497525</v>
      </c>
      <c r="U98" s="152">
        <f t="shared" si="239"/>
        <v>0.39412795542222406</v>
      </c>
      <c r="V98" s="152">
        <f t="shared" si="239"/>
        <v>0.41383435319333528</v>
      </c>
      <c r="W98" s="152">
        <f t="shared" si="239"/>
        <v>0.43452607085300204</v>
      </c>
      <c r="X98" s="152">
        <f t="shared" si="239"/>
        <v>0.45625237439565219</v>
      </c>
      <c r="Y98" s="152">
        <f t="shared" si="239"/>
        <v>0.47906499311543482</v>
      </c>
      <c r="Z98" s="152">
        <f t="shared" si="239"/>
        <v>0.50301824277120644</v>
      </c>
      <c r="AA98" s="152">
        <f t="shared" si="239"/>
        <v>0.52816915490976679</v>
      </c>
      <c r="AB98" s="152">
        <f t="shared" si="239"/>
        <v>0.55457761265525518</v>
      </c>
      <c r="AC98" s="138">
        <f t="shared" si="196"/>
        <v>-5.2077971937019685E-2</v>
      </c>
      <c r="AD98" s="20"/>
      <c r="AE98" s="20"/>
    </row>
    <row r="99" spans="2:31" x14ac:dyDescent="0.2">
      <c r="B99" s="20" t="s">
        <v>330</v>
      </c>
      <c r="C99" s="20"/>
      <c r="D99" s="20"/>
      <c r="E99" s="20"/>
      <c r="F99" s="152" t="e">
        <f>1-F98</f>
        <v>#DIV/0!</v>
      </c>
      <c r="G99" s="152">
        <f>1-G98</f>
        <v>-0.53208421052631572</v>
      </c>
      <c r="H99" s="152">
        <f t="shared" ref="H99:P99" si="240">1-H98</f>
        <v>0.6268274553571429</v>
      </c>
      <c r="I99" s="152">
        <f t="shared" si="240"/>
        <v>0.72603860465116277</v>
      </c>
      <c r="J99" s="152">
        <f t="shared" si="240"/>
        <v>0.80948819106589998</v>
      </c>
      <c r="K99" s="152">
        <f t="shared" si="240"/>
        <v>0.74240819672131142</v>
      </c>
      <c r="L99" s="152">
        <f t="shared" si="240"/>
        <v>0.75480245398773005</v>
      </c>
      <c r="M99" s="152">
        <f t="shared" si="240"/>
        <v>0.83818977398015437</v>
      </c>
      <c r="N99" s="152">
        <f t="shared" si="240"/>
        <v>0.76774697548909376</v>
      </c>
      <c r="O99" s="152">
        <f t="shared" si="240"/>
        <v>0.74753414139256735</v>
      </c>
      <c r="P99" s="152">
        <f t="shared" si="240"/>
        <v>0.74578796526054592</v>
      </c>
      <c r="Q99" s="118">
        <f t="shared" si="194"/>
        <v>-2.0382280968352813</v>
      </c>
      <c r="R99" s="20"/>
      <c r="S99" s="152">
        <f t="shared" ref="S99:AB99" si="241">1-S98</f>
        <v>0.6425143261476427</v>
      </c>
      <c r="T99" s="152">
        <f t="shared" si="241"/>
        <v>0.62464004245502469</v>
      </c>
      <c r="U99" s="152">
        <f t="shared" si="241"/>
        <v>0.60587204457777588</v>
      </c>
      <c r="V99" s="152">
        <f t="shared" si="241"/>
        <v>0.58616564680666472</v>
      </c>
      <c r="W99" s="152">
        <f t="shared" si="241"/>
        <v>0.5654739291469979</v>
      </c>
      <c r="X99" s="152">
        <f t="shared" si="241"/>
        <v>0.54374762560434786</v>
      </c>
      <c r="Y99" s="152">
        <f t="shared" si="241"/>
        <v>0.52093500688456518</v>
      </c>
      <c r="Z99" s="152">
        <f t="shared" si="241"/>
        <v>0.49698175722879356</v>
      </c>
      <c r="AA99" s="152">
        <f t="shared" si="241"/>
        <v>0.47183084509023321</v>
      </c>
      <c r="AB99" s="152">
        <f t="shared" si="241"/>
        <v>0.44542238734474482</v>
      </c>
      <c r="AC99" s="138">
        <f t="shared" si="196"/>
        <v>-1.9906868620911951</v>
      </c>
      <c r="AD99" s="20"/>
      <c r="AE99" s="20"/>
    </row>
    <row r="100" spans="2:31" x14ac:dyDescent="0.2">
      <c r="B100" s="20"/>
      <c r="C100" s="20"/>
      <c r="D100" s="20"/>
      <c r="E100" s="20"/>
      <c r="F100" s="20"/>
      <c r="G100" s="152"/>
      <c r="H100" s="152"/>
      <c r="I100" s="152"/>
      <c r="J100" s="152"/>
      <c r="K100" s="152"/>
      <c r="L100" s="152"/>
      <c r="M100" s="152"/>
      <c r="N100" s="152"/>
      <c r="O100" s="152"/>
      <c r="P100" s="152"/>
      <c r="Q100" s="128"/>
      <c r="R100" s="20"/>
      <c r="S100" s="152"/>
      <c r="T100" s="152"/>
      <c r="U100" s="152"/>
      <c r="V100" s="152"/>
      <c r="W100" s="152"/>
      <c r="X100" s="152"/>
      <c r="Y100" s="152"/>
      <c r="Z100" s="152"/>
      <c r="AA100" s="152"/>
      <c r="AB100" s="152"/>
      <c r="AC100" s="128"/>
      <c r="AD100" s="20"/>
      <c r="AE100" s="20"/>
    </row>
    <row r="101" spans="2:31" x14ac:dyDescent="0.2">
      <c r="B101" s="20" t="s">
        <v>334</v>
      </c>
      <c r="C101" s="152"/>
      <c r="D101" s="152"/>
      <c r="E101" s="152"/>
      <c r="F101" s="152" t="e">
        <f>F31/F25</f>
        <v>#DIV/0!</v>
      </c>
      <c r="G101" s="152">
        <f>G31/G25</f>
        <v>0</v>
      </c>
      <c r="H101" s="152">
        <f t="shared" ref="H101:P101" si="242">H31/H25</f>
        <v>0</v>
      </c>
      <c r="I101" s="152">
        <f t="shared" si="242"/>
        <v>0</v>
      </c>
      <c r="J101" s="152">
        <f t="shared" si="242"/>
        <v>0</v>
      </c>
      <c r="K101" s="152">
        <f t="shared" si="242"/>
        <v>0</v>
      </c>
      <c r="L101" s="152">
        <f t="shared" si="242"/>
        <v>0</v>
      </c>
      <c r="M101" s="152">
        <f t="shared" si="242"/>
        <v>0</v>
      </c>
      <c r="N101" s="152">
        <f t="shared" si="242"/>
        <v>0</v>
      </c>
      <c r="O101" s="152">
        <f t="shared" si="242"/>
        <v>0</v>
      </c>
      <c r="P101" s="152">
        <f t="shared" si="242"/>
        <v>0</v>
      </c>
      <c r="Q101" s="118" t="e">
        <f t="shared" si="194"/>
        <v>#DIV/0!</v>
      </c>
      <c r="R101" s="20"/>
      <c r="S101" s="152">
        <f t="shared" ref="S101:AB101" si="243">S31/S25</f>
        <v>0</v>
      </c>
      <c r="T101" s="152">
        <f t="shared" si="243"/>
        <v>0</v>
      </c>
      <c r="U101" s="152">
        <f t="shared" si="243"/>
        <v>0</v>
      </c>
      <c r="V101" s="152">
        <f t="shared" si="243"/>
        <v>0</v>
      </c>
      <c r="W101" s="152">
        <f t="shared" si="243"/>
        <v>0</v>
      </c>
      <c r="X101" s="152">
        <f t="shared" si="243"/>
        <v>0</v>
      </c>
      <c r="Y101" s="152">
        <f t="shared" si="243"/>
        <v>0</v>
      </c>
      <c r="Z101" s="152">
        <f t="shared" si="243"/>
        <v>0</v>
      </c>
      <c r="AA101" s="152">
        <f t="shared" si="243"/>
        <v>0</v>
      </c>
      <c r="AB101" s="152">
        <f t="shared" si="243"/>
        <v>0</v>
      </c>
      <c r="AC101" s="138" t="e">
        <f t="shared" si="196"/>
        <v>#DIV/0!</v>
      </c>
      <c r="AD101" s="20"/>
      <c r="AE101" s="20"/>
    </row>
    <row r="102" spans="2:31" x14ac:dyDescent="0.2">
      <c r="B102" s="20" t="s">
        <v>331</v>
      </c>
      <c r="C102" s="152"/>
      <c r="D102" s="152"/>
      <c r="E102" s="152"/>
      <c r="F102" s="152" t="e">
        <f>F32/F25</f>
        <v>#DIV/0!</v>
      </c>
      <c r="G102" s="152">
        <f>G32/G25</f>
        <v>0</v>
      </c>
      <c r="H102" s="152">
        <f t="shared" ref="H102:P102" si="244">H32/H25</f>
        <v>0</v>
      </c>
      <c r="I102" s="152">
        <f t="shared" si="244"/>
        <v>0</v>
      </c>
      <c r="J102" s="152">
        <f t="shared" si="244"/>
        <v>0</v>
      </c>
      <c r="K102" s="152">
        <f t="shared" si="244"/>
        <v>0</v>
      </c>
      <c r="L102" s="152">
        <f t="shared" si="244"/>
        <v>0</v>
      </c>
      <c r="M102" s="152">
        <f t="shared" si="244"/>
        <v>0</v>
      </c>
      <c r="N102" s="152">
        <f t="shared" si="244"/>
        <v>0</v>
      </c>
      <c r="O102" s="152">
        <f t="shared" si="244"/>
        <v>0</v>
      </c>
      <c r="P102" s="152">
        <f t="shared" si="244"/>
        <v>0</v>
      </c>
      <c r="Q102" s="118" t="e">
        <f t="shared" si="194"/>
        <v>#DIV/0!</v>
      </c>
      <c r="R102" s="20"/>
      <c r="S102" s="152">
        <f t="shared" ref="S102:AB102" si="245">S32/S25</f>
        <v>0</v>
      </c>
      <c r="T102" s="152">
        <f t="shared" si="245"/>
        <v>0</v>
      </c>
      <c r="U102" s="152">
        <f t="shared" si="245"/>
        <v>0</v>
      </c>
      <c r="V102" s="152">
        <f t="shared" si="245"/>
        <v>0</v>
      </c>
      <c r="W102" s="152">
        <f t="shared" si="245"/>
        <v>0</v>
      </c>
      <c r="X102" s="152">
        <f t="shared" si="245"/>
        <v>0</v>
      </c>
      <c r="Y102" s="152">
        <f t="shared" si="245"/>
        <v>0</v>
      </c>
      <c r="Z102" s="152">
        <f t="shared" si="245"/>
        <v>0</v>
      </c>
      <c r="AA102" s="152">
        <f t="shared" si="245"/>
        <v>0</v>
      </c>
      <c r="AB102" s="152">
        <f t="shared" si="245"/>
        <v>0</v>
      </c>
      <c r="AC102" s="138" t="e">
        <f t="shared" si="196"/>
        <v>#DIV/0!</v>
      </c>
      <c r="AD102" s="20"/>
      <c r="AE102" s="20"/>
    </row>
    <row r="103" spans="2:31" x14ac:dyDescent="0.2">
      <c r="B103" s="20"/>
      <c r="C103" s="20"/>
      <c r="D103" s="20"/>
      <c r="E103" s="20"/>
      <c r="F103" s="20"/>
      <c r="G103" s="152"/>
      <c r="H103" s="152"/>
      <c r="I103" s="152"/>
      <c r="J103" s="152"/>
      <c r="K103" s="152"/>
      <c r="L103" s="152"/>
      <c r="M103" s="152"/>
      <c r="N103" s="152"/>
      <c r="O103" s="152"/>
      <c r="P103" s="152"/>
      <c r="Q103" s="128"/>
      <c r="R103" s="20"/>
      <c r="S103" s="152"/>
      <c r="T103" s="152"/>
      <c r="U103" s="152"/>
      <c r="V103" s="152"/>
      <c r="W103" s="152"/>
      <c r="X103" s="152"/>
      <c r="Y103" s="152"/>
      <c r="Z103" s="152"/>
      <c r="AA103" s="152"/>
      <c r="AB103" s="152"/>
      <c r="AC103" s="128"/>
      <c r="AD103" s="20"/>
      <c r="AE103" s="20"/>
    </row>
    <row r="104" spans="2:31" x14ac:dyDescent="0.2">
      <c r="B104" s="20" t="s">
        <v>355</v>
      </c>
      <c r="C104" s="20"/>
      <c r="D104" s="20"/>
      <c r="E104" s="20"/>
      <c r="F104" s="20"/>
      <c r="G104" s="152">
        <f>G27/G25</f>
        <v>0.88565173459077129</v>
      </c>
      <c r="H104" s="152">
        <f t="shared" ref="H104:P104" si="246">H27/H25</f>
        <v>0.87211532103418632</v>
      </c>
      <c r="I104" s="152">
        <f t="shared" si="246"/>
        <v>0.86060498850168055</v>
      </c>
      <c r="J104" s="152">
        <f t="shared" si="246"/>
        <v>0.82252607184241022</v>
      </c>
      <c r="K104" s="152">
        <f t="shared" si="246"/>
        <v>0.84271016474571858</v>
      </c>
      <c r="L104" s="152">
        <f t="shared" si="246"/>
        <v>0.82344843953957514</v>
      </c>
      <c r="M104" s="152">
        <f t="shared" si="246"/>
        <v>0.76306800985775436</v>
      </c>
      <c r="N104" s="152">
        <f t="shared" si="246"/>
        <v>0.8319474425152511</v>
      </c>
      <c r="O104" s="152">
        <f t="shared" si="246"/>
        <v>0.85330091924333362</v>
      </c>
      <c r="P104" s="152">
        <f t="shared" si="246"/>
        <v>0.8534769707134563</v>
      </c>
      <c r="Q104" s="118">
        <f t="shared" si="194"/>
        <v>-4.1032516249703832E-3</v>
      </c>
      <c r="R104" s="20"/>
      <c r="S104" s="152">
        <f t="shared" ref="S104:AB104" si="247">S27/S25</f>
        <v>0.85347697071345618</v>
      </c>
      <c r="T104" s="152">
        <f t="shared" si="247"/>
        <v>0.8534769707134563</v>
      </c>
      <c r="U104" s="152">
        <f t="shared" si="247"/>
        <v>0.8534769707134563</v>
      </c>
      <c r="V104" s="152">
        <f t="shared" si="247"/>
        <v>0.8534769707134563</v>
      </c>
      <c r="W104" s="152">
        <f t="shared" si="247"/>
        <v>0.85347697071345618</v>
      </c>
      <c r="X104" s="152">
        <f t="shared" si="247"/>
        <v>0.85347697071345618</v>
      </c>
      <c r="Y104" s="152">
        <f t="shared" si="247"/>
        <v>0.85347697071345618</v>
      </c>
      <c r="Z104" s="152">
        <f t="shared" si="247"/>
        <v>0.85347697071345618</v>
      </c>
      <c r="AA104" s="152">
        <f t="shared" si="247"/>
        <v>0.85347697071345618</v>
      </c>
      <c r="AB104" s="152">
        <f t="shared" si="247"/>
        <v>0.85347697071345618</v>
      </c>
      <c r="AC104" s="138">
        <f t="shared" si="196"/>
        <v>-1.9457486537164392E-3</v>
      </c>
      <c r="AD104" s="20"/>
      <c r="AE104" s="20"/>
    </row>
    <row r="105" spans="2:31" x14ac:dyDescent="0.2">
      <c r="B105" s="20" t="str">
        <f>B33</f>
        <v>Top Expenses ( Raw material )</v>
      </c>
      <c r="C105" s="20"/>
      <c r="D105" s="20"/>
      <c r="E105" s="20"/>
      <c r="F105" s="20"/>
      <c r="G105" s="152">
        <f>G33/G25</f>
        <v>0.27509262377905019</v>
      </c>
      <c r="H105" s="152">
        <f t="shared" ref="H105:P105" si="248">H33/H25</f>
        <v>0.34893870263836541</v>
      </c>
      <c r="I105" s="152">
        <f t="shared" si="248"/>
        <v>0.26782239518839557</v>
      </c>
      <c r="J105" s="152">
        <f t="shared" si="248"/>
        <v>0.24982618771726536</v>
      </c>
      <c r="K105" s="152">
        <f t="shared" si="248"/>
        <v>0.28596079963534543</v>
      </c>
      <c r="L105" s="152">
        <f t="shared" si="248"/>
        <v>0.23759344962620149</v>
      </c>
      <c r="M105" s="152">
        <f t="shared" si="248"/>
        <v>0.20348912620519694</v>
      </c>
      <c r="N105" s="152">
        <f t="shared" si="248"/>
        <v>0</v>
      </c>
      <c r="O105" s="152">
        <f t="shared" si="248"/>
        <v>0.23968700144343993</v>
      </c>
      <c r="P105" s="152">
        <f t="shared" si="248"/>
        <v>0.17035221261772673</v>
      </c>
      <c r="Q105" s="118">
        <f t="shared" si="194"/>
        <v>-5.1855970108648508E-2</v>
      </c>
      <c r="R105" s="20"/>
      <c r="S105" s="152">
        <f t="shared" ref="S105:AB105" si="249">S33/S25</f>
        <v>0.17035221261772673</v>
      </c>
      <c r="T105" s="152">
        <f t="shared" si="249"/>
        <v>0.17035221261772676</v>
      </c>
      <c r="U105" s="152">
        <f t="shared" si="249"/>
        <v>0.17035221261772673</v>
      </c>
      <c r="V105" s="152">
        <f t="shared" si="249"/>
        <v>0.17035221261772673</v>
      </c>
      <c r="W105" s="152">
        <f t="shared" si="249"/>
        <v>0.17035221261772671</v>
      </c>
      <c r="X105" s="152">
        <f t="shared" si="249"/>
        <v>0.17035221261772671</v>
      </c>
      <c r="Y105" s="152">
        <f t="shared" si="249"/>
        <v>0.17035221261772671</v>
      </c>
      <c r="Z105" s="152">
        <f t="shared" si="249"/>
        <v>0.17035221261772673</v>
      </c>
      <c r="AA105" s="152">
        <f t="shared" si="249"/>
        <v>0.17035221261772671</v>
      </c>
      <c r="AB105" s="152">
        <f t="shared" si="249"/>
        <v>0.17035221261772671</v>
      </c>
      <c r="AC105" s="138">
        <f t="shared" si="196"/>
        <v>-2.4907697529092276E-2</v>
      </c>
      <c r="AD105" s="20"/>
      <c r="AE105" s="20"/>
    </row>
    <row r="106" spans="2:31" x14ac:dyDescent="0.2">
      <c r="B106" s="20" t="str">
        <f>B34</f>
        <v>2nd highest Expenses Comp. ( Empl )</v>
      </c>
      <c r="C106" s="20"/>
      <c r="D106" s="20"/>
      <c r="E106" s="20"/>
      <c r="F106" s="20"/>
      <c r="G106" s="152">
        <f>G34/G25</f>
        <v>6.4415628157628829E-2</v>
      </c>
      <c r="H106" s="152">
        <f t="shared" ref="H106:P106" si="250">H34/H25</f>
        <v>5.7594392646961583E-2</v>
      </c>
      <c r="I106" s="152">
        <f t="shared" si="250"/>
        <v>6.1560233504333983E-2</v>
      </c>
      <c r="J106" s="152">
        <f t="shared" si="250"/>
        <v>8.7137891077636153E-3</v>
      </c>
      <c r="K106" s="152">
        <f t="shared" si="250"/>
        <v>6.6712248486032424E-2</v>
      </c>
      <c r="L106" s="152">
        <f t="shared" si="250"/>
        <v>6.3272813575412368E-2</v>
      </c>
      <c r="M106" s="152">
        <f t="shared" si="250"/>
        <v>6.6258809287042239E-2</v>
      </c>
      <c r="N106" s="152">
        <f t="shared" si="250"/>
        <v>7.1346785546691688E-2</v>
      </c>
      <c r="O106" s="152">
        <f t="shared" si="250"/>
        <v>7.5879358808782188E-2</v>
      </c>
      <c r="P106" s="152">
        <f t="shared" si="250"/>
        <v>8.0299316217262287E-2</v>
      </c>
      <c r="Q106" s="118">
        <f t="shared" si="194"/>
        <v>2.4791754291546564E-2</v>
      </c>
      <c r="R106" s="20"/>
      <c r="S106" s="152">
        <f t="shared" ref="S106:AB106" si="251">S34/S25</f>
        <v>8.0299316217262287E-2</v>
      </c>
      <c r="T106" s="152">
        <f t="shared" si="251"/>
        <v>8.0299316217262287E-2</v>
      </c>
      <c r="U106" s="152">
        <f t="shared" si="251"/>
        <v>8.0299316217262287E-2</v>
      </c>
      <c r="V106" s="152">
        <f t="shared" si="251"/>
        <v>8.0299316217262287E-2</v>
      </c>
      <c r="W106" s="152">
        <f t="shared" si="251"/>
        <v>8.0299316217262273E-2</v>
      </c>
      <c r="X106" s="152">
        <f t="shared" si="251"/>
        <v>8.0299316217262273E-2</v>
      </c>
      <c r="Y106" s="152">
        <f t="shared" si="251"/>
        <v>8.0299316217262273E-2</v>
      </c>
      <c r="Z106" s="152">
        <f t="shared" si="251"/>
        <v>8.0299316217262273E-2</v>
      </c>
      <c r="AA106" s="152">
        <f t="shared" si="251"/>
        <v>8.0299316217262273E-2</v>
      </c>
      <c r="AB106" s="152">
        <f t="shared" si="251"/>
        <v>8.0299316217262287E-2</v>
      </c>
      <c r="AC106" s="138">
        <f t="shared" si="196"/>
        <v>1.1667798009665331E-2</v>
      </c>
      <c r="AD106" s="20"/>
      <c r="AE106" s="20"/>
    </row>
    <row r="107" spans="2:31" x14ac:dyDescent="0.2"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128"/>
      <c r="R107" s="128"/>
      <c r="S107" s="119"/>
      <c r="T107" s="119"/>
      <c r="U107" s="119"/>
      <c r="V107" s="119"/>
      <c r="W107" s="119"/>
      <c r="X107" s="119"/>
      <c r="Y107" s="119"/>
      <c r="Z107" s="119"/>
      <c r="AA107" s="119"/>
      <c r="AB107" s="119"/>
      <c r="AC107" s="139"/>
      <c r="AD107" s="20"/>
      <c r="AE107" s="20"/>
    </row>
    <row r="108" spans="2:31" x14ac:dyDescent="0.2">
      <c r="B108" s="108" t="s">
        <v>363</v>
      </c>
      <c r="C108" s="20"/>
      <c r="D108" s="20"/>
      <c r="E108" s="20"/>
      <c r="F108" s="20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118"/>
      <c r="R108" s="128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138"/>
      <c r="AD108" s="20"/>
      <c r="AE108" s="20"/>
    </row>
    <row r="109" spans="2:31" x14ac:dyDescent="0.2">
      <c r="B109" s="20" t="s">
        <v>366</v>
      </c>
      <c r="C109" s="20"/>
      <c r="D109" s="20"/>
      <c r="E109" s="20"/>
      <c r="F109" s="20"/>
      <c r="G109" s="25">
        <f>G15/G9</f>
        <v>1.2998699045967042</v>
      </c>
      <c r="H109" s="25">
        <f t="shared" ref="H109:AB109" si="252">H15/H9</f>
        <v>1.3043000914913083</v>
      </c>
      <c r="I109" s="25">
        <f t="shared" si="252"/>
        <v>1.2264150943396226</v>
      </c>
      <c r="J109" s="25">
        <f t="shared" si="252"/>
        <v>1.1927749022921728</v>
      </c>
      <c r="K109" s="25">
        <f t="shared" si="252"/>
        <v>1.0760122789065927</v>
      </c>
      <c r="L109" s="25">
        <f t="shared" si="252"/>
        <v>1.1131146634216493</v>
      </c>
      <c r="M109" s="25">
        <f t="shared" si="252"/>
        <v>0.76824290235288717</v>
      </c>
      <c r="N109" s="25">
        <f t="shared" si="252"/>
        <v>0.73622512870460555</v>
      </c>
      <c r="O109" s="25">
        <f t="shared" si="252"/>
        <v>0.8258395659187564</v>
      </c>
      <c r="P109" s="25">
        <f t="shared" si="252"/>
        <v>0.70594892049615021</v>
      </c>
      <c r="Q109" s="118">
        <f t="shared" si="194"/>
        <v>-6.5581371883514206E-2</v>
      </c>
      <c r="R109" s="20"/>
      <c r="S109" s="20">
        <f t="shared" si="252"/>
        <v>0.7059489204961501</v>
      </c>
      <c r="T109" s="20">
        <f t="shared" si="252"/>
        <v>0.70594892049614999</v>
      </c>
      <c r="U109" s="20">
        <f t="shared" si="252"/>
        <v>0.70594892049614999</v>
      </c>
      <c r="V109" s="20">
        <f t="shared" si="252"/>
        <v>0.70594892049614999</v>
      </c>
      <c r="W109" s="20">
        <f t="shared" si="252"/>
        <v>0.70594892049614988</v>
      </c>
      <c r="X109" s="20">
        <f t="shared" si="252"/>
        <v>0.70594892049614988</v>
      </c>
      <c r="Y109" s="20">
        <f t="shared" si="252"/>
        <v>0.70594892049614988</v>
      </c>
      <c r="Z109" s="20">
        <f t="shared" si="252"/>
        <v>0.70594892049614988</v>
      </c>
      <c r="AA109" s="20">
        <f t="shared" si="252"/>
        <v>0.70594892049614999</v>
      </c>
      <c r="AB109" s="20">
        <f t="shared" si="252"/>
        <v>0.7059489204961501</v>
      </c>
      <c r="AC109" s="138">
        <f t="shared" si="196"/>
        <v>-3.1619650996687065E-2</v>
      </c>
      <c r="AD109" s="20"/>
      <c r="AE109" s="20"/>
    </row>
    <row r="110" spans="2:31" x14ac:dyDescent="0.2">
      <c r="B110" s="20" t="s">
        <v>356</v>
      </c>
      <c r="C110" s="20"/>
      <c r="D110" s="20"/>
      <c r="E110" s="20"/>
      <c r="F110" s="20"/>
      <c r="G110" s="25">
        <f>G12/G9</f>
        <v>0.11643538594969645</v>
      </c>
      <c r="H110" s="25">
        <f t="shared" ref="H110:P110" si="253">H12/H9</f>
        <v>0.18096980786825251</v>
      </c>
      <c r="I110" s="25">
        <f t="shared" si="253"/>
        <v>0.12013561320754718</v>
      </c>
      <c r="J110" s="25">
        <f t="shared" si="253"/>
        <v>0.18136685327981408</v>
      </c>
      <c r="K110" s="25">
        <f t="shared" si="253"/>
        <v>0.11401841835988891</v>
      </c>
      <c r="L110" s="25">
        <f t="shared" si="253"/>
        <v>8.064605343215886E-2</v>
      </c>
      <c r="M110" s="25">
        <f t="shared" si="253"/>
        <v>0.15231848828142916</v>
      </c>
      <c r="N110" s="25">
        <f t="shared" si="253"/>
        <v>0.12679142896897175</v>
      </c>
      <c r="O110" s="25">
        <f t="shared" si="253"/>
        <v>0.1032996040475143</v>
      </c>
      <c r="P110" s="25">
        <f t="shared" si="253"/>
        <v>8.0568930703175279E-2</v>
      </c>
      <c r="Q110" s="118">
        <f t="shared" si="194"/>
        <v>-4.0088043041782595E-2</v>
      </c>
      <c r="R110" s="128"/>
      <c r="S110" s="20">
        <f t="shared" ref="S110:AB110" si="254">S12/S9</f>
        <v>8.0568930703175265E-2</v>
      </c>
      <c r="T110" s="20">
        <f t="shared" si="254"/>
        <v>8.0568930703175251E-2</v>
      </c>
      <c r="U110" s="20">
        <f t="shared" si="254"/>
        <v>8.0568930703175265E-2</v>
      </c>
      <c r="V110" s="20">
        <f t="shared" si="254"/>
        <v>8.0568930703175251E-2</v>
      </c>
      <c r="W110" s="20">
        <f t="shared" si="254"/>
        <v>8.0568930703175251E-2</v>
      </c>
      <c r="X110" s="20">
        <f t="shared" si="254"/>
        <v>8.0568930703175237E-2</v>
      </c>
      <c r="Y110" s="20">
        <f t="shared" si="254"/>
        <v>8.0568930703175237E-2</v>
      </c>
      <c r="Z110" s="20">
        <f t="shared" si="254"/>
        <v>8.0568930703175237E-2</v>
      </c>
      <c r="AA110" s="20">
        <f t="shared" si="254"/>
        <v>8.0568930703175237E-2</v>
      </c>
      <c r="AB110" s="20">
        <f t="shared" si="254"/>
        <v>8.0568930703175251E-2</v>
      </c>
      <c r="AC110" s="118">
        <f t="shared" ref="AC110" si="255">((AB110/S110)^(1/($H$2-$H$1) ))-1</f>
        <v>0</v>
      </c>
      <c r="AD110" s="20"/>
      <c r="AE110" s="20"/>
    </row>
    <row r="111" spans="2:31" x14ac:dyDescent="0.2">
      <c r="B111" s="20" t="s">
        <v>358</v>
      </c>
      <c r="C111" s="20"/>
      <c r="D111" s="20"/>
      <c r="E111" s="20"/>
      <c r="F111" s="20"/>
      <c r="G111" s="25">
        <f>G25/360</f>
        <v>32.988888888888887</v>
      </c>
      <c r="H111" s="25">
        <f t="shared" ref="H111:P111" si="256">H25/360</f>
        <v>42.008333333333333</v>
      </c>
      <c r="I111" s="25">
        <f t="shared" si="256"/>
        <v>47.108333333333334</v>
      </c>
      <c r="J111" s="25">
        <f t="shared" si="256"/>
        <v>59.930555555555557</v>
      </c>
      <c r="K111" s="25">
        <f t="shared" si="256"/>
        <v>85.316666666666663</v>
      </c>
      <c r="L111" s="25">
        <f t="shared" si="256"/>
        <v>117.04166666666667</v>
      </c>
      <c r="M111" s="25">
        <f t="shared" si="256"/>
        <v>128.49444444444444</v>
      </c>
      <c r="N111" s="25">
        <f t="shared" si="256"/>
        <v>147.98611111111111</v>
      </c>
      <c r="O111" s="25">
        <f t="shared" si="256"/>
        <v>182.81944444444446</v>
      </c>
      <c r="P111" s="25">
        <f t="shared" si="256"/>
        <v>215.30555555555554</v>
      </c>
      <c r="Q111" s="118">
        <f t="shared" si="194"/>
        <v>0.23174508688949813</v>
      </c>
      <c r="R111" s="128"/>
      <c r="S111" s="25">
        <f t="shared" ref="S111:AB111" si="257">S25/360</f>
        <v>241.14222222222224</v>
      </c>
      <c r="T111" s="25">
        <f t="shared" si="257"/>
        <v>270.07928888888898</v>
      </c>
      <c r="U111" s="25">
        <f t="shared" si="257"/>
        <v>302.48880355555565</v>
      </c>
      <c r="V111" s="25">
        <f t="shared" si="257"/>
        <v>338.78745998222234</v>
      </c>
      <c r="W111" s="25">
        <f t="shared" si="257"/>
        <v>379.44195518008911</v>
      </c>
      <c r="X111" s="25">
        <f t="shared" si="257"/>
        <v>424.97498980169985</v>
      </c>
      <c r="Y111" s="25">
        <f t="shared" si="257"/>
        <v>475.97198857790386</v>
      </c>
      <c r="Z111" s="25">
        <f t="shared" si="257"/>
        <v>533.08862720725233</v>
      </c>
      <c r="AA111" s="25">
        <f t="shared" si="257"/>
        <v>597.05926247212278</v>
      </c>
      <c r="AB111" s="25">
        <f t="shared" si="257"/>
        <v>668.70637396877748</v>
      </c>
      <c r="AC111" s="118">
        <f t="shared" ref="AC111:AC122" si="258">((AB111/S111)^(1/($H$2-$H$1) ))-1</f>
        <v>0.12000000000000011</v>
      </c>
      <c r="AD111" s="20"/>
      <c r="AE111" s="20"/>
    </row>
    <row r="112" spans="2:31" x14ac:dyDescent="0.2">
      <c r="B112" s="20" t="s">
        <v>357</v>
      </c>
      <c r="C112" s="20"/>
      <c r="D112" s="20"/>
      <c r="E112" s="20"/>
      <c r="F112" s="20"/>
      <c r="G112" s="25">
        <f>G27/360</f>
        <v>29.216666666666665</v>
      </c>
      <c r="H112" s="25">
        <f t="shared" ref="H112:P112" si="259">H27/360</f>
        <v>36.636111111111113</v>
      </c>
      <c r="I112" s="25">
        <f t="shared" si="259"/>
        <v>40.541666666666664</v>
      </c>
      <c r="J112" s="25">
        <f t="shared" si="259"/>
        <v>49.294444444444444</v>
      </c>
      <c r="K112" s="25">
        <f t="shared" si="259"/>
        <v>71.897222222222226</v>
      </c>
      <c r="L112" s="25">
        <f t="shared" si="259"/>
        <v>96.37777777777778</v>
      </c>
      <c r="M112" s="25">
        <f t="shared" si="259"/>
        <v>98.05</v>
      </c>
      <c r="N112" s="25">
        <f t="shared" si="259"/>
        <v>123.11666666666666</v>
      </c>
      <c r="O112" s="25">
        <f t="shared" si="259"/>
        <v>156</v>
      </c>
      <c r="P112" s="25">
        <f t="shared" si="259"/>
        <v>183.75833333333333</v>
      </c>
      <c r="Q112" s="118">
        <f t="shared" si="194"/>
        <v>0.22669092686016934</v>
      </c>
      <c r="R112" s="128"/>
      <c r="S112" s="25">
        <f t="shared" ref="S112:AB112" si="260">S27/360</f>
        <v>205.80933333333334</v>
      </c>
      <c r="T112" s="25">
        <f t="shared" si="260"/>
        <v>230.50645333333338</v>
      </c>
      <c r="U112" s="25">
        <f t="shared" si="260"/>
        <v>258.16722773333339</v>
      </c>
      <c r="V112" s="25">
        <f t="shared" si="260"/>
        <v>289.14729506133341</v>
      </c>
      <c r="W112" s="25">
        <f t="shared" si="260"/>
        <v>323.84497046869348</v>
      </c>
      <c r="X112" s="25">
        <f t="shared" si="260"/>
        <v>362.70636692493673</v>
      </c>
      <c r="Y112" s="25">
        <f t="shared" si="260"/>
        <v>406.23113095592919</v>
      </c>
      <c r="Z112" s="25">
        <f t="shared" si="260"/>
        <v>454.97886667064068</v>
      </c>
      <c r="AA112" s="25">
        <f t="shared" si="260"/>
        <v>509.5763306711176</v>
      </c>
      <c r="AB112" s="25">
        <f t="shared" si="260"/>
        <v>570.72549035165184</v>
      </c>
      <c r="AC112" s="118">
        <f t="shared" si="258"/>
        <v>0.12000000000000011</v>
      </c>
      <c r="AD112" s="20"/>
      <c r="AE112" s="20"/>
    </row>
    <row r="113" spans="2:31" x14ac:dyDescent="0.2">
      <c r="B113" s="20"/>
      <c r="C113" s="20"/>
      <c r="D113" s="20"/>
      <c r="E113" s="20"/>
      <c r="F113" s="20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128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128"/>
      <c r="AD113" s="20"/>
      <c r="AE113" s="20"/>
    </row>
    <row r="114" spans="2:31" x14ac:dyDescent="0.2">
      <c r="B114" s="20" t="s">
        <v>367</v>
      </c>
      <c r="C114" s="20"/>
      <c r="D114" s="20"/>
      <c r="E114" s="20"/>
      <c r="F114" s="20"/>
      <c r="G114" s="25">
        <f>G10/G7</f>
        <v>1.0460899131091803</v>
      </c>
      <c r="H114" s="25">
        <f t="shared" ref="H114:P114" si="261">H10/H7</f>
        <v>1.0416289592760182</v>
      </c>
      <c r="I114" s="25">
        <f t="shared" si="261"/>
        <v>0.70467365028203066</v>
      </c>
      <c r="J114" s="25">
        <f t="shared" si="261"/>
        <v>0.92934547030775905</v>
      </c>
      <c r="K114" s="25">
        <f t="shared" si="261"/>
        <v>1.1370141261194719</v>
      </c>
      <c r="L114" s="25">
        <f t="shared" si="261"/>
        <v>1.4563523271609351</v>
      </c>
      <c r="M114" s="25">
        <f t="shared" si="261"/>
        <v>1.172264303749226</v>
      </c>
      <c r="N114" s="25">
        <f t="shared" si="261"/>
        <v>1.49061876247505</v>
      </c>
      <c r="O114" s="25">
        <f t="shared" si="261"/>
        <v>1.7390253862383447</v>
      </c>
      <c r="P114" s="25">
        <f t="shared" si="261"/>
        <v>1.7319471927700167</v>
      </c>
      <c r="Q114" s="118">
        <f t="shared" si="194"/>
        <v>5.7619658443879507E-2</v>
      </c>
      <c r="R114" s="128"/>
      <c r="S114" s="25">
        <f t="shared" ref="S114:AB114" si="262">S10/S7</f>
        <v>1.731947192770017</v>
      </c>
      <c r="T114" s="25">
        <f t="shared" si="262"/>
        <v>1.731947192770017</v>
      </c>
      <c r="U114" s="25">
        <f t="shared" si="262"/>
        <v>1.731947192770017</v>
      </c>
      <c r="V114" s="25">
        <f t="shared" si="262"/>
        <v>1.731947192770017</v>
      </c>
      <c r="W114" s="25">
        <f t="shared" si="262"/>
        <v>1.731947192770017</v>
      </c>
      <c r="X114" s="25">
        <f t="shared" si="262"/>
        <v>1.731947192770017</v>
      </c>
      <c r="Y114" s="25">
        <f t="shared" si="262"/>
        <v>1.731947192770017</v>
      </c>
      <c r="Z114" s="25">
        <f t="shared" si="262"/>
        <v>1.7319471927700167</v>
      </c>
      <c r="AA114" s="25">
        <f t="shared" si="262"/>
        <v>1.7319471927700167</v>
      </c>
      <c r="AB114" s="25">
        <f t="shared" si="262"/>
        <v>1.7319471927700167</v>
      </c>
      <c r="AC114" s="118">
        <f t="shared" si="258"/>
        <v>0</v>
      </c>
      <c r="AD114" s="20"/>
      <c r="AE114" s="20"/>
    </row>
    <row r="115" spans="2:31" x14ac:dyDescent="0.2">
      <c r="B115" s="20" t="s">
        <v>359</v>
      </c>
      <c r="C115" s="20"/>
      <c r="D115" s="20"/>
      <c r="E115" s="20"/>
      <c r="F115" s="20"/>
      <c r="G115" s="25">
        <f>G10/(G10+G7)</f>
        <v>0.51126292466765144</v>
      </c>
      <c r="H115" s="25">
        <f t="shared" ref="H115:P115" si="263">H10/(H10+H7)</f>
        <v>0.51019503546099287</v>
      </c>
      <c r="I115" s="25">
        <f t="shared" si="263"/>
        <v>0.41337745213897426</v>
      </c>
      <c r="J115" s="25">
        <f t="shared" si="263"/>
        <v>0.48168950797573579</v>
      </c>
      <c r="K115" s="25">
        <f t="shared" si="263"/>
        <v>0.53205737492439298</v>
      </c>
      <c r="L115" s="25">
        <f t="shared" si="263"/>
        <v>0.59289227813837064</v>
      </c>
      <c r="M115" s="25">
        <f t="shared" si="263"/>
        <v>0.53965086187990696</v>
      </c>
      <c r="N115" s="25">
        <f t="shared" si="263"/>
        <v>0.59849334829299572</v>
      </c>
      <c r="O115" s="25">
        <f t="shared" si="263"/>
        <v>0.63490663320453722</v>
      </c>
      <c r="P115" s="25">
        <f t="shared" si="263"/>
        <v>0.63396071393822773</v>
      </c>
      <c r="Q115" s="118">
        <f t="shared" si="194"/>
        <v>2.4188235325970808E-2</v>
      </c>
      <c r="R115" s="128"/>
      <c r="S115" s="25">
        <f t="shared" ref="S115:AB115" si="264">S10/(S10+S7)</f>
        <v>0.63396071393822773</v>
      </c>
      <c r="T115" s="25">
        <f t="shared" si="264"/>
        <v>0.63396071393822773</v>
      </c>
      <c r="U115" s="25">
        <f t="shared" si="264"/>
        <v>0.63396071393822773</v>
      </c>
      <c r="V115" s="25">
        <f t="shared" si="264"/>
        <v>0.63396071393822773</v>
      </c>
      <c r="W115" s="25">
        <f t="shared" si="264"/>
        <v>0.63396071393822773</v>
      </c>
      <c r="X115" s="25">
        <f t="shared" si="264"/>
        <v>0.63396071393822773</v>
      </c>
      <c r="Y115" s="25">
        <f t="shared" si="264"/>
        <v>0.63396071393822773</v>
      </c>
      <c r="Z115" s="25">
        <f t="shared" si="264"/>
        <v>0.63396071393822773</v>
      </c>
      <c r="AA115" s="25">
        <f t="shared" si="264"/>
        <v>0.63396071393822762</v>
      </c>
      <c r="AB115" s="25">
        <f t="shared" si="264"/>
        <v>0.63396071393822762</v>
      </c>
      <c r="AC115" s="118">
        <f t="shared" si="258"/>
        <v>0</v>
      </c>
      <c r="AD115" s="20"/>
      <c r="AE115" s="20"/>
    </row>
    <row r="116" spans="2:31" x14ac:dyDescent="0.2">
      <c r="B116" s="20"/>
      <c r="C116" s="20"/>
      <c r="D116" s="20"/>
      <c r="E116" s="20"/>
      <c r="F116" s="20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128"/>
      <c r="R116" s="128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137"/>
      <c r="AD116" s="20"/>
      <c r="AE116" s="20"/>
    </row>
    <row r="117" spans="2:31" x14ac:dyDescent="0.2">
      <c r="B117" s="20" t="s">
        <v>364</v>
      </c>
      <c r="C117" s="20"/>
      <c r="D117" s="20"/>
      <c r="E117" s="20"/>
      <c r="F117" s="20"/>
      <c r="G117" s="25">
        <f>G16</f>
        <v>2658</v>
      </c>
      <c r="H117" s="25">
        <f t="shared" ref="H117:P117" si="265">H16</f>
        <v>3938</v>
      </c>
      <c r="I117" s="25">
        <f t="shared" si="265"/>
        <v>3900</v>
      </c>
      <c r="J117" s="25">
        <f t="shared" si="265"/>
        <v>6064</v>
      </c>
      <c r="K117" s="25">
        <f t="shared" si="265"/>
        <v>9965</v>
      </c>
      <c r="L117" s="25">
        <f t="shared" si="265"/>
        <v>13021</v>
      </c>
      <c r="M117" s="25">
        <f t="shared" si="265"/>
        <v>17779</v>
      </c>
      <c r="N117" s="25">
        <f t="shared" si="265"/>
        <v>26037</v>
      </c>
      <c r="O117" s="25">
        <f t="shared" si="265"/>
        <v>39140</v>
      </c>
      <c r="P117" s="25">
        <f t="shared" si="265"/>
        <v>44647</v>
      </c>
      <c r="Q117" s="118">
        <f t="shared" si="194"/>
        <v>0.36816185654799338</v>
      </c>
      <c r="R117" s="128"/>
      <c r="S117" s="25">
        <f t="shared" ref="S117:AB117" si="266">S16</f>
        <v>50004.640000000007</v>
      </c>
      <c r="T117" s="25">
        <f t="shared" si="266"/>
        <v>56005.196800000012</v>
      </c>
      <c r="U117" s="25">
        <f t="shared" si="266"/>
        <v>62725.820416000017</v>
      </c>
      <c r="V117" s="25">
        <f t="shared" si="266"/>
        <v>70252.91886592003</v>
      </c>
      <c r="W117" s="25">
        <f t="shared" si="266"/>
        <v>78683.269129830442</v>
      </c>
      <c r="X117" s="25">
        <f t="shared" si="266"/>
        <v>88125.261425410106</v>
      </c>
      <c r="Y117" s="25">
        <f t="shared" si="266"/>
        <v>98700.292796459325</v>
      </c>
      <c r="Z117" s="25">
        <f t="shared" si="266"/>
        <v>110544.32793203446</v>
      </c>
      <c r="AA117" s="25">
        <f t="shared" si="266"/>
        <v>123809.6472838786</v>
      </c>
      <c r="AB117" s="25">
        <f t="shared" si="266"/>
        <v>138666.80495794406</v>
      </c>
      <c r="AC117" s="118">
        <f t="shared" si="258"/>
        <v>0.12000000000000011</v>
      </c>
      <c r="AD117" s="20"/>
      <c r="AE117" s="20"/>
    </row>
    <row r="118" spans="2:31" x14ac:dyDescent="0.2">
      <c r="B118" s="20" t="s">
        <v>365</v>
      </c>
      <c r="C118" s="20"/>
      <c r="D118" s="20"/>
      <c r="E118" s="20"/>
      <c r="F118" s="20"/>
      <c r="G118" s="119">
        <f t="shared" ref="G118:P118" si="267">G117*365/G25</f>
        <v>81.691647019198385</v>
      </c>
      <c r="H118" s="119">
        <f t="shared" si="267"/>
        <v>95.045295245652312</v>
      </c>
      <c r="I118" s="119">
        <f t="shared" si="267"/>
        <v>83.937732177604815</v>
      </c>
      <c r="J118" s="119">
        <f t="shared" si="267"/>
        <v>102.58910776361529</v>
      </c>
      <c r="K118" s="119">
        <f t="shared" si="267"/>
        <v>118.4223806733086</v>
      </c>
      <c r="L118" s="119">
        <f t="shared" si="267"/>
        <v>112.79613148214074</v>
      </c>
      <c r="M118" s="119">
        <f t="shared" si="267"/>
        <v>140.28568031475638</v>
      </c>
      <c r="N118" s="119">
        <f t="shared" si="267"/>
        <v>178.38582824964806</v>
      </c>
      <c r="O118" s="119">
        <f t="shared" si="267"/>
        <v>217.06449897439794</v>
      </c>
      <c r="P118" s="119">
        <f t="shared" si="267"/>
        <v>210.24583924654883</v>
      </c>
      <c r="Q118" s="118">
        <f t="shared" si="194"/>
        <v>0.11075081289992061</v>
      </c>
      <c r="R118" s="128"/>
      <c r="S118" s="119">
        <f t="shared" ref="S118:AB118" si="268">S117*365/S25</f>
        <v>210.24583924654883</v>
      </c>
      <c r="T118" s="119">
        <f t="shared" si="268"/>
        <v>210.24583924654885</v>
      </c>
      <c r="U118" s="119">
        <f t="shared" si="268"/>
        <v>210.24583924654883</v>
      </c>
      <c r="V118" s="119">
        <f t="shared" si="268"/>
        <v>210.24583924654883</v>
      </c>
      <c r="W118" s="119">
        <f t="shared" si="268"/>
        <v>210.24583924654883</v>
      </c>
      <c r="X118" s="119">
        <f t="shared" si="268"/>
        <v>210.24583924654883</v>
      </c>
      <c r="Y118" s="119">
        <f t="shared" si="268"/>
        <v>210.24583924654883</v>
      </c>
      <c r="Z118" s="119">
        <f t="shared" si="268"/>
        <v>210.24583924654883</v>
      </c>
      <c r="AA118" s="119">
        <f t="shared" si="268"/>
        <v>210.24583924654883</v>
      </c>
      <c r="AB118" s="119">
        <f t="shared" si="268"/>
        <v>210.24583924654883</v>
      </c>
      <c r="AC118" s="118">
        <f t="shared" si="258"/>
        <v>0</v>
      </c>
      <c r="AD118" s="20"/>
      <c r="AE118" s="20"/>
    </row>
    <row r="119" spans="2:31" x14ac:dyDescent="0.2">
      <c r="B119" s="20" t="s">
        <v>368</v>
      </c>
      <c r="C119" s="20"/>
      <c r="D119" s="20"/>
      <c r="E119" s="20"/>
      <c r="F119" s="20"/>
      <c r="G119" s="133">
        <f>G73/G29</f>
        <v>0.72347266881028938</v>
      </c>
      <c r="H119" s="133">
        <f t="shared" ref="H119:P119" si="269">H73/H29</f>
        <v>0.33515462175406974</v>
      </c>
      <c r="I119" s="133">
        <f t="shared" si="269"/>
        <v>0.35367960250607255</v>
      </c>
      <c r="J119" s="133">
        <f t="shared" si="269"/>
        <v>0.21121451596131849</v>
      </c>
      <c r="K119" s="133">
        <f t="shared" si="269"/>
        <v>0.15993935213183449</v>
      </c>
      <c r="L119" s="133">
        <f t="shared" si="269"/>
        <v>6.3482383423259528E-2</v>
      </c>
      <c r="M119" s="133">
        <f t="shared" si="269"/>
        <v>6.4711122479521321E-2</v>
      </c>
      <c r="N119" s="133">
        <f t="shared" si="269"/>
        <v>0.15368966008580973</v>
      </c>
      <c r="O119" s="133">
        <f t="shared" si="269"/>
        <v>0.13007639485016739</v>
      </c>
      <c r="P119" s="133">
        <f t="shared" si="269"/>
        <v>7.6482473380662636E-2</v>
      </c>
      <c r="Q119" s="118">
        <f t="shared" si="194"/>
        <v>-0.22093967385664903</v>
      </c>
      <c r="R119" s="128"/>
      <c r="S119" s="133">
        <f t="shared" ref="S119:AB119" si="270">S73/S29</f>
        <v>5.0988315587108424E-2</v>
      </c>
      <c r="T119" s="133">
        <f t="shared" si="270"/>
        <v>4.5525281774203945E-2</v>
      </c>
      <c r="U119" s="133">
        <f t="shared" si="270"/>
        <v>4.0647573012682091E-2</v>
      </c>
      <c r="V119" s="133">
        <f t="shared" si="270"/>
        <v>3.6292475904180437E-2</v>
      </c>
      <c r="W119" s="133">
        <f t="shared" si="270"/>
        <v>3.2403996343018243E-2</v>
      </c>
      <c r="X119" s="133">
        <f t="shared" si="270"/>
        <v>2.8932139591980568E-2</v>
      </c>
      <c r="Y119" s="133">
        <f t="shared" si="270"/>
        <v>2.5832267492839792E-2</v>
      </c>
      <c r="Z119" s="133">
        <f t="shared" si="270"/>
        <v>2.3064524547178385E-2</v>
      </c>
      <c r="AA119" s="133">
        <f t="shared" si="270"/>
        <v>2.0593325488552128E-2</v>
      </c>
      <c r="AB119" s="133">
        <f t="shared" si="270"/>
        <v>1.8386897757635828E-2</v>
      </c>
      <c r="AC119" s="118">
        <f t="shared" si="258"/>
        <v>-0.10714285714285721</v>
      </c>
      <c r="AD119" s="20"/>
      <c r="AE119" s="20"/>
    </row>
    <row r="120" spans="2:31" x14ac:dyDescent="0.2"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128"/>
      <c r="R120" s="128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137"/>
      <c r="AD120" s="20"/>
      <c r="AE120" s="20"/>
    </row>
    <row r="121" spans="2:31" x14ac:dyDescent="0.2">
      <c r="B121" s="20" t="s">
        <v>375</v>
      </c>
      <c r="C121" s="20"/>
      <c r="D121" s="20"/>
      <c r="E121" s="20"/>
      <c r="F121" s="20"/>
      <c r="G121" s="181">
        <f>G25/G14</f>
        <v>6.0376207422470767</v>
      </c>
      <c r="H121" s="181">
        <f t="shared" ref="H121:P121" si="271">H25/H14</f>
        <v>6.2132292522596551</v>
      </c>
      <c r="I121" s="181">
        <f t="shared" si="271"/>
        <v>6.8465886152603961</v>
      </c>
      <c r="J121" s="181">
        <f t="shared" si="271"/>
        <v>5.8675550720696217</v>
      </c>
      <c r="K121" s="181">
        <f t="shared" si="271"/>
        <v>6.119545726240287</v>
      </c>
      <c r="L121" s="181">
        <f t="shared" si="271"/>
        <v>5.9303307529908516</v>
      </c>
      <c r="M121" s="181">
        <f t="shared" si="271"/>
        <v>19.452481076534902</v>
      </c>
      <c r="N121" s="181">
        <f t="shared" si="271"/>
        <v>17.524671052631579</v>
      </c>
      <c r="O121" s="181">
        <f t="shared" si="271"/>
        <v>15.56278079924332</v>
      </c>
      <c r="P121" s="181">
        <f t="shared" si="271"/>
        <v>14.995163474559876</v>
      </c>
      <c r="Q121" s="118">
        <f t="shared" si="194"/>
        <v>0.10636486427740732</v>
      </c>
      <c r="R121" s="128"/>
      <c r="S121" s="20">
        <f t="shared" ref="S121" si="272">S25/S14</f>
        <v>14.995163474559876</v>
      </c>
      <c r="T121" s="20">
        <f t="shared" ref="T121:AB121" si="273">T25/T14</f>
        <v>14.995163474559876</v>
      </c>
      <c r="U121" s="20">
        <f t="shared" si="273"/>
        <v>14.995163474559876</v>
      </c>
      <c r="V121" s="20">
        <f t="shared" si="273"/>
        <v>14.995163474559876</v>
      </c>
      <c r="W121" s="20">
        <f t="shared" si="273"/>
        <v>14.995163474559876</v>
      </c>
      <c r="X121" s="20">
        <f t="shared" si="273"/>
        <v>14.995163474559877</v>
      </c>
      <c r="Y121" s="20">
        <f t="shared" si="273"/>
        <v>14.995163474559876</v>
      </c>
      <c r="Z121" s="20">
        <f t="shared" si="273"/>
        <v>14.995163474559876</v>
      </c>
      <c r="AA121" s="20">
        <f t="shared" si="273"/>
        <v>14.995163474559876</v>
      </c>
      <c r="AB121" s="20">
        <f t="shared" si="273"/>
        <v>14.995163474559876</v>
      </c>
      <c r="AC121" s="118">
        <f t="shared" si="258"/>
        <v>0</v>
      </c>
      <c r="AD121" s="20"/>
      <c r="AE121" s="20"/>
    </row>
    <row r="122" spans="2:31" x14ac:dyDescent="0.2">
      <c r="B122" s="20" t="s">
        <v>376</v>
      </c>
      <c r="C122" s="20"/>
      <c r="D122" s="20"/>
      <c r="E122" s="20"/>
      <c r="F122" s="20"/>
      <c r="G122" s="181">
        <f>G27/G14</f>
        <v>5.3472292831723438</v>
      </c>
      <c r="H122" s="181">
        <f t="shared" ref="H122:P122" si="274">H27/H14</f>
        <v>5.4186524239934268</v>
      </c>
      <c r="I122" s="181">
        <f t="shared" si="274"/>
        <v>5.8922083165119092</v>
      </c>
      <c r="J122" s="181">
        <f t="shared" si="274"/>
        <v>4.8262170247484359</v>
      </c>
      <c r="K122" s="181">
        <f t="shared" si="274"/>
        <v>5.1570033871289098</v>
      </c>
      <c r="L122" s="181">
        <f t="shared" si="274"/>
        <v>4.8833216045038705</v>
      </c>
      <c r="M122" s="181">
        <f t="shared" si="274"/>
        <v>14.843566021867115</v>
      </c>
      <c r="N122" s="181">
        <f t="shared" si="274"/>
        <v>14.579605263157895</v>
      </c>
      <c r="O122" s="181">
        <f t="shared" si="274"/>
        <v>13.279735161976827</v>
      </c>
      <c r="P122" s="181">
        <f t="shared" si="274"/>
        <v>12.798026697620429</v>
      </c>
      <c r="Q122" s="118">
        <f t="shared" si="194"/>
        <v>0.10182517085025111</v>
      </c>
      <c r="R122" s="128"/>
      <c r="S122" s="20">
        <f t="shared" ref="S122:AB122" si="275">S27/S14</f>
        <v>12.798026697620427</v>
      </c>
      <c r="T122" s="20">
        <f t="shared" si="275"/>
        <v>12.798026697620429</v>
      </c>
      <c r="U122" s="20">
        <f t="shared" si="275"/>
        <v>12.798026697620429</v>
      </c>
      <c r="V122" s="20">
        <f t="shared" si="275"/>
        <v>12.798026697620427</v>
      </c>
      <c r="W122" s="20">
        <f t="shared" si="275"/>
        <v>12.798026697620427</v>
      </c>
      <c r="X122" s="20">
        <f t="shared" si="275"/>
        <v>12.798026697620427</v>
      </c>
      <c r="Y122" s="20">
        <f t="shared" si="275"/>
        <v>12.798026697620427</v>
      </c>
      <c r="Z122" s="20">
        <f t="shared" si="275"/>
        <v>12.798026697620427</v>
      </c>
      <c r="AA122" s="20">
        <f t="shared" si="275"/>
        <v>12.798026697620426</v>
      </c>
      <c r="AB122" s="20">
        <f t="shared" si="275"/>
        <v>12.798026697620427</v>
      </c>
      <c r="AC122" s="118">
        <f t="shared" si="258"/>
        <v>0</v>
      </c>
      <c r="AD122" s="20"/>
      <c r="AE122" s="20"/>
    </row>
    <row r="123" spans="2:31" x14ac:dyDescent="0.2"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128"/>
      <c r="R123" s="128"/>
      <c r="S123" s="119"/>
      <c r="T123" s="119"/>
      <c r="U123" s="119"/>
      <c r="V123" s="119"/>
      <c r="W123" s="119"/>
      <c r="X123" s="119"/>
      <c r="Y123" s="119"/>
      <c r="Z123" s="119"/>
      <c r="AA123" s="119"/>
      <c r="AB123" s="119"/>
      <c r="AC123" s="137"/>
      <c r="AD123" s="20"/>
      <c r="AE123" s="20"/>
    </row>
    <row r="124" spans="2:31" x14ac:dyDescent="0.2">
      <c r="B124" s="108" t="s">
        <v>244</v>
      </c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3"/>
      <c r="R124" s="23"/>
      <c r="S124" s="122" t="s">
        <v>66</v>
      </c>
      <c r="T124" s="20"/>
      <c r="U124" s="20"/>
      <c r="V124" s="20"/>
      <c r="W124" s="20"/>
      <c r="X124" s="20"/>
      <c r="Y124" s="20"/>
      <c r="Z124" s="20"/>
      <c r="AA124" s="20"/>
      <c r="AB124" s="20"/>
      <c r="AC124" s="137"/>
      <c r="AD124" s="20"/>
      <c r="AE124" s="20"/>
    </row>
    <row r="125" spans="2:31" x14ac:dyDescent="0.2">
      <c r="B125" s="23" t="s">
        <v>281</v>
      </c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5"/>
      <c r="Q125" s="160">
        <f>AVERAGE(G47:P47)</f>
        <v>77.346371440100626</v>
      </c>
      <c r="R125" s="23"/>
      <c r="S125" s="134"/>
      <c r="T125" s="20"/>
      <c r="U125" s="20"/>
      <c r="V125" s="20"/>
      <c r="W125" s="20"/>
      <c r="X125" s="20"/>
      <c r="Y125" s="20"/>
      <c r="Z125" s="20"/>
      <c r="AA125" s="20"/>
      <c r="AB125" s="20"/>
      <c r="AC125" s="137"/>
      <c r="AD125" s="20"/>
      <c r="AE125" s="20"/>
    </row>
    <row r="126" spans="2:31" x14ac:dyDescent="0.2">
      <c r="B126" s="20" t="s">
        <v>25</v>
      </c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140">
        <f>S126+T126</f>
        <v>92.529787736907593</v>
      </c>
      <c r="S126" s="133">
        <f>PV($C$1, ($AB$3-$S$3), 0, -AB47)</f>
        <v>10.618172363251693</v>
      </c>
      <c r="T126" s="133">
        <f>PV($C$1, ($AB$3-$S$3), 0, -AE47)</f>
        <v>81.911615373655906</v>
      </c>
      <c r="U126" s="20"/>
      <c r="V126" s="20"/>
      <c r="W126" s="20"/>
      <c r="X126" s="20"/>
      <c r="Y126" s="20"/>
      <c r="Z126" s="20"/>
      <c r="AA126" s="20"/>
      <c r="AB126" s="20"/>
      <c r="AC126" s="137"/>
      <c r="AD126" s="20"/>
      <c r="AE126" s="20"/>
    </row>
    <row r="127" spans="2:31" x14ac:dyDescent="0.2">
      <c r="B127" s="20" t="s">
        <v>273</v>
      </c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140">
        <f t="shared" ref="R127:R145" si="276">S127+T127</f>
        <v>598.00841438899693</v>
      </c>
      <c r="S127" s="133">
        <f>PV($C$1, ($AB$3-$S$3), 0, -AB49)</f>
        <v>68.623916405294722</v>
      </c>
      <c r="T127" s="133">
        <f>PV($C$1, ($AB$3-$S$3), 0, -AE49)</f>
        <v>529.3844979837022</v>
      </c>
      <c r="U127" s="20"/>
      <c r="V127" s="20"/>
      <c r="W127" s="20"/>
      <c r="X127" s="20"/>
      <c r="Y127" s="20"/>
      <c r="Z127" s="20"/>
      <c r="AA127" s="20"/>
      <c r="AB127" s="20"/>
      <c r="AC127" s="137"/>
      <c r="AD127" s="20"/>
      <c r="AE127" s="20"/>
    </row>
    <row r="128" spans="2:31" x14ac:dyDescent="0.2">
      <c r="B128" s="20" t="s">
        <v>274</v>
      </c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140">
        <f t="shared" si="276"/>
        <v>595.83602196837489</v>
      </c>
      <c r="S128" s="133">
        <f>PV($C$1, ($AB$3-$S$3), 0, -AB50)</f>
        <v>68.374625471780718</v>
      </c>
      <c r="T128" s="133">
        <f>PV($C$1, ($AB$3-$S$3), 0, -AE50)</f>
        <v>527.46139649659415</v>
      </c>
      <c r="U128" s="20"/>
      <c r="V128" s="20"/>
      <c r="W128" s="20"/>
      <c r="X128" s="20"/>
      <c r="Y128" s="20"/>
      <c r="Z128" s="20"/>
      <c r="AA128" s="20"/>
      <c r="AB128" s="20"/>
      <c r="AC128" s="137"/>
      <c r="AD128" s="20"/>
      <c r="AE128" s="20"/>
    </row>
    <row r="129" spans="2:31" x14ac:dyDescent="0.2">
      <c r="B129" s="20" t="s">
        <v>275</v>
      </c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140">
        <f t="shared" si="276"/>
        <v>1035.7189945538721</v>
      </c>
      <c r="S129" s="133">
        <f>PV($C$1, ($AB$3-$S$3), 0, -AB51)</f>
        <v>118.8529993750345</v>
      </c>
      <c r="T129" s="133">
        <f>PV($C$1, ($AB$3-$S$3), 0, -AE51)</f>
        <v>916.86599517883758</v>
      </c>
      <c r="U129" s="20"/>
      <c r="V129" s="20"/>
      <c r="W129" s="20"/>
      <c r="X129" s="20"/>
      <c r="Y129" s="20"/>
      <c r="Z129" s="20"/>
      <c r="AA129" s="20"/>
      <c r="AB129" s="20"/>
      <c r="AC129" s="137"/>
      <c r="AD129" s="20"/>
      <c r="AE129" s="20"/>
    </row>
    <row r="130" spans="2:31" x14ac:dyDescent="0.2">
      <c r="B130" s="20" t="s">
        <v>276</v>
      </c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140">
        <f t="shared" si="276"/>
        <v>64.129730725846827</v>
      </c>
      <c r="S130" s="133">
        <f>PV($C$1, ($AB$3-$S$3), 0, -AB57)</f>
        <v>7.3591494275561926</v>
      </c>
      <c r="T130" s="133">
        <f>PV($C$1, ($AB$3-$S$3), 0, -AE57)</f>
        <v>56.770581298290629</v>
      </c>
      <c r="U130" s="20"/>
      <c r="V130" s="20"/>
      <c r="W130" s="20"/>
      <c r="X130" s="20"/>
      <c r="Y130" s="20"/>
      <c r="Z130" s="20"/>
      <c r="AA130" s="20"/>
      <c r="AB130" s="20"/>
      <c r="AC130" s="137"/>
      <c r="AD130" s="20"/>
      <c r="AE130" s="20"/>
    </row>
    <row r="131" spans="2:31" x14ac:dyDescent="0.2"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140"/>
      <c r="S131" s="133"/>
      <c r="T131" s="20"/>
      <c r="U131" s="20"/>
      <c r="V131" s="20"/>
      <c r="W131" s="20"/>
      <c r="X131" s="20"/>
      <c r="Y131" s="20"/>
      <c r="Z131" s="20"/>
      <c r="AA131" s="20"/>
      <c r="AB131" s="20"/>
      <c r="AC131" s="137"/>
      <c r="AD131" s="20"/>
      <c r="AE131" s="20"/>
    </row>
    <row r="132" spans="2:31" x14ac:dyDescent="0.2">
      <c r="B132" s="20" t="s">
        <v>271</v>
      </c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140">
        <f t="shared" si="276"/>
        <v>-437.71058016487513</v>
      </c>
      <c r="S132" s="133">
        <f>PV($C$1, ($AB$3-$S$3), 0, -AB53)</f>
        <v>-50.229082969739771</v>
      </c>
      <c r="T132" s="133">
        <f>PV($C$1, ($AB$3-$S$3), 0, -$AE$53)</f>
        <v>-387.48149719513538</v>
      </c>
      <c r="U132" s="20"/>
      <c r="V132" s="20"/>
      <c r="W132" s="20"/>
      <c r="X132" s="20"/>
      <c r="Y132" s="20"/>
      <c r="Z132" s="20"/>
      <c r="AA132" s="20"/>
      <c r="AB132" s="20"/>
      <c r="AC132" s="137"/>
      <c r="AD132" s="20"/>
      <c r="AE132" s="20"/>
    </row>
    <row r="133" spans="2:31" x14ac:dyDescent="0.2">
      <c r="B133" s="20" t="s">
        <v>272</v>
      </c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140">
        <f t="shared" si="276"/>
        <v>-1233.6716307354452</v>
      </c>
      <c r="S133" s="133">
        <f>PV($C$1, ($AB$3-$S$3), 0, -AB54)</f>
        <v>-141.56887565816587</v>
      </c>
      <c r="T133" s="133">
        <f>PV($C$1, ($AB$3-$S$3), 0, -$AE$54)</f>
        <v>-1092.1027550772794</v>
      </c>
      <c r="U133" s="20"/>
      <c r="V133" s="20"/>
      <c r="W133" s="20"/>
      <c r="X133" s="20"/>
      <c r="Y133" s="20"/>
      <c r="Z133" s="20"/>
      <c r="AA133" s="20"/>
      <c r="AB133" s="20"/>
      <c r="AC133" s="137"/>
      <c r="AD133" s="20"/>
      <c r="AE133" s="20"/>
    </row>
    <row r="134" spans="2:31" x14ac:dyDescent="0.2">
      <c r="B134" s="20" t="s">
        <v>277</v>
      </c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140">
        <f t="shared" si="276"/>
        <v>-671.76378632816977</v>
      </c>
      <c r="S134" s="133">
        <f>PV($C$1, ($AB$3-$S$3), 0, -AB55)</f>
        <v>-77.087647611429304</v>
      </c>
      <c r="T134" s="133">
        <f>PV($C$1, ($AB$3-$S$3), 0, -$AE$55)</f>
        <v>-594.67613871674041</v>
      </c>
      <c r="U134" s="20"/>
      <c r="V134" s="20"/>
      <c r="W134" s="20"/>
      <c r="X134" s="20"/>
      <c r="Y134" s="20"/>
      <c r="Z134" s="20"/>
      <c r="AA134" s="20"/>
      <c r="AB134" s="20"/>
      <c r="AC134" s="137"/>
      <c r="AD134" s="20"/>
      <c r="AE134" s="20"/>
    </row>
    <row r="135" spans="2:31" x14ac:dyDescent="0.2"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140"/>
      <c r="S135" s="133"/>
      <c r="T135" s="20"/>
      <c r="U135" s="20"/>
      <c r="V135" s="20"/>
      <c r="W135" s="20"/>
      <c r="X135" s="20"/>
      <c r="Y135" s="20"/>
      <c r="Z135" s="20"/>
      <c r="AA135" s="20"/>
      <c r="AB135" s="20"/>
      <c r="AC135" s="137"/>
      <c r="AD135" s="20"/>
      <c r="AE135" s="20"/>
    </row>
    <row r="136" spans="2:31" x14ac:dyDescent="0.2">
      <c r="B136" s="20" t="s">
        <v>249</v>
      </c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140">
        <f t="shared" si="276"/>
        <v>561.90784440727543</v>
      </c>
      <c r="S136" s="133">
        <f>PV($C$1, ($AB$3-$S$3), 0, -AB60)</f>
        <v>64.481228046736518</v>
      </c>
      <c r="T136" s="133">
        <f>PV($C$1, ($AB$3-$S$3), 0, -AE60)</f>
        <v>497.4266163605389</v>
      </c>
      <c r="U136" s="20"/>
      <c r="V136" s="20"/>
      <c r="W136" s="20"/>
      <c r="X136" s="20"/>
      <c r="Y136" s="20"/>
      <c r="Z136" s="20"/>
      <c r="AA136" s="20"/>
      <c r="AB136" s="20"/>
      <c r="AC136" s="137"/>
      <c r="AD136" s="20"/>
      <c r="AE136" s="20"/>
    </row>
    <row r="137" spans="2:31" x14ac:dyDescent="0.2">
      <c r="B137" s="20" t="s">
        <v>250</v>
      </c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140">
        <f t="shared" si="276"/>
        <v>501.80017060209275</v>
      </c>
      <c r="S137" s="133">
        <f>PV($C$1, ($AB$3-$S$3), 0, -AB61)</f>
        <v>90.488555354475736</v>
      </c>
      <c r="T137" s="133">
        <f>PV($C$1, ($AB$3-$S$3), 0, -AE61)</f>
        <v>411.311615247617</v>
      </c>
      <c r="U137" s="20"/>
      <c r="V137" s="20"/>
      <c r="W137" s="20"/>
      <c r="X137" s="20"/>
      <c r="Y137" s="20"/>
      <c r="Z137" s="20"/>
      <c r="AA137" s="20"/>
      <c r="AB137" s="20"/>
      <c r="AC137" s="137"/>
      <c r="AD137" s="20"/>
      <c r="AE137" s="20"/>
    </row>
    <row r="138" spans="2:31" x14ac:dyDescent="0.2"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140"/>
      <c r="S138" s="133"/>
      <c r="T138" s="133"/>
      <c r="U138" s="20"/>
      <c r="V138" s="20"/>
      <c r="W138" s="20"/>
      <c r="X138" s="20"/>
      <c r="Y138" s="20"/>
      <c r="Z138" s="20"/>
      <c r="AA138" s="20"/>
      <c r="AB138" s="20"/>
      <c r="AC138" s="137"/>
      <c r="AD138" s="20"/>
      <c r="AE138" s="20"/>
    </row>
    <row r="139" spans="2:31" x14ac:dyDescent="0.2">
      <c r="B139" s="20" t="s">
        <v>294</v>
      </c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140">
        <f t="shared" ref="R139" si="277">S139+T139</f>
        <v>16413.446901938951</v>
      </c>
      <c r="S139" s="133">
        <f>PV($C$1, ($AB$3-$S$3), 0, -AB12)</f>
        <v>1883.5103002225026</v>
      </c>
      <c r="T139" s="133">
        <f>PV($C$1, ($AB$3-$S$3), 0, -AE12)</f>
        <v>14529.936601716447</v>
      </c>
      <c r="U139" s="20"/>
      <c r="V139" s="20"/>
      <c r="W139" s="20"/>
      <c r="X139" s="20"/>
      <c r="Y139" s="20"/>
      <c r="Z139" s="20"/>
      <c r="AA139" s="20"/>
      <c r="AB139" s="20"/>
      <c r="AC139" s="137"/>
      <c r="AD139" s="20"/>
      <c r="AE139" s="20"/>
    </row>
    <row r="140" spans="2:31" x14ac:dyDescent="0.2">
      <c r="B140" s="20" t="s">
        <v>295</v>
      </c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140">
        <f>S140+T140</f>
        <v>266.75519099526974</v>
      </c>
      <c r="S140" s="140">
        <f>S139/P40</f>
        <v>30.611251425686699</v>
      </c>
      <c r="T140" s="140">
        <f>T139/P40</f>
        <v>236.14393956958307</v>
      </c>
      <c r="U140" s="20"/>
      <c r="V140" s="20"/>
      <c r="W140" s="20"/>
      <c r="X140" s="20"/>
      <c r="Y140" s="20"/>
      <c r="Z140" s="20"/>
      <c r="AA140" s="20"/>
      <c r="AB140" s="20"/>
      <c r="AC140" s="137"/>
      <c r="AD140" s="20"/>
      <c r="AE140" s="20"/>
    </row>
    <row r="141" spans="2:31" x14ac:dyDescent="0.2"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140"/>
      <c r="S141" s="140"/>
      <c r="T141" s="140"/>
      <c r="U141" s="20"/>
      <c r="V141" s="20"/>
      <c r="W141" s="20"/>
      <c r="X141" s="20"/>
      <c r="Y141" s="20"/>
      <c r="Z141" s="20"/>
      <c r="AA141" s="20"/>
      <c r="AB141" s="20"/>
      <c r="AC141" s="137"/>
      <c r="AD141" s="20"/>
      <c r="AE141" s="20"/>
    </row>
    <row r="142" spans="2:31" x14ac:dyDescent="0.2">
      <c r="B142" s="108" t="s">
        <v>298</v>
      </c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140"/>
      <c r="S142" s="133"/>
      <c r="T142" s="133"/>
      <c r="U142" s="20"/>
      <c r="V142" s="20"/>
      <c r="W142" s="20"/>
      <c r="X142" s="20"/>
      <c r="Y142" s="20"/>
      <c r="Z142" s="20"/>
      <c r="AA142" s="20"/>
      <c r="AB142" s="20"/>
      <c r="AC142" s="137"/>
      <c r="AD142" s="20"/>
      <c r="AE142" s="20"/>
    </row>
    <row r="143" spans="2:31" x14ac:dyDescent="0.2">
      <c r="B143" s="20" t="s">
        <v>283</v>
      </c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140">
        <f t="shared" ref="R143" si="278">S143+T143</f>
        <v>183.05848260473888</v>
      </c>
      <c r="S143" s="133">
        <f>PV($C$1, ($AB$3-$S$3), 0, -AB63)+PV($C$1, ($AA$3-$S$3), 0, -AB63)+PV($C$1, ($Z$3-$S$3), 0, -AB63)+PV($C$1, ($Y$3-$S$3), 0, -AB63)+PV($C$1, ($X$3-$S$3), 0, -AB63)+PV($C$1, ($W$3-$S$3), 0, -AB63)+PV($C$1, ($V$3-$S$3), 0, -AB63)+PV($C$1, ($U$3-$S$3), 0, -AB63)+PV($C$1, ($T$3-$S$3), 0, -AB63)+PV($C$1, ($S$3-$S$3), 0, -AB63)</f>
        <v>144.23254405545887</v>
      </c>
      <c r="T143" s="133">
        <f>PV($C$1, ($AB$3-$S$3), 0, -AE63)</f>
        <v>38.825938549280004</v>
      </c>
      <c r="U143" s="20"/>
      <c r="V143" s="20"/>
      <c r="W143" s="20"/>
      <c r="X143" s="20"/>
      <c r="Y143" s="20"/>
      <c r="Z143" s="20"/>
      <c r="AA143" s="20"/>
      <c r="AB143" s="20"/>
      <c r="AC143" s="137"/>
      <c r="AD143" s="20"/>
      <c r="AE143" s="20"/>
    </row>
    <row r="144" spans="2:31" x14ac:dyDescent="0.2">
      <c r="B144" s="23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140"/>
      <c r="S144" s="133"/>
      <c r="T144" s="133"/>
      <c r="U144" s="20"/>
      <c r="V144" s="20"/>
      <c r="W144" s="20"/>
      <c r="X144" s="20"/>
      <c r="Y144" s="20"/>
      <c r="Z144" s="20"/>
      <c r="AA144" s="20"/>
      <c r="AB144" s="20"/>
      <c r="AC144" s="137"/>
      <c r="AD144" s="20"/>
      <c r="AE144" s="20"/>
    </row>
    <row r="145" spans="2:31" x14ac:dyDescent="0.2">
      <c r="B145" s="20" t="s">
        <v>291</v>
      </c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140">
        <f t="shared" si="276"/>
        <v>48658.27492155823</v>
      </c>
      <c r="S145" s="133">
        <f>PV($C$1, ($AB$3-$S$3), 0, -AB65)+PV($C$1, ($AA$3-$S$3), 0, -AB65)+PV($C$1, ($Z$3-$S$3), 0, -AB65)+PV($C$1, ($Y$3-$S$3), 0, -AB65)+PV($C$1, ($X$3-$S$3), 0, -AB65)+PV($C$1, ($W$3-$S$3), 0, -AB65)+PV($C$1, ($V$3-$S$3), 0, -AB65)+PV($C$1, ($U$3-$S$3), 0, -AB65)+PV($C$1, ($T$3-$S$3), 0, -AB65)+PV($C$1, ($S$3-$S$3), 0, -AB65)</f>
        <v>38338.05831571226</v>
      </c>
      <c r="T145" s="133">
        <f>PV($C$1, ($AB$3-$S$3), 0, -AE65)</f>
        <v>10320.216605845972</v>
      </c>
      <c r="U145" s="20"/>
      <c r="V145" s="20"/>
      <c r="W145" s="20"/>
      <c r="X145" s="20"/>
      <c r="Y145" s="20"/>
      <c r="Z145" s="20"/>
      <c r="AA145" s="20"/>
      <c r="AB145" s="20"/>
      <c r="AC145" s="137"/>
      <c r="AD145" s="20"/>
      <c r="AE145" s="20"/>
    </row>
    <row r="146" spans="2:31" x14ac:dyDescent="0.2"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140"/>
      <c r="S146" s="133"/>
      <c r="T146" s="133"/>
      <c r="U146" s="20"/>
      <c r="V146" s="20"/>
      <c r="W146" s="20"/>
      <c r="X146" s="20"/>
      <c r="Y146" s="20"/>
      <c r="Z146" s="20"/>
      <c r="AA146" s="20"/>
      <c r="AB146" s="20"/>
      <c r="AC146" s="137"/>
      <c r="AD146" s="20"/>
      <c r="AE146" s="20"/>
    </row>
    <row r="147" spans="2:31" x14ac:dyDescent="0.2">
      <c r="B147" s="20" t="s">
        <v>287</v>
      </c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140">
        <f t="shared" ref="R147:R150" si="279">S147+T147</f>
        <v>190.1149762719939</v>
      </c>
      <c r="S147" s="133">
        <f>PV($C$1, ($AB$3-$S$3), 0, -AB67)+PV($C$1, ($AA$3-$S$3), 0, -AB67)+PV($C$1, ($Z$3-$S$3), 0, -AB67)+PV($C$1, ($Y$3-$S$3), 0, -AB67)+PV($C$1, ($X$3-$S$3), 0, -AB67)+PV($C$1, ($W$3-$S$3), 0, -AB67)+PV($C$1, ($V$3-$S$3), 0, -AB67)+PV($C$1, ($U$3-$S$3), 0, -AB67)+PV($C$1, ($T$3-$S$3), 0, -AB67)+PV($C$1, ($S$3-$S$3), 0, -AB67)</f>
        <v>149.79238492848202</v>
      </c>
      <c r="T147" s="133">
        <f>PV($C$1, ($AB$3-$S$3), 0, -AE67)</f>
        <v>40.32259134351186</v>
      </c>
      <c r="U147" s="20"/>
      <c r="V147" s="20"/>
      <c r="W147" s="20"/>
      <c r="X147" s="20"/>
      <c r="Y147" s="20"/>
      <c r="Z147" s="20"/>
      <c r="AA147" s="20"/>
      <c r="AB147" s="20"/>
      <c r="AC147" s="137"/>
      <c r="AD147" s="20"/>
      <c r="AE147" s="20"/>
    </row>
    <row r="148" spans="2:31" x14ac:dyDescent="0.2">
      <c r="B148" s="20" t="s">
        <v>288</v>
      </c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140">
        <f t="shared" si="279"/>
        <v>155.83678163590349</v>
      </c>
      <c r="S148" s="133">
        <f>PV($C$1, ($AB$3-$S$3), 0, -AB68)+PV($C$1, ($AA$3-$S$3), 0, -AB68)+PV($C$1, ($Z$3-$S$3), 0, -AB68)+PV($C$1, ($Y$3-$S$3), 0, -AB68)+PV($C$1, ($X$3-$S$3), 0, -AB68)+PV($C$1, ($W$3-$S$3), 0, -AB68)+PV($C$1, ($V$3-$S$3), 0, -AB68)+PV($C$1, ($U$3-$S$3), 0, -AB68)+PV($C$1, ($T$3-$S$3), 0, -AB68)+PV($C$1, ($S$3-$S$3), 0, -AB68)</f>
        <v>122.78445201194688</v>
      </c>
      <c r="T148" s="133">
        <f>PV($C$1, ($AB$3-$S$3), 0, -AE68)</f>
        <v>33.052329623956602</v>
      </c>
      <c r="U148" s="20"/>
      <c r="V148" s="20"/>
      <c r="W148" s="20"/>
      <c r="X148" s="20"/>
      <c r="Y148" s="20"/>
      <c r="Z148" s="20"/>
      <c r="AA148" s="20"/>
      <c r="AB148" s="20"/>
      <c r="AC148" s="137"/>
      <c r="AD148" s="20"/>
      <c r="AE148" s="20"/>
    </row>
    <row r="149" spans="2:31" x14ac:dyDescent="0.2">
      <c r="B149" s="20" t="s">
        <v>289</v>
      </c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140">
        <f t="shared" si="279"/>
        <v>34.278194636090397</v>
      </c>
      <c r="S149" s="133">
        <f>PV($C$1, ($AB$3-$S$3), 0, -AB69)+PV($C$1, ($AA$3-$S$3), 0, -AB69)+PV($C$1, ($Z$3-$S$3), 0, -AB69)+PV($C$1, ($Y$3-$S$3), 0, -AB69)+PV($C$1, ($X$3-$S$3), 0, -AB69)+PV($C$1, ($W$3-$S$3), 0, -AB69)+PV($C$1, ($V$3-$S$3), 0, -AB69)+PV($C$1, ($U$3-$S$3), 0, -AB69)+PV($C$1, ($T$3-$S$3), 0, -AB69)+PV($C$1, ($S$3-$S$3), 0, -AB69)</f>
        <v>27.00793291653514</v>
      </c>
      <c r="T149" s="133">
        <f>PV($C$1, ($AB$3-$S$3), 0, -AE69)</f>
        <v>7.2702617195552586</v>
      </c>
      <c r="U149" s="20"/>
      <c r="V149" s="20"/>
      <c r="W149" s="20"/>
      <c r="X149" s="20"/>
      <c r="Y149" s="20"/>
      <c r="Z149" s="20"/>
      <c r="AA149" s="20"/>
      <c r="AB149" s="20"/>
      <c r="AC149" s="137"/>
      <c r="AD149" s="20"/>
      <c r="AE149" s="20"/>
    </row>
    <row r="150" spans="2:31" x14ac:dyDescent="0.2">
      <c r="B150" s="20" t="s">
        <v>290</v>
      </c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140">
        <f t="shared" si="279"/>
        <v>-220.41247733744154</v>
      </c>
      <c r="S150" s="133">
        <f>PV($C$1, ($AB$3-$S$3), 0, -AB70)+PV($C$1, ($AA$3-$S$3), 0, -AB70)+PV($C$1, ($Z$3-$S$3), 0, -AB70)+PV($C$1, ($Y$3-$S$3), 0, -AB70)+PV($C$1, ($X$3-$S$3), 0, -AB70)+PV($C$1, ($W$3-$S$3), 0, -AB70)+PV($C$1, ($V$3-$S$3), 0, -AB70)+PV($C$1, ($U$3-$S$3), 0, -AB70)+PV($C$1, ($T$3-$S$3), 0, -AB70)+PV($C$1, ($S$3-$S$3), 0, -AB70)</f>
        <v>-173.66391273212923</v>
      </c>
      <c r="T150" s="133">
        <f>PV($C$1, ($AB$3-$S$3), 0, -AE70)</f>
        <v>-46.748564605312318</v>
      </c>
      <c r="U150" s="20"/>
      <c r="V150" s="20"/>
      <c r="W150" s="20"/>
      <c r="X150" s="20"/>
      <c r="Y150" s="20"/>
      <c r="Z150" s="20"/>
      <c r="AA150" s="20"/>
      <c r="AB150" s="20"/>
      <c r="AC150" s="137"/>
      <c r="AD150" s="20"/>
      <c r="AE150" s="20"/>
    </row>
    <row r="151" spans="2:31" x14ac:dyDescent="0.2"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140"/>
      <c r="S151" s="133"/>
      <c r="T151" s="133"/>
      <c r="U151" s="20"/>
      <c r="V151" s="20"/>
      <c r="W151" s="20"/>
      <c r="X151" s="20"/>
      <c r="Y151" s="20"/>
      <c r="Z151" s="20"/>
      <c r="AA151" s="20"/>
      <c r="AB151" s="20"/>
      <c r="AC151" s="137"/>
      <c r="AD151" s="20"/>
      <c r="AE151" s="20"/>
    </row>
    <row r="152" spans="2:31" x14ac:dyDescent="0.2">
      <c r="B152" s="20" t="s">
        <v>299</v>
      </c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140">
        <f>S152+T152</f>
        <v>110.20623866872077</v>
      </c>
      <c r="S152" s="133">
        <f>PV($C$1, ($AB$3-$S$3), 0, -AB71)+PV($C$1, ($AA$3-$S$3), 0, -AB71)+PV($C$1, ($Z$3-$S$3), 0, -AB71)+PV($C$1, ($Y$3-$S$3), 0, -AB71)+PV($C$1, ($X$3-$S$3), 0, -AB71)+PV($C$1, ($W$3-$S$3), 0, -AB71)+PV($C$1, ($V$3-$S$3), 0, -AB71)+PV($C$1, ($U$3-$S$3), 0, -AB71)+PV($C$1, ($T$3-$S$3), 0, -AB71)+PV($C$1, ($S$3-$S$3), 0, -AB71)</f>
        <v>86.831956366064617</v>
      </c>
      <c r="T152" s="133">
        <f>PV($C$1, ($AB$3-$S$3), 0, -AE71)</f>
        <v>23.374282302656159</v>
      </c>
      <c r="U152" s="20"/>
      <c r="V152" s="20"/>
      <c r="W152" s="20"/>
      <c r="X152" s="20"/>
      <c r="Y152" s="20"/>
      <c r="Z152" s="20"/>
      <c r="AA152" s="20"/>
      <c r="AB152" s="20"/>
      <c r="AC152" s="137"/>
      <c r="AD152" s="20"/>
      <c r="AE152" s="20"/>
    </row>
    <row r="153" spans="2:31" x14ac:dyDescent="0.2"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0">
        <v>41729</v>
      </c>
      <c r="P153" s="20">
        <v>1300</v>
      </c>
      <c r="Q153" s="20"/>
      <c r="R153" s="20"/>
      <c r="S153" s="121"/>
      <c r="T153" s="20"/>
      <c r="U153" s="20"/>
      <c r="V153" s="20"/>
      <c r="W153" s="20"/>
      <c r="X153" s="20"/>
      <c r="Y153" s="20"/>
      <c r="Z153" s="20"/>
      <c r="AA153" s="20"/>
      <c r="AB153" s="20"/>
      <c r="AC153" s="137"/>
      <c r="AD153" s="20"/>
      <c r="AE153" s="20"/>
    </row>
    <row r="154" spans="2:31" x14ac:dyDescent="0.2">
      <c r="B154" s="108" t="s">
        <v>251</v>
      </c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 t="s">
        <v>391</v>
      </c>
      <c r="P154" s="20"/>
      <c r="Q154" s="20" t="s">
        <v>393</v>
      </c>
      <c r="R154" s="20" t="s">
        <v>392</v>
      </c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137"/>
      <c r="AD154" s="20"/>
      <c r="AE154" s="20"/>
    </row>
    <row r="155" spans="2:31" x14ac:dyDescent="0.2">
      <c r="B155" s="20" t="s">
        <v>204</v>
      </c>
      <c r="C155" s="22">
        <v>0</v>
      </c>
      <c r="D155" s="22">
        <v>0</v>
      </c>
      <c r="E155" s="22">
        <v>0</v>
      </c>
      <c r="F155" s="22">
        <v>0</v>
      </c>
      <c r="G155" s="22">
        <v>530</v>
      </c>
      <c r="H155" s="22">
        <v>965</v>
      </c>
      <c r="I155" s="22">
        <v>2375</v>
      </c>
      <c r="J155" s="22">
        <v>1400</v>
      </c>
      <c r="K155" s="22">
        <v>2550</v>
      </c>
      <c r="L155" s="22">
        <v>580</v>
      </c>
      <c r="M155" s="22">
        <v>1550</v>
      </c>
      <c r="N155" s="22">
        <v>1500</v>
      </c>
      <c r="O155" s="22">
        <v>1280</v>
      </c>
      <c r="P155" s="22">
        <v>800</v>
      </c>
      <c r="Q155" s="118">
        <f t="shared" ref="Q155:Q160" si="280">((P155/G155)^(1/($H$2-$H$1) ))-1</f>
        <v>4.6810897949232544E-2</v>
      </c>
      <c r="R155" s="31">
        <f>L2-3%</f>
        <v>0.09</v>
      </c>
      <c r="S155" s="119">
        <f t="shared" ref="S155" si="281">P155*(1+$R155)</f>
        <v>872.00000000000011</v>
      </c>
      <c r="T155" s="119">
        <f t="shared" ref="T155:AB155" si="282">S155*(1+$R155)</f>
        <v>950.48000000000025</v>
      </c>
      <c r="U155" s="119">
        <f t="shared" si="282"/>
        <v>1036.0232000000003</v>
      </c>
      <c r="V155" s="119">
        <f t="shared" si="282"/>
        <v>1129.2652880000005</v>
      </c>
      <c r="W155" s="119">
        <f t="shared" si="282"/>
        <v>1230.8991639200005</v>
      </c>
      <c r="X155" s="119">
        <f t="shared" si="282"/>
        <v>1341.6800886728006</v>
      </c>
      <c r="Y155" s="119">
        <f t="shared" si="282"/>
        <v>1462.4312966533528</v>
      </c>
      <c r="Z155" s="119">
        <f t="shared" si="282"/>
        <v>1594.0501133521545</v>
      </c>
      <c r="AA155" s="119">
        <f t="shared" si="282"/>
        <v>1737.5146235538487</v>
      </c>
      <c r="AB155" s="119">
        <f t="shared" si="282"/>
        <v>1893.8909396736951</v>
      </c>
      <c r="AC155" s="138">
        <f t="shared" ref="AC155:AC160" si="283">((AB155/G155)^(1/($AB$3-$H$1) ))-1</f>
        <v>6.9324275451170703E-2</v>
      </c>
      <c r="AD155" s="31">
        <v>0.08</v>
      </c>
      <c r="AE155" s="127">
        <f t="shared" ref="AE155:AE163" si="284">(AB155*(1+AC155))/($C$1-AD155)</f>
        <v>14465.596834643648</v>
      </c>
    </row>
    <row r="156" spans="2:31" x14ac:dyDescent="0.2">
      <c r="B156" s="20" t="s">
        <v>362</v>
      </c>
      <c r="C156" s="25" t="e">
        <f t="shared" ref="C156:P156" si="285">C155/C44</f>
        <v>#DIV/0!</v>
      </c>
      <c r="D156" s="25" t="e">
        <f t="shared" si="285"/>
        <v>#DIV/0!</v>
      </c>
      <c r="E156" s="25" t="e">
        <f t="shared" si="285"/>
        <v>#DIV/0!</v>
      </c>
      <c r="F156" s="25" t="e">
        <f t="shared" si="285"/>
        <v>#DIV/0!</v>
      </c>
      <c r="G156" s="25">
        <f t="shared" si="285"/>
        <v>0.55517009093971037</v>
      </c>
      <c r="H156" s="25">
        <f t="shared" si="285"/>
        <v>0.82889307677048207</v>
      </c>
      <c r="I156" s="25">
        <f t="shared" si="285"/>
        <v>1.9227991037207381</v>
      </c>
      <c r="J156" s="25">
        <f t="shared" si="285"/>
        <v>1.8376825028968713</v>
      </c>
      <c r="K156" s="25">
        <f t="shared" si="285"/>
        <v>2.4267923422543465</v>
      </c>
      <c r="L156" s="25">
        <f t="shared" si="285"/>
        <v>0.80609469562121749</v>
      </c>
      <c r="M156" s="25">
        <f t="shared" si="285"/>
        <v>2.0174996757317651</v>
      </c>
      <c r="N156" s="25">
        <f t="shared" si="285"/>
        <v>1.7141248240262787</v>
      </c>
      <c r="O156" s="25">
        <f t="shared" si="285"/>
        <v>1.1908288384106966</v>
      </c>
      <c r="P156" s="25">
        <f t="shared" si="285"/>
        <v>0.6350664430396078</v>
      </c>
      <c r="Q156" s="118">
        <f t="shared" ref="Q156" si="286">((P156/G156)^(1/($H$2-$H$1) ))-1</f>
        <v>1.5051606023909425E-2</v>
      </c>
      <c r="R156" s="128"/>
      <c r="S156" s="25">
        <f t="shared" ref="S156:AB156" si="287">S155/S44</f>
        <v>0.92708360211585605</v>
      </c>
      <c r="T156" s="25">
        <f t="shared" si="287"/>
        <v>1.0105211263062832</v>
      </c>
      <c r="U156" s="25">
        <f t="shared" si="287"/>
        <v>1.1014680276738489</v>
      </c>
      <c r="V156" s="25">
        <f t="shared" si="287"/>
        <v>1.2006001501644954</v>
      </c>
      <c r="W156" s="25">
        <f t="shared" si="287"/>
        <v>1.3086541636792997</v>
      </c>
      <c r="X156" s="25">
        <f t="shared" si="287"/>
        <v>1.4264330384104369</v>
      </c>
      <c r="Y156" s="25">
        <f t="shared" si="287"/>
        <v>1.5548120118673763</v>
      </c>
      <c r="Z156" s="25">
        <f t="shared" si="287"/>
        <v>1.6947450929354402</v>
      </c>
      <c r="AA156" s="25">
        <f t="shared" si="287"/>
        <v>1.8472721512996297</v>
      </c>
      <c r="AB156" s="25">
        <f t="shared" si="287"/>
        <v>2.0135266449165967</v>
      </c>
      <c r="AC156" s="138">
        <f t="shared" ref="AC156" si="288">((AB156/G156)^(1/($AB$3-$H$1) ))-1</f>
        <v>7.0160746086761261E-2</v>
      </c>
      <c r="AD156" s="31">
        <v>0.08</v>
      </c>
      <c r="AE156" s="127">
        <f t="shared" ref="AE156" si="289">(AB156*(1+AC156))/($C$1-AD156)</f>
        <v>15.391408404210845</v>
      </c>
    </row>
    <row r="157" spans="2:31" x14ac:dyDescent="0.2">
      <c r="B157" s="20" t="s">
        <v>390</v>
      </c>
      <c r="C157" s="25" t="e">
        <f t="shared" ref="C157:P157" si="290">C155/C47</f>
        <v>#DIV/0!</v>
      </c>
      <c r="D157" s="25" t="e">
        <f t="shared" si="290"/>
        <v>#DIV/0!</v>
      </c>
      <c r="E157" s="25" t="e">
        <f t="shared" si="290"/>
        <v>#DIV/0!</v>
      </c>
      <c r="F157" s="25" t="e">
        <f t="shared" si="290"/>
        <v>#DIV/0!</v>
      </c>
      <c r="G157" s="25">
        <f t="shared" si="290"/>
        <v>8.6752631578947366</v>
      </c>
      <c r="H157" s="25">
        <f t="shared" si="290"/>
        <v>11.192276785714286</v>
      </c>
      <c r="I157" s="25">
        <f t="shared" si="290"/>
        <v>25.278100775193799</v>
      </c>
      <c r="J157" s="25">
        <f t="shared" si="290"/>
        <v>17.535603715170279</v>
      </c>
      <c r="K157" s="25">
        <f t="shared" si="290"/>
        <v>33.024590163934427</v>
      </c>
      <c r="L157" s="25">
        <f t="shared" si="290"/>
        <v>11.576278118609407</v>
      </c>
      <c r="M157" s="25">
        <f t="shared" si="290"/>
        <v>17.149117971334068</v>
      </c>
      <c r="N157" s="25">
        <f t="shared" si="290"/>
        <v>20.535192264447943</v>
      </c>
      <c r="O157" s="25">
        <f t="shared" si="290"/>
        <v>16.739513028620244</v>
      </c>
      <c r="P157" s="25">
        <f t="shared" si="290"/>
        <v>9.3956861996564225</v>
      </c>
      <c r="Q157" s="118">
        <f t="shared" si="280"/>
        <v>8.9032904257178025E-3</v>
      </c>
      <c r="R157" s="128"/>
      <c r="S157" s="119">
        <f t="shared" ref="S157:AB157" si="291">S155/S47</f>
        <v>13.716024050391297</v>
      </c>
      <c r="T157" s="119">
        <f t="shared" si="291"/>
        <v>14.950466214926518</v>
      </c>
      <c r="U157" s="119">
        <f t="shared" si="291"/>
        <v>16.296008174269907</v>
      </c>
      <c r="V157" s="119">
        <f t="shared" si="291"/>
        <v>17.762648909954201</v>
      </c>
      <c r="W157" s="119">
        <f t="shared" si="291"/>
        <v>19.361287311850077</v>
      </c>
      <c r="X157" s="119">
        <f t="shared" si="291"/>
        <v>21.103803169916581</v>
      </c>
      <c r="Y157" s="119">
        <f t="shared" si="291"/>
        <v>23.003145455209076</v>
      </c>
      <c r="Z157" s="119">
        <f t="shared" si="291"/>
        <v>25.07342854617789</v>
      </c>
      <c r="AA157" s="119">
        <f t="shared" si="291"/>
        <v>27.330037115333905</v>
      </c>
      <c r="AB157" s="119">
        <f t="shared" si="291"/>
        <v>29.789740455713961</v>
      </c>
      <c r="AC157" s="138">
        <f t="shared" si="283"/>
        <v>6.7085358897589265E-2</v>
      </c>
      <c r="AD157" s="31">
        <v>0.08</v>
      </c>
      <c r="AE157" s="127">
        <f t="shared" si="284"/>
        <v>227.05854204036831</v>
      </c>
    </row>
    <row r="158" spans="2:31" x14ac:dyDescent="0.2">
      <c r="B158" s="20" t="s">
        <v>259</v>
      </c>
      <c r="C158" s="25" t="e">
        <f t="shared" ref="C158:P158" si="292">C155/C50</f>
        <v>#DIV/0!</v>
      </c>
      <c r="D158" s="25" t="e">
        <f t="shared" si="292"/>
        <v>#DIV/0!</v>
      </c>
      <c r="E158" s="25" t="e">
        <f t="shared" si="292"/>
        <v>#DIV/0!</v>
      </c>
      <c r="F158" s="25" t="e">
        <f t="shared" si="292"/>
        <v>#DIV/0!</v>
      </c>
      <c r="G158" s="25">
        <f t="shared" si="292"/>
        <v>2.5145690312738367</v>
      </c>
      <c r="H158" s="25">
        <f t="shared" si="292"/>
        <v>3.8809133126934987</v>
      </c>
      <c r="I158" s="25">
        <f t="shared" si="292"/>
        <v>6.6930931855500821</v>
      </c>
      <c r="J158" s="25">
        <f t="shared" si="292"/>
        <v>5.799882972498537</v>
      </c>
      <c r="K158" s="25">
        <f t="shared" si="292"/>
        <v>6.9362088218872131</v>
      </c>
      <c r="L158" s="25">
        <f t="shared" si="292"/>
        <v>2.5038555105049762</v>
      </c>
      <c r="M158" s="25">
        <f t="shared" si="292"/>
        <v>4.5546852122986818</v>
      </c>
      <c r="N158" s="25">
        <f t="shared" si="292"/>
        <v>3.7252182426368607</v>
      </c>
      <c r="O158" s="25">
        <f t="shared" si="292"/>
        <v>2.6781848004373972</v>
      </c>
      <c r="P158" s="25">
        <f t="shared" si="292"/>
        <v>1.4590941427555133</v>
      </c>
      <c r="Q158" s="118">
        <f t="shared" si="280"/>
        <v>-5.8683810826863581E-2</v>
      </c>
      <c r="R158" s="128"/>
      <c r="S158" s="119">
        <f t="shared" ref="S158:AB158" si="293">S155/S50</f>
        <v>2.1300168958975574</v>
      </c>
      <c r="T158" s="119">
        <f t="shared" si="293"/>
        <v>2.3217184165283378</v>
      </c>
      <c r="U158" s="119">
        <f t="shared" si="293"/>
        <v>2.5306730740158887</v>
      </c>
      <c r="V158" s="119">
        <f t="shared" si="293"/>
        <v>2.7584336506773188</v>
      </c>
      <c r="W158" s="119">
        <f t="shared" si="293"/>
        <v>3.0066926792382773</v>
      </c>
      <c r="X158" s="119">
        <f t="shared" si="293"/>
        <v>3.277295020369722</v>
      </c>
      <c r="Y158" s="119">
        <f t="shared" si="293"/>
        <v>3.5722515722029975</v>
      </c>
      <c r="Z158" s="119">
        <f t="shared" si="293"/>
        <v>3.8937542137012673</v>
      </c>
      <c r="AA158" s="119">
        <f t="shared" si="293"/>
        <v>4.2441920929343819</v>
      </c>
      <c r="AB158" s="119">
        <f t="shared" si="293"/>
        <v>4.6261693812984763</v>
      </c>
      <c r="AC158" s="138">
        <f t="shared" si="283"/>
        <v>3.2605965883692356E-2</v>
      </c>
      <c r="AD158" s="31">
        <v>0.08</v>
      </c>
      <c r="AE158" s="127">
        <f t="shared" si="284"/>
        <v>34.121500730837681</v>
      </c>
    </row>
    <row r="159" spans="2:31" x14ac:dyDescent="0.2">
      <c r="B159" s="20" t="s">
        <v>260</v>
      </c>
      <c r="C159" s="25" t="e">
        <f t="shared" ref="C159:P159" si="294">C155/C59</f>
        <v>#DIV/0!</v>
      </c>
      <c r="D159" s="25" t="e">
        <f t="shared" si="294"/>
        <v>#DIV/0!</v>
      </c>
      <c r="E159" s="25" t="e">
        <f t="shared" si="294"/>
        <v>#DIV/0!</v>
      </c>
      <c r="F159" s="25" t="e">
        <f t="shared" si="294"/>
        <v>#DIV/0!</v>
      </c>
      <c r="G159" s="25">
        <f t="shared" si="294"/>
        <v>5.6837931034482754</v>
      </c>
      <c r="H159" s="25">
        <f t="shared" si="294"/>
        <v>7.5106950269622521</v>
      </c>
      <c r="I159" s="25">
        <f t="shared" si="294"/>
        <v>13.095883534136545</v>
      </c>
      <c r="J159" s="25">
        <f t="shared" si="294"/>
        <v>9.4512514898688931</v>
      </c>
      <c r="K159" s="25">
        <f t="shared" si="294"/>
        <v>10.480385264341956</v>
      </c>
      <c r="L159" s="25">
        <f t="shared" si="294"/>
        <v>4.1104683528984634</v>
      </c>
      <c r="M159" s="25">
        <f t="shared" si="294"/>
        <v>7.0444972826086962</v>
      </c>
      <c r="N159" s="25">
        <f t="shared" si="294"/>
        <v>7.1010886469673418</v>
      </c>
      <c r="O159" s="25">
        <f t="shared" si="294"/>
        <v>6.3662090813093979</v>
      </c>
      <c r="P159" s="25">
        <f t="shared" si="294"/>
        <v>3.9703177931924505</v>
      </c>
      <c r="Q159" s="118">
        <f t="shared" si="280"/>
        <v>-3.9079529014774073E-2</v>
      </c>
      <c r="R159" s="128"/>
      <c r="S159" s="119">
        <f t="shared" ref="S159:AB159" si="295">S155/S59</f>
        <v>5.7959549927407643</v>
      </c>
      <c r="T159" s="119">
        <f t="shared" si="295"/>
        <v>6.3175909420874339</v>
      </c>
      <c r="U159" s="119">
        <f t="shared" si="295"/>
        <v>6.8861741268753054</v>
      </c>
      <c r="V159" s="119">
        <f t="shared" si="295"/>
        <v>7.5059297982940834</v>
      </c>
      <c r="W159" s="119">
        <f t="shared" si="295"/>
        <v>8.1814634801405486</v>
      </c>
      <c r="X159" s="119">
        <f t="shared" si="295"/>
        <v>8.9177951933532</v>
      </c>
      <c r="Y159" s="119">
        <f t="shared" si="295"/>
        <v>9.720396760754987</v>
      </c>
      <c r="Z159" s="119">
        <f t="shared" si="295"/>
        <v>10.595232469222939</v>
      </c>
      <c r="AA159" s="119">
        <f t="shared" si="295"/>
        <v>11.548803391453003</v>
      </c>
      <c r="AB159" s="119">
        <f t="shared" si="295"/>
        <v>12.588195696683773</v>
      </c>
      <c r="AC159" s="138">
        <f t="shared" si="283"/>
        <v>4.273754677508923E-2</v>
      </c>
      <c r="AD159" s="31">
        <v>0.08</v>
      </c>
      <c r="AE159" s="127">
        <f t="shared" si="284"/>
        <v>93.758459279176947</v>
      </c>
    </row>
    <row r="160" spans="2:31" x14ac:dyDescent="0.2">
      <c r="B160" s="20" t="s">
        <v>261</v>
      </c>
      <c r="C160" s="25" t="e">
        <f t="shared" ref="C160:P160" si="296">C155/C61</f>
        <v>#DIV/0!</v>
      </c>
      <c r="D160" s="25" t="e">
        <f t="shared" si="296"/>
        <v>#DIV/0!</v>
      </c>
      <c r="E160" s="25" t="e">
        <f t="shared" si="296"/>
        <v>#DIV/0!</v>
      </c>
      <c r="F160" s="25" t="e">
        <f t="shared" si="296"/>
        <v>#DIV/0!</v>
      </c>
      <c r="G160" s="25">
        <f t="shared" si="296"/>
        <v>2.4805116629044393</v>
      </c>
      <c r="H160" s="25">
        <f t="shared" si="296"/>
        <v>3.1831767394616559</v>
      </c>
      <c r="I160" s="25">
        <f t="shared" si="296"/>
        <v>8.3612179487179485</v>
      </c>
      <c r="J160" s="25">
        <f t="shared" si="296"/>
        <v>6.5382585751978892</v>
      </c>
      <c r="K160" s="25">
        <f t="shared" si="296"/>
        <v>7.4798294029101857</v>
      </c>
      <c r="L160" s="25">
        <f t="shared" si="296"/>
        <v>2.6084632516703787</v>
      </c>
      <c r="M160" s="25">
        <f t="shared" si="296"/>
        <v>5.2491984926036332</v>
      </c>
      <c r="N160" s="25">
        <f t="shared" si="296"/>
        <v>3.5073165111187925</v>
      </c>
      <c r="O160" s="25">
        <f t="shared" si="296"/>
        <v>2.0024118548799179</v>
      </c>
      <c r="P160" s="25">
        <f t="shared" si="296"/>
        <v>1.1025152865814052</v>
      </c>
      <c r="Q160" s="118">
        <f t="shared" si="280"/>
        <v>-8.6157224252811693E-2</v>
      </c>
      <c r="R160" s="128"/>
      <c r="S160" s="119">
        <f t="shared" ref="S160:AB160" si="297">S155/S61</f>
        <v>1.609475440679105</v>
      </c>
      <c r="T160" s="119">
        <f t="shared" si="297"/>
        <v>1.754328230340225</v>
      </c>
      <c r="U160" s="119">
        <f t="shared" si="297"/>
        <v>1.9122177710708452</v>
      </c>
      <c r="V160" s="119">
        <f t="shared" si="297"/>
        <v>2.0843173704672218</v>
      </c>
      <c r="W160" s="119">
        <f t="shared" si="297"/>
        <v>2.2719059338092711</v>
      </c>
      <c r="X160" s="119">
        <f t="shared" si="297"/>
        <v>2.4763774678521053</v>
      </c>
      <c r="Y160" s="119">
        <f t="shared" si="297"/>
        <v>2.699251439958795</v>
      </c>
      <c r="Z160" s="119">
        <f t="shared" si="297"/>
        <v>2.9421840695550867</v>
      </c>
      <c r="AA160" s="119">
        <f t="shared" si="297"/>
        <v>3.2069806358150448</v>
      </c>
      <c r="AB160" s="119">
        <f t="shared" si="297"/>
        <v>3.4956088930383991</v>
      </c>
      <c r="AC160" s="138">
        <f t="shared" si="283"/>
        <v>1.8218854935004636E-2</v>
      </c>
      <c r="AD160" s="31">
        <v>0.08</v>
      </c>
      <c r="AE160" s="127">
        <f t="shared" si="284"/>
        <v>25.423534888358411</v>
      </c>
    </row>
    <row r="161" spans="2:31" x14ac:dyDescent="0.2">
      <c r="B161" s="20" t="s">
        <v>282</v>
      </c>
      <c r="C161" s="25" t="e">
        <f>C157/C107</f>
        <v>#DIV/0!</v>
      </c>
      <c r="D161" s="25" t="e">
        <f>D157/D107</f>
        <v>#DIV/0!</v>
      </c>
      <c r="E161" s="25" t="e">
        <f>E157/E107</f>
        <v>#DIV/0!</v>
      </c>
      <c r="F161" s="25" t="e">
        <f>F157/F107</f>
        <v>#DIV/0!</v>
      </c>
      <c r="G161" s="202">
        <f t="shared" ref="G161:P161" si="298">G155/G55</f>
        <v>5.2285487708168121</v>
      </c>
      <c r="H161" s="202">
        <f t="shared" si="298"/>
        <v>8.219901639344263</v>
      </c>
      <c r="I161" s="202">
        <f t="shared" si="298"/>
        <v>10.862341772151899</v>
      </c>
      <c r="J161" s="202">
        <f t="shared" si="298"/>
        <v>17.133967156439066</v>
      </c>
      <c r="K161" s="202">
        <f t="shared" si="298"/>
        <v>-167.875</v>
      </c>
      <c r="L161" s="202">
        <f t="shared" si="298"/>
        <v>-7.8295988934993082</v>
      </c>
      <c r="M161" s="202">
        <f t="shared" si="298"/>
        <v>-10.765428538470411</v>
      </c>
      <c r="N161" s="202">
        <f t="shared" si="298"/>
        <v>-4.5951793891209176</v>
      </c>
      <c r="O161" s="202">
        <f t="shared" si="298"/>
        <v>-2.8340047007774358</v>
      </c>
      <c r="P161" s="202">
        <f t="shared" si="298"/>
        <v>-1.2941764164585252</v>
      </c>
      <c r="Q161" s="118">
        <f t="shared" ref="Q161:Q163" si="299">((P161/G161)^(1/($H$2-$H$1) ))-1</f>
        <v>-1.8562953603552526</v>
      </c>
      <c r="R161" s="128"/>
      <c r="S161" s="135">
        <f t="shared" ref="S161:AB161" si="300">S155/S55</f>
        <v>-1.8892664650979361</v>
      </c>
      <c r="T161" s="135">
        <f t="shared" si="300"/>
        <v>-2.0593004469567502</v>
      </c>
      <c r="U161" s="135">
        <f t="shared" si="300"/>
        <v>-2.244637487182858</v>
      </c>
      <c r="V161" s="135">
        <f t="shared" si="300"/>
        <v>-2.4466548610293151</v>
      </c>
      <c r="W161" s="135">
        <f t="shared" si="300"/>
        <v>-2.6668537985219531</v>
      </c>
      <c r="X161" s="135">
        <f t="shared" si="300"/>
        <v>-2.9068706403889291</v>
      </c>
      <c r="Y161" s="135">
        <f t="shared" si="300"/>
        <v>-3.1684889980239332</v>
      </c>
      <c r="Z161" s="135">
        <f t="shared" si="300"/>
        <v>-3.4536530078460874</v>
      </c>
      <c r="AA161" s="135">
        <f t="shared" si="300"/>
        <v>-3.7644817785522364</v>
      </c>
      <c r="AB161" s="135">
        <f t="shared" si="300"/>
        <v>-4.1032851386219384</v>
      </c>
      <c r="AC161" s="138">
        <f t="shared" ref="AC161" si="301">((AB161/G161)^(1/($AB$3-$H$1) ))-1</f>
        <v>-1.9873259560028964</v>
      </c>
      <c r="AD161" s="31">
        <v>0.08</v>
      </c>
      <c r="AE161" s="127">
        <f t="shared" si="284"/>
        <v>28.937713730302733</v>
      </c>
    </row>
    <row r="162" spans="2:31" x14ac:dyDescent="0.2">
      <c r="B162" s="20" t="s">
        <v>372</v>
      </c>
      <c r="C162" s="161" t="e">
        <f t="shared" ref="C162:P162" si="302">C47/C155</f>
        <v>#DIV/0!</v>
      </c>
      <c r="D162" s="161" t="e">
        <f t="shared" si="302"/>
        <v>#DIV/0!</v>
      </c>
      <c r="E162" s="161" t="e">
        <f t="shared" si="302"/>
        <v>#DIV/0!</v>
      </c>
      <c r="F162" s="161" t="e">
        <f t="shared" si="302"/>
        <v>#DIV/0!</v>
      </c>
      <c r="G162" s="161">
        <f t="shared" si="302"/>
        <v>0.11527027846872535</v>
      </c>
      <c r="H162" s="161">
        <f t="shared" si="302"/>
        <v>8.9347325762742957E-2</v>
      </c>
      <c r="I162" s="161">
        <f t="shared" si="302"/>
        <v>3.9559934066776554E-2</v>
      </c>
      <c r="J162" s="161">
        <f t="shared" si="302"/>
        <v>5.7026836158192089E-2</v>
      </c>
      <c r="K162" s="161">
        <f t="shared" si="302"/>
        <v>3.0280466617026554E-2</v>
      </c>
      <c r="L162" s="161">
        <f t="shared" si="302"/>
        <v>8.6383550028264547E-2</v>
      </c>
      <c r="M162" s="161">
        <f t="shared" si="302"/>
        <v>5.831203690309722E-2</v>
      </c>
      <c r="N162" s="161">
        <f t="shared" si="302"/>
        <v>4.8696890056942617E-2</v>
      </c>
      <c r="O162" s="161">
        <f t="shared" si="302"/>
        <v>5.9738894332843386E-2</v>
      </c>
      <c r="P162" s="161">
        <f t="shared" si="302"/>
        <v>0.10643182187550788</v>
      </c>
      <c r="Q162" s="118">
        <f t="shared" si="299"/>
        <v>-8.8247213684483627E-3</v>
      </c>
      <c r="R162" s="128"/>
      <c r="S162" s="161">
        <f t="shared" ref="S162:AB162" si="303">S47/S155</f>
        <v>7.2907425382610899E-2</v>
      </c>
      <c r="T162" s="161">
        <f t="shared" si="303"/>
        <v>6.6887546222578795E-2</v>
      </c>
      <c r="U162" s="161">
        <f t="shared" si="303"/>
        <v>6.136472130511815E-2</v>
      </c>
      <c r="V162" s="161">
        <f t="shared" si="303"/>
        <v>5.6297909454236822E-2</v>
      </c>
      <c r="W162" s="161">
        <f t="shared" si="303"/>
        <v>5.1649458214896173E-2</v>
      </c>
      <c r="X162" s="161">
        <f t="shared" si="303"/>
        <v>4.7384824050363462E-2</v>
      </c>
      <c r="Y162" s="161">
        <f t="shared" si="303"/>
        <v>4.3472315642535286E-2</v>
      </c>
      <c r="Z162" s="161">
        <f t="shared" si="303"/>
        <v>3.9882858387647054E-2</v>
      </c>
      <c r="AA162" s="161">
        <f t="shared" si="303"/>
        <v>3.6589778337290872E-2</v>
      </c>
      <c r="AB162" s="161">
        <f t="shared" si="303"/>
        <v>3.3568603979165931E-2</v>
      </c>
      <c r="AC162" s="138">
        <f t="shared" ref="AC162:AC163" si="304">((AB162/G162)^(1/($AB$3-$H$1) ))-1</f>
        <v>-6.2867846829887664E-2</v>
      </c>
      <c r="AD162" s="31">
        <v>0.08</v>
      </c>
      <c r="AE162" s="127">
        <f t="shared" si="284"/>
        <v>0.22470155804221834</v>
      </c>
    </row>
    <row r="163" spans="2:31" x14ac:dyDescent="0.2">
      <c r="B163" s="20" t="s">
        <v>321</v>
      </c>
      <c r="C163" s="152" t="e">
        <f t="shared" ref="C163:P163" si="305">C41/C155</f>
        <v>#DIV/0!</v>
      </c>
      <c r="D163" s="152" t="e">
        <f t="shared" si="305"/>
        <v>#DIV/0!</v>
      </c>
      <c r="E163" s="152" t="e">
        <f t="shared" si="305"/>
        <v>#DIV/0!</v>
      </c>
      <c r="F163" s="152" t="e">
        <f t="shared" si="305"/>
        <v>#DIV/0!</v>
      </c>
      <c r="G163" s="152">
        <f t="shared" si="305"/>
        <v>0.15094339622641509</v>
      </c>
      <c r="H163" s="152">
        <f t="shared" si="305"/>
        <v>2.8497409326424871E-2</v>
      </c>
      <c r="I163" s="152">
        <f t="shared" si="305"/>
        <v>9.2631578947368429E-3</v>
      </c>
      <c r="J163" s="152">
        <f t="shared" si="305"/>
        <v>9.285714285714286E-3</v>
      </c>
      <c r="K163" s="152">
        <f t="shared" si="305"/>
        <v>6.6666666666666671E-3</v>
      </c>
      <c r="L163" s="152">
        <f t="shared" si="305"/>
        <v>1.810344827586207E-2</v>
      </c>
      <c r="M163" s="152">
        <f t="shared" si="305"/>
        <v>8.0645161290322578E-3</v>
      </c>
      <c r="N163" s="152">
        <f t="shared" si="305"/>
        <v>9.6666666666666672E-3</v>
      </c>
      <c r="O163" s="152">
        <f t="shared" si="305"/>
        <v>1.2890624999999999E-2</v>
      </c>
      <c r="P163" s="152">
        <f t="shared" si="305"/>
        <v>2.3125E-2</v>
      </c>
      <c r="Q163" s="118">
        <f t="shared" si="299"/>
        <v>-0.18815301819742958</v>
      </c>
      <c r="R163" s="128"/>
      <c r="S163" s="152">
        <f t="shared" ref="S163:AB163" si="306">S41/S155</f>
        <v>2.2276376146788988E-2</v>
      </c>
      <c r="T163" s="152">
        <f t="shared" si="306"/>
        <v>2.1458894453328842E-2</v>
      </c>
      <c r="U163" s="152">
        <f t="shared" si="306"/>
        <v>2.0671412088069066E-2</v>
      </c>
      <c r="V163" s="152">
        <f t="shared" si="306"/>
        <v>1.9912828158231668E-2</v>
      </c>
      <c r="W163" s="152">
        <f t="shared" si="306"/>
        <v>1.9182082170773627E-2</v>
      </c>
      <c r="X163" s="152">
        <f t="shared" si="306"/>
        <v>1.8478152549827806E-2</v>
      </c>
      <c r="Y163" s="152">
        <f t="shared" si="306"/>
        <v>1.7800055208549721E-2</v>
      </c>
      <c r="Z163" s="152">
        <f t="shared" si="306"/>
        <v>1.7146842173373585E-2</v>
      </c>
      <c r="AA163" s="152">
        <f t="shared" si="306"/>
        <v>1.6517600258754369E-2</v>
      </c>
      <c r="AB163" s="152">
        <f t="shared" si="306"/>
        <v>1.5911449790543201E-2</v>
      </c>
      <c r="AC163" s="138">
        <f t="shared" si="304"/>
        <v>-0.11167178880395967</v>
      </c>
      <c r="AD163" s="31">
        <v>0.08</v>
      </c>
      <c r="AE163" s="127">
        <f t="shared" si="284"/>
        <v>0.10096135521406321</v>
      </c>
    </row>
    <row r="164" spans="2:31" x14ac:dyDescent="0.2">
      <c r="B164" s="20"/>
      <c r="C164" s="152"/>
      <c r="D164" s="152"/>
      <c r="E164" s="152"/>
      <c r="F164" s="152"/>
      <c r="G164" s="152"/>
      <c r="H164" s="152"/>
      <c r="I164" s="152"/>
      <c r="J164" s="152"/>
      <c r="K164" s="152"/>
      <c r="L164" s="152"/>
      <c r="M164" s="152"/>
      <c r="N164" s="152"/>
      <c r="O164" s="152"/>
      <c r="P164" s="152"/>
      <c r="Q164" s="128"/>
      <c r="R164" s="128"/>
      <c r="S164" s="135"/>
      <c r="T164" s="135"/>
      <c r="U164" s="135"/>
      <c r="V164" s="135"/>
      <c r="W164" s="135"/>
      <c r="X164" s="135"/>
      <c r="Y164" s="135"/>
      <c r="Z164" s="135"/>
      <c r="AA164" s="135"/>
      <c r="AB164" s="135"/>
      <c r="AC164" s="137"/>
      <c r="AD164" s="20"/>
      <c r="AE164" s="127"/>
    </row>
    <row r="165" spans="2:31" x14ac:dyDescent="0.2">
      <c r="B165" s="20"/>
      <c r="C165" s="129"/>
      <c r="D165" s="129"/>
      <c r="E165" s="129"/>
      <c r="F165" s="129"/>
      <c r="G165" s="135"/>
      <c r="H165" s="135"/>
      <c r="I165" s="135"/>
      <c r="J165" s="135"/>
      <c r="K165" s="135"/>
      <c r="L165" s="135"/>
      <c r="M165" s="135"/>
      <c r="N165" s="135"/>
      <c r="O165" s="135"/>
      <c r="P165" s="135"/>
      <c r="Q165" s="128"/>
      <c r="R165" s="128"/>
      <c r="S165" s="135"/>
      <c r="T165" s="135"/>
      <c r="U165" s="135"/>
      <c r="V165" s="135"/>
      <c r="W165" s="135"/>
      <c r="X165" s="135"/>
      <c r="Y165" s="135"/>
      <c r="Z165" s="135"/>
      <c r="AA165" s="135"/>
      <c r="AB165" s="135"/>
      <c r="AC165" s="137"/>
      <c r="AD165" s="20"/>
      <c r="AE165" s="20"/>
    </row>
    <row r="166" spans="2:31" x14ac:dyDescent="0.2">
      <c r="B166" s="108" t="s">
        <v>302</v>
      </c>
      <c r="C166" s="20"/>
      <c r="D166" s="20"/>
      <c r="E166" s="20"/>
      <c r="F166" s="20"/>
      <c r="G166" s="20"/>
      <c r="H166" s="20"/>
      <c r="I166" s="20"/>
      <c r="J166" s="20"/>
      <c r="K166" s="192" t="s">
        <v>352</v>
      </c>
      <c r="L166" s="193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137"/>
      <c r="AD166" s="20"/>
      <c r="AE166" s="20"/>
    </row>
    <row r="167" spans="2:31" x14ac:dyDescent="0.2">
      <c r="B167" s="20" t="s">
        <v>300</v>
      </c>
      <c r="C167" s="20" t="s">
        <v>315</v>
      </c>
      <c r="D167" s="20"/>
      <c r="E167" s="20"/>
      <c r="F167" s="20"/>
      <c r="G167" s="20"/>
      <c r="H167" s="20"/>
      <c r="I167" s="20"/>
      <c r="J167" s="20"/>
      <c r="K167" s="20" t="s">
        <v>353</v>
      </c>
      <c r="L167" s="22">
        <v>1</v>
      </c>
      <c r="M167" s="20"/>
      <c r="N167" s="20"/>
      <c r="O167" s="20"/>
      <c r="P167" s="128">
        <f>(P155-R143)/P155</f>
        <v>0.77117689674407641</v>
      </c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137"/>
      <c r="AD167" s="20"/>
      <c r="AE167" s="20"/>
    </row>
    <row r="168" spans="2:31" x14ac:dyDescent="0.2">
      <c r="B168" s="20" t="s">
        <v>350</v>
      </c>
      <c r="C168" s="20" t="s">
        <v>315</v>
      </c>
      <c r="D168" s="20"/>
      <c r="E168" s="20"/>
      <c r="F168" s="20"/>
      <c r="G168" s="20"/>
      <c r="H168" s="20"/>
      <c r="I168" s="20"/>
      <c r="J168" s="20"/>
      <c r="K168" s="172">
        <f>L167</f>
        <v>1</v>
      </c>
      <c r="L168" s="20"/>
      <c r="M168" s="128">
        <f>(P155-(K168*R134))/P155</f>
        <v>1.8397047329102123</v>
      </c>
      <c r="N168" s="20"/>
      <c r="O168" s="20"/>
      <c r="P168" s="128">
        <f>(P155-R134)/P155</f>
        <v>1.8397047329102123</v>
      </c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137"/>
      <c r="AD168" s="20"/>
      <c r="AE168" s="20"/>
    </row>
    <row r="169" spans="2:31" x14ac:dyDescent="0.2">
      <c r="B169" s="20" t="s">
        <v>351</v>
      </c>
      <c r="C169" s="20" t="s">
        <v>315</v>
      </c>
      <c r="D169" s="20"/>
      <c r="E169" s="20"/>
      <c r="F169" s="20"/>
      <c r="G169" s="20"/>
      <c r="H169" s="20"/>
      <c r="I169" s="20"/>
      <c r="J169" s="20"/>
      <c r="K169" s="172">
        <f>L167</f>
        <v>1</v>
      </c>
      <c r="L169" s="20"/>
      <c r="M169" s="128">
        <f>(P155-(K168*R127))/P155</f>
        <v>0.25248948201375382</v>
      </c>
      <c r="N169" s="20"/>
      <c r="O169" s="20"/>
      <c r="P169" s="128">
        <f>(P155-R127)/P155</f>
        <v>0.25248948201375382</v>
      </c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137"/>
      <c r="AD169" s="20"/>
      <c r="AE169" s="20"/>
    </row>
    <row r="170" spans="2:31" x14ac:dyDescent="0.2">
      <c r="B170" s="20" t="s">
        <v>354</v>
      </c>
      <c r="C170" s="20" t="s">
        <v>315</v>
      </c>
      <c r="D170" s="20"/>
      <c r="E170" s="20"/>
      <c r="F170" s="20"/>
      <c r="G170" s="20"/>
      <c r="H170" s="20"/>
      <c r="I170" s="20"/>
      <c r="J170" s="20"/>
      <c r="K170" s="172">
        <f>L167</f>
        <v>1</v>
      </c>
      <c r="L170" s="20"/>
      <c r="M170" s="128">
        <f>(P155-(K168*R140))/P155</f>
        <v>0.66655601125591291</v>
      </c>
      <c r="N170" s="20"/>
      <c r="O170" s="20"/>
      <c r="P170" s="128">
        <f>(P155-R140)/P155</f>
        <v>0.66655601125591291</v>
      </c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137"/>
      <c r="AD170" s="20"/>
      <c r="AE170" s="20"/>
    </row>
    <row r="171" spans="2:31" x14ac:dyDescent="0.2">
      <c r="B171" s="20" t="s">
        <v>301</v>
      </c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5">
        <f>P155/R126</f>
        <v>8.645864424488483</v>
      </c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137"/>
      <c r="AD171" s="20"/>
      <c r="AE171" s="20"/>
    </row>
    <row r="172" spans="2:31" x14ac:dyDescent="0.2">
      <c r="B172" s="20" t="s">
        <v>372</v>
      </c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152">
        <f>1/P171</f>
        <v>0.11566223467113448</v>
      </c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137"/>
      <c r="AD172" s="20"/>
      <c r="AE172" s="20"/>
    </row>
    <row r="173" spans="2:31" x14ac:dyDescent="0.2">
      <c r="B173" s="20" t="s">
        <v>398</v>
      </c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1">
        <f>P155/Q125</f>
        <v>10.343083781500264</v>
      </c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137"/>
      <c r="AD173" s="20"/>
      <c r="AE173" s="20"/>
    </row>
    <row r="174" spans="2:31" x14ac:dyDescent="0.2">
      <c r="B174" s="20" t="s">
        <v>397</v>
      </c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1">
        <f>P155/P47</f>
        <v>9.3956861996564225</v>
      </c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137"/>
      <c r="AD174" s="20"/>
      <c r="AE174" s="20"/>
    </row>
    <row r="175" spans="2:31" x14ac:dyDescent="0.2"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</row>
    <row r="176" spans="2:31" x14ac:dyDescent="0.2">
      <c r="B176" s="108" t="s">
        <v>303</v>
      </c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</row>
    <row r="177" spans="2:31" x14ac:dyDescent="0.2">
      <c r="B177" s="20" t="s">
        <v>306</v>
      </c>
      <c r="C177" s="25" t="e">
        <f t="shared" ref="C177:P177" si="307">C10/C7</f>
        <v>#DIV/0!</v>
      </c>
      <c r="D177" s="25" t="e">
        <f t="shared" si="307"/>
        <v>#DIV/0!</v>
      </c>
      <c r="E177" s="25" t="e">
        <f t="shared" si="307"/>
        <v>#DIV/0!</v>
      </c>
      <c r="F177" s="25" t="e">
        <f t="shared" si="307"/>
        <v>#DIV/0!</v>
      </c>
      <c r="G177" s="25">
        <f t="shared" si="307"/>
        <v>1.0460899131091803</v>
      </c>
      <c r="H177" s="25">
        <f t="shared" si="307"/>
        <v>1.0416289592760182</v>
      </c>
      <c r="I177" s="25">
        <f t="shared" si="307"/>
        <v>0.70467365028203066</v>
      </c>
      <c r="J177" s="25">
        <f t="shared" si="307"/>
        <v>0.92934547030775905</v>
      </c>
      <c r="K177" s="25">
        <f t="shared" si="307"/>
        <v>1.1370141261194719</v>
      </c>
      <c r="L177" s="25">
        <f t="shared" si="307"/>
        <v>1.4563523271609351</v>
      </c>
      <c r="M177" s="25">
        <f t="shared" si="307"/>
        <v>1.172264303749226</v>
      </c>
      <c r="N177" s="25">
        <f t="shared" si="307"/>
        <v>1.49061876247505</v>
      </c>
      <c r="O177" s="25">
        <f t="shared" si="307"/>
        <v>1.7390253862383447</v>
      </c>
      <c r="P177" s="25">
        <f t="shared" si="307"/>
        <v>1.7319471927700167</v>
      </c>
      <c r="Q177" s="118">
        <f t="shared" ref="Q177:Q179" si="308">((P177/G177)^(1/($H$2-$H$1) ))-1</f>
        <v>5.7619658443879507E-2</v>
      </c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</row>
    <row r="178" spans="2:31" x14ac:dyDescent="0.2">
      <c r="B178" s="20" t="s">
        <v>307</v>
      </c>
      <c r="C178" s="112" t="e">
        <f>C10/C12</f>
        <v>#DIV/0!</v>
      </c>
      <c r="D178" s="112" t="e">
        <f>D10/D12</f>
        <v>#DIV/0!</v>
      </c>
      <c r="E178" s="112" t="e">
        <f>E10/E12</f>
        <v>#DIV/0!</v>
      </c>
      <c r="F178" s="112" t="e">
        <f>F10/F12</f>
        <v>#DIV/0!</v>
      </c>
      <c r="G178" s="112">
        <f>G10/G12</f>
        <v>5.1564245810055862</v>
      </c>
      <c r="H178" s="112">
        <f t="shared" ref="H178:P178" si="309">H10/H12</f>
        <v>3.4914054600606672</v>
      </c>
      <c r="I178" s="112">
        <f t="shared" si="309"/>
        <v>4.2920245398773007</v>
      </c>
      <c r="J178" s="112">
        <f t="shared" si="309"/>
        <v>3.7460687245195108</v>
      </c>
      <c r="K178" s="112">
        <f t="shared" si="309"/>
        <v>7.8942307692307692</v>
      </c>
      <c r="L178" s="112">
        <f t="shared" si="309"/>
        <v>13.97119341563786</v>
      </c>
      <c r="M178" s="112">
        <f t="shared" si="309"/>
        <v>7.4095152062631735</v>
      </c>
      <c r="N178" s="112">
        <f t="shared" si="309"/>
        <v>10.244170096021948</v>
      </c>
      <c r="O178" s="112">
        <f t="shared" si="309"/>
        <v>14.509653605905735</v>
      </c>
      <c r="P178" s="112">
        <f t="shared" si="309"/>
        <v>16.150371798402645</v>
      </c>
      <c r="Q178" s="118">
        <f t="shared" si="308"/>
        <v>0.13525297982718087</v>
      </c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</row>
    <row r="179" spans="2:31" x14ac:dyDescent="0.2">
      <c r="B179" s="20" t="s">
        <v>308</v>
      </c>
      <c r="C179" s="25" t="e">
        <f>C10/(C12+C13)</f>
        <v>#DIV/0!</v>
      </c>
      <c r="D179" s="25" t="e">
        <f>D10/(D12+D13)</f>
        <v>#DIV/0!</v>
      </c>
      <c r="E179" s="25" t="e">
        <f>E10/(E12+E13)</f>
        <v>#DIV/0!</v>
      </c>
      <c r="F179" s="25" t="e">
        <f>F10/(F12+F13)</f>
        <v>#DIV/0!</v>
      </c>
      <c r="G179" s="25">
        <f>G10/(G12+G13)</f>
        <v>2.3870689655172415</v>
      </c>
      <c r="H179" s="25">
        <f t="shared" ref="H179:P179" si="310">H10/(H12+H13)</f>
        <v>2.0689035350509286</v>
      </c>
      <c r="I179" s="25">
        <f t="shared" si="310"/>
        <v>1.4048192771084338</v>
      </c>
      <c r="J179" s="25">
        <f t="shared" si="310"/>
        <v>1.5332538736591179</v>
      </c>
      <c r="K179" s="25">
        <f t="shared" si="310"/>
        <v>1.7315804274465691</v>
      </c>
      <c r="L179" s="25">
        <f t="shared" si="310"/>
        <v>2.4652063415224497</v>
      </c>
      <c r="M179" s="25">
        <f t="shared" si="310"/>
        <v>1.8574124396135265</v>
      </c>
      <c r="N179" s="25">
        <f t="shared" si="310"/>
        <v>2.9035769828926905</v>
      </c>
      <c r="O179" s="25">
        <f t="shared" si="310"/>
        <v>4.1510031678986277</v>
      </c>
      <c r="P179" s="25">
        <f t="shared" si="310"/>
        <v>4.7299564445878364</v>
      </c>
      <c r="Q179" s="118">
        <f t="shared" si="308"/>
        <v>7.8944562233315141E-2</v>
      </c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</row>
    <row r="180" spans="2:31" x14ac:dyDescent="0.2"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</row>
    <row r="181" spans="2:31" x14ac:dyDescent="0.2"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</row>
    <row r="182" spans="2:31" x14ac:dyDescent="0.2">
      <c r="B182" s="20"/>
      <c r="C182" s="175" t="s">
        <v>378</v>
      </c>
      <c r="D182" s="176"/>
      <c r="E182" s="176"/>
      <c r="F182" s="176"/>
      <c r="G182" s="176"/>
      <c r="H182" s="176"/>
      <c r="I182" s="176"/>
      <c r="J182" s="176"/>
      <c r="K182" s="20"/>
      <c r="L182" s="189" t="s">
        <v>338</v>
      </c>
      <c r="M182" s="190"/>
      <c r="N182" s="191"/>
      <c r="O182" s="23" t="s">
        <v>341</v>
      </c>
      <c r="P182" s="20"/>
      <c r="Q182" s="189" t="s">
        <v>339</v>
      </c>
      <c r="R182" s="190"/>
      <c r="S182" s="191"/>
      <c r="T182" s="23" t="s">
        <v>341</v>
      </c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</row>
    <row r="183" spans="2:31" x14ac:dyDescent="0.2">
      <c r="B183" s="20"/>
      <c r="C183" s="166" t="s">
        <v>340</v>
      </c>
      <c r="D183" s="166" t="s">
        <v>0</v>
      </c>
      <c r="E183" s="166" t="s">
        <v>379</v>
      </c>
      <c r="F183" s="166" t="s">
        <v>380</v>
      </c>
      <c r="G183" s="166" t="s">
        <v>381</v>
      </c>
      <c r="H183" s="166" t="s">
        <v>382</v>
      </c>
      <c r="I183" s="166" t="s">
        <v>383</v>
      </c>
      <c r="J183" s="166" t="s">
        <v>384</v>
      </c>
      <c r="K183" s="20"/>
      <c r="L183" s="166" t="s">
        <v>340</v>
      </c>
      <c r="M183" s="166"/>
      <c r="N183" s="166" t="s">
        <v>0</v>
      </c>
      <c r="O183" s="166" t="s">
        <v>373</v>
      </c>
      <c r="P183" s="20"/>
      <c r="Q183" s="166" t="s">
        <v>340</v>
      </c>
      <c r="R183" s="166"/>
      <c r="S183" s="166" t="s">
        <v>0</v>
      </c>
      <c r="T183" s="166" t="s">
        <v>373</v>
      </c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</row>
    <row r="184" spans="2:31" x14ac:dyDescent="0.2">
      <c r="B184" s="20"/>
      <c r="C184" s="167" t="s">
        <v>342</v>
      </c>
      <c r="D184" s="21">
        <v>530</v>
      </c>
      <c r="E184" s="177" t="s">
        <v>385</v>
      </c>
      <c r="F184" s="22">
        <v>1</v>
      </c>
      <c r="G184" s="22">
        <v>1</v>
      </c>
      <c r="H184" s="167">
        <f>F184/G184</f>
        <v>1</v>
      </c>
      <c r="I184" s="167">
        <f>H184*D185</f>
        <v>1</v>
      </c>
      <c r="J184" s="178">
        <f>I184+D185</f>
        <v>2</v>
      </c>
      <c r="K184" s="20"/>
      <c r="L184" s="167" t="s">
        <v>342</v>
      </c>
      <c r="M184" s="167"/>
      <c r="N184" s="21">
        <v>80</v>
      </c>
      <c r="O184" s="174">
        <f>N184</f>
        <v>80</v>
      </c>
      <c r="P184" s="20"/>
      <c r="Q184" s="167" t="s">
        <v>342</v>
      </c>
      <c r="R184" s="167"/>
      <c r="S184" s="21">
        <v>530</v>
      </c>
      <c r="T184" s="174">
        <f>S184</f>
        <v>530</v>
      </c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</row>
    <row r="185" spans="2:31" x14ac:dyDescent="0.2">
      <c r="B185" s="20"/>
      <c r="C185" s="167" t="s">
        <v>343</v>
      </c>
      <c r="D185" s="21">
        <v>1</v>
      </c>
      <c r="E185" s="177" t="s">
        <v>386</v>
      </c>
      <c r="F185" s="22">
        <v>1</v>
      </c>
      <c r="G185" s="22">
        <v>1</v>
      </c>
      <c r="H185" s="167">
        <f>F185/G185</f>
        <v>1</v>
      </c>
      <c r="I185" s="167">
        <f>H185*J184</f>
        <v>2</v>
      </c>
      <c r="J185" s="167">
        <f>I185+J184</f>
        <v>4</v>
      </c>
      <c r="K185" s="20"/>
      <c r="L185" s="167" t="s">
        <v>343</v>
      </c>
      <c r="M185" s="167"/>
      <c r="N185" s="21">
        <v>1</v>
      </c>
      <c r="O185" s="174">
        <f>N185</f>
        <v>1</v>
      </c>
      <c r="P185" s="20"/>
      <c r="Q185" s="167" t="s">
        <v>343</v>
      </c>
      <c r="R185" s="167"/>
      <c r="S185" s="21">
        <v>1</v>
      </c>
      <c r="T185" s="174">
        <f>S185</f>
        <v>1</v>
      </c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</row>
    <row r="186" spans="2:31" x14ac:dyDescent="0.2">
      <c r="B186" s="20"/>
      <c r="C186" s="167" t="s">
        <v>345</v>
      </c>
      <c r="D186" s="168">
        <f>D184*D185</f>
        <v>530</v>
      </c>
      <c r="E186" s="177" t="s">
        <v>399</v>
      </c>
      <c r="F186" s="22">
        <v>0</v>
      </c>
      <c r="G186" s="22">
        <v>2</v>
      </c>
      <c r="H186" s="167">
        <f>F186/G186</f>
        <v>0</v>
      </c>
      <c r="I186" s="167">
        <f>H186*J185</f>
        <v>0</v>
      </c>
      <c r="J186" s="167">
        <f>I186+J185</f>
        <v>4</v>
      </c>
      <c r="K186" s="20"/>
      <c r="L186" s="167" t="s">
        <v>344</v>
      </c>
      <c r="M186" s="167"/>
      <c r="N186" s="168">
        <f>N184*N185</f>
        <v>80</v>
      </c>
      <c r="O186" s="174">
        <f>N186</f>
        <v>80</v>
      </c>
      <c r="P186" s="20"/>
      <c r="Q186" s="167" t="s">
        <v>345</v>
      </c>
      <c r="R186" s="167"/>
      <c r="S186" s="168">
        <f>S184*S185</f>
        <v>530</v>
      </c>
      <c r="T186" s="174">
        <f>S186</f>
        <v>530</v>
      </c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</row>
    <row r="187" spans="2:31" x14ac:dyDescent="0.2">
      <c r="B187" s="20"/>
      <c r="C187" s="167"/>
      <c r="D187" s="168"/>
      <c r="E187" s="177" t="s">
        <v>387</v>
      </c>
      <c r="F187" s="22">
        <v>10</v>
      </c>
      <c r="G187" s="22">
        <v>2</v>
      </c>
      <c r="H187" s="167">
        <f>F187/G187</f>
        <v>5</v>
      </c>
      <c r="I187" s="167">
        <f>H187*J186</f>
        <v>20</v>
      </c>
      <c r="J187" s="167">
        <f>I187</f>
        <v>20</v>
      </c>
      <c r="K187" s="20"/>
      <c r="L187" s="167" t="s">
        <v>346</v>
      </c>
      <c r="M187" s="167"/>
      <c r="N187" s="21">
        <v>1000</v>
      </c>
      <c r="O187" s="21">
        <v>1565</v>
      </c>
      <c r="P187" s="20"/>
      <c r="Q187" s="167" t="s">
        <v>346</v>
      </c>
      <c r="R187" s="167"/>
      <c r="S187" s="21">
        <v>1000</v>
      </c>
      <c r="T187" s="21">
        <v>1200</v>
      </c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</row>
    <row r="188" spans="2:31" x14ac:dyDescent="0.2">
      <c r="B188" s="20"/>
      <c r="C188" s="167" t="s">
        <v>346</v>
      </c>
      <c r="D188" s="21">
        <v>1000</v>
      </c>
      <c r="E188" s="177"/>
      <c r="F188" s="167"/>
      <c r="G188" s="167"/>
      <c r="H188" s="169" t="s">
        <v>388</v>
      </c>
      <c r="I188" s="167"/>
      <c r="J188" s="167">
        <f>J187</f>
        <v>20</v>
      </c>
      <c r="K188" s="20"/>
      <c r="L188" s="167" t="s">
        <v>347</v>
      </c>
      <c r="M188" s="167"/>
      <c r="N188" s="168">
        <f>N187*N185</f>
        <v>1000</v>
      </c>
      <c r="O188" s="168">
        <f>O187*O185</f>
        <v>1565</v>
      </c>
      <c r="P188" s="20"/>
      <c r="Q188" s="167" t="s">
        <v>343</v>
      </c>
      <c r="R188" s="167"/>
      <c r="S188" s="21">
        <v>6</v>
      </c>
      <c r="T188" s="21">
        <f>S188</f>
        <v>6</v>
      </c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</row>
    <row r="189" spans="2:31" x14ac:dyDescent="0.2">
      <c r="B189" s="20"/>
      <c r="C189" s="167" t="s">
        <v>343</v>
      </c>
      <c r="D189" s="21">
        <v>6</v>
      </c>
      <c r="E189" s="177" t="s">
        <v>387</v>
      </c>
      <c r="F189" s="22">
        <v>10</v>
      </c>
      <c r="G189" s="22">
        <v>2</v>
      </c>
      <c r="H189" s="167">
        <f>F189/G189</f>
        <v>5</v>
      </c>
      <c r="I189" s="178">
        <f>H189*D185</f>
        <v>5</v>
      </c>
      <c r="J189" s="178">
        <f>I189</f>
        <v>5</v>
      </c>
      <c r="K189" s="20"/>
      <c r="L189" s="167"/>
      <c r="M189" s="167"/>
      <c r="N189" s="168"/>
      <c r="O189" s="168"/>
      <c r="P189" s="20"/>
      <c r="Q189" s="167" t="s">
        <v>345</v>
      </c>
      <c r="R189" s="167"/>
      <c r="S189" s="168">
        <f>S188*S187</f>
        <v>6000</v>
      </c>
      <c r="T189" s="168">
        <f>T188*T187</f>
        <v>7200</v>
      </c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</row>
    <row r="190" spans="2:31" x14ac:dyDescent="0.2">
      <c r="B190" s="20"/>
      <c r="C190" s="167" t="s">
        <v>345</v>
      </c>
      <c r="D190" s="168">
        <f>D189*D188</f>
        <v>6000</v>
      </c>
      <c r="E190" s="167"/>
      <c r="F190" s="167"/>
      <c r="G190" s="167"/>
      <c r="H190" s="169" t="s">
        <v>388</v>
      </c>
      <c r="I190" s="167"/>
      <c r="J190" s="167">
        <f>J189</f>
        <v>5</v>
      </c>
      <c r="K190" s="20"/>
      <c r="L190" s="167"/>
      <c r="M190" s="167"/>
      <c r="N190" s="168"/>
      <c r="O190" s="168"/>
      <c r="P190" s="20"/>
      <c r="Q190" s="167"/>
      <c r="R190" s="167"/>
      <c r="S190" s="168"/>
      <c r="T190" s="168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</row>
    <row r="191" spans="2:31" x14ac:dyDescent="0.2">
      <c r="B191" s="20"/>
      <c r="C191" s="167"/>
      <c r="D191" s="168"/>
      <c r="E191" s="177" t="s">
        <v>387</v>
      </c>
      <c r="F191" s="22">
        <v>10</v>
      </c>
      <c r="G191" s="22">
        <v>2</v>
      </c>
      <c r="H191" s="167">
        <f>F191/G191</f>
        <v>5</v>
      </c>
      <c r="I191" s="167">
        <f>H191*J190</f>
        <v>25</v>
      </c>
      <c r="J191" s="167">
        <f>I191</f>
        <v>25</v>
      </c>
      <c r="K191" s="20"/>
      <c r="L191" s="169" t="s">
        <v>348</v>
      </c>
      <c r="M191" s="169"/>
      <c r="N191" s="170">
        <f>N188/N186</f>
        <v>12.5</v>
      </c>
      <c r="O191" s="170">
        <f>O188/O186</f>
        <v>19.5625</v>
      </c>
      <c r="P191" s="20"/>
      <c r="Q191" s="169" t="s">
        <v>348</v>
      </c>
      <c r="R191" s="169"/>
      <c r="S191" s="170">
        <f>S189/S186</f>
        <v>11.320754716981131</v>
      </c>
      <c r="T191" s="170">
        <f>T189/T186</f>
        <v>13.584905660377359</v>
      </c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</row>
    <row r="192" spans="2:31" x14ac:dyDescent="0.2">
      <c r="B192" s="20"/>
      <c r="C192" s="169" t="s">
        <v>348</v>
      </c>
      <c r="D192" s="170">
        <f>D190/D186</f>
        <v>11.320754716981131</v>
      </c>
      <c r="E192" s="177"/>
      <c r="F192" s="167"/>
      <c r="G192" s="167"/>
      <c r="H192" s="169" t="s">
        <v>388</v>
      </c>
      <c r="I192" s="167"/>
      <c r="J192" s="167">
        <f>J191</f>
        <v>25</v>
      </c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</row>
    <row r="193" spans="2:31" x14ac:dyDescent="0.2"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</row>
    <row r="194" spans="2:31" x14ac:dyDescent="0.2">
      <c r="B194" s="20"/>
      <c r="C194" s="20"/>
      <c r="D194" s="137"/>
      <c r="E194" s="179"/>
      <c r="F194" s="179"/>
      <c r="G194" s="180"/>
      <c r="H194" s="20"/>
      <c r="I194" s="137"/>
      <c r="J194" s="179"/>
      <c r="K194" s="180"/>
      <c r="L194" s="20"/>
      <c r="M194" s="20">
        <v>8</v>
      </c>
      <c r="N194" s="20">
        <v>12</v>
      </c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</row>
    <row r="195" spans="2:31" ht="14.25" x14ac:dyDescent="0.2">
      <c r="B195" s="20"/>
      <c r="C195" s="20"/>
      <c r="D195" s="182" t="s">
        <v>27</v>
      </c>
      <c r="E195" s="183"/>
      <c r="F195" s="183"/>
      <c r="G195" s="184"/>
      <c r="H195" s="20"/>
      <c r="I195" s="182" t="s">
        <v>394</v>
      </c>
      <c r="J195" s="183"/>
      <c r="K195" s="184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</row>
    <row r="196" spans="2:31" x14ac:dyDescent="0.2">
      <c r="B196" s="20"/>
      <c r="C196" s="20"/>
      <c r="D196" s="20" t="s">
        <v>28</v>
      </c>
      <c r="E196" s="127"/>
      <c r="F196" s="127"/>
      <c r="G196" s="21">
        <v>1600</v>
      </c>
      <c r="H196" s="20"/>
      <c r="I196" s="20" t="s">
        <v>28</v>
      </c>
      <c r="J196" s="127"/>
      <c r="K196" s="21">
        <f>G196</f>
        <v>1600</v>
      </c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</row>
    <row r="197" spans="2:31" x14ac:dyDescent="0.2">
      <c r="B197" s="20"/>
      <c r="C197" s="20"/>
      <c r="D197" s="20" t="s">
        <v>29</v>
      </c>
      <c r="E197" s="127"/>
      <c r="F197" s="127"/>
      <c r="G197" s="21">
        <v>12000</v>
      </c>
      <c r="H197" s="20"/>
      <c r="I197" s="20" t="s">
        <v>29</v>
      </c>
      <c r="J197" s="20"/>
      <c r="K197" s="21">
        <f>G197</f>
        <v>12000</v>
      </c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</row>
    <row r="198" spans="2:31" x14ac:dyDescent="0.2">
      <c r="B198" s="20"/>
      <c r="C198" s="20"/>
      <c r="D198" s="20" t="s">
        <v>30</v>
      </c>
      <c r="E198" s="20"/>
      <c r="F198" s="20"/>
      <c r="G198" s="22">
        <v>10</v>
      </c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</row>
    <row r="199" spans="2:31" x14ac:dyDescent="0.2">
      <c r="B199" s="20"/>
      <c r="C199" s="20"/>
      <c r="D199" s="23" t="s">
        <v>31</v>
      </c>
      <c r="E199" s="3"/>
      <c r="F199" s="3"/>
      <c r="G199" s="3">
        <f>((G197/G196)^(1/G198))-1</f>
        <v>0.2232243742416371</v>
      </c>
      <c r="H199" s="20"/>
      <c r="I199" s="23" t="s">
        <v>395</v>
      </c>
      <c r="J199" s="23"/>
      <c r="K199" s="23">
        <f>(K197-K196)/K196</f>
        <v>6.5</v>
      </c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</row>
    <row r="200" spans="2:31" x14ac:dyDescent="0.2">
      <c r="B200" s="20"/>
      <c r="C200" s="20"/>
      <c r="D200" s="23" t="s">
        <v>32</v>
      </c>
      <c r="E200" s="165"/>
      <c r="F200" s="165"/>
      <c r="G200" s="24">
        <f>G198*12</f>
        <v>120</v>
      </c>
      <c r="H200" s="20"/>
      <c r="I200" s="23" t="s">
        <v>396</v>
      </c>
      <c r="J200" s="23"/>
      <c r="K200" s="23">
        <f>K197/K196</f>
        <v>7.5</v>
      </c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</row>
    <row r="201" spans="2:31" x14ac:dyDescent="0.2">
      <c r="B201" s="20"/>
      <c r="C201" s="20"/>
      <c r="D201" s="20" t="s">
        <v>30</v>
      </c>
      <c r="E201" s="25"/>
      <c r="F201" s="25"/>
      <c r="G201" s="25">
        <f>G200/12</f>
        <v>10</v>
      </c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</row>
    <row r="202" spans="2:31" x14ac:dyDescent="0.2">
      <c r="B202" s="20"/>
      <c r="C202" s="20"/>
      <c r="D202" s="23" t="s">
        <v>33</v>
      </c>
      <c r="E202" s="3"/>
      <c r="F202" s="3"/>
      <c r="G202" s="3">
        <f>((G197/G196)^(1/G201))-1</f>
        <v>0.2232243742416371</v>
      </c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</row>
    <row r="203" spans="2:31" x14ac:dyDescent="0.2"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</row>
    <row r="204" spans="2:31" x14ac:dyDescent="0.2">
      <c r="C204" s="20"/>
      <c r="D204" s="20"/>
      <c r="E204" s="20"/>
      <c r="F204" s="20"/>
      <c r="G204" s="20"/>
      <c r="H204" s="20"/>
      <c r="I204" s="20"/>
      <c r="J204" s="20"/>
      <c r="K204" s="20"/>
    </row>
  </sheetData>
  <mergeCells count="7">
    <mergeCell ref="D195:G195"/>
    <mergeCell ref="I195:K195"/>
    <mergeCell ref="AD2:AE2"/>
    <mergeCell ref="AD3:AE3"/>
    <mergeCell ref="L182:N182"/>
    <mergeCell ref="Q182:S182"/>
    <mergeCell ref="K166:L166"/>
  </mergeCells>
  <pageMargins left="0.7" right="0.7" top="0.75" bottom="0.75" header="0.3" footer="0.3"/>
  <pageSetup orientation="portrait" r:id="rId1"/>
  <ignoredErrors>
    <ignoredError sqref="C157" evalError="1"/>
    <ignoredError sqref="T31" formula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J36"/>
  <sheetViews>
    <sheetView topLeftCell="A5" zoomScale="80" zoomScaleNormal="80" workbookViewId="0">
      <selection activeCell="F26" sqref="F26"/>
    </sheetView>
  </sheetViews>
  <sheetFormatPr defaultRowHeight="15" x14ac:dyDescent="0.3"/>
  <cols>
    <col min="1" max="2" width="9.140625" style="6"/>
    <col min="3" max="3" width="37.7109375" style="6" bestFit="1" customWidth="1"/>
    <col min="4" max="9" width="16" style="6" bestFit="1" customWidth="1"/>
    <col min="10" max="16384" width="9.140625" style="6"/>
  </cols>
  <sheetData>
    <row r="3" spans="3:9" x14ac:dyDescent="0.3">
      <c r="D3" s="6" t="s">
        <v>6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</row>
    <row r="4" spans="3:9" x14ac:dyDescent="0.3">
      <c r="D4" s="6" t="s">
        <v>5</v>
      </c>
      <c r="E4" s="7">
        <v>0.05</v>
      </c>
      <c r="F4" s="7">
        <v>0.05</v>
      </c>
      <c r="G4" s="7">
        <v>0.05</v>
      </c>
      <c r="H4" s="7">
        <v>0.05</v>
      </c>
      <c r="I4" s="7">
        <v>0.05</v>
      </c>
    </row>
    <row r="5" spans="3:9" x14ac:dyDescent="0.3">
      <c r="C5" s="6" t="s">
        <v>16</v>
      </c>
      <c r="D5" s="8">
        <v>8916.5400000000009</v>
      </c>
      <c r="E5" s="10">
        <f>D5*(1+E4)</f>
        <v>9362.367000000002</v>
      </c>
      <c r="F5" s="10">
        <f t="shared" ref="F5:I5" si="0">E5*(1+F4)</f>
        <v>9830.4853500000027</v>
      </c>
      <c r="G5" s="10">
        <f t="shared" si="0"/>
        <v>10322.009617500004</v>
      </c>
      <c r="H5" s="10">
        <f t="shared" si="0"/>
        <v>10838.110098375004</v>
      </c>
      <c r="I5" s="10">
        <f t="shared" si="0"/>
        <v>11380.015603293754</v>
      </c>
    </row>
    <row r="6" spans="3:9" x14ac:dyDescent="0.3">
      <c r="C6" s="6" t="s">
        <v>17</v>
      </c>
      <c r="D6" s="8">
        <v>10910.34</v>
      </c>
      <c r="E6" s="9"/>
      <c r="F6" s="9"/>
      <c r="G6" s="9"/>
      <c r="H6" s="9"/>
      <c r="I6" s="9"/>
    </row>
    <row r="7" spans="3:9" x14ac:dyDescent="0.3">
      <c r="C7" s="6" t="s">
        <v>4</v>
      </c>
      <c r="D7" s="8">
        <v>141489.62</v>
      </c>
      <c r="E7" s="9"/>
      <c r="F7" s="9"/>
      <c r="G7" s="9"/>
      <c r="H7" s="9"/>
      <c r="I7" s="9"/>
    </row>
    <row r="8" spans="3:9" x14ac:dyDescent="0.3">
      <c r="C8" s="6" t="s">
        <v>2</v>
      </c>
      <c r="D8" s="8">
        <v>0</v>
      </c>
      <c r="E8" s="9"/>
      <c r="F8" s="9"/>
      <c r="G8" s="9"/>
      <c r="H8" s="9"/>
      <c r="I8" s="9"/>
    </row>
    <row r="9" spans="3:9" x14ac:dyDescent="0.3">
      <c r="C9" s="6" t="s">
        <v>19</v>
      </c>
      <c r="D9" s="8">
        <v>0</v>
      </c>
      <c r="E9" s="9"/>
      <c r="F9" s="9"/>
      <c r="G9" s="9"/>
      <c r="H9" s="9"/>
      <c r="I9" s="9"/>
    </row>
    <row r="10" spans="3:9" x14ac:dyDescent="0.3">
      <c r="C10" s="6" t="s">
        <v>23</v>
      </c>
      <c r="D10" s="15">
        <v>0</v>
      </c>
      <c r="E10" s="9"/>
      <c r="F10" s="9"/>
      <c r="G10" s="9"/>
      <c r="H10" s="9"/>
      <c r="I10" s="9"/>
    </row>
    <row r="11" spans="3:9" x14ac:dyDescent="0.3">
      <c r="C11" s="6" t="s">
        <v>78</v>
      </c>
      <c r="D11" s="15">
        <v>125588.57</v>
      </c>
      <c r="E11" s="9"/>
      <c r="F11" s="9"/>
      <c r="G11" s="9"/>
      <c r="H11" s="9"/>
      <c r="I11" s="9"/>
    </row>
    <row r="12" spans="3:9" x14ac:dyDescent="0.3">
      <c r="C12" s="6" t="s">
        <v>79</v>
      </c>
      <c r="D12" s="15">
        <v>90330.39</v>
      </c>
      <c r="E12" s="9"/>
      <c r="F12" s="9"/>
      <c r="G12" s="9"/>
      <c r="H12" s="9"/>
      <c r="I12" s="9"/>
    </row>
    <row r="13" spans="3:9" x14ac:dyDescent="0.3">
      <c r="C13" s="6" t="s">
        <v>80</v>
      </c>
      <c r="D13" s="102">
        <f>D12-D11</f>
        <v>-35258.180000000008</v>
      </c>
      <c r="E13" s="9"/>
      <c r="F13" s="9"/>
      <c r="G13" s="9"/>
      <c r="H13" s="9"/>
      <c r="I13" s="9"/>
    </row>
    <row r="14" spans="3:9" x14ac:dyDescent="0.3">
      <c r="C14" s="6" t="s">
        <v>3</v>
      </c>
      <c r="D14" s="8">
        <v>429770000</v>
      </c>
      <c r="E14" s="8">
        <f>D14</f>
        <v>429770000</v>
      </c>
      <c r="F14" s="8">
        <f t="shared" ref="F14:I14" si="1">E14</f>
        <v>429770000</v>
      </c>
      <c r="G14" s="8">
        <f t="shared" si="1"/>
        <v>429770000</v>
      </c>
      <c r="H14" s="8">
        <f t="shared" si="1"/>
        <v>429770000</v>
      </c>
      <c r="I14" s="8">
        <f t="shared" si="1"/>
        <v>429770000</v>
      </c>
    </row>
    <row r="15" spans="3:9" x14ac:dyDescent="0.3">
      <c r="D15" s="9"/>
      <c r="E15" s="9"/>
      <c r="F15" s="9"/>
      <c r="G15" s="9"/>
      <c r="H15" s="9"/>
      <c r="I15" s="9"/>
    </row>
    <row r="16" spans="3:9" x14ac:dyDescent="0.3">
      <c r="C16" s="6" t="s">
        <v>7</v>
      </c>
      <c r="D16" s="9">
        <v>10000000</v>
      </c>
      <c r="E16" s="9">
        <v>10000000</v>
      </c>
      <c r="F16" s="9">
        <v>10000000</v>
      </c>
      <c r="G16" s="9">
        <v>10000000</v>
      </c>
      <c r="H16" s="9">
        <v>10000000</v>
      </c>
      <c r="I16" s="9">
        <v>10000000</v>
      </c>
    </row>
    <row r="17" spans="3:10" x14ac:dyDescent="0.3">
      <c r="D17" s="9"/>
      <c r="E17" s="9"/>
      <c r="F17" s="9"/>
      <c r="G17" s="9"/>
      <c r="H17" s="9"/>
      <c r="I17" s="9"/>
    </row>
    <row r="18" spans="3:10" x14ac:dyDescent="0.3">
      <c r="C18" s="6" t="s">
        <v>18</v>
      </c>
      <c r="D18" s="9">
        <f t="shared" ref="D18:I18" si="2">(D5*D16)/D14</f>
        <v>207.4723689415269</v>
      </c>
      <c r="E18" s="14">
        <f t="shared" si="2"/>
        <v>217.84598738860325</v>
      </c>
      <c r="F18" s="14">
        <f t="shared" si="2"/>
        <v>228.73828675803344</v>
      </c>
      <c r="G18" s="14">
        <f t="shared" si="2"/>
        <v>240.17520109593511</v>
      </c>
      <c r="H18" s="14">
        <f t="shared" si="2"/>
        <v>252.1839611507319</v>
      </c>
      <c r="I18" s="14">
        <f t="shared" si="2"/>
        <v>264.79315920826849</v>
      </c>
    </row>
    <row r="19" spans="3:10" x14ac:dyDescent="0.3">
      <c r="C19" s="6" t="s">
        <v>8</v>
      </c>
      <c r="D19" s="9">
        <f>(D6*D16)/D14</f>
        <v>253.86462526467645</v>
      </c>
      <c r="E19" s="9"/>
      <c r="F19" s="9"/>
      <c r="G19" s="9"/>
      <c r="H19" s="9"/>
      <c r="I19" s="9"/>
    </row>
    <row r="20" spans="3:10" x14ac:dyDescent="0.3">
      <c r="C20" s="6" t="s">
        <v>9</v>
      </c>
      <c r="D20" s="9">
        <f>(D7*D16)/D14</f>
        <v>3292.2172324731832</v>
      </c>
      <c r="E20" s="9"/>
      <c r="F20" s="9"/>
      <c r="G20" s="9"/>
      <c r="H20" s="9"/>
      <c r="I20" s="9"/>
    </row>
    <row r="21" spans="3:10" x14ac:dyDescent="0.3">
      <c r="C21" s="6" t="s">
        <v>10</v>
      </c>
      <c r="D21" s="9">
        <f>(D8*D16)/D14</f>
        <v>0</v>
      </c>
      <c r="E21" s="9"/>
      <c r="F21" s="9"/>
      <c r="G21" s="9"/>
      <c r="H21" s="9"/>
      <c r="I21" s="9"/>
    </row>
    <row r="23" spans="3:10" x14ac:dyDescent="0.3">
      <c r="C23" s="6" t="s">
        <v>22</v>
      </c>
      <c r="D23" s="13">
        <f>(D9*D16)/D14</f>
        <v>0</v>
      </c>
    </row>
    <row r="25" spans="3:10" x14ac:dyDescent="0.3">
      <c r="C25" s="6" t="s">
        <v>24</v>
      </c>
      <c r="D25" s="16">
        <f>(D10*D16)/D14</f>
        <v>0</v>
      </c>
    </row>
    <row r="27" spans="3:10" x14ac:dyDescent="0.3">
      <c r="C27" s="99" t="s">
        <v>83</v>
      </c>
    </row>
    <row r="28" spans="3:10" x14ac:dyDescent="0.3">
      <c r="C28" s="6" t="s">
        <v>82</v>
      </c>
      <c r="D28" s="100">
        <f>(D11*D16)/D14</f>
        <v>2922.2274705074806</v>
      </c>
    </row>
    <row r="29" spans="3:10" x14ac:dyDescent="0.3">
      <c r="C29" s="6" t="s">
        <v>84</v>
      </c>
      <c r="D29" s="100">
        <f>(D12*D16)/D14</f>
        <v>2101.8309793610538</v>
      </c>
    </row>
    <row r="30" spans="3:10" x14ac:dyDescent="0.3">
      <c r="C30" s="6" t="s">
        <v>85</v>
      </c>
      <c r="D30" s="13">
        <f>(D13*D16)/D14</f>
        <v>-820.39649114642725</v>
      </c>
      <c r="I30" s="6" t="s">
        <v>86</v>
      </c>
      <c r="J30" s="101">
        <v>0.71</v>
      </c>
    </row>
    <row r="31" spans="3:10" x14ac:dyDescent="0.3">
      <c r="C31" s="6" t="s">
        <v>81</v>
      </c>
      <c r="D31" s="98">
        <f>D12/D11</f>
        <v>0.71925645781299996</v>
      </c>
    </row>
    <row r="34" spans="3:4" x14ac:dyDescent="0.3">
      <c r="C34" s="1" t="s">
        <v>20</v>
      </c>
      <c r="D34" s="1" t="s">
        <v>21</v>
      </c>
    </row>
    <row r="35" spans="3:4" x14ac:dyDescent="0.3">
      <c r="C35" s="11">
        <v>1</v>
      </c>
      <c r="D35" s="12">
        <f>C35/10</f>
        <v>0.1</v>
      </c>
    </row>
    <row r="36" spans="3:4" x14ac:dyDescent="0.3">
      <c r="C36" s="1"/>
      <c r="D36" s="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45"/>
  <sheetViews>
    <sheetView topLeftCell="A25" zoomScale="80" zoomScaleNormal="80" workbookViewId="0">
      <selection activeCell="M5" sqref="M5:N10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 x14ac:dyDescent="0.3">
      <c r="D2" s="6" t="s">
        <v>64</v>
      </c>
    </row>
    <row r="3" spans="2:14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14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 x14ac:dyDescent="0.3">
      <c r="B5" s="18">
        <v>1</v>
      </c>
      <c r="C5" s="1">
        <v>2001</v>
      </c>
      <c r="D5" s="1">
        <v>2.61</v>
      </c>
      <c r="E5" s="1"/>
      <c r="F5" s="1"/>
      <c r="G5" s="1">
        <v>115.93</v>
      </c>
      <c r="J5" s="194" t="s">
        <v>27</v>
      </c>
      <c r="K5" s="194"/>
      <c r="M5" s="194" t="s">
        <v>65</v>
      </c>
      <c r="N5" s="194"/>
    </row>
    <row r="6" spans="2:14" x14ac:dyDescent="0.3">
      <c r="B6" s="18">
        <v>2</v>
      </c>
      <c r="C6" s="1">
        <v>2002</v>
      </c>
      <c r="D6" s="1">
        <v>5.18</v>
      </c>
      <c r="E6" s="1"/>
      <c r="F6" s="1"/>
      <c r="G6" s="1">
        <v>230.21</v>
      </c>
      <c r="J6" s="20" t="s">
        <v>28</v>
      </c>
      <c r="K6" s="21">
        <v>2.61</v>
      </c>
      <c r="M6" s="29" t="s">
        <v>41</v>
      </c>
      <c r="N6" s="54">
        <v>38911</v>
      </c>
    </row>
    <row r="7" spans="2:14" x14ac:dyDescent="0.3">
      <c r="B7" s="18">
        <v>3</v>
      </c>
      <c r="C7" s="1">
        <v>2003</v>
      </c>
      <c r="D7" s="1">
        <v>9.35</v>
      </c>
      <c r="E7" s="1"/>
      <c r="F7" s="1"/>
      <c r="G7" s="1">
        <v>416.1</v>
      </c>
      <c r="J7" s="20" t="s">
        <v>29</v>
      </c>
      <c r="K7" s="21">
        <v>203.28</v>
      </c>
      <c r="M7" s="29" t="s">
        <v>38</v>
      </c>
      <c r="N7" s="31">
        <v>0.15</v>
      </c>
    </row>
    <row r="8" spans="2:14" x14ac:dyDescent="0.3">
      <c r="B8" s="18">
        <v>4</v>
      </c>
      <c r="C8" s="1">
        <v>2004</v>
      </c>
      <c r="D8" s="1">
        <v>9.41</v>
      </c>
      <c r="E8" s="1"/>
      <c r="F8" s="1"/>
      <c r="G8" s="1">
        <v>512.76</v>
      </c>
      <c r="J8" s="20" t="s">
        <v>30</v>
      </c>
      <c r="K8" s="22">
        <v>20</v>
      </c>
      <c r="M8" s="29" t="s">
        <v>39</v>
      </c>
      <c r="N8" s="32">
        <v>14</v>
      </c>
    </row>
    <row r="9" spans="2:14" x14ac:dyDescent="0.3">
      <c r="B9" s="18">
        <v>5</v>
      </c>
      <c r="C9" s="1">
        <v>2005</v>
      </c>
      <c r="D9" s="1">
        <v>11.96</v>
      </c>
      <c r="E9" s="1"/>
      <c r="F9" s="1"/>
      <c r="G9" s="1">
        <v>651.36</v>
      </c>
      <c r="J9" s="23" t="s">
        <v>31</v>
      </c>
      <c r="K9" s="3">
        <f>((K7/K6)^(1/K8))-1</f>
        <v>0.24329076344312006</v>
      </c>
      <c r="M9" s="29" t="s">
        <v>40</v>
      </c>
      <c r="N9" s="30">
        <v>0</v>
      </c>
    </row>
    <row r="10" spans="2:14" x14ac:dyDescent="0.3">
      <c r="B10" s="18">
        <v>6</v>
      </c>
      <c r="C10" s="1">
        <v>2006</v>
      </c>
      <c r="D10" s="1">
        <v>14.38</v>
      </c>
      <c r="E10" s="1"/>
      <c r="F10" s="1"/>
      <c r="G10" s="1">
        <v>783.34</v>
      </c>
      <c r="J10" s="23" t="s">
        <v>32</v>
      </c>
      <c r="K10" s="24">
        <v>140</v>
      </c>
      <c r="M10" s="34" t="s">
        <v>66</v>
      </c>
      <c r="N10" s="55">
        <f>PV(N7,N8,N9,-N6)</f>
        <v>5499.2394108985745</v>
      </c>
    </row>
    <row r="11" spans="2:14" x14ac:dyDescent="0.3">
      <c r="B11" s="1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20" t="s">
        <v>30</v>
      </c>
      <c r="K11" s="25">
        <f>K10/12</f>
        <v>11.666666666666666</v>
      </c>
    </row>
    <row r="12" spans="2:14" x14ac:dyDescent="0.3">
      <c r="B12" s="1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23" t="s">
        <v>33</v>
      </c>
      <c r="K12" s="3">
        <f>((K7/K6)^(1/K11))-1</f>
        <v>0.45252842827596251</v>
      </c>
    </row>
    <row r="13" spans="2:14" x14ac:dyDescent="0.3">
      <c r="B13" s="1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 x14ac:dyDescent="0.3">
      <c r="B14" s="18">
        <v>10</v>
      </c>
      <c r="C14" s="1">
        <v>2010</v>
      </c>
      <c r="D14" s="1">
        <v>12.98</v>
      </c>
      <c r="E14" s="1"/>
      <c r="F14" s="1"/>
      <c r="G14" s="1">
        <v>706.96</v>
      </c>
      <c r="J14" s="194" t="s">
        <v>36</v>
      </c>
      <c r="K14" s="194"/>
      <c r="L14" s="194"/>
    </row>
    <row r="15" spans="2:14" x14ac:dyDescent="0.3">
      <c r="B15" s="1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29" t="s">
        <v>37</v>
      </c>
      <c r="K15" s="29"/>
      <c r="L15" s="30">
        <v>100000</v>
      </c>
    </row>
    <row r="16" spans="2:14" x14ac:dyDescent="0.3">
      <c r="B16" s="1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29" t="s">
        <v>38</v>
      </c>
      <c r="K16" s="29"/>
      <c r="L16" s="31">
        <v>0.15</v>
      </c>
    </row>
    <row r="17" spans="1:17" x14ac:dyDescent="0.3">
      <c r="B17" s="18"/>
      <c r="C17" s="1"/>
      <c r="D17" s="1"/>
      <c r="E17" s="1"/>
      <c r="F17" s="1"/>
      <c r="G17" s="1"/>
      <c r="J17" s="29" t="s">
        <v>39</v>
      </c>
      <c r="K17" s="29"/>
      <c r="L17" s="32">
        <v>10</v>
      </c>
    </row>
    <row r="18" spans="1:17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J18" s="29" t="s">
        <v>40</v>
      </c>
      <c r="K18" s="29"/>
      <c r="L18" s="33">
        <v>0</v>
      </c>
    </row>
    <row r="19" spans="1:17" x14ac:dyDescent="0.3">
      <c r="B19" s="18"/>
      <c r="C19" s="1" t="s">
        <v>43</v>
      </c>
      <c r="D19" s="1"/>
      <c r="E19" s="1"/>
      <c r="F19" s="1">
        <v>4</v>
      </c>
      <c r="G19" s="1"/>
      <c r="J19" s="34" t="s">
        <v>41</v>
      </c>
      <c r="K19" s="34"/>
      <c r="L19" s="29">
        <f>FV(L16,L17,L18,-L15)</f>
        <v>404555.77357079065</v>
      </c>
    </row>
    <row r="20" spans="1:17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17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17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17" x14ac:dyDescent="0.3">
      <c r="B23" s="18" t="s">
        <v>46</v>
      </c>
      <c r="C23" s="1"/>
      <c r="D23" s="4">
        <v>0.1125</v>
      </c>
      <c r="E23" s="4"/>
      <c r="F23" s="1"/>
      <c r="G23" s="1"/>
    </row>
    <row r="27" spans="1:17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17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67</v>
      </c>
      <c r="P28" s="28" t="s">
        <v>59</v>
      </c>
      <c r="Q28" s="28" t="s">
        <v>60</v>
      </c>
    </row>
    <row r="29" spans="1:17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27"/>
      <c r="P29" s="1"/>
      <c r="Q29" s="1"/>
    </row>
    <row r="30" spans="1:17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>H30/G30</f>
        <v>0.12446159783867232</v>
      </c>
      <c r="L30" s="27"/>
      <c r="M30" s="47"/>
      <c r="N30" s="27"/>
      <c r="O30" s="27"/>
      <c r="P30" s="1"/>
      <c r="Q30" s="1"/>
    </row>
    <row r="31" spans="1:17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0">E31/10000000</f>
        <v>44.48</v>
      </c>
      <c r="G31" s="44">
        <f t="shared" ref="G31:G41" si="1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v>0.09</v>
      </c>
      <c r="L31" s="48">
        <f>K31*J31</f>
        <v>6.9074999999999998E-2</v>
      </c>
      <c r="M31" s="49">
        <v>25.46</v>
      </c>
      <c r="N31" s="45">
        <f>H31</f>
        <v>5.18</v>
      </c>
      <c r="O31" s="45"/>
      <c r="P31" s="50">
        <f>N31*I31</f>
        <v>1.20435</v>
      </c>
      <c r="Q31" s="50">
        <f>N31*J31</f>
        <v>3.9756499999999995</v>
      </c>
    </row>
    <row r="32" spans="1:17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0"/>
        <v>44.48</v>
      </c>
      <c r="G32" s="40">
        <f t="shared" si="1"/>
        <v>32.814523381294961</v>
      </c>
      <c r="H32" s="27">
        <v>9.35</v>
      </c>
      <c r="I32" s="46">
        <f t="shared" ref="I32:I41" si="2">100%-J32</f>
        <v>0.19359999999999999</v>
      </c>
      <c r="J32" s="43">
        <v>0.80640000000000001</v>
      </c>
      <c r="K32" s="43">
        <f t="shared" ref="K32:K41" si="3">H32/G32</f>
        <v>0.28493481046047181</v>
      </c>
      <c r="L32" s="27"/>
      <c r="M32" s="47">
        <f>G31*(1+$L$31)</f>
        <v>27.222716215152882</v>
      </c>
      <c r="N32" s="39">
        <f>N31*(1+$K$31)</f>
        <v>5.6462000000000003</v>
      </c>
      <c r="O32" s="4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0"/>
        <v>44.48</v>
      </c>
      <c r="G33" s="40">
        <f t="shared" si="1"/>
        <v>46.787095323741013</v>
      </c>
      <c r="H33" s="27">
        <v>9.41</v>
      </c>
      <c r="I33" s="46">
        <f t="shared" si="2"/>
        <v>0.24050000000000005</v>
      </c>
      <c r="J33" s="43">
        <v>0.75949999999999995</v>
      </c>
      <c r="K33" s="43">
        <f t="shared" si="3"/>
        <v>0.20112383414460688</v>
      </c>
      <c r="L33" s="27"/>
      <c r="M33" s="47">
        <f>M32*(1+$L$31)</f>
        <v>29.103125337714566</v>
      </c>
      <c r="N33" s="39">
        <f t="shared" ref="N33:N41" si="4">N32*(1+$K$31)</f>
        <v>6.1543580000000011</v>
      </c>
      <c r="O33" s="42">
        <f t="shared" ref="O33:O41" si="5">(N33-H33)/H33</f>
        <v>-0.34597683315621669</v>
      </c>
      <c r="P33" s="1"/>
      <c r="Q33" s="1"/>
    </row>
    <row r="34" spans="2:17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0"/>
        <v>54.48</v>
      </c>
      <c r="G34" s="40">
        <f t="shared" si="1"/>
        <v>47.268538913362704</v>
      </c>
      <c r="H34" s="27">
        <v>11.96</v>
      </c>
      <c r="I34" s="46">
        <f t="shared" si="2"/>
        <v>0.22970000000000002</v>
      </c>
      <c r="J34" s="43">
        <v>0.77029999999999998</v>
      </c>
      <c r="K34" s="43">
        <f t="shared" si="3"/>
        <v>0.25302241776334949</v>
      </c>
      <c r="L34" s="27"/>
      <c r="M34" s="47">
        <f t="shared" ref="M34:M41" si="6">M33*(1+$L$31)</f>
        <v>31.113423720417199</v>
      </c>
      <c r="N34" s="39">
        <f t="shared" si="4"/>
        <v>6.7082502200000018</v>
      </c>
      <c r="O34" s="42">
        <f t="shared" si="5"/>
        <v>-0.43910951337792631</v>
      </c>
      <c r="P34" s="1"/>
      <c r="Q34" s="1"/>
    </row>
    <row r="35" spans="2:17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0"/>
        <v>54.48</v>
      </c>
      <c r="G35" s="40">
        <f t="shared" si="1"/>
        <v>583.17621145374449</v>
      </c>
      <c r="H35" s="27">
        <v>14.38</v>
      </c>
      <c r="I35" s="46">
        <f t="shared" si="2"/>
        <v>0.21830000000000005</v>
      </c>
      <c r="J35" s="43">
        <v>0.78169999999999995</v>
      </c>
      <c r="K35" s="43">
        <f t="shared" si="3"/>
        <v>2.4658070266881202E-2</v>
      </c>
      <c r="L35" s="27"/>
      <c r="M35" s="47">
        <f t="shared" si="6"/>
        <v>33.262583463905017</v>
      </c>
      <c r="N35" s="39">
        <f t="shared" si="4"/>
        <v>7.3119927398000026</v>
      </c>
      <c r="O35" s="42">
        <f t="shared" si="5"/>
        <v>-0.49151649931849778</v>
      </c>
      <c r="P35" s="1"/>
      <c r="Q35" s="1"/>
    </row>
    <row r="36" spans="2:17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0"/>
        <v>54.48</v>
      </c>
      <c r="G36" s="40">
        <f t="shared" si="1"/>
        <v>73.244493392070495</v>
      </c>
      <c r="H36" s="27">
        <v>18.510000000000002</v>
      </c>
      <c r="I36" s="46">
        <f t="shared" si="2"/>
        <v>0.18999999999999995</v>
      </c>
      <c r="J36" s="43">
        <v>0.81</v>
      </c>
      <c r="K36" s="43">
        <f t="shared" si="3"/>
        <v>0.25271524373740711</v>
      </c>
      <c r="L36" s="27"/>
      <c r="M36" s="47">
        <f t="shared" si="6"/>
        <v>35.560196416674259</v>
      </c>
      <c r="N36" s="39">
        <f t="shared" si="4"/>
        <v>7.9700720863820038</v>
      </c>
      <c r="O36" s="42">
        <f t="shared" si="5"/>
        <v>-0.56941803963360327</v>
      </c>
      <c r="P36" s="1"/>
      <c r="Q36" s="1"/>
    </row>
    <row r="37" spans="2:17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0"/>
        <v>54.48</v>
      </c>
      <c r="G37" s="40">
        <f t="shared" si="1"/>
        <v>89.145925110132168</v>
      </c>
      <c r="H37" s="27">
        <v>22.07</v>
      </c>
      <c r="I37" s="46">
        <f t="shared" si="2"/>
        <v>0.16979999999999995</v>
      </c>
      <c r="J37" s="43">
        <v>0.83020000000000005</v>
      </c>
      <c r="K37" s="43">
        <f t="shared" si="3"/>
        <v>0.24757160770651493</v>
      </c>
      <c r="L37" s="27"/>
      <c r="M37" s="47">
        <f t="shared" si="6"/>
        <v>38.016516984156034</v>
      </c>
      <c r="N37" s="39">
        <f t="shared" si="4"/>
        <v>8.6873785741563854</v>
      </c>
      <c r="O37" s="42">
        <f t="shared" si="5"/>
        <v>-0.60637160968933457</v>
      </c>
      <c r="P37" s="1"/>
      <c r="Q37" s="1"/>
    </row>
    <row r="38" spans="2:17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0"/>
        <v>54.48</v>
      </c>
      <c r="G38" s="40">
        <f t="shared" si="1"/>
        <v>131.25844346549192</v>
      </c>
      <c r="H38" s="27">
        <v>24.34</v>
      </c>
      <c r="I38" s="46">
        <f t="shared" si="2"/>
        <v>0.22809999999999997</v>
      </c>
      <c r="J38" s="43">
        <v>0.77190000000000003</v>
      </c>
      <c r="K38" s="43">
        <f t="shared" si="3"/>
        <v>0.18543568975354358</v>
      </c>
      <c r="L38" s="27"/>
      <c r="M38" s="47">
        <f t="shared" si="6"/>
        <v>40.642507894836612</v>
      </c>
      <c r="N38" s="39">
        <f t="shared" si="4"/>
        <v>9.4692426458304606</v>
      </c>
      <c r="O38" s="42">
        <f t="shared" si="5"/>
        <v>-0.61095962835536322</v>
      </c>
      <c r="P38" s="1"/>
      <c r="Q38" s="1"/>
    </row>
    <row r="39" spans="2:17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0"/>
        <v>54.48</v>
      </c>
      <c r="G39" s="40">
        <f t="shared" si="1"/>
        <v>138.11637298091043</v>
      </c>
      <c r="H39" s="27">
        <v>12.98</v>
      </c>
      <c r="I39" s="46">
        <f t="shared" si="2"/>
        <v>0.31620000000000004</v>
      </c>
      <c r="J39" s="43">
        <v>0.68379999999999996</v>
      </c>
      <c r="K39" s="43">
        <f t="shared" si="3"/>
        <v>9.3978720406986169E-2</v>
      </c>
      <c r="L39" s="27"/>
      <c r="M39" s="47">
        <f t="shared" si="6"/>
        <v>43.449889127672449</v>
      </c>
      <c r="N39" s="39">
        <f t="shared" si="4"/>
        <v>10.321474483955203</v>
      </c>
      <c r="O39" s="42">
        <f t="shared" si="5"/>
        <v>-0.20481706595106294</v>
      </c>
      <c r="P39" s="1"/>
      <c r="Q39" s="1"/>
    </row>
    <row r="40" spans="2:17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0"/>
        <v>61.8749343</v>
      </c>
      <c r="G40" s="40">
        <f t="shared" si="1"/>
        <v>150.70609941641587</v>
      </c>
      <c r="H40" s="27">
        <v>17.329999999999998</v>
      </c>
      <c r="I40" s="46">
        <f t="shared" si="2"/>
        <v>0.33550000000000002</v>
      </c>
      <c r="J40" s="43">
        <v>0.66449999999999998</v>
      </c>
      <c r="K40" s="43">
        <f t="shared" si="3"/>
        <v>0.11499202797436547</v>
      </c>
      <c r="L40" s="27"/>
      <c r="M40" s="47">
        <f t="shared" si="6"/>
        <v>46.451190219166421</v>
      </c>
      <c r="N40" s="39">
        <f t="shared" si="4"/>
        <v>11.250407187511172</v>
      </c>
      <c r="O40" s="42">
        <f t="shared" si="5"/>
        <v>-0.35081320325959764</v>
      </c>
      <c r="P40" s="1"/>
      <c r="Q40" s="1"/>
    </row>
    <row r="41" spans="2:17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0"/>
        <v>79.6998198</v>
      </c>
      <c r="G41" s="40">
        <f t="shared" si="1"/>
        <v>149.65730198551842</v>
      </c>
      <c r="H41" s="27">
        <v>13.18</v>
      </c>
      <c r="I41" s="46">
        <f t="shared" si="2"/>
        <v>0.39780000000000004</v>
      </c>
      <c r="J41" s="43">
        <v>0.60219999999999996</v>
      </c>
      <c r="K41" s="43">
        <f t="shared" si="3"/>
        <v>8.806787123073595E-2</v>
      </c>
      <c r="L41" s="27"/>
      <c r="M41" s="47">
        <f t="shared" si="6"/>
        <v>49.659806183555339</v>
      </c>
      <c r="N41" s="39">
        <f t="shared" si="4"/>
        <v>12.262943834387178</v>
      </c>
      <c r="O41" s="42">
        <f t="shared" si="5"/>
        <v>-6.9579375236177674E-2</v>
      </c>
      <c r="P41" s="1"/>
      <c r="Q41" s="1"/>
    </row>
    <row r="42" spans="2:17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61.314719171935891</v>
      </c>
      <c r="O42" s="27"/>
      <c r="P42" s="1"/>
      <c r="Q42" s="1"/>
    </row>
    <row r="43" spans="2:17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P43" s="1"/>
      <c r="Q43" s="1"/>
    </row>
    <row r="44" spans="2:17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27"/>
      <c r="P44" s="1"/>
      <c r="Q44" s="1"/>
    </row>
    <row r="45" spans="2:17" x14ac:dyDescent="0.3">
      <c r="L45" s="47">
        <v>103</v>
      </c>
      <c r="M45" s="2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45"/>
  <sheetViews>
    <sheetView zoomScale="80" zoomScaleNormal="80" workbookViewId="0">
      <selection activeCell="B17" sqref="B17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 x14ac:dyDescent="0.3">
      <c r="D2" s="6" t="s">
        <v>47</v>
      </c>
    </row>
    <row r="3" spans="2:20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20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 x14ac:dyDescent="0.3">
      <c r="B5" s="18">
        <v>1</v>
      </c>
      <c r="C5" s="1">
        <v>2001</v>
      </c>
      <c r="D5" s="1"/>
      <c r="E5" s="1"/>
      <c r="F5" s="1"/>
      <c r="G5" s="1">
        <v>115.93</v>
      </c>
      <c r="R5" s="194" t="s">
        <v>27</v>
      </c>
      <c r="S5" s="194"/>
    </row>
    <row r="6" spans="2:20" x14ac:dyDescent="0.3">
      <c r="B6" s="18">
        <v>2</v>
      </c>
      <c r="C6" s="1">
        <v>2002</v>
      </c>
      <c r="D6" s="1">
        <v>26.5</v>
      </c>
      <c r="E6" s="1"/>
      <c r="F6" s="1"/>
      <c r="G6" s="1">
        <v>230.21</v>
      </c>
      <c r="R6" s="20" t="s">
        <v>28</v>
      </c>
      <c r="S6" s="21">
        <v>2.61</v>
      </c>
    </row>
    <row r="7" spans="2:20" x14ac:dyDescent="0.3">
      <c r="B7" s="18">
        <v>3</v>
      </c>
      <c r="C7" s="1">
        <v>2003</v>
      </c>
      <c r="D7" s="1">
        <v>31.74</v>
      </c>
      <c r="E7" s="1"/>
      <c r="F7" s="1"/>
      <c r="G7" s="1">
        <v>416.1</v>
      </c>
      <c r="R7" s="20" t="s">
        <v>29</v>
      </c>
      <c r="S7" s="21">
        <v>203.28</v>
      </c>
    </row>
    <row r="8" spans="2:20" x14ac:dyDescent="0.3">
      <c r="B8" s="18">
        <v>4</v>
      </c>
      <c r="C8" s="1">
        <v>2004</v>
      </c>
      <c r="D8" s="1">
        <v>45.28</v>
      </c>
      <c r="E8" s="1"/>
      <c r="F8" s="1"/>
      <c r="G8" s="1">
        <v>512.76</v>
      </c>
      <c r="R8" s="20" t="s">
        <v>30</v>
      </c>
      <c r="S8" s="22">
        <v>20</v>
      </c>
    </row>
    <row r="9" spans="2:20" x14ac:dyDescent="0.3">
      <c r="B9" s="18">
        <v>5</v>
      </c>
      <c r="C9" s="1">
        <v>2005</v>
      </c>
      <c r="D9" s="1">
        <v>42.52</v>
      </c>
      <c r="E9" s="1"/>
      <c r="F9" s="1"/>
      <c r="G9" s="1">
        <v>651.36</v>
      </c>
      <c r="R9" s="23" t="s">
        <v>31</v>
      </c>
      <c r="S9" s="3">
        <f>((S7/S6)^(1/S8))-1</f>
        <v>0.24329076344312006</v>
      </c>
    </row>
    <row r="10" spans="2:20" x14ac:dyDescent="0.3">
      <c r="B10" s="18">
        <v>6</v>
      </c>
      <c r="C10" s="1">
        <v>2006</v>
      </c>
      <c r="D10" s="1">
        <v>46.71</v>
      </c>
      <c r="E10" s="1"/>
      <c r="F10" s="1"/>
      <c r="G10" s="1">
        <v>783.34</v>
      </c>
      <c r="R10" s="23" t="s">
        <v>32</v>
      </c>
      <c r="S10" s="24">
        <v>140</v>
      </c>
    </row>
    <row r="11" spans="2:20" x14ac:dyDescent="0.3">
      <c r="B11" s="18">
        <v>7</v>
      </c>
      <c r="C11" s="1">
        <v>2007</v>
      </c>
      <c r="D11" s="1">
        <v>49.38</v>
      </c>
      <c r="E11" s="1"/>
      <c r="F11" s="1"/>
      <c r="G11" s="1">
        <v>1008.43</v>
      </c>
      <c r="R11" s="20" t="s">
        <v>30</v>
      </c>
      <c r="S11" s="25">
        <f>S10/12</f>
        <v>11.666666666666666</v>
      </c>
    </row>
    <row r="12" spans="2:20" x14ac:dyDescent="0.3">
      <c r="B12" s="1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23" t="s">
        <v>33</v>
      </c>
      <c r="S12" s="3">
        <f>((S7/S6)^(1/S11))-1</f>
        <v>0.45252842827596251</v>
      </c>
    </row>
    <row r="13" spans="2:20" x14ac:dyDescent="0.3">
      <c r="B13" s="1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 x14ac:dyDescent="0.3">
      <c r="B14" s="18">
        <v>10</v>
      </c>
      <c r="C14" s="1">
        <v>2010</v>
      </c>
      <c r="D14" s="1">
        <v>123.39</v>
      </c>
      <c r="E14" s="1"/>
      <c r="F14" s="1"/>
      <c r="G14" s="1">
        <v>706.96</v>
      </c>
      <c r="R14" s="194" t="s">
        <v>36</v>
      </c>
      <c r="S14" s="194"/>
      <c r="T14" s="194"/>
    </row>
    <row r="15" spans="2:20" x14ac:dyDescent="0.3">
      <c r="B15" s="1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29" t="s">
        <v>37</v>
      </c>
      <c r="S15" s="29"/>
      <c r="T15" s="30">
        <v>100000</v>
      </c>
    </row>
    <row r="16" spans="2:20" x14ac:dyDescent="0.3">
      <c r="B16" s="1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29" t="s">
        <v>38</v>
      </c>
      <c r="S16" s="29"/>
      <c r="T16" s="31">
        <v>0.15</v>
      </c>
    </row>
    <row r="17" spans="1:20" x14ac:dyDescent="0.3">
      <c r="B17" s="18"/>
      <c r="C17" s="1"/>
      <c r="D17" s="1"/>
      <c r="E17" s="1"/>
      <c r="F17" s="1"/>
      <c r="G17" s="1"/>
      <c r="R17" s="29" t="s">
        <v>39</v>
      </c>
      <c r="S17" s="29"/>
      <c r="T17" s="32">
        <v>10</v>
      </c>
    </row>
    <row r="18" spans="1:20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R18" s="29" t="s">
        <v>40</v>
      </c>
      <c r="S18" s="29"/>
      <c r="T18" s="33">
        <v>0</v>
      </c>
    </row>
    <row r="19" spans="1:20" x14ac:dyDescent="0.3">
      <c r="B19" s="18"/>
      <c r="C19" s="1" t="s">
        <v>43</v>
      </c>
      <c r="D19" s="1"/>
      <c r="E19" s="1"/>
      <c r="F19" s="1">
        <v>4</v>
      </c>
      <c r="G19" s="1"/>
      <c r="R19" s="34" t="s">
        <v>41</v>
      </c>
      <c r="S19" s="34"/>
      <c r="T19" s="29">
        <f>FV(T16,T17,T18,-T15)</f>
        <v>404555.77357079065</v>
      </c>
    </row>
    <row r="20" spans="1:20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20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20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20" x14ac:dyDescent="0.3">
      <c r="B23" s="18" t="s">
        <v>46</v>
      </c>
      <c r="C23" s="1"/>
      <c r="D23" s="4">
        <v>0.1125</v>
      </c>
      <c r="E23" s="4"/>
      <c r="F23" s="1"/>
      <c r="G23" s="1"/>
    </row>
    <row r="27" spans="1:20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20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59</v>
      </c>
      <c r="P28" s="28" t="s">
        <v>60</v>
      </c>
    </row>
    <row r="29" spans="1:20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1"/>
      <c r="P29" s="1"/>
    </row>
    <row r="30" spans="1:20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 t="shared" ref="K30:K41" si="0">H30/G30</f>
        <v>0.12446159783867232</v>
      </c>
      <c r="L30" s="27"/>
      <c r="M30" s="47"/>
      <c r="N30" s="27"/>
      <c r="O30" s="1"/>
      <c r="P30" s="1"/>
    </row>
    <row r="31" spans="1:20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1">E31/10000000</f>
        <v>44.48</v>
      </c>
      <c r="G31" s="44">
        <f t="shared" ref="G31:G41" si="2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f t="shared" si="0"/>
        <v>0.20342600849350623</v>
      </c>
      <c r="L31" s="48">
        <f>K31*J31</f>
        <v>0.15612946151876603</v>
      </c>
      <c r="M31" s="49">
        <v>25.46</v>
      </c>
      <c r="N31" s="45">
        <f>H31</f>
        <v>5.18</v>
      </c>
      <c r="O31" s="50">
        <f>N31*I31</f>
        <v>1.20435</v>
      </c>
      <c r="P31" s="50">
        <f>N31*J31</f>
        <v>3.9756499999999995</v>
      </c>
    </row>
    <row r="32" spans="1:20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1"/>
        <v>44.48</v>
      </c>
      <c r="G32" s="40">
        <f t="shared" si="2"/>
        <v>32.814523381294961</v>
      </c>
      <c r="H32" s="27">
        <v>9.35</v>
      </c>
      <c r="I32" s="46">
        <f t="shared" ref="I32:I41" si="3">100%-J32</f>
        <v>0.19359999999999999</v>
      </c>
      <c r="J32" s="43">
        <v>0.80640000000000001</v>
      </c>
      <c r="K32" s="43">
        <f t="shared" si="0"/>
        <v>0.28493481046047181</v>
      </c>
      <c r="L32" s="27"/>
      <c r="M32" s="47">
        <f>G31*(1+$L$31)</f>
        <v>29.439453956834537</v>
      </c>
      <c r="N32" s="3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1"/>
        <v>44.48</v>
      </c>
      <c r="G33" s="40">
        <f t="shared" si="2"/>
        <v>46.787095323741013</v>
      </c>
      <c r="H33" s="27">
        <v>9.41</v>
      </c>
      <c r="I33" s="46">
        <f t="shared" si="3"/>
        <v>0.24050000000000005</v>
      </c>
      <c r="J33" s="43">
        <v>0.75949999999999995</v>
      </c>
      <c r="K33" s="43">
        <f t="shared" si="0"/>
        <v>0.20112383414460688</v>
      </c>
      <c r="L33" s="27"/>
      <c r="M33" s="47">
        <f>M32*(1+$L$31)</f>
        <v>34.035820050521622</v>
      </c>
      <c r="N33" s="39">
        <f t="shared" ref="N33:N41" si="4">N32*(1+$K$31)</f>
        <v>7.5018529380184118</v>
      </c>
      <c r="O33" s="1"/>
      <c r="P33" s="1"/>
    </row>
    <row r="34" spans="2:16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1"/>
        <v>54.48</v>
      </c>
      <c r="G34" s="40">
        <f t="shared" si="2"/>
        <v>47.268538913362704</v>
      </c>
      <c r="H34" s="27">
        <v>11.96</v>
      </c>
      <c r="I34" s="46">
        <f t="shared" si="3"/>
        <v>0.22970000000000002</v>
      </c>
      <c r="J34" s="43">
        <v>0.77029999999999998</v>
      </c>
      <c r="K34" s="43">
        <f t="shared" si="0"/>
        <v>0.25302241776334949</v>
      </c>
      <c r="L34" s="27"/>
      <c r="M34" s="47">
        <f t="shared" ref="M34:M41" si="5">M33*(1+$L$31)</f>
        <v>39.349814307359182</v>
      </c>
      <c r="N34" s="39">
        <f t="shared" si="4"/>
        <v>9.0279249375047801</v>
      </c>
      <c r="O34" s="1"/>
      <c r="P34" s="1"/>
    </row>
    <row r="35" spans="2:16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1"/>
        <v>54.48</v>
      </c>
      <c r="G35" s="40">
        <f t="shared" si="2"/>
        <v>583.17621145374449</v>
      </c>
      <c r="H35" s="27">
        <v>14.38</v>
      </c>
      <c r="I35" s="46">
        <f t="shared" si="3"/>
        <v>0.21830000000000005</v>
      </c>
      <c r="J35" s="43">
        <v>0.78169999999999995</v>
      </c>
      <c r="K35" s="43">
        <f t="shared" si="0"/>
        <v>2.4658070266881202E-2</v>
      </c>
      <c r="L35" s="27"/>
      <c r="M35" s="47">
        <f t="shared" si="5"/>
        <v>45.493479626030606</v>
      </c>
      <c r="N35" s="39">
        <f t="shared" si="4"/>
        <v>10.864439672520364</v>
      </c>
      <c r="O35" s="1"/>
      <c r="P35" s="1"/>
    </row>
    <row r="36" spans="2:16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1"/>
        <v>54.48</v>
      </c>
      <c r="G36" s="40">
        <f t="shared" si="2"/>
        <v>73.244493392070495</v>
      </c>
      <c r="H36" s="27">
        <v>18.510000000000002</v>
      </c>
      <c r="I36" s="46">
        <f t="shared" si="3"/>
        <v>0.18999999999999995</v>
      </c>
      <c r="J36" s="43">
        <v>0.81</v>
      </c>
      <c r="K36" s="43">
        <f t="shared" si="0"/>
        <v>0.25271524373740711</v>
      </c>
      <c r="L36" s="27"/>
      <c r="M36" s="47">
        <f t="shared" si="5"/>
        <v>52.596352102657718</v>
      </c>
      <c r="N36" s="39">
        <f t="shared" si="4"/>
        <v>13.074549269619677</v>
      </c>
      <c r="O36" s="1"/>
      <c r="P36" s="1"/>
    </row>
    <row r="37" spans="2:16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1"/>
        <v>54.48</v>
      </c>
      <c r="G37" s="40">
        <f t="shared" si="2"/>
        <v>89.145925110132168</v>
      </c>
      <c r="H37" s="27">
        <v>22.07</v>
      </c>
      <c r="I37" s="46">
        <f t="shared" si="3"/>
        <v>0.16979999999999995</v>
      </c>
      <c r="J37" s="43">
        <v>0.83020000000000005</v>
      </c>
      <c r="K37" s="43">
        <f t="shared" si="0"/>
        <v>0.24757160770651493</v>
      </c>
      <c r="L37" s="27"/>
      <c r="M37" s="47">
        <f t="shared" si="5"/>
        <v>60.808192234297088</v>
      </c>
      <c r="N37" s="39">
        <f t="shared" si="4"/>
        <v>15.734252640390094</v>
      </c>
      <c r="O37" s="1"/>
      <c r="P37" s="1"/>
    </row>
    <row r="38" spans="2:16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1"/>
        <v>54.48</v>
      </c>
      <c r="G38" s="40">
        <f t="shared" si="2"/>
        <v>131.25844346549192</v>
      </c>
      <c r="H38" s="27">
        <v>24.34</v>
      </c>
      <c r="I38" s="46">
        <f t="shared" si="3"/>
        <v>0.22809999999999997</v>
      </c>
      <c r="J38" s="43">
        <v>0.77190000000000003</v>
      </c>
      <c r="K38" s="43">
        <f t="shared" si="0"/>
        <v>0.18543568975354358</v>
      </c>
      <c r="L38" s="27"/>
      <c r="M38" s="47">
        <f t="shared" si="5"/>
        <v>70.302142543767502</v>
      </c>
      <c r="N38" s="39">
        <f t="shared" si="4"/>
        <v>18.935008851653063</v>
      </c>
      <c r="O38" s="1"/>
      <c r="P38" s="1"/>
    </row>
    <row r="39" spans="2:16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1"/>
        <v>54.48</v>
      </c>
      <c r="G39" s="40">
        <f t="shared" si="2"/>
        <v>138.11637298091043</v>
      </c>
      <c r="H39" s="27">
        <v>12.98</v>
      </c>
      <c r="I39" s="46">
        <f t="shared" si="3"/>
        <v>0.31620000000000004</v>
      </c>
      <c r="J39" s="43">
        <v>0.68379999999999996</v>
      </c>
      <c r="K39" s="43">
        <f t="shared" si="0"/>
        <v>9.3978720406986169E-2</v>
      </c>
      <c r="L39" s="27"/>
      <c r="M39" s="47">
        <f t="shared" si="5"/>
        <v>81.27837820274145</v>
      </c>
      <c r="N39" s="39">
        <f t="shared" si="4"/>
        <v>22.786882123134053</v>
      </c>
      <c r="O39" s="1"/>
      <c r="P39" s="1"/>
    </row>
    <row r="40" spans="2:16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1"/>
        <v>61.8749343</v>
      </c>
      <c r="G40" s="40">
        <f t="shared" si="2"/>
        <v>150.70609941641587</v>
      </c>
      <c r="H40" s="27">
        <v>17.329999999999998</v>
      </c>
      <c r="I40" s="46">
        <f t="shared" si="3"/>
        <v>0.33550000000000002</v>
      </c>
      <c r="J40" s="43">
        <v>0.66449999999999998</v>
      </c>
      <c r="K40" s="43">
        <f t="shared" si="0"/>
        <v>0.11499202797436547</v>
      </c>
      <c r="L40" s="27"/>
      <c r="M40" s="47">
        <f t="shared" si="5"/>
        <v>93.96832762465408</v>
      </c>
      <c r="N40" s="39">
        <f t="shared" si="4"/>
        <v>27.422326599455246</v>
      </c>
      <c r="O40" s="1"/>
      <c r="P40" s="1"/>
    </row>
    <row r="41" spans="2:16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1"/>
        <v>79.6998198</v>
      </c>
      <c r="G41" s="40">
        <f t="shared" si="2"/>
        <v>149.65730198551842</v>
      </c>
      <c r="H41" s="27">
        <v>13.18</v>
      </c>
      <c r="I41" s="46">
        <f t="shared" si="3"/>
        <v>0.39780000000000004</v>
      </c>
      <c r="J41" s="43">
        <v>0.60219999999999996</v>
      </c>
      <c r="K41" s="43">
        <f t="shared" si="0"/>
        <v>8.806787123073595E-2</v>
      </c>
      <c r="L41" s="27"/>
      <c r="M41" s="47">
        <f t="shared" si="5"/>
        <v>108.63955201651031</v>
      </c>
      <c r="N41" s="39">
        <f t="shared" si="4"/>
        <v>33.00074104318773</v>
      </c>
      <c r="O41" s="1"/>
      <c r="P41" s="1"/>
    </row>
    <row r="42" spans="2:16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165.00370521593865</v>
      </c>
      <c r="O42" s="1"/>
      <c r="P42" s="1"/>
    </row>
    <row r="43" spans="2:16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O43" s="1"/>
      <c r="P43" s="1"/>
    </row>
    <row r="44" spans="2:16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1"/>
      <c r="P44" s="1"/>
    </row>
    <row r="45" spans="2:16" x14ac:dyDescent="0.3">
      <c r="L45" s="47">
        <v>103</v>
      </c>
      <c r="M45" s="2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8"/>
  <sheetViews>
    <sheetView topLeftCell="A25" zoomScale="90" zoomScaleNormal="90" workbookViewId="0">
      <selection activeCell="G25" sqref="G25"/>
    </sheetView>
  </sheetViews>
  <sheetFormatPr defaultRowHeight="15" x14ac:dyDescent="0.25"/>
  <cols>
    <col min="1" max="1" width="9.140625" style="56"/>
    <col min="2" max="2" width="16.7109375" style="56" bestFit="1" customWidth="1"/>
    <col min="3" max="3" width="11.5703125" style="56" customWidth="1"/>
    <col min="4" max="4" width="12.85546875" style="56" customWidth="1"/>
    <col min="5" max="5" width="12.85546875" style="56" bestFit="1" customWidth="1"/>
    <col min="6" max="6" width="13" style="56" customWidth="1"/>
    <col min="7" max="7" width="11.7109375" style="56" customWidth="1"/>
    <col min="8" max="8" width="12.28515625" style="56" customWidth="1"/>
    <col min="9" max="9" width="12.140625" style="56" bestFit="1" customWidth="1"/>
    <col min="10" max="10" width="11.5703125" style="56" bestFit="1" customWidth="1"/>
    <col min="11" max="11" width="11.28515625" style="56" customWidth="1"/>
    <col min="12" max="16384" width="9.140625" style="56"/>
  </cols>
  <sheetData>
    <row r="2" spans="2:12" x14ac:dyDescent="0.25">
      <c r="B2" s="194" t="s">
        <v>27</v>
      </c>
      <c r="C2" s="194"/>
      <c r="E2" s="194" t="s">
        <v>65</v>
      </c>
      <c r="F2" s="194"/>
      <c r="H2" s="198" t="s">
        <v>36</v>
      </c>
      <c r="I2" s="199"/>
    </row>
    <row r="3" spans="2:12" x14ac:dyDescent="0.25">
      <c r="B3" s="20" t="s">
        <v>28</v>
      </c>
      <c r="C3" s="21">
        <v>2.61</v>
      </c>
      <c r="E3" s="29" t="s">
        <v>41</v>
      </c>
      <c r="F3" s="54">
        <v>399</v>
      </c>
      <c r="H3" s="29" t="s">
        <v>37</v>
      </c>
      <c r="I3" s="30">
        <v>100000</v>
      </c>
    </row>
    <row r="4" spans="2:12" x14ac:dyDescent="0.25">
      <c r="B4" s="20" t="s">
        <v>29</v>
      </c>
      <c r="C4" s="21">
        <v>17</v>
      </c>
      <c r="E4" s="29" t="s">
        <v>38</v>
      </c>
      <c r="F4" s="31">
        <v>0.2</v>
      </c>
      <c r="H4" s="29" t="s">
        <v>38</v>
      </c>
      <c r="I4" s="31">
        <v>0.15</v>
      </c>
    </row>
    <row r="5" spans="2:12" x14ac:dyDescent="0.25">
      <c r="B5" s="20" t="s">
        <v>30</v>
      </c>
      <c r="C5" s="22">
        <v>9</v>
      </c>
      <c r="E5" s="29" t="s">
        <v>39</v>
      </c>
      <c r="F5" s="32">
        <v>10</v>
      </c>
      <c r="H5" s="29" t="s">
        <v>39</v>
      </c>
      <c r="I5" s="32">
        <v>10</v>
      </c>
    </row>
    <row r="6" spans="2:12" x14ac:dyDescent="0.25">
      <c r="B6" s="23" t="s">
        <v>31</v>
      </c>
      <c r="C6" s="3">
        <f>((C4/C3)^(1/C5))-1</f>
        <v>0.23146807384688306</v>
      </c>
      <c r="E6" s="29" t="s">
        <v>40</v>
      </c>
      <c r="F6" s="30">
        <v>0</v>
      </c>
      <c r="H6" s="29" t="s">
        <v>40</v>
      </c>
      <c r="I6" s="33">
        <v>0</v>
      </c>
    </row>
    <row r="7" spans="2:12" x14ac:dyDescent="0.25">
      <c r="E7" s="34" t="s">
        <v>66</v>
      </c>
      <c r="F7" s="55">
        <f>PV(F4,F5,F6,-F3)</f>
        <v>64.440727573048449</v>
      </c>
      <c r="H7" s="34" t="s">
        <v>41</v>
      </c>
      <c r="I7" s="29">
        <f>FV(I4,I5,I6,-I3)</f>
        <v>404555.77357079065</v>
      </c>
    </row>
    <row r="9" spans="2:12" ht="15.75" thickBot="1" x14ac:dyDescent="0.3"/>
    <row r="10" spans="2:12" ht="16.5" thickBot="1" x14ac:dyDescent="0.35">
      <c r="B10" s="86"/>
      <c r="C10" s="87"/>
      <c r="D10" s="195" t="s">
        <v>68</v>
      </c>
      <c r="E10" s="196"/>
      <c r="F10" s="196"/>
      <c r="G10" s="196"/>
      <c r="H10" s="197"/>
      <c r="I10" s="195" t="s">
        <v>72</v>
      </c>
      <c r="J10" s="196"/>
      <c r="K10" s="196"/>
      <c r="L10" s="197"/>
    </row>
    <row r="11" spans="2:12" ht="45" x14ac:dyDescent="0.25">
      <c r="B11" s="88" t="s">
        <v>0</v>
      </c>
      <c r="C11" s="89" t="s">
        <v>71</v>
      </c>
      <c r="D11" s="81" t="s">
        <v>50</v>
      </c>
      <c r="E11" s="82" t="s">
        <v>51</v>
      </c>
      <c r="F11" s="83" t="s">
        <v>52</v>
      </c>
      <c r="G11" s="83" t="s">
        <v>70</v>
      </c>
      <c r="H11" s="84" t="s">
        <v>25</v>
      </c>
      <c r="I11" s="81" t="s">
        <v>50</v>
      </c>
      <c r="J11" s="83" t="s">
        <v>52</v>
      </c>
      <c r="K11" s="83" t="s">
        <v>70</v>
      </c>
      <c r="L11" s="84" t="s">
        <v>25</v>
      </c>
    </row>
    <row r="12" spans="2:12" ht="15.75" x14ac:dyDescent="0.3">
      <c r="B12" s="90">
        <v>0</v>
      </c>
      <c r="C12" s="91">
        <v>2000</v>
      </c>
      <c r="D12" s="66">
        <v>749.84</v>
      </c>
      <c r="E12" s="59"/>
      <c r="F12" s="59"/>
      <c r="G12" s="59"/>
      <c r="H12" s="67"/>
      <c r="I12" s="77"/>
      <c r="J12" s="60"/>
      <c r="K12" s="60"/>
      <c r="L12" s="78"/>
    </row>
    <row r="13" spans="2:12" ht="15.75" x14ac:dyDescent="0.3">
      <c r="B13" s="90">
        <v>1</v>
      </c>
      <c r="C13" s="91">
        <v>2001</v>
      </c>
      <c r="D13" s="66">
        <v>932.76</v>
      </c>
      <c r="E13" s="59">
        <v>444800000</v>
      </c>
      <c r="F13" s="59">
        <f>E13/10000000</f>
        <v>44.48</v>
      </c>
      <c r="G13" s="62">
        <f>D13/F13</f>
        <v>20.970323741007196</v>
      </c>
      <c r="H13" s="68">
        <v>2.61</v>
      </c>
      <c r="I13" s="77"/>
      <c r="J13" s="60"/>
      <c r="K13" s="60"/>
      <c r="L13" s="78"/>
    </row>
    <row r="14" spans="2:12" ht="15.75" x14ac:dyDescent="0.3">
      <c r="B14" s="90">
        <v>2</v>
      </c>
      <c r="C14" s="91">
        <v>2002</v>
      </c>
      <c r="D14" s="66">
        <v>1132.6300000000001</v>
      </c>
      <c r="E14" s="59">
        <v>444800000</v>
      </c>
      <c r="F14" s="59">
        <f t="shared" ref="F14:F24" si="0">E14/10000000</f>
        <v>44.48</v>
      </c>
      <c r="G14" s="62">
        <f t="shared" ref="G14:G24" si="1">D14/F14</f>
        <v>25.463803956834536</v>
      </c>
      <c r="H14" s="68">
        <v>5.18</v>
      </c>
      <c r="I14" s="77"/>
      <c r="J14" s="60"/>
      <c r="K14" s="60"/>
      <c r="L14" s="78"/>
    </row>
    <row r="15" spans="2:12" ht="15.75" x14ac:dyDescent="0.3">
      <c r="B15" s="90">
        <v>3</v>
      </c>
      <c r="C15" s="91">
        <v>2003</v>
      </c>
      <c r="D15" s="66">
        <v>1459.59</v>
      </c>
      <c r="E15" s="59">
        <v>444800000</v>
      </c>
      <c r="F15" s="59">
        <f t="shared" si="0"/>
        <v>44.48</v>
      </c>
      <c r="G15" s="62">
        <f t="shared" si="1"/>
        <v>32.814523381294961</v>
      </c>
      <c r="H15" s="68">
        <v>9.35</v>
      </c>
      <c r="I15" s="77"/>
      <c r="J15" s="60"/>
      <c r="K15" s="60"/>
      <c r="L15" s="78"/>
    </row>
    <row r="16" spans="2:12" ht="15.75" x14ac:dyDescent="0.3">
      <c r="B16" s="90">
        <v>4</v>
      </c>
      <c r="C16" s="91">
        <v>2004</v>
      </c>
      <c r="D16" s="66">
        <v>2081.09</v>
      </c>
      <c r="E16" s="59">
        <v>444800000</v>
      </c>
      <c r="F16" s="59">
        <f t="shared" si="0"/>
        <v>44.48</v>
      </c>
      <c r="G16" s="62">
        <f t="shared" si="1"/>
        <v>46.787095323741013</v>
      </c>
      <c r="H16" s="68">
        <v>9.41</v>
      </c>
      <c r="I16" s="77"/>
      <c r="J16" s="60"/>
      <c r="K16" s="60"/>
      <c r="L16" s="78"/>
    </row>
    <row r="17" spans="2:12" ht="15.75" x14ac:dyDescent="0.3">
      <c r="B17" s="90">
        <v>5</v>
      </c>
      <c r="C17" s="91">
        <v>2005</v>
      </c>
      <c r="D17" s="66">
        <v>2575.19</v>
      </c>
      <c r="E17" s="59">
        <v>544800000</v>
      </c>
      <c r="F17" s="59">
        <f t="shared" si="0"/>
        <v>54.48</v>
      </c>
      <c r="G17" s="62">
        <f t="shared" si="1"/>
        <v>47.268538913362704</v>
      </c>
      <c r="H17" s="68">
        <v>11.96</v>
      </c>
      <c r="I17" s="77"/>
      <c r="J17" s="60"/>
      <c r="K17" s="60"/>
      <c r="L17" s="78"/>
    </row>
    <row r="18" spans="2:12" ht="15.75" x14ac:dyDescent="0.3">
      <c r="B18" s="90">
        <v>6</v>
      </c>
      <c r="C18" s="91">
        <v>2006</v>
      </c>
      <c r="D18" s="66">
        <v>31771.439999999999</v>
      </c>
      <c r="E18" s="59">
        <v>544800000</v>
      </c>
      <c r="F18" s="59">
        <f t="shared" si="0"/>
        <v>54.48</v>
      </c>
      <c r="G18" s="62">
        <f t="shared" si="1"/>
        <v>583.17621145374449</v>
      </c>
      <c r="H18" s="68">
        <v>14.38</v>
      </c>
      <c r="I18" s="77"/>
      <c r="J18" s="60"/>
      <c r="K18" s="60"/>
      <c r="L18" s="78"/>
    </row>
    <row r="19" spans="2:12" ht="15.75" x14ac:dyDescent="0.3">
      <c r="B19" s="90">
        <v>7</v>
      </c>
      <c r="C19" s="91">
        <v>2007</v>
      </c>
      <c r="D19" s="66">
        <v>3990.36</v>
      </c>
      <c r="E19" s="59">
        <v>544800000</v>
      </c>
      <c r="F19" s="59">
        <f t="shared" si="0"/>
        <v>54.48</v>
      </c>
      <c r="G19" s="62">
        <f t="shared" si="1"/>
        <v>73.244493392070495</v>
      </c>
      <c r="H19" s="68">
        <v>18.510000000000002</v>
      </c>
      <c r="I19" s="77"/>
      <c r="J19" s="60"/>
      <c r="K19" s="60"/>
      <c r="L19" s="78"/>
    </row>
    <row r="20" spans="2:12" ht="15.75" x14ac:dyDescent="0.3">
      <c r="B20" s="90">
        <v>8</v>
      </c>
      <c r="C20" s="91">
        <v>2008</v>
      </c>
      <c r="D20" s="66">
        <v>4856.67</v>
      </c>
      <c r="E20" s="59">
        <v>544800000</v>
      </c>
      <c r="F20" s="59">
        <f t="shared" si="0"/>
        <v>54.48</v>
      </c>
      <c r="G20" s="62">
        <f t="shared" si="1"/>
        <v>89.145925110132168</v>
      </c>
      <c r="H20" s="68">
        <v>22.07</v>
      </c>
      <c r="I20" s="77"/>
      <c r="J20" s="60"/>
      <c r="K20" s="60"/>
      <c r="L20" s="78"/>
    </row>
    <row r="21" spans="2:12" ht="15.75" x14ac:dyDescent="0.3">
      <c r="B21" s="90">
        <v>9</v>
      </c>
      <c r="C21" s="91">
        <v>2009</v>
      </c>
      <c r="D21" s="66">
        <v>7150.96</v>
      </c>
      <c r="E21" s="59">
        <v>544800000</v>
      </c>
      <c r="F21" s="59">
        <f t="shared" si="0"/>
        <v>54.48</v>
      </c>
      <c r="G21" s="62">
        <f t="shared" si="1"/>
        <v>131.25844346549192</v>
      </c>
      <c r="H21" s="68">
        <v>24.34</v>
      </c>
      <c r="I21" s="77"/>
      <c r="J21" s="60"/>
      <c r="K21" s="60"/>
      <c r="L21" s="78"/>
    </row>
    <row r="22" spans="2:12" ht="15.75" x14ac:dyDescent="0.3">
      <c r="B22" s="90">
        <v>10</v>
      </c>
      <c r="C22" s="91">
        <v>2010</v>
      </c>
      <c r="D22" s="66">
        <v>7524.58</v>
      </c>
      <c r="E22" s="59">
        <v>544800000</v>
      </c>
      <c r="F22" s="59">
        <f t="shared" si="0"/>
        <v>54.48</v>
      </c>
      <c r="G22" s="62">
        <f t="shared" si="1"/>
        <v>138.11637298091043</v>
      </c>
      <c r="H22" s="68">
        <v>12.98</v>
      </c>
      <c r="I22" s="77"/>
      <c r="J22" s="60"/>
      <c r="K22" s="60"/>
      <c r="L22" s="78"/>
    </row>
    <row r="23" spans="2:12" ht="15.75" x14ac:dyDescent="0.3">
      <c r="B23" s="90">
        <v>11</v>
      </c>
      <c r="C23" s="91">
        <v>2011</v>
      </c>
      <c r="D23" s="66">
        <v>9324.93</v>
      </c>
      <c r="E23" s="59">
        <v>618749343</v>
      </c>
      <c r="F23" s="59">
        <f t="shared" si="0"/>
        <v>61.8749343</v>
      </c>
      <c r="G23" s="62">
        <f t="shared" si="1"/>
        <v>150.70609941641587</v>
      </c>
      <c r="H23" s="68">
        <v>17.329999999999998</v>
      </c>
      <c r="I23" s="77"/>
      <c r="J23" s="60"/>
      <c r="K23" s="60"/>
      <c r="L23" s="78"/>
    </row>
    <row r="24" spans="2:12" ht="15.75" x14ac:dyDescent="0.3">
      <c r="B24" s="90">
        <v>12</v>
      </c>
      <c r="C24" s="91">
        <v>2012</v>
      </c>
      <c r="D24" s="66">
        <v>11927.66</v>
      </c>
      <c r="E24" s="59">
        <v>796998198</v>
      </c>
      <c r="F24" s="59">
        <f t="shared" si="0"/>
        <v>79.6998198</v>
      </c>
      <c r="G24" s="62">
        <f t="shared" si="1"/>
        <v>149.65730198551842</v>
      </c>
      <c r="H24" s="68">
        <v>13.18</v>
      </c>
      <c r="I24" s="77"/>
      <c r="J24" s="60"/>
      <c r="K24" s="60"/>
      <c r="L24" s="78"/>
    </row>
    <row r="25" spans="2:12" ht="15.75" x14ac:dyDescent="0.3">
      <c r="B25" s="90">
        <v>13</v>
      </c>
      <c r="C25" s="91">
        <v>2013</v>
      </c>
      <c r="D25" s="66"/>
      <c r="E25" s="59"/>
      <c r="F25" s="59"/>
      <c r="G25" s="62"/>
      <c r="H25" s="68"/>
      <c r="I25" s="77">
        <f>D24*(1+$D$36)</f>
        <v>15390.259698</v>
      </c>
      <c r="J25" s="60">
        <f>F24*(1+$F$36)</f>
        <v>84.481808987999997</v>
      </c>
      <c r="K25" s="63">
        <f>G24*(1+$G$36)</f>
        <v>182.16286797677301</v>
      </c>
      <c r="L25" s="79">
        <f>H24*(1+$H$36)</f>
        <v>15.497043999999999</v>
      </c>
    </row>
    <row r="26" spans="2:12" ht="15.75" x14ac:dyDescent="0.3">
      <c r="B26" s="90">
        <v>14</v>
      </c>
      <c r="C26" s="91">
        <v>2014</v>
      </c>
      <c r="D26" s="66"/>
      <c r="E26" s="59"/>
      <c r="F26" s="59"/>
      <c r="G26" s="62"/>
      <c r="H26" s="68"/>
      <c r="I26" s="77">
        <f>I25*(1+$D$36)</f>
        <v>19858.052088329401</v>
      </c>
      <c r="J26" s="60">
        <f>J25*(1+$F$36)</f>
        <v>89.55071752728</v>
      </c>
      <c r="K26" s="63">
        <f>K25*(1+$G$36)</f>
        <v>221.72864290132813</v>
      </c>
      <c r="L26" s="79">
        <f>L25*(1+$H$36)</f>
        <v>18.221424335199998</v>
      </c>
    </row>
    <row r="27" spans="2:12" ht="15.75" x14ac:dyDescent="0.3">
      <c r="B27" s="90">
        <v>15</v>
      </c>
      <c r="C27" s="91">
        <v>2015</v>
      </c>
      <c r="D27" s="66"/>
      <c r="E27" s="59"/>
      <c r="F27" s="59"/>
      <c r="G27" s="62"/>
      <c r="H27" s="68"/>
      <c r="I27" s="77">
        <f t="shared" ref="I27:I34" si="2">I26*(1+$D$36)</f>
        <v>25622.844609571428</v>
      </c>
      <c r="J27" s="60">
        <f t="shared" ref="J27:J34" si="3">J26*(1+$F$36)</f>
        <v>94.923760578916799</v>
      </c>
      <c r="K27" s="63">
        <f t="shared" ref="K27:K34" si="4">K26*(1+$G$36)</f>
        <v>269.88810413949659</v>
      </c>
      <c r="L27" s="79">
        <f t="shared" ref="L27:L34" si="5">L26*(1+$H$36)</f>
        <v>21.424750733328157</v>
      </c>
    </row>
    <row r="28" spans="2:12" ht="15.75" x14ac:dyDescent="0.3">
      <c r="B28" s="90">
        <v>16</v>
      </c>
      <c r="C28" s="91">
        <v>2016</v>
      </c>
      <c r="D28" s="66"/>
      <c r="E28" s="59"/>
      <c r="F28" s="59"/>
      <c r="G28" s="62"/>
      <c r="H28" s="68"/>
      <c r="I28" s="77">
        <f t="shared" si="2"/>
        <v>33061.156399730011</v>
      </c>
      <c r="J28" s="60">
        <f t="shared" si="3"/>
        <v>100.61918621365182</v>
      </c>
      <c r="K28" s="63">
        <f t="shared" si="4"/>
        <v>328.50780035859526</v>
      </c>
      <c r="L28" s="79">
        <f t="shared" si="5"/>
        <v>25.191221912247247</v>
      </c>
    </row>
    <row r="29" spans="2:12" ht="15.75" x14ac:dyDescent="0.3">
      <c r="B29" s="90">
        <v>17</v>
      </c>
      <c r="C29" s="91">
        <v>2017</v>
      </c>
      <c r="D29" s="66"/>
      <c r="E29" s="59"/>
      <c r="F29" s="59"/>
      <c r="G29" s="62"/>
      <c r="H29" s="68"/>
      <c r="I29" s="77">
        <f t="shared" si="2"/>
        <v>42658.810102571631</v>
      </c>
      <c r="J29" s="60">
        <f t="shared" si="3"/>
        <v>106.65633738647092</v>
      </c>
      <c r="K29" s="63">
        <f t="shared" si="4"/>
        <v>399.8596945964822</v>
      </c>
      <c r="L29" s="79">
        <f t="shared" si="5"/>
        <v>29.619838724420312</v>
      </c>
    </row>
    <row r="30" spans="2:12" ht="15.75" x14ac:dyDescent="0.3">
      <c r="B30" s="90">
        <v>18</v>
      </c>
      <c r="C30" s="91">
        <v>2018</v>
      </c>
      <c r="D30" s="66"/>
      <c r="E30" s="59"/>
      <c r="F30" s="59"/>
      <c r="G30" s="62"/>
      <c r="H30" s="68"/>
      <c r="I30" s="77">
        <f t="shared" si="2"/>
        <v>55042.662675348176</v>
      </c>
      <c r="J30" s="60">
        <f t="shared" si="3"/>
        <v>113.05571762965918</v>
      </c>
      <c r="K30" s="63">
        <f t="shared" si="4"/>
        <v>486.70922026283813</v>
      </c>
      <c r="L30" s="79">
        <f t="shared" si="5"/>
        <v>34.8270063721734</v>
      </c>
    </row>
    <row r="31" spans="2:12" ht="15.75" x14ac:dyDescent="0.3">
      <c r="B31" s="90">
        <v>19</v>
      </c>
      <c r="C31" s="91">
        <v>2019</v>
      </c>
      <c r="D31" s="66"/>
      <c r="E31" s="59"/>
      <c r="F31" s="59"/>
      <c r="G31" s="62"/>
      <c r="H31" s="68"/>
      <c r="I31" s="77">
        <f t="shared" si="2"/>
        <v>71021.547650001754</v>
      </c>
      <c r="J31" s="60">
        <f t="shared" si="3"/>
        <v>119.83906068743875</v>
      </c>
      <c r="K31" s="63">
        <f t="shared" si="4"/>
        <v>592.42246290392666</v>
      </c>
      <c r="L31" s="79">
        <f t="shared" si="5"/>
        <v>40.949594092401483</v>
      </c>
    </row>
    <row r="32" spans="2:12" ht="15.75" x14ac:dyDescent="0.3">
      <c r="B32" s="90">
        <v>20</v>
      </c>
      <c r="C32" s="91">
        <v>2020</v>
      </c>
      <c r="D32" s="66"/>
      <c r="E32" s="59"/>
      <c r="F32" s="59"/>
      <c r="G32" s="62"/>
      <c r="H32" s="68"/>
      <c r="I32" s="77">
        <f t="shared" si="2"/>
        <v>91639.102932797265</v>
      </c>
      <c r="J32" s="60">
        <f t="shared" si="3"/>
        <v>127.02940432868508</v>
      </c>
      <c r="K32" s="63">
        <f t="shared" si="4"/>
        <v>721.09662184665956</v>
      </c>
      <c r="L32" s="79">
        <f t="shared" si="5"/>
        <v>48.148532733845663</v>
      </c>
    </row>
    <row r="33" spans="2:12" ht="15.75" x14ac:dyDescent="0.3">
      <c r="B33" s="90">
        <v>21</v>
      </c>
      <c r="C33" s="91">
        <v>2021</v>
      </c>
      <c r="D33" s="66"/>
      <c r="E33" s="59"/>
      <c r="F33" s="59"/>
      <c r="G33" s="62"/>
      <c r="H33" s="68"/>
      <c r="I33" s="77">
        <f t="shared" si="2"/>
        <v>118241.93451418831</v>
      </c>
      <c r="J33" s="60">
        <f t="shared" si="3"/>
        <v>134.65116858840619</v>
      </c>
      <c r="K33" s="63">
        <f t="shared" si="4"/>
        <v>877.71880811175402</v>
      </c>
      <c r="L33" s="79">
        <f t="shared" si="5"/>
        <v>56.613044788455731</v>
      </c>
    </row>
    <row r="34" spans="2:12" ht="15.75" x14ac:dyDescent="0.3">
      <c r="B34" s="90">
        <v>22</v>
      </c>
      <c r="C34" s="91">
        <v>2022</v>
      </c>
      <c r="D34" s="66"/>
      <c r="E34" s="59"/>
      <c r="F34" s="59"/>
      <c r="G34" s="62"/>
      <c r="H34" s="68"/>
      <c r="I34" s="77">
        <f t="shared" si="2"/>
        <v>152567.56810365716</v>
      </c>
      <c r="J34" s="60">
        <f t="shared" si="3"/>
        <v>142.73023870371057</v>
      </c>
      <c r="K34" s="63">
        <f t="shared" si="4"/>
        <v>1068.359333233627</v>
      </c>
      <c r="L34" s="79">
        <f t="shared" si="5"/>
        <v>66.565618062266253</v>
      </c>
    </row>
    <row r="35" spans="2:12" ht="15.75" x14ac:dyDescent="0.3">
      <c r="B35" s="90"/>
      <c r="C35" s="91"/>
      <c r="D35" s="66"/>
      <c r="E35" s="59"/>
      <c r="F35" s="59"/>
      <c r="G35" s="62"/>
      <c r="H35" s="68"/>
      <c r="I35" s="77"/>
      <c r="J35" s="60"/>
      <c r="K35" s="63"/>
      <c r="L35" s="79"/>
    </row>
    <row r="36" spans="2:12" ht="15.75" x14ac:dyDescent="0.3">
      <c r="B36" s="90"/>
      <c r="C36" s="92" t="s">
        <v>1</v>
      </c>
      <c r="D36" s="93">
        <v>0.2903</v>
      </c>
      <c r="E36" s="61" t="s">
        <v>69</v>
      </c>
      <c r="F36" s="94">
        <v>0.06</v>
      </c>
      <c r="G36" s="5">
        <v>0.2172</v>
      </c>
      <c r="H36" s="95">
        <v>0.17580000000000001</v>
      </c>
      <c r="I36" s="96"/>
      <c r="J36" s="57"/>
      <c r="K36" s="4"/>
      <c r="L36" s="97"/>
    </row>
    <row r="37" spans="2:12" ht="15.75" x14ac:dyDescent="0.3">
      <c r="B37" s="90"/>
      <c r="C37" s="92" t="s">
        <v>76</v>
      </c>
      <c r="D37" s="96"/>
      <c r="E37" s="18"/>
      <c r="F37" s="57"/>
      <c r="G37" s="4"/>
      <c r="H37" s="97"/>
      <c r="I37" s="96"/>
      <c r="J37" s="57"/>
      <c r="K37" s="63">
        <f>I34/J34</f>
        <v>1068.9225316883803</v>
      </c>
      <c r="L37" s="97"/>
    </row>
    <row r="38" spans="2:12" ht="15.75" x14ac:dyDescent="0.3">
      <c r="B38" s="90"/>
      <c r="C38" s="92"/>
      <c r="D38" s="96"/>
      <c r="E38" s="18"/>
      <c r="F38" s="57"/>
      <c r="G38" s="4"/>
      <c r="H38" s="97"/>
      <c r="I38" s="96"/>
      <c r="J38" s="57"/>
      <c r="K38" s="4"/>
      <c r="L38" s="97"/>
    </row>
    <row r="39" spans="2:12" ht="15.75" x14ac:dyDescent="0.3">
      <c r="B39" s="90"/>
      <c r="C39" s="91" t="s">
        <v>74</v>
      </c>
      <c r="D39" s="69">
        <v>6</v>
      </c>
      <c r="E39" s="1"/>
      <c r="F39" s="1"/>
      <c r="G39" s="65"/>
      <c r="H39" s="70">
        <f>H24*D39</f>
        <v>79.08</v>
      </c>
      <c r="I39" s="72"/>
      <c r="J39" s="58"/>
      <c r="K39" s="64"/>
      <c r="L39" s="80">
        <f>L34*D39</f>
        <v>399.39370837359752</v>
      </c>
    </row>
    <row r="40" spans="2:12" x14ac:dyDescent="0.25">
      <c r="B40" s="72"/>
      <c r="C40" s="73" t="s">
        <v>73</v>
      </c>
      <c r="D40" s="71">
        <v>1</v>
      </c>
      <c r="E40" s="58"/>
      <c r="F40" s="58"/>
      <c r="G40" s="65">
        <f>G24*D40</f>
        <v>149.65730198551842</v>
      </c>
      <c r="H40" s="70"/>
      <c r="I40" s="72"/>
      <c r="J40" s="58"/>
      <c r="K40" s="64">
        <f>K34*D40</f>
        <v>1068.359333233627</v>
      </c>
      <c r="L40" s="80"/>
    </row>
    <row r="41" spans="2:12" x14ac:dyDescent="0.25">
      <c r="B41" s="72"/>
      <c r="C41" s="73"/>
      <c r="D41" s="72"/>
      <c r="E41" s="58"/>
      <c r="F41" s="58"/>
      <c r="G41" s="58"/>
      <c r="H41" s="73"/>
      <c r="I41" s="72"/>
      <c r="J41" s="58"/>
      <c r="K41" s="64"/>
      <c r="L41" s="80"/>
    </row>
    <row r="42" spans="2:12" x14ac:dyDescent="0.25">
      <c r="B42" s="72"/>
      <c r="C42" s="73" t="s">
        <v>75</v>
      </c>
      <c r="D42" s="85">
        <v>0.2</v>
      </c>
      <c r="E42" s="58"/>
      <c r="F42" s="58"/>
      <c r="G42" s="58"/>
      <c r="H42" s="73"/>
      <c r="I42" s="72"/>
      <c r="J42" s="58"/>
      <c r="K42" s="64"/>
      <c r="L42" s="80"/>
    </row>
    <row r="43" spans="2:12" x14ac:dyDescent="0.25">
      <c r="B43" s="72"/>
      <c r="C43" s="73" t="s">
        <v>66</v>
      </c>
      <c r="D43" s="72"/>
      <c r="E43" s="58"/>
      <c r="F43" s="58"/>
      <c r="G43" s="58"/>
      <c r="H43" s="73"/>
      <c r="I43" s="72"/>
      <c r="J43" s="58"/>
      <c r="K43" s="58">
        <v>172</v>
      </c>
      <c r="L43" s="73">
        <v>64</v>
      </c>
    </row>
    <row r="44" spans="2:12" x14ac:dyDescent="0.25">
      <c r="B44" s="72"/>
      <c r="C44" s="73"/>
      <c r="D44" s="72"/>
      <c r="E44" s="58"/>
      <c r="F44" s="58"/>
      <c r="G44" s="58"/>
      <c r="H44" s="73"/>
      <c r="I44" s="72"/>
      <c r="J44" s="58"/>
      <c r="K44" s="58"/>
      <c r="L44" s="73"/>
    </row>
    <row r="45" spans="2:12" x14ac:dyDescent="0.25">
      <c r="B45" s="72"/>
      <c r="C45" s="73"/>
      <c r="D45" s="72"/>
      <c r="E45" s="58"/>
      <c r="F45" s="58"/>
      <c r="G45" s="58"/>
      <c r="H45" s="73"/>
      <c r="I45" s="72"/>
      <c r="J45" s="58"/>
      <c r="K45" s="58"/>
      <c r="L45" s="73"/>
    </row>
    <row r="46" spans="2:12" x14ac:dyDescent="0.25">
      <c r="B46" s="72"/>
      <c r="C46" s="73"/>
      <c r="D46" s="72"/>
      <c r="E46" s="58"/>
      <c r="F46" s="58"/>
      <c r="G46" s="58"/>
      <c r="H46" s="73"/>
      <c r="I46" s="72"/>
      <c r="J46" s="58"/>
      <c r="K46" s="58"/>
      <c r="L46" s="73"/>
    </row>
    <row r="47" spans="2:12" x14ac:dyDescent="0.25">
      <c r="B47" s="72"/>
      <c r="C47" s="73"/>
      <c r="D47" s="72"/>
      <c r="E47" s="58"/>
      <c r="F47" s="58"/>
      <c r="G47" s="58"/>
      <c r="H47" s="73"/>
      <c r="I47" s="72"/>
      <c r="J47" s="58"/>
      <c r="K47" s="58"/>
      <c r="L47" s="73"/>
    </row>
    <row r="48" spans="2:12" ht="15.75" thickBot="1" x14ac:dyDescent="0.3">
      <c r="B48" s="74"/>
      <c r="C48" s="76"/>
      <c r="D48" s="74"/>
      <c r="E48" s="75"/>
      <c r="F48" s="75"/>
      <c r="G48" s="75"/>
      <c r="H48" s="76"/>
      <c r="I48" s="74"/>
      <c r="J48" s="75"/>
      <c r="K48" s="75"/>
      <c r="L48" s="7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1 - Eval Steps</vt:lpstr>
      <vt:lpstr>2 - Analysis</vt:lpstr>
      <vt:lpstr>3 - Forecast</vt:lpstr>
      <vt:lpstr>BV calc</vt:lpstr>
      <vt:lpstr>Sheet1</vt:lpstr>
      <vt:lpstr>IOB</vt:lpstr>
      <vt:lpstr>Template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2014-01-16T12:23:07Z</dcterms:modified>
</cp:coreProperties>
</file>
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25725"/>
</workbook>
</file>

<file path=xl/calcChain.xml><?xml version="1.0" encoding="utf-8"?>
<calcChain xmlns="http://schemas.openxmlformats.org/spreadsheetml/2006/main">
  <c r="P15" i="18"/>
  <c r="P24"/>
  <c r="D59"/>
  <c r="E59"/>
  <c r="F59"/>
  <c r="G59"/>
  <c r="H59"/>
  <c r="I59"/>
  <c r="J59"/>
  <c r="K59"/>
  <c r="L59"/>
  <c r="M59"/>
  <c r="N59"/>
  <c r="O59"/>
  <c r="P59"/>
  <c r="C59"/>
  <c r="T38"/>
  <c r="U38" s="1"/>
  <c r="V38" s="1"/>
  <c r="W38" s="1"/>
  <c r="X38" s="1"/>
  <c r="Y38" s="1"/>
  <c r="Z38" s="1"/>
  <c r="AA38" s="1"/>
  <c r="AB38" s="1"/>
  <c r="AB59" s="1"/>
  <c r="S38"/>
  <c r="S59" s="1"/>
  <c r="Q38"/>
  <c r="Y59" l="1"/>
  <c r="U59"/>
  <c r="X59"/>
  <c r="T59"/>
  <c r="Z59"/>
  <c r="V59"/>
  <c r="AA59"/>
  <c r="W59"/>
  <c r="AC38"/>
  <c r="AE38" s="1"/>
  <c r="U28" l="1"/>
  <c r="X28"/>
  <c r="AA28"/>
  <c r="S28"/>
  <c r="V28" s="1"/>
  <c r="Y28" s="1"/>
  <c r="AB28" s="1"/>
  <c r="AC28" s="1"/>
  <c r="C69"/>
  <c r="D69"/>
  <c r="E69"/>
  <c r="F69"/>
  <c r="G69"/>
  <c r="H69"/>
  <c r="I69"/>
  <c r="J69"/>
  <c r="K69"/>
  <c r="L69"/>
  <c r="M69"/>
  <c r="N69"/>
  <c r="O69"/>
  <c r="C70"/>
  <c r="D70"/>
  <c r="E70"/>
  <c r="F70"/>
  <c r="G70"/>
  <c r="H70"/>
  <c r="I70"/>
  <c r="J70"/>
  <c r="K70"/>
  <c r="L70"/>
  <c r="M70"/>
  <c r="N70"/>
  <c r="O70"/>
  <c r="C71"/>
  <c r="D71"/>
  <c r="E71"/>
  <c r="F71"/>
  <c r="G71"/>
  <c r="H71"/>
  <c r="I71"/>
  <c r="J71"/>
  <c r="K71"/>
  <c r="L71"/>
  <c r="M71"/>
  <c r="N71"/>
  <c r="O71"/>
  <c r="P71"/>
  <c r="P70"/>
  <c r="P69"/>
  <c r="C77"/>
  <c r="D77"/>
  <c r="E77"/>
  <c r="F77"/>
  <c r="G77"/>
  <c r="H77"/>
  <c r="I77"/>
  <c r="J77"/>
  <c r="K77"/>
  <c r="L77"/>
  <c r="M77"/>
  <c r="N77"/>
  <c r="O77"/>
  <c r="P77"/>
  <c r="C75"/>
  <c r="D75"/>
  <c r="E75"/>
  <c r="C76"/>
  <c r="D76"/>
  <c r="E76"/>
  <c r="F76"/>
  <c r="G76"/>
  <c r="H76"/>
  <c r="I76"/>
  <c r="J76"/>
  <c r="K76"/>
  <c r="L76"/>
  <c r="M76"/>
  <c r="N76"/>
  <c r="O76"/>
  <c r="F75"/>
  <c r="G75"/>
  <c r="H75"/>
  <c r="I75"/>
  <c r="J75"/>
  <c r="K75"/>
  <c r="L75"/>
  <c r="M75"/>
  <c r="N75"/>
  <c r="O75"/>
  <c r="P76"/>
  <c r="G35"/>
  <c r="G33"/>
  <c r="G27"/>
  <c r="G11"/>
  <c r="G8"/>
  <c r="G25"/>
  <c r="Q71" l="1"/>
  <c r="Q70"/>
  <c r="Q77"/>
  <c r="Q69"/>
  <c r="Q76"/>
  <c r="AE28"/>
  <c r="P75"/>
  <c r="Q75" s="1"/>
  <c r="C134"/>
  <c r="D134"/>
  <c r="E134"/>
  <c r="F134"/>
  <c r="C135"/>
  <c r="D135"/>
  <c r="E135"/>
  <c r="F135"/>
  <c r="C136"/>
  <c r="D136"/>
  <c r="E136"/>
  <c r="F136"/>
  <c r="H136"/>
  <c r="I136"/>
  <c r="J136"/>
  <c r="K136"/>
  <c r="L136"/>
  <c r="M136"/>
  <c r="N136"/>
  <c r="O136"/>
  <c r="P136"/>
  <c r="G136"/>
  <c r="H135"/>
  <c r="I135"/>
  <c r="J135"/>
  <c r="K135"/>
  <c r="L135"/>
  <c r="M135"/>
  <c r="N135"/>
  <c r="O135"/>
  <c r="P135"/>
  <c r="G135"/>
  <c r="H134"/>
  <c r="I134"/>
  <c r="J134"/>
  <c r="K134"/>
  <c r="L134"/>
  <c r="M134"/>
  <c r="N134"/>
  <c r="O134"/>
  <c r="P134"/>
  <c r="G134"/>
  <c r="H42"/>
  <c r="I42"/>
  <c r="J42"/>
  <c r="K42"/>
  <c r="L42"/>
  <c r="M42"/>
  <c r="N42"/>
  <c r="O42"/>
  <c r="P42"/>
  <c r="C42"/>
  <c r="D42"/>
  <c r="E42"/>
  <c r="F42"/>
  <c r="G42"/>
  <c r="G44"/>
  <c r="H41"/>
  <c r="I41"/>
  <c r="J41"/>
  <c r="K41"/>
  <c r="L41"/>
  <c r="M41"/>
  <c r="N41"/>
  <c r="O41"/>
  <c r="P41"/>
  <c r="C41"/>
  <c r="D41"/>
  <c r="E41"/>
  <c r="F41"/>
  <c r="G41"/>
  <c r="P35"/>
  <c r="O35"/>
  <c r="N35"/>
  <c r="M35"/>
  <c r="L35"/>
  <c r="K35"/>
  <c r="J35"/>
  <c r="I35"/>
  <c r="H35"/>
  <c r="P33"/>
  <c r="O33"/>
  <c r="N33"/>
  <c r="M33"/>
  <c r="L33"/>
  <c r="K33"/>
  <c r="J33"/>
  <c r="I33"/>
  <c r="H33"/>
  <c r="P27"/>
  <c r="O27"/>
  <c r="N27"/>
  <c r="M27"/>
  <c r="L27"/>
  <c r="K27"/>
  <c r="J27"/>
  <c r="I27"/>
  <c r="H27"/>
  <c r="P25"/>
  <c r="O25"/>
  <c r="N25"/>
  <c r="M25"/>
  <c r="L25"/>
  <c r="K25"/>
  <c r="J25"/>
  <c r="I25"/>
  <c r="H25"/>
  <c r="P11"/>
  <c r="O11"/>
  <c r="N11"/>
  <c r="M11"/>
  <c r="L11"/>
  <c r="K11"/>
  <c r="J11"/>
  <c r="I11"/>
  <c r="H11"/>
  <c r="I8"/>
  <c r="J8"/>
  <c r="K8"/>
  <c r="L8"/>
  <c r="M8"/>
  <c r="N8"/>
  <c r="O8"/>
  <c r="P8"/>
  <c r="H8"/>
  <c r="Q36"/>
  <c r="S32"/>
  <c r="Q32"/>
  <c r="T32" l="1"/>
  <c r="Q136"/>
  <c r="Q42"/>
  <c r="Q41"/>
  <c r="Q135"/>
  <c r="Q134"/>
  <c r="Q28"/>
  <c r="T28" s="1"/>
  <c r="W28" s="1"/>
  <c r="Z28" s="1"/>
  <c r="Q30"/>
  <c r="U32" l="1"/>
  <c r="I66"/>
  <c r="J66"/>
  <c r="K66"/>
  <c r="L66"/>
  <c r="M66"/>
  <c r="N66"/>
  <c r="O66"/>
  <c r="P66"/>
  <c r="I67"/>
  <c r="J67"/>
  <c r="K67"/>
  <c r="L67"/>
  <c r="M67"/>
  <c r="N67"/>
  <c r="O67"/>
  <c r="P67"/>
  <c r="I61"/>
  <c r="I63" s="1"/>
  <c r="J61"/>
  <c r="J63" s="1"/>
  <c r="K61"/>
  <c r="K63" s="1"/>
  <c r="L61"/>
  <c r="L63" s="1"/>
  <c r="M61"/>
  <c r="M63" s="1"/>
  <c r="N61"/>
  <c r="N63" s="1"/>
  <c r="O61"/>
  <c r="O63" s="1"/>
  <c r="P61"/>
  <c r="P63" s="1"/>
  <c r="I64"/>
  <c r="J64"/>
  <c r="K64"/>
  <c r="L64"/>
  <c r="M64"/>
  <c r="N64"/>
  <c r="O64"/>
  <c r="P64"/>
  <c r="I65"/>
  <c r="J65"/>
  <c r="K65"/>
  <c r="L65"/>
  <c r="M65"/>
  <c r="N65"/>
  <c r="O65"/>
  <c r="P65"/>
  <c r="C64"/>
  <c r="D64"/>
  <c r="E64"/>
  <c r="F64"/>
  <c r="G64"/>
  <c r="C65"/>
  <c r="D65"/>
  <c r="E65"/>
  <c r="F65"/>
  <c r="G65"/>
  <c r="C66"/>
  <c r="D66"/>
  <c r="E66"/>
  <c r="F66"/>
  <c r="G66"/>
  <c r="C67"/>
  <c r="D67"/>
  <c r="E67"/>
  <c r="F67"/>
  <c r="G67"/>
  <c r="H67"/>
  <c r="H66"/>
  <c r="S22"/>
  <c r="T22" s="1"/>
  <c r="U22" s="1"/>
  <c r="V22" s="1"/>
  <c r="W22" s="1"/>
  <c r="X22" s="1"/>
  <c r="Y22" s="1"/>
  <c r="Z22" s="1"/>
  <c r="AA22" s="1"/>
  <c r="AB22" s="1"/>
  <c r="Q22"/>
  <c r="S21"/>
  <c r="T21" s="1"/>
  <c r="U21" s="1"/>
  <c r="V21" s="1"/>
  <c r="W21" s="1"/>
  <c r="X21" s="1"/>
  <c r="Y21" s="1"/>
  <c r="Z21" s="1"/>
  <c r="AA21" s="1"/>
  <c r="AB21" s="1"/>
  <c r="AC21" s="1"/>
  <c r="S20"/>
  <c r="Q19"/>
  <c r="C61"/>
  <c r="C63" s="1"/>
  <c r="D61"/>
  <c r="D63" s="1"/>
  <c r="E61"/>
  <c r="E63" s="1"/>
  <c r="F61"/>
  <c r="F63" s="1"/>
  <c r="G61"/>
  <c r="G63" s="1"/>
  <c r="H61"/>
  <c r="H63" s="1"/>
  <c r="H65"/>
  <c r="H64"/>
  <c r="V32" l="1"/>
  <c r="Q66"/>
  <c r="Q67"/>
  <c r="Q65"/>
  <c r="Q63"/>
  <c r="Q64"/>
  <c r="AC22"/>
  <c r="AE22" s="1"/>
  <c r="Q21"/>
  <c r="Q20"/>
  <c r="Q61"/>
  <c r="S19"/>
  <c r="T19" s="1"/>
  <c r="T20"/>
  <c r="AE21"/>
  <c r="S109"/>
  <c r="Q59"/>
  <c r="Q121"/>
  <c r="U19" l="1"/>
  <c r="V19" s="1"/>
  <c r="W19" s="1"/>
  <c r="X19" s="1"/>
  <c r="Y19" s="1"/>
  <c r="Z19" s="1"/>
  <c r="AA19" s="1"/>
  <c r="AB19" s="1"/>
  <c r="AC19" s="1"/>
  <c r="AE19" s="1"/>
  <c r="T61"/>
  <c r="S61"/>
  <c r="U20"/>
  <c r="AC59"/>
  <c r="AE59" s="1"/>
  <c r="T109" s="1"/>
  <c r="R109" s="1"/>
  <c r="P129" s="1"/>
  <c r="C18" i="15"/>
  <c r="S9" i="18"/>
  <c r="T9" s="1"/>
  <c r="U9" s="1"/>
  <c r="V9" s="1"/>
  <c r="W9" s="1"/>
  <c r="X9" s="1"/>
  <c r="Y9" s="1"/>
  <c r="Z9" s="1"/>
  <c r="AA9" s="1"/>
  <c r="AB9" s="1"/>
  <c r="Q82"/>
  <c r="Q83"/>
  <c r="Q84"/>
  <c r="Q85"/>
  <c r="Q86"/>
  <c r="Q87"/>
  <c r="Q81"/>
  <c r="Q34"/>
  <c r="Q29"/>
  <c r="Q26"/>
  <c r="Q24"/>
  <c r="Q17"/>
  <c r="Q15"/>
  <c r="Q14"/>
  <c r="Q13"/>
  <c r="Q12"/>
  <c r="Q10"/>
  <c r="Q9"/>
  <c r="Q7"/>
  <c r="Q6"/>
  <c r="S17"/>
  <c r="T17" s="1"/>
  <c r="U17" s="1"/>
  <c r="V17" s="1"/>
  <c r="W17" s="1"/>
  <c r="X17" s="1"/>
  <c r="Y17" s="1"/>
  <c r="Z17" s="1"/>
  <c r="AA17" s="1"/>
  <c r="AB17" s="1"/>
  <c r="S24"/>
  <c r="S26"/>
  <c r="S29"/>
  <c r="T29" s="1"/>
  <c r="U29" s="1"/>
  <c r="V29" s="1"/>
  <c r="W29" s="1"/>
  <c r="X29" s="1"/>
  <c r="Y29" s="1"/>
  <c r="Z29" s="1"/>
  <c r="AA29" s="1"/>
  <c r="AB29" s="1"/>
  <c r="S30"/>
  <c r="T30" s="1"/>
  <c r="U30" s="1"/>
  <c r="V30" s="1"/>
  <c r="W30" s="1"/>
  <c r="X30" s="1"/>
  <c r="Y30" s="1"/>
  <c r="Z30" s="1"/>
  <c r="AA30" s="1"/>
  <c r="AB30" s="1"/>
  <c r="W32"/>
  <c r="O57"/>
  <c r="O125" s="1"/>
  <c r="O56"/>
  <c r="O54"/>
  <c r="O53"/>
  <c r="O51"/>
  <c r="O126" s="1"/>
  <c r="O50"/>
  <c r="O49"/>
  <c r="O47"/>
  <c r="O46"/>
  <c r="O123" s="1"/>
  <c r="O45"/>
  <c r="O44"/>
  <c r="O122" s="1"/>
  <c r="T26" l="1"/>
  <c r="X32"/>
  <c r="T24"/>
  <c r="S75"/>
  <c r="V20"/>
  <c r="U61"/>
  <c r="AC29"/>
  <c r="AE29" s="1"/>
  <c r="AC30"/>
  <c r="AE30" s="1"/>
  <c r="AC17"/>
  <c r="AE17" s="1"/>
  <c r="AC9"/>
  <c r="AE9" s="1"/>
  <c r="O55"/>
  <c r="O124" s="1"/>
  <c r="D51"/>
  <c r="E51"/>
  <c r="F51"/>
  <c r="G51"/>
  <c r="G126" s="1"/>
  <c r="H51"/>
  <c r="H126" s="1"/>
  <c r="I51"/>
  <c r="I126" s="1"/>
  <c r="J51"/>
  <c r="J126" s="1"/>
  <c r="K51"/>
  <c r="K126" s="1"/>
  <c r="L51"/>
  <c r="L126" s="1"/>
  <c r="M51"/>
  <c r="M126" s="1"/>
  <c r="N51"/>
  <c r="N126" s="1"/>
  <c r="P51"/>
  <c r="C51"/>
  <c r="C50"/>
  <c r="U26" l="1"/>
  <c r="U24"/>
  <c r="T75"/>
  <c r="Y32"/>
  <c r="W20"/>
  <c r="V61"/>
  <c r="P126"/>
  <c r="Q126" s="1"/>
  <c r="Q51"/>
  <c r="D50"/>
  <c r="E50"/>
  <c r="F50"/>
  <c r="G50"/>
  <c r="H50"/>
  <c r="I50"/>
  <c r="J50"/>
  <c r="K50"/>
  <c r="L50"/>
  <c r="M50"/>
  <c r="N50"/>
  <c r="P50"/>
  <c r="D49"/>
  <c r="E49"/>
  <c r="F49"/>
  <c r="G49"/>
  <c r="H49"/>
  <c r="I49"/>
  <c r="J49"/>
  <c r="K49"/>
  <c r="L49"/>
  <c r="M49"/>
  <c r="N49"/>
  <c r="P49"/>
  <c r="C49"/>
  <c r="V26" l="1"/>
  <c r="V24"/>
  <c r="U75"/>
  <c r="Z32"/>
  <c r="X20"/>
  <c r="W61"/>
  <c r="Q49"/>
  <c r="Q50"/>
  <c r="C45" i="15"/>
  <c r="W26" i="18" l="1"/>
  <c r="W24"/>
  <c r="V75"/>
  <c r="AA32"/>
  <c r="Y20"/>
  <c r="X61"/>
  <c r="S85"/>
  <c r="T85" s="1"/>
  <c r="U85" s="1"/>
  <c r="V85" s="1"/>
  <c r="W85" s="1"/>
  <c r="X85" s="1"/>
  <c r="Y85" s="1"/>
  <c r="Z85" s="1"/>
  <c r="AA85" s="1"/>
  <c r="AB85" s="1"/>
  <c r="S121"/>
  <c r="C44"/>
  <c r="C122" s="1"/>
  <c r="C126" s="1"/>
  <c r="D44"/>
  <c r="D122" s="1"/>
  <c r="D126" s="1"/>
  <c r="E44"/>
  <c r="E122" s="1"/>
  <c r="E126" s="1"/>
  <c r="F44"/>
  <c r="F122" s="1"/>
  <c r="F126" s="1"/>
  <c r="H44"/>
  <c r="H122" s="1"/>
  <c r="I44"/>
  <c r="I122" s="1"/>
  <c r="J44"/>
  <c r="J122" s="1"/>
  <c r="K44"/>
  <c r="K122" s="1"/>
  <c r="L44"/>
  <c r="M44"/>
  <c r="M122" s="1"/>
  <c r="N44"/>
  <c r="P44"/>
  <c r="P122" s="1"/>
  <c r="D57"/>
  <c r="D125" s="1"/>
  <c r="E57"/>
  <c r="E125" s="1"/>
  <c r="F57"/>
  <c r="F125" s="1"/>
  <c r="G57"/>
  <c r="H57"/>
  <c r="H125" s="1"/>
  <c r="I57"/>
  <c r="I125" s="1"/>
  <c r="J57"/>
  <c r="J125" s="1"/>
  <c r="K57"/>
  <c r="K125" s="1"/>
  <c r="L57"/>
  <c r="L125" s="1"/>
  <c r="M57"/>
  <c r="M125" s="1"/>
  <c r="N57"/>
  <c r="P57"/>
  <c r="D56"/>
  <c r="E56"/>
  <c r="F56"/>
  <c r="G56"/>
  <c r="H56"/>
  <c r="I56"/>
  <c r="J56"/>
  <c r="K56"/>
  <c r="L56"/>
  <c r="M56"/>
  <c r="N56"/>
  <c r="P56"/>
  <c r="D54"/>
  <c r="E54"/>
  <c r="F54"/>
  <c r="G54"/>
  <c r="H54"/>
  <c r="I54"/>
  <c r="J54"/>
  <c r="K54"/>
  <c r="L54"/>
  <c r="M54"/>
  <c r="N54"/>
  <c r="P54"/>
  <c r="D53"/>
  <c r="D55" s="1"/>
  <c r="D124" s="1"/>
  <c r="E53"/>
  <c r="E55" s="1"/>
  <c r="E124" s="1"/>
  <c r="F53"/>
  <c r="G53"/>
  <c r="H53"/>
  <c r="I53"/>
  <c r="J53"/>
  <c r="K53"/>
  <c r="L53"/>
  <c r="M53"/>
  <c r="N53"/>
  <c r="P53"/>
  <c r="D47"/>
  <c r="E47"/>
  <c r="F47"/>
  <c r="G47"/>
  <c r="H47"/>
  <c r="I47"/>
  <c r="J47"/>
  <c r="K47"/>
  <c r="L47"/>
  <c r="M47"/>
  <c r="N47"/>
  <c r="P47"/>
  <c r="D46"/>
  <c r="D123" s="1"/>
  <c r="E46"/>
  <c r="E123" s="1"/>
  <c r="F46"/>
  <c r="F123" s="1"/>
  <c r="G46"/>
  <c r="H46"/>
  <c r="H123" s="1"/>
  <c r="I46"/>
  <c r="I123" s="1"/>
  <c r="J46"/>
  <c r="J123" s="1"/>
  <c r="K46"/>
  <c r="K123" s="1"/>
  <c r="L46"/>
  <c r="L123" s="1"/>
  <c r="M46"/>
  <c r="M123" s="1"/>
  <c r="N46"/>
  <c r="P46"/>
  <c r="C57"/>
  <c r="C125" s="1"/>
  <c r="C56"/>
  <c r="C54"/>
  <c r="C53"/>
  <c r="C47"/>
  <c r="C46"/>
  <c r="C123" s="1"/>
  <c r="D45"/>
  <c r="E45"/>
  <c r="F45"/>
  <c r="G45"/>
  <c r="H45"/>
  <c r="I45"/>
  <c r="J45"/>
  <c r="K45"/>
  <c r="L45"/>
  <c r="M45"/>
  <c r="N45"/>
  <c r="P45"/>
  <c r="C45"/>
  <c r="S14"/>
  <c r="S15"/>
  <c r="S34"/>
  <c r="S10"/>
  <c r="S12"/>
  <c r="S13"/>
  <c r="S7"/>
  <c r="S6"/>
  <c r="H55" l="1"/>
  <c r="H124" s="1"/>
  <c r="X26"/>
  <c r="T14"/>
  <c r="T12"/>
  <c r="T13"/>
  <c r="T10"/>
  <c r="T15"/>
  <c r="T7"/>
  <c r="T6"/>
  <c r="X24"/>
  <c r="W75"/>
  <c r="T34"/>
  <c r="S77"/>
  <c r="S76"/>
  <c r="AB32"/>
  <c r="F55"/>
  <c r="F124" s="1"/>
  <c r="L55"/>
  <c r="L124" s="1"/>
  <c r="K55"/>
  <c r="K124" s="1"/>
  <c r="J55"/>
  <c r="J124" s="1"/>
  <c r="Z20"/>
  <c r="Y61"/>
  <c r="AC85"/>
  <c r="AE85" s="1"/>
  <c r="C55"/>
  <c r="C124" s="1"/>
  <c r="P91"/>
  <c r="T121"/>
  <c r="I55"/>
  <c r="I124" s="1"/>
  <c r="Q45"/>
  <c r="G123"/>
  <c r="Q46"/>
  <c r="Q47"/>
  <c r="Q54"/>
  <c r="Q56"/>
  <c r="G122"/>
  <c r="Q44"/>
  <c r="G125"/>
  <c r="Q57"/>
  <c r="G55"/>
  <c r="Q53"/>
  <c r="N123"/>
  <c r="N122"/>
  <c r="N125"/>
  <c r="P123"/>
  <c r="L122"/>
  <c r="N55"/>
  <c r="M55"/>
  <c r="M124" s="1"/>
  <c r="P125"/>
  <c r="P55"/>
  <c r="S86"/>
  <c r="T86" s="1"/>
  <c r="U86" s="1"/>
  <c r="V86" s="1"/>
  <c r="W86" s="1"/>
  <c r="X86" s="1"/>
  <c r="Y86" s="1"/>
  <c r="Z86" s="1"/>
  <c r="AA86" s="1"/>
  <c r="AB86" s="1"/>
  <c r="S87"/>
  <c r="T87" s="1"/>
  <c r="U87" s="1"/>
  <c r="V87" s="1"/>
  <c r="W87" s="1"/>
  <c r="X87" s="1"/>
  <c r="Y87" s="1"/>
  <c r="Z87" s="1"/>
  <c r="AA87" s="1"/>
  <c r="AB87" s="1"/>
  <c r="S36"/>
  <c r="S49" s="1"/>
  <c r="C6" i="12"/>
  <c r="C25" i="15"/>
  <c r="C57"/>
  <c r="C56"/>
  <c r="C53"/>
  <c r="C52"/>
  <c r="C49"/>
  <c r="C48"/>
  <c r="C44"/>
  <c r="S67" i="18" l="1"/>
  <c r="S69"/>
  <c r="S42"/>
  <c r="S41"/>
  <c r="S50"/>
  <c r="S47"/>
  <c r="S53"/>
  <c r="S46"/>
  <c r="S45"/>
  <c r="S44"/>
  <c r="S71"/>
  <c r="S51"/>
  <c r="S126" s="1"/>
  <c r="S57"/>
  <c r="S125" s="1"/>
  <c r="S54"/>
  <c r="S56"/>
  <c r="S70"/>
  <c r="Y26"/>
  <c r="U13"/>
  <c r="U12"/>
  <c r="U14"/>
  <c r="U10"/>
  <c r="U15"/>
  <c r="U6"/>
  <c r="U7"/>
  <c r="AC32"/>
  <c r="AE32" s="1"/>
  <c r="Y24"/>
  <c r="X75"/>
  <c r="U34"/>
  <c r="T77"/>
  <c r="T76"/>
  <c r="T36"/>
  <c r="S64"/>
  <c r="S65"/>
  <c r="S66"/>
  <c r="S63"/>
  <c r="AA20"/>
  <c r="Z61"/>
  <c r="AC86"/>
  <c r="AE86" s="1"/>
  <c r="AC87"/>
  <c r="AE87" s="1"/>
  <c r="U121"/>
  <c r="Q123"/>
  <c r="Q122"/>
  <c r="Q125"/>
  <c r="G124"/>
  <c r="Q55"/>
  <c r="N124"/>
  <c r="P124"/>
  <c r="S84"/>
  <c r="T84" s="1"/>
  <c r="U84" s="1"/>
  <c r="V84" s="1"/>
  <c r="W84" s="1"/>
  <c r="X84" s="1"/>
  <c r="Y84" s="1"/>
  <c r="Z84" s="1"/>
  <c r="AA84" s="1"/>
  <c r="AB84" s="1"/>
  <c r="S81"/>
  <c r="T81" s="1"/>
  <c r="U81" s="1"/>
  <c r="V81" s="1"/>
  <c r="W81" s="1"/>
  <c r="X81" s="1"/>
  <c r="Y81" s="1"/>
  <c r="Z81" s="1"/>
  <c r="AA81" s="1"/>
  <c r="AB81" s="1"/>
  <c r="S83"/>
  <c r="T83" s="1"/>
  <c r="U83" s="1"/>
  <c r="V83" s="1"/>
  <c r="W83" s="1"/>
  <c r="X83" s="1"/>
  <c r="Y83" s="1"/>
  <c r="Z83" s="1"/>
  <c r="AA83" s="1"/>
  <c r="AB83" s="1"/>
  <c r="S82"/>
  <c r="T82" s="1"/>
  <c r="U82" s="1"/>
  <c r="V82" s="1"/>
  <c r="W82" s="1"/>
  <c r="X82" s="1"/>
  <c r="Y82" s="1"/>
  <c r="Z82" s="1"/>
  <c r="AA82" s="1"/>
  <c r="AB82" s="1"/>
  <c r="C15" i="15"/>
  <c r="C20"/>
  <c r="C9"/>
  <c r="S55" i="18" l="1"/>
  <c r="T67"/>
  <c r="T69"/>
  <c r="T42"/>
  <c r="T41"/>
  <c r="T56"/>
  <c r="T50"/>
  <c r="T57"/>
  <c r="T125" s="1"/>
  <c r="T71"/>
  <c r="T51"/>
  <c r="T126" s="1"/>
  <c r="T53"/>
  <c r="T44"/>
  <c r="T45"/>
  <c r="T54"/>
  <c r="T55" s="1"/>
  <c r="T49"/>
  <c r="T46"/>
  <c r="T47"/>
  <c r="T70"/>
  <c r="Z26"/>
  <c r="V12"/>
  <c r="V14"/>
  <c r="V13"/>
  <c r="V10"/>
  <c r="V15"/>
  <c r="V6"/>
  <c r="U71"/>
  <c r="V7"/>
  <c r="U49"/>
  <c r="V34"/>
  <c r="U77"/>
  <c r="U76"/>
  <c r="Z24"/>
  <c r="Y75"/>
  <c r="U36"/>
  <c r="U51" s="1"/>
  <c r="U126" s="1"/>
  <c r="T66"/>
  <c r="T65"/>
  <c r="T64"/>
  <c r="T63"/>
  <c r="AB20"/>
  <c r="AA61"/>
  <c r="AC83"/>
  <c r="AE83" s="1"/>
  <c r="AC84"/>
  <c r="AE84" s="1"/>
  <c r="AC82"/>
  <c r="AE82" s="1"/>
  <c r="AC81"/>
  <c r="AE81" s="1"/>
  <c r="S124"/>
  <c r="V121"/>
  <c r="S122"/>
  <c r="S123"/>
  <c r="Q124"/>
  <c r="D31" i="8"/>
  <c r="D29"/>
  <c r="D28"/>
  <c r="D13"/>
  <c r="D30" s="1"/>
  <c r="E14"/>
  <c r="F14" s="1"/>
  <c r="G14" s="1"/>
  <c r="H14" s="1"/>
  <c r="I14" s="1"/>
  <c r="U45" i="18" l="1"/>
  <c r="U67"/>
  <c r="U69"/>
  <c r="U42"/>
  <c r="U41"/>
  <c r="U50"/>
  <c r="U46"/>
  <c r="U47"/>
  <c r="U56"/>
  <c r="U44"/>
  <c r="U57"/>
  <c r="U125" s="1"/>
  <c r="U54"/>
  <c r="U53"/>
  <c r="U55" s="1"/>
  <c r="U70"/>
  <c r="AA26"/>
  <c r="W13"/>
  <c r="W12"/>
  <c r="W14"/>
  <c r="W10"/>
  <c r="W15"/>
  <c r="V57"/>
  <c r="V125" s="1"/>
  <c r="W6"/>
  <c r="W7"/>
  <c r="AA24"/>
  <c r="Z75"/>
  <c r="W34"/>
  <c r="V76"/>
  <c r="V77"/>
  <c r="V36"/>
  <c r="V53" s="1"/>
  <c r="U66"/>
  <c r="U64"/>
  <c r="U65"/>
  <c r="U63"/>
  <c r="AC20"/>
  <c r="AE20" s="1"/>
  <c r="AB61"/>
  <c r="T124"/>
  <c r="W121"/>
  <c r="T122"/>
  <c r="T123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V50" i="18" l="1"/>
  <c r="V49"/>
  <c r="V67"/>
  <c r="V69"/>
  <c r="V42"/>
  <c r="V41"/>
  <c r="V51"/>
  <c r="V126" s="1"/>
  <c r="V46"/>
  <c r="V47"/>
  <c r="V44"/>
  <c r="V45"/>
  <c r="V71"/>
  <c r="V56"/>
  <c r="V54"/>
  <c r="V55" s="1"/>
  <c r="V70"/>
  <c r="AB26"/>
  <c r="X12"/>
  <c r="X14"/>
  <c r="X13"/>
  <c r="X10"/>
  <c r="X15"/>
  <c r="X6"/>
  <c r="X7"/>
  <c r="W49"/>
  <c r="X34"/>
  <c r="W77"/>
  <c r="W76"/>
  <c r="AB24"/>
  <c r="AA75"/>
  <c r="W36"/>
  <c r="W56" s="1"/>
  <c r="V66"/>
  <c r="V64"/>
  <c r="V65"/>
  <c r="V63"/>
  <c r="S111"/>
  <c r="AC61"/>
  <c r="AE61" s="1"/>
  <c r="T111" s="1"/>
  <c r="U124"/>
  <c r="X121"/>
  <c r="U122"/>
  <c r="U123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2"/>
  <c r="N33" s="1"/>
  <c r="N34" s="1"/>
  <c r="N35" s="1"/>
  <c r="N36" s="1"/>
  <c r="N37" s="1"/>
  <c r="N38" s="1"/>
  <c r="N39" s="1"/>
  <c r="N40" s="1"/>
  <c r="N41" s="1"/>
  <c r="N42" s="1"/>
  <c r="N31"/>
  <c r="P31" s="1"/>
  <c r="P32" s="1"/>
  <c r="M45"/>
  <c r="M32"/>
  <c r="M33" s="1"/>
  <c r="M34" s="1"/>
  <c r="M35" s="1"/>
  <c r="M36" s="1"/>
  <c r="M37" s="1"/>
  <c r="M38" s="1"/>
  <c r="M39" s="1"/>
  <c r="M40" s="1"/>
  <c r="M4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W54" i="18" l="1"/>
  <c r="W71"/>
  <c r="W53"/>
  <c r="W70"/>
  <c r="W51"/>
  <c r="W126" s="1"/>
  <c r="W57"/>
  <c r="W125" s="1"/>
  <c r="W45"/>
  <c r="W67"/>
  <c r="W69"/>
  <c r="W42"/>
  <c r="W41"/>
  <c r="W50"/>
  <c r="W46"/>
  <c r="W47"/>
  <c r="W44"/>
  <c r="AC26"/>
  <c r="AE26" s="1"/>
  <c r="Y13"/>
  <c r="Y12"/>
  <c r="Y14"/>
  <c r="Y10"/>
  <c r="Y15"/>
  <c r="Y6"/>
  <c r="Y7"/>
  <c r="AC24"/>
  <c r="AE24" s="1"/>
  <c r="AB75"/>
  <c r="AC75" s="1"/>
  <c r="Y34"/>
  <c r="X77"/>
  <c r="X76"/>
  <c r="R111"/>
  <c r="O31" i="9"/>
  <c r="O32" s="1"/>
  <c r="X36" i="18"/>
  <c r="X70" s="1"/>
  <c r="W66"/>
  <c r="W64"/>
  <c r="W65"/>
  <c r="W63"/>
  <c r="V124"/>
  <c r="Y121"/>
  <c r="V122"/>
  <c r="V123"/>
  <c r="P31" i="11"/>
  <c r="N32"/>
  <c r="T19" i="9"/>
  <c r="D22"/>
  <c r="W55" i="18" l="1"/>
  <c r="W124" s="1"/>
  <c r="X46"/>
  <c r="X47"/>
  <c r="X49"/>
  <c r="X44"/>
  <c r="X45"/>
  <c r="X71"/>
  <c r="X56"/>
  <c r="X54"/>
  <c r="X67"/>
  <c r="X69"/>
  <c r="X41"/>
  <c r="X42"/>
  <c r="X50"/>
  <c r="X57"/>
  <c r="X125" s="1"/>
  <c r="X51"/>
  <c r="X126" s="1"/>
  <c r="X53"/>
  <c r="Y44"/>
  <c r="Z14"/>
  <c r="Z12"/>
  <c r="Z13"/>
  <c r="Z10"/>
  <c r="Z15"/>
  <c r="Z6"/>
  <c r="Z7"/>
  <c r="Y45"/>
  <c r="Z34"/>
  <c r="Y77"/>
  <c r="Y76"/>
  <c r="Y36"/>
  <c r="Y71" s="1"/>
  <c r="X66"/>
  <c r="X64"/>
  <c r="X65"/>
  <c r="X63"/>
  <c r="Z121"/>
  <c r="W122"/>
  <c r="W123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Y51" i="18" l="1"/>
  <c r="Y126" s="1"/>
  <c r="Y50"/>
  <c r="Y46"/>
  <c r="Y47"/>
  <c r="Y53"/>
  <c r="Y70"/>
  <c r="Y67"/>
  <c r="Y69"/>
  <c r="Y41"/>
  <c r="Y42"/>
  <c r="Y49"/>
  <c r="Y57"/>
  <c r="Y125" s="1"/>
  <c r="Y54"/>
  <c r="Y56"/>
  <c r="X55"/>
  <c r="X124" s="1"/>
  <c r="AA14"/>
  <c r="AA12"/>
  <c r="AA13"/>
  <c r="AA10"/>
  <c r="Z47"/>
  <c r="AA15"/>
  <c r="AA6"/>
  <c r="Z46"/>
  <c r="AA7"/>
  <c r="AA34"/>
  <c r="Z76"/>
  <c r="Z77"/>
  <c r="Z36"/>
  <c r="Z56" s="1"/>
  <c r="Y66"/>
  <c r="Y64"/>
  <c r="Y65"/>
  <c r="Y63"/>
  <c r="AA121"/>
  <c r="X122"/>
  <c r="X123"/>
  <c r="N34" i="11"/>
  <c r="O33"/>
  <c r="D25" i="8"/>
  <c r="D23"/>
  <c r="Y55" i="18" l="1"/>
  <c r="Y124" s="1"/>
  <c r="Z51"/>
  <c r="Z126" s="1"/>
  <c r="Z45"/>
  <c r="Z71"/>
  <c r="Z54"/>
  <c r="Z67"/>
  <c r="Z69"/>
  <c r="Z41"/>
  <c r="Z42"/>
  <c r="Z50"/>
  <c r="Z57"/>
  <c r="Z125" s="1"/>
  <c r="Z44"/>
  <c r="Z49"/>
  <c r="Z53"/>
  <c r="Z70"/>
  <c r="AB13"/>
  <c r="AB12"/>
  <c r="AB14"/>
  <c r="AB10"/>
  <c r="AB15"/>
  <c r="AB6"/>
  <c r="AB7"/>
  <c r="AB34"/>
  <c r="AA77"/>
  <c r="AA76"/>
  <c r="AA36"/>
  <c r="AA54" s="1"/>
  <c r="Z66"/>
  <c r="Z64"/>
  <c r="Z65"/>
  <c r="Z63"/>
  <c r="AB121"/>
  <c r="Y122"/>
  <c r="Y123"/>
  <c r="N35" i="11"/>
  <c r="O34"/>
  <c r="D35" i="8"/>
  <c r="E5"/>
  <c r="E18" s="1"/>
  <c r="D18"/>
  <c r="D19"/>
  <c r="D21"/>
  <c r="D20"/>
  <c r="Z55" i="18" l="1"/>
  <c r="Z124" s="1"/>
  <c r="AA49"/>
  <c r="AA56"/>
  <c r="AA71"/>
  <c r="AA67"/>
  <c r="AA69"/>
  <c r="AA42"/>
  <c r="AA41"/>
  <c r="AA51"/>
  <c r="AA126" s="1"/>
  <c r="AA57"/>
  <c r="AA125" s="1"/>
  <c r="AA44"/>
  <c r="AA45"/>
  <c r="AA53"/>
  <c r="AA55" s="1"/>
  <c r="AA70"/>
  <c r="AA50"/>
  <c r="AA46"/>
  <c r="AA47"/>
  <c r="AC14"/>
  <c r="AE14" s="1"/>
  <c r="AC13"/>
  <c r="AE13" s="1"/>
  <c r="S105"/>
  <c r="AC12"/>
  <c r="AE12" s="1"/>
  <c r="T105" s="1"/>
  <c r="T106" s="1"/>
  <c r="AC10"/>
  <c r="AE10" s="1"/>
  <c r="AC15"/>
  <c r="AE15" s="1"/>
  <c r="AC6"/>
  <c r="AE6" s="1"/>
  <c r="AC7"/>
  <c r="AE7" s="1"/>
  <c r="AB77"/>
  <c r="AC77" s="1"/>
  <c r="AB76"/>
  <c r="AC76" s="1"/>
  <c r="AC34"/>
  <c r="AE34" s="1"/>
  <c r="AB36"/>
  <c r="AB53" s="1"/>
  <c r="AA66"/>
  <c r="AA64"/>
  <c r="AA65"/>
  <c r="AA63"/>
  <c r="AC121"/>
  <c r="AE121" s="1"/>
  <c r="Z122"/>
  <c r="Z123"/>
  <c r="N36" i="11"/>
  <c r="O35"/>
  <c r="F5" i="8"/>
  <c r="G5" s="1"/>
  <c r="H5" s="1"/>
  <c r="I5" s="1"/>
  <c r="AB50" i="18" l="1"/>
  <c r="S99" s="1"/>
  <c r="AB45"/>
  <c r="AB57"/>
  <c r="AB125" s="1"/>
  <c r="AC125" s="1"/>
  <c r="AE125" s="1"/>
  <c r="AB67"/>
  <c r="S118" s="1"/>
  <c r="AB69"/>
  <c r="AC69" s="1"/>
  <c r="AE69" s="1"/>
  <c r="AB42"/>
  <c r="AC42" s="1"/>
  <c r="AE42" s="1"/>
  <c r="AB41"/>
  <c r="AC41" s="1"/>
  <c r="AE41" s="1"/>
  <c r="AB51"/>
  <c r="AB126" s="1"/>
  <c r="AC126" s="1"/>
  <c r="AE126" s="1"/>
  <c r="AB54"/>
  <c r="AB55" s="1"/>
  <c r="AB44"/>
  <c r="AB46"/>
  <c r="AB47"/>
  <c r="S95" s="1"/>
  <c r="AB70"/>
  <c r="AC70" s="1"/>
  <c r="AE70" s="1"/>
  <c r="AB49"/>
  <c r="AB71"/>
  <c r="AC71" s="1"/>
  <c r="AE71" s="1"/>
  <c r="AB56"/>
  <c r="S102" s="1"/>
  <c r="AC53"/>
  <c r="AE53" s="1"/>
  <c r="T96" s="1"/>
  <c r="S96"/>
  <c r="S106"/>
  <c r="R106" s="1"/>
  <c r="R105"/>
  <c r="AC57"/>
  <c r="AE57" s="1"/>
  <c r="T103" s="1"/>
  <c r="S103"/>
  <c r="S98"/>
  <c r="AC49"/>
  <c r="AE49" s="1"/>
  <c r="T98" s="1"/>
  <c r="AC45"/>
  <c r="AE45" s="1"/>
  <c r="T93" s="1"/>
  <c r="S93"/>
  <c r="AB66"/>
  <c r="S116" s="1"/>
  <c r="AB64"/>
  <c r="S114" s="1"/>
  <c r="AC36"/>
  <c r="AE36" s="1"/>
  <c r="AB65"/>
  <c r="S115" s="1"/>
  <c r="AB63"/>
  <c r="S113" s="1"/>
  <c r="AA124"/>
  <c r="AA122"/>
  <c r="AA123"/>
  <c r="N37" i="11"/>
  <c r="O36"/>
  <c r="F18" i="8"/>
  <c r="G18"/>
  <c r="AC54" i="18" l="1"/>
  <c r="AE54" s="1"/>
  <c r="AC50"/>
  <c r="AE50" s="1"/>
  <c r="T99" s="1"/>
  <c r="R99" s="1"/>
  <c r="S100"/>
  <c r="AC51"/>
  <c r="AE51" s="1"/>
  <c r="T100" s="1"/>
  <c r="AC56"/>
  <c r="AE56" s="1"/>
  <c r="T102" s="1"/>
  <c r="R102" s="1"/>
  <c r="AC67"/>
  <c r="AE67" s="1"/>
  <c r="T118" s="1"/>
  <c r="AC47"/>
  <c r="AE47" s="1"/>
  <c r="T95" s="1"/>
  <c r="R95" s="1"/>
  <c r="R96"/>
  <c r="R98"/>
  <c r="R103"/>
  <c r="R93"/>
  <c r="R118"/>
  <c r="AC65"/>
  <c r="AE65" s="1"/>
  <c r="T115" s="1"/>
  <c r="AC64"/>
  <c r="AE64" s="1"/>
  <c r="AC63"/>
  <c r="AE63" s="1"/>
  <c r="T113" s="1"/>
  <c r="AC66"/>
  <c r="AE66" s="1"/>
  <c r="S92"/>
  <c r="AC55"/>
  <c r="AE55" s="1"/>
  <c r="AB124"/>
  <c r="AC44"/>
  <c r="AE44" s="1"/>
  <c r="T92" s="1"/>
  <c r="AB122"/>
  <c r="AC46"/>
  <c r="AE46" s="1"/>
  <c r="T94" s="1"/>
  <c r="AB123"/>
  <c r="S94"/>
  <c r="N38" i="11"/>
  <c r="O37"/>
  <c r="H18" i="8"/>
  <c r="R100" i="18" l="1"/>
  <c r="P130" s="1"/>
  <c r="T116"/>
  <c r="R116" s="1"/>
  <c r="T114"/>
  <c r="R114" s="1"/>
  <c r="R115"/>
  <c r="R113"/>
  <c r="R92"/>
  <c r="P131" s="1"/>
  <c r="AC123"/>
  <c r="AE123" s="1"/>
  <c r="AC124"/>
  <c r="AE124" s="1"/>
  <c r="AC122"/>
  <c r="AE122" s="1"/>
  <c r="R94"/>
  <c r="N39" i="11"/>
  <c r="O38"/>
  <c r="I18" i="8"/>
  <c r="N40" i="11" l="1"/>
  <c r="O39"/>
  <c r="N41" l="1"/>
  <c r="O40"/>
  <c r="N42" l="1"/>
  <c r="O41"/>
</calcChain>
</file>

<file path=xl/sharedStrings.xml><?xml version="1.0" encoding="utf-8"?>
<sst xmlns="http://schemas.openxmlformats.org/spreadsheetml/2006/main" count="473" uniqueCount="321">
  <si>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</si>
  <si>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</si>
  <si>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</si>
  <si>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</si>
  <si>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</si>
  <si>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</si>
  <si>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</si>
  <si>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</si>
  <si>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</si>
  <si>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</si>
  <si>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</si>
  <si>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</si>
  <si>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</si>
  <si>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</si>
  <si>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</si>
  <si>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</si>
  <si>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</si>
  <si>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</si>
  <si>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</si>
  <si>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</si>
  <si>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</si>
  <si>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</si>
  <si>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</si>
  <si>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</si>
  <si>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</si>
  <si>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</si>
  <si>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</si>
  <si>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</si>
  <si>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</si>
  <si>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</si>
  <si>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</si>
  <si>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</si>
  <si>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</si>
  <si>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</si>
  <si>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</si>
  <si>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</si>
  <si>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</si>
  <si>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</si>
  <si>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</si>
  <si>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</si>
  <si>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</si>
  <si>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</si>
  <si>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</si>
  <si>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</si>
  <si>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</si>
  <si>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</si>
  <si>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</si>
  <si>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</si>
  <si>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</si>
  <si>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</si>
  <si>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</si>
  <si>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</si>
  <si>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</si>
  <si>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</si>
  <si>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</si>
  <si>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</si>
  <si>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</si>
  <si>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</si>
  <si>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</si>
  <si>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</si>
  <si>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</si>
  <si>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</si>
  <si>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</si>
  <si>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</si>
  <si>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</si>
  <si>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</si>
  <si>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</si>
  <si>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</si>
  <si>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</si>
  <si>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</si>
  <si>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</si>
  <si>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</si>
  <si>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</si>
  <si>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</si>
  <si>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</si>
  <si>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</si>
  <si>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</si>
  <si>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</si>
  <si>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</si>
  <si>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</si>
  <si>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</si>
  <si>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</si>
  <si>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</si>
  <si>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</si>
  <si>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</si>
  <si>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</si>
  <si>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</si>
  <si>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</si>
  <si>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</si>
  <si>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</si>
  <si>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</si>
  <si>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</si>
  <si>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</si>
  <si>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</si>
  <si>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</si>
  <si>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</si>
  <si>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</si>
  <si>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</si>
  <si>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</si>
  <si>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</si>
  <si>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</si>
  <si>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</si>
  <si>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</si>
  <si>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</si>
  <si>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</si>
  <si>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</si>
  <si>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</si>
  <si>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</si>
  <si>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</si>
  <si>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</si>
  <si>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</si>
  <si>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</si>
  <si>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</si>
  <si>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</si>
  <si>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</si>
  <si>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</si>
  <si>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</si>
  <si>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</si>
  <si>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</si>
  <si>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</si>
  <si>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</si>
  <si>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</si>
  <si>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</si>
  <si>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</si>
  <si>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</si>
  <si>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</si>
  <si>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</si>
  <si>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</si>
  <si>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</si>
  <si>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</si>
  <si>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</si>
  <si>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</si>
  <si>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</si>
  <si>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</si>
  <si>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</si>
  <si>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</si>
  <si>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</si>
  <si>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</si>
  <si>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</si>
  <si>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</si>
  <si>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</si>
  <si>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</si>
  <si>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</si>
  <si>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</si>
  <si>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</si>
  <si>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</si>
  <si>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</si>
  <si>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</si>
  <si>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</si>
  <si>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</si>
  <si>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</si>
  <si>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</si>
  <si>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</si>
  <si>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</si>
  <si>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</si>
  <si>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</si>
  <si>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</si>
  <si>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</si>
  <si>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</si>
  <si>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</si>
  <si>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</si>
  <si>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</si>
  <si>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</si>
  <si>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</si>
  <si>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</si>
  <si>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</si>
  <si>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</si>
  <si>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</si>
  <si>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</si>
  <si>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</si>
  <si>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</si>
  <si>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</si>
  <si>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</si>
  <si>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</si>
  <si>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</si>
  <si>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</si>
  <si>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</si>
  <si>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</si>
  <si>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</si>
  <si>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</si>
  <si>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</si>
  <si>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</si>
  <si>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</si>
  <si>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</si>
  <si>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</si>
  <si>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</si>
  <si>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</si>
  <si>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</si>
  <si>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</si>
  <si>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</si>
  <si>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</si>
  <si>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</si>
  <si>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</si>
  <si>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</si>
  <si>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</si>
  <si>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</si>
  <si>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</si>
  <si>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</si>
  <si>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</si>
  <si>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</si>
  <si>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</si>
  <si>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</si>
  <si>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</si>
  <si>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</si>
  <si>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</si>
  <si>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</si>
  <si>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</si>
  <si>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</si>
  <si>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</si>
  <si>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</si>
  <si>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</si>
  <si>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</si>
  <si>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</si>
  <si>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</si>
  <si>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</si>
  <si>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</si>
  <si>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</si>
  <si>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</si>
  <si>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</si>
  <si>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</si>
  <si>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</si>
  <si>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</si>
  <si>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</si>
  <si>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</si>
  <si>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</si>
  <si>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</si>
  <si>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</si>
  <si>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</si>
  <si>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</si>
  <si>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</si>
  <si>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</si>
  <si>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</si>
  <si>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</si>
  <si>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</si>
  <si>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</si>
  <si>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</si>
  <si>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</si>
  <si>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</si>
  <si>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</si>
  <si>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</si>
  <si>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</si>
  <si>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</si>
  <si>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</si>
  <si>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</si>
  <si>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</si>
  <si>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</si>
  <si>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</si>
  <si>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</si>
  <si>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</si>
  <si>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</si>
  <si>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</si>
  <si>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</si>
  <si>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</si>
  <si>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</si>
  <si>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</si>
  <si>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</si>
  <si>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</si>
  <si>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</si>
  <si>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</si>
  <si>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</si>
  <si>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</si>
  <si>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</si>
  <si>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</si>
  <si>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</si>
  <si>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</si>
  <si>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</si>
  <si>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</si>
  <si>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</si>
  <si>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</si>
  <si>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</si>
  <si>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</si>
  <si>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</si>
  <si>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</si>
  <si>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</si>
  <si>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</si>
  <si>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</si>
  <si>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</si>
  <si>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</si>
  <si>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</si>
  <si>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</si>
  <si>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</si>
  <si>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</si>
  <si>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</si>
  <si>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</si>
  <si>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</si>
  <si>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</si>
  <si>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</si>
  <si>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</si>
  <si>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</si>
  <si>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</si>
  <si>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</si>
  <si>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</si>
  <si>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</si>
  <si>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</si>
  <si>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</si>
  <si>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</si>
  <si>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</si>
  <si>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</si>
  <si>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</si>
  <si>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</si>
  <si>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R&amp;D Expenses</t>
  </si>
  <si>
    <t>% Discount (Price/Dividend)</t>
  </si>
  <si>
    <t>% Discount (Price / B.V)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</si>
  <si>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</si>
  <si>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</si>
  <si>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</si>
  <si>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</si>
  <si>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</si>
  <si>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</si>
  <si>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</si>
  <si>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</si>
  <si>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Top Expenses ( Mfg )</t>
  </si>
  <si>
    <t>2nd highest Expenses Comp. ( Empl )</t>
  </si>
  <si>
    <t>Operating Profit Margin</t>
  </si>
  <si>
    <t>RONW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</si>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</sst>
</file>

<file path=xl/styles.xml><?xml version="1.0" encoding="utf-8"?>
<styleSheet xmlns="http://schemas.openxmlformats.org/spreadsheetml/2006/main">
  <numFmts count="1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[$₹-861]#,##0.00;[Red]\-[$₹-861]#,##0.00"/>
    <numFmt numFmtId="169" formatCode="[$₹-861]#,##0;[Red]\-[$₹-861]#,##0"/>
    <numFmt numFmtId="170" formatCode="0.0%"/>
    <numFmt numFmtId="171" formatCode="_-[$₹-861]* #,##0.00_-;\-[$₹-861]* #,##0.00_-;_-[$₹-861]* &quot;-&quot;??_-;_-@_-"/>
    <numFmt numFmtId="172" formatCode="_-[$₹-861]* #,##0_-;\-[$₹-861]* #,##0_-;_-[$₹-861]* &quot;-&quot;??_-;_-@_-"/>
    <numFmt numFmtId="173" formatCode="0.000"/>
    <numFmt numFmtId="174" formatCode="0.0"/>
    <numFmt numFmtId="175" formatCode="_(&quot;$&quot;* #,##0_);_(&quot;$&quot;* \(#,##0\);_(&quot;$&quot;* &quot;-&quot;??_);_(@_)"/>
    <numFmt numFmtId="176" formatCode="#,##0.00_ ;[Red]\-#,##0.00\ "/>
    <numFmt numFmtId="177" formatCode="#,##0_ ;[Red]\-#,##0\ 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7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6" fontId="2" fillId="6" borderId="0" xfId="2" applyNumberFormat="1" applyFont="1" applyFill="1"/>
    <xf numFmtId="166" fontId="2" fillId="5" borderId="0" xfId="2" applyNumberFormat="1" applyFont="1" applyFill="1"/>
    <xf numFmtId="1" fontId="2" fillId="5" borderId="0" xfId="2" applyNumberFormat="1" applyFont="1" applyFill="1"/>
    <xf numFmtId="166" fontId="2" fillId="6" borderId="1" xfId="2" applyNumberFormat="1" applyFont="1" applyFill="1" applyBorder="1"/>
    <xf numFmtId="167" fontId="2" fillId="5" borderId="1" xfId="0" applyNumberFormat="1" applyFont="1" applyFill="1" applyBorder="1"/>
    <xf numFmtId="165" fontId="2" fillId="5" borderId="0" xfId="0" applyNumberFormat="1" applyFont="1" applyFill="1"/>
    <xf numFmtId="165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6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8" fontId="4" fillId="5" borderId="1" xfId="0" applyNumberFormat="1" applyFont="1" applyFill="1" applyBorder="1"/>
    <xf numFmtId="168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9" fontId="4" fillId="6" borderId="1" xfId="0" applyNumberFormat="1" applyFont="1" applyFill="1" applyBorder="1"/>
    <xf numFmtId="168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70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70" fontId="2" fillId="8" borderId="1" xfId="0" applyNumberFormat="1" applyFont="1" applyFill="1" applyBorder="1"/>
    <xf numFmtId="2" fontId="2" fillId="8" borderId="1" xfId="1" applyNumberFormat="1" applyFont="1" applyFill="1" applyBorder="1"/>
    <xf numFmtId="170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9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6" fontId="2" fillId="5" borderId="1" xfId="2" applyNumberFormat="1" applyFont="1" applyFill="1" applyBorder="1"/>
    <xf numFmtId="166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2" fontId="2" fillId="5" borderId="1" xfId="2" applyNumberFormat="1" applyFont="1" applyFill="1" applyBorder="1" applyAlignment="1">
      <alignment horizontal="center"/>
    </xf>
    <xf numFmtId="171" fontId="0" fillId="5" borderId="1" xfId="2" applyNumberFormat="1" applyFont="1" applyFill="1" applyBorder="1"/>
    <xf numFmtId="171" fontId="0" fillId="5" borderId="1" xfId="0" applyNumberFormat="1" applyFill="1" applyBorder="1"/>
    <xf numFmtId="172" fontId="0" fillId="5" borderId="1" xfId="0" applyNumberFormat="1" applyFill="1" applyBorder="1"/>
    <xf numFmtId="166" fontId="2" fillId="5" borderId="10" xfId="2" applyNumberFormat="1" applyFont="1" applyFill="1" applyBorder="1"/>
    <xf numFmtId="166" fontId="2" fillId="5" borderId="11" xfId="2" applyNumberFormat="1" applyFont="1" applyFill="1" applyBorder="1"/>
    <xf numFmtId="172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2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6" fontId="0" fillId="5" borderId="10" xfId="2" applyNumberFormat="1" applyFont="1" applyFill="1" applyBorder="1"/>
    <xf numFmtId="166" fontId="0" fillId="5" borderId="11" xfId="2" applyNumberFormat="1" applyFont="1" applyFill="1" applyBorder="1"/>
    <xf numFmtId="171" fontId="0" fillId="5" borderId="11" xfId="2" applyNumberFormat="1" applyFont="1" applyFill="1" applyBorder="1"/>
    <xf numFmtId="171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6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3" fontId="4" fillId="5" borderId="1" xfId="0" applyNumberFormat="1" applyFont="1" applyFill="1" applyBorder="1"/>
    <xf numFmtId="9" fontId="4" fillId="6" borderId="1" xfId="0" applyNumberFormat="1" applyFont="1" applyFill="1" applyBorder="1"/>
    <xf numFmtId="174" fontId="4" fillId="5" borderId="1" xfId="0" applyNumberFormat="1" applyFont="1" applyFill="1" applyBorder="1"/>
    <xf numFmtId="175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71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6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2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6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165" fontId="8" fillId="5" borderId="1" xfId="2" applyNumberFormat="1" applyFont="1" applyFill="1" applyBorder="1"/>
    <xf numFmtId="177" fontId="4" fillId="5" borderId="1" xfId="2" applyNumberFormat="1" applyFont="1" applyFill="1" applyBorder="1"/>
    <xf numFmtId="177" fontId="8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7" fontId="11" fillId="5" borderId="1" xfId="2" applyNumberFormat="1" applyFont="1" applyFill="1" applyBorder="1"/>
    <xf numFmtId="9" fontId="10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7" fontId="4" fillId="5" borderId="1" xfId="0" applyNumberFormat="1" applyFont="1" applyFill="1" applyBorder="1"/>
    <xf numFmtId="177" fontId="5" fillId="5" borderId="1" xfId="0" applyNumberFormat="1" applyFont="1" applyFill="1" applyBorder="1"/>
    <xf numFmtId="177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165" fontId="12" fillId="5" borderId="1" xfId="2" applyNumberFormat="1" applyFont="1" applyFill="1" applyBorder="1"/>
    <xf numFmtId="166" fontId="12" fillId="5" borderId="1" xfId="2" applyNumberFormat="1" applyFont="1" applyFill="1" applyBorder="1"/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67676416"/>
        <c:axId val="67694592"/>
      </c:lineChart>
      <c:catAx>
        <c:axId val="67676416"/>
        <c:scaling>
          <c:orientation val="minMax"/>
        </c:scaling>
        <c:axPos val="b"/>
        <c:tickLblPos val="nextTo"/>
        <c:crossAx val="67694592"/>
        <c:crosses val="autoZero"/>
        <c:auto val="1"/>
        <c:lblAlgn val="ctr"/>
        <c:lblOffset val="100"/>
      </c:catAx>
      <c:valAx>
        <c:axId val="67694592"/>
        <c:scaling>
          <c:orientation val="minMax"/>
        </c:scaling>
        <c:axPos val="l"/>
        <c:majorGridlines/>
        <c:numFmt formatCode="General" sourceLinked="1"/>
        <c:tickLblPos val="nextTo"/>
        <c:crossAx val="67676416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3"/>
  <sheetViews>
    <sheetView topLeftCell="A13" zoomScale="80" zoomScaleNormal="80" workbookViewId="0">
      <selection activeCell="C28" sqref="C28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280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-2.66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-2.66</v>
      </c>
      <c r="D8" s="20"/>
      <c r="E8" s="20"/>
      <c r="F8" s="20"/>
      <c r="G8" s="20"/>
    </row>
    <row r="9" spans="2:7">
      <c r="B9" s="20" t="s">
        <v>100</v>
      </c>
      <c r="C9" s="110">
        <f>C7/C8</f>
        <v>-5.2631578947368416</v>
      </c>
      <c r="D9" s="20" t="s">
        <v>269</v>
      </c>
      <c r="E9" s="20"/>
      <c r="F9" s="20"/>
      <c r="G9" s="20"/>
    </row>
    <row r="10" spans="2:7">
      <c r="B10" s="20"/>
      <c r="C10" s="20"/>
      <c r="D10" s="20"/>
      <c r="E10" s="20"/>
      <c r="F10" s="20"/>
      <c r="G10" s="20"/>
    </row>
    <row r="11" spans="2:7">
      <c r="B11" s="108" t="s">
        <v>101</v>
      </c>
      <c r="C11" s="20"/>
      <c r="D11" s="20"/>
      <c r="E11" s="20"/>
      <c r="F11" s="20"/>
      <c r="G11" s="20"/>
    </row>
    <row r="12" spans="2:7">
      <c r="B12" s="20" t="s">
        <v>25</v>
      </c>
      <c r="C12" s="130">
        <v>-2.66</v>
      </c>
      <c r="D12" s="20"/>
      <c r="E12" s="20"/>
      <c r="F12" s="20"/>
      <c r="G12" s="20"/>
    </row>
    <row r="13" spans="2:7">
      <c r="B13" s="20" t="s">
        <v>102</v>
      </c>
      <c r="C13" s="130">
        <v>28</v>
      </c>
      <c r="D13" s="20"/>
      <c r="E13" s="20"/>
      <c r="F13" s="20"/>
      <c r="G13" s="20"/>
    </row>
    <row r="14" spans="2:7">
      <c r="B14" s="20" t="s">
        <v>103</v>
      </c>
      <c r="C14" s="130">
        <v>1000</v>
      </c>
      <c r="D14" s="20"/>
      <c r="E14" s="20"/>
      <c r="F14" s="20"/>
      <c r="G14" s="20"/>
    </row>
    <row r="15" spans="2:7">
      <c r="B15" s="20" t="s">
        <v>104</v>
      </c>
      <c r="C15" s="20">
        <f>C14*C12</f>
        <v>-2660</v>
      </c>
      <c r="D15" s="20" t="s">
        <v>269</v>
      </c>
      <c r="E15" s="20"/>
      <c r="F15" s="20"/>
      <c r="G15" s="20"/>
    </row>
    <row r="16" spans="2:7">
      <c r="B16" s="20"/>
      <c r="C16" s="20"/>
      <c r="D16" s="20"/>
      <c r="E16" s="20"/>
      <c r="F16" s="20"/>
      <c r="G16" s="20"/>
    </row>
    <row r="17" spans="2:7">
      <c r="B17" s="108" t="s">
        <v>112</v>
      </c>
      <c r="C17" s="20"/>
      <c r="D17" s="20"/>
      <c r="E17" s="20"/>
      <c r="F17" s="20"/>
      <c r="G17" s="20"/>
    </row>
    <row r="18" spans="2:7">
      <c r="B18" s="20" t="s">
        <v>114</v>
      </c>
      <c r="C18" s="130">
        <f>C4</f>
        <v>-2.66</v>
      </c>
      <c r="D18" s="20"/>
      <c r="E18" s="20"/>
      <c r="F18" s="20"/>
      <c r="G18" s="20"/>
    </row>
    <row r="19" spans="2:7">
      <c r="B19" s="20" t="s">
        <v>115</v>
      </c>
      <c r="C19" s="111">
        <v>0.08</v>
      </c>
      <c r="D19" s="20"/>
      <c r="E19" s="20"/>
      <c r="F19" s="20"/>
      <c r="G19" s="20"/>
    </row>
    <row r="20" spans="2:7">
      <c r="B20" s="20" t="s">
        <v>116</v>
      </c>
      <c r="C20" s="112">
        <f>C18/C19</f>
        <v>-33.25</v>
      </c>
      <c r="D20" s="20" t="s">
        <v>269</v>
      </c>
      <c r="E20" s="20"/>
      <c r="F20" s="20"/>
      <c r="G20" s="20"/>
    </row>
    <row r="21" spans="2:7">
      <c r="B21" s="20"/>
      <c r="C21" s="20"/>
      <c r="D21" s="20"/>
      <c r="E21" s="20"/>
      <c r="F21" s="20"/>
      <c r="G21" s="20"/>
    </row>
    <row r="22" spans="2:7">
      <c r="B22" s="108" t="s">
        <v>227</v>
      </c>
      <c r="C22" s="20"/>
      <c r="D22" s="20"/>
      <c r="E22" s="20"/>
      <c r="F22" s="20"/>
      <c r="G22" s="20"/>
    </row>
    <row r="23" spans="2:7">
      <c r="B23" s="20" t="s">
        <v>99</v>
      </c>
      <c r="C23" s="130">
        <v>14</v>
      </c>
      <c r="D23" s="20"/>
      <c r="E23" s="20"/>
      <c r="F23" s="20"/>
      <c r="G23" s="20"/>
    </row>
    <row r="24" spans="2:7">
      <c r="B24" s="20" t="s">
        <v>114</v>
      </c>
      <c r="C24" s="130">
        <v>-2.66</v>
      </c>
      <c r="D24" s="20"/>
      <c r="E24" s="20"/>
      <c r="F24" s="20"/>
      <c r="G24" s="20"/>
    </row>
    <row r="25" spans="2:7">
      <c r="B25" s="20" t="s">
        <v>228</v>
      </c>
      <c r="C25" s="20">
        <f>C23/C24</f>
        <v>-5.2631578947368416</v>
      </c>
      <c r="D25" s="20"/>
      <c r="E25" s="20"/>
      <c r="F25" s="20"/>
      <c r="G25" s="20"/>
    </row>
    <row r="26" spans="2:7">
      <c r="B26" s="20" t="s">
        <v>77</v>
      </c>
      <c r="C26" s="130">
        <v>15</v>
      </c>
      <c r="D26" s="20"/>
      <c r="E26" s="20"/>
      <c r="F26" s="20"/>
      <c r="G26" s="20"/>
    </row>
    <row r="27" spans="2:7">
      <c r="B27" s="20" t="s">
        <v>229</v>
      </c>
      <c r="C27" s="131">
        <v>1</v>
      </c>
      <c r="D27" s="20"/>
      <c r="E27" s="20"/>
      <c r="F27" s="20"/>
      <c r="G27" s="20"/>
    </row>
    <row r="28" spans="2:7">
      <c r="B28" s="20" t="s">
        <v>230</v>
      </c>
      <c r="C28" s="22">
        <v>139.13</v>
      </c>
      <c r="D28" s="20"/>
      <c r="E28" s="20"/>
      <c r="F28" s="20"/>
      <c r="G28" s="20"/>
    </row>
    <row r="29" spans="2:7">
      <c r="B29" s="20" t="s">
        <v>231</v>
      </c>
      <c r="C29" s="132">
        <v>2.5499999999999998E-2</v>
      </c>
      <c r="D29" s="20"/>
      <c r="E29" s="20"/>
      <c r="F29" s="20"/>
      <c r="G29" s="20"/>
    </row>
    <row r="30" spans="2:7">
      <c r="B30" s="20" t="s">
        <v>232</v>
      </c>
      <c r="C30" s="132">
        <v>3.1899999999999998E-2</v>
      </c>
      <c r="D30" s="20"/>
      <c r="E30" s="20"/>
      <c r="F30" s="20"/>
      <c r="G30" s="20"/>
    </row>
    <row r="31" spans="2:7">
      <c r="B31" s="20" t="s">
        <v>233</v>
      </c>
      <c r="C31" s="132"/>
      <c r="D31" s="20"/>
      <c r="E31" s="20"/>
      <c r="F31" s="20"/>
      <c r="G31" s="20"/>
    </row>
    <row r="32" spans="2:7">
      <c r="B32" s="20" t="s">
        <v>268</v>
      </c>
      <c r="C32" s="132">
        <v>3.44E-2</v>
      </c>
      <c r="D32" s="20"/>
      <c r="E32" s="20"/>
      <c r="F32" s="20"/>
      <c r="G32" s="20"/>
    </row>
    <row r="33" spans="2:7">
      <c r="B33" s="20" t="s">
        <v>267</v>
      </c>
      <c r="C33" s="132">
        <v>0.1241</v>
      </c>
      <c r="D33" s="20"/>
      <c r="E33" s="20"/>
      <c r="F33" s="20"/>
      <c r="G33" s="20"/>
    </row>
    <row r="34" spans="2:7">
      <c r="B34" s="20"/>
      <c r="C34" s="20"/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108" t="s">
        <v>187</v>
      </c>
      <c r="C36" s="20"/>
      <c r="D36" s="20"/>
      <c r="E36" s="20"/>
      <c r="F36" s="20"/>
      <c r="G36" s="20"/>
    </row>
    <row r="37" spans="2:7">
      <c r="B37" s="20" t="s">
        <v>215</v>
      </c>
      <c r="C37" s="130">
        <v>3141.2</v>
      </c>
      <c r="D37" s="20"/>
      <c r="E37" s="20"/>
      <c r="F37" s="20"/>
      <c r="G37" s="20"/>
    </row>
    <row r="38" spans="2:7">
      <c r="B38" s="20" t="s">
        <v>216</v>
      </c>
      <c r="C38" s="130">
        <v>3384.26</v>
      </c>
      <c r="D38" s="20"/>
      <c r="E38" s="20"/>
      <c r="F38" s="20"/>
      <c r="G38" s="20"/>
    </row>
    <row r="39" spans="2:7">
      <c r="B39" s="20" t="s">
        <v>34</v>
      </c>
      <c r="C39" s="130">
        <v>92.03</v>
      </c>
      <c r="D39" s="20"/>
      <c r="E39" s="20"/>
      <c r="F39" s="20"/>
      <c r="G39" s="20"/>
    </row>
    <row r="40" spans="2:7">
      <c r="B40" s="20" t="s">
        <v>217</v>
      </c>
      <c r="C40" s="130">
        <v>31.09</v>
      </c>
      <c r="D40" s="20"/>
      <c r="E40" s="20"/>
      <c r="F40" s="20"/>
      <c r="G40" s="20"/>
    </row>
    <row r="41" spans="2:7">
      <c r="B41" s="20" t="s">
        <v>218</v>
      </c>
      <c r="C41" s="130">
        <v>1005.03</v>
      </c>
      <c r="D41" s="20"/>
      <c r="E41" s="20"/>
      <c r="F41" s="20"/>
      <c r="G41" s="20"/>
    </row>
    <row r="42" spans="2:7">
      <c r="B42" s="20"/>
      <c r="C42" s="20"/>
      <c r="D42" s="20"/>
      <c r="E42" s="20"/>
      <c r="F42" s="20"/>
      <c r="G42" s="20"/>
    </row>
    <row r="43" spans="2:7">
      <c r="B43" s="23" t="s">
        <v>212</v>
      </c>
      <c r="C43" s="130">
        <v>281.95</v>
      </c>
      <c r="D43" s="20"/>
      <c r="E43" s="20"/>
      <c r="F43" s="20"/>
      <c r="G43" s="20"/>
    </row>
    <row r="44" spans="2:7">
      <c r="B44" s="20" t="s">
        <v>263</v>
      </c>
      <c r="C44" s="25">
        <f>C43/(C40+C41)</f>
        <v>0.27212098984673594</v>
      </c>
      <c r="D44" s="20" t="s">
        <v>220</v>
      </c>
      <c r="E44" s="20"/>
      <c r="F44" s="20"/>
      <c r="G44" s="20"/>
    </row>
    <row r="45" spans="2:7">
      <c r="B45" s="20" t="s">
        <v>223</v>
      </c>
      <c r="C45" s="25">
        <f>C43/C39</f>
        <v>3.0636748886232748</v>
      </c>
      <c r="D45" s="20" t="s">
        <v>221</v>
      </c>
      <c r="E45" s="20"/>
      <c r="F45" s="20"/>
      <c r="G45" s="20"/>
    </row>
    <row r="46" spans="2:7">
      <c r="B46" s="20"/>
      <c r="C46" s="25"/>
      <c r="D46" s="20"/>
      <c r="E46" s="20"/>
      <c r="F46" s="20"/>
      <c r="G46" s="20"/>
    </row>
    <row r="47" spans="2:7">
      <c r="B47" s="23" t="s">
        <v>213</v>
      </c>
      <c r="C47" s="130">
        <v>171.6</v>
      </c>
      <c r="D47" s="20"/>
      <c r="E47" s="20"/>
      <c r="F47" s="20"/>
      <c r="G47" s="20"/>
    </row>
    <row r="48" spans="2:7">
      <c r="B48" s="20" t="s">
        <v>264</v>
      </c>
      <c r="C48" s="25">
        <f>C47/(C40+C41)</f>
        <v>0.16561788209859862</v>
      </c>
      <c r="D48" s="20" t="s">
        <v>220</v>
      </c>
      <c r="E48" s="20"/>
      <c r="F48" s="20"/>
      <c r="G48" s="20"/>
    </row>
    <row r="49" spans="2:7">
      <c r="B49" s="20" t="s">
        <v>224</v>
      </c>
      <c r="C49" s="25">
        <f>C47/C39</f>
        <v>1.8646093665109202</v>
      </c>
      <c r="D49" s="20" t="s">
        <v>222</v>
      </c>
      <c r="E49" s="20"/>
      <c r="F49" s="20"/>
      <c r="G49" s="20"/>
    </row>
    <row r="50" spans="2:7">
      <c r="B50" s="20"/>
      <c r="C50" s="25"/>
      <c r="D50" s="20"/>
      <c r="E50" s="20"/>
      <c r="F50" s="20"/>
      <c r="G50" s="20"/>
    </row>
    <row r="51" spans="2:7">
      <c r="B51" s="23" t="s">
        <v>214</v>
      </c>
      <c r="C51" s="130">
        <v>110.33</v>
      </c>
      <c r="D51" s="20"/>
      <c r="E51" s="20"/>
      <c r="F51" s="20"/>
      <c r="G51" s="20"/>
    </row>
    <row r="52" spans="2:7">
      <c r="B52" s="20" t="s">
        <v>265</v>
      </c>
      <c r="C52" s="25">
        <f>C51/(C40+C41)</f>
        <v>0.10648380496467591</v>
      </c>
      <c r="D52" s="20" t="s">
        <v>220</v>
      </c>
      <c r="E52" s="20"/>
      <c r="F52" s="20"/>
      <c r="G52" s="20"/>
    </row>
    <row r="53" spans="2:7">
      <c r="B53" s="20" t="s">
        <v>225</v>
      </c>
      <c r="C53" s="25">
        <f>C51/C39</f>
        <v>1.1988482016733673</v>
      </c>
      <c r="D53" s="20" t="s">
        <v>222</v>
      </c>
      <c r="E53" s="20"/>
      <c r="F53" s="20"/>
      <c r="G53" s="20"/>
    </row>
    <row r="54" spans="2:7">
      <c r="B54" s="20"/>
      <c r="C54" s="20"/>
      <c r="D54" s="20"/>
      <c r="E54" s="20"/>
      <c r="F54" s="20"/>
      <c r="G54" s="20"/>
    </row>
    <row r="55" spans="2:7">
      <c r="B55" s="23" t="s">
        <v>219</v>
      </c>
      <c r="C55" s="130">
        <v>1320.99</v>
      </c>
      <c r="D55" s="20"/>
      <c r="E55" s="20"/>
      <c r="F55" s="20"/>
      <c r="G55" s="20"/>
    </row>
    <row r="56" spans="2:7">
      <c r="B56" s="20" t="s">
        <v>266</v>
      </c>
      <c r="C56" s="25">
        <f>C55/(C40+C41)</f>
        <v>1.2749391962320968</v>
      </c>
      <c r="D56" s="20" t="s">
        <v>220</v>
      </c>
      <c r="E56" s="20"/>
      <c r="F56" s="20"/>
      <c r="G56" s="20"/>
    </row>
    <row r="57" spans="2:7">
      <c r="B57" s="20" t="s">
        <v>226</v>
      </c>
      <c r="C57" s="25">
        <f>C55/C39</f>
        <v>14.353906334890796</v>
      </c>
      <c r="D57" s="20" t="s">
        <v>222</v>
      </c>
      <c r="E57" s="20"/>
      <c r="F57" s="20"/>
      <c r="G57" s="20"/>
    </row>
    <row r="58" spans="2:7">
      <c r="B58" s="20"/>
      <c r="C58" s="20"/>
      <c r="D58" s="20"/>
      <c r="E58" s="20"/>
      <c r="F58" s="20"/>
      <c r="G58" s="20"/>
    </row>
    <row r="59" spans="2:7">
      <c r="B59" s="20"/>
      <c r="C59" s="25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0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E141"/>
  <sheetViews>
    <sheetView tabSelected="1" zoomScale="80" zoomScaleNormal="80" workbookViewId="0">
      <pane xSplit="2" ySplit="3" topLeftCell="C51" activePane="bottomRight" state="frozen"/>
      <selection pane="topRight" activeCell="C1" sqref="C1"/>
      <selection pane="bottomLeft" activeCell="A5" sqref="A5"/>
      <selection pane="bottomRight" activeCell="P75" sqref="P75"/>
    </sheetView>
  </sheetViews>
  <sheetFormatPr defaultRowHeight="12.75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7109375" style="104" bestFit="1" customWidth="1"/>
    <col min="8" max="9" width="9" style="104" bestFit="1" customWidth="1"/>
    <col min="10" max="10" width="9.28515625" style="104" bestFit="1" customWidth="1"/>
    <col min="11" max="11" width="8.85546875" style="104" bestFit="1" customWidth="1"/>
    <col min="12" max="15" width="8.7109375" style="104" bestFit="1" customWidth="1"/>
    <col min="16" max="16" width="9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8" width="8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>
      <c r="B1" s="123" t="s">
        <v>241</v>
      </c>
      <c r="C1" s="124">
        <v>0.22</v>
      </c>
      <c r="F1" s="104" t="s">
        <v>252</v>
      </c>
      <c r="H1" s="126">
        <v>2004</v>
      </c>
    </row>
    <row r="2" spans="2:31">
      <c r="B2" s="154" t="s">
        <v>320</v>
      </c>
      <c r="C2" s="120"/>
      <c r="F2" s="104" t="s">
        <v>253</v>
      </c>
      <c r="H2" s="126">
        <v>2013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62" t="s">
        <v>292</v>
      </c>
      <c r="AE2" s="163"/>
    </row>
    <row r="3" spans="2:31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64" t="s">
        <v>293</v>
      </c>
      <c r="AE3" s="165"/>
    </row>
    <row r="4" spans="2:3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37"/>
      <c r="AD5" s="20"/>
      <c r="AE5" s="155"/>
    </row>
    <row r="6" spans="2:31">
      <c r="B6" s="20" t="s">
        <v>16</v>
      </c>
      <c r="C6" s="141"/>
      <c r="D6" s="141"/>
      <c r="E6" s="147"/>
      <c r="F6" s="147"/>
      <c r="G6" s="147">
        <v>662</v>
      </c>
      <c r="H6" s="147">
        <v>720</v>
      </c>
      <c r="I6" s="147">
        <v>830</v>
      </c>
      <c r="J6" s="147">
        <v>1126</v>
      </c>
      <c r="K6" s="147">
        <v>2092</v>
      </c>
      <c r="L6" s="147">
        <v>2994</v>
      </c>
      <c r="M6" s="147">
        <v>5988</v>
      </c>
      <c r="N6" s="147">
        <v>17404</v>
      </c>
      <c r="O6" s="147">
        <v>19365</v>
      </c>
      <c r="P6" s="147">
        <v>21348</v>
      </c>
      <c r="Q6" s="118">
        <f>((P6/G6)^(1/($H$2-$H$1) ))-1</f>
        <v>0.47099441134543119</v>
      </c>
      <c r="R6" s="31">
        <v>0.1</v>
      </c>
      <c r="S6" s="155">
        <f>P6*(1+$R6)</f>
        <v>23482.800000000003</v>
      </c>
      <c r="T6" s="155">
        <f>S6*(1+$R6)</f>
        <v>25831.080000000005</v>
      </c>
      <c r="U6" s="155">
        <f t="shared" ref="U6:AB6" si="0">T6*(1+$R6)</f>
        <v>28414.188000000009</v>
      </c>
      <c r="V6" s="155">
        <f t="shared" si="0"/>
        <v>31255.606800000012</v>
      </c>
      <c r="W6" s="155">
        <f t="shared" si="0"/>
        <v>34381.167480000018</v>
      </c>
      <c r="X6" s="155">
        <f t="shared" si="0"/>
        <v>37819.284228000026</v>
      </c>
      <c r="Y6" s="155">
        <f t="shared" si="0"/>
        <v>41601.212650800029</v>
      </c>
      <c r="Z6" s="155">
        <f t="shared" si="0"/>
        <v>45761.333915880037</v>
      </c>
      <c r="AA6" s="155">
        <f t="shared" si="0"/>
        <v>50337.467307468047</v>
      </c>
      <c r="AB6" s="155">
        <f t="shared" si="0"/>
        <v>55371.214038214857</v>
      </c>
      <c r="AC6" s="138">
        <f>((AB6/G6)^(1/($AB$3-$H$1) ))-1</f>
        <v>0.26235155323875703</v>
      </c>
      <c r="AD6" s="31">
        <v>0.08</v>
      </c>
      <c r="AE6" s="146">
        <f>(AB6*(1+AC6))/($C$1-AD6)</f>
        <v>499270.98604182992</v>
      </c>
    </row>
    <row r="7" spans="2:31">
      <c r="B7" s="20" t="s">
        <v>240</v>
      </c>
      <c r="C7" s="141"/>
      <c r="D7" s="141"/>
      <c r="E7" s="147"/>
      <c r="F7" s="147"/>
      <c r="G7" s="147">
        <v>698</v>
      </c>
      <c r="H7" s="147">
        <v>743</v>
      </c>
      <c r="I7" s="147">
        <v>853</v>
      </c>
      <c r="J7" s="147">
        <v>1150</v>
      </c>
      <c r="K7" s="147">
        <v>2125</v>
      </c>
      <c r="L7" s="147">
        <v>3018</v>
      </c>
      <c r="M7" s="147">
        <v>6038</v>
      </c>
      <c r="N7" s="147">
        <v>17514</v>
      </c>
      <c r="O7" s="147">
        <v>19475</v>
      </c>
      <c r="P7" s="147">
        <v>21458.639999999999</v>
      </c>
      <c r="Q7" s="118">
        <f>((P7/G7)^(1/($H$2-$H$1) ))-1</f>
        <v>0.46320506834578468</v>
      </c>
      <c r="R7" s="31">
        <v>0.1</v>
      </c>
      <c r="S7" s="155">
        <f t="shared" ref="S7:S15" si="1">P7*(1+$R7)</f>
        <v>23604.504000000001</v>
      </c>
      <c r="T7" s="155">
        <f t="shared" ref="T7:AB7" si="2">S7*(1+$R7)</f>
        <v>25964.954400000002</v>
      </c>
      <c r="U7" s="155">
        <f t="shared" si="2"/>
        <v>28561.449840000005</v>
      </c>
      <c r="V7" s="155">
        <f t="shared" si="2"/>
        <v>31417.594824000007</v>
      </c>
      <c r="W7" s="155">
        <f t="shared" si="2"/>
        <v>34559.354306400011</v>
      </c>
      <c r="X7" s="155">
        <f t="shared" si="2"/>
        <v>38015.289737040017</v>
      </c>
      <c r="Y7" s="155">
        <f t="shared" si="2"/>
        <v>41816.818710744024</v>
      </c>
      <c r="Z7" s="155">
        <f t="shared" si="2"/>
        <v>45998.500581818429</v>
      </c>
      <c r="AA7" s="155">
        <f t="shared" si="2"/>
        <v>50598.350640000273</v>
      </c>
      <c r="AB7" s="155">
        <f t="shared" si="2"/>
        <v>55658.185704000309</v>
      </c>
      <c r="AC7" s="138">
        <f>((AB7/G7)^(1/($AB$3-$H$1) ))-1</f>
        <v>0.25918077818034946</v>
      </c>
      <c r="AD7" s="31">
        <v>0.08</v>
      </c>
      <c r="AE7" s="146">
        <f>(AB7*(1+AC7))/($C$1-AD7)</f>
        <v>500597.98276335356</v>
      </c>
    </row>
    <row r="8" spans="2:31">
      <c r="B8" s="20"/>
      <c r="C8" s="141"/>
      <c r="D8" s="141"/>
      <c r="E8" s="147"/>
      <c r="F8" s="147"/>
      <c r="G8" s="149">
        <f>(G7-F7)/G7</f>
        <v>1</v>
      </c>
      <c r="H8" s="152">
        <f>(H7-G7)/H7</f>
        <v>6.0565275908479141E-2</v>
      </c>
      <c r="I8" s="152">
        <f t="shared" ref="I8:P8" si="3">(I7-H7)/I7</f>
        <v>0.12895662368112543</v>
      </c>
      <c r="J8" s="152">
        <f t="shared" si="3"/>
        <v>0.25826086956521738</v>
      </c>
      <c r="K8" s="152">
        <f t="shared" si="3"/>
        <v>0.45882352941176469</v>
      </c>
      <c r="L8" s="152">
        <f t="shared" si="3"/>
        <v>0.29589131875414182</v>
      </c>
      <c r="M8" s="152">
        <f t="shared" si="3"/>
        <v>0.5001656177542233</v>
      </c>
      <c r="N8" s="152">
        <f t="shared" si="3"/>
        <v>0.65524723078679914</v>
      </c>
      <c r="O8" s="152">
        <f t="shared" si="3"/>
        <v>0.10069319640564826</v>
      </c>
      <c r="P8" s="152">
        <f t="shared" si="3"/>
        <v>9.2440154641673447E-2</v>
      </c>
      <c r="Q8" s="128"/>
      <c r="R8" s="128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37"/>
      <c r="AD8" s="20"/>
      <c r="AE8" s="146"/>
    </row>
    <row r="9" spans="2:31">
      <c r="B9" s="20" t="s">
        <v>270</v>
      </c>
      <c r="C9" s="141"/>
      <c r="D9" s="141"/>
      <c r="E9" s="147"/>
      <c r="F9" s="147"/>
      <c r="G9" s="147">
        <v>1078</v>
      </c>
      <c r="H9" s="147">
        <v>2047</v>
      </c>
      <c r="I9" s="147">
        <v>2049</v>
      </c>
      <c r="J9" s="147">
        <v>2072</v>
      </c>
      <c r="K9" s="147">
        <v>3074</v>
      </c>
      <c r="L9" s="147">
        <v>3922</v>
      </c>
      <c r="M9" s="147">
        <v>4099</v>
      </c>
      <c r="N9" s="147">
        <v>8458</v>
      </c>
      <c r="O9" s="147">
        <v>16364</v>
      </c>
      <c r="P9" s="147">
        <v>34044.800000000003</v>
      </c>
      <c r="Q9" s="118">
        <f t="shared" ref="Q9:Q15" si="4">((P9/G9)^(1/($H$2-$H$1) ))-1</f>
        <v>0.46758599432989212</v>
      </c>
      <c r="R9" s="31">
        <v>0.1</v>
      </c>
      <c r="S9" s="155">
        <f t="shared" ref="S9" si="5">P9*(1+$R9)</f>
        <v>37449.280000000006</v>
      </c>
      <c r="T9" s="155">
        <f t="shared" ref="T9" si="6">S9*(1+$R9)</f>
        <v>41194.208000000013</v>
      </c>
      <c r="U9" s="155">
        <f t="shared" ref="U9" si="7">T9*(1+$R9)</f>
        <v>45313.62880000002</v>
      </c>
      <c r="V9" s="155">
        <f t="shared" ref="V9" si="8">U9*(1+$R9)</f>
        <v>49844.991680000028</v>
      </c>
      <c r="W9" s="155">
        <f t="shared" ref="W9" si="9">V9*(1+$R9)</f>
        <v>54829.490848000038</v>
      </c>
      <c r="X9" s="155">
        <f t="shared" ref="X9" si="10">W9*(1+$R9)</f>
        <v>60312.439932800044</v>
      </c>
      <c r="Y9" s="155">
        <f t="shared" ref="Y9" si="11">X9*(1+$R9)</f>
        <v>66343.683926080048</v>
      </c>
      <c r="Z9" s="155">
        <f t="shared" ref="Z9" si="12">Y9*(1+$R9)</f>
        <v>72978.05231868806</v>
      </c>
      <c r="AA9" s="155">
        <f t="shared" ref="AA9" si="13">Z9*(1+$R9)</f>
        <v>80275.857550556873</v>
      </c>
      <c r="AB9" s="155">
        <f t="shared" ref="AB9" si="14">AA9*(1+$R9)</f>
        <v>88303.443305612571</v>
      </c>
      <c r="AC9" s="138">
        <f>((AB9/G9)^(1/($AB$3-$H$1) ))-1</f>
        <v>0.26096519337768798</v>
      </c>
      <c r="AD9" s="31">
        <v>0.08</v>
      </c>
      <c r="AE9" s="146">
        <f t="shared" ref="AE9:AE15" si="15">(AB9*(1+AC9))/($C$1-AD9)</f>
        <v>795339.77474126755</v>
      </c>
    </row>
    <row r="10" spans="2:31">
      <c r="B10" s="20" t="s">
        <v>4</v>
      </c>
      <c r="C10" s="141"/>
      <c r="D10" s="141"/>
      <c r="E10" s="147"/>
      <c r="F10" s="147"/>
      <c r="G10" s="147">
        <v>384</v>
      </c>
      <c r="H10" s="147">
        <v>844</v>
      </c>
      <c r="I10" s="147">
        <v>1351</v>
      </c>
      <c r="J10" s="147">
        <v>4289</v>
      </c>
      <c r="K10" s="147">
        <v>6149</v>
      </c>
      <c r="L10" s="147">
        <v>11861</v>
      </c>
      <c r="M10" s="147">
        <v>16788</v>
      </c>
      <c r="N10" s="147">
        <v>31590</v>
      </c>
      <c r="O10" s="147">
        <v>63610</v>
      </c>
      <c r="P10" s="147">
        <v>48850.1</v>
      </c>
      <c r="Q10" s="118">
        <f t="shared" si="4"/>
        <v>0.71331468375835083</v>
      </c>
      <c r="R10" s="31">
        <v>0.1</v>
      </c>
      <c r="S10" s="155">
        <f t="shared" si="1"/>
        <v>53735.11</v>
      </c>
      <c r="T10" s="155">
        <f t="shared" ref="T10:AB10" si="16">S10*(1+$R10)</f>
        <v>59108.621000000006</v>
      </c>
      <c r="U10" s="155">
        <f t="shared" si="16"/>
        <v>65019.483100000012</v>
      </c>
      <c r="V10" s="155">
        <f t="shared" si="16"/>
        <v>71521.431410000019</v>
      </c>
      <c r="W10" s="155">
        <f t="shared" si="16"/>
        <v>78673.574551000027</v>
      </c>
      <c r="X10" s="155">
        <f t="shared" si="16"/>
        <v>86540.932006100033</v>
      </c>
      <c r="Y10" s="155">
        <f t="shared" si="16"/>
        <v>95195.025206710037</v>
      </c>
      <c r="Z10" s="155">
        <f t="shared" si="16"/>
        <v>104714.52772738105</v>
      </c>
      <c r="AA10" s="155">
        <f t="shared" si="16"/>
        <v>115185.98050011917</v>
      </c>
      <c r="AB10" s="155">
        <f t="shared" si="16"/>
        <v>126704.5785501311</v>
      </c>
      <c r="AC10" s="138">
        <f t="shared" ref="AC10:AC36" si="17">((AB10/G10)^(1/($AB$3-$H$1) ))-1</f>
        <v>0.35690856369299162</v>
      </c>
      <c r="AD10" s="31">
        <v>0.08</v>
      </c>
      <c r="AE10" s="146">
        <f t="shared" si="15"/>
        <v>1228046.6263841731</v>
      </c>
    </row>
    <row r="11" spans="2:31">
      <c r="B11" s="20"/>
      <c r="C11" s="141"/>
      <c r="D11" s="141"/>
      <c r="E11" s="147"/>
      <c r="F11" s="147"/>
      <c r="G11" s="149">
        <f>(G10-F10)/G10</f>
        <v>1</v>
      </c>
      <c r="H11" s="148">
        <f>(H10-G10)/H10</f>
        <v>0.54502369668246442</v>
      </c>
      <c r="I11" s="148">
        <f t="shared" ref="I11" si="18">(I10-H10)/I10</f>
        <v>0.3752775721687639</v>
      </c>
      <c r="J11" s="148">
        <f t="shared" ref="J11" si="19">(J10-I10)/J10</f>
        <v>0.68500816041035206</v>
      </c>
      <c r="K11" s="148">
        <f t="shared" ref="K11" si="20">(K10-J10)/K10</f>
        <v>0.30248820946495364</v>
      </c>
      <c r="L11" s="148">
        <f t="shared" ref="L11" si="21">(L10-K10)/L10</f>
        <v>0.4815782817637636</v>
      </c>
      <c r="M11" s="148">
        <f t="shared" ref="M11" si="22">(M10-L10)/M10</f>
        <v>0.29348344055277581</v>
      </c>
      <c r="N11" s="148">
        <f t="shared" ref="N11" si="23">(N10-M10)/N10</f>
        <v>0.46856600189933523</v>
      </c>
      <c r="O11" s="148">
        <f t="shared" ref="O11" si="24">(O10-N10)/O10</f>
        <v>0.50337997170256255</v>
      </c>
      <c r="P11" s="148">
        <f t="shared" ref="P11" si="25">(P10-O10)/P10</f>
        <v>-0.30214677144980262</v>
      </c>
      <c r="Q11" s="128"/>
      <c r="R11" s="128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19"/>
      <c r="AD11" s="119"/>
      <c r="AE11" s="155"/>
    </row>
    <row r="12" spans="2:31">
      <c r="B12" s="20" t="s">
        <v>2</v>
      </c>
      <c r="C12" s="141"/>
      <c r="D12" s="141"/>
      <c r="E12" s="147"/>
      <c r="F12" s="147"/>
      <c r="G12" s="147">
        <v>285</v>
      </c>
      <c r="H12" s="147">
        <v>525</v>
      </c>
      <c r="I12" s="147">
        <v>700</v>
      </c>
      <c r="J12" s="147">
        <v>1578</v>
      </c>
      <c r="K12" s="147">
        <v>1642</v>
      </c>
      <c r="L12" s="147">
        <v>2380</v>
      </c>
      <c r="M12" s="147">
        <v>2810</v>
      </c>
      <c r="N12" s="147">
        <v>2350</v>
      </c>
      <c r="O12" s="147">
        <v>6900</v>
      </c>
      <c r="P12" s="147">
        <v>7074.23</v>
      </c>
      <c r="Q12" s="118">
        <f t="shared" si="4"/>
        <v>0.42883339019782274</v>
      </c>
      <c r="R12" s="31">
        <v>0.1</v>
      </c>
      <c r="S12" s="155">
        <f t="shared" si="1"/>
        <v>7781.6530000000002</v>
      </c>
      <c r="T12" s="155">
        <f t="shared" ref="T12:AB12" si="26">S12*(1+$R12)</f>
        <v>8559.8183000000008</v>
      </c>
      <c r="U12" s="155">
        <f t="shared" si="26"/>
        <v>9415.8001300000014</v>
      </c>
      <c r="V12" s="155">
        <f t="shared" si="26"/>
        <v>10357.380143000002</v>
      </c>
      <c r="W12" s="155">
        <f t="shared" si="26"/>
        <v>11393.118157300003</v>
      </c>
      <c r="X12" s="155">
        <f t="shared" si="26"/>
        <v>12532.429973030004</v>
      </c>
      <c r="Y12" s="155">
        <f t="shared" si="26"/>
        <v>13785.672970333006</v>
      </c>
      <c r="Z12" s="155">
        <f t="shared" si="26"/>
        <v>15164.240267366307</v>
      </c>
      <c r="AA12" s="155">
        <f t="shared" si="26"/>
        <v>16680.664294102939</v>
      </c>
      <c r="AB12" s="155">
        <f t="shared" si="26"/>
        <v>18348.730723513236</v>
      </c>
      <c r="AC12" s="138">
        <f t="shared" si="17"/>
        <v>0.24508200443058081</v>
      </c>
      <c r="AD12" s="31">
        <v>0.08</v>
      </c>
      <c r="AE12" s="146">
        <f t="shared" si="15"/>
        <v>163183.38877134884</v>
      </c>
    </row>
    <row r="13" spans="2:31">
      <c r="B13" s="20" t="s">
        <v>218</v>
      </c>
      <c r="C13" s="141"/>
      <c r="D13" s="141"/>
      <c r="E13" s="147"/>
      <c r="F13" s="147"/>
      <c r="G13" s="147">
        <v>17</v>
      </c>
      <c r="H13" s="147">
        <v>10</v>
      </c>
      <c r="I13" s="147">
        <v>66</v>
      </c>
      <c r="J13" s="147">
        <v>12</v>
      </c>
      <c r="K13" s="147">
        <v>329</v>
      </c>
      <c r="L13" s="147">
        <v>450</v>
      </c>
      <c r="M13" s="147">
        <v>699</v>
      </c>
      <c r="N13" s="147">
        <v>322</v>
      </c>
      <c r="O13" s="147">
        <v>542</v>
      </c>
      <c r="P13" s="147">
        <v>78.95</v>
      </c>
      <c r="Q13" s="118">
        <f t="shared" si="4"/>
        <v>0.18604278789162554</v>
      </c>
      <c r="R13" s="31">
        <v>0.1</v>
      </c>
      <c r="S13" s="155">
        <f t="shared" si="1"/>
        <v>86.845000000000013</v>
      </c>
      <c r="T13" s="155">
        <f t="shared" ref="T13:AB13" si="27">S13*(1+$R13)</f>
        <v>95.529500000000027</v>
      </c>
      <c r="U13" s="155">
        <f t="shared" si="27"/>
        <v>105.08245000000004</v>
      </c>
      <c r="V13" s="155">
        <f t="shared" si="27"/>
        <v>115.59069500000005</v>
      </c>
      <c r="W13" s="155">
        <f t="shared" si="27"/>
        <v>127.14976450000007</v>
      </c>
      <c r="X13" s="155">
        <f t="shared" si="27"/>
        <v>139.86474095000008</v>
      </c>
      <c r="Y13" s="155">
        <f t="shared" si="27"/>
        <v>153.85121504500012</v>
      </c>
      <c r="Z13" s="155">
        <f t="shared" si="27"/>
        <v>169.23633654950015</v>
      </c>
      <c r="AA13" s="155">
        <f t="shared" si="27"/>
        <v>186.15997020445019</v>
      </c>
      <c r="AB13" s="155">
        <f t="shared" si="27"/>
        <v>204.77596722489523</v>
      </c>
      <c r="AC13" s="138">
        <f t="shared" si="17"/>
        <v>0.13994997363570039</v>
      </c>
      <c r="AD13" s="31">
        <v>0.08</v>
      </c>
      <c r="AE13" s="146">
        <f t="shared" si="15"/>
        <v>1667.388274566031</v>
      </c>
    </row>
    <row r="14" spans="2:31">
      <c r="B14" s="20" t="s">
        <v>19</v>
      </c>
      <c r="C14" s="141"/>
      <c r="D14" s="141"/>
      <c r="E14" s="147"/>
      <c r="F14" s="147"/>
      <c r="G14" s="147">
        <v>2084</v>
      </c>
      <c r="H14" s="147">
        <v>3602</v>
      </c>
      <c r="I14" s="147">
        <v>4087</v>
      </c>
      <c r="J14" s="147">
        <v>6255</v>
      </c>
      <c r="K14" s="147">
        <v>7514</v>
      </c>
      <c r="L14" s="147">
        <v>10138</v>
      </c>
      <c r="M14" s="147">
        <v>10736</v>
      </c>
      <c r="N14" s="147">
        <v>15272</v>
      </c>
      <c r="O14" s="147">
        <v>31488</v>
      </c>
      <c r="P14" s="147">
        <v>28023.439999999999</v>
      </c>
      <c r="Q14" s="118">
        <f t="shared" si="4"/>
        <v>0.33475832046429854</v>
      </c>
      <c r="R14" s="31">
        <v>0.1</v>
      </c>
      <c r="S14" s="155">
        <f t="shared" si="1"/>
        <v>30825.784</v>
      </c>
      <c r="T14" s="155">
        <f t="shared" ref="T14:AB14" si="28">S14*(1+$R14)</f>
        <v>33908.362400000005</v>
      </c>
      <c r="U14" s="155">
        <f t="shared" si="28"/>
        <v>37299.19864000001</v>
      </c>
      <c r="V14" s="155">
        <f t="shared" si="28"/>
        <v>41029.118504000013</v>
      </c>
      <c r="W14" s="155">
        <f t="shared" si="28"/>
        <v>45132.03035440002</v>
      </c>
      <c r="X14" s="155">
        <f t="shared" si="28"/>
        <v>49645.233389840025</v>
      </c>
      <c r="Y14" s="155">
        <f t="shared" si="28"/>
        <v>54609.756728824032</v>
      </c>
      <c r="Z14" s="155">
        <f t="shared" si="28"/>
        <v>60070.732401706438</v>
      </c>
      <c r="AA14" s="155">
        <f t="shared" si="28"/>
        <v>66077.805641877087</v>
      </c>
      <c r="AB14" s="155">
        <f t="shared" si="28"/>
        <v>72685.586206064807</v>
      </c>
      <c r="AC14" s="138">
        <f t="shared" si="17"/>
        <v>0.20555456742051548</v>
      </c>
      <c r="AD14" s="31">
        <v>0.08</v>
      </c>
      <c r="AE14" s="146">
        <f t="shared" si="15"/>
        <v>625903.14597399312</v>
      </c>
    </row>
    <row r="15" spans="2:31">
      <c r="B15" s="20" t="s">
        <v>23</v>
      </c>
      <c r="C15" s="141"/>
      <c r="D15" s="141"/>
      <c r="E15" s="147"/>
      <c r="F15" s="147"/>
      <c r="G15" s="147">
        <v>988</v>
      </c>
      <c r="H15" s="147">
        <v>6224</v>
      </c>
      <c r="I15" s="147">
        <v>1961</v>
      </c>
      <c r="J15" s="147">
        <v>4079</v>
      </c>
      <c r="K15" s="147">
        <v>4263</v>
      </c>
      <c r="L15" s="147">
        <v>5974</v>
      </c>
      <c r="M15" s="147">
        <v>6322</v>
      </c>
      <c r="N15" s="147">
        <v>6224</v>
      </c>
      <c r="O15" s="147">
        <v>14135</v>
      </c>
      <c r="P15" s="147">
        <f>P14-P9</f>
        <v>-6021.3600000000042</v>
      </c>
      <c r="Q15" s="118">
        <f t="shared" si="4"/>
        <v>-2.2224054972525353</v>
      </c>
      <c r="R15" s="31">
        <v>0.1</v>
      </c>
      <c r="S15" s="155">
        <f t="shared" si="1"/>
        <v>-6623.4960000000056</v>
      </c>
      <c r="T15" s="155">
        <f t="shared" ref="T15:AB15" si="29">S15*(1+$R15)</f>
        <v>-7285.8456000000069</v>
      </c>
      <c r="U15" s="155">
        <f t="shared" si="29"/>
        <v>-8014.4301600000081</v>
      </c>
      <c r="V15" s="155">
        <f t="shared" si="29"/>
        <v>-8815.8731760000101</v>
      </c>
      <c r="W15" s="155">
        <f t="shared" si="29"/>
        <v>-9697.4604936000123</v>
      </c>
      <c r="X15" s="155">
        <f t="shared" si="29"/>
        <v>-10667.206542960015</v>
      </c>
      <c r="Y15" s="155">
        <f t="shared" si="29"/>
        <v>-11733.927197256018</v>
      </c>
      <c r="Z15" s="155">
        <f t="shared" si="29"/>
        <v>-12907.319916981622</v>
      </c>
      <c r="AA15" s="155">
        <f t="shared" si="29"/>
        <v>-14198.051908679785</v>
      </c>
      <c r="AB15" s="155">
        <f t="shared" si="29"/>
        <v>-15617.857099547764</v>
      </c>
      <c r="AC15" s="138">
        <f t="shared" si="17"/>
        <v>-2.1563735025943851</v>
      </c>
      <c r="AD15" s="31">
        <v>0.08</v>
      </c>
      <c r="AE15" s="146">
        <f t="shared" si="15"/>
        <v>129000.54369444735</v>
      </c>
    </row>
    <row r="16" spans="2:31">
      <c r="B16" s="20"/>
      <c r="C16" s="141"/>
      <c r="D16" s="141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28"/>
      <c r="R16" s="128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39"/>
      <c r="AD16" s="20"/>
      <c r="AE16" s="155"/>
    </row>
    <row r="17" spans="2:31">
      <c r="B17" s="20" t="s">
        <v>278</v>
      </c>
      <c r="C17" s="141"/>
      <c r="D17" s="141"/>
      <c r="E17" s="147"/>
      <c r="F17" s="147"/>
      <c r="G17" s="147">
        <v>59</v>
      </c>
      <c r="H17" s="147">
        <v>50</v>
      </c>
      <c r="I17" s="147">
        <v>114</v>
      </c>
      <c r="J17" s="147">
        <v>257</v>
      </c>
      <c r="K17" s="147">
        <v>812</v>
      </c>
      <c r="L17" s="147">
        <v>1703</v>
      </c>
      <c r="M17" s="147">
        <v>4247</v>
      </c>
      <c r="N17" s="147">
        <v>16704</v>
      </c>
      <c r="O17" s="147">
        <v>37735</v>
      </c>
      <c r="P17" s="147">
        <v>77926.7</v>
      </c>
      <c r="Q17" s="118">
        <f>((P17/G17)^(1/($H$2-$H$1) ))-1</f>
        <v>1.2220783282096721</v>
      </c>
      <c r="R17" s="31">
        <v>0.1</v>
      </c>
      <c r="S17" s="155">
        <f t="shared" ref="S17:S30" si="30">P17*(1+$R17)</f>
        <v>85719.37000000001</v>
      </c>
      <c r="T17" s="155">
        <f t="shared" ref="T17:T30" si="31">S17*(1+$R17)</f>
        <v>94291.307000000015</v>
      </c>
      <c r="U17" s="155">
        <f t="shared" ref="U17:U30" si="32">T17*(1+$R17)</f>
        <v>103720.43770000002</v>
      </c>
      <c r="V17" s="155">
        <f t="shared" ref="V17:V30" si="33">U17*(1+$R17)</f>
        <v>114092.48147000004</v>
      </c>
      <c r="W17" s="155">
        <f t="shared" ref="W17:W32" si="34">V17*(1+$R17)</f>
        <v>125501.72961700006</v>
      </c>
      <c r="X17" s="155">
        <f t="shared" ref="X17:X32" si="35">W17*(1+$R17)</f>
        <v>138051.90257870007</v>
      </c>
      <c r="Y17" s="155">
        <f t="shared" ref="Y17:Y32" si="36">X17*(1+$R17)</f>
        <v>151857.09283657008</v>
      </c>
      <c r="Z17" s="155">
        <f t="shared" ref="Z17:Z32" si="37">Y17*(1+$R17)</f>
        <v>167042.8021202271</v>
      </c>
      <c r="AA17" s="155">
        <f t="shared" ref="AA17:AA32" si="38">Z17*(1+$R17)</f>
        <v>183747.08233224982</v>
      </c>
      <c r="AB17" s="155">
        <f t="shared" ref="AB17:AB32" si="39">AA17*(1+$R17)</f>
        <v>202121.7905654748</v>
      </c>
      <c r="AC17" s="138">
        <f t="shared" si="17"/>
        <v>0.53475854205452666</v>
      </c>
      <c r="AD17" s="31">
        <v>0.08</v>
      </c>
      <c r="AE17" s="146">
        <f>(AB17*(1+AC17))/($C$1-AD17)</f>
        <v>2215772.4614694174</v>
      </c>
    </row>
    <row r="18" spans="2:31">
      <c r="B18" s="20"/>
      <c r="C18" s="141"/>
      <c r="D18" s="141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28"/>
      <c r="R18" s="128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19"/>
      <c r="AD18" s="119"/>
      <c r="AE18" s="155"/>
    </row>
    <row r="19" spans="2:31">
      <c r="B19" s="20" t="s">
        <v>284</v>
      </c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18" t="e">
        <f>((P19/G19)^(1/($H$2-$H$1) ))-1</f>
        <v>#DIV/0!</v>
      </c>
      <c r="R19" s="31">
        <v>0.1</v>
      </c>
      <c r="S19" s="155">
        <f t="shared" ref="S19:S21" si="40">P19*(1+$R19)</f>
        <v>0</v>
      </c>
      <c r="T19" s="155">
        <f t="shared" ref="T19:T21" si="41">S19*(1+$R19)</f>
        <v>0</v>
      </c>
      <c r="U19" s="155">
        <f t="shared" ref="U19:U21" si="42">T19*(1+$R19)</f>
        <v>0</v>
      </c>
      <c r="V19" s="155">
        <f t="shared" ref="V19:V21" si="43">U19*(1+$R19)</f>
        <v>0</v>
      </c>
      <c r="W19" s="155">
        <f t="shared" ref="W19:W21" si="44">V19*(1+$R19)</f>
        <v>0</v>
      </c>
      <c r="X19" s="155">
        <f t="shared" ref="X19:X21" si="45">W19*(1+$R19)</f>
        <v>0</v>
      </c>
      <c r="Y19" s="155">
        <f t="shared" ref="Y19:Y21" si="46">X19*(1+$R19)</f>
        <v>0</v>
      </c>
      <c r="Z19" s="155">
        <f t="shared" ref="Z19:Z21" si="47">Y19*(1+$R19)</f>
        <v>0</v>
      </c>
      <c r="AA19" s="155">
        <f t="shared" ref="AA19:AA21" si="48">Z19*(1+$R19)</f>
        <v>0</v>
      </c>
      <c r="AB19" s="155">
        <f t="shared" ref="AB19:AB21" si="49">AA19*(1+$R19)</f>
        <v>0</v>
      </c>
      <c r="AC19" s="138" t="e">
        <f t="shared" ref="AC19:AC21" si="50">((AB19/G19)^(1/($AB$3-$H$1) ))-1</f>
        <v>#DIV/0!</v>
      </c>
      <c r="AD19" s="31">
        <v>0.05</v>
      </c>
      <c r="AE19" s="146" t="e">
        <f>(AB19*(1+AC19))/($C$1-AD19)</f>
        <v>#DIV/0!</v>
      </c>
    </row>
    <row r="20" spans="2:31">
      <c r="B20" s="20" t="s">
        <v>285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v>0.1</v>
      </c>
      <c r="S20" s="155">
        <f t="shared" si="40"/>
        <v>0</v>
      </c>
      <c r="T20" s="155">
        <f t="shared" si="41"/>
        <v>0</v>
      </c>
      <c r="U20" s="155">
        <f t="shared" si="42"/>
        <v>0</v>
      </c>
      <c r="V20" s="155">
        <f t="shared" si="43"/>
        <v>0</v>
      </c>
      <c r="W20" s="155">
        <f t="shared" si="44"/>
        <v>0</v>
      </c>
      <c r="X20" s="155">
        <f t="shared" si="45"/>
        <v>0</v>
      </c>
      <c r="Y20" s="155">
        <f t="shared" si="46"/>
        <v>0</v>
      </c>
      <c r="Z20" s="155">
        <f t="shared" si="47"/>
        <v>0</v>
      </c>
      <c r="AA20" s="155">
        <f t="shared" si="48"/>
        <v>0</v>
      </c>
      <c r="AB20" s="155">
        <f t="shared" si="49"/>
        <v>0</v>
      </c>
      <c r="AC20" s="138" t="e">
        <f t="shared" si="50"/>
        <v>#DIV/0!</v>
      </c>
      <c r="AD20" s="31">
        <v>0.05</v>
      </c>
      <c r="AE20" s="146" t="e">
        <f>(AB20*(1+AC20))/($C$1-AD20)</f>
        <v>#DIV/0!</v>
      </c>
    </row>
    <row r="21" spans="2:31">
      <c r="B21" s="20" t="s">
        <v>286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v>0.1</v>
      </c>
      <c r="S21" s="155">
        <f t="shared" si="40"/>
        <v>0</v>
      </c>
      <c r="T21" s="155">
        <f t="shared" si="41"/>
        <v>0</v>
      </c>
      <c r="U21" s="155">
        <f t="shared" si="42"/>
        <v>0</v>
      </c>
      <c r="V21" s="155">
        <f t="shared" si="43"/>
        <v>0</v>
      </c>
      <c r="W21" s="155">
        <f t="shared" si="44"/>
        <v>0</v>
      </c>
      <c r="X21" s="155">
        <f t="shared" si="45"/>
        <v>0</v>
      </c>
      <c r="Y21" s="155">
        <f t="shared" si="46"/>
        <v>0</v>
      </c>
      <c r="Z21" s="155">
        <f t="shared" si="47"/>
        <v>0</v>
      </c>
      <c r="AA21" s="155">
        <f t="shared" si="48"/>
        <v>0</v>
      </c>
      <c r="AB21" s="155">
        <f t="shared" si="49"/>
        <v>0</v>
      </c>
      <c r="AC21" s="138" t="e">
        <f t="shared" si="50"/>
        <v>#DIV/0!</v>
      </c>
      <c r="AD21" s="31">
        <v>0.05</v>
      </c>
      <c r="AE21" s="146" t="e">
        <f>(AB21*(1+AC21))/($C$1-AD21)</f>
        <v>#DIV/0!</v>
      </c>
    </row>
    <row r="22" spans="2:31">
      <c r="B22" s="20" t="s">
        <v>296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v>0.1</v>
      </c>
      <c r="S22" s="155">
        <f t="shared" ref="S22" si="51">P22*(1+$R22)</f>
        <v>0</v>
      </c>
      <c r="T22" s="155">
        <f t="shared" ref="T22" si="52">S22*(1+$R22)</f>
        <v>0</v>
      </c>
      <c r="U22" s="155">
        <f t="shared" ref="U22" si="53">T22*(1+$R22)</f>
        <v>0</v>
      </c>
      <c r="V22" s="155">
        <f t="shared" ref="V22" si="54">U22*(1+$R22)</f>
        <v>0</v>
      </c>
      <c r="W22" s="155">
        <f t="shared" ref="W22" si="55">V22*(1+$R22)</f>
        <v>0</v>
      </c>
      <c r="X22" s="155">
        <f t="shared" ref="X22" si="56">W22*(1+$R22)</f>
        <v>0</v>
      </c>
      <c r="Y22" s="155">
        <f t="shared" ref="Y22" si="57">X22*(1+$R22)</f>
        <v>0</v>
      </c>
      <c r="Z22" s="155">
        <f t="shared" ref="Z22" si="58">Y22*(1+$R22)</f>
        <v>0</v>
      </c>
      <c r="AA22" s="155">
        <f t="shared" ref="AA22" si="59">Z22*(1+$R22)</f>
        <v>0</v>
      </c>
      <c r="AB22" s="155">
        <f t="shared" ref="AB22" si="60">AA22*(1+$R22)</f>
        <v>0</v>
      </c>
      <c r="AC22" s="138" t="e">
        <f t="shared" ref="AC22" si="61">((AB22/G22)^(1/($AB$3-$H$1) ))-1</f>
        <v>#DIV/0!</v>
      </c>
      <c r="AD22" s="31">
        <v>0.05</v>
      </c>
      <c r="AE22" s="146" t="e">
        <f>(AB22*(1+AC22))/($C$1-AD22)</f>
        <v>#DIV/0!</v>
      </c>
    </row>
    <row r="23" spans="2:31">
      <c r="B23" s="20"/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28"/>
      <c r="R23" s="128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19"/>
      <c r="AD23" s="119"/>
      <c r="AE23" s="155"/>
    </row>
    <row r="24" spans="2:31">
      <c r="B24" s="20" t="s">
        <v>89</v>
      </c>
      <c r="C24" s="141"/>
      <c r="D24" s="141"/>
      <c r="E24" s="147"/>
      <c r="F24" s="147"/>
      <c r="G24" s="147">
        <v>9177</v>
      </c>
      <c r="H24" s="147">
        <v>15210</v>
      </c>
      <c r="I24" s="147">
        <v>12588</v>
      </c>
      <c r="J24" s="147">
        <v>17179</v>
      </c>
      <c r="K24" s="147">
        <v>20319</v>
      </c>
      <c r="L24" s="147">
        <v>28173</v>
      </c>
      <c r="M24" s="147">
        <v>25916</v>
      </c>
      <c r="N24" s="147">
        <v>26941</v>
      </c>
      <c r="O24" s="147">
        <v>40306</v>
      </c>
      <c r="P24" s="147">
        <f>46462+889.2</f>
        <v>47351.199999999997</v>
      </c>
      <c r="Q24" s="118">
        <f>((P24/G24)^(1/($H$2-$H$1) ))-1</f>
        <v>0.19999970633570308</v>
      </c>
      <c r="R24" s="31">
        <v>0.1</v>
      </c>
      <c r="S24" s="155">
        <f t="shared" si="30"/>
        <v>52086.32</v>
      </c>
      <c r="T24" s="155">
        <f t="shared" si="31"/>
        <v>57294.952000000005</v>
      </c>
      <c r="U24" s="155">
        <f t="shared" si="32"/>
        <v>63024.44720000001</v>
      </c>
      <c r="V24" s="155">
        <f t="shared" si="33"/>
        <v>69326.891920000009</v>
      </c>
      <c r="W24" s="155">
        <f t="shared" si="34"/>
        <v>76259.581112000014</v>
      </c>
      <c r="X24" s="155">
        <f t="shared" si="35"/>
        <v>83885.539223200016</v>
      </c>
      <c r="Y24" s="155">
        <f t="shared" si="36"/>
        <v>92274.093145520019</v>
      </c>
      <c r="Z24" s="155">
        <f t="shared" si="37"/>
        <v>101501.50246007204</v>
      </c>
      <c r="AA24" s="155">
        <f t="shared" si="38"/>
        <v>111651.65270607924</v>
      </c>
      <c r="AB24" s="155">
        <f t="shared" si="39"/>
        <v>122816.81797668718</v>
      </c>
      <c r="AC24" s="138">
        <f t="shared" si="17"/>
        <v>0.14628465706231708</v>
      </c>
      <c r="AD24" s="31">
        <v>0.08</v>
      </c>
      <c r="AE24" s="146">
        <f>(AB24*(1+AC24))/($C$1-AD24)</f>
        <v>1005593.1005420848</v>
      </c>
    </row>
    <row r="25" spans="2:31" s="123" customFormat="1">
      <c r="B25" s="23"/>
      <c r="C25" s="150"/>
      <c r="D25" s="150"/>
      <c r="E25" s="151"/>
      <c r="F25" s="151"/>
      <c r="G25" s="149">
        <f>(G24-F24)/G24</f>
        <v>1</v>
      </c>
      <c r="H25" s="149">
        <f>(H24-G24)/H24</f>
        <v>0.39664694280078894</v>
      </c>
      <c r="I25" s="149">
        <f t="shared" ref="I25" si="62">(I24-H24)/I24</f>
        <v>-0.20829361296472831</v>
      </c>
      <c r="J25" s="149">
        <f t="shared" ref="J25" si="63">(J24-I24)/J24</f>
        <v>0.26724489201932594</v>
      </c>
      <c r="K25" s="149">
        <f t="shared" ref="K25" si="64">(K24-J24)/K24</f>
        <v>0.15453516413209312</v>
      </c>
      <c r="L25" s="149">
        <f t="shared" ref="L25" si="65">(L24-K24)/L24</f>
        <v>0.27877755297625384</v>
      </c>
      <c r="M25" s="149">
        <f t="shared" ref="M25" si="66">(M24-L24)/M24</f>
        <v>-8.7089056953233518E-2</v>
      </c>
      <c r="N25" s="149">
        <f t="shared" ref="N25" si="67">(N24-M24)/N24</f>
        <v>3.8046100738651126E-2</v>
      </c>
      <c r="O25" s="149">
        <f t="shared" ref="O25" si="68">(O24-N24)/O24</f>
        <v>0.33158834912916191</v>
      </c>
      <c r="P25" s="149">
        <f t="shared" ref="P25" si="69">(P24-O24)/P24</f>
        <v>0.14878609201033971</v>
      </c>
      <c r="Q25" s="3"/>
      <c r="R25" s="3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19"/>
      <c r="AD25" s="119"/>
      <c r="AE25" s="155"/>
    </row>
    <row r="26" spans="2:31">
      <c r="B26" s="20" t="s">
        <v>262</v>
      </c>
      <c r="C26" s="141"/>
      <c r="D26" s="141"/>
      <c r="E26" s="147"/>
      <c r="F26" s="147"/>
      <c r="G26" s="147">
        <v>8962</v>
      </c>
      <c r="H26" s="147">
        <v>14874</v>
      </c>
      <c r="I26" s="147">
        <v>12064</v>
      </c>
      <c r="J26" s="147">
        <v>16541</v>
      </c>
      <c r="K26" s="147">
        <v>19457</v>
      </c>
      <c r="L26" s="147">
        <v>26965</v>
      </c>
      <c r="M26" s="147">
        <v>24230</v>
      </c>
      <c r="N26" s="147">
        <v>22559</v>
      </c>
      <c r="O26" s="147">
        <v>34760</v>
      </c>
      <c r="P26" s="147">
        <v>42751</v>
      </c>
      <c r="Q26" s="118">
        <f>((P26/G26)^(1/($H$2-$H$1) ))-1</f>
        <v>0.18957952915388132</v>
      </c>
      <c r="R26" s="31">
        <v>0.1</v>
      </c>
      <c r="S26" s="155">
        <f t="shared" si="30"/>
        <v>47026.100000000006</v>
      </c>
      <c r="T26" s="155">
        <f t="shared" si="31"/>
        <v>51728.710000000014</v>
      </c>
      <c r="U26" s="155">
        <f t="shared" si="32"/>
        <v>56901.58100000002</v>
      </c>
      <c r="V26" s="155">
        <f t="shared" si="33"/>
        <v>62591.739100000028</v>
      </c>
      <c r="W26" s="155">
        <f t="shared" si="34"/>
        <v>68850.913010000033</v>
      </c>
      <c r="X26" s="155">
        <f t="shared" si="35"/>
        <v>75736.004311000041</v>
      </c>
      <c r="Y26" s="155">
        <f t="shared" si="36"/>
        <v>83309.604742100055</v>
      </c>
      <c r="Z26" s="155">
        <f t="shared" si="37"/>
        <v>91640.565216310075</v>
      </c>
      <c r="AA26" s="155">
        <f t="shared" si="38"/>
        <v>100804.6217379411</v>
      </c>
      <c r="AB26" s="155">
        <f t="shared" si="39"/>
        <v>110885.08391173522</v>
      </c>
      <c r="AC26" s="138">
        <f t="shared" si="17"/>
        <v>0.1415589038710694</v>
      </c>
      <c r="AD26" s="31">
        <v>0.08</v>
      </c>
      <c r="AE26" s="146">
        <f>(AB26*(1+AC26))/($C$1-AD26)</f>
        <v>904156.10604237136</v>
      </c>
    </row>
    <row r="27" spans="2:31" s="123" customFormat="1">
      <c r="B27" s="23"/>
      <c r="C27" s="150"/>
      <c r="D27" s="150"/>
      <c r="E27" s="151"/>
      <c r="F27" s="151"/>
      <c r="G27" s="149">
        <f>(G26-F26)/G26</f>
        <v>1</v>
      </c>
      <c r="H27" s="149">
        <f>(H26-G26)/H26</f>
        <v>0.39747209896463626</v>
      </c>
      <c r="I27" s="149">
        <f t="shared" ref="I27" si="70">(I26-H26)/I26</f>
        <v>-0.23292440318302388</v>
      </c>
      <c r="J27" s="149">
        <f t="shared" ref="J27" si="71">(J26-I26)/J26</f>
        <v>0.27066078229853091</v>
      </c>
      <c r="K27" s="149">
        <f t="shared" ref="K27" si="72">(K26-J26)/K26</f>
        <v>0.14986894176902915</v>
      </c>
      <c r="L27" s="149">
        <f t="shared" ref="L27" si="73">(L26-K26)/L26</f>
        <v>0.2784350083441498</v>
      </c>
      <c r="M27" s="149">
        <f t="shared" ref="M27" si="74">(M26-L26)/M26</f>
        <v>-0.11287659925711928</v>
      </c>
      <c r="N27" s="149">
        <f t="shared" ref="N27" si="75">(N26-M26)/N26</f>
        <v>-7.407243228866528E-2</v>
      </c>
      <c r="O27" s="149">
        <f t="shared" ref="O27" si="76">(O26-N26)/O26</f>
        <v>0.35100690448791716</v>
      </c>
      <c r="P27" s="149">
        <f t="shared" ref="P27" si="77">(P26-O26)/P26</f>
        <v>0.18691960421978432</v>
      </c>
      <c r="Q27" s="3"/>
      <c r="R27" s="3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19"/>
      <c r="AD27" s="119"/>
      <c r="AE27" s="155"/>
    </row>
    <row r="28" spans="2:31">
      <c r="B28" s="20" t="s">
        <v>300</v>
      </c>
      <c r="C28" s="141"/>
      <c r="D28" s="141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18" t="e">
        <f>((P28/G28)^(1/($H$2-$H$1) ))-1</f>
        <v>#DIV/0!</v>
      </c>
      <c r="R28" s="31">
        <v>0.1</v>
      </c>
      <c r="S28" s="155">
        <f t="shared" si="30"/>
        <v>0</v>
      </c>
      <c r="T28" s="155" t="e">
        <f t="shared" ref="T28" si="78">Q28*(1+$R28)</f>
        <v>#DIV/0!</v>
      </c>
      <c r="U28" s="155">
        <f t="shared" ref="U28" si="79">R28*(1+$R28)</f>
        <v>0.11000000000000001</v>
      </c>
      <c r="V28" s="155">
        <f t="shared" ref="V28" si="80">S28*(1+$R28)</f>
        <v>0</v>
      </c>
      <c r="W28" s="155" t="e">
        <f t="shared" ref="W28" si="81">T28*(1+$R28)</f>
        <v>#DIV/0!</v>
      </c>
      <c r="X28" s="155">
        <f t="shared" ref="X28" si="82">U28*(1+$R28)</f>
        <v>0.12100000000000002</v>
      </c>
      <c r="Y28" s="155">
        <f t="shared" ref="Y28" si="83">V28*(1+$R28)</f>
        <v>0</v>
      </c>
      <c r="Z28" s="155" t="e">
        <f t="shared" ref="Z28" si="84">W28*(1+$R28)</f>
        <v>#DIV/0!</v>
      </c>
      <c r="AA28" s="155">
        <f t="shared" ref="AA28" si="85">X28*(1+$R28)</f>
        <v>0.13310000000000002</v>
      </c>
      <c r="AB28" s="155">
        <f t="shared" ref="AB28" si="86">Y28*(1+$R28)</f>
        <v>0</v>
      </c>
      <c r="AC28" s="138" t="e">
        <f t="shared" ref="AC28" si="87">((AB28/G28)^(1/($AB$3-$H$1) ))-1</f>
        <v>#DIV/0!</v>
      </c>
      <c r="AD28" s="31">
        <v>0.08</v>
      </c>
      <c r="AE28" s="146" t="e">
        <f>(AB28*(1+AC28))/($C$1-AD28)</f>
        <v>#DIV/0!</v>
      </c>
    </row>
    <row r="29" spans="2:31">
      <c r="B29" s="20" t="s">
        <v>311</v>
      </c>
      <c r="C29" s="141"/>
      <c r="D29" s="141"/>
      <c r="E29" s="147"/>
      <c r="F29" s="147"/>
      <c r="G29" s="147">
        <v>8606</v>
      </c>
      <c r="H29" s="147">
        <v>14462</v>
      </c>
      <c r="I29" s="147">
        <v>11597</v>
      </c>
      <c r="J29" s="147">
        <v>14822</v>
      </c>
      <c r="K29" s="147">
        <v>15727</v>
      </c>
      <c r="L29" s="147">
        <v>22045</v>
      </c>
      <c r="M29" s="147">
        <v>18093</v>
      </c>
      <c r="N29" s="147">
        <v>13324</v>
      </c>
      <c r="O29" s="147">
        <v>31544</v>
      </c>
      <c r="P29" s="147">
        <v>33000</v>
      </c>
      <c r="Q29" s="118">
        <f>((P29/G29)^(1/($H$2-$H$1) ))-1</f>
        <v>0.16106612761962769</v>
      </c>
      <c r="R29" s="31">
        <v>0.1</v>
      </c>
      <c r="S29" s="155">
        <f t="shared" si="30"/>
        <v>36300</v>
      </c>
      <c r="T29" s="155">
        <f t="shared" si="31"/>
        <v>39930</v>
      </c>
      <c r="U29" s="155">
        <f t="shared" si="32"/>
        <v>43923</v>
      </c>
      <c r="V29" s="155">
        <f t="shared" si="33"/>
        <v>48315.3</v>
      </c>
      <c r="W29" s="155">
        <f t="shared" si="34"/>
        <v>53146.830000000009</v>
      </c>
      <c r="X29" s="155">
        <f t="shared" si="35"/>
        <v>58461.513000000014</v>
      </c>
      <c r="Y29" s="155">
        <f t="shared" si="36"/>
        <v>64307.664300000019</v>
      </c>
      <c r="Z29" s="155">
        <f t="shared" si="37"/>
        <v>70738.430730000022</v>
      </c>
      <c r="AA29" s="155">
        <f t="shared" si="38"/>
        <v>77812.273803000033</v>
      </c>
      <c r="AB29" s="155">
        <f t="shared" si="39"/>
        <v>85593.501183300046</v>
      </c>
      <c r="AC29" s="138">
        <f t="shared" si="17"/>
        <v>0.12851500896329138</v>
      </c>
      <c r="AD29" s="31">
        <v>0.08</v>
      </c>
      <c r="AE29" s="146">
        <f>(AB29*(1+AC29))/($C$1-AD29)</f>
        <v>689953.9339647952</v>
      </c>
    </row>
    <row r="30" spans="2:31">
      <c r="B30" s="20" t="s">
        <v>312</v>
      </c>
      <c r="C30" s="141"/>
      <c r="D30" s="141"/>
      <c r="E30" s="147"/>
      <c r="F30" s="147"/>
      <c r="G30" s="147">
        <v>12</v>
      </c>
      <c r="H30" s="147">
        <v>15</v>
      </c>
      <c r="I30" s="147">
        <v>27</v>
      </c>
      <c r="J30" s="147">
        <v>48.12</v>
      </c>
      <c r="K30" s="147">
        <v>81</v>
      </c>
      <c r="L30" s="147">
        <v>98</v>
      </c>
      <c r="M30" s="147">
        <v>96</v>
      </c>
      <c r="N30" s="147">
        <v>345</v>
      </c>
      <c r="O30" s="147">
        <v>460</v>
      </c>
      <c r="P30" s="147">
        <v>641</v>
      </c>
      <c r="Q30" s="118">
        <f>((P30/G30)^(1/($H$2-$H$1) ))-1</f>
        <v>0.55583697005339827</v>
      </c>
      <c r="R30" s="31">
        <v>0.1</v>
      </c>
      <c r="S30" s="155">
        <f t="shared" si="30"/>
        <v>705.1</v>
      </c>
      <c r="T30" s="155">
        <f t="shared" si="31"/>
        <v>775.61000000000013</v>
      </c>
      <c r="U30" s="155">
        <f t="shared" si="32"/>
        <v>853.17100000000016</v>
      </c>
      <c r="V30" s="155">
        <f t="shared" si="33"/>
        <v>938.48810000000026</v>
      </c>
      <c r="W30" s="155">
        <f t="shared" si="34"/>
        <v>1032.3369100000004</v>
      </c>
      <c r="X30" s="155">
        <f t="shared" si="35"/>
        <v>1135.5706010000006</v>
      </c>
      <c r="Y30" s="155">
        <f t="shared" si="36"/>
        <v>1249.1276611000008</v>
      </c>
      <c r="Z30" s="155">
        <f t="shared" si="37"/>
        <v>1374.0404272100009</v>
      </c>
      <c r="AA30" s="155">
        <f t="shared" si="38"/>
        <v>1511.4444699310011</v>
      </c>
      <c r="AB30" s="155">
        <f t="shared" si="39"/>
        <v>1662.5889169241013</v>
      </c>
      <c r="AC30" s="138">
        <f t="shared" si="17"/>
        <v>0.29633122110121568</v>
      </c>
      <c r="AD30" s="31">
        <v>0.08</v>
      </c>
      <c r="AE30" s="146">
        <f>(AB30*(1+AC30))/($C$1-AD30)</f>
        <v>15394.756577611197</v>
      </c>
    </row>
    <row r="31" spans="2:31">
      <c r="B31" s="20"/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28"/>
      <c r="R31" s="128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39"/>
      <c r="AD31" s="20"/>
      <c r="AE31" s="155"/>
    </row>
    <row r="32" spans="2:31">
      <c r="B32" s="20" t="s">
        <v>279</v>
      </c>
      <c r="C32" s="141"/>
      <c r="D32" s="141"/>
      <c r="E32" s="147"/>
      <c r="F32" s="147"/>
      <c r="G32" s="147">
        <v>214</v>
      </c>
      <c r="H32" s="147">
        <v>336</v>
      </c>
      <c r="I32" s="147">
        <v>524</v>
      </c>
      <c r="J32" s="147">
        <v>638</v>
      </c>
      <c r="K32" s="147">
        <v>861</v>
      </c>
      <c r="L32" s="147">
        <v>1207</v>
      </c>
      <c r="M32" s="147">
        <v>1685</v>
      </c>
      <c r="N32" s="147">
        <v>4381</v>
      </c>
      <c r="O32" s="147">
        <v>4321.95</v>
      </c>
      <c r="P32" s="147">
        <v>4599</v>
      </c>
      <c r="Q32" s="118">
        <f>((P32/G32)^(1/($H$2-$H$1) ))-1</f>
        <v>0.4061373279175704</v>
      </c>
      <c r="R32" s="31">
        <v>0.1</v>
      </c>
      <c r="S32" s="155">
        <f t="shared" ref="S32" si="88">P32*(1+$R32)</f>
        <v>5058.9000000000005</v>
      </c>
      <c r="T32" s="155">
        <f t="shared" ref="T32" si="89">S32*(1+$R32)</f>
        <v>5564.7900000000009</v>
      </c>
      <c r="U32" s="155">
        <f t="shared" ref="U32" si="90">T32*(1+$R32)</f>
        <v>6121.2690000000011</v>
      </c>
      <c r="V32" s="155">
        <f t="shared" ref="V32" si="91">U32*(1+$R32)</f>
        <v>6733.3959000000013</v>
      </c>
      <c r="W32" s="155">
        <f t="shared" si="34"/>
        <v>7406.7354900000018</v>
      </c>
      <c r="X32" s="155">
        <f t="shared" si="35"/>
        <v>8147.4090390000028</v>
      </c>
      <c r="Y32" s="155">
        <f t="shared" si="36"/>
        <v>8962.1499429000032</v>
      </c>
      <c r="Z32" s="155">
        <f t="shared" si="37"/>
        <v>9858.3649371900046</v>
      </c>
      <c r="AA32" s="155">
        <f t="shared" si="38"/>
        <v>10844.201430909006</v>
      </c>
      <c r="AB32" s="155">
        <f t="shared" si="39"/>
        <v>11928.621573999908</v>
      </c>
      <c r="AC32" s="138">
        <f t="shared" si="17"/>
        <v>0.23567433276983496</v>
      </c>
      <c r="AD32" s="31">
        <v>0.08</v>
      </c>
      <c r="AE32" s="146">
        <f>(AB32*(1+AC32))/($C$1-AD32)</f>
        <v>105284.93931654423</v>
      </c>
    </row>
    <row r="33" spans="2:31" s="123" customFormat="1">
      <c r="B33" s="23"/>
      <c r="C33" s="150"/>
      <c r="D33" s="150"/>
      <c r="E33" s="151"/>
      <c r="F33" s="151"/>
      <c r="G33" s="149">
        <f>(G32-F32)/G32</f>
        <v>1</v>
      </c>
      <c r="H33" s="149">
        <f>(H32-G32)/H32</f>
        <v>0.36309523809523808</v>
      </c>
      <c r="I33" s="149">
        <f t="shared" ref="I33" si="92">(I32-H32)/I32</f>
        <v>0.35877862595419846</v>
      </c>
      <c r="J33" s="149">
        <f t="shared" ref="J33" si="93">(J32-I32)/J32</f>
        <v>0.17868338557993729</v>
      </c>
      <c r="K33" s="149">
        <f t="shared" ref="K33" si="94">(K32-J32)/K32</f>
        <v>0.25900116144018581</v>
      </c>
      <c r="L33" s="149">
        <f t="shared" ref="L33" si="95">(L32-K32)/L32</f>
        <v>0.28666114333057169</v>
      </c>
      <c r="M33" s="149">
        <f t="shared" ref="M33" si="96">(M32-L32)/M32</f>
        <v>0.28367952522255191</v>
      </c>
      <c r="N33" s="149">
        <f t="shared" ref="N33" si="97">(N32-M32)/N32</f>
        <v>0.61538461538461542</v>
      </c>
      <c r="O33" s="149">
        <f t="shared" ref="O33" si="98">(O32-N32)/O32</f>
        <v>-1.3662814238943112E-2</v>
      </c>
      <c r="P33" s="149">
        <f t="shared" ref="P33" si="99">(P32-O32)/P32</f>
        <v>6.0241356816699322E-2</v>
      </c>
      <c r="Q33" s="3"/>
      <c r="R33" s="3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39"/>
      <c r="AD33" s="20"/>
      <c r="AE33" s="157"/>
    </row>
    <row r="34" spans="2:31">
      <c r="B34" s="20" t="s">
        <v>257</v>
      </c>
      <c r="C34" s="141"/>
      <c r="D34" s="141"/>
      <c r="E34" s="147"/>
      <c r="F34" s="147"/>
      <c r="G34" s="147">
        <v>140</v>
      </c>
      <c r="H34" s="147">
        <v>122</v>
      </c>
      <c r="I34" s="147">
        <v>135</v>
      </c>
      <c r="J34" s="147">
        <v>177</v>
      </c>
      <c r="K34" s="147">
        <v>376</v>
      </c>
      <c r="L34" s="147">
        <v>505</v>
      </c>
      <c r="M34" s="147">
        <v>973</v>
      </c>
      <c r="N34" s="147">
        <v>2825</v>
      </c>
      <c r="O34" s="147">
        <v>2020</v>
      </c>
      <c r="P34" s="147">
        <v>1217.53</v>
      </c>
      <c r="Q34" s="118">
        <f>((P34/G34)^(1/($H$2-$H$1) ))-1</f>
        <v>0.27166407926369418</v>
      </c>
      <c r="R34" s="31">
        <v>0.1</v>
      </c>
      <c r="S34" s="155">
        <f>P34*(1+$R34)</f>
        <v>1339.2830000000001</v>
      </c>
      <c r="T34" s="155">
        <f t="shared" ref="T34:AB34" si="100">S34*(1+$R34)</f>
        <v>1473.2113000000002</v>
      </c>
      <c r="U34" s="155">
        <f t="shared" si="100"/>
        <v>1620.5324300000002</v>
      </c>
      <c r="V34" s="155">
        <f t="shared" si="100"/>
        <v>1782.5856730000003</v>
      </c>
      <c r="W34" s="155">
        <f t="shared" si="100"/>
        <v>1960.8442403000004</v>
      </c>
      <c r="X34" s="155">
        <f t="shared" si="100"/>
        <v>2156.9286643300006</v>
      </c>
      <c r="Y34" s="155">
        <f t="shared" si="100"/>
        <v>2372.6215307630009</v>
      </c>
      <c r="Z34" s="155">
        <f t="shared" si="100"/>
        <v>2609.8836838393013</v>
      </c>
      <c r="AA34" s="155">
        <f t="shared" si="100"/>
        <v>2870.8720522232315</v>
      </c>
      <c r="AB34" s="155">
        <f t="shared" si="100"/>
        <v>3157.9592574455551</v>
      </c>
      <c r="AC34" s="138">
        <f t="shared" si="17"/>
        <v>0.17821672551977996</v>
      </c>
      <c r="AD34" s="31">
        <v>0.08</v>
      </c>
      <c r="AE34" s="146">
        <f>(AB34*(1+AC34))/($C$1-AD34)</f>
        <v>26576.86011165984</v>
      </c>
    </row>
    <row r="35" spans="2:31" s="123" customFormat="1">
      <c r="B35" s="23"/>
      <c r="C35" s="150"/>
      <c r="D35" s="150"/>
      <c r="E35" s="151"/>
      <c r="F35" s="151"/>
      <c r="G35" s="149">
        <f>(G34-F34)/G34</f>
        <v>1</v>
      </c>
      <c r="H35" s="149">
        <f>(H34-G34)/H34</f>
        <v>-0.14754098360655737</v>
      </c>
      <c r="I35" s="149">
        <f t="shared" ref="I35" si="101">(I34-H34)/I34</f>
        <v>9.6296296296296297E-2</v>
      </c>
      <c r="J35" s="149">
        <f t="shared" ref="J35" si="102">(J34-I34)/J34</f>
        <v>0.23728813559322035</v>
      </c>
      <c r="K35" s="149">
        <f t="shared" ref="K35" si="103">(K34-J34)/K34</f>
        <v>0.5292553191489362</v>
      </c>
      <c r="L35" s="149">
        <f t="shared" ref="L35" si="104">(L34-K34)/L34</f>
        <v>0.25544554455445545</v>
      </c>
      <c r="M35" s="149">
        <f t="shared" ref="M35" si="105">(M34-L34)/M34</f>
        <v>0.48098663926002055</v>
      </c>
      <c r="N35" s="149">
        <f t="shared" ref="N35" si="106">(N34-M34)/N34</f>
        <v>0.65557522123893808</v>
      </c>
      <c r="O35" s="149">
        <f t="shared" ref="O35" si="107">(O34-N34)/O34</f>
        <v>-0.39851485148514854</v>
      </c>
      <c r="P35" s="149">
        <f t="shared" ref="P35" si="108">(P34-O34)/P34</f>
        <v>-0.65909669576930341</v>
      </c>
      <c r="Q35" s="3"/>
      <c r="R35" s="3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39"/>
      <c r="AD35" s="20"/>
      <c r="AE35" s="157"/>
    </row>
    <row r="36" spans="2:31">
      <c r="B36" s="20" t="s">
        <v>239</v>
      </c>
      <c r="C36" s="142">
        <v>1</v>
      </c>
      <c r="D36" s="142">
        <v>1</v>
      </c>
      <c r="E36" s="143">
        <v>1</v>
      </c>
      <c r="F36" s="147">
        <v>2.2000000000000002</v>
      </c>
      <c r="G36" s="147">
        <v>2.2000000000000002</v>
      </c>
      <c r="H36" s="147">
        <v>22.55</v>
      </c>
      <c r="I36" s="147">
        <v>22.61</v>
      </c>
      <c r="J36" s="147">
        <v>24.64</v>
      </c>
      <c r="K36" s="147">
        <v>24.64</v>
      </c>
      <c r="L36" s="147">
        <v>24.66</v>
      </c>
      <c r="M36" s="147">
        <v>49.8</v>
      </c>
      <c r="N36" s="147">
        <v>109.98</v>
      </c>
      <c r="O36" s="147">
        <v>109.98</v>
      </c>
      <c r="P36" s="147">
        <v>109.98</v>
      </c>
      <c r="Q36" s="118">
        <f>((P36/G36)^(1/($H$2-$H$1) ))-1</f>
        <v>0.54442090137216792</v>
      </c>
      <c r="R36" s="31">
        <v>0</v>
      </c>
      <c r="S36" s="155">
        <f t="shared" ref="S36" si="109">P36*(1+$R36)</f>
        <v>109.98</v>
      </c>
      <c r="T36" s="155">
        <f t="shared" ref="T36:AB36" si="110">S36*(1+$R36)</f>
        <v>109.98</v>
      </c>
      <c r="U36" s="155">
        <f t="shared" si="110"/>
        <v>109.98</v>
      </c>
      <c r="V36" s="155">
        <f t="shared" si="110"/>
        <v>109.98</v>
      </c>
      <c r="W36" s="155">
        <f t="shared" si="110"/>
        <v>109.98</v>
      </c>
      <c r="X36" s="155">
        <f t="shared" si="110"/>
        <v>109.98</v>
      </c>
      <c r="Y36" s="155">
        <f t="shared" si="110"/>
        <v>109.98</v>
      </c>
      <c r="Z36" s="155">
        <f t="shared" si="110"/>
        <v>109.98</v>
      </c>
      <c r="AA36" s="155">
        <f t="shared" si="110"/>
        <v>109.98</v>
      </c>
      <c r="AB36" s="155">
        <f t="shared" si="110"/>
        <v>109.98</v>
      </c>
      <c r="AC36" s="138">
        <f t="shared" si="17"/>
        <v>0.22861359780033785</v>
      </c>
      <c r="AD36" s="31">
        <v>0.08</v>
      </c>
      <c r="AE36" s="146">
        <f>(AB36*(1+AC36))/($C$1-AD36)</f>
        <v>965.16373918629392</v>
      </c>
    </row>
    <row r="37" spans="2:31">
      <c r="B37" s="20"/>
      <c r="C37" s="20"/>
      <c r="D37" s="20"/>
      <c r="E37" s="127"/>
      <c r="F37" s="127"/>
      <c r="G37" s="127"/>
      <c r="H37" s="20"/>
      <c r="I37" s="20"/>
      <c r="J37" s="20"/>
      <c r="K37" s="20"/>
      <c r="L37" s="20"/>
      <c r="M37" s="20"/>
      <c r="N37" s="20"/>
      <c r="O37" s="20"/>
      <c r="P37" s="20"/>
      <c r="Q37" s="128"/>
      <c r="R37" s="128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20"/>
      <c r="AE37" s="155"/>
    </row>
    <row r="38" spans="2:31">
      <c r="B38" s="20" t="s">
        <v>283</v>
      </c>
      <c r="C38" s="145">
        <v>1</v>
      </c>
      <c r="D38" s="145">
        <v>1</v>
      </c>
      <c r="E38" s="145">
        <v>1</v>
      </c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18" t="e">
        <f>((P38/G38)^(1/($H$2-$H$1) ))-1</f>
        <v>#DIV/0!</v>
      </c>
      <c r="R38" s="31">
        <v>0.05</v>
      </c>
      <c r="S38" s="155">
        <f t="shared" ref="S38" si="111">P38*(1+$R38)</f>
        <v>0</v>
      </c>
      <c r="T38" s="155">
        <f t="shared" ref="T38" si="112">S38*(1+$R38)</f>
        <v>0</v>
      </c>
      <c r="U38" s="155">
        <f t="shared" ref="U38" si="113">T38*(1+$R38)</f>
        <v>0</v>
      </c>
      <c r="V38" s="155">
        <f t="shared" ref="V38" si="114">U38*(1+$R38)</f>
        <v>0</v>
      </c>
      <c r="W38" s="155">
        <f t="shared" ref="W38" si="115">V38*(1+$R38)</f>
        <v>0</v>
      </c>
      <c r="X38" s="155">
        <f t="shared" ref="X38" si="116">W38*(1+$R38)</f>
        <v>0</v>
      </c>
      <c r="Y38" s="155">
        <f t="shared" ref="Y38" si="117">X38*(1+$R38)</f>
        <v>0</v>
      </c>
      <c r="Z38" s="155">
        <f t="shared" ref="Z38" si="118">Y38*(1+$R38)</f>
        <v>0</v>
      </c>
      <c r="AA38" s="155">
        <f t="shared" ref="AA38" si="119">Z38*(1+$R38)</f>
        <v>0</v>
      </c>
      <c r="AB38" s="155">
        <f t="shared" ref="AB38" si="120">AA38*(1+$R38)</f>
        <v>0</v>
      </c>
      <c r="AC38" s="138" t="e">
        <f t="shared" ref="AC38" si="121">((AB38/G38)^(1/($AB$3-$H$1) ))-1</f>
        <v>#DIV/0!</v>
      </c>
      <c r="AD38" s="31">
        <v>0.08</v>
      </c>
      <c r="AE38" s="146" t="e">
        <f>(AB38*(1+AC38))/($C$1-AD38)</f>
        <v>#DIV/0!</v>
      </c>
    </row>
    <row r="39" spans="2:31">
      <c r="B39" s="20"/>
      <c r="C39" s="20"/>
      <c r="D39" s="20"/>
      <c r="E39" s="127"/>
      <c r="F39" s="127"/>
      <c r="G39" s="127"/>
      <c r="H39" s="20"/>
      <c r="I39" s="20"/>
      <c r="J39" s="20"/>
      <c r="K39" s="20"/>
      <c r="L39" s="20"/>
      <c r="M39" s="20"/>
      <c r="N39" s="20"/>
      <c r="O39" s="20"/>
      <c r="P39" s="20"/>
      <c r="Q39" s="128"/>
      <c r="R39" s="128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20"/>
      <c r="AE39" s="155"/>
    </row>
    <row r="40" spans="2:31">
      <c r="B40" s="108" t="s">
        <v>243</v>
      </c>
      <c r="C40" s="20"/>
      <c r="D40" s="20"/>
      <c r="E40" s="127"/>
      <c r="F40" s="127"/>
      <c r="G40" s="127"/>
      <c r="H40" s="20"/>
      <c r="I40" s="20"/>
      <c r="J40" s="20"/>
      <c r="K40" s="20"/>
      <c r="L40" s="20"/>
      <c r="M40" s="20"/>
      <c r="N40" s="20"/>
      <c r="O40" s="20"/>
      <c r="P40" s="20"/>
      <c r="Q40" s="128"/>
      <c r="R40" s="128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39"/>
      <c r="AD40" s="20"/>
      <c r="AE40" s="155"/>
    </row>
    <row r="41" spans="2:31">
      <c r="B41" s="20" t="s">
        <v>306</v>
      </c>
      <c r="C41" s="133">
        <f t="shared" ref="C41:F41" si="122">C24/C36</f>
        <v>0</v>
      </c>
      <c r="D41" s="133">
        <f t="shared" si="122"/>
        <v>0</v>
      </c>
      <c r="E41" s="133">
        <f t="shared" si="122"/>
        <v>0</v>
      </c>
      <c r="F41" s="133">
        <f t="shared" si="122"/>
        <v>0</v>
      </c>
      <c r="G41" s="133">
        <f>G24/G36</f>
        <v>4171.363636363636</v>
      </c>
      <c r="H41" s="133">
        <f t="shared" ref="H41:P41" si="123">H24/H36</f>
        <v>674.50110864745011</v>
      </c>
      <c r="I41" s="133">
        <f t="shared" si="123"/>
        <v>556.7448031844317</v>
      </c>
      <c r="J41" s="133">
        <f t="shared" si="123"/>
        <v>697.19967532467535</v>
      </c>
      <c r="K41" s="133">
        <f t="shared" si="123"/>
        <v>824.63474025974028</v>
      </c>
      <c r="L41" s="133">
        <f t="shared" si="123"/>
        <v>1142.4574209245743</v>
      </c>
      <c r="M41" s="133">
        <f t="shared" si="123"/>
        <v>520.40160642570288</v>
      </c>
      <c r="N41" s="133">
        <f t="shared" si="123"/>
        <v>244.96272049463539</v>
      </c>
      <c r="O41" s="133">
        <f t="shared" si="123"/>
        <v>366.48481542098563</v>
      </c>
      <c r="P41" s="133">
        <f t="shared" si="123"/>
        <v>430.54373522458627</v>
      </c>
      <c r="Q41" s="118">
        <f>((P41/G41)^(1/($H$2-$H$1) ))-1</f>
        <v>-0.22300992866028801</v>
      </c>
      <c r="R41" s="128"/>
      <c r="S41" s="159">
        <f t="shared" ref="S41:AB41" si="124">S24/S36</f>
        <v>473.59810874704488</v>
      </c>
      <c r="T41" s="159">
        <f t="shared" si="124"/>
        <v>520.9579196217494</v>
      </c>
      <c r="U41" s="159">
        <f t="shared" si="124"/>
        <v>573.05371158392438</v>
      </c>
      <c r="V41" s="159">
        <f t="shared" si="124"/>
        <v>630.3590827423169</v>
      </c>
      <c r="W41" s="159">
        <f t="shared" si="124"/>
        <v>693.3949910165486</v>
      </c>
      <c r="X41" s="159">
        <f t="shared" si="124"/>
        <v>762.73449011820344</v>
      </c>
      <c r="Y41" s="159">
        <f t="shared" si="124"/>
        <v>839.00793913002383</v>
      </c>
      <c r="Z41" s="159">
        <f t="shared" si="124"/>
        <v>922.90873304302625</v>
      </c>
      <c r="AA41" s="159">
        <f t="shared" si="124"/>
        <v>1015.199606347329</v>
      </c>
      <c r="AB41" s="159">
        <f t="shared" si="124"/>
        <v>1116.7195669820619</v>
      </c>
      <c r="AC41" s="138">
        <f t="shared" ref="AC41" si="125">((AB41/G41)^(1/($AB$3-$H$1) ))-1</f>
        <v>-6.7009628483210126E-2</v>
      </c>
      <c r="AD41" s="31">
        <v>0.08</v>
      </c>
      <c r="AE41" s="146">
        <f>(AB41*(1+AC41))/($C$1-AD41)</f>
        <v>7442.0614548475887</v>
      </c>
    </row>
    <row r="42" spans="2:31">
      <c r="B42" s="20" t="s">
        <v>307</v>
      </c>
      <c r="C42" s="133">
        <f t="shared" ref="C42:F42" si="126">C26/C36</f>
        <v>0</v>
      </c>
      <c r="D42" s="133">
        <f t="shared" si="126"/>
        <v>0</v>
      </c>
      <c r="E42" s="133">
        <f t="shared" si="126"/>
        <v>0</v>
      </c>
      <c r="F42" s="133">
        <f t="shared" si="126"/>
        <v>0</v>
      </c>
      <c r="G42" s="133">
        <f>G26/G36</f>
        <v>4073.6363636363635</v>
      </c>
      <c r="H42" s="133">
        <f t="shared" ref="H42:P42" si="127">H26/H36</f>
        <v>659.60088691796011</v>
      </c>
      <c r="I42" s="133">
        <f t="shared" si="127"/>
        <v>533.56921716054842</v>
      </c>
      <c r="J42" s="133">
        <f t="shared" si="127"/>
        <v>671.30681818181813</v>
      </c>
      <c r="K42" s="133">
        <f t="shared" si="127"/>
        <v>789.65097402597405</v>
      </c>
      <c r="L42" s="133">
        <f t="shared" si="127"/>
        <v>1093.471208434712</v>
      </c>
      <c r="M42" s="133">
        <f t="shared" si="127"/>
        <v>486.54618473895584</v>
      </c>
      <c r="N42" s="133">
        <f t="shared" si="127"/>
        <v>205.11911256592106</v>
      </c>
      <c r="O42" s="133">
        <f t="shared" si="127"/>
        <v>316.05746499363522</v>
      </c>
      <c r="P42" s="133">
        <f t="shared" si="127"/>
        <v>388.71613020549188</v>
      </c>
      <c r="Q42" s="118">
        <f>((P42/G42)^(1/($H$2-$H$1) ))-1</f>
        <v>-0.22975690882130739</v>
      </c>
      <c r="R42" s="128"/>
      <c r="S42" s="159">
        <f t="shared" ref="S42:AB42" si="128">S26/S36</f>
        <v>427.58774322604114</v>
      </c>
      <c r="T42" s="159">
        <f t="shared" si="128"/>
        <v>470.34651754864529</v>
      </c>
      <c r="U42" s="159">
        <f t="shared" si="128"/>
        <v>517.38116930350986</v>
      </c>
      <c r="V42" s="159">
        <f t="shared" si="128"/>
        <v>569.11928623386098</v>
      </c>
      <c r="W42" s="159">
        <f t="shared" si="128"/>
        <v>626.03121485724705</v>
      </c>
      <c r="X42" s="159">
        <f t="shared" si="128"/>
        <v>688.63433634297178</v>
      </c>
      <c r="Y42" s="159">
        <f t="shared" si="128"/>
        <v>757.49776997726906</v>
      </c>
      <c r="Z42" s="159">
        <f t="shared" si="128"/>
        <v>833.24754697499611</v>
      </c>
      <c r="AA42" s="159">
        <f t="shared" si="128"/>
        <v>916.57230167249588</v>
      </c>
      <c r="AB42" s="159">
        <f t="shared" si="128"/>
        <v>1008.2295318397455</v>
      </c>
      <c r="AC42" s="138">
        <f t="shared" ref="AC42" si="129">((AB42/G42)^(1/($AB$3-$H$1) ))-1</f>
        <v>-7.0856039754995215E-2</v>
      </c>
      <c r="AD42" s="31">
        <v>0.08</v>
      </c>
      <c r="AE42" s="146">
        <f>(AB42*(1+AC42))/($C$1-AD42)</f>
        <v>6691.3598574967727</v>
      </c>
    </row>
    <row r="43" spans="2:31">
      <c r="B43" s="20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28"/>
      <c r="R43" s="128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19"/>
      <c r="AD43" s="119"/>
      <c r="AE43" s="146"/>
    </row>
    <row r="44" spans="2:31">
      <c r="B44" s="20" t="s">
        <v>258</v>
      </c>
      <c r="C44" s="25">
        <f t="shared" ref="C44:P44" si="130">C34/C36</f>
        <v>0</v>
      </c>
      <c r="D44" s="25">
        <f t="shared" si="130"/>
        <v>0</v>
      </c>
      <c r="E44" s="25">
        <f t="shared" si="130"/>
        <v>0</v>
      </c>
      <c r="F44" s="133">
        <f t="shared" si="130"/>
        <v>0</v>
      </c>
      <c r="G44" s="133">
        <f t="shared" si="130"/>
        <v>63.636363636363633</v>
      </c>
      <c r="H44" s="133">
        <f t="shared" si="130"/>
        <v>5.4101995565410199</v>
      </c>
      <c r="I44" s="133">
        <f t="shared" si="130"/>
        <v>5.9708093763821317</v>
      </c>
      <c r="J44" s="133">
        <f t="shared" si="130"/>
        <v>7.1834415584415581</v>
      </c>
      <c r="K44" s="133">
        <f t="shared" si="130"/>
        <v>15.25974025974026</v>
      </c>
      <c r="L44" s="133">
        <f t="shared" si="130"/>
        <v>20.478507704785077</v>
      </c>
      <c r="M44" s="133">
        <f t="shared" si="130"/>
        <v>19.538152610441767</v>
      </c>
      <c r="N44" s="133">
        <f t="shared" si="130"/>
        <v>25.6864884524459</v>
      </c>
      <c r="O44" s="133">
        <f t="shared" si="130"/>
        <v>18.366975813784325</v>
      </c>
      <c r="P44" s="133">
        <f t="shared" si="130"/>
        <v>11.0704673577014</v>
      </c>
      <c r="Q44" s="118">
        <f>((P44/G44)^(1/($H$2-$H$1) ))-1</f>
        <v>-0.17660782877655834</v>
      </c>
      <c r="R44" s="128"/>
      <c r="S44" s="159">
        <f t="shared" ref="S44:AB44" si="131">S34/S36</f>
        <v>12.17751409347154</v>
      </c>
      <c r="T44" s="159">
        <f t="shared" si="131"/>
        <v>13.395265502818695</v>
      </c>
      <c r="U44" s="159">
        <f t="shared" si="131"/>
        <v>14.734792053100565</v>
      </c>
      <c r="V44" s="159">
        <f t="shared" si="131"/>
        <v>16.208271258410623</v>
      </c>
      <c r="W44" s="159">
        <f t="shared" si="131"/>
        <v>17.829098384251683</v>
      </c>
      <c r="X44" s="159">
        <f t="shared" si="131"/>
        <v>19.612008222676856</v>
      </c>
      <c r="Y44" s="159">
        <f t="shared" si="131"/>
        <v>21.573209044944544</v>
      </c>
      <c r="Z44" s="159">
        <f t="shared" si="131"/>
        <v>23.730529949438999</v>
      </c>
      <c r="AA44" s="159">
        <f t="shared" si="131"/>
        <v>26.1035829443829</v>
      </c>
      <c r="AB44" s="159">
        <f t="shared" si="131"/>
        <v>28.713941238821196</v>
      </c>
      <c r="AC44" s="138">
        <f t="shared" ref="AC44:AC57" si="132">((AB44/G44)^(1/($AB$3-$H$1) ))-1</f>
        <v>-4.1019302057853202E-2</v>
      </c>
      <c r="AD44" s="31">
        <v>0.08</v>
      </c>
      <c r="AE44" s="146">
        <f>(AB44*(1+AC44))/($C$1-AD44)</f>
        <v>196.68653864196099</v>
      </c>
    </row>
    <row r="45" spans="2:31">
      <c r="B45" s="20" t="s">
        <v>245</v>
      </c>
      <c r="C45" s="25">
        <f t="shared" ref="C45:P45" si="133">C7/C36</f>
        <v>0</v>
      </c>
      <c r="D45" s="25">
        <f t="shared" si="133"/>
        <v>0</v>
      </c>
      <c r="E45" s="25">
        <f t="shared" si="133"/>
        <v>0</v>
      </c>
      <c r="F45" s="133">
        <f t="shared" si="133"/>
        <v>0</v>
      </c>
      <c r="G45" s="133">
        <f t="shared" si="133"/>
        <v>317.27272727272725</v>
      </c>
      <c r="H45" s="133">
        <f t="shared" si="133"/>
        <v>32.949002217294897</v>
      </c>
      <c r="I45" s="133">
        <f t="shared" si="133"/>
        <v>37.726669615214504</v>
      </c>
      <c r="J45" s="133">
        <f t="shared" si="133"/>
        <v>46.672077922077918</v>
      </c>
      <c r="K45" s="133">
        <f t="shared" si="133"/>
        <v>86.241883116883116</v>
      </c>
      <c r="L45" s="133">
        <f t="shared" si="133"/>
        <v>122.38442822384428</v>
      </c>
      <c r="M45" s="133">
        <f t="shared" si="133"/>
        <v>121.24497991967873</v>
      </c>
      <c r="N45" s="133">
        <f t="shared" si="133"/>
        <v>159.24713584288051</v>
      </c>
      <c r="O45" s="133">
        <f t="shared" si="133"/>
        <v>177.07765048190581</v>
      </c>
      <c r="P45" s="133">
        <f t="shared" si="133"/>
        <v>195.11402073104199</v>
      </c>
      <c r="Q45" s="118">
        <f>((P45/G45)^(1/($H$2-$H$1) ))-1</f>
        <v>-5.2586592783240294E-2</v>
      </c>
      <c r="R45" s="128"/>
      <c r="S45" s="159">
        <f t="shared" ref="S45:AB45" si="134">S7/S36</f>
        <v>214.62542280414621</v>
      </c>
      <c r="T45" s="159">
        <f t="shared" si="134"/>
        <v>236.08796508456084</v>
      </c>
      <c r="U45" s="159">
        <f t="shared" si="134"/>
        <v>259.69676159301696</v>
      </c>
      <c r="V45" s="159">
        <f t="shared" si="134"/>
        <v>285.66643775231864</v>
      </c>
      <c r="W45" s="159">
        <f t="shared" si="134"/>
        <v>314.23308152755055</v>
      </c>
      <c r="X45" s="159">
        <f t="shared" si="134"/>
        <v>345.65638968030567</v>
      </c>
      <c r="Y45" s="159">
        <f t="shared" si="134"/>
        <v>380.22202864833628</v>
      </c>
      <c r="Z45" s="159">
        <f t="shared" si="134"/>
        <v>418.24423151316989</v>
      </c>
      <c r="AA45" s="159">
        <f t="shared" si="134"/>
        <v>460.06865466448693</v>
      </c>
      <c r="AB45" s="159">
        <f t="shared" si="134"/>
        <v>506.07552013093567</v>
      </c>
      <c r="AC45" s="138">
        <f t="shared" si="132"/>
        <v>2.4879409144370479E-2</v>
      </c>
      <c r="AD45" s="31">
        <v>0.08</v>
      </c>
      <c r="AE45" s="146">
        <f>(AB45*(1+AC45))/($C$1-AD45)</f>
        <v>3704.7598575301658</v>
      </c>
    </row>
    <row r="46" spans="2:31">
      <c r="B46" s="20" t="s">
        <v>246</v>
      </c>
      <c r="C46" s="127">
        <f t="shared" ref="C46:P46" si="135">C6/C36</f>
        <v>0</v>
      </c>
      <c r="D46" s="127">
        <f t="shared" si="135"/>
        <v>0</v>
      </c>
      <c r="E46" s="127">
        <f t="shared" si="135"/>
        <v>0</v>
      </c>
      <c r="F46" s="144">
        <f t="shared" si="135"/>
        <v>0</v>
      </c>
      <c r="G46" s="144">
        <f t="shared" si="135"/>
        <v>300.90909090909088</v>
      </c>
      <c r="H46" s="144">
        <f t="shared" si="135"/>
        <v>31.929046563192905</v>
      </c>
      <c r="I46" s="144">
        <f t="shared" si="135"/>
        <v>36.709420610349405</v>
      </c>
      <c r="J46" s="144">
        <f t="shared" si="135"/>
        <v>45.698051948051948</v>
      </c>
      <c r="K46" s="144">
        <f t="shared" si="135"/>
        <v>84.902597402597394</v>
      </c>
      <c r="L46" s="144">
        <f t="shared" si="135"/>
        <v>121.41119221411192</v>
      </c>
      <c r="M46" s="144">
        <f t="shared" si="135"/>
        <v>120.2409638554217</v>
      </c>
      <c r="N46" s="144">
        <f t="shared" si="135"/>
        <v>158.24695399163483</v>
      </c>
      <c r="O46" s="144">
        <f t="shared" si="135"/>
        <v>176.07746863066012</v>
      </c>
      <c r="P46" s="144">
        <f t="shared" si="135"/>
        <v>194.10801963993453</v>
      </c>
      <c r="Q46" s="118">
        <f>((P46/G46)^(1/($H$2-$H$1) ))-1</f>
        <v>-4.7543056404830919E-2</v>
      </c>
      <c r="R46" s="128"/>
      <c r="S46" s="158">
        <f t="shared" ref="S46:AB46" si="136">S6/S36</f>
        <v>213.51882160392802</v>
      </c>
      <c r="T46" s="158">
        <f t="shared" si="136"/>
        <v>234.87070376432084</v>
      </c>
      <c r="U46" s="158">
        <f t="shared" si="136"/>
        <v>258.35777414075295</v>
      </c>
      <c r="V46" s="158">
        <f t="shared" si="136"/>
        <v>284.19355155482828</v>
      </c>
      <c r="W46" s="158">
        <f t="shared" si="136"/>
        <v>312.61290671031111</v>
      </c>
      <c r="X46" s="158">
        <f t="shared" si="136"/>
        <v>343.8741973813423</v>
      </c>
      <c r="Y46" s="158">
        <f t="shared" si="136"/>
        <v>378.26161711947651</v>
      </c>
      <c r="Z46" s="158">
        <f t="shared" si="136"/>
        <v>416.0877788314242</v>
      </c>
      <c r="AA46" s="158">
        <f t="shared" si="136"/>
        <v>457.69655671456667</v>
      </c>
      <c r="AB46" s="158">
        <f t="shared" si="136"/>
        <v>503.46621238602341</v>
      </c>
      <c r="AC46" s="138">
        <f t="shared" si="132"/>
        <v>2.7460183982028541E-2</v>
      </c>
      <c r="AD46" s="31">
        <v>0.08</v>
      </c>
      <c r="AE46" s="146">
        <f>(AB46*(1+AC46))/($C$1-AD46)</f>
        <v>3694.9391943348469</v>
      </c>
    </row>
    <row r="47" spans="2:31">
      <c r="B47" s="20" t="s">
        <v>247</v>
      </c>
      <c r="C47" s="127">
        <f t="shared" ref="C47:P47" si="137">C10/C36</f>
        <v>0</v>
      </c>
      <c r="D47" s="127">
        <f t="shared" si="137"/>
        <v>0</v>
      </c>
      <c r="E47" s="127">
        <f t="shared" si="137"/>
        <v>0</v>
      </c>
      <c r="F47" s="144">
        <f t="shared" si="137"/>
        <v>0</v>
      </c>
      <c r="G47" s="144">
        <f t="shared" si="137"/>
        <v>174.54545454545453</v>
      </c>
      <c r="H47" s="144">
        <f t="shared" si="137"/>
        <v>37.427937915742795</v>
      </c>
      <c r="I47" s="144">
        <f t="shared" si="137"/>
        <v>59.752321981424153</v>
      </c>
      <c r="J47" s="144">
        <f t="shared" si="137"/>
        <v>174.06655844155844</v>
      </c>
      <c r="K47" s="144">
        <f t="shared" si="137"/>
        <v>249.55357142857142</v>
      </c>
      <c r="L47" s="144">
        <f t="shared" si="137"/>
        <v>480.98134630981343</v>
      </c>
      <c r="M47" s="144">
        <f t="shared" si="137"/>
        <v>337.10843373493975</v>
      </c>
      <c r="N47" s="144">
        <f t="shared" si="137"/>
        <v>287.2340425531915</v>
      </c>
      <c r="O47" s="144">
        <f t="shared" si="137"/>
        <v>578.37788688852515</v>
      </c>
      <c r="P47" s="144">
        <f t="shared" si="137"/>
        <v>444.17257683215126</v>
      </c>
      <c r="Q47" s="118">
        <f>((P47/G47)^(1/($H$2-$H$1) ))-1</f>
        <v>0.10935735344952024</v>
      </c>
      <c r="R47" s="128"/>
      <c r="S47" s="158">
        <f t="shared" ref="S47:AB47" si="138">S10/S36</f>
        <v>488.58983451536642</v>
      </c>
      <c r="T47" s="158">
        <f t="shared" si="138"/>
        <v>537.44881796690311</v>
      </c>
      <c r="U47" s="158">
        <f t="shared" si="138"/>
        <v>591.19369976359349</v>
      </c>
      <c r="V47" s="158">
        <f t="shared" si="138"/>
        <v>650.31306973995288</v>
      </c>
      <c r="W47" s="158">
        <f t="shared" si="138"/>
        <v>715.34437671394824</v>
      </c>
      <c r="X47" s="158">
        <f t="shared" si="138"/>
        <v>786.87881438534305</v>
      </c>
      <c r="Y47" s="158">
        <f t="shared" si="138"/>
        <v>865.56669582387735</v>
      </c>
      <c r="Z47" s="158">
        <f t="shared" si="138"/>
        <v>952.12336540626518</v>
      </c>
      <c r="AA47" s="158">
        <f t="shared" si="138"/>
        <v>1047.335701946892</v>
      </c>
      <c r="AB47" s="158">
        <f t="shared" si="138"/>
        <v>1152.0692721415812</v>
      </c>
      <c r="AC47" s="138">
        <f t="shared" si="132"/>
        <v>0.10442255085109609</v>
      </c>
      <c r="AD47" s="31">
        <v>0.08</v>
      </c>
      <c r="AE47" s="146">
        <f>(AB47*(1+AC47))/($C$1-AD47)</f>
        <v>9088.366316398362</v>
      </c>
    </row>
    <row r="48" spans="2:31">
      <c r="B48" s="20"/>
      <c r="C48" s="127"/>
      <c r="D48" s="127"/>
      <c r="E48" s="127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28"/>
      <c r="R48" s="12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39"/>
      <c r="AD48" s="20"/>
      <c r="AE48" s="155"/>
    </row>
    <row r="49" spans="2:31">
      <c r="B49" s="20" t="s">
        <v>271</v>
      </c>
      <c r="C49" s="127">
        <f t="shared" ref="C49:P49" si="139">(C7-C10)/C36</f>
        <v>0</v>
      </c>
      <c r="D49" s="127">
        <f t="shared" si="139"/>
        <v>0</v>
      </c>
      <c r="E49" s="127">
        <f t="shared" si="139"/>
        <v>0</v>
      </c>
      <c r="F49" s="144">
        <f t="shared" si="139"/>
        <v>0</v>
      </c>
      <c r="G49" s="144">
        <f t="shared" si="139"/>
        <v>142.72727272727272</v>
      </c>
      <c r="H49" s="144">
        <f t="shared" si="139"/>
        <v>-4.4789356984478932</v>
      </c>
      <c r="I49" s="144">
        <f t="shared" si="139"/>
        <v>-22.025652366209641</v>
      </c>
      <c r="J49" s="144">
        <f t="shared" si="139"/>
        <v>-127.39448051948051</v>
      </c>
      <c r="K49" s="144">
        <f t="shared" si="139"/>
        <v>-163.3116883116883</v>
      </c>
      <c r="L49" s="144">
        <f t="shared" si="139"/>
        <v>-358.59691808596915</v>
      </c>
      <c r="M49" s="144">
        <f t="shared" si="139"/>
        <v>-215.86345381526107</v>
      </c>
      <c r="N49" s="144">
        <f t="shared" si="139"/>
        <v>-127.98690671031096</v>
      </c>
      <c r="O49" s="144">
        <f t="shared" si="139"/>
        <v>-401.30023640661938</v>
      </c>
      <c r="P49" s="144">
        <f t="shared" si="139"/>
        <v>-249.05855610110928</v>
      </c>
      <c r="Q49" s="118">
        <f>((P49/G49)^(1/($H$2-$H$1) ))-1</f>
        <v>-2.0638148671112075</v>
      </c>
      <c r="R49" s="128"/>
      <c r="S49" s="158">
        <f t="shared" ref="S49:AB49" si="140">(S7-S10)/S36</f>
        <v>-273.96441171122024</v>
      </c>
      <c r="T49" s="158">
        <f t="shared" si="140"/>
        <v>-301.36085288234227</v>
      </c>
      <c r="U49" s="158">
        <f t="shared" si="140"/>
        <v>-331.49693817057658</v>
      </c>
      <c r="V49" s="158">
        <f t="shared" si="140"/>
        <v>-364.64663198763424</v>
      </c>
      <c r="W49" s="158">
        <f t="shared" si="140"/>
        <v>-401.11129518639763</v>
      </c>
      <c r="X49" s="158">
        <f t="shared" si="140"/>
        <v>-441.22242470503738</v>
      </c>
      <c r="Y49" s="158">
        <f t="shared" si="140"/>
        <v>-485.34466717554113</v>
      </c>
      <c r="Z49" s="158">
        <f t="shared" si="140"/>
        <v>-533.87913389309529</v>
      </c>
      <c r="AA49" s="158">
        <f t="shared" si="140"/>
        <v>-587.26704728240497</v>
      </c>
      <c r="AB49" s="158">
        <f t="shared" si="140"/>
        <v>-645.99375201064549</v>
      </c>
      <c r="AC49" s="138">
        <f t="shared" si="132"/>
        <v>-2.0827087585668282</v>
      </c>
      <c r="AD49" s="31">
        <v>0.08</v>
      </c>
      <c r="AE49" s="146">
        <f>(AB49*(1+AC49))/($C$1-AD49)</f>
        <v>4995.8792377240952</v>
      </c>
    </row>
    <row r="50" spans="2:31">
      <c r="B50" s="20" t="s">
        <v>272</v>
      </c>
      <c r="C50" s="127">
        <f t="shared" ref="C50:P50" si="141">(C7-C10-C9)/C36</f>
        <v>0</v>
      </c>
      <c r="D50" s="127">
        <f t="shared" si="141"/>
        <v>0</v>
      </c>
      <c r="E50" s="127">
        <f t="shared" si="141"/>
        <v>0</v>
      </c>
      <c r="F50" s="144">
        <f t="shared" si="141"/>
        <v>0</v>
      </c>
      <c r="G50" s="144">
        <f t="shared" si="141"/>
        <v>-347.27272727272725</v>
      </c>
      <c r="H50" s="144">
        <f t="shared" si="141"/>
        <v>-95.254988913525494</v>
      </c>
      <c r="I50" s="144">
        <f t="shared" si="141"/>
        <v>-112.64927023440956</v>
      </c>
      <c r="J50" s="144">
        <f t="shared" si="141"/>
        <v>-211.4853896103896</v>
      </c>
      <c r="K50" s="144">
        <f t="shared" si="141"/>
        <v>-288.06818181818181</v>
      </c>
      <c r="L50" s="144">
        <f t="shared" si="141"/>
        <v>-517.63990267639906</v>
      </c>
      <c r="M50" s="144">
        <f t="shared" si="141"/>
        <v>-298.17269076305223</v>
      </c>
      <c r="N50" s="144">
        <f t="shared" si="141"/>
        <v>-204.89179850881979</v>
      </c>
      <c r="O50" s="144">
        <f t="shared" si="141"/>
        <v>-550.09092562284047</v>
      </c>
      <c r="P50" s="144">
        <f t="shared" si="141"/>
        <v>-558.61302054919076</v>
      </c>
      <c r="Q50" s="118">
        <f>((P50/G50)^(1/($H$2-$H$1) ))-1</f>
        <v>5.4235944702694328E-2</v>
      </c>
      <c r="R50" s="128"/>
      <c r="S50" s="158">
        <f t="shared" ref="S50:AB50" si="142">(S7-S10-S9)/S36</f>
        <v>-614.47432260410983</v>
      </c>
      <c r="T50" s="158">
        <f t="shared" si="142"/>
        <v>-675.92175486452084</v>
      </c>
      <c r="U50" s="158">
        <f t="shared" si="142"/>
        <v>-743.51393035097317</v>
      </c>
      <c r="V50" s="158">
        <f t="shared" si="142"/>
        <v>-817.86532338607049</v>
      </c>
      <c r="W50" s="158">
        <f t="shared" si="142"/>
        <v>-899.6518557246776</v>
      </c>
      <c r="X50" s="158">
        <f t="shared" si="142"/>
        <v>-989.61704129714542</v>
      </c>
      <c r="Y50" s="158">
        <f t="shared" si="142"/>
        <v>-1088.57874542686</v>
      </c>
      <c r="Z50" s="158">
        <f t="shared" si="142"/>
        <v>-1197.436619969546</v>
      </c>
      <c r="AA50" s="158">
        <f t="shared" si="142"/>
        <v>-1317.1802819665008</v>
      </c>
      <c r="AB50" s="158">
        <f t="shared" si="142"/>
        <v>-1448.8983101631511</v>
      </c>
      <c r="AC50" s="138">
        <f t="shared" si="132"/>
        <v>7.8079795065481905E-2</v>
      </c>
      <c r="AD50" s="31">
        <v>0.08</v>
      </c>
      <c r="AE50" s="146">
        <f>(AB50*(1+AC50))/($C$1-AD50)</f>
        <v>-11157.342809224378</v>
      </c>
    </row>
    <row r="51" spans="2:31">
      <c r="B51" s="20" t="s">
        <v>277</v>
      </c>
      <c r="C51" s="127">
        <f t="shared" ref="C51:P51" si="143">(C7+C14-C10-C9)/C36</f>
        <v>0</v>
      </c>
      <c r="D51" s="127">
        <f t="shared" si="143"/>
        <v>0</v>
      </c>
      <c r="E51" s="127">
        <f t="shared" si="143"/>
        <v>0</v>
      </c>
      <c r="F51" s="144">
        <f t="shared" si="143"/>
        <v>0</v>
      </c>
      <c r="G51" s="144">
        <f t="shared" si="143"/>
        <v>600</v>
      </c>
      <c r="H51" s="144">
        <f t="shared" si="143"/>
        <v>64.478935698447899</v>
      </c>
      <c r="I51" s="144">
        <f t="shared" si="143"/>
        <v>68.111455108359138</v>
      </c>
      <c r="J51" s="144">
        <f t="shared" si="143"/>
        <v>42.370129870129873</v>
      </c>
      <c r="K51" s="144">
        <f t="shared" si="143"/>
        <v>16.883116883116884</v>
      </c>
      <c r="L51" s="144">
        <f t="shared" si="143"/>
        <v>-106.52879156528792</v>
      </c>
      <c r="M51" s="144">
        <f t="shared" si="143"/>
        <v>-82.590361445783131</v>
      </c>
      <c r="N51" s="144">
        <f t="shared" si="143"/>
        <v>-66.030187306783048</v>
      </c>
      <c r="O51" s="144">
        <f t="shared" si="143"/>
        <v>-263.78432442262226</v>
      </c>
      <c r="P51" s="144">
        <f t="shared" si="143"/>
        <v>-303.80814693580652</v>
      </c>
      <c r="Q51" s="118">
        <f>((P51/G51)^(1/($H$2-$H$1) ))-1</f>
        <v>-1.927173279920122</v>
      </c>
      <c r="R51" s="128"/>
      <c r="S51" s="158">
        <f t="shared" ref="S51:AB51" si="144">(S7+S14-S10-S9)/S36</f>
        <v>-334.18896162938722</v>
      </c>
      <c r="T51" s="158">
        <f t="shared" si="144"/>
        <v>-367.60785779232594</v>
      </c>
      <c r="U51" s="158">
        <f t="shared" si="144"/>
        <v>-404.36864357155861</v>
      </c>
      <c r="V51" s="158">
        <f t="shared" si="144"/>
        <v>-444.80550792871463</v>
      </c>
      <c r="W51" s="158">
        <f t="shared" si="144"/>
        <v>-489.28605872158602</v>
      </c>
      <c r="X51" s="158">
        <f t="shared" si="144"/>
        <v>-538.2146645937446</v>
      </c>
      <c r="Y51" s="158">
        <f t="shared" si="144"/>
        <v>-592.03613105311899</v>
      </c>
      <c r="Z51" s="158">
        <f t="shared" si="144"/>
        <v>-651.23974415843099</v>
      </c>
      <c r="AA51" s="158">
        <f t="shared" si="144"/>
        <v>-716.36371857427423</v>
      </c>
      <c r="AB51" s="158">
        <f t="shared" si="144"/>
        <v>-788.00009043170178</v>
      </c>
      <c r="AC51" s="138">
        <f t="shared" si="132"/>
        <v>-2.0144491066955457</v>
      </c>
      <c r="AD51" s="31">
        <v>0.08</v>
      </c>
      <c r="AE51" s="146">
        <f>(AB51*(1+AC51))/($C$1-AD51)</f>
        <v>5709.8999129603499</v>
      </c>
    </row>
    <row r="52" spans="2:31">
      <c r="B52" s="20"/>
      <c r="C52" s="127"/>
      <c r="D52" s="127"/>
      <c r="E52" s="127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28"/>
      <c r="R52" s="128"/>
      <c r="S52" s="155"/>
      <c r="T52" s="155"/>
      <c r="U52" s="155"/>
      <c r="V52" s="155"/>
      <c r="W52" s="155"/>
      <c r="X52" s="155"/>
      <c r="Y52" s="155"/>
      <c r="Z52" s="155"/>
      <c r="AA52" s="155"/>
      <c r="AB52" s="155"/>
      <c r="AC52" s="139"/>
      <c r="AD52" s="20"/>
      <c r="AE52" s="155"/>
    </row>
    <row r="53" spans="2:31">
      <c r="B53" s="20" t="s">
        <v>248</v>
      </c>
      <c r="C53" s="127">
        <f t="shared" ref="C53:P53" si="145">C12/C36</f>
        <v>0</v>
      </c>
      <c r="D53" s="127">
        <f t="shared" si="145"/>
        <v>0</v>
      </c>
      <c r="E53" s="127">
        <f t="shared" si="145"/>
        <v>0</v>
      </c>
      <c r="F53" s="144">
        <f t="shared" si="145"/>
        <v>0</v>
      </c>
      <c r="G53" s="144">
        <f t="shared" si="145"/>
        <v>129.54545454545453</v>
      </c>
      <c r="H53" s="144">
        <f t="shared" si="145"/>
        <v>23.281596452328159</v>
      </c>
      <c r="I53" s="144">
        <f t="shared" si="145"/>
        <v>30.959752321981426</v>
      </c>
      <c r="J53" s="144">
        <f t="shared" si="145"/>
        <v>64.04220779220779</v>
      </c>
      <c r="K53" s="144">
        <f t="shared" si="145"/>
        <v>66.639610389610382</v>
      </c>
      <c r="L53" s="144">
        <f t="shared" si="145"/>
        <v>96.512570965125704</v>
      </c>
      <c r="M53" s="144">
        <f t="shared" si="145"/>
        <v>56.425702811244982</v>
      </c>
      <c r="N53" s="144">
        <f t="shared" si="145"/>
        <v>21.367521367521366</v>
      </c>
      <c r="O53" s="144">
        <f t="shared" si="145"/>
        <v>62.738679759956355</v>
      </c>
      <c r="P53" s="144">
        <f t="shared" si="145"/>
        <v>64.322876886706666</v>
      </c>
      <c r="Q53" s="118">
        <f>((P53/G53)^(1/($H$2-$H$1) ))-1</f>
        <v>-7.4841975443125208E-2</v>
      </c>
      <c r="R53" s="128"/>
      <c r="S53" s="158">
        <f t="shared" ref="S53:AB53" si="146">S12/S36</f>
        <v>70.755164575377336</v>
      </c>
      <c r="T53" s="158">
        <f t="shared" si="146"/>
        <v>77.830681032915081</v>
      </c>
      <c r="U53" s="158">
        <f t="shared" si="146"/>
        <v>85.613749136206593</v>
      </c>
      <c r="V53" s="158">
        <f t="shared" si="146"/>
        <v>94.175124049827261</v>
      </c>
      <c r="W53" s="158">
        <f t="shared" si="146"/>
        <v>103.59263645480999</v>
      </c>
      <c r="X53" s="158">
        <f t="shared" si="146"/>
        <v>113.951900100291</v>
      </c>
      <c r="Y53" s="158">
        <f t="shared" si="146"/>
        <v>125.34709011032011</v>
      </c>
      <c r="Z53" s="158">
        <f t="shared" si="146"/>
        <v>137.88179912135212</v>
      </c>
      <c r="AA53" s="158">
        <f t="shared" si="146"/>
        <v>151.66997903348735</v>
      </c>
      <c r="AB53" s="158">
        <f t="shared" si="146"/>
        <v>166.83697693683609</v>
      </c>
      <c r="AC53" s="138">
        <f t="shared" si="132"/>
        <v>1.3404056946567433E-2</v>
      </c>
      <c r="AD53" s="31">
        <v>0.08</v>
      </c>
      <c r="AE53" s="146">
        <f>(AB53*(1+AC53))/($C$1-AD53)</f>
        <v>1207.66620911779</v>
      </c>
    </row>
    <row r="54" spans="2:31">
      <c r="B54" s="20" t="s">
        <v>255</v>
      </c>
      <c r="C54" s="127">
        <f t="shared" ref="C54:P54" si="147">C13/C36</f>
        <v>0</v>
      </c>
      <c r="D54" s="127">
        <f t="shared" si="147"/>
        <v>0</v>
      </c>
      <c r="E54" s="127">
        <f t="shared" si="147"/>
        <v>0</v>
      </c>
      <c r="F54" s="144">
        <f t="shared" si="147"/>
        <v>0</v>
      </c>
      <c r="G54" s="144">
        <f t="shared" si="147"/>
        <v>7.7272727272727266</v>
      </c>
      <c r="H54" s="144">
        <f t="shared" si="147"/>
        <v>0.44345898004434586</v>
      </c>
      <c r="I54" s="144">
        <f t="shared" si="147"/>
        <v>2.9190623617868199</v>
      </c>
      <c r="J54" s="144">
        <f t="shared" si="147"/>
        <v>0.48701298701298701</v>
      </c>
      <c r="K54" s="144">
        <f t="shared" si="147"/>
        <v>13.352272727272727</v>
      </c>
      <c r="L54" s="144">
        <f t="shared" si="147"/>
        <v>18.248175182481752</v>
      </c>
      <c r="M54" s="144">
        <f t="shared" si="147"/>
        <v>14.036144578313253</v>
      </c>
      <c r="N54" s="144">
        <f t="shared" si="147"/>
        <v>2.92780505546463</v>
      </c>
      <c r="O54" s="144">
        <f t="shared" si="147"/>
        <v>4.9281687579559916</v>
      </c>
      <c r="P54" s="144">
        <f t="shared" si="147"/>
        <v>0.71785779232587743</v>
      </c>
      <c r="Q54" s="118">
        <f>((P54/G54)^(1/($H$2-$H$1) ))-1</f>
        <v>-0.23204692008644479</v>
      </c>
      <c r="R54" s="128"/>
      <c r="S54" s="158">
        <f t="shared" ref="S54:AB54" si="148">S13/S36</f>
        <v>0.78964357155846532</v>
      </c>
      <c r="T54" s="158">
        <f t="shared" si="148"/>
        <v>0.86860792871431192</v>
      </c>
      <c r="U54" s="158">
        <f t="shared" si="148"/>
        <v>0.95546872158574314</v>
      </c>
      <c r="V54" s="158">
        <f t="shared" si="148"/>
        <v>1.0510155937443175</v>
      </c>
      <c r="W54" s="158">
        <f t="shared" si="148"/>
        <v>1.1561171531187495</v>
      </c>
      <c r="X54" s="158">
        <f t="shared" si="148"/>
        <v>1.2717288684306245</v>
      </c>
      <c r="Y54" s="158">
        <f t="shared" si="148"/>
        <v>1.3989017552736871</v>
      </c>
      <c r="Z54" s="158">
        <f t="shared" si="148"/>
        <v>1.538791930801056</v>
      </c>
      <c r="AA54" s="158">
        <f t="shared" si="148"/>
        <v>1.6926711238811618</v>
      </c>
      <c r="AB54" s="158">
        <f t="shared" si="148"/>
        <v>1.8619382362692782</v>
      </c>
      <c r="AC54" s="138">
        <f t="shared" si="132"/>
        <v>-7.2165589183920242E-2</v>
      </c>
      <c r="AD54" s="31">
        <v>0.08</v>
      </c>
      <c r="AE54" s="146">
        <f>(AB54*(1+AC54))/($C$1-AD54)</f>
        <v>12.339788331605973</v>
      </c>
    </row>
    <row r="55" spans="2:31">
      <c r="B55" s="20" t="s">
        <v>256</v>
      </c>
      <c r="C55" s="127">
        <f>(C53+C54)</f>
        <v>0</v>
      </c>
      <c r="D55" s="127">
        <f t="shared" ref="D55:P55" si="149">(D53+D54)</f>
        <v>0</v>
      </c>
      <c r="E55" s="127">
        <f t="shared" si="149"/>
        <v>0</v>
      </c>
      <c r="F55" s="144">
        <f t="shared" si="149"/>
        <v>0</v>
      </c>
      <c r="G55" s="144">
        <f t="shared" si="149"/>
        <v>137.27272727272725</v>
      </c>
      <c r="H55" s="144">
        <f t="shared" si="149"/>
        <v>23.725055432372507</v>
      </c>
      <c r="I55" s="144">
        <f t="shared" si="149"/>
        <v>33.878814683768248</v>
      </c>
      <c r="J55" s="144">
        <f t="shared" si="149"/>
        <v>64.529220779220779</v>
      </c>
      <c r="K55" s="144">
        <f t="shared" si="149"/>
        <v>79.991883116883116</v>
      </c>
      <c r="L55" s="144">
        <f t="shared" si="149"/>
        <v>114.76074614760745</v>
      </c>
      <c r="M55" s="144">
        <f t="shared" si="149"/>
        <v>70.46184738955823</v>
      </c>
      <c r="N55" s="144">
        <f t="shared" si="149"/>
        <v>24.295326422985998</v>
      </c>
      <c r="O55" s="144">
        <f t="shared" ref="O55" si="150">(O53+O54)</f>
        <v>67.666848517912342</v>
      </c>
      <c r="P55" s="144">
        <f t="shared" si="149"/>
        <v>65.040734679032539</v>
      </c>
      <c r="Q55" s="118">
        <f>((P55/G55)^(1/($H$2-$H$1) ))-1</f>
        <v>-7.9644342642405719E-2</v>
      </c>
      <c r="R55" s="128"/>
      <c r="S55" s="158">
        <f t="shared" ref="S55:AB55" si="151">(S53+S54)</f>
        <v>71.544808146935807</v>
      </c>
      <c r="T55" s="158">
        <f t="shared" si="151"/>
        <v>78.699288961629392</v>
      </c>
      <c r="U55" s="158">
        <f t="shared" si="151"/>
        <v>86.569217857792339</v>
      </c>
      <c r="V55" s="158">
        <f t="shared" si="151"/>
        <v>95.226139643571585</v>
      </c>
      <c r="W55" s="158">
        <f t="shared" si="151"/>
        <v>104.74875360792873</v>
      </c>
      <c r="X55" s="158">
        <f t="shared" si="151"/>
        <v>115.22362896872163</v>
      </c>
      <c r="Y55" s="158">
        <f t="shared" si="151"/>
        <v>126.74599186559379</v>
      </c>
      <c r="Z55" s="158">
        <f t="shared" si="151"/>
        <v>139.42059105215318</v>
      </c>
      <c r="AA55" s="158">
        <f t="shared" si="151"/>
        <v>153.36265015736851</v>
      </c>
      <c r="AB55" s="158">
        <f t="shared" si="151"/>
        <v>168.69891517310538</v>
      </c>
      <c r="AC55" s="138">
        <f t="shared" si="132"/>
        <v>1.0908856673726541E-2</v>
      </c>
      <c r="AD55" s="31">
        <v>0.08</v>
      </c>
      <c r="AE55" s="146">
        <f>(AB55*(1+AC55))/($C$1-AD55)</f>
        <v>1218.1373389981566</v>
      </c>
    </row>
    <row r="56" spans="2:31">
      <c r="B56" s="20" t="s">
        <v>249</v>
      </c>
      <c r="C56" s="127">
        <f t="shared" ref="C56:P56" si="152">C14/C36</f>
        <v>0</v>
      </c>
      <c r="D56" s="127">
        <f t="shared" si="152"/>
        <v>0</v>
      </c>
      <c r="E56" s="127">
        <f t="shared" si="152"/>
        <v>0</v>
      </c>
      <c r="F56" s="144">
        <f t="shared" si="152"/>
        <v>0</v>
      </c>
      <c r="G56" s="144">
        <f t="shared" si="152"/>
        <v>947.27272727272725</v>
      </c>
      <c r="H56" s="144">
        <f t="shared" si="152"/>
        <v>159.73392461197338</v>
      </c>
      <c r="I56" s="144">
        <f t="shared" si="152"/>
        <v>180.76072534276869</v>
      </c>
      <c r="J56" s="144">
        <f t="shared" si="152"/>
        <v>253.85551948051946</v>
      </c>
      <c r="K56" s="144">
        <f t="shared" si="152"/>
        <v>304.9512987012987</v>
      </c>
      <c r="L56" s="144">
        <f t="shared" si="152"/>
        <v>411.11111111111109</v>
      </c>
      <c r="M56" s="144">
        <f t="shared" si="152"/>
        <v>215.58232931726909</v>
      </c>
      <c r="N56" s="144">
        <f t="shared" si="152"/>
        <v>138.86161120203673</v>
      </c>
      <c r="O56" s="144">
        <f t="shared" si="152"/>
        <v>286.30660120021821</v>
      </c>
      <c r="P56" s="144">
        <f t="shared" si="152"/>
        <v>254.80487361338422</v>
      </c>
      <c r="Q56" s="118">
        <f>((P56/G56)^(1/($H$2-$H$1) ))-1</f>
        <v>-0.13575481963601443</v>
      </c>
      <c r="R56" s="128"/>
      <c r="S56" s="158">
        <f t="shared" ref="S56:AB56" si="153">S14/S36</f>
        <v>280.28536097472266</v>
      </c>
      <c r="T56" s="158">
        <f t="shared" si="153"/>
        <v>308.313897072195</v>
      </c>
      <c r="U56" s="158">
        <f t="shared" si="153"/>
        <v>339.1452867794145</v>
      </c>
      <c r="V56" s="158">
        <f t="shared" si="153"/>
        <v>373.05981545735597</v>
      </c>
      <c r="W56" s="158">
        <f t="shared" si="153"/>
        <v>410.36579700309164</v>
      </c>
      <c r="X56" s="158">
        <f t="shared" si="153"/>
        <v>451.40237670340082</v>
      </c>
      <c r="Y56" s="158">
        <f t="shared" si="153"/>
        <v>496.54261437374095</v>
      </c>
      <c r="Z56" s="158">
        <f t="shared" si="153"/>
        <v>546.19687581111509</v>
      </c>
      <c r="AA56" s="158">
        <f t="shared" si="153"/>
        <v>600.81656339222661</v>
      </c>
      <c r="AB56" s="158">
        <f t="shared" si="153"/>
        <v>660.89821973144944</v>
      </c>
      <c r="AC56" s="138">
        <f t="shared" si="132"/>
        <v>-1.8768334015760835E-2</v>
      </c>
      <c r="AD56" s="31">
        <v>0.08</v>
      </c>
      <c r="AE56" s="146">
        <f>(AB56*(1+AC56))/($C$1-AD56)</f>
        <v>4632.1018656650567</v>
      </c>
    </row>
    <row r="57" spans="2:31">
      <c r="B57" s="20" t="s">
        <v>250</v>
      </c>
      <c r="C57" s="127">
        <f t="shared" ref="C57:P57" si="154">C15/C36</f>
        <v>0</v>
      </c>
      <c r="D57" s="127">
        <f t="shared" si="154"/>
        <v>0</v>
      </c>
      <c r="E57" s="127">
        <f t="shared" si="154"/>
        <v>0</v>
      </c>
      <c r="F57" s="144">
        <f t="shared" si="154"/>
        <v>0</v>
      </c>
      <c r="G57" s="144">
        <f t="shared" si="154"/>
        <v>449.09090909090907</v>
      </c>
      <c r="H57" s="144">
        <f t="shared" si="154"/>
        <v>276.00886917960088</v>
      </c>
      <c r="I57" s="144">
        <f t="shared" si="154"/>
        <v>86.731534719150815</v>
      </c>
      <c r="J57" s="144">
        <f t="shared" si="154"/>
        <v>165.54383116883116</v>
      </c>
      <c r="K57" s="144">
        <f t="shared" si="154"/>
        <v>173.01136363636363</v>
      </c>
      <c r="L57" s="144">
        <f t="shared" si="154"/>
        <v>242.25466342254663</v>
      </c>
      <c r="M57" s="144">
        <f t="shared" si="154"/>
        <v>126.94779116465864</v>
      </c>
      <c r="N57" s="144">
        <f t="shared" si="154"/>
        <v>56.59210765593744</v>
      </c>
      <c r="O57" s="144">
        <f t="shared" si="154"/>
        <v>128.52336788507</v>
      </c>
      <c r="P57" s="144">
        <f t="shared" si="154"/>
        <v>-54.749590834697251</v>
      </c>
      <c r="Q57" s="118">
        <f>((P57/G57)^(1/($H$2-$H$1) ))-1</f>
        <v>-1.7914976391257511</v>
      </c>
      <c r="R57" s="128"/>
      <c r="S57" s="158">
        <f t="shared" ref="S57:AB57" si="155">S15/S36</f>
        <v>-60.224549918166986</v>
      </c>
      <c r="T57" s="158">
        <f t="shared" si="155"/>
        <v>-66.247004909983687</v>
      </c>
      <c r="U57" s="158">
        <f t="shared" si="155"/>
        <v>-72.871705400982066</v>
      </c>
      <c r="V57" s="158">
        <f t="shared" si="155"/>
        <v>-80.158875941080282</v>
      </c>
      <c r="W57" s="158">
        <f t="shared" si="155"/>
        <v>-88.174763535188319</v>
      </c>
      <c r="X57" s="158">
        <f t="shared" si="155"/>
        <v>-96.992239888707175</v>
      </c>
      <c r="Y57" s="158">
        <f t="shared" si="155"/>
        <v>-106.6914638775779</v>
      </c>
      <c r="Z57" s="158">
        <f t="shared" si="155"/>
        <v>-117.36061026533571</v>
      </c>
      <c r="AA57" s="158">
        <f t="shared" si="155"/>
        <v>-129.09667129186928</v>
      </c>
      <c r="AB57" s="158">
        <f t="shared" si="155"/>
        <v>-142.00633842105623</v>
      </c>
      <c r="AC57" s="138">
        <f t="shared" si="132"/>
        <v>-1.9412019406790806</v>
      </c>
      <c r="AD57" s="31">
        <v>0.08</v>
      </c>
      <c r="AE57" s="146">
        <f>(AB57*(1+AC57))/($C$1-AD57)</f>
        <v>954.69029507591711</v>
      </c>
    </row>
    <row r="58" spans="2:31">
      <c r="B58" s="20"/>
      <c r="C58" s="127"/>
      <c r="D58" s="127"/>
      <c r="E58" s="127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28"/>
      <c r="R58" s="128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  <c r="AC58" s="139"/>
      <c r="AD58" s="20"/>
      <c r="AE58" s="155"/>
    </row>
    <row r="59" spans="2:31">
      <c r="B59" s="20" t="s">
        <v>283</v>
      </c>
      <c r="C59" s="160">
        <f>C38</f>
        <v>1</v>
      </c>
      <c r="D59" s="160">
        <f t="shared" ref="D59:P59" si="156">D38</f>
        <v>1</v>
      </c>
      <c r="E59" s="160">
        <f t="shared" si="156"/>
        <v>1</v>
      </c>
      <c r="F59" s="160">
        <f t="shared" si="156"/>
        <v>0</v>
      </c>
      <c r="G59" s="160">
        <f t="shared" si="156"/>
        <v>0</v>
      </c>
      <c r="H59" s="160">
        <f t="shared" si="156"/>
        <v>0</v>
      </c>
      <c r="I59" s="160">
        <f t="shared" si="156"/>
        <v>0</v>
      </c>
      <c r="J59" s="160">
        <f t="shared" si="156"/>
        <v>0</v>
      </c>
      <c r="K59" s="160">
        <f t="shared" si="156"/>
        <v>0</v>
      </c>
      <c r="L59" s="160">
        <f t="shared" si="156"/>
        <v>0</v>
      </c>
      <c r="M59" s="160">
        <f t="shared" si="156"/>
        <v>0</v>
      </c>
      <c r="N59" s="160">
        <f t="shared" si="156"/>
        <v>0</v>
      </c>
      <c r="O59" s="160">
        <f t="shared" si="156"/>
        <v>0</v>
      </c>
      <c r="P59" s="160">
        <f t="shared" si="156"/>
        <v>0</v>
      </c>
      <c r="Q59" s="118" t="e">
        <f>((P59/G59)^(1/($H$2-$H$1) ))-1</f>
        <v>#DIV/0!</v>
      </c>
      <c r="R59" s="128"/>
      <c r="S59" s="161">
        <f t="shared" ref="S59:AB59" si="157">S38</f>
        <v>0</v>
      </c>
      <c r="T59" s="161">
        <f t="shared" si="157"/>
        <v>0</v>
      </c>
      <c r="U59" s="161">
        <f t="shared" si="157"/>
        <v>0</v>
      </c>
      <c r="V59" s="161">
        <f t="shared" si="157"/>
        <v>0</v>
      </c>
      <c r="W59" s="161">
        <f t="shared" si="157"/>
        <v>0</v>
      </c>
      <c r="X59" s="161">
        <f t="shared" si="157"/>
        <v>0</v>
      </c>
      <c r="Y59" s="161">
        <f t="shared" si="157"/>
        <v>0</v>
      </c>
      <c r="Z59" s="161">
        <f t="shared" si="157"/>
        <v>0</v>
      </c>
      <c r="AA59" s="161">
        <f t="shared" si="157"/>
        <v>0</v>
      </c>
      <c r="AB59" s="161">
        <f t="shared" si="157"/>
        <v>0</v>
      </c>
      <c r="AC59" s="138" t="e">
        <f t="shared" ref="AC59" si="158">((AB59/G59)^(1/($AB$3-$H$1) ))-1</f>
        <v>#DIV/0!</v>
      </c>
      <c r="AD59" s="31">
        <v>0.08</v>
      </c>
      <c r="AE59" s="146" t="e">
        <f>(AB59*(1+AC59))/($C$1-AD59)</f>
        <v>#DIV/0!</v>
      </c>
    </row>
    <row r="60" spans="2:31">
      <c r="B60" s="20"/>
      <c r="C60" s="127"/>
      <c r="D60" s="127"/>
      <c r="E60" s="127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28"/>
      <c r="R60" s="128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39"/>
      <c r="AD60" s="20"/>
      <c r="AE60" s="155"/>
    </row>
    <row r="61" spans="2:31">
      <c r="B61" s="20" t="s">
        <v>291</v>
      </c>
      <c r="C61" s="127">
        <f t="shared" ref="C61:G61" si="159">C19+C20</f>
        <v>0</v>
      </c>
      <c r="D61" s="127">
        <f t="shared" si="159"/>
        <v>0</v>
      </c>
      <c r="E61" s="127">
        <f t="shared" si="159"/>
        <v>0</v>
      </c>
      <c r="F61" s="144">
        <f t="shared" si="159"/>
        <v>0</v>
      </c>
      <c r="G61" s="144">
        <f t="shared" si="159"/>
        <v>0</v>
      </c>
      <c r="H61" s="144">
        <f>H19+H20</f>
        <v>0</v>
      </c>
      <c r="I61" s="144">
        <f t="shared" ref="I61:P61" si="160">I19+I20</f>
        <v>0</v>
      </c>
      <c r="J61" s="144">
        <f t="shared" si="160"/>
        <v>0</v>
      </c>
      <c r="K61" s="144">
        <f t="shared" si="160"/>
        <v>0</v>
      </c>
      <c r="L61" s="144">
        <f t="shared" si="160"/>
        <v>0</v>
      </c>
      <c r="M61" s="144">
        <f t="shared" si="160"/>
        <v>0</v>
      </c>
      <c r="N61" s="144">
        <f t="shared" si="160"/>
        <v>0</v>
      </c>
      <c r="O61" s="144">
        <f t="shared" si="160"/>
        <v>0</v>
      </c>
      <c r="P61" s="144">
        <f t="shared" si="160"/>
        <v>0</v>
      </c>
      <c r="Q61" s="118" t="e">
        <f>((P61/G61)^(1/($H$2-$H$1) ))-1</f>
        <v>#DIV/0!</v>
      </c>
      <c r="R61" s="128"/>
      <c r="S61" s="146">
        <f t="shared" ref="S61:AB61" si="161">S19-S20</f>
        <v>0</v>
      </c>
      <c r="T61" s="146">
        <f t="shared" si="161"/>
        <v>0</v>
      </c>
      <c r="U61" s="146">
        <f t="shared" si="161"/>
        <v>0</v>
      </c>
      <c r="V61" s="146">
        <f t="shared" si="161"/>
        <v>0</v>
      </c>
      <c r="W61" s="146">
        <f t="shared" si="161"/>
        <v>0</v>
      </c>
      <c r="X61" s="146">
        <f t="shared" si="161"/>
        <v>0</v>
      </c>
      <c r="Y61" s="146">
        <f t="shared" si="161"/>
        <v>0</v>
      </c>
      <c r="Z61" s="146">
        <f t="shared" si="161"/>
        <v>0</v>
      </c>
      <c r="AA61" s="146">
        <f t="shared" si="161"/>
        <v>0</v>
      </c>
      <c r="AB61" s="146">
        <f t="shared" si="161"/>
        <v>0</v>
      </c>
      <c r="AC61" s="138" t="e">
        <f t="shared" ref="AC61:AC66" si="162">((AB61/G61)^(1/($AB$3-$H$1) ))-1</f>
        <v>#DIV/0!</v>
      </c>
      <c r="AD61" s="31">
        <v>0.08</v>
      </c>
      <c r="AE61" s="146" t="e">
        <f>(AB61*(1+AC61))/($C$1-AD61)</f>
        <v>#DIV/0!</v>
      </c>
    </row>
    <row r="62" spans="2:31">
      <c r="B62" s="20"/>
      <c r="C62" s="127"/>
      <c r="D62" s="127"/>
      <c r="E62" s="12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28"/>
      <c r="R62" s="128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38"/>
      <c r="AD62" s="31"/>
      <c r="AE62" s="146"/>
    </row>
    <row r="63" spans="2:31">
      <c r="B63" s="20" t="s">
        <v>287</v>
      </c>
      <c r="C63" s="127">
        <f t="shared" ref="C63:G63" si="163">C61/C36</f>
        <v>0</v>
      </c>
      <c r="D63" s="127">
        <f t="shared" si="163"/>
        <v>0</v>
      </c>
      <c r="E63" s="127">
        <f t="shared" si="163"/>
        <v>0</v>
      </c>
      <c r="F63" s="144">
        <f t="shared" si="163"/>
        <v>0</v>
      </c>
      <c r="G63" s="144">
        <f t="shared" si="163"/>
        <v>0</v>
      </c>
      <c r="H63" s="144">
        <f t="shared" ref="H63" si="164">H61/H36</f>
        <v>0</v>
      </c>
      <c r="I63" s="144">
        <f t="shared" ref="I63:P63" si="165">I61/I36</f>
        <v>0</v>
      </c>
      <c r="J63" s="144">
        <f t="shared" si="165"/>
        <v>0</v>
      </c>
      <c r="K63" s="144">
        <f t="shared" si="165"/>
        <v>0</v>
      </c>
      <c r="L63" s="144">
        <f t="shared" si="165"/>
        <v>0</v>
      </c>
      <c r="M63" s="144">
        <f t="shared" si="165"/>
        <v>0</v>
      </c>
      <c r="N63" s="144">
        <f t="shared" si="165"/>
        <v>0</v>
      </c>
      <c r="O63" s="144">
        <f t="shared" si="165"/>
        <v>0</v>
      </c>
      <c r="P63" s="144">
        <f t="shared" si="165"/>
        <v>0</v>
      </c>
      <c r="Q63" s="118" t="e">
        <f>((P63/G63)^(1/($H$2-$H$1) ))-1</f>
        <v>#DIV/0!</v>
      </c>
      <c r="R63" s="128"/>
      <c r="S63" s="146">
        <f t="shared" ref="S63:AB63" si="166">S61/S36</f>
        <v>0</v>
      </c>
      <c r="T63" s="146">
        <f t="shared" si="166"/>
        <v>0</v>
      </c>
      <c r="U63" s="146">
        <f t="shared" si="166"/>
        <v>0</v>
      </c>
      <c r="V63" s="146">
        <f t="shared" si="166"/>
        <v>0</v>
      </c>
      <c r="W63" s="146">
        <f t="shared" si="166"/>
        <v>0</v>
      </c>
      <c r="X63" s="146">
        <f t="shared" si="166"/>
        <v>0</v>
      </c>
      <c r="Y63" s="146">
        <f t="shared" si="166"/>
        <v>0</v>
      </c>
      <c r="Z63" s="146">
        <f t="shared" si="166"/>
        <v>0</v>
      </c>
      <c r="AA63" s="146">
        <f t="shared" si="166"/>
        <v>0</v>
      </c>
      <c r="AB63" s="146">
        <f t="shared" si="166"/>
        <v>0</v>
      </c>
      <c r="AC63" s="138" t="e">
        <f t="shared" si="162"/>
        <v>#DIV/0!</v>
      </c>
      <c r="AD63" s="31">
        <v>0.08</v>
      </c>
      <c r="AE63" s="146" t="e">
        <f>(AB63*(1+AC63))/($C$1-AD63)</f>
        <v>#DIV/0!</v>
      </c>
    </row>
    <row r="64" spans="2:31">
      <c r="B64" s="20" t="s">
        <v>288</v>
      </c>
      <c r="C64" s="127">
        <f t="shared" ref="C64:P64" si="167">C19/C36</f>
        <v>0</v>
      </c>
      <c r="D64" s="127">
        <f t="shared" si="167"/>
        <v>0</v>
      </c>
      <c r="E64" s="127">
        <f t="shared" si="167"/>
        <v>0</v>
      </c>
      <c r="F64" s="144">
        <f t="shared" si="167"/>
        <v>0</v>
      </c>
      <c r="G64" s="144">
        <f t="shared" si="167"/>
        <v>0</v>
      </c>
      <c r="H64" s="144">
        <f t="shared" si="167"/>
        <v>0</v>
      </c>
      <c r="I64" s="144">
        <f t="shared" si="167"/>
        <v>0</v>
      </c>
      <c r="J64" s="144">
        <f t="shared" si="167"/>
        <v>0</v>
      </c>
      <c r="K64" s="144">
        <f t="shared" si="167"/>
        <v>0</v>
      </c>
      <c r="L64" s="144">
        <f t="shared" si="167"/>
        <v>0</v>
      </c>
      <c r="M64" s="144">
        <f t="shared" si="167"/>
        <v>0</v>
      </c>
      <c r="N64" s="144">
        <f t="shared" si="167"/>
        <v>0</v>
      </c>
      <c r="O64" s="144">
        <f t="shared" si="167"/>
        <v>0</v>
      </c>
      <c r="P64" s="144">
        <f t="shared" si="167"/>
        <v>0</v>
      </c>
      <c r="Q64" s="118" t="e">
        <f>((P64/G64)^(1/($H$2-$H$1) ))-1</f>
        <v>#DIV/0!</v>
      </c>
      <c r="R64" s="128"/>
      <c r="S64" s="146">
        <f t="shared" ref="S64:AB64" si="168">S19/S36</f>
        <v>0</v>
      </c>
      <c r="T64" s="146">
        <f t="shared" si="168"/>
        <v>0</v>
      </c>
      <c r="U64" s="146">
        <f t="shared" si="168"/>
        <v>0</v>
      </c>
      <c r="V64" s="146">
        <f t="shared" si="168"/>
        <v>0</v>
      </c>
      <c r="W64" s="146">
        <f t="shared" si="168"/>
        <v>0</v>
      </c>
      <c r="X64" s="146">
        <f t="shared" si="168"/>
        <v>0</v>
      </c>
      <c r="Y64" s="146">
        <f t="shared" si="168"/>
        <v>0</v>
      </c>
      <c r="Z64" s="146">
        <f t="shared" si="168"/>
        <v>0</v>
      </c>
      <c r="AA64" s="146">
        <f t="shared" si="168"/>
        <v>0</v>
      </c>
      <c r="AB64" s="146">
        <f t="shared" si="168"/>
        <v>0</v>
      </c>
      <c r="AC64" s="138" t="e">
        <f t="shared" si="162"/>
        <v>#DIV/0!</v>
      </c>
      <c r="AD64" s="31">
        <v>0.08</v>
      </c>
      <c r="AE64" s="146" t="e">
        <f>(AB64*(1+AC64))/($C$1-AD64)</f>
        <v>#DIV/0!</v>
      </c>
    </row>
    <row r="65" spans="2:31">
      <c r="B65" s="20" t="s">
        <v>289</v>
      </c>
      <c r="C65" s="127">
        <f t="shared" ref="C65:P65" si="169">C20/C36</f>
        <v>0</v>
      </c>
      <c r="D65" s="127">
        <f t="shared" si="169"/>
        <v>0</v>
      </c>
      <c r="E65" s="127">
        <f t="shared" si="169"/>
        <v>0</v>
      </c>
      <c r="F65" s="144">
        <f t="shared" si="169"/>
        <v>0</v>
      </c>
      <c r="G65" s="144">
        <f t="shared" si="169"/>
        <v>0</v>
      </c>
      <c r="H65" s="144">
        <f t="shared" si="169"/>
        <v>0</v>
      </c>
      <c r="I65" s="144">
        <f t="shared" si="169"/>
        <v>0</v>
      </c>
      <c r="J65" s="144">
        <f t="shared" si="169"/>
        <v>0</v>
      </c>
      <c r="K65" s="144">
        <f t="shared" si="169"/>
        <v>0</v>
      </c>
      <c r="L65" s="144">
        <f t="shared" si="169"/>
        <v>0</v>
      </c>
      <c r="M65" s="144">
        <f t="shared" si="169"/>
        <v>0</v>
      </c>
      <c r="N65" s="144">
        <f t="shared" si="169"/>
        <v>0</v>
      </c>
      <c r="O65" s="144">
        <f t="shared" si="169"/>
        <v>0</v>
      </c>
      <c r="P65" s="144">
        <f t="shared" si="169"/>
        <v>0</v>
      </c>
      <c r="Q65" s="118" t="e">
        <f>((P65/G65)^(1/($H$2-$H$1) ))-1</f>
        <v>#DIV/0!</v>
      </c>
      <c r="R65" s="128"/>
      <c r="S65" s="146">
        <f t="shared" ref="S65:AB65" si="170">S20/S36</f>
        <v>0</v>
      </c>
      <c r="T65" s="146">
        <f t="shared" si="170"/>
        <v>0</v>
      </c>
      <c r="U65" s="146">
        <f t="shared" si="170"/>
        <v>0</v>
      </c>
      <c r="V65" s="146">
        <f t="shared" si="170"/>
        <v>0</v>
      </c>
      <c r="W65" s="146">
        <f t="shared" si="170"/>
        <v>0</v>
      </c>
      <c r="X65" s="146">
        <f t="shared" si="170"/>
        <v>0</v>
      </c>
      <c r="Y65" s="146">
        <f t="shared" si="170"/>
        <v>0</v>
      </c>
      <c r="Z65" s="146">
        <f t="shared" si="170"/>
        <v>0</v>
      </c>
      <c r="AA65" s="146">
        <f t="shared" si="170"/>
        <v>0</v>
      </c>
      <c r="AB65" s="146">
        <f t="shared" si="170"/>
        <v>0</v>
      </c>
      <c r="AC65" s="138" t="e">
        <f t="shared" si="162"/>
        <v>#DIV/0!</v>
      </c>
      <c r="AD65" s="31">
        <v>0.08</v>
      </c>
      <c r="AE65" s="146" t="e">
        <f>(AB65*(1+AC65))/($C$1-AD65)</f>
        <v>#DIV/0!</v>
      </c>
    </row>
    <row r="66" spans="2:31">
      <c r="B66" s="20" t="s">
        <v>290</v>
      </c>
      <c r="C66" s="127">
        <f t="shared" ref="C66:P66" si="171">C21/C36</f>
        <v>0</v>
      </c>
      <c r="D66" s="127">
        <f t="shared" si="171"/>
        <v>0</v>
      </c>
      <c r="E66" s="127">
        <f t="shared" si="171"/>
        <v>0</v>
      </c>
      <c r="F66" s="144">
        <f t="shared" si="171"/>
        <v>0</v>
      </c>
      <c r="G66" s="144">
        <f t="shared" si="171"/>
        <v>0</v>
      </c>
      <c r="H66" s="144">
        <f t="shared" si="171"/>
        <v>0</v>
      </c>
      <c r="I66" s="144">
        <f t="shared" si="171"/>
        <v>0</v>
      </c>
      <c r="J66" s="144">
        <f t="shared" si="171"/>
        <v>0</v>
      </c>
      <c r="K66" s="144">
        <f t="shared" si="171"/>
        <v>0</v>
      </c>
      <c r="L66" s="144">
        <f t="shared" si="171"/>
        <v>0</v>
      </c>
      <c r="M66" s="144">
        <f t="shared" si="171"/>
        <v>0</v>
      </c>
      <c r="N66" s="144">
        <f t="shared" si="171"/>
        <v>0</v>
      </c>
      <c r="O66" s="144">
        <f t="shared" si="171"/>
        <v>0</v>
      </c>
      <c r="P66" s="144">
        <f t="shared" si="171"/>
        <v>0</v>
      </c>
      <c r="Q66" s="118" t="e">
        <f>((P66/G66)^(1/($H$2-$H$1) ))-1</f>
        <v>#DIV/0!</v>
      </c>
      <c r="R66" s="128"/>
      <c r="S66" s="146">
        <f t="shared" ref="S66:AB66" si="172">S21/S36</f>
        <v>0</v>
      </c>
      <c r="T66" s="146">
        <f t="shared" si="172"/>
        <v>0</v>
      </c>
      <c r="U66" s="146">
        <f t="shared" si="172"/>
        <v>0</v>
      </c>
      <c r="V66" s="146">
        <f t="shared" si="172"/>
        <v>0</v>
      </c>
      <c r="W66" s="146">
        <f t="shared" si="172"/>
        <v>0</v>
      </c>
      <c r="X66" s="146">
        <f t="shared" si="172"/>
        <v>0</v>
      </c>
      <c r="Y66" s="146">
        <f t="shared" si="172"/>
        <v>0</v>
      </c>
      <c r="Z66" s="146">
        <f t="shared" si="172"/>
        <v>0</v>
      </c>
      <c r="AA66" s="146">
        <f t="shared" si="172"/>
        <v>0</v>
      </c>
      <c r="AB66" s="146">
        <f t="shared" si="172"/>
        <v>0</v>
      </c>
      <c r="AC66" s="138" t="e">
        <f t="shared" si="162"/>
        <v>#DIV/0!</v>
      </c>
      <c r="AD66" s="31">
        <v>0.08</v>
      </c>
      <c r="AE66" s="146" t="e">
        <f>(AB66*(1+AC66))/($C$1-AD66)</f>
        <v>#DIV/0!</v>
      </c>
    </row>
    <row r="67" spans="2:31">
      <c r="B67" s="20" t="s">
        <v>297</v>
      </c>
      <c r="C67" s="127">
        <f t="shared" ref="C67:P67" si="173">C22/C36</f>
        <v>0</v>
      </c>
      <c r="D67" s="127">
        <f t="shared" si="173"/>
        <v>0</v>
      </c>
      <c r="E67" s="127">
        <f t="shared" si="173"/>
        <v>0</v>
      </c>
      <c r="F67" s="144">
        <f t="shared" si="173"/>
        <v>0</v>
      </c>
      <c r="G67" s="144">
        <f t="shared" si="173"/>
        <v>0</v>
      </c>
      <c r="H67" s="144">
        <f t="shared" si="173"/>
        <v>0</v>
      </c>
      <c r="I67" s="144">
        <f t="shared" si="173"/>
        <v>0</v>
      </c>
      <c r="J67" s="144">
        <f t="shared" si="173"/>
        <v>0</v>
      </c>
      <c r="K67" s="144">
        <f t="shared" si="173"/>
        <v>0</v>
      </c>
      <c r="L67" s="144">
        <f t="shared" si="173"/>
        <v>0</v>
      </c>
      <c r="M67" s="144">
        <f t="shared" si="173"/>
        <v>0</v>
      </c>
      <c r="N67" s="144">
        <f t="shared" si="173"/>
        <v>0</v>
      </c>
      <c r="O67" s="144">
        <f t="shared" si="173"/>
        <v>0</v>
      </c>
      <c r="P67" s="144">
        <f t="shared" si="173"/>
        <v>0</v>
      </c>
      <c r="Q67" s="118" t="e">
        <f>((P67/G67)^(1/($H$2-$H$1) ))-1</f>
        <v>#DIV/0!</v>
      </c>
      <c r="R67" s="128"/>
      <c r="S67" s="146">
        <f t="shared" ref="S67:AB67" si="174">S22/S36</f>
        <v>0</v>
      </c>
      <c r="T67" s="146">
        <f t="shared" si="174"/>
        <v>0</v>
      </c>
      <c r="U67" s="146">
        <f t="shared" si="174"/>
        <v>0</v>
      </c>
      <c r="V67" s="146">
        <f t="shared" si="174"/>
        <v>0</v>
      </c>
      <c r="W67" s="146">
        <f t="shared" si="174"/>
        <v>0</v>
      </c>
      <c r="X67" s="146">
        <f t="shared" si="174"/>
        <v>0</v>
      </c>
      <c r="Y67" s="146">
        <f t="shared" si="174"/>
        <v>0</v>
      </c>
      <c r="Z67" s="146">
        <f t="shared" si="174"/>
        <v>0</v>
      </c>
      <c r="AA67" s="146">
        <f t="shared" si="174"/>
        <v>0</v>
      </c>
      <c r="AB67" s="146">
        <f t="shared" si="174"/>
        <v>0</v>
      </c>
      <c r="AC67" s="138" t="e">
        <f t="shared" ref="AC67" si="175">((AB67/G67)^(1/($AB$3-$H$1) ))-1</f>
        <v>#DIV/0!</v>
      </c>
      <c r="AD67" s="31">
        <v>0.08</v>
      </c>
      <c r="AE67" s="146" t="e">
        <f>(AB67*(1+AC67))/($C$1-AD67)</f>
        <v>#DIV/0!</v>
      </c>
    </row>
    <row r="68" spans="2:31">
      <c r="B68" s="20"/>
      <c r="C68" s="127"/>
      <c r="D68" s="127"/>
      <c r="E68" s="127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28"/>
      <c r="R68" s="128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39"/>
      <c r="AD68" s="20"/>
      <c r="AE68" s="155"/>
    </row>
    <row r="69" spans="2:31">
      <c r="B69" s="20" t="s">
        <v>316</v>
      </c>
      <c r="C69" s="144">
        <f t="shared" ref="C69:O69" si="176">C32/C36</f>
        <v>0</v>
      </c>
      <c r="D69" s="144">
        <f t="shared" si="176"/>
        <v>0</v>
      </c>
      <c r="E69" s="144">
        <f t="shared" si="176"/>
        <v>0</v>
      </c>
      <c r="F69" s="144">
        <f t="shared" si="176"/>
        <v>0</v>
      </c>
      <c r="G69" s="144">
        <f t="shared" si="176"/>
        <v>97.272727272727266</v>
      </c>
      <c r="H69" s="144">
        <f t="shared" si="176"/>
        <v>14.900221729490022</v>
      </c>
      <c r="I69" s="144">
        <f t="shared" si="176"/>
        <v>23.175586023883238</v>
      </c>
      <c r="J69" s="144">
        <f t="shared" si="176"/>
        <v>25.892857142857142</v>
      </c>
      <c r="K69" s="144">
        <f t="shared" si="176"/>
        <v>34.94318181818182</v>
      </c>
      <c r="L69" s="144">
        <f t="shared" si="176"/>
        <v>48.945660989456613</v>
      </c>
      <c r="M69" s="144">
        <f t="shared" si="176"/>
        <v>33.835341365461851</v>
      </c>
      <c r="N69" s="144">
        <f t="shared" si="176"/>
        <v>39.83451536643026</v>
      </c>
      <c r="O69" s="144">
        <f t="shared" si="176"/>
        <v>39.297599563557007</v>
      </c>
      <c r="P69" s="144">
        <f>P32/P36</f>
        <v>41.816693944353517</v>
      </c>
      <c r="Q69" s="118">
        <f>((P69/G69)^(1/($H$2-$H$1) ))-1</f>
        <v>-8.9537491581302198E-2</v>
      </c>
      <c r="R69" s="128"/>
      <c r="S69" s="144">
        <f>S32/S36</f>
        <v>45.998363338788877</v>
      </c>
      <c r="T69" s="144">
        <f t="shared" ref="T69:AB69" si="177">T32/T36</f>
        <v>50.598199672667761</v>
      </c>
      <c r="U69" s="144">
        <f t="shared" si="177"/>
        <v>55.658019639934544</v>
      </c>
      <c r="V69" s="144">
        <f t="shared" si="177"/>
        <v>61.223821603927995</v>
      </c>
      <c r="W69" s="144">
        <f t="shared" si="177"/>
        <v>67.346203764320805</v>
      </c>
      <c r="X69" s="144">
        <f t="shared" si="177"/>
        <v>74.080824140752881</v>
      </c>
      <c r="Y69" s="144">
        <f t="shared" si="177"/>
        <v>81.488906554828176</v>
      </c>
      <c r="Z69" s="144">
        <f t="shared" si="177"/>
        <v>89.637797210311007</v>
      </c>
      <c r="AA69" s="144">
        <f t="shared" si="177"/>
        <v>98.601576931342123</v>
      </c>
      <c r="AB69" s="144">
        <f t="shared" si="177"/>
        <v>108.46173462447634</v>
      </c>
      <c r="AC69" s="138">
        <f t="shared" ref="AC69:AC71" si="178">((AB69/G69)^(1/($AB$3-$H$1) ))-1</f>
        <v>5.7469126030660345E-3</v>
      </c>
      <c r="AD69" s="31">
        <v>0.08</v>
      </c>
      <c r="AE69" s="146">
        <f>(AB69*(1+AC69))/($C$1-AD69)</f>
        <v>779.17896238671528</v>
      </c>
    </row>
    <row r="70" spans="2:31">
      <c r="B70" s="20" t="s">
        <v>317</v>
      </c>
      <c r="C70" s="144">
        <f t="shared" ref="C70:O70" si="179">C34/C36</f>
        <v>0</v>
      </c>
      <c r="D70" s="144">
        <f t="shared" si="179"/>
        <v>0</v>
      </c>
      <c r="E70" s="144">
        <f t="shared" si="179"/>
        <v>0</v>
      </c>
      <c r="F70" s="144">
        <f t="shared" si="179"/>
        <v>0</v>
      </c>
      <c r="G70" s="144">
        <f t="shared" si="179"/>
        <v>63.636363636363633</v>
      </c>
      <c r="H70" s="144">
        <f t="shared" si="179"/>
        <v>5.4101995565410199</v>
      </c>
      <c r="I70" s="144">
        <f t="shared" si="179"/>
        <v>5.9708093763821317</v>
      </c>
      <c r="J70" s="144">
        <f t="shared" si="179"/>
        <v>7.1834415584415581</v>
      </c>
      <c r="K70" s="144">
        <f t="shared" si="179"/>
        <v>15.25974025974026</v>
      </c>
      <c r="L70" s="144">
        <f t="shared" si="179"/>
        <v>20.478507704785077</v>
      </c>
      <c r="M70" s="144">
        <f t="shared" si="179"/>
        <v>19.538152610441767</v>
      </c>
      <c r="N70" s="144">
        <f t="shared" si="179"/>
        <v>25.6864884524459</v>
      </c>
      <c r="O70" s="144">
        <f t="shared" si="179"/>
        <v>18.366975813784325</v>
      </c>
      <c r="P70" s="144">
        <f>P34/P36</f>
        <v>11.0704673577014</v>
      </c>
      <c r="Q70" s="118">
        <f>((P70/G70)^(1/($H$2-$H$1) ))-1</f>
        <v>-0.17660782877655834</v>
      </c>
      <c r="R70" s="128"/>
      <c r="S70" s="144">
        <f>S34/S36</f>
        <v>12.17751409347154</v>
      </c>
      <c r="T70" s="144">
        <f t="shared" ref="T70:AB70" si="180">T34/T36</f>
        <v>13.395265502818695</v>
      </c>
      <c r="U70" s="144">
        <f t="shared" si="180"/>
        <v>14.734792053100565</v>
      </c>
      <c r="V70" s="144">
        <f t="shared" si="180"/>
        <v>16.208271258410623</v>
      </c>
      <c r="W70" s="144">
        <f t="shared" si="180"/>
        <v>17.829098384251683</v>
      </c>
      <c r="X70" s="144">
        <f t="shared" si="180"/>
        <v>19.612008222676856</v>
      </c>
      <c r="Y70" s="144">
        <f t="shared" si="180"/>
        <v>21.573209044944544</v>
      </c>
      <c r="Z70" s="144">
        <f t="shared" si="180"/>
        <v>23.730529949438999</v>
      </c>
      <c r="AA70" s="144">
        <f t="shared" si="180"/>
        <v>26.1035829443829</v>
      </c>
      <c r="AB70" s="144">
        <f t="shared" si="180"/>
        <v>28.713941238821196</v>
      </c>
      <c r="AC70" s="138">
        <f t="shared" si="178"/>
        <v>-4.1019302057853202E-2</v>
      </c>
      <c r="AD70" s="31">
        <v>0.08</v>
      </c>
      <c r="AE70" s="146">
        <f>(AB70*(1+AC70))/($C$1-AD70)</f>
        <v>196.68653864196099</v>
      </c>
    </row>
    <row r="71" spans="2:31">
      <c r="B71" s="20" t="s">
        <v>318</v>
      </c>
      <c r="C71" s="144">
        <f t="shared" ref="C71:O71" si="181">C6/C36</f>
        <v>0</v>
      </c>
      <c r="D71" s="144">
        <f t="shared" si="181"/>
        <v>0</v>
      </c>
      <c r="E71" s="144">
        <f t="shared" si="181"/>
        <v>0</v>
      </c>
      <c r="F71" s="144">
        <f t="shared" si="181"/>
        <v>0</v>
      </c>
      <c r="G71" s="144">
        <f t="shared" si="181"/>
        <v>300.90909090909088</v>
      </c>
      <c r="H71" s="144">
        <f t="shared" si="181"/>
        <v>31.929046563192905</v>
      </c>
      <c r="I71" s="144">
        <f t="shared" si="181"/>
        <v>36.709420610349405</v>
      </c>
      <c r="J71" s="144">
        <f t="shared" si="181"/>
        <v>45.698051948051948</v>
      </c>
      <c r="K71" s="144">
        <f t="shared" si="181"/>
        <v>84.902597402597394</v>
      </c>
      <c r="L71" s="144">
        <f t="shared" si="181"/>
        <v>121.41119221411192</v>
      </c>
      <c r="M71" s="144">
        <f t="shared" si="181"/>
        <v>120.2409638554217</v>
      </c>
      <c r="N71" s="144">
        <f t="shared" si="181"/>
        <v>158.24695399163483</v>
      </c>
      <c r="O71" s="144">
        <f t="shared" si="181"/>
        <v>176.07746863066012</v>
      </c>
      <c r="P71" s="144">
        <f>P6/P36</f>
        <v>194.10801963993453</v>
      </c>
      <c r="Q71" s="118">
        <f>((P71/G71)^(1/($H$2-$H$1) ))-1</f>
        <v>-4.7543056404830919E-2</v>
      </c>
      <c r="R71" s="128"/>
      <c r="S71" s="144">
        <f>S6/S36</f>
        <v>213.51882160392802</v>
      </c>
      <c r="T71" s="144">
        <f t="shared" ref="T71:AB71" si="182">T6/T36</f>
        <v>234.87070376432084</v>
      </c>
      <c r="U71" s="144">
        <f t="shared" si="182"/>
        <v>258.35777414075295</v>
      </c>
      <c r="V71" s="144">
        <f t="shared" si="182"/>
        <v>284.19355155482828</v>
      </c>
      <c r="W71" s="144">
        <f t="shared" si="182"/>
        <v>312.61290671031111</v>
      </c>
      <c r="X71" s="144">
        <f t="shared" si="182"/>
        <v>343.8741973813423</v>
      </c>
      <c r="Y71" s="144">
        <f t="shared" si="182"/>
        <v>378.26161711947651</v>
      </c>
      <c r="Z71" s="144">
        <f t="shared" si="182"/>
        <v>416.0877788314242</v>
      </c>
      <c r="AA71" s="144">
        <f t="shared" si="182"/>
        <v>457.69655671456667</v>
      </c>
      <c r="AB71" s="144">
        <f t="shared" si="182"/>
        <v>503.46621238602341</v>
      </c>
      <c r="AC71" s="138">
        <f t="shared" si="178"/>
        <v>2.7460183982028541E-2</v>
      </c>
      <c r="AD71" s="31">
        <v>0.08</v>
      </c>
      <c r="AE71" s="146">
        <f>(AB71*(1+AC71))/($C$1-AD71)</f>
        <v>3694.9391943348469</v>
      </c>
    </row>
    <row r="72" spans="2:31">
      <c r="B72" s="20"/>
      <c r="C72" s="127"/>
      <c r="D72" s="127"/>
      <c r="E72" s="127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28"/>
      <c r="R72" s="128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39"/>
      <c r="AD72" s="20"/>
      <c r="AE72" s="155"/>
    </row>
    <row r="73" spans="2:31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28"/>
      <c r="R73" s="128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39"/>
      <c r="AD73" s="20"/>
      <c r="AE73" s="155"/>
    </row>
    <row r="74" spans="2:31">
      <c r="B74" s="108" t="s">
        <v>315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</row>
    <row r="75" spans="2:31">
      <c r="B75" s="20" t="s">
        <v>313</v>
      </c>
      <c r="C75" s="153" t="e">
        <f t="shared" ref="C75:O75" si="183">C32/C24</f>
        <v>#DIV/0!</v>
      </c>
      <c r="D75" s="153" t="e">
        <f t="shared" si="183"/>
        <v>#DIV/0!</v>
      </c>
      <c r="E75" s="153" t="e">
        <f t="shared" si="183"/>
        <v>#DIV/0!</v>
      </c>
      <c r="F75" s="153" t="e">
        <f t="shared" si="183"/>
        <v>#DIV/0!</v>
      </c>
      <c r="G75" s="153">
        <f t="shared" si="183"/>
        <v>2.3319167483927209E-2</v>
      </c>
      <c r="H75" s="153">
        <f t="shared" si="183"/>
        <v>2.2090729783037475E-2</v>
      </c>
      <c r="I75" s="153">
        <f t="shared" si="183"/>
        <v>4.1626946298061643E-2</v>
      </c>
      <c r="J75" s="153">
        <f t="shared" si="183"/>
        <v>3.7138366610396413E-2</v>
      </c>
      <c r="K75" s="153">
        <f t="shared" si="183"/>
        <v>4.2374132585265026E-2</v>
      </c>
      <c r="L75" s="153">
        <f t="shared" si="183"/>
        <v>4.2842437795052001E-2</v>
      </c>
      <c r="M75" s="153">
        <f t="shared" si="183"/>
        <v>6.501774965272418E-2</v>
      </c>
      <c r="N75" s="153">
        <f t="shared" si="183"/>
        <v>0.16261460227905422</v>
      </c>
      <c r="O75" s="153">
        <f t="shared" si="183"/>
        <v>0.10722845233960204</v>
      </c>
      <c r="P75" s="153">
        <f>P32/P24</f>
        <v>9.712531044619778E-2</v>
      </c>
      <c r="Q75" s="118">
        <f>((P75/G75)^(1/($H$2-$H$1) ))-1</f>
        <v>0.17178139335660769</v>
      </c>
      <c r="R75" s="153"/>
      <c r="S75" s="153">
        <f>S32/S24</f>
        <v>9.712531044619778E-2</v>
      </c>
      <c r="T75" s="153">
        <f t="shared" ref="T75:AB75" si="184">T32/T24</f>
        <v>9.712531044619778E-2</v>
      </c>
      <c r="U75" s="153">
        <f t="shared" si="184"/>
        <v>9.712531044619778E-2</v>
      </c>
      <c r="V75" s="153">
        <f t="shared" si="184"/>
        <v>9.712531044619778E-2</v>
      </c>
      <c r="W75" s="153">
        <f t="shared" si="184"/>
        <v>9.712531044619778E-2</v>
      </c>
      <c r="X75" s="153">
        <f t="shared" si="184"/>
        <v>9.7125310446197793E-2</v>
      </c>
      <c r="Y75" s="153">
        <f t="shared" si="184"/>
        <v>9.7125310446197793E-2</v>
      </c>
      <c r="Z75" s="153">
        <f t="shared" si="184"/>
        <v>9.712531044619778E-2</v>
      </c>
      <c r="AA75" s="153">
        <f t="shared" si="184"/>
        <v>9.7125310446197793E-2</v>
      </c>
      <c r="AB75" s="153">
        <f t="shared" si="184"/>
        <v>9.7125310446197793E-2</v>
      </c>
      <c r="AC75" s="138">
        <f t="shared" ref="AC75:AC77" si="185">((AB75/G75)^(1/($AB$3-$H$1) ))-1</f>
        <v>7.7982092106688938E-2</v>
      </c>
      <c r="AD75" s="146"/>
      <c r="AE75" s="146"/>
    </row>
    <row r="76" spans="2:31">
      <c r="B76" s="20" t="s">
        <v>267</v>
      </c>
      <c r="C76" s="153" t="e">
        <f t="shared" ref="C76:O76" si="186">C34/C24</f>
        <v>#DIV/0!</v>
      </c>
      <c r="D76" s="153" t="e">
        <f t="shared" si="186"/>
        <v>#DIV/0!</v>
      </c>
      <c r="E76" s="153" t="e">
        <f t="shared" si="186"/>
        <v>#DIV/0!</v>
      </c>
      <c r="F76" s="153" t="e">
        <f t="shared" si="186"/>
        <v>#DIV/0!</v>
      </c>
      <c r="G76" s="153">
        <f t="shared" si="186"/>
        <v>1.5255530129672006E-2</v>
      </c>
      <c r="H76" s="153">
        <f t="shared" si="186"/>
        <v>8.0210387902695593E-3</v>
      </c>
      <c r="I76" s="153">
        <f t="shared" si="186"/>
        <v>1.0724499523355576E-2</v>
      </c>
      <c r="J76" s="153">
        <f t="shared" si="186"/>
        <v>1.0303277257116246E-2</v>
      </c>
      <c r="K76" s="153">
        <f t="shared" si="186"/>
        <v>1.8504847679511788E-2</v>
      </c>
      <c r="L76" s="153">
        <f t="shared" si="186"/>
        <v>1.7924963617648101E-2</v>
      </c>
      <c r="M76" s="153">
        <f t="shared" si="186"/>
        <v>3.7544374131810464E-2</v>
      </c>
      <c r="N76" s="153">
        <f t="shared" si="186"/>
        <v>0.10485876545042871</v>
      </c>
      <c r="O76" s="153">
        <f t="shared" si="186"/>
        <v>5.0116607949188707E-2</v>
      </c>
      <c r="P76" s="153">
        <f>P34/P24</f>
        <v>2.5712759127540591E-2</v>
      </c>
      <c r="Q76" s="118">
        <f>((P76/G76)^(1/($H$2-$H$1) ))-1</f>
        <v>5.9720325388098683E-2</v>
      </c>
      <c r="R76" s="153"/>
      <c r="S76" s="153">
        <f>S34/S24</f>
        <v>2.5712759127540594E-2</v>
      </c>
      <c r="T76" s="153">
        <f t="shared" ref="T76:AB76" si="187">T34/T24</f>
        <v>2.5712759127540591E-2</v>
      </c>
      <c r="U76" s="153">
        <f t="shared" si="187"/>
        <v>2.5712759127540591E-2</v>
      </c>
      <c r="V76" s="153">
        <f t="shared" si="187"/>
        <v>2.5712759127540591E-2</v>
      </c>
      <c r="W76" s="153">
        <f t="shared" si="187"/>
        <v>2.5712759127540591E-2</v>
      </c>
      <c r="X76" s="153">
        <f t="shared" si="187"/>
        <v>2.5712759127540594E-2</v>
      </c>
      <c r="Y76" s="153">
        <f t="shared" si="187"/>
        <v>2.5712759127540594E-2</v>
      </c>
      <c r="Z76" s="153">
        <f t="shared" si="187"/>
        <v>2.5712759127540594E-2</v>
      </c>
      <c r="AA76" s="153">
        <f t="shared" si="187"/>
        <v>2.5712759127540594E-2</v>
      </c>
      <c r="AB76" s="153">
        <f t="shared" si="187"/>
        <v>2.5712759127540594E-2</v>
      </c>
      <c r="AC76" s="138">
        <f t="shared" si="185"/>
        <v>2.785701462610346E-2</v>
      </c>
      <c r="AD76" s="146"/>
      <c r="AE76" s="146"/>
    </row>
    <row r="77" spans="2:31">
      <c r="B77" s="20" t="s">
        <v>314</v>
      </c>
      <c r="C77" s="153" t="e">
        <f t="shared" ref="C77:O77" si="188">C34/C7</f>
        <v>#DIV/0!</v>
      </c>
      <c r="D77" s="153" t="e">
        <f t="shared" si="188"/>
        <v>#DIV/0!</v>
      </c>
      <c r="E77" s="153" t="e">
        <f t="shared" si="188"/>
        <v>#DIV/0!</v>
      </c>
      <c r="F77" s="153" t="e">
        <f t="shared" si="188"/>
        <v>#DIV/0!</v>
      </c>
      <c r="G77" s="153">
        <f t="shared" si="188"/>
        <v>0.20057306590257878</v>
      </c>
      <c r="H77" s="153">
        <f t="shared" si="188"/>
        <v>0.16419919246298789</v>
      </c>
      <c r="I77" s="153">
        <f t="shared" si="188"/>
        <v>0.15826494724501758</v>
      </c>
      <c r="J77" s="153">
        <f t="shared" si="188"/>
        <v>0.15391304347826087</v>
      </c>
      <c r="K77" s="153">
        <f t="shared" si="188"/>
        <v>0.17694117647058824</v>
      </c>
      <c r="L77" s="153">
        <f t="shared" si="188"/>
        <v>0.16732935719019218</v>
      </c>
      <c r="M77" s="153">
        <f t="shared" si="188"/>
        <v>0.16114607485922491</v>
      </c>
      <c r="N77" s="153">
        <f t="shared" si="188"/>
        <v>0.16129953180312892</v>
      </c>
      <c r="O77" s="153">
        <f t="shared" si="188"/>
        <v>0.10372272143774069</v>
      </c>
      <c r="P77" s="153">
        <f>P34/P7</f>
        <v>5.6738451271842016E-2</v>
      </c>
      <c r="Q77" s="118">
        <f>((P77/G77)^(1/($H$2-$H$1) ))-1</f>
        <v>-0.13090508857971339</v>
      </c>
      <c r="R77" s="20"/>
      <c r="S77" s="153">
        <f>S34/S7</f>
        <v>5.6738451271842023E-2</v>
      </c>
      <c r="T77" s="153">
        <f t="shared" ref="T77:AB77" si="189">T34/T7</f>
        <v>5.6738451271842016E-2</v>
      </c>
      <c r="U77" s="153">
        <f t="shared" si="189"/>
        <v>5.6738451271842016E-2</v>
      </c>
      <c r="V77" s="153">
        <f t="shared" si="189"/>
        <v>5.6738451271842016E-2</v>
      </c>
      <c r="W77" s="153">
        <f t="shared" si="189"/>
        <v>5.6738451271842009E-2</v>
      </c>
      <c r="X77" s="153">
        <f t="shared" si="189"/>
        <v>5.6738451271842009E-2</v>
      </c>
      <c r="Y77" s="153">
        <f t="shared" si="189"/>
        <v>5.6738451271842009E-2</v>
      </c>
      <c r="Z77" s="153">
        <f t="shared" si="189"/>
        <v>5.6738451271842009E-2</v>
      </c>
      <c r="AA77" s="153">
        <f t="shared" si="189"/>
        <v>5.6738451271842009E-2</v>
      </c>
      <c r="AB77" s="153">
        <f t="shared" si="189"/>
        <v>5.6738451271842009E-2</v>
      </c>
      <c r="AC77" s="138">
        <f t="shared" si="185"/>
        <v>-6.4298990314616389E-2</v>
      </c>
      <c r="AD77" s="146"/>
      <c r="AE77" s="146"/>
    </row>
    <row r="78" spans="2:31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 spans="2:31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128"/>
      <c r="R79" s="128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39"/>
      <c r="AD79" s="20"/>
      <c r="AE79" s="20"/>
    </row>
    <row r="80" spans="2:31">
      <c r="B80" s="108" t="s">
        <v>83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128"/>
      <c r="R80" s="128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39"/>
      <c r="AD80" s="20"/>
      <c r="AE80" s="20"/>
    </row>
    <row r="81" spans="2:31">
      <c r="B81" s="20" t="s">
        <v>82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118" t="e">
        <f>((P81/G81)^(1/($H$2-$H$1) ))-1</f>
        <v>#DIV/0!</v>
      </c>
      <c r="R81" s="31">
        <v>0.1</v>
      </c>
      <c r="S81" s="119">
        <f t="shared" ref="S81:S87" si="190">P81*(1+$R81)</f>
        <v>0</v>
      </c>
      <c r="T81" s="119">
        <f t="shared" ref="T81:AB87" si="191">S81*(1+$R81)</f>
        <v>0</v>
      </c>
      <c r="U81" s="119">
        <f t="shared" si="191"/>
        <v>0</v>
      </c>
      <c r="V81" s="119">
        <f t="shared" si="191"/>
        <v>0</v>
      </c>
      <c r="W81" s="119">
        <f t="shared" si="191"/>
        <v>0</v>
      </c>
      <c r="X81" s="119">
        <f t="shared" si="191"/>
        <v>0</v>
      </c>
      <c r="Y81" s="119">
        <f t="shared" si="191"/>
        <v>0</v>
      </c>
      <c r="Z81" s="119">
        <f t="shared" si="191"/>
        <v>0</v>
      </c>
      <c r="AA81" s="119">
        <f t="shared" si="191"/>
        <v>0</v>
      </c>
      <c r="AB81" s="119">
        <f t="shared" si="191"/>
        <v>0</v>
      </c>
      <c r="AC81" s="138" t="e">
        <f t="shared" ref="AC81:AC87" si="192">((AB81/G81)^(1/($AB$3-$H$1) ))-1</f>
        <v>#DIV/0!</v>
      </c>
      <c r="AD81" s="31">
        <v>0.08</v>
      </c>
      <c r="AE81" s="127" t="e">
        <f t="shared" ref="AE81:AE87" si="193">(AB81*(1+AC81))/($C$1-AD81)</f>
        <v>#DIV/0!</v>
      </c>
    </row>
    <row r="82" spans="2:31">
      <c r="B82" s="20" t="s">
        <v>84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118" t="e">
        <f t="shared" ref="Q82:Q87" si="194">((P82/G82)^(1/($H$2-$H$1) ))-1</f>
        <v>#DIV/0!</v>
      </c>
      <c r="R82" s="31">
        <v>0.1</v>
      </c>
      <c r="S82" s="119">
        <f t="shared" si="190"/>
        <v>0</v>
      </c>
      <c r="T82" s="119">
        <f t="shared" si="191"/>
        <v>0</v>
      </c>
      <c r="U82" s="119">
        <f t="shared" si="191"/>
        <v>0</v>
      </c>
      <c r="V82" s="119">
        <f t="shared" si="191"/>
        <v>0</v>
      </c>
      <c r="W82" s="119">
        <f t="shared" si="191"/>
        <v>0</v>
      </c>
      <c r="X82" s="119">
        <f t="shared" si="191"/>
        <v>0</v>
      </c>
      <c r="Y82" s="119">
        <f t="shared" si="191"/>
        <v>0</v>
      </c>
      <c r="Z82" s="119">
        <f t="shared" si="191"/>
        <v>0</v>
      </c>
      <c r="AA82" s="119">
        <f t="shared" si="191"/>
        <v>0</v>
      </c>
      <c r="AB82" s="119">
        <f t="shared" si="191"/>
        <v>0</v>
      </c>
      <c r="AC82" s="138" t="e">
        <f t="shared" si="192"/>
        <v>#DIV/0!</v>
      </c>
      <c r="AD82" s="31">
        <v>0.08</v>
      </c>
      <c r="AE82" s="127" t="e">
        <f t="shared" si="193"/>
        <v>#DIV/0!</v>
      </c>
    </row>
    <row r="83" spans="2:31">
      <c r="B83" s="20" t="s">
        <v>85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118" t="e">
        <f t="shared" si="194"/>
        <v>#DIV/0!</v>
      </c>
      <c r="R83" s="31">
        <v>0.1</v>
      </c>
      <c r="S83" s="119">
        <f t="shared" si="190"/>
        <v>0</v>
      </c>
      <c r="T83" s="119">
        <f t="shared" si="191"/>
        <v>0</v>
      </c>
      <c r="U83" s="119">
        <f t="shared" si="191"/>
        <v>0</v>
      </c>
      <c r="V83" s="119">
        <f t="shared" si="191"/>
        <v>0</v>
      </c>
      <c r="W83" s="119">
        <f t="shared" si="191"/>
        <v>0</v>
      </c>
      <c r="X83" s="119">
        <f t="shared" si="191"/>
        <v>0</v>
      </c>
      <c r="Y83" s="119">
        <f t="shared" si="191"/>
        <v>0</v>
      </c>
      <c r="Z83" s="119">
        <f t="shared" si="191"/>
        <v>0</v>
      </c>
      <c r="AA83" s="119">
        <f t="shared" si="191"/>
        <v>0</v>
      </c>
      <c r="AB83" s="119">
        <f t="shared" si="191"/>
        <v>0</v>
      </c>
      <c r="AC83" s="138" t="e">
        <f t="shared" si="192"/>
        <v>#DIV/0!</v>
      </c>
      <c r="AD83" s="31">
        <v>0.08</v>
      </c>
      <c r="AE83" s="127" t="e">
        <f t="shared" si="193"/>
        <v>#DIV/0!</v>
      </c>
    </row>
    <row r="84" spans="2:31">
      <c r="B84" s="20" t="s">
        <v>81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118" t="e">
        <f t="shared" si="194"/>
        <v>#DIV/0!</v>
      </c>
      <c r="R84" s="31">
        <v>0.1</v>
      </c>
      <c r="S84" s="119">
        <f t="shared" si="190"/>
        <v>0</v>
      </c>
      <c r="T84" s="119">
        <f t="shared" si="191"/>
        <v>0</v>
      </c>
      <c r="U84" s="119">
        <f t="shared" si="191"/>
        <v>0</v>
      </c>
      <c r="V84" s="119">
        <f t="shared" si="191"/>
        <v>0</v>
      </c>
      <c r="W84" s="119">
        <f t="shared" si="191"/>
        <v>0</v>
      </c>
      <c r="X84" s="119">
        <f t="shared" si="191"/>
        <v>0</v>
      </c>
      <c r="Y84" s="119">
        <f t="shared" si="191"/>
        <v>0</v>
      </c>
      <c r="Z84" s="119">
        <f t="shared" si="191"/>
        <v>0</v>
      </c>
      <c r="AA84" s="119">
        <f t="shared" si="191"/>
        <v>0</v>
      </c>
      <c r="AB84" s="119">
        <f t="shared" si="191"/>
        <v>0</v>
      </c>
      <c r="AC84" s="138" t="e">
        <f t="shared" si="192"/>
        <v>#DIV/0!</v>
      </c>
      <c r="AD84" s="31">
        <v>0.08</v>
      </c>
      <c r="AE84" s="127" t="e">
        <f t="shared" si="193"/>
        <v>#DIV/0!</v>
      </c>
    </row>
    <row r="85" spans="2:31">
      <c r="B85" s="20" t="s">
        <v>78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118" t="e">
        <f t="shared" si="194"/>
        <v>#DIV/0!</v>
      </c>
      <c r="R85" s="31">
        <v>0.1</v>
      </c>
      <c r="S85" s="119">
        <f t="shared" si="190"/>
        <v>0</v>
      </c>
      <c r="T85" s="119">
        <f t="shared" si="191"/>
        <v>0</v>
      </c>
      <c r="U85" s="119">
        <f t="shared" si="191"/>
        <v>0</v>
      </c>
      <c r="V85" s="119">
        <f t="shared" si="191"/>
        <v>0</v>
      </c>
      <c r="W85" s="119">
        <f t="shared" si="191"/>
        <v>0</v>
      </c>
      <c r="X85" s="119">
        <f t="shared" si="191"/>
        <v>0</v>
      </c>
      <c r="Y85" s="119">
        <f t="shared" si="191"/>
        <v>0</v>
      </c>
      <c r="Z85" s="119">
        <f t="shared" si="191"/>
        <v>0</v>
      </c>
      <c r="AA85" s="119">
        <f t="shared" si="191"/>
        <v>0</v>
      </c>
      <c r="AB85" s="119">
        <f t="shared" si="191"/>
        <v>0</v>
      </c>
      <c r="AC85" s="138" t="e">
        <f t="shared" si="192"/>
        <v>#DIV/0!</v>
      </c>
      <c r="AD85" s="31">
        <v>0.08</v>
      </c>
      <c r="AE85" s="127" t="e">
        <f t="shared" si="193"/>
        <v>#DIV/0!</v>
      </c>
    </row>
    <row r="86" spans="2:31">
      <c r="B86" s="20" t="s">
        <v>79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118" t="e">
        <f t="shared" si="194"/>
        <v>#DIV/0!</v>
      </c>
      <c r="R86" s="31">
        <v>0.1</v>
      </c>
      <c r="S86" s="119">
        <f t="shared" si="190"/>
        <v>0</v>
      </c>
      <c r="T86" s="119">
        <f t="shared" si="191"/>
        <v>0</v>
      </c>
      <c r="U86" s="119">
        <f t="shared" si="191"/>
        <v>0</v>
      </c>
      <c r="V86" s="119">
        <f t="shared" si="191"/>
        <v>0</v>
      </c>
      <c r="W86" s="119">
        <f t="shared" si="191"/>
        <v>0</v>
      </c>
      <c r="X86" s="119">
        <f t="shared" si="191"/>
        <v>0</v>
      </c>
      <c r="Y86" s="119">
        <f t="shared" si="191"/>
        <v>0</v>
      </c>
      <c r="Z86" s="119">
        <f t="shared" si="191"/>
        <v>0</v>
      </c>
      <c r="AA86" s="119">
        <f t="shared" si="191"/>
        <v>0</v>
      </c>
      <c r="AB86" s="119">
        <f t="shared" si="191"/>
        <v>0</v>
      </c>
      <c r="AC86" s="138" t="e">
        <f t="shared" si="192"/>
        <v>#DIV/0!</v>
      </c>
      <c r="AD86" s="31">
        <v>0.08</v>
      </c>
      <c r="AE86" s="127" t="e">
        <f t="shared" si="193"/>
        <v>#DIV/0!</v>
      </c>
    </row>
    <row r="87" spans="2:31">
      <c r="B87" s="20" t="s">
        <v>80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118" t="e">
        <f t="shared" si="194"/>
        <v>#DIV/0!</v>
      </c>
      <c r="R87" s="31">
        <v>0.1</v>
      </c>
      <c r="S87" s="119">
        <f t="shared" si="190"/>
        <v>0</v>
      </c>
      <c r="T87" s="119">
        <f t="shared" si="191"/>
        <v>0</v>
      </c>
      <c r="U87" s="119">
        <f t="shared" si="191"/>
        <v>0</v>
      </c>
      <c r="V87" s="119">
        <f t="shared" si="191"/>
        <v>0</v>
      </c>
      <c r="W87" s="119">
        <f t="shared" si="191"/>
        <v>0</v>
      </c>
      <c r="X87" s="119">
        <f t="shared" si="191"/>
        <v>0</v>
      </c>
      <c r="Y87" s="119">
        <f t="shared" si="191"/>
        <v>0</v>
      </c>
      <c r="Z87" s="119">
        <f t="shared" si="191"/>
        <v>0</v>
      </c>
      <c r="AA87" s="119">
        <f t="shared" si="191"/>
        <v>0</v>
      </c>
      <c r="AB87" s="119">
        <f t="shared" si="191"/>
        <v>0</v>
      </c>
      <c r="AC87" s="138" t="e">
        <f t="shared" si="192"/>
        <v>#DIV/0!</v>
      </c>
      <c r="AD87" s="31">
        <v>0.08</v>
      </c>
      <c r="AE87" s="127" t="e">
        <f t="shared" si="193"/>
        <v>#DIV/0!</v>
      </c>
    </row>
    <row r="88" spans="2:31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137"/>
      <c r="AD88" s="20"/>
      <c r="AE88" s="20"/>
    </row>
    <row r="89" spans="2:31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137"/>
      <c r="AD89" s="20"/>
      <c r="AE89" s="20"/>
    </row>
    <row r="90" spans="2:31">
      <c r="B90" s="108" t="s">
        <v>244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3"/>
      <c r="R90" s="23"/>
      <c r="S90" s="122" t="s">
        <v>66</v>
      </c>
      <c r="T90" s="20"/>
      <c r="U90" s="20"/>
      <c r="V90" s="20"/>
      <c r="W90" s="20"/>
      <c r="X90" s="20"/>
      <c r="Y90" s="20"/>
      <c r="Z90" s="20"/>
      <c r="AA90" s="20"/>
      <c r="AB90" s="20"/>
      <c r="AC90" s="137"/>
      <c r="AD90" s="20"/>
      <c r="AE90" s="20"/>
    </row>
    <row r="91" spans="2:31">
      <c r="B91" s="23" t="s">
        <v>281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5">
        <f>AVERAGE(G44:P45)</f>
        <v>74.426586083508795</v>
      </c>
      <c r="Q91" s="23"/>
      <c r="R91" s="23"/>
      <c r="S91" s="134"/>
      <c r="T91" s="20"/>
      <c r="U91" s="20"/>
      <c r="V91" s="20"/>
      <c r="W91" s="20"/>
      <c r="X91" s="20"/>
      <c r="Y91" s="20"/>
      <c r="Z91" s="20"/>
      <c r="AA91" s="20"/>
      <c r="AB91" s="20"/>
      <c r="AC91" s="137"/>
      <c r="AD91" s="20"/>
      <c r="AE91" s="20"/>
    </row>
    <row r="92" spans="2:31">
      <c r="B92" s="20" t="s">
        <v>25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140">
        <f>S92+T92</f>
        <v>37.645785230690528</v>
      </c>
      <c r="S92" s="133">
        <f>PV($C$1, ($AB$3-$S$3), 0, -AB44)</f>
        <v>4.7957256593910831</v>
      </c>
      <c r="T92" s="133">
        <f>PV($C$1, ($AB$3-$S$3), 0, -AE44)</f>
        <v>32.850059571299447</v>
      </c>
      <c r="U92" s="20"/>
      <c r="V92" s="20"/>
      <c r="W92" s="20"/>
      <c r="X92" s="20"/>
      <c r="Y92" s="20"/>
      <c r="Z92" s="20"/>
      <c r="AA92" s="20"/>
      <c r="AB92" s="20"/>
      <c r="AC92" s="137"/>
      <c r="AD92" s="20"/>
      <c r="AE92" s="20"/>
    </row>
    <row r="93" spans="2:31">
      <c r="B93" s="20" t="s">
        <v>273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40">
        <f t="shared" ref="R93:R111" si="195">S93+T93</f>
        <v>703.28246130206674</v>
      </c>
      <c r="S93" s="133">
        <f>PV($C$1, ($AB$3-$S$3), 0, -AB45)</f>
        <v>84.523379681515749</v>
      </c>
      <c r="T93" s="133">
        <f>PV($C$1, ($AB$3-$S$3), 0, -AE45)</f>
        <v>618.759081620551</v>
      </c>
      <c r="U93" s="20"/>
      <c r="V93" s="20"/>
      <c r="W93" s="20"/>
      <c r="X93" s="20"/>
      <c r="Y93" s="20"/>
      <c r="Z93" s="20"/>
      <c r="AA93" s="20"/>
      <c r="AB93" s="20"/>
      <c r="AC93" s="137"/>
      <c r="AD93" s="20"/>
      <c r="AE93" s="20"/>
    </row>
    <row r="94" spans="2:31">
      <c r="B94" s="20" t="s">
        <v>274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140">
        <f t="shared" si="195"/>
        <v>701.20644080429679</v>
      </c>
      <c r="S94" s="133">
        <f>PV($C$1, ($AB$3-$S$3), 0, -AB46)</f>
        <v>84.087580081542853</v>
      </c>
      <c r="T94" s="133">
        <f>PV($C$1, ($AB$3-$S$3), 0, -AE46)</f>
        <v>617.11886072275399</v>
      </c>
      <c r="U94" s="20"/>
      <c r="V94" s="20"/>
      <c r="W94" s="20"/>
      <c r="X94" s="20"/>
      <c r="Y94" s="20"/>
      <c r="Z94" s="20"/>
      <c r="AA94" s="20"/>
      <c r="AB94" s="20"/>
      <c r="AC94" s="137"/>
      <c r="AD94" s="20"/>
      <c r="AE94" s="20"/>
    </row>
    <row r="95" spans="2:31">
      <c r="B95" s="20" t="s">
        <v>275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40">
        <f t="shared" si="195"/>
        <v>1710.330160072403</v>
      </c>
      <c r="S95" s="133">
        <f>PV($C$1, ($AB$3-$S$3), 0, -AB47)</f>
        <v>192.41552818724824</v>
      </c>
      <c r="T95" s="133">
        <f>PV($C$1, ($AB$3-$S$3), 0, -AE47)</f>
        <v>1517.9146318851549</v>
      </c>
      <c r="U95" s="20"/>
      <c r="V95" s="20"/>
      <c r="W95" s="20"/>
      <c r="X95" s="20"/>
      <c r="Y95" s="20"/>
      <c r="Z95" s="20"/>
      <c r="AA95" s="20"/>
      <c r="AB95" s="20"/>
      <c r="AC95" s="137"/>
      <c r="AD95" s="20"/>
      <c r="AE95" s="20"/>
    </row>
    <row r="96" spans="2:31">
      <c r="B96" s="20" t="s">
        <v>276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140">
        <f t="shared" si="195"/>
        <v>229.56584550521211</v>
      </c>
      <c r="S96" s="133">
        <f>PV($C$1, ($AB$3-$S$3), 0, -AB53)</f>
        <v>27.864665619273595</v>
      </c>
      <c r="T96" s="133">
        <f>PV($C$1, ($AB$3-$S$3), 0, -AE53)</f>
        <v>201.70117988593853</v>
      </c>
      <c r="U96" s="20"/>
      <c r="V96" s="20"/>
      <c r="W96" s="20"/>
      <c r="X96" s="20"/>
      <c r="Y96" s="20"/>
      <c r="Z96" s="20"/>
      <c r="AA96" s="20"/>
      <c r="AB96" s="20"/>
      <c r="AC96" s="137"/>
      <c r="AD96" s="20"/>
      <c r="AE96" s="20"/>
    </row>
    <row r="97" spans="2:31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140"/>
      <c r="S97" s="133"/>
      <c r="T97" s="20"/>
      <c r="U97" s="20"/>
      <c r="V97" s="20"/>
      <c r="W97" s="20"/>
      <c r="X97" s="20"/>
      <c r="Y97" s="20"/>
      <c r="Z97" s="20"/>
      <c r="AA97" s="20"/>
      <c r="AB97" s="20"/>
      <c r="AC97" s="137"/>
      <c r="AD97" s="20"/>
      <c r="AE97" s="20"/>
    </row>
    <row r="98" spans="2:31">
      <c r="B98" s="20" t="s">
        <v>271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140">
        <f t="shared" si="195"/>
        <v>726.5062384067636</v>
      </c>
      <c r="S98" s="133">
        <f>PV($C$1, ($AB$3-$S$3), 0, -AB49)</f>
        <v>-107.89214850573248</v>
      </c>
      <c r="T98" s="133">
        <f>PV($C$1, ($AB$3-$S$3), 0, -$AE$49)</f>
        <v>834.39838691249611</v>
      </c>
      <c r="U98" s="20"/>
      <c r="V98" s="20"/>
      <c r="W98" s="20"/>
      <c r="X98" s="20"/>
      <c r="Y98" s="20"/>
      <c r="Z98" s="20"/>
      <c r="AA98" s="20"/>
      <c r="AB98" s="20"/>
      <c r="AC98" s="137"/>
      <c r="AD98" s="20"/>
      <c r="AE98" s="20"/>
    </row>
    <row r="99" spans="2:31">
      <c r="B99" s="20" t="s">
        <v>272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40">
        <f t="shared" si="195"/>
        <v>-2105.4606715911655</v>
      </c>
      <c r="S99" s="133">
        <f>PV($C$1, ($AB$3-$S$3), 0, -AB50)</f>
        <v>-241.99112013586694</v>
      </c>
      <c r="T99" s="133">
        <f>PV($C$1, ($AB$3-$S$3), 0, -$AE$50)</f>
        <v>-1863.4695514552986</v>
      </c>
      <c r="U99" s="20"/>
      <c r="V99" s="20"/>
      <c r="W99" s="20"/>
      <c r="X99" s="20"/>
      <c r="Y99" s="20"/>
      <c r="Z99" s="20"/>
      <c r="AA99" s="20"/>
      <c r="AB99" s="20"/>
      <c r="AC99" s="137"/>
      <c r="AD99" s="20"/>
      <c r="AE99" s="20"/>
    </row>
    <row r="100" spans="2:31">
      <c r="B100" s="20" t="s">
        <v>277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40">
        <f t="shared" si="195"/>
        <v>822.04254287253252</v>
      </c>
      <c r="S100" s="133">
        <f>PV($C$1, ($AB$3-$S$3), 0, -AB51)</f>
        <v>-131.60966729905269</v>
      </c>
      <c r="T100" s="133">
        <f>PV($C$1, ($AB$3-$S$3), 0, -$AE$51)</f>
        <v>953.65221017158524</v>
      </c>
      <c r="U100" s="20"/>
      <c r="V100" s="20"/>
      <c r="W100" s="20"/>
      <c r="X100" s="20"/>
      <c r="Y100" s="20"/>
      <c r="Z100" s="20"/>
      <c r="AA100" s="20"/>
      <c r="AB100" s="20"/>
      <c r="AC100" s="137"/>
      <c r="AD100" s="20"/>
      <c r="AE100" s="20"/>
    </row>
    <row r="101" spans="2:31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40"/>
      <c r="S101" s="133"/>
      <c r="T101" s="20"/>
      <c r="U101" s="20"/>
      <c r="V101" s="20"/>
      <c r="W101" s="20"/>
      <c r="X101" s="20"/>
      <c r="Y101" s="20"/>
      <c r="Z101" s="20"/>
      <c r="AA101" s="20"/>
      <c r="AB101" s="20"/>
      <c r="AC101" s="137"/>
      <c r="AD101" s="20"/>
      <c r="AE101" s="20"/>
    </row>
    <row r="102" spans="2:31">
      <c r="B102" s="20" t="s">
        <v>249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40">
        <f t="shared" si="195"/>
        <v>884.02271612844288</v>
      </c>
      <c r="S102" s="133">
        <f>PV($C$1, ($AB$3-$S$3), 0, -AB56)</f>
        <v>110.38145283681428</v>
      </c>
      <c r="T102" s="133">
        <f>PV($C$1, ($AB$3-$S$3), 0, -AE56)</f>
        <v>773.64126329162855</v>
      </c>
      <c r="U102" s="20"/>
      <c r="V102" s="20"/>
      <c r="W102" s="20"/>
      <c r="X102" s="20"/>
      <c r="Y102" s="20"/>
      <c r="Z102" s="20"/>
      <c r="AA102" s="20"/>
      <c r="AB102" s="20"/>
      <c r="AC102" s="137"/>
      <c r="AD102" s="20"/>
      <c r="AE102" s="20"/>
    </row>
    <row r="103" spans="2:31">
      <c r="B103" s="20" t="s">
        <v>250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140">
        <f t="shared" si="195"/>
        <v>135.73230060929069</v>
      </c>
      <c r="S103" s="133">
        <f>PV($C$1, ($AB$3-$S$3), 0, -AB57)</f>
        <v>-23.717518793320185</v>
      </c>
      <c r="T103" s="133">
        <f>PV($C$1, ($AB$3-$S$3), 0, -AE57)</f>
        <v>159.44981940261087</v>
      </c>
      <c r="U103" s="20"/>
      <c r="V103" s="20"/>
      <c r="W103" s="20"/>
      <c r="X103" s="20"/>
      <c r="Y103" s="20"/>
      <c r="Z103" s="20"/>
      <c r="AA103" s="20"/>
      <c r="AB103" s="20"/>
      <c r="AC103" s="137"/>
      <c r="AD103" s="20"/>
      <c r="AE103" s="20"/>
    </row>
    <row r="104" spans="2:31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140"/>
      <c r="S104" s="133"/>
      <c r="T104" s="133"/>
      <c r="U104" s="20"/>
      <c r="V104" s="20"/>
      <c r="W104" s="20"/>
      <c r="X104" s="20"/>
      <c r="Y104" s="20"/>
      <c r="Z104" s="20"/>
      <c r="AA104" s="20"/>
      <c r="AB104" s="20"/>
      <c r="AC104" s="137"/>
      <c r="AD104" s="20"/>
      <c r="AE104" s="20"/>
    </row>
    <row r="105" spans="2:31">
      <c r="B105" s="20" t="s">
        <v>294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140">
        <f t="shared" ref="R105" si="196">S105+T105</f>
        <v>30319.009021587677</v>
      </c>
      <c r="S105" s="133">
        <f>PV($C$1, ($AB$3-$S$3), 0, -AB12)</f>
        <v>3064.5559248077102</v>
      </c>
      <c r="T105" s="133">
        <f>PV($C$1, ($AB$3-$S$3), 0, -AE12)</f>
        <v>27254.453096779966</v>
      </c>
      <c r="U105" s="20"/>
      <c r="V105" s="20"/>
      <c r="W105" s="20"/>
      <c r="X105" s="20"/>
      <c r="Y105" s="20"/>
      <c r="Z105" s="20"/>
      <c r="AA105" s="20"/>
      <c r="AB105" s="20"/>
      <c r="AC105" s="137"/>
      <c r="AD105" s="20"/>
      <c r="AE105" s="20"/>
    </row>
    <row r="106" spans="2:31">
      <c r="B106" s="20" t="s">
        <v>295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140">
        <f>S106+T106</f>
        <v>275.67747791950967</v>
      </c>
      <c r="S106" s="140">
        <f>S105/P36</f>
        <v>27.864665619273595</v>
      </c>
      <c r="T106" s="140">
        <f>T105/P36</f>
        <v>247.81281230023609</v>
      </c>
      <c r="U106" s="20"/>
      <c r="V106" s="20"/>
      <c r="W106" s="20"/>
      <c r="X106" s="20"/>
      <c r="Y106" s="20"/>
      <c r="Z106" s="20"/>
      <c r="AA106" s="20"/>
      <c r="AB106" s="20"/>
      <c r="AC106" s="137"/>
      <c r="AD106" s="20"/>
      <c r="AE106" s="20"/>
    </row>
    <row r="107" spans="2:31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40"/>
      <c r="S107" s="140"/>
      <c r="T107" s="140"/>
      <c r="U107" s="20"/>
      <c r="V107" s="20"/>
      <c r="W107" s="20"/>
      <c r="X107" s="20"/>
      <c r="Y107" s="20"/>
      <c r="Z107" s="20"/>
      <c r="AA107" s="20"/>
      <c r="AB107" s="20"/>
      <c r="AC107" s="137"/>
      <c r="AD107" s="20"/>
      <c r="AE107" s="20"/>
    </row>
    <row r="108" spans="2:31">
      <c r="B108" s="108" t="s">
        <v>298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40"/>
      <c r="S108" s="133"/>
      <c r="T108" s="133"/>
      <c r="U108" s="20"/>
      <c r="V108" s="20"/>
      <c r="W108" s="20"/>
      <c r="X108" s="20"/>
      <c r="Y108" s="20"/>
      <c r="Z108" s="20"/>
      <c r="AA108" s="20"/>
      <c r="AB108" s="20"/>
      <c r="AC108" s="137"/>
      <c r="AD108" s="20"/>
      <c r="AE108" s="20"/>
    </row>
    <row r="109" spans="2:31">
      <c r="B109" s="20" t="s">
        <v>283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40" t="e">
        <f t="shared" ref="R109" si="197">S109+T109</f>
        <v>#DIV/0!</v>
      </c>
      <c r="S109" s="133">
        <f>PV($C$1, ($AB$3-$S$3), 0, -AB59)+PV($C$1, ($AA$3-$S$3), 0, -AB59)+PV($C$1, ($Z$3-$S$3), 0, -AB59)+PV($C$1, ($Y$3-$S$3), 0, -AB59)+PV($C$1, ($X$3-$S$3), 0, -AB59)+PV($C$1, ($W$3-$S$3), 0, -AB59)+PV($C$1, ($V$3-$S$3), 0, -AB59)+PV($C$1, ($U$3-$S$3), 0, -AB59)+PV($C$1, ($T$3-$S$3), 0, -AB59)+PV($C$1, ($S$3-$S$3), 0, -AB59)</f>
        <v>0</v>
      </c>
      <c r="T109" s="133" t="e">
        <f>PV($C$1, ($AB$3-$S$3), 0, -AE59)</f>
        <v>#DIV/0!</v>
      </c>
      <c r="U109" s="20"/>
      <c r="V109" s="20"/>
      <c r="W109" s="20"/>
      <c r="X109" s="20"/>
      <c r="Y109" s="20"/>
      <c r="Z109" s="20"/>
      <c r="AA109" s="20"/>
      <c r="AB109" s="20"/>
      <c r="AC109" s="137"/>
      <c r="AD109" s="20"/>
      <c r="AE109" s="20"/>
    </row>
    <row r="110" spans="2:31">
      <c r="B110" s="23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40"/>
      <c r="S110" s="133"/>
      <c r="T110" s="133"/>
      <c r="U110" s="20"/>
      <c r="V110" s="20"/>
      <c r="W110" s="20"/>
      <c r="X110" s="20"/>
      <c r="Y110" s="20"/>
      <c r="Z110" s="20"/>
      <c r="AA110" s="20"/>
      <c r="AB110" s="20"/>
      <c r="AC110" s="137"/>
      <c r="AD110" s="20"/>
      <c r="AE110" s="20"/>
    </row>
    <row r="111" spans="2:31">
      <c r="B111" s="20" t="s">
        <v>291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140" t="e">
        <f t="shared" si="195"/>
        <v>#DIV/0!</v>
      </c>
      <c r="S111" s="133">
        <f>PV($C$1, ($AB$3-$S$3), 0, -AB61)+PV($C$1, ($AA$3-$S$3), 0, -AB61)+PV($C$1, ($Z$3-$S$3), 0, -AB61)+PV($C$1, ($Y$3-$S$3), 0, -AB61)+PV($C$1, ($X$3-$S$3), 0, -AB61)+PV($C$1, ($W$3-$S$3), 0, -AB61)+PV($C$1, ($V$3-$S$3), 0, -AB61)+PV($C$1, ($U$3-$S$3), 0, -AB61)+PV($C$1, ($T$3-$S$3), 0, -AB61)+PV($C$1, ($S$3-$S$3), 0, -AB61)</f>
        <v>0</v>
      </c>
      <c r="T111" s="133" t="e">
        <f>PV($C$1, ($AB$3-$S$3), 0, -AE61)</f>
        <v>#DIV/0!</v>
      </c>
      <c r="U111" s="20"/>
      <c r="V111" s="20"/>
      <c r="W111" s="20"/>
      <c r="X111" s="20"/>
      <c r="Y111" s="20"/>
      <c r="Z111" s="20"/>
      <c r="AA111" s="20"/>
      <c r="AB111" s="20"/>
      <c r="AC111" s="137"/>
      <c r="AD111" s="20"/>
      <c r="AE111" s="20"/>
    </row>
    <row r="112" spans="2:31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140"/>
      <c r="S112" s="133"/>
      <c r="T112" s="133"/>
      <c r="U112" s="20"/>
      <c r="V112" s="20"/>
      <c r="W112" s="20"/>
      <c r="X112" s="20"/>
      <c r="Y112" s="20"/>
      <c r="Z112" s="20"/>
      <c r="AA112" s="20"/>
      <c r="AB112" s="20"/>
      <c r="AC112" s="137"/>
      <c r="AD112" s="20"/>
      <c r="AE112" s="20"/>
    </row>
    <row r="113" spans="2:31">
      <c r="B113" s="20" t="s">
        <v>287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140" t="e">
        <f t="shared" ref="R113:R116" si="198">S113+T113</f>
        <v>#DIV/0!</v>
      </c>
      <c r="S113" s="133">
        <f>PV($C$1, ($AB$3-$S$3), 0, -AB63)+PV($C$1, ($AA$3-$S$3), 0, -AB63)+PV($C$1, ($Z$3-$S$3), 0, -AB63)+PV($C$1, ($Y$3-$S$3), 0, -AB63)+PV($C$1, ($X$3-$S$3), 0, -AB63)+PV($C$1, ($W$3-$S$3), 0, -AB63)+PV($C$1, ($V$3-$S$3), 0, -AB63)+PV($C$1, ($U$3-$S$3), 0, -AB63)+PV($C$1, ($T$3-$S$3), 0, -AB63)+PV($C$1, ($S$3-$S$3), 0, -AB63)</f>
        <v>0</v>
      </c>
      <c r="T113" s="133" t="e">
        <f>PV($C$1, ($AB$3-$S$3), 0, -AE63)</f>
        <v>#DIV/0!</v>
      </c>
      <c r="U113" s="20"/>
      <c r="V113" s="20"/>
      <c r="W113" s="20"/>
      <c r="X113" s="20"/>
      <c r="Y113" s="20"/>
      <c r="Z113" s="20"/>
      <c r="AA113" s="20"/>
      <c r="AB113" s="20"/>
      <c r="AC113" s="137"/>
      <c r="AD113" s="20"/>
      <c r="AE113" s="20"/>
    </row>
    <row r="114" spans="2:31">
      <c r="B114" s="20" t="s">
        <v>288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140" t="e">
        <f t="shared" si="198"/>
        <v>#DIV/0!</v>
      </c>
      <c r="S114" s="133">
        <f>PV($C$1, ($AB$3-$S$3), 0, -AB64)+PV($C$1, ($AA$3-$S$3), 0, -AB64)+PV($C$1, ($Z$3-$S$3), 0, -AB64)+PV($C$1, ($Y$3-$S$3), 0, -AB64)+PV($C$1, ($X$3-$S$3), 0, -AB64)+PV($C$1, ($W$3-$S$3), 0, -AB64)+PV($C$1, ($V$3-$S$3), 0, -AB64)+PV($C$1, ($U$3-$S$3), 0, -AB64)+PV($C$1, ($T$3-$S$3), 0, -AB64)+PV($C$1, ($S$3-$S$3), 0, -AB64)</f>
        <v>0</v>
      </c>
      <c r="T114" s="133" t="e">
        <f>PV($C$1, ($AB$3-$S$3), 0, -AE64)</f>
        <v>#DIV/0!</v>
      </c>
      <c r="U114" s="20"/>
      <c r="V114" s="20"/>
      <c r="W114" s="20"/>
      <c r="X114" s="20"/>
      <c r="Y114" s="20"/>
      <c r="Z114" s="20"/>
      <c r="AA114" s="20"/>
      <c r="AB114" s="20"/>
      <c r="AC114" s="137"/>
      <c r="AD114" s="20"/>
      <c r="AE114" s="20"/>
    </row>
    <row r="115" spans="2:31">
      <c r="B115" s="20" t="s">
        <v>289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140" t="e">
        <f t="shared" si="198"/>
        <v>#DIV/0!</v>
      </c>
      <c r="S115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0</v>
      </c>
      <c r="T115" s="133" t="e">
        <f>PV($C$1, ($AB$3-$S$3), 0, -AE65)</f>
        <v>#DIV/0!</v>
      </c>
      <c r="U115" s="20"/>
      <c r="V115" s="20"/>
      <c r="W115" s="20"/>
      <c r="X115" s="20"/>
      <c r="Y115" s="20"/>
      <c r="Z115" s="20"/>
      <c r="AA115" s="20"/>
      <c r="AB115" s="20"/>
      <c r="AC115" s="137"/>
      <c r="AD115" s="20"/>
      <c r="AE115" s="20"/>
    </row>
    <row r="116" spans="2:31">
      <c r="B116" s="20" t="s">
        <v>290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140" t="e">
        <f t="shared" si="198"/>
        <v>#DIV/0!</v>
      </c>
      <c r="S116" s="133">
        <f>PV($C$1, ($AB$3-$S$3), 0, -AB66)+PV($C$1, ($AA$3-$S$3), 0, -AB66)+PV($C$1, ($Z$3-$S$3), 0, -AB66)+PV($C$1, ($Y$3-$S$3), 0, -AB66)+PV($C$1, ($X$3-$S$3), 0, -AB66)+PV($C$1, ($W$3-$S$3), 0, -AB66)+PV($C$1, ($V$3-$S$3), 0, -AB66)+PV($C$1, ($U$3-$S$3), 0, -AB66)+PV($C$1, ($T$3-$S$3), 0, -AB66)+PV($C$1, ($S$3-$S$3), 0, -AB66)</f>
        <v>0</v>
      </c>
      <c r="T116" s="133" t="e">
        <f>PV($C$1, ($AB$3-$S$3), 0, -AE66)</f>
        <v>#DIV/0!</v>
      </c>
      <c r="U116" s="20"/>
      <c r="V116" s="20"/>
      <c r="W116" s="20"/>
      <c r="X116" s="20"/>
      <c r="Y116" s="20"/>
      <c r="Z116" s="20"/>
      <c r="AA116" s="20"/>
      <c r="AB116" s="20"/>
      <c r="AC116" s="137"/>
      <c r="AD116" s="20"/>
      <c r="AE116" s="20"/>
    </row>
    <row r="117" spans="2:31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140"/>
      <c r="S117" s="133"/>
      <c r="T117" s="133"/>
      <c r="U117" s="20"/>
      <c r="V117" s="20"/>
      <c r="W117" s="20"/>
      <c r="X117" s="20"/>
      <c r="Y117" s="20"/>
      <c r="Z117" s="20"/>
      <c r="AA117" s="20"/>
      <c r="AB117" s="20"/>
      <c r="AC117" s="137"/>
      <c r="AD117" s="20"/>
      <c r="AE117" s="20"/>
    </row>
    <row r="118" spans="2:31">
      <c r="B118" s="20" t="s">
        <v>299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140" t="e">
        <f>S118+T118</f>
        <v>#DIV/0!</v>
      </c>
      <c r="S118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0</v>
      </c>
      <c r="T118" s="133" t="e">
        <f>PV($C$1, ($AB$3-$S$3), 0, -AE67)</f>
        <v>#DIV/0!</v>
      </c>
      <c r="U118" s="20"/>
      <c r="V118" s="20"/>
      <c r="W118" s="20"/>
      <c r="X118" s="20"/>
      <c r="Y118" s="20"/>
      <c r="Z118" s="20"/>
      <c r="AA118" s="20"/>
      <c r="AB118" s="20"/>
      <c r="AC118" s="137"/>
      <c r="AD118" s="20"/>
      <c r="AE118" s="20"/>
    </row>
    <row r="119" spans="2:31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121"/>
      <c r="T119" s="20"/>
      <c r="U119" s="20"/>
      <c r="V119" s="20"/>
      <c r="W119" s="20"/>
      <c r="X119" s="20"/>
      <c r="Y119" s="20"/>
      <c r="Z119" s="20"/>
      <c r="AA119" s="20"/>
      <c r="AB119" s="20"/>
      <c r="AC119" s="137"/>
      <c r="AD119" s="20"/>
      <c r="AE119" s="20"/>
    </row>
    <row r="120" spans="2:31">
      <c r="B120" s="108" t="s">
        <v>251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137"/>
      <c r="AD120" s="20"/>
      <c r="AE120" s="20"/>
    </row>
    <row r="121" spans="2:31">
      <c r="B121" s="20" t="s">
        <v>204</v>
      </c>
      <c r="C121" s="22">
        <v>14</v>
      </c>
      <c r="D121" s="22">
        <v>14</v>
      </c>
      <c r="E121" s="22">
        <v>14</v>
      </c>
      <c r="F121" s="22">
        <v>14</v>
      </c>
      <c r="G121" s="22">
        <v>14</v>
      </c>
      <c r="H121" s="22">
        <v>14250</v>
      </c>
      <c r="I121" s="22">
        <v>14</v>
      </c>
      <c r="J121" s="22">
        <v>14</v>
      </c>
      <c r="K121" s="22">
        <v>14</v>
      </c>
      <c r="L121" s="22">
        <v>14</v>
      </c>
      <c r="M121" s="22">
        <v>112</v>
      </c>
      <c r="N121" s="22">
        <v>112</v>
      </c>
      <c r="O121" s="22">
        <v>112</v>
      </c>
      <c r="P121" s="22">
        <v>117</v>
      </c>
      <c r="Q121" s="118">
        <f t="shared" ref="Q121:Q125" si="199">((P121/G121)^(1/($H$2-$H$1) ))-1</f>
        <v>0.26605003495235557</v>
      </c>
      <c r="R121" s="31">
        <v>0.1</v>
      </c>
      <c r="S121" s="119">
        <f t="shared" ref="S121" si="200">P121*(1+$R121)</f>
        <v>128.70000000000002</v>
      </c>
      <c r="T121" s="119">
        <f t="shared" ref="T121:AB121" si="201">S121*(1+$R121)</f>
        <v>141.57000000000002</v>
      </c>
      <c r="U121" s="119">
        <f t="shared" si="201"/>
        <v>155.72700000000003</v>
      </c>
      <c r="V121" s="119">
        <f t="shared" si="201"/>
        <v>171.29970000000006</v>
      </c>
      <c r="W121" s="119">
        <f t="shared" si="201"/>
        <v>188.42967000000007</v>
      </c>
      <c r="X121" s="119">
        <f t="shared" si="201"/>
        <v>207.27263700000009</v>
      </c>
      <c r="Y121" s="119">
        <f t="shared" si="201"/>
        <v>227.99990070000013</v>
      </c>
      <c r="Z121" s="119">
        <f t="shared" si="201"/>
        <v>250.79989077000016</v>
      </c>
      <c r="AA121" s="119">
        <f t="shared" si="201"/>
        <v>275.87987984700021</v>
      </c>
      <c r="AB121" s="119">
        <f t="shared" si="201"/>
        <v>303.46786783170023</v>
      </c>
      <c r="AC121" s="138">
        <f t="shared" ref="AC121:AC125" si="202">((AB121/G121)^(1/($AB$3-$H$1) ))-1</f>
        <v>0.17574998813163067</v>
      </c>
      <c r="AD121" s="31">
        <v>0.08</v>
      </c>
      <c r="AE121" s="127">
        <f t="shared" ref="AE121:AE126" si="203">(AB121*(1+AC121))/($C$1-AD121)</f>
        <v>2548.5881571532341</v>
      </c>
    </row>
    <row r="122" spans="2:31">
      <c r="B122" s="20" t="s">
        <v>42</v>
      </c>
      <c r="C122" s="25" t="e">
        <f t="shared" ref="C122:P122" si="204">C121/C44</f>
        <v>#DIV/0!</v>
      </c>
      <c r="D122" s="25" t="e">
        <f t="shared" si="204"/>
        <v>#DIV/0!</v>
      </c>
      <c r="E122" s="25" t="e">
        <f t="shared" si="204"/>
        <v>#DIV/0!</v>
      </c>
      <c r="F122" s="25" t="e">
        <f t="shared" si="204"/>
        <v>#DIV/0!</v>
      </c>
      <c r="G122" s="25">
        <f t="shared" si="204"/>
        <v>0.22</v>
      </c>
      <c r="H122" s="25">
        <f t="shared" si="204"/>
        <v>2633.9139344262294</v>
      </c>
      <c r="I122" s="25">
        <f t="shared" si="204"/>
        <v>2.3447407407407406</v>
      </c>
      <c r="J122" s="25">
        <f t="shared" si="204"/>
        <v>1.9489265536723164</v>
      </c>
      <c r="K122" s="25">
        <f t="shared" si="204"/>
        <v>0.91744680851063831</v>
      </c>
      <c r="L122" s="25">
        <f t="shared" si="204"/>
        <v>0.6836435643564357</v>
      </c>
      <c r="M122" s="25">
        <f t="shared" si="204"/>
        <v>5.7323741007194249</v>
      </c>
      <c r="N122" s="25">
        <f t="shared" si="204"/>
        <v>4.3602690265486723</v>
      </c>
      <c r="O122" s="25">
        <f t="shared" si="204"/>
        <v>6.09790099009901</v>
      </c>
      <c r="P122" s="25">
        <f t="shared" si="204"/>
        <v>10.568659499149918</v>
      </c>
      <c r="Q122" s="118">
        <f t="shared" si="199"/>
        <v>0.53760271131942927</v>
      </c>
      <c r="R122" s="128"/>
      <c r="S122" s="119">
        <f t="shared" ref="S122:AB122" si="205">S121/S44</f>
        <v>10.56865949914992</v>
      </c>
      <c r="T122" s="119">
        <f t="shared" si="205"/>
        <v>10.56865949914992</v>
      </c>
      <c r="U122" s="119">
        <f t="shared" si="205"/>
        <v>10.56865949914992</v>
      </c>
      <c r="V122" s="119">
        <f t="shared" si="205"/>
        <v>10.56865949914992</v>
      </c>
      <c r="W122" s="119">
        <f t="shared" si="205"/>
        <v>10.568659499149922</v>
      </c>
      <c r="X122" s="119">
        <f t="shared" si="205"/>
        <v>10.56865949914992</v>
      </c>
      <c r="Y122" s="119">
        <f t="shared" si="205"/>
        <v>10.56865949914992</v>
      </c>
      <c r="Z122" s="119">
        <f t="shared" si="205"/>
        <v>10.56865949914992</v>
      </c>
      <c r="AA122" s="119">
        <f t="shared" si="205"/>
        <v>10.568659499149922</v>
      </c>
      <c r="AB122" s="119">
        <f t="shared" si="205"/>
        <v>10.56865949914992</v>
      </c>
      <c r="AC122" s="138">
        <f t="shared" si="202"/>
        <v>0.22604134854293068</v>
      </c>
      <c r="AD122" s="31">
        <v>0.08</v>
      </c>
      <c r="AE122" s="127">
        <f t="shared" si="203"/>
        <v>92.554382461634432</v>
      </c>
    </row>
    <row r="123" spans="2:31">
      <c r="B123" s="20" t="s">
        <v>259</v>
      </c>
      <c r="C123" s="25" t="e">
        <f t="shared" ref="C123:P123" si="206">C121/C46</f>
        <v>#DIV/0!</v>
      </c>
      <c r="D123" s="25" t="e">
        <f t="shared" si="206"/>
        <v>#DIV/0!</v>
      </c>
      <c r="E123" s="25" t="e">
        <f t="shared" si="206"/>
        <v>#DIV/0!</v>
      </c>
      <c r="F123" s="25" t="e">
        <f t="shared" si="206"/>
        <v>#DIV/0!</v>
      </c>
      <c r="G123" s="25">
        <f t="shared" si="206"/>
        <v>4.652567975830816E-2</v>
      </c>
      <c r="H123" s="25">
        <f t="shared" si="206"/>
        <v>446.30208333333331</v>
      </c>
      <c r="I123" s="25">
        <f t="shared" si="206"/>
        <v>0.38137349397590359</v>
      </c>
      <c r="J123" s="25">
        <f t="shared" si="206"/>
        <v>0.30635879218472467</v>
      </c>
      <c r="K123" s="25">
        <f t="shared" si="206"/>
        <v>0.16489483747609945</v>
      </c>
      <c r="L123" s="25">
        <f t="shared" si="206"/>
        <v>0.11531062124248496</v>
      </c>
      <c r="M123" s="25">
        <f t="shared" si="206"/>
        <v>0.93146292585170332</v>
      </c>
      <c r="N123" s="25">
        <f t="shared" si="206"/>
        <v>0.70775453918639397</v>
      </c>
      <c r="O123" s="25">
        <f t="shared" si="206"/>
        <v>0.63608365608055772</v>
      </c>
      <c r="P123" s="25">
        <f t="shared" si="206"/>
        <v>0.60275716694772341</v>
      </c>
      <c r="Q123" s="118">
        <f t="shared" si="199"/>
        <v>0.3292464750936559</v>
      </c>
      <c r="R123" s="128"/>
      <c r="S123" s="119">
        <f t="shared" ref="S123:AB123" si="207">S121/S46</f>
        <v>0.60275716694772341</v>
      </c>
      <c r="T123" s="119">
        <f t="shared" si="207"/>
        <v>0.60275716694772341</v>
      </c>
      <c r="U123" s="119">
        <f t="shared" si="207"/>
        <v>0.60275716694772341</v>
      </c>
      <c r="V123" s="119">
        <f t="shared" si="207"/>
        <v>0.60275716694772341</v>
      </c>
      <c r="W123" s="119">
        <f t="shared" si="207"/>
        <v>0.60275716694772341</v>
      </c>
      <c r="X123" s="119">
        <f t="shared" si="207"/>
        <v>0.6027571669477233</v>
      </c>
      <c r="Y123" s="119">
        <f t="shared" si="207"/>
        <v>0.60275716694772341</v>
      </c>
      <c r="Z123" s="119">
        <f t="shared" si="207"/>
        <v>0.60275716694772341</v>
      </c>
      <c r="AA123" s="119">
        <f t="shared" si="207"/>
        <v>0.60275716694772341</v>
      </c>
      <c r="AB123" s="119">
        <f t="shared" si="207"/>
        <v>0.6027571669477233</v>
      </c>
      <c r="AC123" s="138">
        <f t="shared" si="202"/>
        <v>0.14432656998433724</v>
      </c>
      <c r="AD123" s="31">
        <v>0.08</v>
      </c>
      <c r="AE123" s="127">
        <f t="shared" si="203"/>
        <v>4.9267931527626043</v>
      </c>
    </row>
    <row r="124" spans="2:31">
      <c r="B124" s="20" t="s">
        <v>260</v>
      </c>
      <c r="C124" s="25" t="e">
        <f t="shared" ref="C124:P124" si="208">C121/C55</f>
        <v>#DIV/0!</v>
      </c>
      <c r="D124" s="25" t="e">
        <f t="shared" si="208"/>
        <v>#DIV/0!</v>
      </c>
      <c r="E124" s="25" t="e">
        <f t="shared" si="208"/>
        <v>#DIV/0!</v>
      </c>
      <c r="F124" s="25" t="e">
        <f t="shared" si="208"/>
        <v>#DIV/0!</v>
      </c>
      <c r="G124" s="25">
        <f t="shared" si="208"/>
        <v>0.10198675496688743</v>
      </c>
      <c r="H124" s="25">
        <f t="shared" si="208"/>
        <v>600.63084112149534</v>
      </c>
      <c r="I124" s="25">
        <f t="shared" si="208"/>
        <v>0.41323759791122711</v>
      </c>
      <c r="J124" s="25">
        <f t="shared" si="208"/>
        <v>0.2169559748427673</v>
      </c>
      <c r="K124" s="25">
        <f t="shared" si="208"/>
        <v>0.17501775748351092</v>
      </c>
      <c r="L124" s="25">
        <f t="shared" si="208"/>
        <v>0.12199293286219083</v>
      </c>
      <c r="M124" s="25">
        <f t="shared" si="208"/>
        <v>1.589512681675691</v>
      </c>
      <c r="N124" s="25">
        <f t="shared" si="208"/>
        <v>4.6099401197604788</v>
      </c>
      <c r="O124" s="25">
        <f t="shared" si="208"/>
        <v>1.6551679656006451</v>
      </c>
      <c r="P124" s="25">
        <f t="shared" si="208"/>
        <v>1.7988726692184458</v>
      </c>
      <c r="Q124" s="118">
        <f t="shared" si="199"/>
        <v>0.37560955357983472</v>
      </c>
      <c r="R124" s="128"/>
      <c r="S124" s="119">
        <f t="shared" ref="S124:AB124" si="209">S121/S55</f>
        <v>1.7988726692184458</v>
      </c>
      <c r="T124" s="119">
        <f t="shared" si="209"/>
        <v>1.7988726692184456</v>
      </c>
      <c r="U124" s="119">
        <f t="shared" si="209"/>
        <v>1.7988726692184456</v>
      </c>
      <c r="V124" s="119">
        <f t="shared" si="209"/>
        <v>1.7988726692184456</v>
      </c>
      <c r="W124" s="119">
        <f t="shared" si="209"/>
        <v>1.7988726692184458</v>
      </c>
      <c r="X124" s="119">
        <f t="shared" si="209"/>
        <v>1.7988726692184456</v>
      </c>
      <c r="Y124" s="119">
        <f t="shared" si="209"/>
        <v>1.7988726692184458</v>
      </c>
      <c r="Z124" s="119">
        <f t="shared" si="209"/>
        <v>1.7988726692184458</v>
      </c>
      <c r="AA124" s="119">
        <f t="shared" si="209"/>
        <v>1.798872669218446</v>
      </c>
      <c r="AB124" s="119">
        <f t="shared" si="209"/>
        <v>1.7988726692184458</v>
      </c>
      <c r="AC124" s="138">
        <f t="shared" si="202"/>
        <v>0.16306230810984679</v>
      </c>
      <c r="AD124" s="31">
        <v>0.08</v>
      </c>
      <c r="AE124" s="127">
        <f t="shared" si="203"/>
        <v>14.944292847549473</v>
      </c>
    </row>
    <row r="125" spans="2:31">
      <c r="B125" s="20" t="s">
        <v>261</v>
      </c>
      <c r="C125" s="25" t="e">
        <f t="shared" ref="C125:P125" si="210">C121/C57</f>
        <v>#DIV/0!</v>
      </c>
      <c r="D125" s="25" t="e">
        <f t="shared" si="210"/>
        <v>#DIV/0!</v>
      </c>
      <c r="E125" s="25" t="e">
        <f t="shared" si="210"/>
        <v>#DIV/0!</v>
      </c>
      <c r="F125" s="25" t="e">
        <f t="shared" si="210"/>
        <v>#DIV/0!</v>
      </c>
      <c r="G125" s="25">
        <f t="shared" si="210"/>
        <v>3.1174089068825912E-2</v>
      </c>
      <c r="H125" s="25">
        <f t="shared" si="210"/>
        <v>51.628775706940878</v>
      </c>
      <c r="I125" s="25">
        <f t="shared" si="210"/>
        <v>0.16141764405915349</v>
      </c>
      <c r="J125" s="25">
        <f t="shared" si="210"/>
        <v>8.4569747487129199E-2</v>
      </c>
      <c r="K125" s="25">
        <f t="shared" si="210"/>
        <v>8.0919540229885067E-2</v>
      </c>
      <c r="L125" s="25">
        <f t="shared" si="210"/>
        <v>5.7790425175761634E-2</v>
      </c>
      <c r="M125" s="25">
        <f t="shared" si="210"/>
        <v>0.88225245175577349</v>
      </c>
      <c r="N125" s="25">
        <f t="shared" si="210"/>
        <v>1.9790745501285347</v>
      </c>
      <c r="O125" s="25">
        <f t="shared" si="210"/>
        <v>0.87143685886098343</v>
      </c>
      <c r="P125" s="25">
        <f t="shared" si="210"/>
        <v>-2.1370022719119919</v>
      </c>
      <c r="Q125" s="118">
        <f t="shared" si="199"/>
        <v>-2.5995626169533135</v>
      </c>
      <c r="R125" s="128"/>
      <c r="S125" s="119">
        <f t="shared" ref="S125:AB125" si="211">S121/S57</f>
        <v>-2.1370022719119919</v>
      </c>
      <c r="T125" s="119">
        <f t="shared" si="211"/>
        <v>-2.1370022719119919</v>
      </c>
      <c r="U125" s="119">
        <f t="shared" si="211"/>
        <v>-2.1370022719119919</v>
      </c>
      <c r="V125" s="119">
        <f t="shared" si="211"/>
        <v>-2.1370022719119919</v>
      </c>
      <c r="W125" s="119">
        <f t="shared" si="211"/>
        <v>-2.1370022719119914</v>
      </c>
      <c r="X125" s="119">
        <f t="shared" si="211"/>
        <v>-2.137002271911991</v>
      </c>
      <c r="Y125" s="119">
        <f t="shared" si="211"/>
        <v>-2.1370022719119914</v>
      </c>
      <c r="Z125" s="119">
        <f t="shared" si="211"/>
        <v>-2.137002271911991</v>
      </c>
      <c r="AA125" s="119">
        <f t="shared" si="211"/>
        <v>-2.1370022719119914</v>
      </c>
      <c r="AB125" s="119">
        <f t="shared" si="211"/>
        <v>-2.137002271911991</v>
      </c>
      <c r="AC125" s="138">
        <f t="shared" si="202"/>
        <v>-2.2492005565599693</v>
      </c>
      <c r="AD125" s="31">
        <v>0.08</v>
      </c>
      <c r="AE125" s="127">
        <f t="shared" si="203"/>
        <v>19.068174481731269</v>
      </c>
    </row>
    <row r="126" spans="2:31">
      <c r="B126" s="20" t="s">
        <v>282</v>
      </c>
      <c r="C126" s="25" t="e">
        <f>C122/C79</f>
        <v>#DIV/0!</v>
      </c>
      <c r="D126" s="25" t="e">
        <f>D122/D79</f>
        <v>#DIV/0!</v>
      </c>
      <c r="E126" s="25" t="e">
        <f>E122/E79</f>
        <v>#DIV/0!</v>
      </c>
      <c r="F126" s="25" t="e">
        <f>F122/F79</f>
        <v>#DIV/0!</v>
      </c>
      <c r="G126" s="25">
        <f t="shared" ref="G126:P126" si="212">G121/G51</f>
        <v>2.3333333333333334E-2</v>
      </c>
      <c r="H126" s="25">
        <f t="shared" si="212"/>
        <v>221.00240715268225</v>
      </c>
      <c r="I126" s="25">
        <f t="shared" si="212"/>
        <v>0.20554545454545453</v>
      </c>
      <c r="J126" s="25">
        <f t="shared" si="212"/>
        <v>0.33042145593869732</v>
      </c>
      <c r="K126" s="25">
        <f t="shared" si="212"/>
        <v>0.82923076923076922</v>
      </c>
      <c r="L126" s="25">
        <f t="shared" si="212"/>
        <v>-0.13141987057480015</v>
      </c>
      <c r="M126" s="25">
        <f t="shared" si="212"/>
        <v>-1.3560904449307076</v>
      </c>
      <c r="N126" s="25">
        <f t="shared" si="212"/>
        <v>-1.6961938859818233</v>
      </c>
      <c r="O126" s="25">
        <f t="shared" si="212"/>
        <v>-0.42458929371617665</v>
      </c>
      <c r="P126" s="25">
        <f t="shared" si="212"/>
        <v>-0.38511146320484174</v>
      </c>
      <c r="Q126" s="118">
        <f t="shared" ref="Q126" si="213">((P126/G126)^(1/($H$2-$H$1) ))-1</f>
        <v>-2.3654945222983867</v>
      </c>
      <c r="R126" s="128"/>
      <c r="S126" s="135">
        <f t="shared" ref="S126:AB126" si="214">S121/S51</f>
        <v>-0.38511146320484174</v>
      </c>
      <c r="T126" s="135">
        <f t="shared" si="214"/>
        <v>-0.38511146320484174</v>
      </c>
      <c r="U126" s="135">
        <f t="shared" si="214"/>
        <v>-0.38511146320484169</v>
      </c>
      <c r="V126" s="135">
        <f t="shared" si="214"/>
        <v>-0.38511146320484158</v>
      </c>
      <c r="W126" s="135">
        <f t="shared" si="214"/>
        <v>-0.38511146320484169</v>
      </c>
      <c r="X126" s="135">
        <f t="shared" si="214"/>
        <v>-0.38511146320484169</v>
      </c>
      <c r="Y126" s="135">
        <f t="shared" si="214"/>
        <v>-0.3851114632048418</v>
      </c>
      <c r="Z126" s="135">
        <f t="shared" si="214"/>
        <v>-0.38511146320484174</v>
      </c>
      <c r="AA126" s="135">
        <f t="shared" si="214"/>
        <v>-0.38511146320484174</v>
      </c>
      <c r="AB126" s="135">
        <f t="shared" si="214"/>
        <v>-0.38511146320484169</v>
      </c>
      <c r="AC126" s="138">
        <f t="shared" ref="AC126" si="215">((AB126/G126)^(1/($AB$3-$H$1) ))-1</f>
        <v>-2.1590034239977838</v>
      </c>
      <c r="AD126" s="31">
        <v>0.08</v>
      </c>
      <c r="AE126" s="127">
        <f t="shared" si="203"/>
        <v>3.1881821748229142</v>
      </c>
    </row>
    <row r="127" spans="2:31">
      <c r="B127" s="20"/>
      <c r="C127" s="129"/>
      <c r="D127" s="129"/>
      <c r="E127" s="129"/>
      <c r="F127" s="129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28"/>
      <c r="R127" s="128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  <c r="AC127" s="137"/>
      <c r="AD127" s="20"/>
      <c r="AE127" s="127"/>
    </row>
    <row r="128" spans="2:31">
      <c r="B128" s="108" t="s">
        <v>304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>
      <c r="B129" s="20" t="s">
        <v>301</v>
      </c>
      <c r="C129" s="20" t="s">
        <v>319</v>
      </c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128" t="e">
        <f>(P121-R109)/P121</f>
        <v>#DIV/0!</v>
      </c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>
      <c r="B130" s="20" t="s">
        <v>302</v>
      </c>
      <c r="C130" s="20" t="s">
        <v>319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128">
        <f>(P121-R100)/P121</f>
        <v>-6.0260046399361755</v>
      </c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>
      <c r="B131" s="20" t="s">
        <v>303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5">
        <f>P121/R92</f>
        <v>3.107917640262591</v>
      </c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137"/>
      <c r="AD131" s="20"/>
      <c r="AE131" s="20"/>
    </row>
    <row r="132" spans="2:31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</row>
    <row r="133" spans="2:31">
      <c r="B133" s="108" t="s">
        <v>305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</row>
    <row r="134" spans="2:31">
      <c r="B134" s="20" t="s">
        <v>308</v>
      </c>
      <c r="C134" s="25" t="e">
        <f>C10/C7</f>
        <v>#DIV/0!</v>
      </c>
      <c r="D134" s="25" t="e">
        <f>D10/D7</f>
        <v>#DIV/0!</v>
      </c>
      <c r="E134" s="25" t="e">
        <f>E10/E7</f>
        <v>#DIV/0!</v>
      </c>
      <c r="F134" s="25" t="e">
        <f>F10/F7</f>
        <v>#DIV/0!</v>
      </c>
      <c r="G134" s="25">
        <f>G10/G7</f>
        <v>0.55014326647564471</v>
      </c>
      <c r="H134" s="25">
        <f t="shared" ref="H134:P134" si="216">H10/H7</f>
        <v>1.1359353970390309</v>
      </c>
      <c r="I134" s="25">
        <f t="shared" si="216"/>
        <v>1.5838218053927315</v>
      </c>
      <c r="J134" s="25">
        <f t="shared" si="216"/>
        <v>3.7295652173913045</v>
      </c>
      <c r="K134" s="25">
        <f t="shared" si="216"/>
        <v>2.8936470588235292</v>
      </c>
      <c r="L134" s="25">
        <f t="shared" si="216"/>
        <v>3.9300861497680581</v>
      </c>
      <c r="M134" s="25">
        <f t="shared" si="216"/>
        <v>2.7803908578999668</v>
      </c>
      <c r="N134" s="25">
        <f t="shared" si="216"/>
        <v>1.8036998972250771</v>
      </c>
      <c r="O134" s="25">
        <f t="shared" si="216"/>
        <v>3.2662387676508344</v>
      </c>
      <c r="P134" s="25">
        <f t="shared" si="216"/>
        <v>2.2764769808338272</v>
      </c>
      <c r="Q134" s="118">
        <f t="shared" ref="Q134:Q136" si="217">((P134/G134)^(1/($H$2-$H$1) ))-1</f>
        <v>0.17093271532699483</v>
      </c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</row>
    <row r="135" spans="2:31">
      <c r="B135" s="20" t="s">
        <v>309</v>
      </c>
      <c r="C135" s="112" t="e">
        <f>C10/C12</f>
        <v>#DIV/0!</v>
      </c>
      <c r="D135" s="112" t="e">
        <f>D10/D12</f>
        <v>#DIV/0!</v>
      </c>
      <c r="E135" s="112" t="e">
        <f>E10/E12</f>
        <v>#DIV/0!</v>
      </c>
      <c r="F135" s="112" t="e">
        <f>F10/F12</f>
        <v>#DIV/0!</v>
      </c>
      <c r="G135" s="112">
        <f>G10/G12</f>
        <v>1.3473684210526315</v>
      </c>
      <c r="H135" s="112">
        <f t="shared" ref="H135:P135" si="218">H10/H12</f>
        <v>1.6076190476190477</v>
      </c>
      <c r="I135" s="112">
        <f t="shared" si="218"/>
        <v>1.93</v>
      </c>
      <c r="J135" s="112">
        <f t="shared" si="218"/>
        <v>2.7179974651457539</v>
      </c>
      <c r="K135" s="112">
        <f t="shared" si="218"/>
        <v>3.7448233861144944</v>
      </c>
      <c r="L135" s="112">
        <f t="shared" si="218"/>
        <v>4.9836134453781513</v>
      </c>
      <c r="M135" s="112">
        <f t="shared" si="218"/>
        <v>5.9743772241992881</v>
      </c>
      <c r="N135" s="112">
        <f t="shared" si="218"/>
        <v>13.442553191489361</v>
      </c>
      <c r="O135" s="112">
        <f t="shared" si="218"/>
        <v>9.2188405797101449</v>
      </c>
      <c r="P135" s="112">
        <f t="shared" si="218"/>
        <v>6.9053593111900522</v>
      </c>
      <c r="Q135" s="118">
        <f t="shared" si="217"/>
        <v>0.19910039582791472</v>
      </c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</row>
    <row r="136" spans="2:31">
      <c r="B136" s="20" t="s">
        <v>310</v>
      </c>
      <c r="C136" s="25" t="e">
        <f>C10/(C12+C13)</f>
        <v>#DIV/0!</v>
      </c>
      <c r="D136" s="25" t="e">
        <f>D10/(D12+D13)</f>
        <v>#DIV/0!</v>
      </c>
      <c r="E136" s="25" t="e">
        <f>E10/(E12+E13)</f>
        <v>#DIV/0!</v>
      </c>
      <c r="F136" s="25" t="e">
        <f>F10/(F12+F13)</f>
        <v>#DIV/0!</v>
      </c>
      <c r="G136" s="25">
        <f>G10/(G12+G13)</f>
        <v>1.2715231788079471</v>
      </c>
      <c r="H136" s="25">
        <f t="shared" ref="H136:P136" si="219">H10/(H12+H13)</f>
        <v>1.577570093457944</v>
      </c>
      <c r="I136" s="25">
        <f t="shared" si="219"/>
        <v>1.7637075718015667</v>
      </c>
      <c r="J136" s="25">
        <f t="shared" si="219"/>
        <v>2.6974842767295599</v>
      </c>
      <c r="K136" s="25">
        <f t="shared" si="219"/>
        <v>3.1197361745306953</v>
      </c>
      <c r="L136" s="25">
        <f t="shared" si="219"/>
        <v>4.191166077738516</v>
      </c>
      <c r="M136" s="25">
        <f t="shared" si="219"/>
        <v>4.7842690225135369</v>
      </c>
      <c r="N136" s="25">
        <f t="shared" si="219"/>
        <v>11.822604790419161</v>
      </c>
      <c r="O136" s="25">
        <f t="shared" si="219"/>
        <v>8.547433485622145</v>
      </c>
      <c r="P136" s="25">
        <f t="shared" si="219"/>
        <v>6.8291445203392058</v>
      </c>
      <c r="Q136" s="118">
        <f t="shared" si="217"/>
        <v>0.20535723834692687</v>
      </c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</row>
    <row r="137" spans="2:31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</row>
    <row r="138" spans="2:31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</row>
    <row r="139" spans="2:31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</row>
    <row r="140" spans="2:31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</row>
    <row r="141" spans="2:31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</row>
  </sheetData>
  <mergeCells count="2">
    <mergeCell ref="AD2:AE2"/>
    <mergeCell ref="AD3:AE3"/>
  </mergeCells>
  <pageMargins left="0.7" right="0.7" top="0.75" bottom="0.75" header="0.3" footer="0.3"/>
  <pageSetup orientation="portrait" r:id="rId1"/>
  <ignoredErrors>
    <ignoredError sqref="C122 S81:AB87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D1" zoomScale="80" zoomScaleNormal="80" workbookViewId="0">
      <selection activeCell="F33" sqref="F33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66" t="s">
        <v>27</v>
      </c>
      <c r="K5" s="166"/>
      <c r="M5" s="166" t="s">
        <v>65</v>
      </c>
      <c r="N5" s="166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66" t="s">
        <v>36</v>
      </c>
      <c r="K14" s="166"/>
      <c r="L14" s="166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166" t="s">
        <v>27</v>
      </c>
      <c r="S5" s="166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66" t="s">
        <v>36</v>
      </c>
      <c r="S14" s="166"/>
      <c r="T14" s="166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166" t="s">
        <v>27</v>
      </c>
      <c r="C2" s="166"/>
      <c r="E2" s="166" t="s">
        <v>65</v>
      </c>
      <c r="F2" s="166"/>
      <c r="H2" s="170" t="s">
        <v>36</v>
      </c>
      <c r="I2" s="171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167" t="s">
        <v>68</v>
      </c>
      <c r="E10" s="168"/>
      <c r="F10" s="168"/>
      <c r="G10" s="168"/>
      <c r="H10" s="169"/>
      <c r="I10" s="167" t="s">
        <v>72</v>
      </c>
      <c r="J10" s="168"/>
      <c r="K10" s="168"/>
      <c r="L10" s="169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2013-06-05T18:27:12Z</dcterms:modified>
</cp:coreProperties>
</file>
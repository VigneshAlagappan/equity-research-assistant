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P106" i="18"/>
  <c r="Q27" l="1"/>
  <c r="Q29"/>
  <c r="I60" l="1"/>
  <c r="J60"/>
  <c r="K60"/>
  <c r="L60"/>
  <c r="M60"/>
  <c r="N60"/>
  <c r="O60"/>
  <c r="P60"/>
  <c r="I61"/>
  <c r="J61"/>
  <c r="K61"/>
  <c r="L61"/>
  <c r="M61"/>
  <c r="N61"/>
  <c r="O61"/>
  <c r="P61"/>
  <c r="I55"/>
  <c r="I57" s="1"/>
  <c r="J55"/>
  <c r="J57" s="1"/>
  <c r="K55"/>
  <c r="K57" s="1"/>
  <c r="L55"/>
  <c r="L57" s="1"/>
  <c r="M55"/>
  <c r="M57" s="1"/>
  <c r="N55"/>
  <c r="N57" s="1"/>
  <c r="O55"/>
  <c r="P55"/>
  <c r="O57"/>
  <c r="P57"/>
  <c r="I58"/>
  <c r="J58"/>
  <c r="K58"/>
  <c r="L58"/>
  <c r="M58"/>
  <c r="N58"/>
  <c r="O58"/>
  <c r="P58"/>
  <c r="I59"/>
  <c r="J59"/>
  <c r="K59"/>
  <c r="L59"/>
  <c r="M59"/>
  <c r="N59"/>
  <c r="O59"/>
  <c r="P59"/>
  <c r="C58"/>
  <c r="D58"/>
  <c r="E58"/>
  <c r="F58"/>
  <c r="G58"/>
  <c r="C59"/>
  <c r="D59"/>
  <c r="E59"/>
  <c r="F59"/>
  <c r="G59"/>
  <c r="C60"/>
  <c r="D60"/>
  <c r="E60"/>
  <c r="F60"/>
  <c r="G60"/>
  <c r="Q60" s="1"/>
  <c r="C61"/>
  <c r="D61"/>
  <c r="E61"/>
  <c r="F61"/>
  <c r="G61"/>
  <c r="Q61" s="1"/>
  <c r="H61"/>
  <c r="H60"/>
  <c r="S22"/>
  <c r="T22" s="1"/>
  <c r="U22" s="1"/>
  <c r="V22" s="1"/>
  <c r="W22" s="1"/>
  <c r="X22" s="1"/>
  <c r="Y22" s="1"/>
  <c r="Z22" s="1"/>
  <c r="AA22" s="1"/>
  <c r="AB22" s="1"/>
  <c r="Q22"/>
  <c r="S21"/>
  <c r="T21" s="1"/>
  <c r="U21" s="1"/>
  <c r="V21" s="1"/>
  <c r="W21" s="1"/>
  <c r="X21" s="1"/>
  <c r="Y21" s="1"/>
  <c r="Z21" s="1"/>
  <c r="AA21" s="1"/>
  <c r="AB21" s="1"/>
  <c r="AC21" s="1"/>
  <c r="S20"/>
  <c r="Q19"/>
  <c r="C55"/>
  <c r="C57" s="1"/>
  <c r="D55"/>
  <c r="D57" s="1"/>
  <c r="E55"/>
  <c r="E57" s="1"/>
  <c r="F55"/>
  <c r="F57" s="1"/>
  <c r="G55"/>
  <c r="G57" s="1"/>
  <c r="H55"/>
  <c r="H57" s="1"/>
  <c r="H59"/>
  <c r="H58"/>
  <c r="Q59" l="1"/>
  <c r="Q57"/>
  <c r="Q58"/>
  <c r="AC22"/>
  <c r="AE22" s="1"/>
  <c r="Q21"/>
  <c r="Q20"/>
  <c r="Q55"/>
  <c r="S19"/>
  <c r="T20"/>
  <c r="AE21"/>
  <c r="S53"/>
  <c r="T53" s="1"/>
  <c r="U53" s="1"/>
  <c r="V53" s="1"/>
  <c r="W53" s="1"/>
  <c r="X53" s="1"/>
  <c r="Y53" s="1"/>
  <c r="Z53" s="1"/>
  <c r="AA53" s="1"/>
  <c r="AB53" s="1"/>
  <c r="S93" s="1"/>
  <c r="Q53"/>
  <c r="Q105"/>
  <c r="T19" l="1"/>
  <c r="T55" s="1"/>
  <c r="S55"/>
  <c r="U20"/>
  <c r="AC53"/>
  <c r="AE53" s="1"/>
  <c r="T93" s="1"/>
  <c r="R93" s="1"/>
  <c r="P113" s="1"/>
  <c r="C18" i="15"/>
  <c r="S10" i="18"/>
  <c r="T10" s="1"/>
  <c r="U10" s="1"/>
  <c r="V10" s="1"/>
  <c r="W10" s="1"/>
  <c r="X10" s="1"/>
  <c r="Y10" s="1"/>
  <c r="Z10" s="1"/>
  <c r="AA10" s="1"/>
  <c r="AB10" s="1"/>
  <c r="Q66"/>
  <c r="Q67"/>
  <c r="Q68"/>
  <c r="Q69"/>
  <c r="Q70"/>
  <c r="Q71"/>
  <c r="Q65"/>
  <c r="Q35"/>
  <c r="Q33"/>
  <c r="Q31"/>
  <c r="Q28"/>
  <c r="Q25"/>
  <c r="Q24"/>
  <c r="Q17"/>
  <c r="Q15"/>
  <c r="Q14"/>
  <c r="Q13"/>
  <c r="Q12"/>
  <c r="Q11"/>
  <c r="Q10"/>
  <c r="Q8"/>
  <c r="Q7"/>
  <c r="S17"/>
  <c r="T17" s="1"/>
  <c r="U17" s="1"/>
  <c r="V17" s="1"/>
  <c r="W17" s="1"/>
  <c r="X17" s="1"/>
  <c r="Y17" s="1"/>
  <c r="Z17" s="1"/>
  <c r="AA17" s="1"/>
  <c r="AB17" s="1"/>
  <c r="S24"/>
  <c r="T24" s="1"/>
  <c r="U24" s="1"/>
  <c r="V24" s="1"/>
  <c r="W24" s="1"/>
  <c r="X24" s="1"/>
  <c r="Y24" s="1"/>
  <c r="Z24" s="1"/>
  <c r="AA24" s="1"/>
  <c r="AB24" s="1"/>
  <c r="S25"/>
  <c r="T25" s="1"/>
  <c r="U25" s="1"/>
  <c r="V25" s="1"/>
  <c r="W25" s="1"/>
  <c r="X25" s="1"/>
  <c r="Y25" s="1"/>
  <c r="Z25" s="1"/>
  <c r="AA25" s="1"/>
  <c r="AB25" s="1"/>
  <c r="S28"/>
  <c r="T28" s="1"/>
  <c r="U28" s="1"/>
  <c r="V28" s="1"/>
  <c r="W28" s="1"/>
  <c r="X28" s="1"/>
  <c r="Y28" s="1"/>
  <c r="Z28" s="1"/>
  <c r="AA28" s="1"/>
  <c r="AB28" s="1"/>
  <c r="S29"/>
  <c r="T29" s="1"/>
  <c r="U29" s="1"/>
  <c r="V29" s="1"/>
  <c r="W29" s="1"/>
  <c r="X29" s="1"/>
  <c r="Y29" s="1"/>
  <c r="Z29" s="1"/>
  <c r="AA29" s="1"/>
  <c r="AB29" s="1"/>
  <c r="S31"/>
  <c r="T31" s="1"/>
  <c r="U31" s="1"/>
  <c r="V31" s="1"/>
  <c r="W31" s="1"/>
  <c r="X31" s="1"/>
  <c r="Y31" s="1"/>
  <c r="Z31" s="1"/>
  <c r="AA31" s="1"/>
  <c r="AB31" s="1"/>
  <c r="O51"/>
  <c r="O109" s="1"/>
  <c r="O50"/>
  <c r="O48"/>
  <c r="O47"/>
  <c r="O45"/>
  <c r="O110" s="1"/>
  <c r="O44"/>
  <c r="O43"/>
  <c r="O41"/>
  <c r="O40"/>
  <c r="O107" s="1"/>
  <c r="O39"/>
  <c r="O38"/>
  <c r="O106" s="1"/>
  <c r="U19" l="1"/>
  <c r="V20"/>
  <c r="AC31"/>
  <c r="AE31" s="1"/>
  <c r="AC24"/>
  <c r="AE24" s="1"/>
  <c r="AC25"/>
  <c r="AE25" s="1"/>
  <c r="AC28"/>
  <c r="AE28" s="1"/>
  <c r="AC29"/>
  <c r="AE29" s="1"/>
  <c r="AC17"/>
  <c r="AE17" s="1"/>
  <c r="AC10"/>
  <c r="AE10" s="1"/>
  <c r="O49"/>
  <c r="O108" s="1"/>
  <c r="D45"/>
  <c r="E45"/>
  <c r="F45"/>
  <c r="G45"/>
  <c r="G110" s="1"/>
  <c r="H45"/>
  <c r="H110" s="1"/>
  <c r="I45"/>
  <c r="I110" s="1"/>
  <c r="J45"/>
  <c r="J110" s="1"/>
  <c r="K45"/>
  <c r="K110" s="1"/>
  <c r="L45"/>
  <c r="L110" s="1"/>
  <c r="M45"/>
  <c r="M110" s="1"/>
  <c r="N45"/>
  <c r="N110" s="1"/>
  <c r="P45"/>
  <c r="C45"/>
  <c r="C44"/>
  <c r="V19" l="1"/>
  <c r="U55"/>
  <c r="W20"/>
  <c r="S45"/>
  <c r="T45" s="1"/>
  <c r="P110"/>
  <c r="Q110" s="1"/>
  <c r="Q45"/>
  <c r="D44"/>
  <c r="E44"/>
  <c r="F44"/>
  <c r="G44"/>
  <c r="H44"/>
  <c r="I44"/>
  <c r="J44"/>
  <c r="K44"/>
  <c r="L44"/>
  <c r="M44"/>
  <c r="N44"/>
  <c r="P44"/>
  <c r="S44" s="1"/>
  <c r="T44" s="1"/>
  <c r="U44" s="1"/>
  <c r="V44" s="1"/>
  <c r="W44" s="1"/>
  <c r="X44" s="1"/>
  <c r="Y44" s="1"/>
  <c r="Z44" s="1"/>
  <c r="AA44" s="1"/>
  <c r="AB44" s="1"/>
  <c r="D43"/>
  <c r="E43"/>
  <c r="F43"/>
  <c r="G43"/>
  <c r="H43"/>
  <c r="I43"/>
  <c r="J43"/>
  <c r="K43"/>
  <c r="L43"/>
  <c r="M43"/>
  <c r="N43"/>
  <c r="P43"/>
  <c r="S43" s="1"/>
  <c r="T43" s="1"/>
  <c r="U43" s="1"/>
  <c r="V43" s="1"/>
  <c r="W43" s="1"/>
  <c r="X43" s="1"/>
  <c r="Y43" s="1"/>
  <c r="Z43" s="1"/>
  <c r="AA43" s="1"/>
  <c r="AB43" s="1"/>
  <c r="C43"/>
  <c r="W19" l="1"/>
  <c r="V55"/>
  <c r="X20"/>
  <c r="U45"/>
  <c r="AC43"/>
  <c r="AE43" s="1"/>
  <c r="T82" s="1"/>
  <c r="Q43"/>
  <c r="AC44"/>
  <c r="AE44" s="1"/>
  <c r="T83" s="1"/>
  <c r="Q44"/>
  <c r="S83"/>
  <c r="S82"/>
  <c r="C45" i="15"/>
  <c r="X19" i="18" l="1"/>
  <c r="W55"/>
  <c r="Y20"/>
  <c r="R82"/>
  <c r="V45"/>
  <c r="S69"/>
  <c r="T69" s="1"/>
  <c r="U69" s="1"/>
  <c r="V69" s="1"/>
  <c r="W69" s="1"/>
  <c r="X69" s="1"/>
  <c r="Y69" s="1"/>
  <c r="Z69" s="1"/>
  <c r="AA69" s="1"/>
  <c r="AB69" s="1"/>
  <c r="S105"/>
  <c r="C38"/>
  <c r="C106" s="1"/>
  <c r="C110" s="1"/>
  <c r="D38"/>
  <c r="D106" s="1"/>
  <c r="D110" s="1"/>
  <c r="E38"/>
  <c r="E106" s="1"/>
  <c r="E110" s="1"/>
  <c r="F38"/>
  <c r="F106" s="1"/>
  <c r="F110" s="1"/>
  <c r="G38"/>
  <c r="H38"/>
  <c r="H106" s="1"/>
  <c r="I38"/>
  <c r="I106" s="1"/>
  <c r="J38"/>
  <c r="J106" s="1"/>
  <c r="K38"/>
  <c r="K106" s="1"/>
  <c r="L38"/>
  <c r="M38"/>
  <c r="M106" s="1"/>
  <c r="N38"/>
  <c r="P38"/>
  <c r="D51"/>
  <c r="D109" s="1"/>
  <c r="E51"/>
  <c r="E109" s="1"/>
  <c r="F51"/>
  <c r="F109" s="1"/>
  <c r="G51"/>
  <c r="H51"/>
  <c r="H109" s="1"/>
  <c r="I51"/>
  <c r="I109" s="1"/>
  <c r="J51"/>
  <c r="J109" s="1"/>
  <c r="K51"/>
  <c r="K109" s="1"/>
  <c r="L51"/>
  <c r="L109" s="1"/>
  <c r="M51"/>
  <c r="M109" s="1"/>
  <c r="N51"/>
  <c r="P51"/>
  <c r="D50"/>
  <c r="E50"/>
  <c r="F50"/>
  <c r="G50"/>
  <c r="H50"/>
  <c r="I50"/>
  <c r="J50"/>
  <c r="K50"/>
  <c r="L50"/>
  <c r="M50"/>
  <c r="N50"/>
  <c r="P50"/>
  <c r="D48"/>
  <c r="E48"/>
  <c r="F48"/>
  <c r="G48"/>
  <c r="H48"/>
  <c r="I48"/>
  <c r="J48"/>
  <c r="K48"/>
  <c r="L48"/>
  <c r="M48"/>
  <c r="N48"/>
  <c r="P48"/>
  <c r="D47"/>
  <c r="D49" s="1"/>
  <c r="D108" s="1"/>
  <c r="E47"/>
  <c r="E49" s="1"/>
  <c r="E108" s="1"/>
  <c r="F47"/>
  <c r="F49" s="1"/>
  <c r="F108" s="1"/>
  <c r="G47"/>
  <c r="H47"/>
  <c r="H49" s="1"/>
  <c r="H108" s="1"/>
  <c r="I47"/>
  <c r="J47"/>
  <c r="J49" s="1"/>
  <c r="J108" s="1"/>
  <c r="K47"/>
  <c r="K49" s="1"/>
  <c r="K108" s="1"/>
  <c r="L47"/>
  <c r="L49" s="1"/>
  <c r="L108" s="1"/>
  <c r="M47"/>
  <c r="N47"/>
  <c r="P47"/>
  <c r="D41"/>
  <c r="E41"/>
  <c r="F41"/>
  <c r="G41"/>
  <c r="H41"/>
  <c r="I41"/>
  <c r="J41"/>
  <c r="K41"/>
  <c r="L41"/>
  <c r="M41"/>
  <c r="N41"/>
  <c r="P41"/>
  <c r="D40"/>
  <c r="D107" s="1"/>
  <c r="E40"/>
  <c r="E107" s="1"/>
  <c r="F40"/>
  <c r="F107" s="1"/>
  <c r="G40"/>
  <c r="H40"/>
  <c r="H107" s="1"/>
  <c r="I40"/>
  <c r="I107" s="1"/>
  <c r="J40"/>
  <c r="J107" s="1"/>
  <c r="K40"/>
  <c r="K107" s="1"/>
  <c r="L40"/>
  <c r="L107" s="1"/>
  <c r="M40"/>
  <c r="M107" s="1"/>
  <c r="N40"/>
  <c r="P40"/>
  <c r="C51"/>
  <c r="C109" s="1"/>
  <c r="C50"/>
  <c r="C48"/>
  <c r="C47"/>
  <c r="C41"/>
  <c r="C40"/>
  <c r="C107" s="1"/>
  <c r="D39"/>
  <c r="E39"/>
  <c r="F39"/>
  <c r="G39"/>
  <c r="H39"/>
  <c r="I39"/>
  <c r="J39"/>
  <c r="K39"/>
  <c r="L39"/>
  <c r="M39"/>
  <c r="N39"/>
  <c r="P39"/>
  <c r="C39"/>
  <c r="S14"/>
  <c r="T14" s="1"/>
  <c r="U14" s="1"/>
  <c r="V14" s="1"/>
  <c r="W14" s="1"/>
  <c r="X14" s="1"/>
  <c r="Y14" s="1"/>
  <c r="Z14" s="1"/>
  <c r="AA14" s="1"/>
  <c r="AB14" s="1"/>
  <c r="S15"/>
  <c r="T15" s="1"/>
  <c r="U15" s="1"/>
  <c r="V15" s="1"/>
  <c r="W15" s="1"/>
  <c r="X15" s="1"/>
  <c r="Y15" s="1"/>
  <c r="Z15" s="1"/>
  <c r="AA15" s="1"/>
  <c r="AB15" s="1"/>
  <c r="S33"/>
  <c r="T33" s="1"/>
  <c r="U33" s="1"/>
  <c r="V33" s="1"/>
  <c r="W33" s="1"/>
  <c r="X33" s="1"/>
  <c r="Y33" s="1"/>
  <c r="Z33" s="1"/>
  <c r="AA33" s="1"/>
  <c r="AB33" s="1"/>
  <c r="S11"/>
  <c r="T11" s="1"/>
  <c r="U11" s="1"/>
  <c r="V11" s="1"/>
  <c r="W11" s="1"/>
  <c r="X11" s="1"/>
  <c r="Y11" s="1"/>
  <c r="Z11" s="1"/>
  <c r="AA11" s="1"/>
  <c r="AB11" s="1"/>
  <c r="S12"/>
  <c r="T12" s="1"/>
  <c r="U12" s="1"/>
  <c r="V12" s="1"/>
  <c r="W12" s="1"/>
  <c r="X12" s="1"/>
  <c r="Y12" s="1"/>
  <c r="Z12" s="1"/>
  <c r="AA12" s="1"/>
  <c r="AB12" s="1"/>
  <c r="S89" s="1"/>
  <c r="S90" s="1"/>
  <c r="S13"/>
  <c r="T13" s="1"/>
  <c r="U13" s="1"/>
  <c r="V13" s="1"/>
  <c r="W13" s="1"/>
  <c r="X13" s="1"/>
  <c r="Y13" s="1"/>
  <c r="Z13" s="1"/>
  <c r="AA13" s="1"/>
  <c r="AB13" s="1"/>
  <c r="S8"/>
  <c r="T8" s="1"/>
  <c r="U8" s="1"/>
  <c r="V8" s="1"/>
  <c r="W8" s="1"/>
  <c r="X8" s="1"/>
  <c r="Y8" s="1"/>
  <c r="Z8" s="1"/>
  <c r="AA8" s="1"/>
  <c r="AB8" s="1"/>
  <c r="S7"/>
  <c r="T7" s="1"/>
  <c r="U7" s="1"/>
  <c r="V7" s="1"/>
  <c r="W7" s="1"/>
  <c r="X7" s="1"/>
  <c r="Y7" s="1"/>
  <c r="Z7" s="1"/>
  <c r="AA7" s="1"/>
  <c r="AB7" s="1"/>
  <c r="Y19" l="1"/>
  <c r="X55"/>
  <c r="Z20"/>
  <c r="AC7"/>
  <c r="AE7" s="1"/>
  <c r="AC12"/>
  <c r="AE12" s="1"/>
  <c r="T89" s="1"/>
  <c r="AC14"/>
  <c r="AE14" s="1"/>
  <c r="AC11"/>
  <c r="AE11" s="1"/>
  <c r="AC13"/>
  <c r="AE13" s="1"/>
  <c r="AC15"/>
  <c r="AE15" s="1"/>
  <c r="AC8"/>
  <c r="AE8" s="1"/>
  <c r="AC33"/>
  <c r="AE33" s="1"/>
  <c r="AC69"/>
  <c r="AE69" s="1"/>
  <c r="C49"/>
  <c r="C108" s="1"/>
  <c r="P75"/>
  <c r="T105"/>
  <c r="S110"/>
  <c r="W45"/>
  <c r="I49"/>
  <c r="I108" s="1"/>
  <c r="Q39"/>
  <c r="G107"/>
  <c r="Q40"/>
  <c r="Q41"/>
  <c r="Q48"/>
  <c r="Q50"/>
  <c r="G106"/>
  <c r="Q38"/>
  <c r="G109"/>
  <c r="Q51"/>
  <c r="G49"/>
  <c r="Q47"/>
  <c r="N107"/>
  <c r="N106"/>
  <c r="N109"/>
  <c r="S50"/>
  <c r="T50" s="1"/>
  <c r="U50" s="1"/>
  <c r="V50" s="1"/>
  <c r="W50" s="1"/>
  <c r="X50" s="1"/>
  <c r="Y50" s="1"/>
  <c r="Z50" s="1"/>
  <c r="AA50" s="1"/>
  <c r="AB50" s="1"/>
  <c r="S51"/>
  <c r="T51" s="1"/>
  <c r="U51" s="1"/>
  <c r="V51" s="1"/>
  <c r="W51" s="1"/>
  <c r="X51" s="1"/>
  <c r="Y51" s="1"/>
  <c r="Z51" s="1"/>
  <c r="AA51" s="1"/>
  <c r="AB51" s="1"/>
  <c r="S41"/>
  <c r="T41" s="1"/>
  <c r="U41" s="1"/>
  <c r="V41" s="1"/>
  <c r="W41" s="1"/>
  <c r="X41" s="1"/>
  <c r="Y41" s="1"/>
  <c r="Z41" s="1"/>
  <c r="AA41" s="1"/>
  <c r="AB41" s="1"/>
  <c r="P107"/>
  <c r="S47"/>
  <c r="T47" s="1"/>
  <c r="U47" s="1"/>
  <c r="V47" s="1"/>
  <c r="W47" s="1"/>
  <c r="X47" s="1"/>
  <c r="Y47" s="1"/>
  <c r="Z47" s="1"/>
  <c r="AA47" s="1"/>
  <c r="AB47" s="1"/>
  <c r="L106"/>
  <c r="N49"/>
  <c r="S48"/>
  <c r="T48" s="1"/>
  <c r="U48" s="1"/>
  <c r="V48" s="1"/>
  <c r="W48" s="1"/>
  <c r="X48" s="1"/>
  <c r="Y48" s="1"/>
  <c r="Z48" s="1"/>
  <c r="AA48" s="1"/>
  <c r="AB48" s="1"/>
  <c r="M49"/>
  <c r="M108" s="1"/>
  <c r="P109"/>
  <c r="P49"/>
  <c r="S70"/>
  <c r="T70" s="1"/>
  <c r="U70" s="1"/>
  <c r="V70" s="1"/>
  <c r="W70" s="1"/>
  <c r="X70" s="1"/>
  <c r="Y70" s="1"/>
  <c r="Z70" s="1"/>
  <c r="AA70" s="1"/>
  <c r="AB70" s="1"/>
  <c r="S71"/>
  <c r="T71" s="1"/>
  <c r="U71" s="1"/>
  <c r="V71" s="1"/>
  <c r="W71" s="1"/>
  <c r="X71" s="1"/>
  <c r="Y71" s="1"/>
  <c r="Z71" s="1"/>
  <c r="AA71" s="1"/>
  <c r="AB71" s="1"/>
  <c r="S35"/>
  <c r="S61" s="1"/>
  <c r="C6" i="12"/>
  <c r="C25" i="15"/>
  <c r="C57"/>
  <c r="C56"/>
  <c r="C53"/>
  <c r="C52"/>
  <c r="C49"/>
  <c r="C48"/>
  <c r="C44"/>
  <c r="Z19" i="18" l="1"/>
  <c r="Y55"/>
  <c r="R89"/>
  <c r="T90"/>
  <c r="R90" s="1"/>
  <c r="T35"/>
  <c r="T61" s="1"/>
  <c r="S58"/>
  <c r="S59"/>
  <c r="S60"/>
  <c r="S57"/>
  <c r="AA20"/>
  <c r="AC70"/>
  <c r="AE70" s="1"/>
  <c r="AC71"/>
  <c r="AE71" s="1"/>
  <c r="AC47"/>
  <c r="AE47" s="1"/>
  <c r="T80" s="1"/>
  <c r="AC50"/>
  <c r="AE50" s="1"/>
  <c r="T87" s="1"/>
  <c r="AC51"/>
  <c r="AE51" s="1"/>
  <c r="AC41"/>
  <c r="AE41" s="1"/>
  <c r="T79" s="1"/>
  <c r="AC48"/>
  <c r="AE48" s="1"/>
  <c r="T86" s="1"/>
  <c r="S109"/>
  <c r="U105"/>
  <c r="T109"/>
  <c r="T110"/>
  <c r="X45"/>
  <c r="Q107"/>
  <c r="Q106"/>
  <c r="Q109"/>
  <c r="G108"/>
  <c r="Q49"/>
  <c r="N108"/>
  <c r="P108"/>
  <c r="S49"/>
  <c r="S68"/>
  <c r="T68" s="1"/>
  <c r="U68" s="1"/>
  <c r="V68" s="1"/>
  <c r="W68" s="1"/>
  <c r="X68" s="1"/>
  <c r="Y68" s="1"/>
  <c r="Z68" s="1"/>
  <c r="AA68" s="1"/>
  <c r="AB68" s="1"/>
  <c r="S40"/>
  <c r="S65"/>
  <c r="T65" s="1"/>
  <c r="U65" s="1"/>
  <c r="V65" s="1"/>
  <c r="W65" s="1"/>
  <c r="X65" s="1"/>
  <c r="Y65" s="1"/>
  <c r="Z65" s="1"/>
  <c r="AA65" s="1"/>
  <c r="AB65" s="1"/>
  <c r="S38"/>
  <c r="S67"/>
  <c r="T67" s="1"/>
  <c r="U67" s="1"/>
  <c r="V67" s="1"/>
  <c r="W67" s="1"/>
  <c r="X67" s="1"/>
  <c r="Y67" s="1"/>
  <c r="Z67" s="1"/>
  <c r="AA67" s="1"/>
  <c r="AB67" s="1"/>
  <c r="S66"/>
  <c r="T66" s="1"/>
  <c r="U66" s="1"/>
  <c r="V66" s="1"/>
  <c r="W66" s="1"/>
  <c r="X66" s="1"/>
  <c r="Y66" s="1"/>
  <c r="Z66" s="1"/>
  <c r="AA66" s="1"/>
  <c r="AB66" s="1"/>
  <c r="S86"/>
  <c r="S39"/>
  <c r="T39" s="1"/>
  <c r="U39" s="1"/>
  <c r="V39" s="1"/>
  <c r="W39" s="1"/>
  <c r="X39" s="1"/>
  <c r="Y39" s="1"/>
  <c r="Z39" s="1"/>
  <c r="AA39" s="1"/>
  <c r="AB39" s="1"/>
  <c r="C15" i="15"/>
  <c r="C20"/>
  <c r="C9"/>
  <c r="AA19" i="18" l="1"/>
  <c r="Z55"/>
  <c r="U35"/>
  <c r="U61" s="1"/>
  <c r="T60"/>
  <c r="T59"/>
  <c r="T58"/>
  <c r="T57"/>
  <c r="AB20"/>
  <c r="AC67"/>
  <c r="AE67" s="1"/>
  <c r="AC68"/>
  <c r="AE68" s="1"/>
  <c r="AC39"/>
  <c r="AE39" s="1"/>
  <c r="T77" s="1"/>
  <c r="AC66"/>
  <c r="AE66" s="1"/>
  <c r="AC65"/>
  <c r="AE65" s="1"/>
  <c r="R86"/>
  <c r="T49"/>
  <c r="S108"/>
  <c r="V105"/>
  <c r="U109"/>
  <c r="U110"/>
  <c r="T38"/>
  <c r="S106"/>
  <c r="T40"/>
  <c r="S107"/>
  <c r="Y45"/>
  <c r="Q108"/>
  <c r="S77"/>
  <c r="S87"/>
  <c r="R87" s="1"/>
  <c r="S80"/>
  <c r="R80" s="1"/>
  <c r="S79"/>
  <c r="R79" s="1"/>
  <c r="D31" i="8"/>
  <c r="D29"/>
  <c r="D28"/>
  <c r="D13"/>
  <c r="D30" s="1"/>
  <c r="E14"/>
  <c r="F14" s="1"/>
  <c r="G14" s="1"/>
  <c r="H14" s="1"/>
  <c r="I14" s="1"/>
  <c r="AB19" i="18" l="1"/>
  <c r="AA55"/>
  <c r="V35"/>
  <c r="V61" s="1"/>
  <c r="U60"/>
  <c r="U58"/>
  <c r="U59"/>
  <c r="U57"/>
  <c r="AC20"/>
  <c r="AE20" s="1"/>
  <c r="R77"/>
  <c r="U49"/>
  <c r="T108"/>
  <c r="W105"/>
  <c r="V109"/>
  <c r="V110"/>
  <c r="U38"/>
  <c r="T106"/>
  <c r="U40"/>
  <c r="T107"/>
  <c r="Z4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C19" i="18" l="1"/>
  <c r="AE19" s="1"/>
  <c r="AB55"/>
  <c r="S95" s="1"/>
  <c r="W35"/>
  <c r="W61" s="1"/>
  <c r="V60"/>
  <c r="V58"/>
  <c r="V59"/>
  <c r="V57"/>
  <c r="V49"/>
  <c r="U108"/>
  <c r="X105"/>
  <c r="W109"/>
  <c r="W110"/>
  <c r="V38"/>
  <c r="U106"/>
  <c r="V40"/>
  <c r="U107"/>
  <c r="AA4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P32" s="1"/>
  <c r="M45"/>
  <c r="M32"/>
  <c r="M33" s="1"/>
  <c r="M34" s="1"/>
  <c r="M35" s="1"/>
  <c r="M36" s="1"/>
  <c r="M37" s="1"/>
  <c r="M38" s="1"/>
  <c r="M39" s="1"/>
  <c r="M40" s="1"/>
  <c r="M4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55" i="18" l="1"/>
  <c r="AE55" s="1"/>
  <c r="T95" s="1"/>
  <c r="R95" s="1"/>
  <c r="O31" i="9"/>
  <c r="O32" s="1"/>
  <c r="X35" i="18"/>
  <c r="X61" s="1"/>
  <c r="W60"/>
  <c r="W58"/>
  <c r="W59"/>
  <c r="W57"/>
  <c r="W49"/>
  <c r="V108"/>
  <c r="Y105"/>
  <c r="X109"/>
  <c r="X110"/>
  <c r="W38"/>
  <c r="V106"/>
  <c r="W40"/>
  <c r="V107"/>
  <c r="AB45"/>
  <c r="P31" i="11"/>
  <c r="N32"/>
  <c r="T19" i="9"/>
  <c r="D22"/>
  <c r="Y35" i="18" l="1"/>
  <c r="Y61" s="1"/>
  <c r="X60"/>
  <c r="X58"/>
  <c r="X59"/>
  <c r="X57"/>
  <c r="X49"/>
  <c r="W108"/>
  <c r="Z105"/>
  <c r="Y109"/>
  <c r="Y110"/>
  <c r="X38"/>
  <c r="W106"/>
  <c r="X40"/>
  <c r="W107"/>
  <c r="S84"/>
  <c r="AC45"/>
  <c r="AE45" s="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R83" i="18" l="1"/>
  <c r="T84"/>
  <c r="R84" s="1"/>
  <c r="P114" s="1"/>
  <c r="Z35"/>
  <c r="Z61" s="1"/>
  <c r="Y60"/>
  <c r="Y58"/>
  <c r="Y59"/>
  <c r="Y57"/>
  <c r="Y49"/>
  <c r="X108"/>
  <c r="AA105"/>
  <c r="Z109"/>
  <c r="Z110"/>
  <c r="Y38"/>
  <c r="X106"/>
  <c r="Y40"/>
  <c r="X107"/>
  <c r="N34" i="11"/>
  <c r="O33"/>
  <c r="D25" i="8"/>
  <c r="D23"/>
  <c r="AA35" i="18" l="1"/>
  <c r="AA61" s="1"/>
  <c r="Z60"/>
  <c r="Z58"/>
  <c r="Z59"/>
  <c r="Z57"/>
  <c r="Z49"/>
  <c r="Y108"/>
  <c r="AB105"/>
  <c r="AA109"/>
  <c r="AA110"/>
  <c r="Z38"/>
  <c r="Y106"/>
  <c r="Z40"/>
  <c r="Y107"/>
  <c r="N35" i="11"/>
  <c r="O34"/>
  <c r="D35" i="8"/>
  <c r="E5"/>
  <c r="E18" s="1"/>
  <c r="D18"/>
  <c r="D19"/>
  <c r="D21"/>
  <c r="D20"/>
  <c r="AB35" i="18" l="1"/>
  <c r="AB61" s="1"/>
  <c r="AA60"/>
  <c r="AA58"/>
  <c r="AA59"/>
  <c r="AA57"/>
  <c r="AA49"/>
  <c r="Z108"/>
  <c r="AC105"/>
  <c r="AE105" s="1"/>
  <c r="AB109"/>
  <c r="AB110"/>
  <c r="AA38"/>
  <c r="Z106"/>
  <c r="AA40"/>
  <c r="Z107"/>
  <c r="N36" i="11"/>
  <c r="O35"/>
  <c r="F5" i="8"/>
  <c r="G5" s="1"/>
  <c r="H5" s="1"/>
  <c r="I5" s="1"/>
  <c r="AC61" i="18" l="1"/>
  <c r="AE61" s="1"/>
  <c r="T102" s="1"/>
  <c r="S102"/>
  <c r="AB60"/>
  <c r="S100" s="1"/>
  <c r="AB58"/>
  <c r="S98" s="1"/>
  <c r="AC35"/>
  <c r="AE35" s="1"/>
  <c r="AB59"/>
  <c r="S99" s="1"/>
  <c r="AB57"/>
  <c r="S97" s="1"/>
  <c r="AC110"/>
  <c r="AE110" s="1"/>
  <c r="AC109"/>
  <c r="AE109" s="1"/>
  <c r="AB49"/>
  <c r="AA108"/>
  <c r="AB38"/>
  <c r="AA106"/>
  <c r="AB40"/>
  <c r="AA107"/>
  <c r="N37" i="11"/>
  <c r="O36"/>
  <c r="F18" i="8"/>
  <c r="G18"/>
  <c r="R102" i="18" l="1"/>
  <c r="AC59"/>
  <c r="AE59" s="1"/>
  <c r="T99" s="1"/>
  <c r="AC58"/>
  <c r="AE58" s="1"/>
  <c r="AC57"/>
  <c r="AE57" s="1"/>
  <c r="T97" s="1"/>
  <c r="AC60"/>
  <c r="AE60" s="1"/>
  <c r="S76"/>
  <c r="AC49"/>
  <c r="AE49" s="1"/>
  <c r="AB108"/>
  <c r="AC38"/>
  <c r="AE38" s="1"/>
  <c r="T76" s="1"/>
  <c r="AB106"/>
  <c r="AC40"/>
  <c r="AE40" s="1"/>
  <c r="T78" s="1"/>
  <c r="AB107"/>
  <c r="S78"/>
  <c r="N38" i="11"/>
  <c r="O37"/>
  <c r="H18" i="8"/>
  <c r="T100" i="18" l="1"/>
  <c r="R100" s="1"/>
  <c r="T98"/>
  <c r="R98" s="1"/>
  <c r="R99"/>
  <c r="R97"/>
  <c r="R76"/>
  <c r="P115" s="1"/>
  <c r="AC107"/>
  <c r="AE107" s="1"/>
  <c r="AC108"/>
  <c r="AE108" s="1"/>
  <c r="AC106"/>
  <c r="AE106" s="1"/>
  <c r="R78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<sst xmlns="http://schemas.openxmlformats.org/spreadsheetml/2006/main" count="456" uniqueCount="307">
  <si>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</si>
  <si>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</si>
  <si>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</si>
  <si>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</si>
  <si>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</si>
  <si>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</si>
  <si>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</si>
  <si>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</si>
  <si>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</si>
  <si>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</si>
  <si>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</si>
  <si>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</si>
  <si>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</si>
  <si>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</si>
  <si>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</si>
  <si>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</si>
  <si>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</si>
  <si>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</si>
  <si>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</si>
  <si>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</si>
  <si>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</si>
  <si>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</si>
  <si>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</si>
  <si>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</si>
  <si>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</si>
  <si>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</si>
  <si>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</si>
  <si>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</si>
  <si>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</si>
  <si>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</si>
  <si>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</si>
  <si>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</si>
  <si>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</si>
  <si>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</si>
  <si>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</si>
  <si>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</si>
  <si>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</si>
  <si>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</si>
  <si>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</si>
  <si>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</si>
  <si>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</si>
  <si>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</si>
  <si>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</si>
  <si>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</si>
  <si>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</si>
  <si>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</si>
  <si>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</si>
  <si>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</si>
  <si>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</si>
  <si>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</si>
  <si>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</si>
  <si>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</si>
  <si>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</si>
  <si>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</si>
  <si>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</si>
  <si>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</si>
  <si>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</si>
  <si>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</si>
  <si>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</si>
  <si>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</si>
  <si>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</si>
  <si>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</si>
  <si>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</si>
  <si>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</si>
  <si>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</si>
  <si>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</si>
  <si>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</si>
  <si>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</si>
  <si>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</si>
  <si>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</si>
  <si>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</si>
  <si>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</si>
  <si>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</si>
  <si>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</si>
  <si>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</si>
  <si>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</si>
  <si>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</si>
  <si>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</si>
  <si>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</si>
  <si>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</si>
  <si>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</si>
  <si>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</si>
  <si>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</si>
  <si>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</si>
  <si>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</si>
  <si>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</si>
  <si>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</si>
  <si>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</si>
  <si>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</si>
  <si>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</si>
  <si>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</si>
  <si>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</si>
  <si>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</si>
  <si>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</si>
  <si>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</si>
  <si>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</si>
  <si>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</si>
  <si>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</si>
  <si>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</si>
  <si>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</si>
  <si>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</si>
  <si>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</si>
  <si>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</si>
  <si>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</si>
  <si>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</si>
  <si>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</si>
  <si>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</si>
  <si>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</si>
  <si>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</si>
  <si>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</si>
  <si>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</si>
  <si>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</si>
  <si>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</si>
  <si>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</si>
  <si>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</si>
  <si>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</si>
  <si>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</si>
  <si>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</si>
  <si>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</si>
  <si>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</si>
  <si>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</si>
  <si>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</si>
  <si>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</si>
  <si>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</si>
  <si>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</si>
  <si>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</si>
  <si>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</si>
  <si>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</si>
  <si>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</si>
  <si>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</si>
  <si>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</si>
  <si>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</si>
  <si>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</si>
  <si>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</si>
  <si>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</si>
  <si>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</si>
  <si>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</si>
  <si>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</si>
  <si>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</si>
  <si>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</si>
  <si>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</si>
  <si>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</si>
  <si>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</si>
  <si>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</si>
  <si>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</si>
  <si>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</si>
  <si>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</si>
  <si>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</si>
  <si>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</si>
  <si>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</si>
  <si>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</si>
  <si>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</si>
  <si>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</si>
  <si>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</si>
  <si>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</si>
  <si>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</si>
  <si>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</si>
  <si>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</si>
  <si>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</si>
  <si>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</si>
  <si>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</si>
  <si>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</si>
  <si>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</si>
  <si>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</si>
  <si>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</si>
  <si>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</si>
  <si>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</si>
  <si>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</si>
  <si>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</si>
  <si>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</si>
  <si>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</si>
  <si>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</si>
  <si>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</si>
  <si>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</si>
  <si>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</si>
  <si>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</si>
  <si>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</si>
  <si>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</si>
  <si>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</si>
  <si>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</si>
  <si>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</si>
  <si>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</si>
  <si>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</si>
  <si>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</si>
  <si>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</si>
  <si>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</si>
  <si>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</si>
  <si>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</si>
  <si>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</si>
  <si>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</si>
  <si>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</si>
  <si>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</si>
  <si>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</si>
  <si>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</si>
  <si>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</si>
  <si>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</si>
  <si>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</si>
  <si>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</si>
  <si>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</si>
  <si>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</si>
  <si>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</si>
  <si>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</si>
  <si>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</si>
  <si>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</si>
  <si>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</si>
  <si>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</si>
  <si>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</si>
  <si>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</si>
  <si>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</si>
  <si>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</si>
  <si>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</si>
  <si>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</si>
  <si>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</si>
  <si>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</si>
  <si>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</si>
  <si>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</si>
  <si>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</si>
  <si>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</si>
  <si>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</si>
  <si>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</si>
  <si>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</si>
  <si>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</si>
  <si>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</si>
  <si>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</si>
  <si>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</si>
  <si>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</si>
  <si>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</si>
  <si>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</si>
  <si>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</si>
  <si>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</si>
  <si>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</si>
  <si>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</si>
  <si>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</si>
  <si>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</si>
  <si>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</si>
  <si>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</si>
  <si>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</si>
  <si>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</si>
  <si>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</si>
  <si>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</si>
  <si>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</si>
  <si>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</si>
  <si>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</si>
  <si>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</si>
  <si>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</si>
  <si>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</si>
  <si>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</si>
  <si>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</si>
  <si>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</si>
  <si>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</si>
  <si>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</si>
  <si>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</si>
  <si>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</si>
  <si>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</si>
  <si>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</si>
  <si>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</si>
  <si>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</si>
  <si>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</si>
  <si>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</si>
  <si>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</si>
  <si>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</si>
  <si>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</si>
  <si>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</si>
  <si>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</si>
  <si>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</si>
  <si>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</si>
  <si>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</si>
  <si>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</si>
  <si>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</si>
  <si>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</si>
  <si>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</si>
  <si>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</si>
  <si>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</si>
  <si>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</si>
  <si>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</si>
  <si>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</si>
  <si>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</si>
  <si>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</si>
  <si>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</si>
  <si>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</si>
  <si>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Operating Profit (EBITDA)</t>
  </si>
  <si>
    <t>Suzlon Energy</t>
  </si>
  <si>
    <t>2nd highest Expenses Comp. ( SG&amp;A 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</si>
  <si>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</si>
  <si>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</si>
  <si>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</si>
  <si>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</si>
  <si>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</si>
  <si>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</si>
  <si>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</si>
  <si>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</si>
  <si>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</si>
  <si>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</si>
  <si>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</si>
  <si>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</si>
  <si>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</si>
  <si>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</si>
  <si>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</si>
  <si>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</si>
  <si>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</si>
  <si>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</si>
  <si>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</si>
  <si>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</si>
  <si>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</si>
  <si>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</si>
  <si>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Net Cash Flow (Operations + Investments)</t>
  </si>
  <si>
    <t>Net Cash Flow (Operations + Investments) per share</t>
  </si>
</sst>
</file>

<file path=xl/styles.xml><?xml version="1.0" encoding="utf-8"?>
<styleSheet xmlns="http://schemas.openxmlformats.org/spreadsheetml/2006/main">
  <numFmts count="1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4" fontId="8" fillId="5" borderId="1" xfId="0" applyNumberFormat="1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2" fontId="8" fillId="5" borderId="1" xfId="2" applyNumberFormat="1" applyFont="1" applyFill="1" applyBorder="1"/>
    <xf numFmtId="2" fontId="8" fillId="5" borderId="1" xfId="0" applyNumberFormat="1" applyFont="1" applyFill="1" applyBorder="1"/>
    <xf numFmtId="174" fontId="8" fillId="5" borderId="1" xfId="0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40" fontId="8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1003136"/>
        <c:axId val="71017216"/>
      </c:lineChart>
      <c:catAx>
        <c:axId val="71003136"/>
        <c:scaling>
          <c:orientation val="minMax"/>
        </c:scaling>
        <c:axPos val="b"/>
        <c:tickLblPos val="nextTo"/>
        <c:crossAx val="71017216"/>
        <c:crosses val="autoZero"/>
        <c:auto val="1"/>
        <c:lblAlgn val="ctr"/>
        <c:lblOffset val="100"/>
      </c:catAx>
      <c:valAx>
        <c:axId val="71017216"/>
        <c:scaling>
          <c:orientation val="minMax"/>
        </c:scaling>
        <c:axPos val="l"/>
        <c:majorGridlines/>
        <c:numFmt formatCode="General" sourceLinked="1"/>
        <c:tickLblPos val="nextTo"/>
        <c:crossAx val="7100313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13" zoomScale="80" zoomScaleNormal="80" workbookViewId="0">
      <selection activeCell="C28" sqref="C28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281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-2.66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-2.66</v>
      </c>
      <c r="D8" s="20"/>
      <c r="E8" s="20"/>
      <c r="F8" s="20"/>
      <c r="G8" s="20"/>
    </row>
    <row r="9" spans="2:7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0">
        <v>-2.66</v>
      </c>
      <c r="D12" s="20"/>
      <c r="E12" s="20"/>
      <c r="F12" s="20"/>
      <c r="G12" s="20"/>
    </row>
    <row r="13" spans="2:7">
      <c r="B13" s="20" t="s">
        <v>102</v>
      </c>
      <c r="C13" s="130">
        <v>28</v>
      </c>
      <c r="D13" s="20"/>
      <c r="E13" s="20"/>
      <c r="F13" s="20"/>
      <c r="G13" s="20"/>
    </row>
    <row r="14" spans="2:7">
      <c r="B14" s="20" t="s">
        <v>103</v>
      </c>
      <c r="C14" s="130">
        <v>1000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0">
        <v>14</v>
      </c>
      <c r="D23" s="20"/>
      <c r="E23" s="20"/>
      <c r="F23" s="20"/>
      <c r="G23" s="20"/>
    </row>
    <row r="24" spans="2:7">
      <c r="B24" s="20" t="s">
        <v>114</v>
      </c>
      <c r="C24" s="130">
        <v>-2.66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>
      <c r="B26" s="20" t="s">
        <v>77</v>
      </c>
      <c r="C26" s="130">
        <v>15</v>
      </c>
      <c r="D26" s="20"/>
      <c r="E26" s="20"/>
      <c r="F26" s="20"/>
      <c r="G26" s="20"/>
    </row>
    <row r="27" spans="2:7">
      <c r="B27" s="20" t="s">
        <v>229</v>
      </c>
      <c r="C27" s="131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>
      <c r="B31" s="20" t="s">
        <v>233</v>
      </c>
      <c r="C31" s="132"/>
      <c r="D31" s="20"/>
      <c r="E31" s="20"/>
      <c r="F31" s="20"/>
      <c r="G31" s="20"/>
    </row>
    <row r="32" spans="2:7">
      <c r="B32" s="20" t="s">
        <v>268</v>
      </c>
      <c r="C32" s="132">
        <v>3.44E-2</v>
      </c>
      <c r="D32" s="20"/>
      <c r="E32" s="20"/>
      <c r="F32" s="20"/>
      <c r="G32" s="20"/>
    </row>
    <row r="33" spans="2:7">
      <c r="B33" s="20" t="s">
        <v>267</v>
      </c>
      <c r="C33" s="132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0">
        <v>3141.2</v>
      </c>
      <c r="D37" s="20"/>
      <c r="E37" s="20"/>
      <c r="F37" s="20"/>
      <c r="G37" s="20"/>
    </row>
    <row r="38" spans="2:7">
      <c r="B38" s="20" t="s">
        <v>216</v>
      </c>
      <c r="C38" s="130">
        <v>3384.26</v>
      </c>
      <c r="D38" s="20"/>
      <c r="E38" s="20"/>
      <c r="F38" s="20"/>
      <c r="G38" s="20"/>
    </row>
    <row r="39" spans="2:7">
      <c r="B39" s="20" t="s">
        <v>34</v>
      </c>
      <c r="C39" s="130">
        <v>92.03</v>
      </c>
      <c r="D39" s="20"/>
      <c r="E39" s="20"/>
      <c r="F39" s="20"/>
      <c r="G39" s="20"/>
    </row>
    <row r="40" spans="2:7">
      <c r="B40" s="20" t="s">
        <v>217</v>
      </c>
      <c r="C40" s="130">
        <v>31.09</v>
      </c>
      <c r="D40" s="20"/>
      <c r="E40" s="20"/>
      <c r="F40" s="20"/>
      <c r="G40" s="20"/>
    </row>
    <row r="41" spans="2:7">
      <c r="B41" s="20" t="s">
        <v>218</v>
      </c>
      <c r="C41" s="130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0">
        <v>281.95</v>
      </c>
      <c r="D43" s="20"/>
      <c r="E43" s="20"/>
      <c r="F43" s="20"/>
      <c r="G43" s="20"/>
    </row>
    <row r="44" spans="2:7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0">
        <v>171.6</v>
      </c>
      <c r="D47" s="20"/>
      <c r="E47" s="20"/>
      <c r="F47" s="20"/>
      <c r="G47" s="20"/>
    </row>
    <row r="48" spans="2:7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0">
        <v>110.33</v>
      </c>
      <c r="D51" s="20"/>
      <c r="E51" s="20"/>
      <c r="F51" s="20"/>
      <c r="G51" s="20"/>
    </row>
    <row r="52" spans="2:7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0">
        <v>1320.99</v>
      </c>
      <c r="D55" s="20"/>
      <c r="E55" s="20"/>
      <c r="F55" s="20"/>
      <c r="G55" s="20"/>
    </row>
    <row r="56" spans="2:7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E115"/>
  <sheetViews>
    <sheetView tabSelected="1" zoomScale="80" zoomScaleNormal="80" workbookViewId="0">
      <pane xSplit="2" ySplit="4" topLeftCell="I68" activePane="bottomRight" state="frozen"/>
      <selection pane="topRight" activeCell="C1" sqref="C1"/>
      <selection pane="bottomLeft" activeCell="A5" sqref="A5"/>
      <selection pane="bottomRight" activeCell="R95" sqref="R95"/>
    </sheetView>
  </sheetViews>
  <sheetFormatPr defaultRowHeight="12.75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10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>
      <c r="B2" s="123" t="s">
        <v>241</v>
      </c>
      <c r="C2" s="124">
        <v>0.22</v>
      </c>
      <c r="F2" s="104" t="s">
        <v>252</v>
      </c>
      <c r="H2" s="126">
        <v>2004</v>
      </c>
    </row>
    <row r="3" spans="2:31">
      <c r="C3" s="120"/>
      <c r="F3" s="104" t="s">
        <v>253</v>
      </c>
      <c r="H3" s="126">
        <v>2012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292</v>
      </c>
      <c r="AE3" s="20"/>
    </row>
    <row r="4" spans="2:31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6" t="s">
        <v>1</v>
      </c>
      <c r="AD4" s="20" t="s">
        <v>293</v>
      </c>
      <c r="AE4" s="20"/>
    </row>
    <row r="5" spans="2:3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7"/>
      <c r="AD5" s="20"/>
      <c r="AE5" s="20"/>
    </row>
    <row r="6" spans="2:31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7"/>
      <c r="AD6" s="20"/>
      <c r="AE6" s="20"/>
    </row>
    <row r="7" spans="2:31">
      <c r="B7" s="20" t="s">
        <v>16</v>
      </c>
      <c r="C7" s="141"/>
      <c r="D7" s="141"/>
      <c r="E7" s="141"/>
      <c r="F7" s="141"/>
      <c r="G7" s="141">
        <v>23</v>
      </c>
      <c r="H7" s="141">
        <v>34</v>
      </c>
      <c r="I7" s="141">
        <v>38</v>
      </c>
      <c r="J7" s="141">
        <v>130</v>
      </c>
      <c r="K7" s="141">
        <v>313</v>
      </c>
      <c r="L7" s="141">
        <v>398</v>
      </c>
      <c r="M7" s="141">
        <v>490</v>
      </c>
      <c r="N7" s="141">
        <v>521</v>
      </c>
      <c r="O7" s="141">
        <v>517</v>
      </c>
      <c r="P7" s="141">
        <v>535</v>
      </c>
      <c r="Q7" s="118">
        <f>((P7/G7)^(1/($H$3-$H$2) ))-1</f>
        <v>0.4819318880997383</v>
      </c>
      <c r="R7" s="31">
        <v>0.15</v>
      </c>
      <c r="S7" s="119">
        <f>P7*(1+$R7)</f>
        <v>615.25</v>
      </c>
      <c r="T7" s="119">
        <f>S7*(1+$R7)</f>
        <v>707.53749999999991</v>
      </c>
      <c r="U7" s="119">
        <f t="shared" ref="U7:AB7" si="0">T7*(1+$R7)</f>
        <v>813.6681249999998</v>
      </c>
      <c r="V7" s="119">
        <f t="shared" si="0"/>
        <v>935.71834374999969</v>
      </c>
      <c r="W7" s="119">
        <f t="shared" si="0"/>
        <v>1076.0760953124995</v>
      </c>
      <c r="X7" s="119">
        <f t="shared" si="0"/>
        <v>1237.4875096093745</v>
      </c>
      <c r="Y7" s="119">
        <f t="shared" si="0"/>
        <v>1423.1106360507806</v>
      </c>
      <c r="Z7" s="119">
        <f t="shared" si="0"/>
        <v>1636.5772314583976</v>
      </c>
      <c r="AA7" s="119">
        <f t="shared" si="0"/>
        <v>1882.0638161771572</v>
      </c>
      <c r="AB7" s="119">
        <f t="shared" si="0"/>
        <v>2164.3733886037307</v>
      </c>
      <c r="AC7" s="138">
        <f>((AB7/G7)^(1/($AB$4-$H$2) ))-1</f>
        <v>0.27020527838525799</v>
      </c>
      <c r="AD7" s="31">
        <v>0.08</v>
      </c>
      <c r="AE7" s="127">
        <f>(AB7*(1+AC7))/($C$2-AD7)</f>
        <v>19637.132161436042</v>
      </c>
    </row>
    <row r="8" spans="2:31">
      <c r="B8" s="20" t="s">
        <v>240</v>
      </c>
      <c r="C8" s="141"/>
      <c r="D8" s="141"/>
      <c r="E8" s="141"/>
      <c r="F8" s="141"/>
      <c r="G8" s="141">
        <v>31</v>
      </c>
      <c r="H8" s="141">
        <v>42</v>
      </c>
      <c r="I8" s="141">
        <v>54</v>
      </c>
      <c r="J8" s="141">
        <v>156</v>
      </c>
      <c r="K8" s="141">
        <v>349</v>
      </c>
      <c r="L8" s="141">
        <v>434</v>
      </c>
      <c r="M8" s="141">
        <v>527</v>
      </c>
      <c r="N8" s="141">
        <v>559</v>
      </c>
      <c r="O8" s="141">
        <v>553</v>
      </c>
      <c r="P8" s="141">
        <v>570</v>
      </c>
      <c r="Q8" s="118">
        <f>((P8/G8)^(1/($H$3-$H$2) ))-1</f>
        <v>0.43901110428449464</v>
      </c>
      <c r="R8" s="31">
        <v>0.15</v>
      </c>
      <c r="S8" s="119">
        <f t="shared" ref="S8:S15" si="1">P8*(1+$R8)</f>
        <v>655.5</v>
      </c>
      <c r="T8" s="119">
        <f t="shared" ref="T8:AB8" si="2">S8*(1+$R8)</f>
        <v>753.82499999999993</v>
      </c>
      <c r="U8" s="119">
        <f t="shared" si="2"/>
        <v>866.89874999999984</v>
      </c>
      <c r="V8" s="119">
        <f t="shared" si="2"/>
        <v>996.93356249999977</v>
      </c>
      <c r="W8" s="119">
        <f t="shared" si="2"/>
        <v>1146.4735968749997</v>
      </c>
      <c r="X8" s="119">
        <f t="shared" si="2"/>
        <v>1318.4446364062494</v>
      </c>
      <c r="Y8" s="119">
        <f t="shared" si="2"/>
        <v>1516.2113318671868</v>
      </c>
      <c r="Z8" s="119">
        <f t="shared" si="2"/>
        <v>1743.6430316472647</v>
      </c>
      <c r="AA8" s="119">
        <f t="shared" si="2"/>
        <v>2005.1894863943542</v>
      </c>
      <c r="AB8" s="119">
        <f t="shared" si="2"/>
        <v>2305.9679093535069</v>
      </c>
      <c r="AC8" s="138">
        <f>((AB8/G8)^(1/($AB$4-$H$2) ))-1</f>
        <v>0.25458345544568539</v>
      </c>
      <c r="AD8" s="31">
        <v>0.08</v>
      </c>
      <c r="AE8" s="127">
        <f>(AB8*(1+AC8))/($C$2-AD8)</f>
        <v>20664.494199025612</v>
      </c>
    </row>
    <row r="9" spans="2:31">
      <c r="B9" s="20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20"/>
      <c r="R9" s="20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39"/>
      <c r="AD9" s="20"/>
      <c r="AE9" s="20"/>
    </row>
    <row r="10" spans="2:31">
      <c r="B10" s="20" t="s">
        <v>270</v>
      </c>
      <c r="C10" s="141"/>
      <c r="D10" s="141"/>
      <c r="E10" s="141"/>
      <c r="F10" s="141"/>
      <c r="G10" s="141">
        <v>46</v>
      </c>
      <c r="H10" s="141">
        <v>75</v>
      </c>
      <c r="I10" s="141">
        <v>119</v>
      </c>
      <c r="J10" s="141">
        <v>394</v>
      </c>
      <c r="K10" s="141">
        <v>344</v>
      </c>
      <c r="L10" s="141">
        <v>400</v>
      </c>
      <c r="M10" s="141">
        <v>282</v>
      </c>
      <c r="N10" s="141">
        <v>388</v>
      </c>
      <c r="O10" s="141">
        <v>478</v>
      </c>
      <c r="P10" s="141">
        <v>648</v>
      </c>
      <c r="Q10" s="118">
        <f t="shared" ref="Q10:Q15" si="3">((P10/G10)^(1/($H$3-$H$2) ))-1</f>
        <v>0.39188112907019912</v>
      </c>
      <c r="R10" s="31">
        <v>0.15</v>
      </c>
      <c r="S10" s="119">
        <f t="shared" ref="S10" si="4">P10*(1+$R10)</f>
        <v>745.19999999999993</v>
      </c>
      <c r="T10" s="119">
        <f t="shared" ref="T10" si="5">S10*(1+$R10)</f>
        <v>856.9799999999999</v>
      </c>
      <c r="U10" s="119">
        <f t="shared" ref="U10" si="6">T10*(1+$R10)</f>
        <v>985.52699999999982</v>
      </c>
      <c r="V10" s="119">
        <f t="shared" ref="V10" si="7">U10*(1+$R10)</f>
        <v>1133.3560499999996</v>
      </c>
      <c r="W10" s="119">
        <f t="shared" ref="W10" si="8">V10*(1+$R10)</f>
        <v>1303.3594574999995</v>
      </c>
      <c r="X10" s="119">
        <f t="shared" ref="X10" si="9">W10*(1+$R10)</f>
        <v>1498.8633761249994</v>
      </c>
      <c r="Y10" s="119">
        <f t="shared" ref="Y10" si="10">X10*(1+$R10)</f>
        <v>1723.6928825437492</v>
      </c>
      <c r="Z10" s="119">
        <f t="shared" ref="Z10" si="11">Y10*(1+$R10)</f>
        <v>1982.2468149253114</v>
      </c>
      <c r="AA10" s="119">
        <f t="shared" ref="AA10" si="12">Z10*(1+$R10)</f>
        <v>2279.583837164108</v>
      </c>
      <c r="AB10" s="119">
        <f t="shared" ref="AB10" si="13">AA10*(1+$R10)</f>
        <v>2621.5214127387239</v>
      </c>
      <c r="AC10" s="138">
        <f>((AB10/G10)^(1/($AB$4-$H$2) ))-1</f>
        <v>0.23711562901905259</v>
      </c>
      <c r="AD10" s="31">
        <v>0.08</v>
      </c>
      <c r="AE10" s="127">
        <f t="shared" ref="AE10:AE15" si="14">(AB10*(1+AC10))/($C$2-AD10)</f>
        <v>23165.17936790844</v>
      </c>
    </row>
    <row r="11" spans="2:31">
      <c r="B11" s="20" t="s">
        <v>4</v>
      </c>
      <c r="C11" s="141"/>
      <c r="D11" s="141"/>
      <c r="E11" s="141"/>
      <c r="F11" s="141"/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18" t="e">
        <f t="shared" si="3"/>
        <v>#DIV/0!</v>
      </c>
      <c r="R11" s="31">
        <v>0.15</v>
      </c>
      <c r="S11" s="119">
        <f t="shared" si="1"/>
        <v>0</v>
      </c>
      <c r="T11" s="119">
        <f t="shared" ref="T11:AB11" si="15">S11*(1+$R11)</f>
        <v>0</v>
      </c>
      <c r="U11" s="119">
        <f t="shared" si="15"/>
        <v>0</v>
      </c>
      <c r="V11" s="119">
        <f t="shared" si="15"/>
        <v>0</v>
      </c>
      <c r="W11" s="119">
        <f t="shared" si="15"/>
        <v>0</v>
      </c>
      <c r="X11" s="119">
        <f t="shared" si="15"/>
        <v>0</v>
      </c>
      <c r="Y11" s="119">
        <f t="shared" si="15"/>
        <v>0</v>
      </c>
      <c r="Z11" s="119">
        <f t="shared" si="15"/>
        <v>0</v>
      </c>
      <c r="AA11" s="119">
        <f t="shared" si="15"/>
        <v>0</v>
      </c>
      <c r="AB11" s="119">
        <f t="shared" si="15"/>
        <v>0</v>
      </c>
      <c r="AC11" s="138" t="e">
        <f t="shared" ref="AC11:AC35" si="16">((AB11/G11)^(1/($AB$4-$H$2) ))-1</f>
        <v>#DIV/0!</v>
      </c>
      <c r="AD11" s="31">
        <v>0.08</v>
      </c>
      <c r="AE11" s="127" t="e">
        <f t="shared" si="14"/>
        <v>#DIV/0!</v>
      </c>
    </row>
    <row r="12" spans="2:31">
      <c r="B12" s="20" t="s">
        <v>2</v>
      </c>
      <c r="C12" s="141"/>
      <c r="D12" s="141"/>
      <c r="E12" s="141"/>
      <c r="F12" s="141"/>
      <c r="G12" s="141">
        <v>17</v>
      </c>
      <c r="H12" s="141">
        <v>12</v>
      </c>
      <c r="I12" s="141">
        <v>16</v>
      </c>
      <c r="J12" s="141">
        <v>30</v>
      </c>
      <c r="K12" s="141">
        <v>28</v>
      </c>
      <c r="L12" s="141">
        <v>40</v>
      </c>
      <c r="M12" s="141">
        <v>40</v>
      </c>
      <c r="N12" s="141">
        <v>78</v>
      </c>
      <c r="O12" s="141">
        <v>162</v>
      </c>
      <c r="P12" s="141">
        <v>75</v>
      </c>
      <c r="Q12" s="118">
        <f t="shared" si="3"/>
        <v>0.2038615471164944</v>
      </c>
      <c r="R12" s="31">
        <v>0.15</v>
      </c>
      <c r="S12" s="119">
        <f t="shared" si="1"/>
        <v>86.25</v>
      </c>
      <c r="T12" s="119">
        <f t="shared" ref="T12:AB12" si="17">S12*(1+$R12)</f>
        <v>99.187499999999986</v>
      </c>
      <c r="U12" s="119">
        <f t="shared" si="17"/>
        <v>114.06562499999997</v>
      </c>
      <c r="V12" s="119">
        <f t="shared" si="17"/>
        <v>131.17546874999996</v>
      </c>
      <c r="W12" s="119">
        <f t="shared" si="17"/>
        <v>150.85178906249996</v>
      </c>
      <c r="X12" s="119">
        <f t="shared" si="17"/>
        <v>173.47955742187494</v>
      </c>
      <c r="Y12" s="119">
        <f t="shared" si="17"/>
        <v>199.50149103515616</v>
      </c>
      <c r="Z12" s="119">
        <f t="shared" si="17"/>
        <v>229.42671469042958</v>
      </c>
      <c r="AA12" s="119">
        <f t="shared" si="17"/>
        <v>263.84072189399399</v>
      </c>
      <c r="AB12" s="119">
        <f t="shared" si="17"/>
        <v>303.41683017809305</v>
      </c>
      <c r="AC12" s="138">
        <f t="shared" si="16"/>
        <v>0.16378618404032075</v>
      </c>
      <c r="AD12" s="31">
        <v>0.08</v>
      </c>
      <c r="AE12" s="127">
        <f t="shared" si="14"/>
        <v>2522.2308211898066</v>
      </c>
    </row>
    <row r="13" spans="2:31">
      <c r="B13" s="20" t="s">
        <v>218</v>
      </c>
      <c r="C13" s="141"/>
      <c r="D13" s="141"/>
      <c r="E13" s="141"/>
      <c r="F13" s="141"/>
      <c r="G13" s="141">
        <v>0.01</v>
      </c>
      <c r="H13" s="141">
        <v>10</v>
      </c>
      <c r="I13" s="141">
        <v>37</v>
      </c>
      <c r="J13" s="141">
        <v>158</v>
      </c>
      <c r="K13" s="141">
        <v>240</v>
      </c>
      <c r="L13" s="141">
        <v>195</v>
      </c>
      <c r="M13" s="141">
        <v>266</v>
      </c>
      <c r="N13" s="141">
        <v>258</v>
      </c>
      <c r="O13" s="141">
        <v>155</v>
      </c>
      <c r="P13" s="141">
        <v>15</v>
      </c>
      <c r="Q13" s="118">
        <f t="shared" si="3"/>
        <v>1.4946602519952057</v>
      </c>
      <c r="R13" s="31">
        <v>0.15</v>
      </c>
      <c r="S13" s="119">
        <f t="shared" si="1"/>
        <v>17.25</v>
      </c>
      <c r="T13" s="119">
        <f t="shared" ref="T13:AB13" si="18">S13*(1+$R13)</f>
        <v>19.837499999999999</v>
      </c>
      <c r="U13" s="119">
        <f t="shared" si="18"/>
        <v>22.813124999999996</v>
      </c>
      <c r="V13" s="119">
        <f t="shared" si="18"/>
        <v>26.235093749999994</v>
      </c>
      <c r="W13" s="119">
        <f t="shared" si="18"/>
        <v>30.17035781249999</v>
      </c>
      <c r="X13" s="119">
        <f t="shared" si="18"/>
        <v>34.695911484374989</v>
      </c>
      <c r="Y13" s="119">
        <f t="shared" si="18"/>
        <v>39.900298207031234</v>
      </c>
      <c r="Z13" s="119">
        <f t="shared" si="18"/>
        <v>45.885342938085913</v>
      </c>
      <c r="AA13" s="119">
        <f t="shared" si="18"/>
        <v>52.768144378798794</v>
      </c>
      <c r="AB13" s="119">
        <f t="shared" si="18"/>
        <v>60.683366035618612</v>
      </c>
      <c r="AC13" s="138">
        <f t="shared" si="16"/>
        <v>0.58164469716623657</v>
      </c>
      <c r="AD13" s="31">
        <v>0.08</v>
      </c>
      <c r="AE13" s="127">
        <f t="shared" si="14"/>
        <v>685.56802926024204</v>
      </c>
    </row>
    <row r="14" spans="2:31">
      <c r="B14" s="20" t="s">
        <v>19</v>
      </c>
      <c r="C14" s="141"/>
      <c r="D14" s="141"/>
      <c r="E14" s="141"/>
      <c r="F14" s="141"/>
      <c r="G14" s="141">
        <v>69</v>
      </c>
      <c r="H14" s="141">
        <v>102</v>
      </c>
      <c r="I14" s="141">
        <v>132</v>
      </c>
      <c r="J14" s="141">
        <v>331</v>
      </c>
      <c r="K14" s="141">
        <v>355</v>
      </c>
      <c r="L14" s="141">
        <v>484</v>
      </c>
      <c r="M14" s="141">
        <v>366</v>
      </c>
      <c r="N14" s="141">
        <v>478</v>
      </c>
      <c r="O14" s="141">
        <v>654</v>
      </c>
      <c r="P14" s="141">
        <v>916</v>
      </c>
      <c r="Q14" s="118">
        <f t="shared" si="3"/>
        <v>0.38159514321379384</v>
      </c>
      <c r="R14" s="31">
        <v>0.15</v>
      </c>
      <c r="S14" s="119">
        <f t="shared" si="1"/>
        <v>1053.3999999999999</v>
      </c>
      <c r="T14" s="119">
        <f t="shared" ref="T14:AB14" si="19">S14*(1+$R14)</f>
        <v>1211.4099999999999</v>
      </c>
      <c r="U14" s="119">
        <f t="shared" si="19"/>
        <v>1393.1214999999997</v>
      </c>
      <c r="V14" s="119">
        <f t="shared" si="19"/>
        <v>1602.0897249999996</v>
      </c>
      <c r="W14" s="119">
        <f t="shared" si="19"/>
        <v>1842.4031837499995</v>
      </c>
      <c r="X14" s="119">
        <f t="shared" si="19"/>
        <v>2118.7636613124992</v>
      </c>
      <c r="Y14" s="119">
        <f t="shared" si="19"/>
        <v>2436.578210509374</v>
      </c>
      <c r="Z14" s="119">
        <f t="shared" si="19"/>
        <v>2802.0649420857799</v>
      </c>
      <c r="AA14" s="119">
        <f t="shared" si="19"/>
        <v>3222.3746833986465</v>
      </c>
      <c r="AB14" s="119">
        <f t="shared" si="19"/>
        <v>3705.7308859084433</v>
      </c>
      <c r="AC14" s="138">
        <f t="shared" si="16"/>
        <v>0.2332579851460348</v>
      </c>
      <c r="AD14" s="31">
        <v>0.08</v>
      </c>
      <c r="AE14" s="127">
        <f t="shared" si="14"/>
        <v>32643.730041777693</v>
      </c>
    </row>
    <row r="15" spans="2:31">
      <c r="B15" s="20" t="s">
        <v>23</v>
      </c>
      <c r="C15" s="141"/>
      <c r="D15" s="141"/>
      <c r="E15" s="141"/>
      <c r="F15" s="141"/>
      <c r="G15" s="141">
        <v>23</v>
      </c>
      <c r="H15" s="141">
        <v>11</v>
      </c>
      <c r="I15" s="141">
        <v>-12.8</v>
      </c>
      <c r="J15" s="141">
        <v>-67</v>
      </c>
      <c r="K15" s="141">
        <v>-11</v>
      </c>
      <c r="L15" s="141">
        <v>107</v>
      </c>
      <c r="M15" s="141">
        <v>120</v>
      </c>
      <c r="N15" s="141">
        <v>143</v>
      </c>
      <c r="O15" s="141">
        <v>194</v>
      </c>
      <c r="P15" s="141">
        <v>300</v>
      </c>
      <c r="Q15" s="118">
        <f t="shared" si="3"/>
        <v>0.37855525257163958</v>
      </c>
      <c r="R15" s="31">
        <v>0.15</v>
      </c>
      <c r="S15" s="119">
        <f t="shared" si="1"/>
        <v>345</v>
      </c>
      <c r="T15" s="119">
        <f t="shared" ref="T15:AB15" si="20">S15*(1+$R15)</f>
        <v>396.74999999999994</v>
      </c>
      <c r="U15" s="119">
        <f t="shared" si="20"/>
        <v>456.26249999999987</v>
      </c>
      <c r="V15" s="119">
        <f t="shared" si="20"/>
        <v>524.70187499999986</v>
      </c>
      <c r="W15" s="119">
        <f t="shared" si="20"/>
        <v>603.40715624999984</v>
      </c>
      <c r="X15" s="119">
        <f t="shared" si="20"/>
        <v>693.91822968749977</v>
      </c>
      <c r="Y15" s="119">
        <f t="shared" si="20"/>
        <v>798.00596414062466</v>
      </c>
      <c r="Z15" s="119">
        <f t="shared" si="20"/>
        <v>917.70685876171831</v>
      </c>
      <c r="AA15" s="119">
        <f t="shared" si="20"/>
        <v>1055.3628875759759</v>
      </c>
      <c r="AB15" s="119">
        <f t="shared" si="20"/>
        <v>1213.6673207123722</v>
      </c>
      <c r="AC15" s="138">
        <f t="shared" si="16"/>
        <v>0.23211472693558899</v>
      </c>
      <c r="AD15" s="31">
        <v>0.08</v>
      </c>
      <c r="AE15" s="127">
        <f t="shared" si="14"/>
        <v>10681.266996072658</v>
      </c>
    </row>
    <row r="16" spans="2:31">
      <c r="B16" s="20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28"/>
      <c r="R16" s="128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39"/>
      <c r="AD16" s="20"/>
      <c r="AE16" s="20"/>
    </row>
    <row r="17" spans="2:31">
      <c r="B17" s="20" t="s">
        <v>278</v>
      </c>
      <c r="C17" s="141"/>
      <c r="D17" s="141"/>
      <c r="E17" s="141"/>
      <c r="F17" s="141"/>
      <c r="G17" s="141">
        <v>17</v>
      </c>
      <c r="H17" s="141">
        <v>21</v>
      </c>
      <c r="I17" s="141">
        <v>28</v>
      </c>
      <c r="J17" s="141">
        <v>55</v>
      </c>
      <c r="K17" s="141">
        <v>104</v>
      </c>
      <c r="L17" s="141">
        <v>140</v>
      </c>
      <c r="M17" s="141">
        <v>138</v>
      </c>
      <c r="N17" s="141">
        <v>142</v>
      </c>
      <c r="O17" s="141">
        <v>240</v>
      </c>
      <c r="P17" s="141">
        <v>294</v>
      </c>
      <c r="Q17" s="118">
        <f>((P17/G17)^(1/($H$3-$H$2) ))-1</f>
        <v>0.42802990119493267</v>
      </c>
      <c r="R17" s="31">
        <v>0.15</v>
      </c>
      <c r="S17" s="119">
        <f t="shared" ref="S17:S31" si="21">P17*(1+$R17)</f>
        <v>338.09999999999997</v>
      </c>
      <c r="T17" s="119">
        <f t="shared" ref="T17:T31" si="22">S17*(1+$R17)</f>
        <v>388.81499999999994</v>
      </c>
      <c r="U17" s="119">
        <f t="shared" ref="U17:U31" si="23">T17*(1+$R17)</f>
        <v>447.13724999999988</v>
      </c>
      <c r="V17" s="119">
        <f t="shared" ref="V17:V31" si="24">U17*(1+$R17)</f>
        <v>514.20783749999987</v>
      </c>
      <c r="W17" s="119">
        <f t="shared" ref="W17:W31" si="25">V17*(1+$R17)</f>
        <v>591.33901312499984</v>
      </c>
      <c r="X17" s="119">
        <f t="shared" ref="X17:X31" si="26">W17*(1+$R17)</f>
        <v>680.03986509374977</v>
      </c>
      <c r="Y17" s="119">
        <f t="shared" ref="Y17:Y31" si="27">X17*(1+$R17)</f>
        <v>782.0458448578122</v>
      </c>
      <c r="Z17" s="119">
        <f t="shared" ref="Z17:Z31" si="28">Y17*(1+$R17)</f>
        <v>899.35272158648399</v>
      </c>
      <c r="AA17" s="119">
        <f t="shared" ref="AA17:AA31" si="29">Z17*(1+$R17)</f>
        <v>1034.2556298244565</v>
      </c>
      <c r="AB17" s="119">
        <f t="shared" ref="AB17:AB31" si="30">AA17*(1+$R17)</f>
        <v>1189.3939742981249</v>
      </c>
      <c r="AC17" s="138">
        <f t="shared" si="16"/>
        <v>0.25054343204471241</v>
      </c>
      <c r="AD17" s="31">
        <v>0.08</v>
      </c>
      <c r="AE17" s="127">
        <f>(AB17*(1+AC17))/($C$2-AD17)</f>
        <v>10624.205876229125</v>
      </c>
    </row>
    <row r="18" spans="2:31">
      <c r="B18" s="20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28"/>
      <c r="R18" s="128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38"/>
      <c r="AD18" s="20"/>
      <c r="AE18" s="20"/>
    </row>
    <row r="19" spans="2:31">
      <c r="B19" s="20" t="s">
        <v>286</v>
      </c>
      <c r="C19" s="141"/>
      <c r="D19" s="141"/>
      <c r="E19" s="141"/>
      <c r="F19" s="141"/>
      <c r="G19" s="141">
        <v>11.2</v>
      </c>
      <c r="H19" s="141">
        <v>30</v>
      </c>
      <c r="I19" s="141">
        <v>52</v>
      </c>
      <c r="J19" s="141">
        <v>165</v>
      </c>
      <c r="K19" s="141">
        <v>93.4</v>
      </c>
      <c r="L19" s="141">
        <v>87.7</v>
      </c>
      <c r="M19" s="141">
        <v>130.9</v>
      </c>
      <c r="N19" s="141">
        <v>131.19999999999999</v>
      </c>
      <c r="O19" s="147">
        <v>32.015000000000001</v>
      </c>
      <c r="P19" s="141">
        <v>35</v>
      </c>
      <c r="Q19" s="118">
        <f>((P19/G19)^(1/($H$3-$H$2) ))-1</f>
        <v>0.1530715390799684</v>
      </c>
      <c r="R19" s="31">
        <v>0.15</v>
      </c>
      <c r="S19" s="119">
        <f t="shared" ref="S19:S21" si="31">P19*(1+$R19)</f>
        <v>40.25</v>
      </c>
      <c r="T19" s="119">
        <f t="shared" ref="T19:T21" si="32">S19*(1+$R19)</f>
        <v>46.287499999999994</v>
      </c>
      <c r="U19" s="119">
        <f t="shared" ref="U19:U21" si="33">T19*(1+$R19)</f>
        <v>53.230624999999989</v>
      </c>
      <c r="V19" s="119">
        <f t="shared" ref="V19:V21" si="34">U19*(1+$R19)</f>
        <v>61.215218749999984</v>
      </c>
      <c r="W19" s="119">
        <f t="shared" ref="W19:W21" si="35">V19*(1+$R19)</f>
        <v>70.397501562499983</v>
      </c>
      <c r="X19" s="119">
        <f t="shared" ref="X19:X21" si="36">W19*(1+$R19)</f>
        <v>80.957126796874974</v>
      </c>
      <c r="Y19" s="119">
        <f t="shared" ref="Y19:Y21" si="37">X19*(1+$R19)</f>
        <v>93.100695816406215</v>
      </c>
      <c r="Z19" s="119">
        <f t="shared" ref="Z19:Z21" si="38">Y19*(1+$R19)</f>
        <v>107.06580018886714</v>
      </c>
      <c r="AA19" s="119">
        <f t="shared" ref="AA19:AA21" si="39">Z19*(1+$R19)</f>
        <v>123.12567021719721</v>
      </c>
      <c r="AB19" s="119">
        <f t="shared" ref="AB19:AB21" si="40">AA19*(1+$R19)</f>
        <v>141.59452074977679</v>
      </c>
      <c r="AC19" s="138">
        <f t="shared" ref="AC19:AC21" si="41">((AB19/G19)^(1/($AB$4-$H$2) ))-1</f>
        <v>0.14285457125546586</v>
      </c>
      <c r="AD19" s="31">
        <v>0.05</v>
      </c>
      <c r="AE19" s="127">
        <f>(AB19*(1+AC19))/($C$2-AD19)</f>
        <v>951.89379590358431</v>
      </c>
    </row>
    <row r="20" spans="2:31">
      <c r="B20" s="20" t="s">
        <v>287</v>
      </c>
      <c r="C20" s="141"/>
      <c r="D20" s="141"/>
      <c r="E20" s="141"/>
      <c r="F20" s="141"/>
      <c r="G20" s="141">
        <v>-0.69</v>
      </c>
      <c r="H20" s="141">
        <v>-15</v>
      </c>
      <c r="I20" s="141">
        <v>-35</v>
      </c>
      <c r="J20" s="141">
        <v>-154</v>
      </c>
      <c r="K20" s="141">
        <v>-136</v>
      </c>
      <c r="L20" s="141">
        <v>-56.2</v>
      </c>
      <c r="M20" s="141">
        <v>-88.1</v>
      </c>
      <c r="N20" s="141">
        <v>-73.900000000000006</v>
      </c>
      <c r="O20" s="141">
        <v>36.5</v>
      </c>
      <c r="P20" s="141">
        <v>38</v>
      </c>
      <c r="Q20" s="118" t="e">
        <f>((P20/G20)^(1/($H$3-$H$2) ))-1</f>
        <v>#NUM!</v>
      </c>
      <c r="R20" s="31">
        <v>0.15</v>
      </c>
      <c r="S20" s="119">
        <f t="shared" si="31"/>
        <v>43.699999999999996</v>
      </c>
      <c r="T20" s="119">
        <f t="shared" si="32"/>
        <v>50.254999999999988</v>
      </c>
      <c r="U20" s="119">
        <f t="shared" si="33"/>
        <v>57.793249999999979</v>
      </c>
      <c r="V20" s="119">
        <f t="shared" si="34"/>
        <v>66.462237499999972</v>
      </c>
      <c r="W20" s="119">
        <f t="shared" si="35"/>
        <v>76.431573124999957</v>
      </c>
      <c r="X20" s="119">
        <f t="shared" si="36"/>
        <v>87.896309093749949</v>
      </c>
      <c r="Y20" s="119">
        <f t="shared" si="37"/>
        <v>101.08075545781243</v>
      </c>
      <c r="Z20" s="119">
        <f t="shared" si="38"/>
        <v>116.24286877648429</v>
      </c>
      <c r="AA20" s="119">
        <f t="shared" si="39"/>
        <v>133.67929909295691</v>
      </c>
      <c r="AB20" s="119">
        <f t="shared" si="40"/>
        <v>153.73119395690043</v>
      </c>
      <c r="AC20" s="138">
        <f t="shared" si="41"/>
        <v>-2.3291511263825173</v>
      </c>
      <c r="AD20" s="31">
        <v>0.05</v>
      </c>
      <c r="AE20" s="127">
        <f>(AB20*(1+AC20))/($C$2-AD20)</f>
        <v>-1201.9528800467262</v>
      </c>
    </row>
    <row r="21" spans="2:31">
      <c r="B21" s="20" t="s">
        <v>288</v>
      </c>
      <c r="C21" s="141"/>
      <c r="D21" s="141"/>
      <c r="E21" s="141"/>
      <c r="F21" s="141"/>
      <c r="G21" s="141">
        <v>-6</v>
      </c>
      <c r="H21" s="141">
        <v>-10</v>
      </c>
      <c r="I21" s="141">
        <v>-7</v>
      </c>
      <c r="J21" s="141">
        <v>4</v>
      </c>
      <c r="K21" s="141">
        <v>41.5</v>
      </c>
      <c r="L21" s="141">
        <v>-21.1</v>
      </c>
      <c r="M21" s="141">
        <v>-43.5</v>
      </c>
      <c r="N21" s="141">
        <v>1.7600000000000001E-2</v>
      </c>
      <c r="O21" s="141">
        <v>-69.3</v>
      </c>
      <c r="P21" s="141">
        <v>-70</v>
      </c>
      <c r="Q21" s="118">
        <f>((P21/G21)^(1/($H$3-$H$2) ))-1</f>
        <v>0.35946599458873618</v>
      </c>
      <c r="R21" s="31">
        <v>0.15</v>
      </c>
      <c r="S21" s="119">
        <f t="shared" si="31"/>
        <v>-80.5</v>
      </c>
      <c r="T21" s="119">
        <f t="shared" si="32"/>
        <v>-92.574999999999989</v>
      </c>
      <c r="U21" s="119">
        <f t="shared" si="33"/>
        <v>-106.46124999999998</v>
      </c>
      <c r="V21" s="119">
        <f t="shared" si="34"/>
        <v>-122.43043749999997</v>
      </c>
      <c r="W21" s="119">
        <f t="shared" si="35"/>
        <v>-140.79500312499997</v>
      </c>
      <c r="X21" s="119">
        <f t="shared" si="36"/>
        <v>-161.91425359374995</v>
      </c>
      <c r="Y21" s="119">
        <f t="shared" si="37"/>
        <v>-186.20139163281243</v>
      </c>
      <c r="Z21" s="119">
        <f t="shared" si="38"/>
        <v>-214.13160037773429</v>
      </c>
      <c r="AA21" s="119">
        <f t="shared" si="39"/>
        <v>-246.25134043439442</v>
      </c>
      <c r="AB21" s="119">
        <f t="shared" si="40"/>
        <v>-283.18904149955358</v>
      </c>
      <c r="AC21" s="138">
        <f t="shared" si="41"/>
        <v>0.22490194980732192</v>
      </c>
      <c r="AD21" s="31">
        <v>0.05</v>
      </c>
      <c r="AE21" s="127">
        <f>(AB21*(1+AC21))/($C$2-AD21)</f>
        <v>-2040.4635829227634</v>
      </c>
    </row>
    <row r="22" spans="2:31">
      <c r="B22" s="20" t="s">
        <v>296</v>
      </c>
      <c r="C22" s="141"/>
      <c r="D22" s="141"/>
      <c r="E22" s="141"/>
      <c r="F22" s="141"/>
      <c r="G22" s="141">
        <v>16</v>
      </c>
      <c r="H22" s="141">
        <v>20</v>
      </c>
      <c r="I22" s="141">
        <v>30</v>
      </c>
      <c r="J22" s="141">
        <v>28</v>
      </c>
      <c r="K22" s="141">
        <v>30.3</v>
      </c>
      <c r="L22" s="141">
        <v>40</v>
      </c>
      <c r="M22" s="141">
        <v>39.4</v>
      </c>
      <c r="N22" s="141">
        <v>78.59</v>
      </c>
      <c r="O22" s="141">
        <v>80.180000000000007</v>
      </c>
      <c r="P22" s="141">
        <v>-81</v>
      </c>
      <c r="Q22" s="118" t="e">
        <f>((P22/G22)^(1/($H$3-$H$2) ))-1</f>
        <v>#NUM!</v>
      </c>
      <c r="R22" s="31">
        <v>0.15</v>
      </c>
      <c r="S22" s="119">
        <f t="shared" ref="S22" si="42">P22*(1+$R22)</f>
        <v>-93.149999999999991</v>
      </c>
      <c r="T22" s="119">
        <f t="shared" ref="T22" si="43">S22*(1+$R22)</f>
        <v>-107.12249999999999</v>
      </c>
      <c r="U22" s="119">
        <f t="shared" ref="U22" si="44">T22*(1+$R22)</f>
        <v>-123.19087499999998</v>
      </c>
      <c r="V22" s="119">
        <f t="shared" ref="V22" si="45">U22*(1+$R22)</f>
        <v>-141.66950624999996</v>
      </c>
      <c r="W22" s="119">
        <f t="shared" ref="W22" si="46">V22*(1+$R22)</f>
        <v>-162.91993218749994</v>
      </c>
      <c r="X22" s="119">
        <f t="shared" ref="X22" si="47">W22*(1+$R22)</f>
        <v>-187.35792201562492</v>
      </c>
      <c r="Y22" s="119">
        <f t="shared" ref="Y22" si="48">X22*(1+$R22)</f>
        <v>-215.46161031796865</v>
      </c>
      <c r="Z22" s="119">
        <f t="shared" ref="Z22" si="49">Y22*(1+$R22)</f>
        <v>-247.78085186566392</v>
      </c>
      <c r="AA22" s="119">
        <f t="shared" ref="AA22" si="50">Z22*(1+$R22)</f>
        <v>-284.9479796455135</v>
      </c>
      <c r="AB22" s="119">
        <f t="shared" ref="AB22" si="51">AA22*(1+$R22)</f>
        <v>-327.69017659234049</v>
      </c>
      <c r="AC22" s="138">
        <f t="shared" ref="AC22" si="52">((AB22/G22)^(1/($AB$4-$H$2) ))-1</f>
        <v>-2.1722441545233551</v>
      </c>
      <c r="AD22" s="31">
        <v>0.05</v>
      </c>
      <c r="AE22" s="127">
        <f>(AB22*(1+AC22))/($C$2-AD22)</f>
        <v>2259.6052588535126</v>
      </c>
    </row>
    <row r="23" spans="2:31">
      <c r="B23" s="20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28"/>
      <c r="R23" s="128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38"/>
      <c r="AD23" s="20"/>
      <c r="AE23" s="20"/>
    </row>
    <row r="24" spans="2:31">
      <c r="B24" s="20" t="s">
        <v>89</v>
      </c>
      <c r="C24" s="141"/>
      <c r="D24" s="141"/>
      <c r="E24" s="141"/>
      <c r="F24" s="141"/>
      <c r="G24" s="141">
        <v>113</v>
      </c>
      <c r="H24" s="141">
        <v>249</v>
      </c>
      <c r="I24" s="141">
        <v>265</v>
      </c>
      <c r="J24" s="141">
        <v>650</v>
      </c>
      <c r="K24" s="141">
        <v>760</v>
      </c>
      <c r="L24" s="141">
        <v>944</v>
      </c>
      <c r="M24" s="141">
        <v>763</v>
      </c>
      <c r="N24" s="141">
        <v>692</v>
      </c>
      <c r="O24" s="141">
        <v>1050</v>
      </c>
      <c r="P24" s="146">
        <v>922</v>
      </c>
      <c r="Q24" s="118">
        <f>((P24/G24)^(1/($H$3-$H$2) ))-1</f>
        <v>0.3000395350806031</v>
      </c>
      <c r="R24" s="31">
        <v>0.15</v>
      </c>
      <c r="S24" s="119">
        <f t="shared" si="21"/>
        <v>1060.3</v>
      </c>
      <c r="T24" s="119">
        <f t="shared" si="22"/>
        <v>1219.3449999999998</v>
      </c>
      <c r="U24" s="119">
        <f t="shared" si="23"/>
        <v>1402.2467499999996</v>
      </c>
      <c r="V24" s="119">
        <f t="shared" si="24"/>
        <v>1612.5837624999995</v>
      </c>
      <c r="W24" s="119">
        <f t="shared" si="25"/>
        <v>1854.4713268749992</v>
      </c>
      <c r="X24" s="119">
        <f t="shared" si="26"/>
        <v>2132.6420259062488</v>
      </c>
      <c r="Y24" s="119">
        <f t="shared" si="27"/>
        <v>2452.5383297921858</v>
      </c>
      <c r="Z24" s="119">
        <f t="shared" si="28"/>
        <v>2820.4190792610134</v>
      </c>
      <c r="AA24" s="119">
        <f t="shared" si="29"/>
        <v>3243.4819411501653</v>
      </c>
      <c r="AB24" s="119">
        <f t="shared" si="30"/>
        <v>3730.0042323226899</v>
      </c>
      <c r="AC24" s="138">
        <f t="shared" si="16"/>
        <v>0.20206496937803942</v>
      </c>
      <c r="AD24" s="31">
        <v>0.08</v>
      </c>
      <c r="AE24" s="127">
        <f>(AB24*(1+AC24))/($C$2-AD24)</f>
        <v>32026.481595049507</v>
      </c>
    </row>
    <row r="25" spans="2:31">
      <c r="B25" s="20" t="s">
        <v>262</v>
      </c>
      <c r="C25" s="141"/>
      <c r="D25" s="141"/>
      <c r="E25" s="141"/>
      <c r="F25" s="141"/>
      <c r="G25" s="141">
        <v>100</v>
      </c>
      <c r="H25" s="141">
        <v>217</v>
      </c>
      <c r="I25" s="141">
        <v>228</v>
      </c>
      <c r="J25" s="141">
        <v>535</v>
      </c>
      <c r="K25" s="141">
        <v>580</v>
      </c>
      <c r="L25" s="141">
        <v>790</v>
      </c>
      <c r="M25" s="141">
        <v>624</v>
      </c>
      <c r="N25" s="141">
        <v>616</v>
      </c>
      <c r="O25" s="141">
        <v>912</v>
      </c>
      <c r="P25" s="146">
        <v>523</v>
      </c>
      <c r="Q25" s="118">
        <f>((P25/G25)^(1/($H$3-$H$2) ))-1</f>
        <v>0.22973833349861206</v>
      </c>
      <c r="R25" s="31">
        <v>0.15</v>
      </c>
      <c r="S25" s="119">
        <f t="shared" si="21"/>
        <v>601.44999999999993</v>
      </c>
      <c r="T25" s="119">
        <f t="shared" si="22"/>
        <v>691.6674999999999</v>
      </c>
      <c r="U25" s="119">
        <f t="shared" si="23"/>
        <v>795.41762499999982</v>
      </c>
      <c r="V25" s="119">
        <f t="shared" si="24"/>
        <v>914.73026874999971</v>
      </c>
      <c r="W25" s="119">
        <f t="shared" si="25"/>
        <v>1051.9398090624995</v>
      </c>
      <c r="X25" s="119">
        <f t="shared" si="26"/>
        <v>1209.7307804218744</v>
      </c>
      <c r="Y25" s="119">
        <f t="shared" si="27"/>
        <v>1391.1903974851555</v>
      </c>
      <c r="Z25" s="119">
        <f t="shared" si="28"/>
        <v>1599.8689571079287</v>
      </c>
      <c r="AA25" s="119">
        <f t="shared" si="29"/>
        <v>1839.849300674118</v>
      </c>
      <c r="AB25" s="119">
        <f t="shared" si="30"/>
        <v>2115.8266957752357</v>
      </c>
      <c r="AC25" s="138">
        <f t="shared" si="16"/>
        <v>0.17425416731273957</v>
      </c>
      <c r="AD25" s="31">
        <v>0.08</v>
      </c>
      <c r="AE25" s="127">
        <f>(AB25*(1+AC25))/($C$2-AD25)</f>
        <v>17746.559391611532</v>
      </c>
    </row>
    <row r="26" spans="2:31">
      <c r="B26" s="20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6"/>
      <c r="Q26" s="118"/>
      <c r="R26" s="31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38"/>
      <c r="AD26" s="31"/>
      <c r="AE26" s="127"/>
    </row>
    <row r="27" spans="2:31">
      <c r="B27" s="20" t="s">
        <v>300</v>
      </c>
      <c r="C27" s="141"/>
      <c r="D27" s="141"/>
      <c r="E27" s="141"/>
      <c r="F27" s="141"/>
      <c r="G27" s="141">
        <v>1</v>
      </c>
      <c r="H27" s="141"/>
      <c r="I27" s="141"/>
      <c r="J27" s="141"/>
      <c r="K27" s="141"/>
      <c r="L27" s="141"/>
      <c r="M27" s="141"/>
      <c r="N27" s="141"/>
      <c r="O27" s="141"/>
      <c r="P27" s="141">
        <v>2</v>
      </c>
      <c r="Q27" s="118">
        <f>((P27/G27)^(1/($H$3-$H$2) ))-1</f>
        <v>9.050773266525769E-2</v>
      </c>
      <c r="R27" s="31">
        <v>0.15</v>
      </c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38"/>
      <c r="AD27" s="31"/>
      <c r="AE27" s="127"/>
    </row>
    <row r="28" spans="2:31">
      <c r="B28" s="20" t="s">
        <v>279</v>
      </c>
      <c r="C28" s="141"/>
      <c r="D28" s="141"/>
      <c r="E28" s="141"/>
      <c r="F28" s="141"/>
      <c r="G28" s="141">
        <v>64</v>
      </c>
      <c r="H28" s="141">
        <v>168</v>
      </c>
      <c r="I28" s="141">
        <v>171</v>
      </c>
      <c r="J28" s="141">
        <v>412</v>
      </c>
      <c r="K28" s="141">
        <v>392</v>
      </c>
      <c r="L28" s="141">
        <v>410</v>
      </c>
      <c r="M28" s="141">
        <v>315</v>
      </c>
      <c r="N28" s="141">
        <v>395</v>
      </c>
      <c r="O28" s="141">
        <v>581</v>
      </c>
      <c r="P28" s="146">
        <v>855</v>
      </c>
      <c r="Q28" s="118">
        <f>((P28/G28)^(1/($H$3-$H$2) ))-1</f>
        <v>0.38268505141341214</v>
      </c>
      <c r="R28" s="31">
        <v>0.15</v>
      </c>
      <c r="S28" s="119">
        <f t="shared" si="21"/>
        <v>983.24999999999989</v>
      </c>
      <c r="T28" s="119">
        <f t="shared" si="22"/>
        <v>1130.7374999999997</v>
      </c>
      <c r="U28" s="119">
        <f t="shared" si="23"/>
        <v>1300.3481249999995</v>
      </c>
      <c r="V28" s="119">
        <f t="shared" si="24"/>
        <v>1495.4003437499994</v>
      </c>
      <c r="W28" s="119">
        <f t="shared" si="25"/>
        <v>1719.710395312499</v>
      </c>
      <c r="X28" s="119">
        <f t="shared" si="26"/>
        <v>1977.6669546093738</v>
      </c>
      <c r="Y28" s="119">
        <f t="shared" si="27"/>
        <v>2274.3169978007795</v>
      </c>
      <c r="Z28" s="119">
        <f t="shared" si="28"/>
        <v>2615.4645474708964</v>
      </c>
      <c r="AA28" s="119">
        <f t="shared" si="29"/>
        <v>3007.7842295915307</v>
      </c>
      <c r="AB28" s="119">
        <f t="shared" si="30"/>
        <v>3458.9518640302599</v>
      </c>
      <c r="AC28" s="138">
        <f t="shared" si="16"/>
        <v>0.23366752889260001</v>
      </c>
      <c r="AD28" s="31">
        <v>0.08</v>
      </c>
      <c r="AE28" s="127">
        <f>(AB28*(1+AC28))/($C$2-AD28)</f>
        <v>30479.975704690445</v>
      </c>
    </row>
    <row r="29" spans="2:31">
      <c r="B29" s="20" t="s">
        <v>282</v>
      </c>
      <c r="C29" s="141"/>
      <c r="D29" s="141"/>
      <c r="E29" s="141"/>
      <c r="F29" s="141"/>
      <c r="G29" s="141">
        <v>8</v>
      </c>
      <c r="H29" s="141">
        <v>13</v>
      </c>
      <c r="I29" s="141">
        <v>18</v>
      </c>
      <c r="J29" s="141">
        <v>35</v>
      </c>
      <c r="K29" s="141">
        <v>61</v>
      </c>
      <c r="L29" s="141">
        <v>85</v>
      </c>
      <c r="M29" s="141">
        <v>70</v>
      </c>
      <c r="N29" s="141">
        <v>76</v>
      </c>
      <c r="O29" s="141">
        <v>96</v>
      </c>
      <c r="P29" s="146">
        <v>113</v>
      </c>
      <c r="Q29" s="118">
        <f>((P29/G29)^(1/($H$3-$H$2) ))-1</f>
        <v>0.39235044212710624</v>
      </c>
      <c r="R29" s="31">
        <v>0.15</v>
      </c>
      <c r="S29" s="119">
        <f t="shared" si="21"/>
        <v>129.94999999999999</v>
      </c>
      <c r="T29" s="119">
        <f t="shared" si="22"/>
        <v>149.44249999999997</v>
      </c>
      <c r="U29" s="119">
        <f t="shared" si="23"/>
        <v>171.85887499999995</v>
      </c>
      <c r="V29" s="119">
        <f t="shared" si="24"/>
        <v>197.63770624999992</v>
      </c>
      <c r="W29" s="119">
        <f t="shared" si="25"/>
        <v>227.2833621874999</v>
      </c>
      <c r="X29" s="119">
        <f t="shared" si="26"/>
        <v>261.37586651562486</v>
      </c>
      <c r="Y29" s="119">
        <f t="shared" si="27"/>
        <v>300.58224649296858</v>
      </c>
      <c r="Z29" s="119">
        <f t="shared" si="28"/>
        <v>345.66958346691382</v>
      </c>
      <c r="AA29" s="119">
        <f t="shared" si="29"/>
        <v>397.52002098695084</v>
      </c>
      <c r="AB29" s="119">
        <f t="shared" si="30"/>
        <v>457.14802413499342</v>
      </c>
      <c r="AC29" s="138">
        <f t="shared" si="16"/>
        <v>0.23729124530422285</v>
      </c>
      <c r="AD29" s="31">
        <v>0.08</v>
      </c>
      <c r="AE29" s="127">
        <f>(AB29*(1+AC29))/($C$2-AD29)</f>
        <v>4040.1803433596492</v>
      </c>
    </row>
    <row r="30" spans="2:31">
      <c r="B30" s="2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28"/>
      <c r="R30" s="128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39"/>
      <c r="AD30" s="20"/>
      <c r="AE30" s="20"/>
    </row>
    <row r="31" spans="2:31">
      <c r="B31" s="20" t="s">
        <v>280</v>
      </c>
      <c r="C31" s="141"/>
      <c r="D31" s="141"/>
      <c r="E31" s="141"/>
      <c r="F31" s="141"/>
      <c r="G31" s="141">
        <v>19</v>
      </c>
      <c r="H31" s="141">
        <v>29</v>
      </c>
      <c r="I31" s="141">
        <v>35</v>
      </c>
      <c r="J31" s="141">
        <v>106</v>
      </c>
      <c r="K31" s="141">
        <v>143</v>
      </c>
      <c r="L31" s="141">
        <v>164</v>
      </c>
      <c r="M31" s="141">
        <v>110</v>
      </c>
      <c r="N31" s="141">
        <v>48</v>
      </c>
      <c r="O31" s="141">
        <v>92</v>
      </c>
      <c r="P31" s="141">
        <v>95</v>
      </c>
      <c r="Q31" s="118">
        <f>((P31/G31)^(1/($H$3-$H$2) ))-1</f>
        <v>0.22284454499385187</v>
      </c>
      <c r="R31" s="31">
        <v>0.15</v>
      </c>
      <c r="S31" s="119">
        <f t="shared" si="21"/>
        <v>109.24999999999999</v>
      </c>
      <c r="T31" s="119">
        <f t="shared" si="22"/>
        <v>125.63749999999997</v>
      </c>
      <c r="U31" s="119">
        <f t="shared" si="23"/>
        <v>144.48312499999997</v>
      </c>
      <c r="V31" s="119">
        <f t="shared" si="24"/>
        <v>166.15559374999995</v>
      </c>
      <c r="W31" s="119">
        <f t="shared" si="25"/>
        <v>191.07893281249994</v>
      </c>
      <c r="X31" s="119">
        <f t="shared" si="26"/>
        <v>219.74077273437493</v>
      </c>
      <c r="Y31" s="119">
        <f t="shared" si="27"/>
        <v>252.70188864453115</v>
      </c>
      <c r="Z31" s="119">
        <f t="shared" si="28"/>
        <v>290.60717194121082</v>
      </c>
      <c r="AA31" s="119">
        <f t="shared" si="29"/>
        <v>334.19824773239242</v>
      </c>
      <c r="AB31" s="119">
        <f t="shared" si="30"/>
        <v>384.32798489225127</v>
      </c>
      <c r="AC31" s="138">
        <f t="shared" si="16"/>
        <v>0.17147797205095339</v>
      </c>
      <c r="AD31" s="31">
        <v>0.08</v>
      </c>
      <c r="AE31" s="127">
        <f>(AB31*(1+AC31))/($C$2-AD31)</f>
        <v>3215.9412024571707</v>
      </c>
    </row>
    <row r="32" spans="2:31">
      <c r="B32" s="2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28"/>
      <c r="R32" s="128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39"/>
      <c r="AD32" s="20"/>
      <c r="AE32" s="20"/>
    </row>
    <row r="33" spans="2:31">
      <c r="B33" s="20" t="s">
        <v>257</v>
      </c>
      <c r="C33" s="141"/>
      <c r="D33" s="141"/>
      <c r="E33" s="141"/>
      <c r="F33" s="141"/>
      <c r="G33" s="141">
        <v>7</v>
      </c>
      <c r="H33" s="141">
        <v>21</v>
      </c>
      <c r="I33" s="141">
        <v>23</v>
      </c>
      <c r="J33" s="141">
        <v>86</v>
      </c>
      <c r="K33" s="141">
        <v>151</v>
      </c>
      <c r="L33" s="141">
        <v>117</v>
      </c>
      <c r="M33" s="141">
        <v>119</v>
      </c>
      <c r="N33" s="142">
        <v>57</v>
      </c>
      <c r="O33" s="142">
        <v>70</v>
      </c>
      <c r="P33" s="142">
        <v>71</v>
      </c>
      <c r="Q33" s="118">
        <f>((P33/G33)^(1/($H$3-$H$2) ))-1</f>
        <v>0.33588796891823125</v>
      </c>
      <c r="R33" s="31">
        <v>0.15</v>
      </c>
      <c r="S33" s="119">
        <f>P33*(1+$R33)</f>
        <v>81.649999999999991</v>
      </c>
      <c r="T33" s="119">
        <f t="shared" ref="T33:AB33" si="53">S33*(1+$R33)</f>
        <v>93.89749999999998</v>
      </c>
      <c r="U33" s="119">
        <f t="shared" si="53"/>
        <v>107.98212499999997</v>
      </c>
      <c r="V33" s="119">
        <f t="shared" si="53"/>
        <v>124.17944374999995</v>
      </c>
      <c r="W33" s="119">
        <f t="shared" si="53"/>
        <v>142.80636031249992</v>
      </c>
      <c r="X33" s="119">
        <f t="shared" si="53"/>
        <v>164.2273143593749</v>
      </c>
      <c r="Y33" s="119">
        <f t="shared" si="53"/>
        <v>188.86141151328113</v>
      </c>
      <c r="Z33" s="119">
        <f t="shared" si="53"/>
        <v>217.19062324027328</v>
      </c>
      <c r="AA33" s="119">
        <f t="shared" si="53"/>
        <v>249.76921672631426</v>
      </c>
      <c r="AB33" s="119">
        <f t="shared" si="53"/>
        <v>287.23459923526138</v>
      </c>
      <c r="AC33" s="138">
        <f t="shared" si="16"/>
        <v>0.21591170012783567</v>
      </c>
      <c r="AD33" s="31">
        <v>0.08</v>
      </c>
      <c r="AE33" s="127">
        <f>(AB33*(1+AC33))/($C$2-AD33)</f>
        <v>2494.6564992263156</v>
      </c>
    </row>
    <row r="34" spans="2:31">
      <c r="B34" s="2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28"/>
      <c r="R34" s="128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39"/>
      <c r="AD34" s="20"/>
      <c r="AE34" s="20"/>
    </row>
    <row r="35" spans="2:31">
      <c r="B35" s="20" t="s">
        <v>239</v>
      </c>
      <c r="C35" s="143">
        <v>1</v>
      </c>
      <c r="D35" s="143">
        <v>1</v>
      </c>
      <c r="E35" s="144">
        <v>1</v>
      </c>
      <c r="F35" s="144">
        <v>1</v>
      </c>
      <c r="G35" s="145">
        <v>18.309999999999999</v>
      </c>
      <c r="H35" s="146">
        <v>18.309999999999999</v>
      </c>
      <c r="I35" s="146">
        <v>18.309999999999999</v>
      </c>
      <c r="J35" s="143">
        <v>18.309999999999999</v>
      </c>
      <c r="K35" s="143">
        <v>18.309999999999999</v>
      </c>
      <c r="L35" s="147">
        <v>18.34</v>
      </c>
      <c r="M35" s="147">
        <v>18.47</v>
      </c>
      <c r="N35" s="147">
        <v>18.47</v>
      </c>
      <c r="O35" s="147">
        <v>17.95</v>
      </c>
      <c r="P35" s="147">
        <v>17.95</v>
      </c>
      <c r="Q35" s="118">
        <f>((P35/G35)^(1/($H$3-$H$2) ))-1</f>
        <v>-2.4790774683489669E-3</v>
      </c>
      <c r="R35" s="31">
        <v>0.05</v>
      </c>
      <c r="S35" s="119">
        <f t="shared" ref="S35" si="54">P35*(1+$R35)</f>
        <v>18.8475</v>
      </c>
      <c r="T35" s="119">
        <f t="shared" ref="T35:AB35" si="55">S35*(1+$R35)</f>
        <v>19.789875000000002</v>
      </c>
      <c r="U35" s="119">
        <f t="shared" si="55"/>
        <v>20.779368750000003</v>
      </c>
      <c r="V35" s="119">
        <f t="shared" si="55"/>
        <v>21.818337187500003</v>
      </c>
      <c r="W35" s="119">
        <f t="shared" si="55"/>
        <v>22.909254046875002</v>
      </c>
      <c r="X35" s="119">
        <f t="shared" si="55"/>
        <v>24.054716749218752</v>
      </c>
      <c r="Y35" s="119">
        <f t="shared" si="55"/>
        <v>25.25745258667969</v>
      </c>
      <c r="Z35" s="119">
        <f t="shared" si="55"/>
        <v>26.520325216013678</v>
      </c>
      <c r="AA35" s="119">
        <f t="shared" si="55"/>
        <v>27.846341476814363</v>
      </c>
      <c r="AB35" s="119">
        <f t="shared" si="55"/>
        <v>29.238658550655082</v>
      </c>
      <c r="AC35" s="138">
        <f t="shared" si="16"/>
        <v>2.4939837433761936E-2</v>
      </c>
      <c r="AD35" s="31">
        <v>0.08</v>
      </c>
      <c r="AE35" s="127">
        <f>(AB35*(1+AC35))/($C$2-AD35)</f>
        <v>214.05618529778349</v>
      </c>
    </row>
    <row r="36" spans="2:31">
      <c r="B36" s="20"/>
      <c r="C36" s="20"/>
      <c r="D36" s="20"/>
      <c r="E36" s="127"/>
      <c r="F36" s="127"/>
      <c r="G36" s="127"/>
      <c r="H36" s="20"/>
      <c r="I36" s="20"/>
      <c r="J36" s="20"/>
      <c r="K36" s="20"/>
      <c r="L36" s="20"/>
      <c r="M36" s="20"/>
      <c r="N36" s="20"/>
      <c r="O36" s="20"/>
      <c r="P36" s="20"/>
      <c r="Q36" s="128"/>
      <c r="R36" s="128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39"/>
      <c r="AD36" s="20"/>
      <c r="AE36" s="20"/>
    </row>
    <row r="37" spans="2:31">
      <c r="B37" s="108" t="s">
        <v>243</v>
      </c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39"/>
      <c r="AD37" s="20"/>
      <c r="AE37" s="20"/>
    </row>
    <row r="38" spans="2:31">
      <c r="B38" s="20" t="s">
        <v>258</v>
      </c>
      <c r="C38" s="25">
        <f t="shared" ref="C38:M38" si="56">C33/C35</f>
        <v>0</v>
      </c>
      <c r="D38" s="25">
        <f t="shared" si="56"/>
        <v>0</v>
      </c>
      <c r="E38" s="25">
        <f t="shared" si="56"/>
        <v>0</v>
      </c>
      <c r="F38" s="133">
        <f t="shared" si="56"/>
        <v>0</v>
      </c>
      <c r="G38" s="133">
        <f t="shared" si="56"/>
        <v>0.38230475150191157</v>
      </c>
      <c r="H38" s="133">
        <f t="shared" si="56"/>
        <v>1.1469142545057347</v>
      </c>
      <c r="I38" s="133">
        <f t="shared" si="56"/>
        <v>1.2561441835062808</v>
      </c>
      <c r="J38" s="133">
        <f t="shared" si="56"/>
        <v>4.6968869470234846</v>
      </c>
      <c r="K38" s="133">
        <f t="shared" si="56"/>
        <v>8.2468596395412348</v>
      </c>
      <c r="L38" s="133">
        <f t="shared" si="56"/>
        <v>6.3794983642311891</v>
      </c>
      <c r="M38" s="133">
        <f t="shared" si="56"/>
        <v>6.4428803465078506</v>
      </c>
      <c r="N38" s="133">
        <f>N33/N35</f>
        <v>3.0860855441256092</v>
      </c>
      <c r="O38" s="133">
        <f>O33/O35</f>
        <v>3.8997214484679668</v>
      </c>
      <c r="P38" s="133">
        <f>P33/P35</f>
        <v>3.955431754874652</v>
      </c>
      <c r="Q38" s="118">
        <f>((P38/G38)^(1/($H$3-$H$2) ))-1</f>
        <v>0.33920796922015839</v>
      </c>
      <c r="R38" s="31">
        <v>0.15</v>
      </c>
      <c r="S38" s="119">
        <f t="shared" ref="S38:S41" si="57">P38*(1+$R38)</f>
        <v>4.5487465181058493</v>
      </c>
      <c r="T38" s="119">
        <f t="shared" ref="T38:AB41" si="58">S38*(1+$R38)</f>
        <v>5.2310584958217259</v>
      </c>
      <c r="U38" s="119">
        <f t="shared" si="58"/>
        <v>6.0157172701949841</v>
      </c>
      <c r="V38" s="119">
        <f t="shared" si="58"/>
        <v>6.9180748607242313</v>
      </c>
      <c r="W38" s="119">
        <f t="shared" si="58"/>
        <v>7.9557860898328654</v>
      </c>
      <c r="X38" s="119">
        <f t="shared" si="58"/>
        <v>9.1491540033077943</v>
      </c>
      <c r="Y38" s="119">
        <f t="shared" si="58"/>
        <v>10.521527103803962</v>
      </c>
      <c r="Z38" s="119">
        <f t="shared" si="58"/>
        <v>12.099756169374555</v>
      </c>
      <c r="AA38" s="119">
        <f t="shared" si="58"/>
        <v>13.914719594780737</v>
      </c>
      <c r="AB38" s="119">
        <f t="shared" si="58"/>
        <v>16.001927533997847</v>
      </c>
      <c r="AC38" s="138">
        <f t="shared" ref="AC38:AC51" si="59">((AB38/G38)^(1/($AB$4-$H$2) ))-1</f>
        <v>0.21718313572862336</v>
      </c>
      <c r="AD38" s="31">
        <v>0.08</v>
      </c>
      <c r="AE38" s="127">
        <f>(AB38*(1+AC38))/($C$2-AD38)</f>
        <v>139.12340238238355</v>
      </c>
    </row>
    <row r="39" spans="2:31">
      <c r="B39" s="20" t="s">
        <v>245</v>
      </c>
      <c r="C39" s="25">
        <f t="shared" ref="C39:P39" si="60">C8/C35</f>
        <v>0</v>
      </c>
      <c r="D39" s="25">
        <f t="shared" si="60"/>
        <v>0</v>
      </c>
      <c r="E39" s="25">
        <f t="shared" si="60"/>
        <v>0</v>
      </c>
      <c r="F39" s="133">
        <f t="shared" si="60"/>
        <v>0</v>
      </c>
      <c r="G39" s="133">
        <f t="shared" si="60"/>
        <v>1.6930638995084655</v>
      </c>
      <c r="H39" s="133">
        <f t="shared" si="60"/>
        <v>2.2938285090114694</v>
      </c>
      <c r="I39" s="133">
        <f t="shared" si="60"/>
        <v>2.9492080830147462</v>
      </c>
      <c r="J39" s="133">
        <f t="shared" si="60"/>
        <v>8.5199344620426007</v>
      </c>
      <c r="K39" s="133">
        <f t="shared" si="60"/>
        <v>19.060622610595303</v>
      </c>
      <c r="L39" s="133">
        <f t="shared" si="60"/>
        <v>23.664122137404579</v>
      </c>
      <c r="M39" s="133">
        <f t="shared" si="60"/>
        <v>28.532755820249054</v>
      </c>
      <c r="N39" s="133">
        <f t="shared" si="60"/>
        <v>30.265295073091501</v>
      </c>
      <c r="O39" s="133">
        <f t="shared" si="60"/>
        <v>30.807799442896936</v>
      </c>
      <c r="P39" s="133">
        <f t="shared" si="60"/>
        <v>31.754874651810585</v>
      </c>
      <c r="Q39" s="118">
        <f>((P39/G39)^(1/($H$3-$H$2) ))-1</f>
        <v>0.44258739017961335</v>
      </c>
      <c r="R39" s="31">
        <v>0.15</v>
      </c>
      <c r="S39" s="119">
        <f t="shared" si="57"/>
        <v>36.51810584958217</v>
      </c>
      <c r="T39" s="119">
        <f t="shared" si="58"/>
        <v>41.995821727019489</v>
      </c>
      <c r="U39" s="119">
        <f t="shared" si="58"/>
        <v>48.29519498607241</v>
      </c>
      <c r="V39" s="119">
        <f t="shared" si="58"/>
        <v>55.53947423398327</v>
      </c>
      <c r="W39" s="119">
        <f t="shared" si="58"/>
        <v>63.870395369080754</v>
      </c>
      <c r="X39" s="119">
        <f t="shared" si="58"/>
        <v>73.450954674442855</v>
      </c>
      <c r="Y39" s="119">
        <f t="shared" si="58"/>
        <v>84.468597875609277</v>
      </c>
      <c r="Z39" s="119">
        <f t="shared" si="58"/>
        <v>97.138887556950664</v>
      </c>
      <c r="AA39" s="119">
        <f t="shared" si="58"/>
        <v>111.70972069049326</v>
      </c>
      <c r="AB39" s="119">
        <f t="shared" si="58"/>
        <v>128.46617879406725</v>
      </c>
      <c r="AC39" s="138">
        <f t="shared" si="59"/>
        <v>0.25589532872500764</v>
      </c>
      <c r="AD39" s="31">
        <v>0.08</v>
      </c>
      <c r="AE39" s="127">
        <f>(AB39*(1+AC39))/($C$2-AD39)</f>
        <v>1152.4290989044334</v>
      </c>
    </row>
    <row r="40" spans="2:31">
      <c r="B40" s="20" t="s">
        <v>246</v>
      </c>
      <c r="C40" s="127">
        <f t="shared" ref="C40:P40" si="61">C7/C35</f>
        <v>0</v>
      </c>
      <c r="D40" s="127">
        <f t="shared" si="61"/>
        <v>0</v>
      </c>
      <c r="E40" s="127">
        <f t="shared" si="61"/>
        <v>0</v>
      </c>
      <c r="F40" s="148">
        <f t="shared" si="61"/>
        <v>0</v>
      </c>
      <c r="G40" s="148">
        <f t="shared" si="61"/>
        <v>1.2561441835062808</v>
      </c>
      <c r="H40" s="148">
        <f t="shared" si="61"/>
        <v>1.8569087930092847</v>
      </c>
      <c r="I40" s="148">
        <f t="shared" si="61"/>
        <v>2.0753686510103768</v>
      </c>
      <c r="J40" s="148">
        <f t="shared" si="61"/>
        <v>7.0999453850355003</v>
      </c>
      <c r="K40" s="148">
        <f t="shared" si="61"/>
        <v>17.094483888585472</v>
      </c>
      <c r="L40" s="148">
        <f t="shared" si="61"/>
        <v>21.701199563794983</v>
      </c>
      <c r="M40" s="148">
        <f t="shared" si="61"/>
        <v>26.529507309149974</v>
      </c>
      <c r="N40" s="148">
        <f t="shared" si="61"/>
        <v>28.207904710341097</v>
      </c>
      <c r="O40" s="148">
        <f t="shared" si="61"/>
        <v>28.80222841225627</v>
      </c>
      <c r="P40" s="148">
        <f t="shared" si="61"/>
        <v>29.805013927576603</v>
      </c>
      <c r="Q40" s="118">
        <f>((P40/G40)^(1/($H$3-$H$2) ))-1</f>
        <v>0.48561484238213271</v>
      </c>
      <c r="R40" s="31">
        <v>0.15</v>
      </c>
      <c r="S40" s="119">
        <f t="shared" si="57"/>
        <v>34.275766016713092</v>
      </c>
      <c r="T40" s="119">
        <f t="shared" si="58"/>
        <v>39.41713091922005</v>
      </c>
      <c r="U40" s="119">
        <f t="shared" si="58"/>
        <v>45.329700557103052</v>
      </c>
      <c r="V40" s="119">
        <f t="shared" si="58"/>
        <v>52.129155640668507</v>
      </c>
      <c r="W40" s="119">
        <f t="shared" si="58"/>
        <v>59.948528986768778</v>
      </c>
      <c r="X40" s="119">
        <f t="shared" si="58"/>
        <v>68.940808334784094</v>
      </c>
      <c r="Y40" s="119">
        <f t="shared" si="58"/>
        <v>79.281929585001706</v>
      </c>
      <c r="Z40" s="119">
        <f t="shared" si="58"/>
        <v>91.174219022751956</v>
      </c>
      <c r="AA40" s="119">
        <f t="shared" si="58"/>
        <v>104.85035187616474</v>
      </c>
      <c r="AB40" s="119">
        <f t="shared" si="58"/>
        <v>120.57790465758944</v>
      </c>
      <c r="AC40" s="138">
        <f t="shared" si="59"/>
        <v>0.27153348684897916</v>
      </c>
      <c r="AD40" s="31">
        <v>0.08</v>
      </c>
      <c r="AE40" s="127">
        <f>(AB40*(1+AC40))/($C$2-AD40)</f>
        <v>1095.1345967586317</v>
      </c>
    </row>
    <row r="41" spans="2:31">
      <c r="B41" s="20" t="s">
        <v>247</v>
      </c>
      <c r="C41" s="127">
        <f t="shared" ref="C41:P41" si="62">C11/C35</f>
        <v>0</v>
      </c>
      <c r="D41" s="127">
        <f t="shared" si="62"/>
        <v>0</v>
      </c>
      <c r="E41" s="127">
        <f t="shared" si="62"/>
        <v>0</v>
      </c>
      <c r="F41" s="148">
        <f t="shared" si="62"/>
        <v>0</v>
      </c>
      <c r="G41" s="148">
        <f t="shared" si="62"/>
        <v>0</v>
      </c>
      <c r="H41" s="148">
        <f t="shared" si="62"/>
        <v>0</v>
      </c>
      <c r="I41" s="148">
        <f t="shared" si="62"/>
        <v>0</v>
      </c>
      <c r="J41" s="148">
        <f t="shared" si="62"/>
        <v>0</v>
      </c>
      <c r="K41" s="148">
        <f t="shared" si="62"/>
        <v>0</v>
      </c>
      <c r="L41" s="148">
        <f t="shared" si="62"/>
        <v>0</v>
      </c>
      <c r="M41" s="148">
        <f t="shared" si="62"/>
        <v>0</v>
      </c>
      <c r="N41" s="148">
        <f t="shared" si="62"/>
        <v>0</v>
      </c>
      <c r="O41" s="148">
        <f t="shared" si="62"/>
        <v>0</v>
      </c>
      <c r="P41" s="148">
        <f t="shared" si="62"/>
        <v>0</v>
      </c>
      <c r="Q41" s="118" t="e">
        <f>((P41/G41)^(1/($H$3-$H$2) ))-1</f>
        <v>#DIV/0!</v>
      </c>
      <c r="R41" s="31">
        <v>0.15</v>
      </c>
      <c r="S41" s="119">
        <f t="shared" si="57"/>
        <v>0</v>
      </c>
      <c r="T41" s="119">
        <f t="shared" si="58"/>
        <v>0</v>
      </c>
      <c r="U41" s="119">
        <f t="shared" si="58"/>
        <v>0</v>
      </c>
      <c r="V41" s="119">
        <f t="shared" si="58"/>
        <v>0</v>
      </c>
      <c r="W41" s="119">
        <f t="shared" si="58"/>
        <v>0</v>
      </c>
      <c r="X41" s="119">
        <f t="shared" si="58"/>
        <v>0</v>
      </c>
      <c r="Y41" s="119">
        <f t="shared" si="58"/>
        <v>0</v>
      </c>
      <c r="Z41" s="119">
        <f t="shared" si="58"/>
        <v>0</v>
      </c>
      <c r="AA41" s="119">
        <f t="shared" si="58"/>
        <v>0</v>
      </c>
      <c r="AB41" s="119">
        <f t="shared" si="58"/>
        <v>0</v>
      </c>
      <c r="AC41" s="138" t="e">
        <f t="shared" si="59"/>
        <v>#DIV/0!</v>
      </c>
      <c r="AD41" s="31">
        <v>0.08</v>
      </c>
      <c r="AE41" s="127" t="e">
        <f>(AB41*(1+AC41))/($C$2-AD41)</f>
        <v>#DIV/0!</v>
      </c>
    </row>
    <row r="42" spans="2:31">
      <c r="B42" s="20"/>
      <c r="C42" s="127"/>
      <c r="D42" s="127"/>
      <c r="E42" s="127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28"/>
      <c r="R42" s="128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39"/>
      <c r="AD42" s="20"/>
      <c r="AE42" s="20"/>
    </row>
    <row r="43" spans="2:31">
      <c r="B43" s="20" t="s">
        <v>271</v>
      </c>
      <c r="C43" s="127">
        <f t="shared" ref="C43:P43" si="63">(C8-C11)/C35</f>
        <v>0</v>
      </c>
      <c r="D43" s="127">
        <f t="shared" si="63"/>
        <v>0</v>
      </c>
      <c r="E43" s="127">
        <f t="shared" si="63"/>
        <v>0</v>
      </c>
      <c r="F43" s="148">
        <f t="shared" si="63"/>
        <v>0</v>
      </c>
      <c r="G43" s="148">
        <f t="shared" si="63"/>
        <v>1.6930638995084655</v>
      </c>
      <c r="H43" s="148">
        <f t="shared" si="63"/>
        <v>2.2938285090114694</v>
      </c>
      <c r="I43" s="148">
        <f t="shared" si="63"/>
        <v>2.9492080830147462</v>
      </c>
      <c r="J43" s="148">
        <f t="shared" si="63"/>
        <v>8.5199344620426007</v>
      </c>
      <c r="K43" s="148">
        <f t="shared" si="63"/>
        <v>19.060622610595303</v>
      </c>
      <c r="L43" s="148">
        <f t="shared" si="63"/>
        <v>23.664122137404579</v>
      </c>
      <c r="M43" s="148">
        <f t="shared" si="63"/>
        <v>28.532755820249054</v>
      </c>
      <c r="N43" s="148">
        <f t="shared" si="63"/>
        <v>30.265295073091501</v>
      </c>
      <c r="O43" s="148">
        <f t="shared" si="63"/>
        <v>30.807799442896936</v>
      </c>
      <c r="P43" s="148">
        <f t="shared" si="63"/>
        <v>31.754874651810585</v>
      </c>
      <c r="Q43" s="118">
        <f>((P43/G43)^(1/($H$3-$H$2) ))-1</f>
        <v>0.44258739017961335</v>
      </c>
      <c r="R43" s="31">
        <v>0.15</v>
      </c>
      <c r="S43" s="119">
        <f t="shared" ref="S43" si="64">P43*(1+$R43)</f>
        <v>36.51810584958217</v>
      </c>
      <c r="T43" s="119">
        <f t="shared" ref="T43" si="65">S43*(1+$R43)</f>
        <v>41.995821727019489</v>
      </c>
      <c r="U43" s="119">
        <f t="shared" ref="U43" si="66">T43*(1+$R43)</f>
        <v>48.29519498607241</v>
      </c>
      <c r="V43" s="119">
        <f t="shared" ref="V43" si="67">U43*(1+$R43)</f>
        <v>55.53947423398327</v>
      </c>
      <c r="W43" s="119">
        <f t="shared" ref="W43" si="68">V43*(1+$R43)</f>
        <v>63.870395369080754</v>
      </c>
      <c r="X43" s="119">
        <f t="shared" ref="X43" si="69">W43*(1+$R43)</f>
        <v>73.450954674442855</v>
      </c>
      <c r="Y43" s="119">
        <f t="shared" ref="Y43" si="70">X43*(1+$R43)</f>
        <v>84.468597875609277</v>
      </c>
      <c r="Z43" s="119">
        <f t="shared" ref="Z43" si="71">Y43*(1+$R43)</f>
        <v>97.138887556950664</v>
      </c>
      <c r="AA43" s="119">
        <f t="shared" ref="AA43" si="72">Z43*(1+$R43)</f>
        <v>111.70972069049326</v>
      </c>
      <c r="AB43" s="119">
        <f t="shared" ref="AB43" si="73">AA43*(1+$R43)</f>
        <v>128.46617879406725</v>
      </c>
      <c r="AC43" s="138">
        <f t="shared" si="59"/>
        <v>0.25589532872500764</v>
      </c>
      <c r="AD43" s="31">
        <v>0.08</v>
      </c>
      <c r="AE43" s="127">
        <f>(AB43*(1+AC43))/($C$2-AD43)</f>
        <v>1152.4290989044334</v>
      </c>
    </row>
    <row r="44" spans="2:31">
      <c r="B44" s="20" t="s">
        <v>272</v>
      </c>
      <c r="C44" s="127">
        <f t="shared" ref="C44:P44" si="74">(C8-C11-C10)/C35</f>
        <v>0</v>
      </c>
      <c r="D44" s="127">
        <f t="shared" si="74"/>
        <v>0</v>
      </c>
      <c r="E44" s="127">
        <f t="shared" si="74"/>
        <v>0</v>
      </c>
      <c r="F44" s="148">
        <f t="shared" si="74"/>
        <v>0</v>
      </c>
      <c r="G44" s="148">
        <f t="shared" si="74"/>
        <v>-0.81922446750409617</v>
      </c>
      <c r="H44" s="148">
        <f t="shared" si="74"/>
        <v>-1.8022938285090115</v>
      </c>
      <c r="I44" s="148">
        <f t="shared" si="74"/>
        <v>-3.5499726925177502</v>
      </c>
      <c r="J44" s="148">
        <f t="shared" si="74"/>
        <v>-12.998361551064992</v>
      </c>
      <c r="K44" s="148">
        <f t="shared" si="74"/>
        <v>0.27307482250136539</v>
      </c>
      <c r="L44" s="148">
        <f t="shared" si="74"/>
        <v>1.8538713195201746</v>
      </c>
      <c r="M44" s="148">
        <f t="shared" si="74"/>
        <v>13.264753654574987</v>
      </c>
      <c r="N44" s="148">
        <f t="shared" si="74"/>
        <v>9.2582566323768276</v>
      </c>
      <c r="O44" s="148">
        <f t="shared" si="74"/>
        <v>4.1782729805013927</v>
      </c>
      <c r="P44" s="148">
        <f t="shared" si="74"/>
        <v>-4.3454038997214486</v>
      </c>
      <c r="Q44" s="118">
        <f>((P44/G44)^(1/($H$3-$H$2) ))-1</f>
        <v>0.23190836546912541</v>
      </c>
      <c r="R44" s="31">
        <v>0.15</v>
      </c>
      <c r="S44" s="119">
        <f t="shared" ref="S44" si="75">P44*(1+$R44)</f>
        <v>-4.9972144846796658</v>
      </c>
      <c r="T44" s="119">
        <f t="shared" ref="T44" si="76">S44*(1+$R44)</f>
        <v>-5.7467966573816156</v>
      </c>
      <c r="U44" s="119">
        <f t="shared" ref="U44" si="77">T44*(1+$R44)</f>
        <v>-6.6088161559888574</v>
      </c>
      <c r="V44" s="119">
        <f t="shared" ref="V44" si="78">U44*(1+$R44)</f>
        <v>-7.6001385793871856</v>
      </c>
      <c r="W44" s="119">
        <f t="shared" ref="W44" si="79">V44*(1+$R44)</f>
        <v>-8.7401593662952628</v>
      </c>
      <c r="X44" s="119">
        <f t="shared" ref="X44" si="80">W44*(1+$R44)</f>
        <v>-10.051183271239552</v>
      </c>
      <c r="Y44" s="119">
        <f t="shared" ref="Y44" si="81">X44*(1+$R44)</f>
        <v>-11.558860761925484</v>
      </c>
      <c r="Z44" s="119">
        <f t="shared" ref="Z44" si="82">Y44*(1+$R44)</f>
        <v>-13.292689876214306</v>
      </c>
      <c r="AA44" s="119">
        <f t="shared" ref="AA44" si="83">Z44*(1+$R44)</f>
        <v>-15.286593357646451</v>
      </c>
      <c r="AB44" s="119">
        <f t="shared" ref="AB44" si="84">AA44*(1+$R44)</f>
        <v>-17.579582361293419</v>
      </c>
      <c r="AC44" s="138">
        <f t="shared" si="59"/>
        <v>0.17512619489715475</v>
      </c>
      <c r="AD44" s="31">
        <v>0.08</v>
      </c>
      <c r="AE44" s="127">
        <f>(AB44*(1+AC44))/($C$2-AD44)</f>
        <v>-147.55876948648481</v>
      </c>
    </row>
    <row r="45" spans="2:31">
      <c r="B45" s="20" t="s">
        <v>277</v>
      </c>
      <c r="C45" s="127">
        <f t="shared" ref="C45:P45" si="85">(C8+C14-C11-C10)/C35</f>
        <v>0</v>
      </c>
      <c r="D45" s="127">
        <f t="shared" si="85"/>
        <v>0</v>
      </c>
      <c r="E45" s="127">
        <f t="shared" si="85"/>
        <v>0</v>
      </c>
      <c r="F45" s="148">
        <f t="shared" si="85"/>
        <v>0</v>
      </c>
      <c r="G45" s="148">
        <f t="shared" si="85"/>
        <v>2.9492080830147462</v>
      </c>
      <c r="H45" s="148">
        <f t="shared" si="85"/>
        <v>3.7684325505188423</v>
      </c>
      <c r="I45" s="148">
        <f t="shared" si="85"/>
        <v>3.6592026215182964</v>
      </c>
      <c r="J45" s="148">
        <f t="shared" si="85"/>
        <v>5.0791916985253964</v>
      </c>
      <c r="K45" s="148">
        <f t="shared" si="85"/>
        <v>19.661387220098309</v>
      </c>
      <c r="L45" s="148">
        <f t="shared" si="85"/>
        <v>28.244274809160306</v>
      </c>
      <c r="M45" s="148">
        <f t="shared" si="85"/>
        <v>33.08067135896048</v>
      </c>
      <c r="N45" s="148">
        <f t="shared" si="85"/>
        <v>35.138061721710883</v>
      </c>
      <c r="O45" s="148">
        <f t="shared" si="85"/>
        <v>40.612813370473539</v>
      </c>
      <c r="P45" s="148">
        <f t="shared" si="85"/>
        <v>46.685236768802227</v>
      </c>
      <c r="Q45" s="118">
        <f>((P45/G45)^(1/($H$3-$H$2) ))-1</f>
        <v>0.41232377078497495</v>
      </c>
      <c r="R45" s="31">
        <v>0.15</v>
      </c>
      <c r="S45" s="119">
        <f t="shared" ref="S45" si="86">P45*(1+$R45)</f>
        <v>53.68802228412256</v>
      </c>
      <c r="T45" s="119">
        <f t="shared" ref="T45" si="87">S45*(1+$R45)</f>
        <v>61.741225626740942</v>
      </c>
      <c r="U45" s="119">
        <f t="shared" ref="U45" si="88">T45*(1+$R45)</f>
        <v>71.002409470752085</v>
      </c>
      <c r="V45" s="119">
        <f t="shared" ref="V45" si="89">U45*(1+$R45)</f>
        <v>81.652770891364895</v>
      </c>
      <c r="W45" s="119">
        <f t="shared" ref="W45" si="90">V45*(1+$R45)</f>
        <v>93.900686525069617</v>
      </c>
      <c r="X45" s="119">
        <f t="shared" ref="X45" si="91">W45*(1+$R45)</f>
        <v>107.98578950383005</v>
      </c>
      <c r="Y45" s="119">
        <f t="shared" ref="Y45" si="92">X45*(1+$R45)</f>
        <v>124.18365792940455</v>
      </c>
      <c r="Z45" s="119">
        <f t="shared" ref="Z45" si="93">Y45*(1+$R45)</f>
        <v>142.81120661881522</v>
      </c>
      <c r="AA45" s="119">
        <f t="shared" ref="AA45" si="94">Z45*(1+$R45)</f>
        <v>164.23288761163749</v>
      </c>
      <c r="AB45" s="119">
        <f t="shared" ref="AB45" si="95">AA45*(1+$R45)</f>
        <v>188.86782075338311</v>
      </c>
      <c r="AC45" s="138">
        <f t="shared" si="59"/>
        <v>0.24473370679811723</v>
      </c>
      <c r="AD45" s="31">
        <v>0.08</v>
      </c>
      <c r="AE45" s="127">
        <f>(AB45*(1+AC45))/($C$2-AD45)</f>
        <v>1679.2153044374352</v>
      </c>
    </row>
    <row r="46" spans="2:31">
      <c r="B46" s="20"/>
      <c r="C46" s="127"/>
      <c r="D46" s="127"/>
      <c r="E46" s="127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28"/>
      <c r="R46" s="128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39"/>
      <c r="AD46" s="20"/>
      <c r="AE46" s="20"/>
    </row>
    <row r="47" spans="2:31">
      <c r="B47" s="20" t="s">
        <v>248</v>
      </c>
      <c r="C47" s="127">
        <f t="shared" ref="C47:P47" si="96">C12/C35</f>
        <v>0</v>
      </c>
      <c r="D47" s="127">
        <f t="shared" si="96"/>
        <v>0</v>
      </c>
      <c r="E47" s="127">
        <f t="shared" si="96"/>
        <v>0</v>
      </c>
      <c r="F47" s="148">
        <f t="shared" si="96"/>
        <v>0</v>
      </c>
      <c r="G47" s="148">
        <f t="shared" si="96"/>
        <v>0.92845439650464234</v>
      </c>
      <c r="H47" s="148">
        <f t="shared" si="96"/>
        <v>0.65537957400327695</v>
      </c>
      <c r="I47" s="148">
        <f t="shared" si="96"/>
        <v>0.87383943200436931</v>
      </c>
      <c r="J47" s="148">
        <f t="shared" si="96"/>
        <v>1.6384489350081923</v>
      </c>
      <c r="K47" s="148">
        <f t="shared" si="96"/>
        <v>1.5292190060076463</v>
      </c>
      <c r="L47" s="148">
        <f t="shared" si="96"/>
        <v>2.1810250817884405</v>
      </c>
      <c r="M47" s="148">
        <f t="shared" si="96"/>
        <v>2.1656740660530591</v>
      </c>
      <c r="N47" s="148">
        <f t="shared" si="96"/>
        <v>4.2230644288034656</v>
      </c>
      <c r="O47" s="148">
        <f t="shared" si="96"/>
        <v>9.0250696378830089</v>
      </c>
      <c r="P47" s="148">
        <f t="shared" si="96"/>
        <v>4.1782729805013927</v>
      </c>
      <c r="Q47" s="118">
        <f>((P47/G47)^(1/($H$3-$H$2) ))-1</f>
        <v>0.20685343026305936</v>
      </c>
      <c r="R47" s="31">
        <v>0.15</v>
      </c>
      <c r="S47" s="119">
        <f t="shared" ref="S47:S51" si="97">P47*(1+$R47)</f>
        <v>4.8050139275766011</v>
      </c>
      <c r="T47" s="119">
        <f t="shared" ref="T47:AB51" si="98">S47*(1+$R47)</f>
        <v>5.5257660167130904</v>
      </c>
      <c r="U47" s="119">
        <f t="shared" si="98"/>
        <v>6.3546309192200532</v>
      </c>
      <c r="V47" s="119">
        <f t="shared" si="98"/>
        <v>7.3078255571030608</v>
      </c>
      <c r="W47" s="119">
        <f t="shared" si="98"/>
        <v>8.4039993906685186</v>
      </c>
      <c r="X47" s="119">
        <f t="shared" si="98"/>
        <v>9.6645992992687955</v>
      </c>
      <c r="Y47" s="119">
        <f t="shared" si="98"/>
        <v>11.114289194159113</v>
      </c>
      <c r="Z47" s="119">
        <f t="shared" si="98"/>
        <v>12.781432573282979</v>
      </c>
      <c r="AA47" s="119">
        <f t="shared" si="98"/>
        <v>14.698647459275424</v>
      </c>
      <c r="AB47" s="119">
        <f t="shared" si="98"/>
        <v>16.903444578166738</v>
      </c>
      <c r="AC47" s="138">
        <f t="shared" si="59"/>
        <v>0.16500311384364297</v>
      </c>
      <c r="AD47" s="31">
        <v>0.08</v>
      </c>
      <c r="AE47" s="127">
        <f>(AB47*(1+AC47))/($C$2-AD47)</f>
        <v>140.66118263034065</v>
      </c>
    </row>
    <row r="48" spans="2:31">
      <c r="B48" s="20" t="s">
        <v>255</v>
      </c>
      <c r="C48" s="127">
        <f t="shared" ref="C48:P48" si="99">C13/C35</f>
        <v>0</v>
      </c>
      <c r="D48" s="127">
        <f t="shared" si="99"/>
        <v>0</v>
      </c>
      <c r="E48" s="127">
        <f t="shared" si="99"/>
        <v>0</v>
      </c>
      <c r="F48" s="148">
        <f t="shared" si="99"/>
        <v>0</v>
      </c>
      <c r="G48" s="148">
        <f t="shared" si="99"/>
        <v>5.4614964500273081E-4</v>
      </c>
      <c r="H48" s="148">
        <f t="shared" si="99"/>
        <v>0.54614964500273078</v>
      </c>
      <c r="I48" s="148">
        <f t="shared" si="99"/>
        <v>2.0207536865101039</v>
      </c>
      <c r="J48" s="148">
        <f t="shared" si="99"/>
        <v>8.6291643910431457</v>
      </c>
      <c r="K48" s="148">
        <f t="shared" si="99"/>
        <v>13.107591480065539</v>
      </c>
      <c r="L48" s="148">
        <f t="shared" si="99"/>
        <v>10.632497273718649</v>
      </c>
      <c r="M48" s="148">
        <f t="shared" si="99"/>
        <v>14.401732539252844</v>
      </c>
      <c r="N48" s="148">
        <f t="shared" si="99"/>
        <v>13.968597726042232</v>
      </c>
      <c r="O48" s="148">
        <f t="shared" si="99"/>
        <v>8.6350974930362128</v>
      </c>
      <c r="P48" s="148">
        <f t="shared" si="99"/>
        <v>0.83565459610027859</v>
      </c>
      <c r="Q48" s="118">
        <f>((P48/G48)^(1/($H$3-$H$2) ))-1</f>
        <v>1.5008600778657364</v>
      </c>
      <c r="R48" s="31">
        <v>0.15</v>
      </c>
      <c r="S48" s="119">
        <f t="shared" si="97"/>
        <v>0.96100278551532026</v>
      </c>
      <c r="T48" s="119">
        <f t="shared" si="98"/>
        <v>1.1051532033426181</v>
      </c>
      <c r="U48" s="119">
        <f t="shared" si="98"/>
        <v>1.2709261838440107</v>
      </c>
      <c r="V48" s="119">
        <f t="shared" si="98"/>
        <v>1.4615651114206121</v>
      </c>
      <c r="W48" s="119">
        <f t="shared" si="98"/>
        <v>1.6807998781337037</v>
      </c>
      <c r="X48" s="119">
        <f t="shared" si="98"/>
        <v>1.9329198598537591</v>
      </c>
      <c r="Y48" s="119">
        <f t="shared" si="98"/>
        <v>2.222857838831823</v>
      </c>
      <c r="Z48" s="119">
        <f t="shared" si="98"/>
        <v>2.5562865146565961</v>
      </c>
      <c r="AA48" s="119">
        <f t="shared" si="98"/>
        <v>2.9397294918550854</v>
      </c>
      <c r="AB48" s="119">
        <f t="shared" si="98"/>
        <v>3.3806889156333479</v>
      </c>
      <c r="AC48" s="138">
        <f t="shared" si="59"/>
        <v>0.58329856674867653</v>
      </c>
      <c r="AD48" s="31">
        <v>0.08</v>
      </c>
      <c r="AE48" s="127">
        <f>(AB48*(1+AC48))/($C$2-AD48)</f>
        <v>38.233142248181544</v>
      </c>
    </row>
    <row r="49" spans="2:31">
      <c r="B49" s="20" t="s">
        <v>256</v>
      </c>
      <c r="C49" s="127">
        <f>(C47+C48)</f>
        <v>0</v>
      </c>
      <c r="D49" s="127">
        <f t="shared" ref="D49:P49" si="100">(D47+D48)</f>
        <v>0</v>
      </c>
      <c r="E49" s="127">
        <f t="shared" si="100"/>
        <v>0</v>
      </c>
      <c r="F49" s="148">
        <f t="shared" si="100"/>
        <v>0</v>
      </c>
      <c r="G49" s="148">
        <f t="shared" si="100"/>
        <v>0.92900054614964511</v>
      </c>
      <c r="H49" s="148">
        <f t="shared" si="100"/>
        <v>1.2015292190060078</v>
      </c>
      <c r="I49" s="148">
        <f t="shared" si="100"/>
        <v>2.8945931185144733</v>
      </c>
      <c r="J49" s="148">
        <f t="shared" si="100"/>
        <v>10.267613326051338</v>
      </c>
      <c r="K49" s="148">
        <f t="shared" si="100"/>
        <v>14.636810486073184</v>
      </c>
      <c r="L49" s="148">
        <f t="shared" si="100"/>
        <v>12.813522355507089</v>
      </c>
      <c r="M49" s="148">
        <f t="shared" si="100"/>
        <v>16.567406605305905</v>
      </c>
      <c r="N49" s="148">
        <f t="shared" si="100"/>
        <v>18.191662154845698</v>
      </c>
      <c r="O49" s="148">
        <f t="shared" ref="O49" si="101">(O47+O48)</f>
        <v>17.66016713091922</v>
      </c>
      <c r="P49" s="148">
        <f t="shared" si="100"/>
        <v>5.0139275766016711</v>
      </c>
      <c r="Q49" s="118">
        <f>((P49/G49)^(1/($H$3-$H$2) ))-1</f>
        <v>0.23458291014515309</v>
      </c>
      <c r="R49" s="31">
        <v>0.15</v>
      </c>
      <c r="S49" s="119">
        <f t="shared" si="97"/>
        <v>5.7660167130919211</v>
      </c>
      <c r="T49" s="119">
        <f t="shared" si="98"/>
        <v>6.6309192200557083</v>
      </c>
      <c r="U49" s="119">
        <f t="shared" si="98"/>
        <v>7.6255571030640636</v>
      </c>
      <c r="V49" s="119">
        <f t="shared" si="98"/>
        <v>8.7693906685236733</v>
      </c>
      <c r="W49" s="119">
        <f t="shared" si="98"/>
        <v>10.084799268802223</v>
      </c>
      <c r="X49" s="119">
        <f t="shared" si="98"/>
        <v>11.597519159122555</v>
      </c>
      <c r="Y49" s="119">
        <f t="shared" si="98"/>
        <v>13.337147032990938</v>
      </c>
      <c r="Z49" s="119">
        <f t="shared" si="98"/>
        <v>15.337719087939577</v>
      </c>
      <c r="AA49" s="119">
        <f t="shared" si="98"/>
        <v>17.638376951130514</v>
      </c>
      <c r="AB49" s="119">
        <f t="shared" si="98"/>
        <v>20.284133493800091</v>
      </c>
      <c r="AC49" s="138">
        <f t="shared" si="59"/>
        <v>0.17619973836335001</v>
      </c>
      <c r="AD49" s="31">
        <v>0.08</v>
      </c>
      <c r="AE49" s="127">
        <f>(AB49*(1+AC49))/($C$2-AD49)</f>
        <v>170.41566077382092</v>
      </c>
    </row>
    <row r="50" spans="2:31">
      <c r="B50" s="20" t="s">
        <v>249</v>
      </c>
      <c r="C50" s="127">
        <f t="shared" ref="C50:P50" si="102">C14/C35</f>
        <v>0</v>
      </c>
      <c r="D50" s="127">
        <f t="shared" si="102"/>
        <v>0</v>
      </c>
      <c r="E50" s="127">
        <f t="shared" si="102"/>
        <v>0</v>
      </c>
      <c r="F50" s="148">
        <f t="shared" si="102"/>
        <v>0</v>
      </c>
      <c r="G50" s="148">
        <f t="shared" si="102"/>
        <v>3.7684325505188423</v>
      </c>
      <c r="H50" s="148">
        <f t="shared" si="102"/>
        <v>5.5707263790278541</v>
      </c>
      <c r="I50" s="148">
        <f t="shared" si="102"/>
        <v>7.2091753140360462</v>
      </c>
      <c r="J50" s="148">
        <f t="shared" si="102"/>
        <v>18.077553249590387</v>
      </c>
      <c r="K50" s="148">
        <f t="shared" si="102"/>
        <v>19.388312397596945</v>
      </c>
      <c r="L50" s="148">
        <f t="shared" si="102"/>
        <v>26.390403489640132</v>
      </c>
      <c r="M50" s="148">
        <f t="shared" si="102"/>
        <v>19.815917704385491</v>
      </c>
      <c r="N50" s="148">
        <f t="shared" si="102"/>
        <v>25.879805089334056</v>
      </c>
      <c r="O50" s="148">
        <f t="shared" si="102"/>
        <v>36.434540389972149</v>
      </c>
      <c r="P50" s="148">
        <f t="shared" si="102"/>
        <v>51.030640668523681</v>
      </c>
      <c r="Q50" s="118">
        <f>((P50/G50)^(1/($H$3-$H$2) ))-1</f>
        <v>0.3850287367480818</v>
      </c>
      <c r="R50" s="31">
        <v>0.15</v>
      </c>
      <c r="S50" s="119">
        <f t="shared" si="97"/>
        <v>58.685236768802227</v>
      </c>
      <c r="T50" s="119">
        <f t="shared" si="98"/>
        <v>67.48802228412255</v>
      </c>
      <c r="U50" s="119">
        <f t="shared" si="98"/>
        <v>77.611225626740932</v>
      </c>
      <c r="V50" s="119">
        <f t="shared" si="98"/>
        <v>89.252909470752058</v>
      </c>
      <c r="W50" s="119">
        <f t="shared" si="98"/>
        <v>102.64084589136486</v>
      </c>
      <c r="X50" s="119">
        <f t="shared" si="98"/>
        <v>118.03697277506959</v>
      </c>
      <c r="Y50" s="119">
        <f t="shared" si="98"/>
        <v>135.74251869133002</v>
      </c>
      <c r="Z50" s="119">
        <f t="shared" si="98"/>
        <v>156.10389649502952</v>
      </c>
      <c r="AA50" s="119">
        <f t="shared" si="98"/>
        <v>179.51948096928393</v>
      </c>
      <c r="AB50" s="119">
        <f t="shared" si="98"/>
        <v>206.44740311467652</v>
      </c>
      <c r="AC50" s="138">
        <f t="shared" si="59"/>
        <v>0.23454755913985825</v>
      </c>
      <c r="AD50" s="31">
        <v>0.08</v>
      </c>
      <c r="AE50" s="127">
        <f>(AB50*(1+AC50))/($C$2-AD50)</f>
        <v>1820.4938400427588</v>
      </c>
    </row>
    <row r="51" spans="2:31">
      <c r="B51" s="20" t="s">
        <v>250</v>
      </c>
      <c r="C51" s="127">
        <f t="shared" ref="C51:P51" si="103">C15/C35</f>
        <v>0</v>
      </c>
      <c r="D51" s="127">
        <f t="shared" si="103"/>
        <v>0</v>
      </c>
      <c r="E51" s="127">
        <f t="shared" si="103"/>
        <v>0</v>
      </c>
      <c r="F51" s="148">
        <f t="shared" si="103"/>
        <v>0</v>
      </c>
      <c r="G51" s="148">
        <f t="shared" si="103"/>
        <v>1.2561441835062808</v>
      </c>
      <c r="H51" s="148">
        <f t="shared" si="103"/>
        <v>0.60076460950300381</v>
      </c>
      <c r="I51" s="148">
        <f t="shared" si="103"/>
        <v>-0.69907154560349549</v>
      </c>
      <c r="J51" s="148">
        <f t="shared" si="103"/>
        <v>-3.6592026215182964</v>
      </c>
      <c r="K51" s="148">
        <f t="shared" si="103"/>
        <v>-0.60076460950300381</v>
      </c>
      <c r="L51" s="148">
        <f t="shared" si="103"/>
        <v>5.8342420937840789</v>
      </c>
      <c r="M51" s="148">
        <f t="shared" si="103"/>
        <v>6.4970221981591774</v>
      </c>
      <c r="N51" s="148">
        <f t="shared" si="103"/>
        <v>7.7422847861396864</v>
      </c>
      <c r="O51" s="148">
        <f t="shared" si="103"/>
        <v>10.807799442896936</v>
      </c>
      <c r="P51" s="148">
        <f t="shared" si="103"/>
        <v>16.713091922005571</v>
      </c>
      <c r="Q51" s="118">
        <f>((P51/G51)^(1/($H$3-$H$2) ))-1</f>
        <v>0.38198129125246338</v>
      </c>
      <c r="R51" s="31">
        <v>0.15</v>
      </c>
      <c r="S51" s="119">
        <f t="shared" si="97"/>
        <v>19.220055710306404</v>
      </c>
      <c r="T51" s="119">
        <f t="shared" si="98"/>
        <v>22.103064066852362</v>
      </c>
      <c r="U51" s="119">
        <f t="shared" si="98"/>
        <v>25.418523676880213</v>
      </c>
      <c r="V51" s="119">
        <f t="shared" si="98"/>
        <v>29.231302228412243</v>
      </c>
      <c r="W51" s="119">
        <f t="shared" si="98"/>
        <v>33.615997562674075</v>
      </c>
      <c r="X51" s="119">
        <f t="shared" si="98"/>
        <v>38.658397197075182</v>
      </c>
      <c r="Y51" s="119">
        <f t="shared" si="98"/>
        <v>44.457156776636452</v>
      </c>
      <c r="Z51" s="119">
        <f t="shared" si="98"/>
        <v>51.125730293131916</v>
      </c>
      <c r="AA51" s="119">
        <f t="shared" si="98"/>
        <v>58.794589837101697</v>
      </c>
      <c r="AB51" s="119">
        <f t="shared" si="98"/>
        <v>67.613778312666952</v>
      </c>
      <c r="AC51" s="138">
        <f t="shared" si="59"/>
        <v>0.23340310546498055</v>
      </c>
      <c r="AD51" s="31">
        <v>0.08</v>
      </c>
      <c r="AE51" s="127">
        <f>(AB51*(1+AC51))/($C$2-AD51)</f>
        <v>595.67888673617256</v>
      </c>
    </row>
    <row r="52" spans="2:31">
      <c r="B52" s="20"/>
      <c r="C52" s="127"/>
      <c r="D52" s="127"/>
      <c r="E52" s="127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28"/>
      <c r="R52" s="128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39"/>
      <c r="AD52" s="20"/>
      <c r="AE52" s="20"/>
    </row>
    <row r="53" spans="2:31">
      <c r="B53" s="20" t="s">
        <v>285</v>
      </c>
      <c r="C53" s="149">
        <v>1</v>
      </c>
      <c r="D53" s="149">
        <v>1</v>
      </c>
      <c r="E53" s="149">
        <v>1</v>
      </c>
      <c r="F53" s="150">
        <v>1</v>
      </c>
      <c r="G53" s="150">
        <v>1</v>
      </c>
      <c r="H53" s="150">
        <v>1</v>
      </c>
      <c r="I53" s="150">
        <v>1</v>
      </c>
      <c r="J53" s="150">
        <v>1</v>
      </c>
      <c r="K53" s="150">
        <v>1.5</v>
      </c>
      <c r="L53" s="150">
        <v>1.99</v>
      </c>
      <c r="M53" s="150">
        <v>1.8</v>
      </c>
      <c r="N53" s="150">
        <v>1.26</v>
      </c>
      <c r="O53" s="150">
        <v>1.62</v>
      </c>
      <c r="P53" s="150">
        <v>1.62</v>
      </c>
      <c r="Q53" s="118">
        <f>((P53/G53)^(1/($H$3-$H$2) ))-1</f>
        <v>6.2158617121716997E-2</v>
      </c>
      <c r="R53" s="31">
        <v>0.15</v>
      </c>
      <c r="S53" s="119">
        <f t="shared" ref="S53" si="104">P53*(1+$R53)</f>
        <v>1.863</v>
      </c>
      <c r="T53" s="119">
        <f t="shared" ref="T53" si="105">S53*(1+$R53)</f>
        <v>2.1424499999999997</v>
      </c>
      <c r="U53" s="119">
        <f t="shared" ref="U53" si="106">T53*(1+$R53)</f>
        <v>2.4638174999999993</v>
      </c>
      <c r="V53" s="119">
        <f t="shared" ref="V53" si="107">U53*(1+$R53)</f>
        <v>2.8333901249999989</v>
      </c>
      <c r="W53" s="119">
        <f t="shared" ref="W53" si="108">V53*(1+$R53)</f>
        <v>3.2583986437499983</v>
      </c>
      <c r="X53" s="119">
        <f t="shared" ref="X53" si="109">W53*(1+$R53)</f>
        <v>3.7471584403124978</v>
      </c>
      <c r="Y53" s="119">
        <f t="shared" ref="Y53" si="110">X53*(1+$R53)</f>
        <v>4.309232206359372</v>
      </c>
      <c r="Z53" s="119">
        <f t="shared" ref="Z53" si="111">Y53*(1+$R53)</f>
        <v>4.9556170373132771</v>
      </c>
      <c r="AA53" s="119">
        <f t="shared" ref="AA53" si="112">Z53*(1+$R53)</f>
        <v>5.6989595929102679</v>
      </c>
      <c r="AB53" s="119">
        <f t="shared" ref="AB53" si="113">AA53*(1+$R53)</f>
        <v>6.5538035318468078</v>
      </c>
      <c r="AC53" s="138">
        <f t="shared" ref="AC53" si="114">((AB53/G53)^(1/($AB$4-$H$2) ))-1</f>
        <v>0.10401084038916864</v>
      </c>
      <c r="AD53" s="31">
        <v>0.08</v>
      </c>
      <c r="AE53" s="127">
        <f>(AB53*(1+AC53))/($C$2-AD53)</f>
        <v>51.68192960671211</v>
      </c>
    </row>
    <row r="54" spans="2:31">
      <c r="B54" s="20"/>
      <c r="C54" s="127"/>
      <c r="D54" s="127"/>
      <c r="E54" s="127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28"/>
      <c r="R54" s="128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39"/>
      <c r="AD54" s="20"/>
      <c r="AE54" s="20"/>
    </row>
    <row r="55" spans="2:31">
      <c r="B55" s="20" t="s">
        <v>305</v>
      </c>
      <c r="C55" s="127">
        <f t="shared" ref="C55:G55" si="115">C19+C20</f>
        <v>0</v>
      </c>
      <c r="D55" s="127">
        <f t="shared" si="115"/>
        <v>0</v>
      </c>
      <c r="E55" s="127">
        <f t="shared" si="115"/>
        <v>0</v>
      </c>
      <c r="F55" s="148">
        <f t="shared" si="115"/>
        <v>0</v>
      </c>
      <c r="G55" s="148">
        <f t="shared" si="115"/>
        <v>10.51</v>
      </c>
      <c r="H55" s="148">
        <f>H19+H20</f>
        <v>15</v>
      </c>
      <c r="I55" s="148">
        <f t="shared" ref="I55:P55" si="116">I19+I20</f>
        <v>17</v>
      </c>
      <c r="J55" s="148">
        <f t="shared" si="116"/>
        <v>11</v>
      </c>
      <c r="K55" s="148">
        <f t="shared" si="116"/>
        <v>-42.599999999999994</v>
      </c>
      <c r="L55" s="148">
        <f t="shared" si="116"/>
        <v>31.5</v>
      </c>
      <c r="M55" s="148">
        <f t="shared" si="116"/>
        <v>42.800000000000011</v>
      </c>
      <c r="N55" s="148">
        <f t="shared" si="116"/>
        <v>57.299999999999983</v>
      </c>
      <c r="O55" s="148">
        <f t="shared" si="116"/>
        <v>68.515000000000001</v>
      </c>
      <c r="P55" s="148">
        <f t="shared" si="116"/>
        <v>73</v>
      </c>
      <c r="Q55" s="118">
        <f>((P55/G55)^(1/($H$3-$H$2) ))-1</f>
        <v>0.27413374502007759</v>
      </c>
      <c r="R55" s="128"/>
      <c r="S55" s="127">
        <f>S19+S20</f>
        <v>83.949999999999989</v>
      </c>
      <c r="T55" s="127">
        <f t="shared" ref="T55:AB55" si="117">T19+T20</f>
        <v>96.54249999999999</v>
      </c>
      <c r="U55" s="127">
        <f t="shared" si="117"/>
        <v>111.02387499999998</v>
      </c>
      <c r="V55" s="127">
        <f t="shared" si="117"/>
        <v>127.67745624999995</v>
      </c>
      <c r="W55" s="127">
        <f t="shared" si="117"/>
        <v>146.82907468749994</v>
      </c>
      <c r="X55" s="127">
        <f t="shared" si="117"/>
        <v>168.85343589062492</v>
      </c>
      <c r="Y55" s="127">
        <f t="shared" si="117"/>
        <v>194.18145127421866</v>
      </c>
      <c r="Z55" s="127">
        <f t="shared" si="117"/>
        <v>223.30866896535144</v>
      </c>
      <c r="AA55" s="127">
        <f t="shared" si="117"/>
        <v>256.80496931015409</v>
      </c>
      <c r="AB55" s="127">
        <f t="shared" si="117"/>
        <v>295.32571470667722</v>
      </c>
      <c r="AC55" s="138">
        <f t="shared" ref="AC55:AC60" si="118">((AB55/G55)^(1/($AB$4-$H$2) ))-1</f>
        <v>0.1919205072793233</v>
      </c>
      <c r="AD55" s="31">
        <v>0.08</v>
      </c>
      <c r="AE55" s="127">
        <f>(AB55*(1+AC55))/($C$2-AD55)</f>
        <v>2514.3198263272243</v>
      </c>
    </row>
    <row r="56" spans="2:31">
      <c r="B56" s="20"/>
      <c r="C56" s="127"/>
      <c r="D56" s="127"/>
      <c r="E56" s="127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18"/>
      <c r="R56" s="128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38"/>
      <c r="AD56" s="31"/>
      <c r="AE56" s="127"/>
    </row>
    <row r="57" spans="2:31">
      <c r="B57" s="20" t="s">
        <v>306</v>
      </c>
      <c r="C57" s="127">
        <f t="shared" ref="C57:G57" si="119">C55/C35</f>
        <v>0</v>
      </c>
      <c r="D57" s="127">
        <f t="shared" si="119"/>
        <v>0</v>
      </c>
      <c r="E57" s="127">
        <f t="shared" si="119"/>
        <v>0</v>
      </c>
      <c r="F57" s="148">
        <f t="shared" si="119"/>
        <v>0</v>
      </c>
      <c r="G57" s="148">
        <f t="shared" si="119"/>
        <v>0.57400327689787001</v>
      </c>
      <c r="H57" s="148">
        <f t="shared" ref="H57" si="120">H55/H35</f>
        <v>0.81922446750409617</v>
      </c>
      <c r="I57" s="148">
        <f t="shared" ref="I57:P57" si="121">I55/I35</f>
        <v>0.92845439650464234</v>
      </c>
      <c r="J57" s="148">
        <f t="shared" si="121"/>
        <v>0.60076460950300381</v>
      </c>
      <c r="K57" s="148">
        <f t="shared" si="121"/>
        <v>-2.3265974877116329</v>
      </c>
      <c r="L57" s="148">
        <f t="shared" si="121"/>
        <v>1.717557251908397</v>
      </c>
      <c r="M57" s="148">
        <f t="shared" si="121"/>
        <v>2.3172712506767739</v>
      </c>
      <c r="N57" s="148">
        <f t="shared" si="121"/>
        <v>3.1023280996210061</v>
      </c>
      <c r="O57" s="148">
        <f t="shared" si="121"/>
        <v>3.8169916434540392</v>
      </c>
      <c r="P57" s="148">
        <f t="shared" si="121"/>
        <v>4.0668523676880222</v>
      </c>
      <c r="Q57" s="118">
        <f>((P57/G57)^(1/($H$3-$H$2) ))-1</f>
        <v>0.27730027134308033</v>
      </c>
      <c r="R57" s="128"/>
      <c r="S57" s="127">
        <f t="shared" ref="S57:AB57" si="122">S55/S35</f>
        <v>4.4541716408011665</v>
      </c>
      <c r="T57" s="127">
        <f t="shared" si="122"/>
        <v>4.8783784637346104</v>
      </c>
      <c r="U57" s="127">
        <f t="shared" si="122"/>
        <v>5.3429859364712398</v>
      </c>
      <c r="V57" s="127">
        <f t="shared" si="122"/>
        <v>5.8518417399446898</v>
      </c>
      <c r="W57" s="127">
        <f t="shared" si="122"/>
        <v>6.409160000891803</v>
      </c>
      <c r="X57" s="127">
        <f t="shared" si="122"/>
        <v>7.019556191452927</v>
      </c>
      <c r="Y57" s="127">
        <f t="shared" si="122"/>
        <v>7.6880853525436823</v>
      </c>
      <c r="Z57" s="127">
        <f t="shared" si="122"/>
        <v>8.4202839575478414</v>
      </c>
      <c r="AA57" s="127">
        <f t="shared" si="122"/>
        <v>9.2222157630285846</v>
      </c>
      <c r="AB57" s="127">
        <f t="shared" si="122"/>
        <v>10.100522026174165</v>
      </c>
      <c r="AC57" s="138">
        <f t="shared" si="118"/>
        <v>0.1629175330560344</v>
      </c>
      <c r="AD57" s="31">
        <v>0.08</v>
      </c>
      <c r="AE57" s="127">
        <f>(AB57*(1+AC57))/($C$2-AD57)</f>
        <v>83.900529694689979</v>
      </c>
    </row>
    <row r="58" spans="2:31">
      <c r="B58" s="20" t="s">
        <v>289</v>
      </c>
      <c r="C58" s="127">
        <f t="shared" ref="C58:G58" si="123">C19/C35</f>
        <v>0</v>
      </c>
      <c r="D58" s="127">
        <f t="shared" si="123"/>
        <v>0</v>
      </c>
      <c r="E58" s="127">
        <f t="shared" si="123"/>
        <v>0</v>
      </c>
      <c r="F58" s="148">
        <f t="shared" si="123"/>
        <v>0</v>
      </c>
      <c r="G58" s="148">
        <f t="shared" si="123"/>
        <v>0.61168760240305842</v>
      </c>
      <c r="H58" s="148">
        <f t="shared" ref="H58" si="124">H19/H35</f>
        <v>1.6384489350081923</v>
      </c>
      <c r="I58" s="148">
        <f t="shared" ref="I58:P58" si="125">I19/I35</f>
        <v>2.8399781540142</v>
      </c>
      <c r="J58" s="148">
        <f t="shared" si="125"/>
        <v>9.0114691425450584</v>
      </c>
      <c r="K58" s="148">
        <f t="shared" si="125"/>
        <v>5.1010376843255054</v>
      </c>
      <c r="L58" s="148">
        <f t="shared" si="125"/>
        <v>4.7818974918211561</v>
      </c>
      <c r="M58" s="148">
        <f t="shared" si="125"/>
        <v>7.0871683811586363</v>
      </c>
      <c r="N58" s="148">
        <f t="shared" si="125"/>
        <v>7.1034109366540337</v>
      </c>
      <c r="O58" s="148">
        <f t="shared" si="125"/>
        <v>1.7835654596100279</v>
      </c>
      <c r="P58" s="148">
        <f t="shared" si="125"/>
        <v>1.9498607242339834</v>
      </c>
      <c r="Q58" s="118">
        <f>((P58/G58)^(1/($H$3-$H$2) ))-1</f>
        <v>0.1559371969397283</v>
      </c>
      <c r="R58" s="128"/>
      <c r="S58" s="127">
        <f t="shared" ref="S58:AB58" si="126">S19/S35</f>
        <v>2.1355617455896008</v>
      </c>
      <c r="T58" s="127">
        <f t="shared" si="126"/>
        <v>2.3389485785028956</v>
      </c>
      <c r="U58" s="127">
        <f t="shared" si="126"/>
        <v>2.5617055859793614</v>
      </c>
      <c r="V58" s="127">
        <f t="shared" si="126"/>
        <v>2.8056775465488242</v>
      </c>
      <c r="W58" s="127">
        <f t="shared" si="126"/>
        <v>3.0728849319344267</v>
      </c>
      <c r="X58" s="127">
        <f t="shared" si="126"/>
        <v>3.3655406397377052</v>
      </c>
      <c r="Y58" s="127">
        <f t="shared" si="126"/>
        <v>3.6860683197127244</v>
      </c>
      <c r="Z58" s="127">
        <f t="shared" si="126"/>
        <v>4.0371224453996497</v>
      </c>
      <c r="AA58" s="127">
        <f t="shared" si="126"/>
        <v>4.4216102973424736</v>
      </c>
      <c r="AB58" s="127">
        <f t="shared" si="126"/>
        <v>4.8427160399465183</v>
      </c>
      <c r="AC58" s="138">
        <f t="shared" si="118"/>
        <v>0.11504551732220536</v>
      </c>
      <c r="AD58" s="31">
        <v>0.08</v>
      </c>
      <c r="AE58" s="127">
        <f>(AB58*(1+AC58))/($C$2-AD58)</f>
        <v>38.570348657190763</v>
      </c>
    </row>
    <row r="59" spans="2:31">
      <c r="B59" s="20" t="s">
        <v>290</v>
      </c>
      <c r="C59" s="127">
        <f t="shared" ref="C59:G59" si="127">C20/C35</f>
        <v>0</v>
      </c>
      <c r="D59" s="127">
        <f t="shared" si="127"/>
        <v>0</v>
      </c>
      <c r="E59" s="127">
        <f t="shared" si="127"/>
        <v>0</v>
      </c>
      <c r="F59" s="148">
        <f t="shared" si="127"/>
        <v>0</v>
      </c>
      <c r="G59" s="148">
        <f t="shared" si="127"/>
        <v>-3.7684325505188423E-2</v>
      </c>
      <c r="H59" s="148">
        <f t="shared" ref="H59" si="128">H20/H35</f>
        <v>-0.81922446750409617</v>
      </c>
      <c r="I59" s="148">
        <f t="shared" ref="I59:P59" si="129">I20/I35</f>
        <v>-1.9115237575095578</v>
      </c>
      <c r="J59" s="148">
        <f t="shared" si="129"/>
        <v>-8.410704533042054</v>
      </c>
      <c r="K59" s="148">
        <f t="shared" si="129"/>
        <v>-7.4276351720371387</v>
      </c>
      <c r="L59" s="148">
        <f t="shared" si="129"/>
        <v>-3.0643402399127591</v>
      </c>
      <c r="M59" s="148">
        <f t="shared" si="129"/>
        <v>-4.769897130481862</v>
      </c>
      <c r="N59" s="148">
        <f t="shared" si="129"/>
        <v>-4.0010828370330271</v>
      </c>
      <c r="O59" s="148">
        <f t="shared" si="129"/>
        <v>2.0334261838440111</v>
      </c>
      <c r="P59" s="148">
        <f t="shared" si="129"/>
        <v>2.116991643454039</v>
      </c>
      <c r="Q59" s="118" t="e">
        <f>((P59/G59)^(1/($H$3-$H$2) ))-1</f>
        <v>#NUM!</v>
      </c>
      <c r="R59" s="128"/>
      <c r="S59" s="127">
        <f t="shared" ref="S59:AB59" si="130">S20/S35</f>
        <v>2.3186098952115661</v>
      </c>
      <c r="T59" s="127">
        <f t="shared" si="130"/>
        <v>2.5394298852317148</v>
      </c>
      <c r="U59" s="127">
        <f t="shared" si="130"/>
        <v>2.7812803504918775</v>
      </c>
      <c r="V59" s="127">
        <f t="shared" si="130"/>
        <v>3.0461641933958661</v>
      </c>
      <c r="W59" s="127">
        <f t="shared" si="130"/>
        <v>3.3362750689573768</v>
      </c>
      <c r="X59" s="127">
        <f t="shared" si="130"/>
        <v>3.6540155517152222</v>
      </c>
      <c r="Y59" s="127">
        <f t="shared" si="130"/>
        <v>4.002017032830957</v>
      </c>
      <c r="Z59" s="127">
        <f t="shared" si="130"/>
        <v>4.3831615121481899</v>
      </c>
      <c r="AA59" s="127">
        <f t="shared" si="130"/>
        <v>4.8006054656861119</v>
      </c>
      <c r="AB59" s="127">
        <f t="shared" si="130"/>
        <v>5.2578059862276456</v>
      </c>
      <c r="AC59" s="138">
        <f t="shared" si="118"/>
        <v>-2.2968089226685127</v>
      </c>
      <c r="AD59" s="31">
        <v>0.08</v>
      </c>
      <c r="AE59" s="127">
        <f>(AB59*(1+AC59))/($C$2-AD59)</f>
        <v>-48.702640832856638</v>
      </c>
    </row>
    <row r="60" spans="2:31">
      <c r="B60" s="20" t="s">
        <v>291</v>
      </c>
      <c r="C60" s="127">
        <f t="shared" ref="C60:G60" si="131">C21/C35</f>
        <v>0</v>
      </c>
      <c r="D60" s="127">
        <f t="shared" si="131"/>
        <v>0</v>
      </c>
      <c r="E60" s="127">
        <f t="shared" si="131"/>
        <v>0</v>
      </c>
      <c r="F60" s="148">
        <f t="shared" si="131"/>
        <v>0</v>
      </c>
      <c r="G60" s="148">
        <f t="shared" si="131"/>
        <v>-0.32768978700163848</v>
      </c>
      <c r="H60" s="148">
        <f>H21/H35</f>
        <v>-0.54614964500273078</v>
      </c>
      <c r="I60" s="148">
        <f t="shared" ref="I60:P60" si="132">I21/I35</f>
        <v>-0.38230475150191157</v>
      </c>
      <c r="J60" s="148">
        <f t="shared" si="132"/>
        <v>0.21845985800109233</v>
      </c>
      <c r="K60" s="148">
        <f t="shared" si="132"/>
        <v>2.2665210267613327</v>
      </c>
      <c r="L60" s="148">
        <f t="shared" si="132"/>
        <v>-1.1504907306434025</v>
      </c>
      <c r="M60" s="148">
        <f t="shared" si="132"/>
        <v>-2.355170546832702</v>
      </c>
      <c r="N60" s="148">
        <f t="shared" si="132"/>
        <v>9.5289658906334612E-4</v>
      </c>
      <c r="O60" s="148">
        <f t="shared" si="132"/>
        <v>-3.8607242339832868</v>
      </c>
      <c r="P60" s="148">
        <f t="shared" si="132"/>
        <v>-3.8997214484679668</v>
      </c>
      <c r="Q60" s="118">
        <f>((P60/G60)^(1/($H$3-$H$2) ))-1</f>
        <v>0.36284459190939988</v>
      </c>
      <c r="R60" s="128"/>
      <c r="S60" s="127">
        <f t="shared" ref="S60:AB60" si="133">S21/S35</f>
        <v>-4.2711234911792015</v>
      </c>
      <c r="T60" s="127">
        <f t="shared" si="133"/>
        <v>-4.6778971570057912</v>
      </c>
      <c r="U60" s="127">
        <f t="shared" si="133"/>
        <v>-5.1234111719587228</v>
      </c>
      <c r="V60" s="127">
        <f t="shared" si="133"/>
        <v>-5.6113550930976483</v>
      </c>
      <c r="W60" s="127">
        <f t="shared" si="133"/>
        <v>-6.1457698638688534</v>
      </c>
      <c r="X60" s="127">
        <f t="shared" si="133"/>
        <v>-6.7310812794754105</v>
      </c>
      <c r="Y60" s="127">
        <f t="shared" si="133"/>
        <v>-7.3721366394254488</v>
      </c>
      <c r="Z60" s="127">
        <f t="shared" si="133"/>
        <v>-8.0742448907992994</v>
      </c>
      <c r="AA60" s="127">
        <f t="shared" si="133"/>
        <v>-8.8432205946849471</v>
      </c>
      <c r="AB60" s="127">
        <f t="shared" si="133"/>
        <v>-9.6854320798930367</v>
      </c>
      <c r="AC60" s="138">
        <f t="shared" si="118"/>
        <v>0.19509643890340334</v>
      </c>
      <c r="AD60" s="31">
        <v>0.08</v>
      </c>
      <c r="AE60" s="127">
        <f>(AB60*(1+AC60))/($C$2-AD60)</f>
        <v>-82.678752770863923</v>
      </c>
    </row>
    <row r="61" spans="2:31">
      <c r="B61" s="20" t="s">
        <v>297</v>
      </c>
      <c r="C61" s="127">
        <f t="shared" ref="C61:G61" si="134">C22/C35</f>
        <v>0</v>
      </c>
      <c r="D61" s="127">
        <f t="shared" si="134"/>
        <v>0</v>
      </c>
      <c r="E61" s="127">
        <f t="shared" si="134"/>
        <v>0</v>
      </c>
      <c r="F61" s="148">
        <f t="shared" si="134"/>
        <v>0</v>
      </c>
      <c r="G61" s="148">
        <f t="shared" si="134"/>
        <v>0.87383943200436931</v>
      </c>
      <c r="H61" s="148">
        <f>H22/H35</f>
        <v>1.0922992900054616</v>
      </c>
      <c r="I61" s="148">
        <f t="shared" ref="I61:P61" si="135">I22/I35</f>
        <v>1.6384489350081923</v>
      </c>
      <c r="J61" s="148">
        <f t="shared" si="135"/>
        <v>1.5292190060076463</v>
      </c>
      <c r="K61" s="148">
        <f t="shared" si="135"/>
        <v>1.6548334243582743</v>
      </c>
      <c r="L61" s="148">
        <f t="shared" si="135"/>
        <v>2.1810250817884405</v>
      </c>
      <c r="M61" s="148">
        <f t="shared" si="135"/>
        <v>2.1331889550622631</v>
      </c>
      <c r="N61" s="148">
        <f t="shared" si="135"/>
        <v>4.255008121277748</v>
      </c>
      <c r="O61" s="148">
        <f t="shared" si="135"/>
        <v>4.4668523676880225</v>
      </c>
      <c r="P61" s="148">
        <f t="shared" si="135"/>
        <v>-4.5125348189415044</v>
      </c>
      <c r="Q61" s="118" t="e">
        <f>((P61/G61)^(1/($H$3-$H$2) ))-1</f>
        <v>#NUM!</v>
      </c>
      <c r="R61" s="128"/>
      <c r="S61" s="127">
        <f>S22/S35</f>
        <v>-4.9423000397930759</v>
      </c>
      <c r="T61" s="127">
        <f t="shared" ref="T61:AB61" si="136">T22/T35</f>
        <v>-5.4129952816781293</v>
      </c>
      <c r="U61" s="127">
        <f t="shared" si="136"/>
        <v>-5.9285186418379512</v>
      </c>
      <c r="V61" s="127">
        <f t="shared" si="136"/>
        <v>-6.4931394648701364</v>
      </c>
      <c r="W61" s="127">
        <f t="shared" si="136"/>
        <v>-7.1115336996196721</v>
      </c>
      <c r="X61" s="127">
        <f t="shared" si="136"/>
        <v>-7.7888226233929743</v>
      </c>
      <c r="Y61" s="127">
        <f t="shared" si="136"/>
        <v>-8.5306152541923055</v>
      </c>
      <c r="Z61" s="127">
        <f t="shared" si="136"/>
        <v>-9.3430548022106166</v>
      </c>
      <c r="AA61" s="127">
        <f t="shared" si="136"/>
        <v>-10.232869545278295</v>
      </c>
      <c r="AB61" s="127">
        <f t="shared" si="136"/>
        <v>-11.207428549590512</v>
      </c>
      <c r="AC61" s="138">
        <f t="shared" ref="AC61" si="137">((AB61/G61)^(1/($AB$4-$H$2) ))-1</f>
        <v>-2.1437199645380289</v>
      </c>
      <c r="AD61" s="31">
        <v>0.08</v>
      </c>
      <c r="AE61" s="127">
        <f>(AB61*(1+AC61))/($C$2-AD61)</f>
        <v>91.558284166429658</v>
      </c>
    </row>
    <row r="62" spans="2:31">
      <c r="B62" s="20"/>
      <c r="C62" s="127"/>
      <c r="D62" s="127"/>
      <c r="E62" s="127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18"/>
      <c r="R62" s="128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39"/>
      <c r="AD62" s="20"/>
      <c r="AE62" s="20"/>
    </row>
    <row r="63" spans="2:31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28"/>
      <c r="R63" s="128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39"/>
      <c r="AD63" s="20"/>
      <c r="AE63" s="20"/>
    </row>
    <row r="64" spans="2:31">
      <c r="B64" s="108" t="s">
        <v>83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28"/>
      <c r="R64" s="128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39"/>
      <c r="AD64" s="20"/>
      <c r="AE64" s="20"/>
    </row>
    <row r="65" spans="2:31">
      <c r="B65" s="20" t="s">
        <v>82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18" t="e">
        <f>((P65/G65)^(1/($H$3-$H$2) ))-1</f>
        <v>#DIV/0!</v>
      </c>
      <c r="R65" s="31">
        <v>0.1</v>
      </c>
      <c r="S65" s="119">
        <f t="shared" ref="S65:S71" si="138">P65*(1+$R65)</f>
        <v>0</v>
      </c>
      <c r="T65" s="119">
        <f t="shared" ref="T65:AB71" si="139">S65*(1+$R65)</f>
        <v>0</v>
      </c>
      <c r="U65" s="119">
        <f t="shared" si="139"/>
        <v>0</v>
      </c>
      <c r="V65" s="119">
        <f t="shared" si="139"/>
        <v>0</v>
      </c>
      <c r="W65" s="119">
        <f t="shared" si="139"/>
        <v>0</v>
      </c>
      <c r="X65" s="119">
        <f t="shared" si="139"/>
        <v>0</v>
      </c>
      <c r="Y65" s="119">
        <f t="shared" si="139"/>
        <v>0</v>
      </c>
      <c r="Z65" s="119">
        <f t="shared" si="139"/>
        <v>0</v>
      </c>
      <c r="AA65" s="119">
        <f t="shared" si="139"/>
        <v>0</v>
      </c>
      <c r="AB65" s="119">
        <f t="shared" si="139"/>
        <v>0</v>
      </c>
      <c r="AC65" s="138" t="e">
        <f t="shared" ref="AC65:AC71" si="140">((AB65/G65)^(1/($AB$4-$H$2) ))-1</f>
        <v>#DIV/0!</v>
      </c>
      <c r="AD65" s="31">
        <v>0.08</v>
      </c>
      <c r="AE65" s="127" t="e">
        <f t="shared" ref="AE65:AE71" si="141">(AB65*(1+AC65))/($C$2-AD65)</f>
        <v>#DIV/0!</v>
      </c>
    </row>
    <row r="66" spans="2:31">
      <c r="B66" s="20" t="s">
        <v>84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18" t="e">
        <f t="shared" ref="Q66:Q71" si="142">((P66/G66)^(1/($H$3-$H$2) ))-1</f>
        <v>#DIV/0!</v>
      </c>
      <c r="R66" s="31">
        <v>0.1</v>
      </c>
      <c r="S66" s="119">
        <f t="shared" si="138"/>
        <v>0</v>
      </c>
      <c r="T66" s="119">
        <f t="shared" si="139"/>
        <v>0</v>
      </c>
      <c r="U66" s="119">
        <f t="shared" si="139"/>
        <v>0</v>
      </c>
      <c r="V66" s="119">
        <f t="shared" si="139"/>
        <v>0</v>
      </c>
      <c r="W66" s="119">
        <f t="shared" si="139"/>
        <v>0</v>
      </c>
      <c r="X66" s="119">
        <f t="shared" si="139"/>
        <v>0</v>
      </c>
      <c r="Y66" s="119">
        <f t="shared" si="139"/>
        <v>0</v>
      </c>
      <c r="Z66" s="119">
        <f t="shared" si="139"/>
        <v>0</v>
      </c>
      <c r="AA66" s="119">
        <f t="shared" si="139"/>
        <v>0</v>
      </c>
      <c r="AB66" s="119">
        <f t="shared" si="139"/>
        <v>0</v>
      </c>
      <c r="AC66" s="138" t="e">
        <f t="shared" si="140"/>
        <v>#DIV/0!</v>
      </c>
      <c r="AD66" s="31">
        <v>0.08</v>
      </c>
      <c r="AE66" s="127" t="e">
        <f t="shared" si="141"/>
        <v>#DIV/0!</v>
      </c>
    </row>
    <row r="67" spans="2:31">
      <c r="B67" s="20" t="s">
        <v>85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18" t="e">
        <f t="shared" si="142"/>
        <v>#DIV/0!</v>
      </c>
      <c r="R67" s="31">
        <v>0.1</v>
      </c>
      <c r="S67" s="119">
        <f t="shared" si="138"/>
        <v>0</v>
      </c>
      <c r="T67" s="119">
        <f t="shared" si="139"/>
        <v>0</v>
      </c>
      <c r="U67" s="119">
        <f t="shared" si="139"/>
        <v>0</v>
      </c>
      <c r="V67" s="119">
        <f t="shared" si="139"/>
        <v>0</v>
      </c>
      <c r="W67" s="119">
        <f t="shared" si="139"/>
        <v>0</v>
      </c>
      <c r="X67" s="119">
        <f t="shared" si="139"/>
        <v>0</v>
      </c>
      <c r="Y67" s="119">
        <f t="shared" si="139"/>
        <v>0</v>
      </c>
      <c r="Z67" s="119">
        <f t="shared" si="139"/>
        <v>0</v>
      </c>
      <c r="AA67" s="119">
        <f t="shared" si="139"/>
        <v>0</v>
      </c>
      <c r="AB67" s="119">
        <f t="shared" si="139"/>
        <v>0</v>
      </c>
      <c r="AC67" s="138" t="e">
        <f t="shared" si="140"/>
        <v>#DIV/0!</v>
      </c>
      <c r="AD67" s="31">
        <v>0.08</v>
      </c>
      <c r="AE67" s="127" t="e">
        <f t="shared" si="141"/>
        <v>#DIV/0!</v>
      </c>
    </row>
    <row r="68" spans="2:31">
      <c r="B68" s="20" t="s">
        <v>81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18" t="e">
        <f t="shared" si="142"/>
        <v>#DIV/0!</v>
      </c>
      <c r="R68" s="31">
        <v>0.1</v>
      </c>
      <c r="S68" s="119">
        <f t="shared" si="138"/>
        <v>0</v>
      </c>
      <c r="T68" s="119">
        <f t="shared" si="139"/>
        <v>0</v>
      </c>
      <c r="U68" s="119">
        <f t="shared" si="139"/>
        <v>0</v>
      </c>
      <c r="V68" s="119">
        <f t="shared" si="139"/>
        <v>0</v>
      </c>
      <c r="W68" s="119">
        <f t="shared" si="139"/>
        <v>0</v>
      </c>
      <c r="X68" s="119">
        <f t="shared" si="139"/>
        <v>0</v>
      </c>
      <c r="Y68" s="119">
        <f t="shared" si="139"/>
        <v>0</v>
      </c>
      <c r="Z68" s="119">
        <f t="shared" si="139"/>
        <v>0</v>
      </c>
      <c r="AA68" s="119">
        <f t="shared" si="139"/>
        <v>0</v>
      </c>
      <c r="AB68" s="119">
        <f t="shared" si="139"/>
        <v>0</v>
      </c>
      <c r="AC68" s="138" t="e">
        <f t="shared" si="140"/>
        <v>#DIV/0!</v>
      </c>
      <c r="AD68" s="31">
        <v>0.08</v>
      </c>
      <c r="AE68" s="127" t="e">
        <f t="shared" si="141"/>
        <v>#DIV/0!</v>
      </c>
    </row>
    <row r="69" spans="2:31">
      <c r="B69" s="20" t="s">
        <v>78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18" t="e">
        <f t="shared" si="142"/>
        <v>#DIV/0!</v>
      </c>
      <c r="R69" s="31">
        <v>0.1</v>
      </c>
      <c r="S69" s="119">
        <f t="shared" si="138"/>
        <v>0</v>
      </c>
      <c r="T69" s="119">
        <f t="shared" si="139"/>
        <v>0</v>
      </c>
      <c r="U69" s="119">
        <f t="shared" si="139"/>
        <v>0</v>
      </c>
      <c r="V69" s="119">
        <f t="shared" si="139"/>
        <v>0</v>
      </c>
      <c r="W69" s="119">
        <f t="shared" si="139"/>
        <v>0</v>
      </c>
      <c r="X69" s="119">
        <f t="shared" si="139"/>
        <v>0</v>
      </c>
      <c r="Y69" s="119">
        <f t="shared" si="139"/>
        <v>0</v>
      </c>
      <c r="Z69" s="119">
        <f t="shared" si="139"/>
        <v>0</v>
      </c>
      <c r="AA69" s="119">
        <f t="shared" si="139"/>
        <v>0</v>
      </c>
      <c r="AB69" s="119">
        <f t="shared" si="139"/>
        <v>0</v>
      </c>
      <c r="AC69" s="138" t="e">
        <f t="shared" si="140"/>
        <v>#DIV/0!</v>
      </c>
      <c r="AD69" s="31">
        <v>0.08</v>
      </c>
      <c r="AE69" s="127" t="e">
        <f t="shared" si="141"/>
        <v>#DIV/0!</v>
      </c>
    </row>
    <row r="70" spans="2:31">
      <c r="B70" s="20" t="s">
        <v>79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18" t="e">
        <f t="shared" si="142"/>
        <v>#DIV/0!</v>
      </c>
      <c r="R70" s="31">
        <v>0.1</v>
      </c>
      <c r="S70" s="119">
        <f t="shared" si="138"/>
        <v>0</v>
      </c>
      <c r="T70" s="119">
        <f t="shared" si="139"/>
        <v>0</v>
      </c>
      <c r="U70" s="119">
        <f t="shared" si="139"/>
        <v>0</v>
      </c>
      <c r="V70" s="119">
        <f t="shared" si="139"/>
        <v>0</v>
      </c>
      <c r="W70" s="119">
        <f t="shared" si="139"/>
        <v>0</v>
      </c>
      <c r="X70" s="119">
        <f t="shared" si="139"/>
        <v>0</v>
      </c>
      <c r="Y70" s="119">
        <f t="shared" si="139"/>
        <v>0</v>
      </c>
      <c r="Z70" s="119">
        <f t="shared" si="139"/>
        <v>0</v>
      </c>
      <c r="AA70" s="119">
        <f t="shared" si="139"/>
        <v>0</v>
      </c>
      <c r="AB70" s="119">
        <f t="shared" si="139"/>
        <v>0</v>
      </c>
      <c r="AC70" s="138" t="e">
        <f t="shared" si="140"/>
        <v>#DIV/0!</v>
      </c>
      <c r="AD70" s="31">
        <v>0.08</v>
      </c>
      <c r="AE70" s="127" t="e">
        <f t="shared" si="141"/>
        <v>#DIV/0!</v>
      </c>
    </row>
    <row r="71" spans="2:31">
      <c r="B71" s="20" t="s">
        <v>80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18" t="e">
        <f t="shared" si="142"/>
        <v>#DIV/0!</v>
      </c>
      <c r="R71" s="31">
        <v>0.1</v>
      </c>
      <c r="S71" s="119">
        <f t="shared" si="138"/>
        <v>0</v>
      </c>
      <c r="T71" s="119">
        <f t="shared" si="139"/>
        <v>0</v>
      </c>
      <c r="U71" s="119">
        <f t="shared" si="139"/>
        <v>0</v>
      </c>
      <c r="V71" s="119">
        <f t="shared" si="139"/>
        <v>0</v>
      </c>
      <c r="W71" s="119">
        <f t="shared" si="139"/>
        <v>0</v>
      </c>
      <c r="X71" s="119">
        <f t="shared" si="139"/>
        <v>0</v>
      </c>
      <c r="Y71" s="119">
        <f t="shared" si="139"/>
        <v>0</v>
      </c>
      <c r="Z71" s="119">
        <f t="shared" si="139"/>
        <v>0</v>
      </c>
      <c r="AA71" s="119">
        <f t="shared" si="139"/>
        <v>0</v>
      </c>
      <c r="AB71" s="119">
        <f t="shared" si="139"/>
        <v>0</v>
      </c>
      <c r="AC71" s="138" t="e">
        <f t="shared" si="140"/>
        <v>#DIV/0!</v>
      </c>
      <c r="AD71" s="31">
        <v>0.08</v>
      </c>
      <c r="AE71" s="127" t="e">
        <f t="shared" si="141"/>
        <v>#DIV/0!</v>
      </c>
    </row>
    <row r="72" spans="2:31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37"/>
      <c r="AD72" s="20"/>
      <c r="AE72" s="20"/>
    </row>
    <row r="73" spans="2:31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37"/>
      <c r="AD73" s="20"/>
      <c r="AE73" s="20"/>
    </row>
    <row r="74" spans="2:31">
      <c r="B74" s="108" t="s">
        <v>244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3"/>
      <c r="R74" s="23"/>
      <c r="S74" s="122" t="s">
        <v>66</v>
      </c>
      <c r="T74" s="20"/>
      <c r="U74" s="20"/>
      <c r="V74" s="20"/>
      <c r="W74" s="20"/>
      <c r="X74" s="20"/>
      <c r="Y74" s="20"/>
      <c r="Z74" s="20"/>
      <c r="AA74" s="20"/>
      <c r="AB74" s="20"/>
      <c r="AC74" s="137"/>
      <c r="AD74" s="20"/>
      <c r="AE74" s="20"/>
    </row>
    <row r="75" spans="2:31">
      <c r="B75" s="23" t="s">
        <v>283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5">
        <f>AVERAGE(G38:P39)</f>
        <v>10.951711596195556</v>
      </c>
      <c r="Q75" s="23"/>
      <c r="R75" s="23"/>
      <c r="S75" s="134"/>
      <c r="T75" s="20"/>
      <c r="U75" s="20"/>
      <c r="V75" s="20"/>
      <c r="W75" s="20"/>
      <c r="X75" s="20"/>
      <c r="Y75" s="20"/>
      <c r="Z75" s="20"/>
      <c r="AA75" s="20"/>
      <c r="AB75" s="20"/>
      <c r="AC75" s="137"/>
      <c r="AD75" s="20"/>
      <c r="AE75" s="20"/>
    </row>
    <row r="76" spans="2:31">
      <c r="B76" s="20" t="s">
        <v>25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0">
        <f>S76+T76</f>
        <v>25.908617661155269</v>
      </c>
      <c r="S76" s="133">
        <f>PV($C$2, ($AB$4-$S$4), 0, -AB38)</f>
        <v>2.6725991335092885</v>
      </c>
      <c r="T76" s="133">
        <f>PV($C$2, ($AB$4-$S$4), 0, -AE38)</f>
        <v>23.236018527645982</v>
      </c>
      <c r="U76" s="20"/>
      <c r="V76" s="20"/>
      <c r="W76" s="20"/>
      <c r="X76" s="20"/>
      <c r="Y76" s="20"/>
      <c r="Z76" s="20"/>
      <c r="AA76" s="20"/>
      <c r="AB76" s="20"/>
      <c r="AC76" s="137"/>
      <c r="AD76" s="20"/>
      <c r="AE76" s="20"/>
    </row>
    <row r="77" spans="2:31">
      <c r="B77" s="20" t="s">
        <v>273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0">
        <f t="shared" ref="R77:R95" si="143">S77+T77</f>
        <v>213.93170304139517</v>
      </c>
      <c r="S77" s="133">
        <f>PV($C$2, ($AB$4-$S$4), 0, -AB39)</f>
        <v>21.456077550708375</v>
      </c>
      <c r="T77" s="133">
        <f>PV($C$2, ($AB$4-$S$4), 0, -AE39)</f>
        <v>192.47562549068678</v>
      </c>
      <c r="U77" s="20"/>
      <c r="V77" s="20"/>
      <c r="W77" s="20"/>
      <c r="X77" s="20"/>
      <c r="Y77" s="20"/>
      <c r="Z77" s="20"/>
      <c r="AA77" s="20"/>
      <c r="AB77" s="20"/>
      <c r="AC77" s="137"/>
      <c r="AD77" s="20"/>
      <c r="AE77" s="20"/>
    </row>
    <row r="78" spans="2:31">
      <c r="B78" s="20" t="s">
        <v>274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0">
        <f t="shared" si="143"/>
        <v>203.04505010276463</v>
      </c>
      <c r="S78" s="133">
        <f>PV($C$2, ($AB$4-$S$4), 0, -AB40)</f>
        <v>20.138599104612251</v>
      </c>
      <c r="T78" s="133">
        <f>PV($C$2, ($AB$4-$S$4), 0, -AE40)</f>
        <v>182.90645099815239</v>
      </c>
      <c r="U78" s="20"/>
      <c r="V78" s="20"/>
      <c r="W78" s="20"/>
      <c r="X78" s="20"/>
      <c r="Y78" s="20"/>
      <c r="Z78" s="20"/>
      <c r="AA78" s="20"/>
      <c r="AB78" s="20"/>
      <c r="AC78" s="137"/>
      <c r="AD78" s="20"/>
      <c r="AE78" s="20"/>
    </row>
    <row r="79" spans="2:31">
      <c r="B79" s="20" t="s">
        <v>275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0" t="e">
        <f t="shared" si="143"/>
        <v>#DIV/0!</v>
      </c>
      <c r="S79" s="133">
        <f>PV($C$2, ($AB$4-$S$4), 0, -AB41)</f>
        <v>0</v>
      </c>
      <c r="T79" s="133" t="e">
        <f>PV($C$2, ($AB$4-$S$4), 0, -AE41)</f>
        <v>#DIV/0!</v>
      </c>
      <c r="U79" s="20"/>
      <c r="V79" s="20"/>
      <c r="W79" s="20"/>
      <c r="X79" s="20"/>
      <c r="Y79" s="20"/>
      <c r="Z79" s="20"/>
      <c r="AA79" s="20"/>
      <c r="AB79" s="20"/>
      <c r="AC79" s="137"/>
      <c r="AD79" s="20"/>
      <c r="AE79" s="20"/>
    </row>
    <row r="80" spans="2:31">
      <c r="B80" s="20" t="s">
        <v>276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0">
        <f t="shared" si="143"/>
        <v>26.316022570061186</v>
      </c>
      <c r="S80" s="133">
        <f>PV($C$2, ($AB$4-$S$4), 0, -AB47)</f>
        <v>2.8231680987774168</v>
      </c>
      <c r="T80" s="133">
        <f>PV($C$2, ($AB$4-$S$4), 0, -AE47)</f>
        <v>23.492854471283771</v>
      </c>
      <c r="U80" s="20"/>
      <c r="V80" s="20"/>
      <c r="W80" s="20"/>
      <c r="X80" s="20"/>
      <c r="Y80" s="20"/>
      <c r="Z80" s="20"/>
      <c r="AA80" s="20"/>
      <c r="AB80" s="20"/>
      <c r="AC80" s="137"/>
      <c r="AD80" s="20"/>
      <c r="AE80" s="20"/>
    </row>
    <row r="81" spans="2:31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0"/>
      <c r="S81" s="133"/>
      <c r="T81" s="20"/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>
      <c r="B82" s="20" t="s">
        <v>271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0">
        <f t="shared" si="143"/>
        <v>213.93170304139517</v>
      </c>
      <c r="S82" s="133">
        <f>PV($C$2, ($AB$4-$S$4), 0, -AB43)</f>
        <v>21.456077550708375</v>
      </c>
      <c r="T82" s="133">
        <f>PV($C$2, ($AB$4-$S$4), 0, -$AE$43)</f>
        <v>192.47562549068678</v>
      </c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>
      <c r="B83" s="20" t="s">
        <v>272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>
        <f t="shared" si="143"/>
        <v>-27.580965800515635</v>
      </c>
      <c r="S83" s="133">
        <f>PV($C$2, ($AB$4-$S$4), 0, -AB44)</f>
        <v>-2.9360948227285157</v>
      </c>
      <c r="T83" s="133">
        <f>PV($C$2, ($AB$4-$S$4), 0, -$AE$44)</f>
        <v>-24.644870977787118</v>
      </c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>
      <c r="B84" s="20" t="s">
        <v>277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>
        <f t="shared" si="143"/>
        <v>312.00224667315229</v>
      </c>
      <c r="S84" s="133">
        <f>PV($C$2, ($AB$4-$S$4), 0, -AB45)</f>
        <v>31.544198223673021</v>
      </c>
      <c r="T84" s="133">
        <f>PV($C$2, ($AB$4-$S$4), 0, -$AE$45)</f>
        <v>280.45804844947929</v>
      </c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/>
      <c r="S85" s="133"/>
      <c r="T85" s="20"/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>
      <c r="B86" s="20" t="s">
        <v>249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>
        <f t="shared" si="143"/>
        <v>40.865890195665635</v>
      </c>
      <c r="S86" s="133">
        <f>PV($C$2, ($AB$4-$S$4), 0, -AB50)</f>
        <v>34.480293046401535</v>
      </c>
      <c r="T86" s="133">
        <f>PV($C$2, ($AB$4-$S$4), 0, -AE48)</f>
        <v>6.3855971492641004</v>
      </c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>
      <c r="B87" s="20" t="s">
        <v>250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>
        <f t="shared" si="143"/>
        <v>315.34668395840993</v>
      </c>
      <c r="S87" s="133">
        <f>PV($C$2, ($AB$4-$S$4), 0, -AB51)</f>
        <v>11.292672395109667</v>
      </c>
      <c r="T87" s="133">
        <f>PV($C$2, ($AB$4-$S$4), 0, -AE50)</f>
        <v>304.05401156330026</v>
      </c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/>
      <c r="S88" s="133"/>
      <c r="T88" s="133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>
      <c r="B89" s="20" t="s">
        <v>294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" si="144">S89+T89</f>
        <v>471.93211246605938</v>
      </c>
      <c r="S89" s="133">
        <f>PV($C$2, ($AB$4-$S$4), 0, -AB12)</f>
        <v>50.67586737305465</v>
      </c>
      <c r="T89" s="133">
        <f>PV($C$2, ($AB$4-$S$4), 0, -AE12)</f>
        <v>421.25624509300474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>
      <c r="B90" s="20" t="s">
        <v>295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>S90+T90</f>
        <v>26.291482588638409</v>
      </c>
      <c r="S90" s="140">
        <f>S89/P35</f>
        <v>2.8231680987774181</v>
      </c>
      <c r="T90" s="140">
        <f>T89/P35</f>
        <v>23.46831448986099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/>
      <c r="S91" s="140"/>
      <c r="T91" s="14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>
      <c r="B92" s="108" t="s">
        <v>298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/>
      <c r="S92" s="133"/>
      <c r="T92" s="133"/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>
      <c r="B93" s="20" t="s">
        <v>285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>
        <f t="shared" ref="R93" si="145">S93+T93</f>
        <v>40.000148429076489</v>
      </c>
      <c r="S93" s="133">
        <f>PV($C$2, ($AB$4-$S$4), 0, -AB53)+PV($C$2, ($AA$4-$S$4), 0, -AB53)+PV($C$2, ($Z$4-$S$4), 0, -AB53)+PV($C$2, ($Y$4-$S$4), 0, -AB53)+PV($C$2, ($X$4-$S$4), 0, -AB53)+PV($C$2, ($W$4-$S$4), 0, -AB53)+PV($C$2, ($V$4-$S$4), 0, -AB53)+PV($C$2, ($U$4-$S$4), 0, -AB53)+PV($C$2, ($T$4-$S$4), 0, -AB53)+PV($C$2, ($S$4-$S$4), 0, -AB53)</f>
        <v>31.368370789068752</v>
      </c>
      <c r="T93" s="133">
        <f>PV($C$2, ($AB$4-$S$4), 0, -AE53)</f>
        <v>8.6317776400077406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>
      <c r="B94" s="2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/>
      <c r="S94" s="133"/>
      <c r="T94" s="133"/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>
      <c r="B95" s="20" t="s">
        <v>305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143"/>
        <v>1833.4479765846147</v>
      </c>
      <c r="S95" s="133">
        <f>PV($C$2, ($AB$4-$S$4), 0, -AB55)+PV($C$2, ($AA$4-$S$4), 0, -AB55)+PV($C$2, ($Z$4-$S$4), 0, -AB55)+PV($C$2, ($Y$4-$S$4), 0, -AB55)+PV($C$2, ($X$4-$S$4), 0, -AB55)+PV($C$2, ($W$4-$S$4), 0, -AB55)+PV($C$2, ($V$4-$S$4), 0, -AB55)+PV($C$2, ($U$4-$S$4), 0, -AB55)+PV($C$2, ($T$4-$S$4), 0, -AB55)+PV($C$2, ($S$4-$S$4), 0, -AB55)</f>
        <v>1413.5130046926049</v>
      </c>
      <c r="T95" s="133">
        <f>PV($C$2, ($AB$4-$S$4), 0, -AE55)</f>
        <v>419.93497189200986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/>
      <c r="S96" s="133"/>
      <c r="T96" s="133"/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>
      <c r="B97" s="20" t="s">
        <v>306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>
        <f t="shared" ref="R97:R100" si="146">S97+T97</f>
        <v>62.356817958549399</v>
      </c>
      <c r="S97" s="133">
        <f>PV($C$2, ($AB$4-$S$4), 0, -AB57)+PV($C$2, ($AA$4-$S$4), 0, -AB57)+PV($C$2, ($Z$4-$S$4), 0, -AB57)+PV($C$2, ($Y$4-$S$4), 0, -AB57)+PV($C$2, ($X$4-$S$4), 0, -AB57)+PV($C$2, ($W$4-$S$4), 0, -AB57)+PV($C$2, ($V$4-$S$4), 0, -AB57)+PV($C$2, ($U$4-$S$4), 0, -AB57)+PV($C$2, ($T$4-$S$4), 0, -AB57)+PV($C$2, ($S$4-$S$4), 0, -AB57)</f>
        <v>48.343975912702589</v>
      </c>
      <c r="T97" s="133">
        <f>PV($C$2, ($AB$4-$S$4), 0, -AE57)</f>
        <v>14.012842045846808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>
      <c r="B98" s="20" t="s">
        <v>289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146"/>
        <v>29.620535049992569</v>
      </c>
      <c r="S98" s="133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23.17861858828207</v>
      </c>
      <c r="T98" s="133">
        <f>PV($C$2, ($AB$4-$S$4), 0, -AE58)</f>
        <v>6.4419164617104965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0" t="s">
        <v>290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146"/>
        <v>17.031172526185308</v>
      </c>
      <c r="S99" s="133">
        <f>PV($C$2, ($AB$4-$S$4), 0, -AB59)+PV($C$2, ($AA$4-$S$4), 0, -AB59)+PV($C$2, ($Z$4-$S$4), 0, -AB59)+PV($C$2, ($Y$4-$S$4), 0, -AB59)+PV($C$2, ($X$4-$S$4), 0, -AB59)+PV($C$2, ($W$4-$S$4), 0, -AB59)+PV($C$2, ($V$4-$S$4), 0, -AB59)+PV($C$2, ($U$4-$S$4), 0, -AB59)+PV($C$2, ($T$4-$S$4), 0, -AB59)+PV($C$2, ($S$4-$S$4), 0, -AB59)</f>
        <v>25.165357324420519</v>
      </c>
      <c r="T99" s="133">
        <f>PV($C$2, ($AB$4-$S$4), 0, -AE59)</f>
        <v>-8.1341847982352107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291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 t="shared" si="146"/>
        <v>-60.166021308698888</v>
      </c>
      <c r="S100" s="133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-46.357237176564141</v>
      </c>
      <c r="T100" s="133">
        <f>PV($C$2, ($AB$4-$S$4), 0, -AE60)</f>
        <v>-13.808784132134749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133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299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ref="R102" si="147">S102+T102</f>
        <v>-38.350126161587923</v>
      </c>
      <c r="S102" s="133">
        <f>PV($C$2, ($AB$4-$S$4), 0, -AB61)+PV($C$2, ($AA$4-$S$4), 0, -AB61)+PV($C$2, ($Z$4-$S$4), 0, -AB61)+PV($C$2, ($Y$4-$S$4), 0, -AB61)+PV($C$2, ($X$4-$S$4), 0, -AB61)+PV($C$2, ($W$4-$S$4), 0, -AB61)+PV($C$2, ($V$4-$S$4), 0, -AB61)+PV($C$2, ($U$4-$S$4), 0, -AB61)+PV($C$2, ($T$4-$S$4), 0, -AB61)+PV($C$2, ($S$4-$S$4), 0, -AB61)</f>
        <v>-53.641945875738493</v>
      </c>
      <c r="T102" s="133">
        <f>PV($C$2, ($AB$4-$S$4), 0, -AE61)</f>
        <v>15.29181971415057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21"/>
      <c r="T103" s="2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108" t="s">
        <v>251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 t="s">
        <v>204</v>
      </c>
      <c r="C105" s="22">
        <v>14</v>
      </c>
      <c r="D105" s="22">
        <v>14</v>
      </c>
      <c r="E105" s="22">
        <v>14</v>
      </c>
      <c r="F105" s="22">
        <v>14</v>
      </c>
      <c r="G105" s="22">
        <v>14</v>
      </c>
      <c r="H105" s="22">
        <v>14250</v>
      </c>
      <c r="I105" s="22">
        <v>14</v>
      </c>
      <c r="J105" s="22">
        <v>14</v>
      </c>
      <c r="K105" s="22">
        <v>14</v>
      </c>
      <c r="L105" s="22">
        <v>200</v>
      </c>
      <c r="M105" s="22">
        <v>200</v>
      </c>
      <c r="N105" s="22">
        <v>200</v>
      </c>
      <c r="O105" s="22">
        <v>200</v>
      </c>
      <c r="P105" s="22">
        <v>200</v>
      </c>
      <c r="Q105" s="118">
        <f t="shared" ref="Q105:Q109" si="148">((P105/G105)^(1/($H$3-$H$2) ))-1</f>
        <v>0.39432092497170967</v>
      </c>
      <c r="R105" s="31">
        <v>0.1</v>
      </c>
      <c r="S105" s="119">
        <f t="shared" ref="S105" si="149">P105*(1+$R105)</f>
        <v>220.00000000000003</v>
      </c>
      <c r="T105" s="119">
        <f t="shared" ref="T105:AB105" si="150">S105*(1+$R105)</f>
        <v>242.00000000000006</v>
      </c>
      <c r="U105" s="119">
        <f t="shared" si="150"/>
        <v>266.2000000000001</v>
      </c>
      <c r="V105" s="119">
        <f t="shared" si="150"/>
        <v>292.82000000000016</v>
      </c>
      <c r="W105" s="119">
        <f t="shared" si="150"/>
        <v>322.1020000000002</v>
      </c>
      <c r="X105" s="119">
        <f t="shared" si="150"/>
        <v>354.31220000000025</v>
      </c>
      <c r="Y105" s="119">
        <f t="shared" si="150"/>
        <v>389.7434200000003</v>
      </c>
      <c r="Z105" s="119">
        <f t="shared" si="150"/>
        <v>428.71776200000039</v>
      </c>
      <c r="AA105" s="119">
        <f t="shared" si="150"/>
        <v>471.58953820000045</v>
      </c>
      <c r="AB105" s="119">
        <f t="shared" si="150"/>
        <v>518.74849202000053</v>
      </c>
      <c r="AC105" s="138">
        <f t="shared" ref="AC105:AC109" si="151">((AB105/G105)^(1/($AB$4-$H$2) ))-1</f>
        <v>0.20939992531595553</v>
      </c>
      <c r="AD105" s="31">
        <v>0.08</v>
      </c>
      <c r="AE105" s="127">
        <f t="shared" ref="AE105:AE110" si="152">(AB105*(1+AC105))/($C$2-AD105)</f>
        <v>4481.2456250482373</v>
      </c>
    </row>
    <row r="106" spans="2:31">
      <c r="B106" s="20" t="s">
        <v>42</v>
      </c>
      <c r="C106" s="25" t="e">
        <f t="shared" ref="C106:P106" si="153">C105/C38</f>
        <v>#DIV/0!</v>
      </c>
      <c r="D106" s="25" t="e">
        <f t="shared" si="153"/>
        <v>#DIV/0!</v>
      </c>
      <c r="E106" s="25" t="e">
        <f t="shared" si="153"/>
        <v>#DIV/0!</v>
      </c>
      <c r="F106" s="25" t="e">
        <f t="shared" si="153"/>
        <v>#DIV/0!</v>
      </c>
      <c r="G106" s="25">
        <f t="shared" si="153"/>
        <v>36.619999999999997</v>
      </c>
      <c r="H106" s="25">
        <f t="shared" si="153"/>
        <v>12424.642857142855</v>
      </c>
      <c r="I106" s="25">
        <f t="shared" si="153"/>
        <v>11.145217391304348</v>
      </c>
      <c r="J106" s="25">
        <f t="shared" si="153"/>
        <v>2.9806976744186047</v>
      </c>
      <c r="K106" s="25">
        <f t="shared" si="153"/>
        <v>1.697615894039735</v>
      </c>
      <c r="L106" s="25">
        <f t="shared" si="153"/>
        <v>31.350427350427349</v>
      </c>
      <c r="M106" s="25">
        <f t="shared" si="153"/>
        <v>31.042016806722689</v>
      </c>
      <c r="N106" s="25">
        <f t="shared" si="153"/>
        <v>64.807017543859644</v>
      </c>
      <c r="O106" s="25">
        <f t="shared" si="153"/>
        <v>51.285714285714285</v>
      </c>
      <c r="P106" s="25">
        <f t="shared" si="153"/>
        <v>50.563380281690137</v>
      </c>
      <c r="Q106" s="118">
        <f t="shared" si="148"/>
        <v>4.1153395901343481E-2</v>
      </c>
      <c r="R106" s="128"/>
      <c r="S106" s="119">
        <f t="shared" ref="S106:AB106" si="154">S105/S38</f>
        <v>48.364972443355796</v>
      </c>
      <c r="T106" s="119">
        <f t="shared" si="154"/>
        <v>46.26214755451425</v>
      </c>
      <c r="U106" s="119">
        <f t="shared" si="154"/>
        <v>44.250749834752774</v>
      </c>
      <c r="V106" s="119">
        <f t="shared" si="154"/>
        <v>42.326804189763536</v>
      </c>
      <c r="W106" s="119">
        <f t="shared" si="154"/>
        <v>40.486508355425997</v>
      </c>
      <c r="X106" s="119">
        <f t="shared" si="154"/>
        <v>38.726225383450959</v>
      </c>
      <c r="Y106" s="119">
        <f t="shared" si="154"/>
        <v>37.042476453735709</v>
      </c>
      <c r="Z106" s="119">
        <f t="shared" si="154"/>
        <v>35.431933999225471</v>
      </c>
      <c r="AA106" s="119">
        <f t="shared" si="154"/>
        <v>33.891415129693932</v>
      </c>
      <c r="AB106" s="119">
        <f t="shared" si="154"/>
        <v>32.417875341446369</v>
      </c>
      <c r="AC106" s="138">
        <f t="shared" si="151"/>
        <v>-6.3944448326658243E-3</v>
      </c>
      <c r="AD106" s="31">
        <v>0.08</v>
      </c>
      <c r="AE106" s="127">
        <f t="shared" si="152"/>
        <v>230.07557875702321</v>
      </c>
    </row>
    <row r="107" spans="2:31">
      <c r="B107" s="20" t="s">
        <v>259</v>
      </c>
      <c r="C107" s="25" t="e">
        <f t="shared" ref="C107:P107" si="155">C105/C40</f>
        <v>#DIV/0!</v>
      </c>
      <c r="D107" s="25" t="e">
        <f t="shared" si="155"/>
        <v>#DIV/0!</v>
      </c>
      <c r="E107" s="25" t="e">
        <f t="shared" si="155"/>
        <v>#DIV/0!</v>
      </c>
      <c r="F107" s="25" t="e">
        <f t="shared" si="155"/>
        <v>#DIV/0!</v>
      </c>
      <c r="G107" s="25">
        <f t="shared" si="155"/>
        <v>11.145217391304348</v>
      </c>
      <c r="H107" s="25">
        <f t="shared" si="155"/>
        <v>7674.0441176470586</v>
      </c>
      <c r="I107" s="25">
        <f t="shared" si="155"/>
        <v>6.7457894736842103</v>
      </c>
      <c r="J107" s="25">
        <f t="shared" si="155"/>
        <v>1.9718461538461536</v>
      </c>
      <c r="K107" s="25">
        <f t="shared" si="155"/>
        <v>0.81897763578274763</v>
      </c>
      <c r="L107" s="25">
        <f t="shared" si="155"/>
        <v>9.21608040201005</v>
      </c>
      <c r="M107" s="25">
        <f t="shared" si="155"/>
        <v>7.538775510204081</v>
      </c>
      <c r="N107" s="25">
        <f t="shared" si="155"/>
        <v>7.0902111324376191</v>
      </c>
      <c r="O107" s="25">
        <f t="shared" si="155"/>
        <v>6.9439071566731139</v>
      </c>
      <c r="P107" s="25">
        <f t="shared" si="155"/>
        <v>6.7102803738317753</v>
      </c>
      <c r="Q107" s="118">
        <f t="shared" si="148"/>
        <v>-6.1451942189831854E-2</v>
      </c>
      <c r="R107" s="128"/>
      <c r="S107" s="119">
        <f t="shared" ref="S107:AB107" si="156">S105/S40</f>
        <v>6.4185290532303947</v>
      </c>
      <c r="T107" s="119">
        <f t="shared" si="156"/>
        <v>6.1394625726551624</v>
      </c>
      <c r="U107" s="119">
        <f t="shared" si="156"/>
        <v>5.8725294173223306</v>
      </c>
      <c r="V107" s="119">
        <f t="shared" si="156"/>
        <v>5.6172020513517955</v>
      </c>
      <c r="W107" s="119">
        <f t="shared" si="156"/>
        <v>5.3729758752060661</v>
      </c>
      <c r="X107" s="119">
        <f t="shared" si="156"/>
        <v>5.1393682284579771</v>
      </c>
      <c r="Y107" s="119">
        <f t="shared" si="156"/>
        <v>4.9159174359163265</v>
      </c>
      <c r="Z107" s="119">
        <f t="shared" si="156"/>
        <v>4.7021818952243128</v>
      </c>
      <c r="AA107" s="119">
        <f t="shared" si="156"/>
        <v>4.4977392041276039</v>
      </c>
      <c r="AB107" s="119">
        <f t="shared" si="156"/>
        <v>4.3021853256872742</v>
      </c>
      <c r="AC107" s="138">
        <f t="shared" si="151"/>
        <v>-4.8865061105860863E-2</v>
      </c>
      <c r="AD107" s="31">
        <v>0.08</v>
      </c>
      <c r="AE107" s="127">
        <f t="shared" si="152"/>
        <v>29.228276977563056</v>
      </c>
    </row>
    <row r="108" spans="2:31">
      <c r="B108" s="20" t="s">
        <v>260</v>
      </c>
      <c r="C108" s="129" t="e">
        <f t="shared" ref="C108:P108" si="157">C105/C49</f>
        <v>#DIV/0!</v>
      </c>
      <c r="D108" s="129" t="e">
        <f t="shared" si="157"/>
        <v>#DIV/0!</v>
      </c>
      <c r="E108" s="129" t="e">
        <f t="shared" si="157"/>
        <v>#DIV/0!</v>
      </c>
      <c r="F108" s="129" t="e">
        <f t="shared" si="157"/>
        <v>#DIV/0!</v>
      </c>
      <c r="G108" s="129">
        <f t="shared" si="157"/>
        <v>15.069958847736624</v>
      </c>
      <c r="H108" s="129">
        <f t="shared" si="157"/>
        <v>11859.886363636362</v>
      </c>
      <c r="I108" s="129">
        <f t="shared" si="157"/>
        <v>4.8366037735849048</v>
      </c>
      <c r="J108" s="129">
        <f t="shared" si="157"/>
        <v>1.3635106382978723</v>
      </c>
      <c r="K108" s="129">
        <f t="shared" si="157"/>
        <v>0.95649253731343287</v>
      </c>
      <c r="L108" s="129">
        <f t="shared" si="157"/>
        <v>15.60851063829787</v>
      </c>
      <c r="M108" s="25">
        <f t="shared" si="157"/>
        <v>12.071895424836599</v>
      </c>
      <c r="N108" s="25">
        <f t="shared" si="157"/>
        <v>10.994047619047617</v>
      </c>
      <c r="O108" s="25">
        <f t="shared" si="157"/>
        <v>11.324921135646688</v>
      </c>
      <c r="P108" s="25">
        <f t="shared" si="157"/>
        <v>39.888888888888893</v>
      </c>
      <c r="Q108" s="118">
        <f t="shared" si="148"/>
        <v>0.129386219033095</v>
      </c>
      <c r="R108" s="128"/>
      <c r="S108" s="119">
        <f t="shared" ref="S108:AB108" si="158">S105/S49</f>
        <v>38.154589371980684</v>
      </c>
      <c r="T108" s="119">
        <f t="shared" si="158"/>
        <v>36.495694181894578</v>
      </c>
      <c r="U108" s="119">
        <f t="shared" si="158"/>
        <v>34.908924869638305</v>
      </c>
      <c r="V108" s="119">
        <f t="shared" si="158"/>
        <v>33.39114552748012</v>
      </c>
      <c r="W108" s="119">
        <f t="shared" si="158"/>
        <v>31.93935659150273</v>
      </c>
      <c r="X108" s="119">
        <f t="shared" si="158"/>
        <v>30.550688913611314</v>
      </c>
      <c r="Y108" s="119">
        <f t="shared" si="158"/>
        <v>29.22239809128039</v>
      </c>
      <c r="Z108" s="119">
        <f t="shared" si="158"/>
        <v>27.951859043833423</v>
      </c>
      <c r="AA108" s="119">
        <f t="shared" si="158"/>
        <v>26.736560824536319</v>
      </c>
      <c r="AB108" s="119">
        <f t="shared" si="158"/>
        <v>25.574101658252133</v>
      </c>
      <c r="AC108" s="138">
        <f t="shared" si="151"/>
        <v>2.8226657318256798E-2</v>
      </c>
      <c r="AD108" s="31">
        <v>0.08</v>
      </c>
      <c r="AE108" s="127">
        <f t="shared" si="152"/>
        <v>187.82837901415627</v>
      </c>
    </row>
    <row r="109" spans="2:31">
      <c r="B109" s="20" t="s">
        <v>261</v>
      </c>
      <c r="C109" s="129" t="e">
        <f t="shared" ref="C109:P109" si="159">C105/C51</f>
        <v>#DIV/0!</v>
      </c>
      <c r="D109" s="129" t="e">
        <f t="shared" si="159"/>
        <v>#DIV/0!</v>
      </c>
      <c r="E109" s="129" t="e">
        <f t="shared" si="159"/>
        <v>#DIV/0!</v>
      </c>
      <c r="F109" s="129" t="e">
        <f t="shared" si="159"/>
        <v>#DIV/0!</v>
      </c>
      <c r="G109" s="129">
        <f t="shared" si="159"/>
        <v>11.145217391304348</v>
      </c>
      <c r="H109" s="129">
        <f t="shared" si="159"/>
        <v>23719.772727272728</v>
      </c>
      <c r="I109" s="129">
        <f t="shared" si="159"/>
        <v>-20.026562499999997</v>
      </c>
      <c r="J109" s="129">
        <f t="shared" si="159"/>
        <v>-3.825970149253731</v>
      </c>
      <c r="K109" s="129">
        <f t="shared" si="159"/>
        <v>-23.303636363636365</v>
      </c>
      <c r="L109" s="129">
        <f t="shared" si="159"/>
        <v>34.280373831775698</v>
      </c>
      <c r="M109" s="25">
        <f t="shared" si="159"/>
        <v>30.783333333333331</v>
      </c>
      <c r="N109" s="25">
        <f t="shared" si="159"/>
        <v>25.83216783216783</v>
      </c>
      <c r="O109" s="25">
        <f t="shared" si="159"/>
        <v>18.505154639175256</v>
      </c>
      <c r="P109" s="25">
        <f t="shared" si="159"/>
        <v>11.966666666666667</v>
      </c>
      <c r="Q109" s="118">
        <f t="shared" si="148"/>
        <v>8.9289441162136995E-3</v>
      </c>
      <c r="R109" s="128"/>
      <c r="S109" s="119">
        <f t="shared" ref="S109:AB109" si="160">S105/S51</f>
        <v>11.446376811594206</v>
      </c>
      <c r="T109" s="119">
        <f t="shared" si="160"/>
        <v>10.948708254568373</v>
      </c>
      <c r="U109" s="119">
        <f t="shared" si="160"/>
        <v>10.472677460891491</v>
      </c>
      <c r="V109" s="119">
        <f t="shared" si="160"/>
        <v>10.017343658244037</v>
      </c>
      <c r="W109" s="119">
        <f t="shared" si="160"/>
        <v>9.5818069774508192</v>
      </c>
      <c r="X109" s="119">
        <f t="shared" si="160"/>
        <v>9.1652066740833948</v>
      </c>
      <c r="Y109" s="119">
        <f t="shared" si="160"/>
        <v>8.7667194273841176</v>
      </c>
      <c r="Z109" s="119">
        <f t="shared" si="160"/>
        <v>8.3855577131500283</v>
      </c>
      <c r="AA109" s="119">
        <f t="shared" si="160"/>
        <v>8.0209682473608979</v>
      </c>
      <c r="AB109" s="119">
        <f t="shared" si="160"/>
        <v>7.6722304974756419</v>
      </c>
      <c r="AC109" s="138">
        <f t="shared" si="151"/>
        <v>-1.9460937014566748E-2</v>
      </c>
      <c r="AD109" s="31">
        <v>0.08</v>
      </c>
      <c r="AE109" s="127">
        <f t="shared" si="152"/>
        <v>53.735155021450211</v>
      </c>
    </row>
    <row r="110" spans="2:31">
      <c r="B110" s="20" t="s">
        <v>284</v>
      </c>
      <c r="C110" s="129" t="e">
        <f>C106/C63</f>
        <v>#DIV/0!</v>
      </c>
      <c r="D110" s="129" t="e">
        <f>D106/D63</f>
        <v>#DIV/0!</v>
      </c>
      <c r="E110" s="129" t="e">
        <f>E106/E63</f>
        <v>#DIV/0!</v>
      </c>
      <c r="F110" s="129" t="e">
        <f>F106/F63</f>
        <v>#DIV/0!</v>
      </c>
      <c r="G110" s="135">
        <f t="shared" ref="G110:P110" si="161">G105/G45</f>
        <v>4.7470370370370363</v>
      </c>
      <c r="H110" s="135">
        <f t="shared" si="161"/>
        <v>3781.4130434782605</v>
      </c>
      <c r="I110" s="135">
        <f t="shared" si="161"/>
        <v>3.825970149253731</v>
      </c>
      <c r="J110" s="135">
        <f t="shared" si="161"/>
        <v>2.7563440860215049</v>
      </c>
      <c r="K110" s="135">
        <f t="shared" si="161"/>
        <v>0.71205555555555544</v>
      </c>
      <c r="L110" s="135">
        <f t="shared" si="161"/>
        <v>7.0810810810810807</v>
      </c>
      <c r="M110" s="135">
        <f t="shared" si="161"/>
        <v>6.0458265139116198</v>
      </c>
      <c r="N110" s="135">
        <f t="shared" si="161"/>
        <v>5.6918335901386747</v>
      </c>
      <c r="O110" s="135">
        <f t="shared" si="161"/>
        <v>4.9245541838134432</v>
      </c>
      <c r="P110" s="135">
        <f t="shared" si="161"/>
        <v>4.2840095465393793</v>
      </c>
      <c r="Q110" s="118">
        <f t="shared" ref="Q110" si="162">((P110/G110)^(1/($H$3-$H$2) ))-1</f>
        <v>-1.2746967930207131E-2</v>
      </c>
      <c r="R110" s="128"/>
      <c r="S110" s="135">
        <f t="shared" ref="S110:AB110" si="163">S105/S45</f>
        <v>4.097748261907233</v>
      </c>
      <c r="T110" s="135">
        <f t="shared" si="163"/>
        <v>3.9195852939982236</v>
      </c>
      <c r="U110" s="135">
        <f t="shared" si="163"/>
        <v>3.7491685420852581</v>
      </c>
      <c r="V110" s="135">
        <f t="shared" si="163"/>
        <v>3.5861612141685084</v>
      </c>
      <c r="W110" s="135">
        <f t="shared" si="163"/>
        <v>3.4302411613785737</v>
      </c>
      <c r="X110" s="135">
        <f t="shared" si="163"/>
        <v>3.2811002413186365</v>
      </c>
      <c r="Y110" s="135">
        <f t="shared" si="163"/>
        <v>3.138443709087392</v>
      </c>
      <c r="Z110" s="135">
        <f t="shared" si="163"/>
        <v>3.0019896347792447</v>
      </c>
      <c r="AA110" s="135">
        <f t="shared" si="163"/>
        <v>2.8714683463105826</v>
      </c>
      <c r="AB110" s="135">
        <f t="shared" si="163"/>
        <v>2.7466218964709923</v>
      </c>
      <c r="AC110" s="138">
        <f t="shared" ref="AC110" si="164">((AB110/G110)^(1/($AB$4-$H$2) ))-1</f>
        <v>-2.8386618992629731E-2</v>
      </c>
      <c r="AD110" s="31">
        <v>0.08</v>
      </c>
      <c r="AE110" s="127">
        <f t="shared" si="152"/>
        <v>19.061818479850398</v>
      </c>
    </row>
    <row r="111" spans="2:31">
      <c r="B111" s="20"/>
      <c r="C111" s="129"/>
      <c r="D111" s="129"/>
      <c r="E111" s="129"/>
      <c r="F111" s="129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18"/>
      <c r="R111" s="128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8"/>
      <c r="AD111" s="31"/>
      <c r="AE111" s="127"/>
    </row>
    <row r="112" spans="2:31">
      <c r="B112" s="108" t="s">
        <v>304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301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28">
        <f>(R93-P105)/R93</f>
        <v>-3.999981446434286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302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28">
        <f>(R84-P105)/R84</f>
        <v>0.35897897488694608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 t="s">
        <v>303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5">
        <f>P105/R76</f>
        <v>7.719439246651107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</sheetData>
  <pageMargins left="0.7" right="0.7" top="0.75" bottom="0.75" header="0.3" footer="0.3"/>
  <pageSetup orientation="portrait" r:id="rId1"/>
  <ignoredErrors>
    <ignoredError sqref="C106 S65:AB7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51" t="s">
        <v>27</v>
      </c>
      <c r="K5" s="151"/>
      <c r="M5" s="151" t="s">
        <v>65</v>
      </c>
      <c r="N5" s="151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51" t="s">
        <v>36</v>
      </c>
      <c r="K14" s="151"/>
      <c r="L14" s="151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51" t="s">
        <v>27</v>
      </c>
      <c r="S5" s="151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51" t="s">
        <v>36</v>
      </c>
      <c r="S14" s="151"/>
      <c r="T14" s="151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51" t="s">
        <v>27</v>
      </c>
      <c r="C2" s="151"/>
      <c r="E2" s="151" t="s">
        <v>65</v>
      </c>
      <c r="F2" s="151"/>
      <c r="H2" s="155" t="s">
        <v>36</v>
      </c>
      <c r="I2" s="156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52" t="s">
        <v>68</v>
      </c>
      <c r="E10" s="153"/>
      <c r="F10" s="153"/>
      <c r="G10" s="153"/>
      <c r="H10" s="154"/>
      <c r="I10" s="152" t="s">
        <v>72</v>
      </c>
      <c r="J10" s="153"/>
      <c r="K10" s="153"/>
      <c r="L10" s="154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2013-06-04T00:45:50Z</dcterms:modified>
</cp:coreProperties>
</file>
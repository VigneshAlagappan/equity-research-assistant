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  <sheet name="4. Analysis" sheetId="19" r:id="rId8"/>
  </sheets>
  <calcPr calcId="144525"/>
</workbook>
</file>

<file path=xl/calcChain.xml><?xml version="1.0" encoding="utf-8"?>
<calcChain xmlns="http://schemas.openxmlformats.org/spreadsheetml/2006/main">
  <c r="Q23" i="18" l="1"/>
  <c r="Q22" i="18"/>
  <c r="Q21" i="18"/>
  <c r="Q20" i="18"/>
  <c r="Q42" i="18"/>
  <c r="Q40" i="18"/>
  <c r="Q38" i="18"/>
  <c r="Q36" i="18"/>
  <c r="Q34" i="18"/>
  <c r="Q33" i="18"/>
  <c r="Q29" i="18"/>
  <c r="Q27" i="18"/>
  <c r="Q18" i="18"/>
  <c r="Q16" i="18"/>
  <c r="Q15" i="18"/>
  <c r="Q14" i="18"/>
  <c r="Q13" i="18"/>
  <c r="Q12" i="18"/>
  <c r="Q10" i="18"/>
  <c r="Q9" i="18"/>
  <c r="Q7" i="18"/>
  <c r="Q6" i="18"/>
  <c r="F115" i="18" l="1"/>
  <c r="F180" i="18" l="1"/>
  <c r="E180" i="18"/>
  <c r="D180" i="18"/>
  <c r="C180" i="18"/>
  <c r="Q197" i="18" l="1"/>
  <c r="Q196" i="18"/>
  <c r="Q195" i="18"/>
  <c r="Q179" i="18"/>
  <c r="Q50" i="18"/>
  <c r="Q172" i="18" s="1"/>
  <c r="Q51" i="18"/>
  <c r="Q52" i="18"/>
  <c r="Q91" i="18" s="1"/>
  <c r="Q54" i="18"/>
  <c r="P192" i="18" s="1"/>
  <c r="Q55" i="18"/>
  <c r="Q56" i="18"/>
  <c r="Q57" i="18"/>
  <c r="Q174" i="18" s="1"/>
  <c r="Q58" i="18"/>
  <c r="Q60" i="18"/>
  <c r="Q61" i="18"/>
  <c r="Q62" i="18"/>
  <c r="Q177" i="18" s="1"/>
  <c r="Q64" i="18"/>
  <c r="Q65" i="18"/>
  <c r="Q66" i="18" s="1"/>
  <c r="Q175" i="18" s="1"/>
  <c r="Q67" i="18"/>
  <c r="Q68" i="18"/>
  <c r="Q176" i="18" s="1"/>
  <c r="Q70" i="18"/>
  <c r="Q72" i="18"/>
  <c r="Q74" i="18" s="1"/>
  <c r="Q75" i="18"/>
  <c r="Q76" i="18"/>
  <c r="Q77" i="18"/>
  <c r="Q78" i="18"/>
  <c r="Q80" i="18"/>
  <c r="Q81" i="18"/>
  <c r="Q82" i="18"/>
  <c r="Q86" i="18"/>
  <c r="Q87" i="18"/>
  <c r="Q88" i="18"/>
  <c r="Q89" i="18"/>
  <c r="Q90" i="18"/>
  <c r="Q93" i="18"/>
  <c r="Q99" i="18" s="1"/>
  <c r="Q94" i="18"/>
  <c r="Q100" i="18" s="1"/>
  <c r="Q95" i="18"/>
  <c r="Q101" i="18" s="1"/>
  <c r="Q96" i="18"/>
  <c r="Q97" i="18"/>
  <c r="Q103" i="18" s="1"/>
  <c r="Q102" i="18"/>
  <c r="Q106" i="18"/>
  <c r="Q107" i="18"/>
  <c r="Q108" i="18"/>
  <c r="Q109" i="18"/>
  <c r="Q111" i="18"/>
  <c r="Q112" i="18" s="1"/>
  <c r="Q117" i="18"/>
  <c r="Q118" i="18"/>
  <c r="Q120" i="18"/>
  <c r="Q121" i="18"/>
  <c r="Q122" i="18"/>
  <c r="Q125" i="18"/>
  <c r="Q126" i="18"/>
  <c r="Q127" i="18"/>
  <c r="Q128" i="18"/>
  <c r="Q130" i="18"/>
  <c r="Q131" i="18"/>
  <c r="Q133" i="18"/>
  <c r="Q134" i="18"/>
  <c r="Q135" i="18"/>
  <c r="Q137" i="18"/>
  <c r="Q138" i="18"/>
  <c r="T7" i="18"/>
  <c r="T17" i="18"/>
  <c r="T19" i="18"/>
  <c r="T24" i="18"/>
  <c r="T35" i="18"/>
  <c r="T42" i="18"/>
  <c r="T44" i="18"/>
  <c r="T6" i="18"/>
  <c r="R44" i="18"/>
  <c r="R42" i="18"/>
  <c r="R40" i="18"/>
  <c r="R38" i="18"/>
  <c r="R36" i="18"/>
  <c r="R34" i="18"/>
  <c r="R33" i="18"/>
  <c r="R32" i="18"/>
  <c r="R31" i="18"/>
  <c r="R29" i="18"/>
  <c r="R27" i="18"/>
  <c r="R25" i="18"/>
  <c r="R23" i="18"/>
  <c r="R22" i="18"/>
  <c r="R21" i="18"/>
  <c r="R20" i="18"/>
  <c r="R18" i="18"/>
  <c r="R16" i="18"/>
  <c r="R15" i="18"/>
  <c r="R14" i="18"/>
  <c r="R13" i="18"/>
  <c r="R12" i="18"/>
  <c r="R10" i="18"/>
  <c r="R9" i="18"/>
  <c r="R7" i="18"/>
  <c r="R6" i="18"/>
  <c r="Q8" i="18"/>
  <c r="Q11" i="18"/>
  <c r="Q26" i="18"/>
  <c r="Q28" i="18"/>
  <c r="Q30" i="18"/>
  <c r="Q37" i="18"/>
  <c r="Q39" i="18"/>
  <c r="Q41" i="18"/>
  <c r="Q43" i="18"/>
  <c r="Q178" i="18" l="1"/>
  <c r="Q173" i="18"/>
  <c r="T192" i="18"/>
  <c r="T193" i="18" s="1"/>
  <c r="Q192" i="18"/>
  <c r="Q113" i="18"/>
  <c r="Q114" i="18" s="1"/>
  <c r="Q115" i="18"/>
  <c r="AE52" i="18"/>
  <c r="H52" i="18"/>
  <c r="H91" i="18" s="1"/>
  <c r="I52" i="18"/>
  <c r="I91" i="18" s="1"/>
  <c r="J52" i="18"/>
  <c r="J91" i="18" s="1"/>
  <c r="K52" i="18"/>
  <c r="K91" i="18" s="1"/>
  <c r="L52" i="18"/>
  <c r="L91" i="18" s="1"/>
  <c r="M52" i="18"/>
  <c r="M91" i="18" s="1"/>
  <c r="N52" i="18"/>
  <c r="N91" i="18" s="1"/>
  <c r="O52" i="18"/>
  <c r="O91" i="18" s="1"/>
  <c r="P52" i="18"/>
  <c r="G52" i="18"/>
  <c r="G91" i="18" s="1"/>
  <c r="P43" i="18"/>
  <c r="O43" i="18"/>
  <c r="N43" i="18"/>
  <c r="M43" i="18"/>
  <c r="L43" i="18"/>
  <c r="K43" i="18"/>
  <c r="J43" i="18"/>
  <c r="I43" i="18"/>
  <c r="H43" i="18"/>
  <c r="G43" i="18"/>
  <c r="R52" i="18" l="1"/>
  <c r="H192" i="18"/>
  <c r="Q180" i="18"/>
  <c r="Q181" i="18" s="1"/>
  <c r="P91" i="18"/>
  <c r="R91" i="18" s="1"/>
  <c r="S44" i="18"/>
  <c r="S42" i="18"/>
  <c r="K188" i="18" l="1"/>
  <c r="K187" i="18"/>
  <c r="K186" i="18"/>
  <c r="K185" i="18"/>
  <c r="AE38" i="18" l="1"/>
  <c r="S38" i="18"/>
  <c r="P39" i="18"/>
  <c r="O39" i="18"/>
  <c r="N39" i="18"/>
  <c r="M39" i="18"/>
  <c r="L39" i="18"/>
  <c r="K39" i="18"/>
  <c r="J39" i="18"/>
  <c r="I39" i="18"/>
  <c r="H39" i="18"/>
  <c r="G39" i="18"/>
  <c r="T38" i="18" l="1"/>
  <c r="U38" i="18" l="1"/>
  <c r="V38" i="18" s="1"/>
  <c r="W38" i="18" s="1"/>
  <c r="K192" i="18"/>
  <c r="K191" i="18"/>
  <c r="X38" i="18" l="1"/>
  <c r="U206" i="18"/>
  <c r="U207" i="18" s="1"/>
  <c r="D204" i="18"/>
  <c r="G214" i="18" s="1"/>
  <c r="H204" i="18"/>
  <c r="L26" i="18"/>
  <c r="L106" i="18"/>
  <c r="J106" i="18"/>
  <c r="H106" i="18"/>
  <c r="F106" i="18"/>
  <c r="G106" i="18"/>
  <c r="I106" i="18"/>
  <c r="K106" i="18"/>
  <c r="M106" i="18"/>
  <c r="N106" i="18"/>
  <c r="O106" i="18"/>
  <c r="P106" i="18"/>
  <c r="H138" i="18"/>
  <c r="I138" i="18"/>
  <c r="J138" i="18"/>
  <c r="K138" i="18"/>
  <c r="L138" i="18"/>
  <c r="M138" i="18"/>
  <c r="N138" i="18"/>
  <c r="O138" i="18"/>
  <c r="P138" i="18"/>
  <c r="H137" i="18"/>
  <c r="I137" i="18"/>
  <c r="J137" i="18"/>
  <c r="K137" i="18"/>
  <c r="L137" i="18"/>
  <c r="M137" i="18"/>
  <c r="N137" i="18"/>
  <c r="O137" i="18"/>
  <c r="P137" i="18"/>
  <c r="G218" i="18"/>
  <c r="G219" i="18" s="1"/>
  <c r="AE55" i="18"/>
  <c r="C55" i="18"/>
  <c r="D55" i="18"/>
  <c r="E55" i="18"/>
  <c r="F55" i="18"/>
  <c r="H55" i="18"/>
  <c r="I55" i="18"/>
  <c r="J55" i="18"/>
  <c r="K55" i="18"/>
  <c r="L55" i="18"/>
  <c r="M55" i="18"/>
  <c r="N55" i="18"/>
  <c r="O55" i="18"/>
  <c r="P55" i="18"/>
  <c r="G55" i="18"/>
  <c r="H209" i="18"/>
  <c r="D208" i="18"/>
  <c r="G215" i="18" s="1"/>
  <c r="K215" i="18" s="1"/>
  <c r="H207" i="18"/>
  <c r="I207" i="18" s="1"/>
  <c r="J207" i="18" s="1"/>
  <c r="J208" i="18" s="1"/>
  <c r="H205" i="18"/>
  <c r="H203" i="18"/>
  <c r="H202" i="18"/>
  <c r="I202" i="18" s="1"/>
  <c r="J202" i="18" s="1"/>
  <c r="G217" i="18" l="1"/>
  <c r="G220" i="18"/>
  <c r="K214" i="18"/>
  <c r="Y38" i="18"/>
  <c r="D210" i="18"/>
  <c r="K218" i="18"/>
  <c r="R55" i="18"/>
  <c r="K217" i="18"/>
  <c r="I203" i="18"/>
  <c r="J203" i="18" s="1"/>
  <c r="I209" i="18"/>
  <c r="J209" i="18" s="1"/>
  <c r="J210" i="18" s="1"/>
  <c r="H90" i="18"/>
  <c r="I90" i="18"/>
  <c r="J90" i="18"/>
  <c r="K90" i="18"/>
  <c r="L90" i="18"/>
  <c r="M90" i="18"/>
  <c r="N90" i="18"/>
  <c r="O90" i="18"/>
  <c r="P90" i="18"/>
  <c r="G90" i="18"/>
  <c r="H41" i="18"/>
  <c r="I41" i="18"/>
  <c r="J41" i="18"/>
  <c r="K41" i="18"/>
  <c r="L41" i="18"/>
  <c r="M41" i="18"/>
  <c r="N41" i="18"/>
  <c r="O41" i="18"/>
  <c r="P41" i="18"/>
  <c r="K37" i="18"/>
  <c r="L37" i="18"/>
  <c r="M37" i="18"/>
  <c r="J37" i="18"/>
  <c r="I37" i="18"/>
  <c r="H37" i="18"/>
  <c r="G37" i="18"/>
  <c r="P37" i="18"/>
  <c r="O37" i="18"/>
  <c r="N37" i="18"/>
  <c r="P30" i="18"/>
  <c r="O30" i="18"/>
  <c r="N30" i="18"/>
  <c r="M30" i="18"/>
  <c r="N28" i="18"/>
  <c r="O28" i="18"/>
  <c r="P28" i="18"/>
  <c r="N26" i="18"/>
  <c r="O26" i="18"/>
  <c r="P26" i="18"/>
  <c r="H11" i="18"/>
  <c r="I11" i="18"/>
  <c r="J11" i="18"/>
  <c r="K11" i="18"/>
  <c r="L11" i="18"/>
  <c r="M11" i="18"/>
  <c r="N11" i="18"/>
  <c r="O11" i="18"/>
  <c r="P11" i="18"/>
  <c r="G138" i="18"/>
  <c r="G137" i="18"/>
  <c r="AE14" i="18"/>
  <c r="S14" i="18"/>
  <c r="U203" i="18"/>
  <c r="U202" i="18"/>
  <c r="O203" i="18"/>
  <c r="O206" i="18" s="1"/>
  <c r="O202" i="18"/>
  <c r="H97" i="18"/>
  <c r="H103" i="18" s="1"/>
  <c r="I97" i="18"/>
  <c r="I103" i="18" s="1"/>
  <c r="J97" i="18"/>
  <c r="J103" i="18" s="1"/>
  <c r="K97" i="18"/>
  <c r="K103" i="18" s="1"/>
  <c r="L97" i="18"/>
  <c r="L103" i="18" s="1"/>
  <c r="M97" i="18"/>
  <c r="M103" i="18" s="1"/>
  <c r="N97" i="18"/>
  <c r="N103" i="18" s="1"/>
  <c r="O97" i="18"/>
  <c r="O103" i="18" s="1"/>
  <c r="P97" i="18"/>
  <c r="P103" i="18" s="1"/>
  <c r="G97" i="18"/>
  <c r="G103" i="18" s="1"/>
  <c r="H94" i="18"/>
  <c r="H100" i="18" s="1"/>
  <c r="I94" i="18"/>
  <c r="I100" i="18" s="1"/>
  <c r="J94" i="18"/>
  <c r="J100" i="18" s="1"/>
  <c r="K94" i="18"/>
  <c r="K100" i="18" s="1"/>
  <c r="L94" i="18"/>
  <c r="L100" i="18" s="1"/>
  <c r="M94" i="18"/>
  <c r="M100" i="18" s="1"/>
  <c r="N94" i="18"/>
  <c r="N100" i="18" s="1"/>
  <c r="O94" i="18"/>
  <c r="O100" i="18" s="1"/>
  <c r="P94" i="18"/>
  <c r="P100" i="18" s="1"/>
  <c r="G94" i="18"/>
  <c r="G100" i="18" s="1"/>
  <c r="H95" i="18"/>
  <c r="H101" i="18" s="1"/>
  <c r="I95" i="18"/>
  <c r="I101" i="18" s="1"/>
  <c r="J95" i="18"/>
  <c r="J101" i="18" s="1"/>
  <c r="K95" i="18"/>
  <c r="K101" i="18" s="1"/>
  <c r="L95" i="18"/>
  <c r="L101" i="18" s="1"/>
  <c r="M95" i="18"/>
  <c r="M101" i="18" s="1"/>
  <c r="N95" i="18"/>
  <c r="N101" i="18" s="1"/>
  <c r="O95" i="18"/>
  <c r="O101" i="18" s="1"/>
  <c r="P95" i="18"/>
  <c r="P101" i="18" s="1"/>
  <c r="G95" i="18"/>
  <c r="G101" i="18" s="1"/>
  <c r="H133" i="18"/>
  <c r="H134" i="18" s="1"/>
  <c r="I133" i="18"/>
  <c r="I134" i="18" s="1"/>
  <c r="J133" i="18"/>
  <c r="J134" i="18" s="1"/>
  <c r="K133" i="18"/>
  <c r="K134" i="18" s="1"/>
  <c r="L133" i="18"/>
  <c r="L134" i="18" s="1"/>
  <c r="M133" i="18"/>
  <c r="M134" i="18" s="1"/>
  <c r="N133" i="18"/>
  <c r="N134" i="18" s="1"/>
  <c r="O133" i="18"/>
  <c r="O134" i="18" s="1"/>
  <c r="P133" i="18"/>
  <c r="P134" i="18" s="1"/>
  <c r="G133" i="18"/>
  <c r="G134" i="18" s="1"/>
  <c r="R103" i="18" l="1"/>
  <c r="R100" i="18"/>
  <c r="T14" i="18"/>
  <c r="U14" i="18" s="1"/>
  <c r="V14" i="18" s="1"/>
  <c r="W14" i="18" s="1"/>
  <c r="X14" i="18" s="1"/>
  <c r="Y14" i="18" s="1"/>
  <c r="Z14" i="18" s="1"/>
  <c r="AA14" i="18" s="1"/>
  <c r="AB14" i="18" s="1"/>
  <c r="AC14" i="18" s="1"/>
  <c r="Z38" i="18"/>
  <c r="R101" i="18"/>
  <c r="I204" i="18"/>
  <c r="J204" i="18" s="1"/>
  <c r="I205" i="18" s="1"/>
  <c r="J205" i="18" s="1"/>
  <c r="J206" i="18" s="1"/>
  <c r="R137" i="18"/>
  <c r="R138" i="18"/>
  <c r="R90" i="18"/>
  <c r="R97" i="18"/>
  <c r="R94" i="18"/>
  <c r="R134" i="18"/>
  <c r="R133" i="18"/>
  <c r="R95" i="18"/>
  <c r="P89" i="18"/>
  <c r="P88" i="18"/>
  <c r="E89" i="18"/>
  <c r="F89" i="18"/>
  <c r="H89" i="18"/>
  <c r="I89" i="18"/>
  <c r="J89" i="18"/>
  <c r="K89" i="18"/>
  <c r="L89" i="18"/>
  <c r="M89" i="18"/>
  <c r="N89" i="18"/>
  <c r="O89" i="18"/>
  <c r="G89" i="18"/>
  <c r="G88" i="18"/>
  <c r="H131" i="18"/>
  <c r="I131" i="18"/>
  <c r="J131" i="18"/>
  <c r="K131" i="18"/>
  <c r="L131" i="18"/>
  <c r="M131" i="18"/>
  <c r="N131" i="18"/>
  <c r="O131" i="18"/>
  <c r="P131" i="18"/>
  <c r="G131" i="18"/>
  <c r="H130" i="18"/>
  <c r="I130" i="18"/>
  <c r="J130" i="18"/>
  <c r="K130" i="18"/>
  <c r="L130" i="18"/>
  <c r="M130" i="18"/>
  <c r="N130" i="18"/>
  <c r="O130" i="18"/>
  <c r="P130" i="18"/>
  <c r="G130" i="18"/>
  <c r="H127" i="18"/>
  <c r="I127" i="18"/>
  <c r="J127" i="18"/>
  <c r="K127" i="18"/>
  <c r="L127" i="18"/>
  <c r="M127" i="18"/>
  <c r="N127" i="18"/>
  <c r="O127" i="18"/>
  <c r="P127" i="18"/>
  <c r="G127" i="18"/>
  <c r="H128" i="18"/>
  <c r="I128" i="18"/>
  <c r="J128" i="18"/>
  <c r="K128" i="18"/>
  <c r="L128" i="18"/>
  <c r="M128" i="18"/>
  <c r="N128" i="18"/>
  <c r="O128" i="18"/>
  <c r="P128" i="18"/>
  <c r="G128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S171" i="18"/>
  <c r="H122" i="18"/>
  <c r="I122" i="18"/>
  <c r="J122" i="18"/>
  <c r="K122" i="18"/>
  <c r="L122" i="18"/>
  <c r="M122" i="18"/>
  <c r="N122" i="18"/>
  <c r="O122" i="18"/>
  <c r="P122" i="18"/>
  <c r="G122" i="18"/>
  <c r="H121" i="18"/>
  <c r="I121" i="18"/>
  <c r="J121" i="18"/>
  <c r="K121" i="18"/>
  <c r="L121" i="18"/>
  <c r="M121" i="18"/>
  <c r="N121" i="18"/>
  <c r="O121" i="18"/>
  <c r="P121" i="18"/>
  <c r="G121" i="18"/>
  <c r="H120" i="18"/>
  <c r="I120" i="18"/>
  <c r="J120" i="18"/>
  <c r="K120" i="18"/>
  <c r="L120" i="18"/>
  <c r="M120" i="18"/>
  <c r="N120" i="18"/>
  <c r="O120" i="18"/>
  <c r="P120" i="18"/>
  <c r="G120" i="18"/>
  <c r="B122" i="18"/>
  <c r="B121" i="18"/>
  <c r="AE32" i="18"/>
  <c r="S32" i="18"/>
  <c r="G109" i="18"/>
  <c r="H109" i="18"/>
  <c r="I109" i="18"/>
  <c r="J109" i="18"/>
  <c r="K109" i="18"/>
  <c r="L109" i="18"/>
  <c r="M109" i="18"/>
  <c r="N109" i="18"/>
  <c r="O109" i="18"/>
  <c r="P109" i="18"/>
  <c r="T207" i="18"/>
  <c r="N206" i="18"/>
  <c r="T204" i="18"/>
  <c r="U204" i="18" s="1"/>
  <c r="U209" i="18" s="1"/>
  <c r="N204" i="18"/>
  <c r="O204" i="18" s="1"/>
  <c r="O209" i="18" s="1"/>
  <c r="F118" i="18"/>
  <c r="H118" i="18"/>
  <c r="I118" i="18"/>
  <c r="J118" i="18"/>
  <c r="K118" i="18"/>
  <c r="L118" i="18"/>
  <c r="M118" i="18"/>
  <c r="N118" i="18"/>
  <c r="O118" i="18"/>
  <c r="P118" i="18"/>
  <c r="G118" i="18"/>
  <c r="F117" i="18"/>
  <c r="H117" i="18"/>
  <c r="I117" i="18"/>
  <c r="J117" i="18"/>
  <c r="K117" i="18"/>
  <c r="L117" i="18"/>
  <c r="M117" i="18"/>
  <c r="N117" i="18"/>
  <c r="O117" i="18"/>
  <c r="P117" i="18"/>
  <c r="G117" i="18"/>
  <c r="AD14" i="18" l="1"/>
  <c r="AF14" i="18"/>
  <c r="U32" i="18"/>
  <c r="V32" i="18" s="1"/>
  <c r="W32" i="18" s="1"/>
  <c r="X32" i="18" s="1"/>
  <c r="Y32" i="18" s="1"/>
  <c r="Z32" i="18" s="1"/>
  <c r="AA32" i="18" s="1"/>
  <c r="AB32" i="18" s="1"/>
  <c r="AC32" i="18" s="1"/>
  <c r="AD32" i="18" s="1"/>
  <c r="T32" i="18"/>
  <c r="AA38" i="18"/>
  <c r="R128" i="18"/>
  <c r="R89" i="18"/>
  <c r="R125" i="18"/>
  <c r="R131" i="18"/>
  <c r="R130" i="18"/>
  <c r="R126" i="18"/>
  <c r="R127" i="18"/>
  <c r="R120" i="18"/>
  <c r="R121" i="18"/>
  <c r="R122" i="18"/>
  <c r="R109" i="18"/>
  <c r="N209" i="18"/>
  <c r="T209" i="18"/>
  <c r="R118" i="18"/>
  <c r="R117" i="18"/>
  <c r="S9" i="18"/>
  <c r="T9" i="18" s="1"/>
  <c r="S10" i="18"/>
  <c r="T10" i="18" s="1"/>
  <c r="S12" i="18"/>
  <c r="T12" i="18" s="1"/>
  <c r="S13" i="18"/>
  <c r="T13" i="18" s="1"/>
  <c r="S15" i="18"/>
  <c r="T15" i="18" s="1"/>
  <c r="S16" i="18"/>
  <c r="T16" i="18" s="1"/>
  <c r="S18" i="18"/>
  <c r="T18" i="18" s="1"/>
  <c r="S20" i="18"/>
  <c r="T20" i="18" s="1"/>
  <c r="S21" i="18"/>
  <c r="T21" i="18" s="1"/>
  <c r="S22" i="18"/>
  <c r="T22" i="18" s="1"/>
  <c r="S23" i="18"/>
  <c r="T23" i="18" s="1"/>
  <c r="S25" i="18"/>
  <c r="T25" i="18" s="1"/>
  <c r="S27" i="18"/>
  <c r="T27" i="18" s="1"/>
  <c r="S29" i="18"/>
  <c r="T29" i="18" s="1"/>
  <c r="S31" i="18"/>
  <c r="S33" i="18"/>
  <c r="T33" i="18" s="1"/>
  <c r="S34" i="18"/>
  <c r="T34" i="18" s="1"/>
  <c r="S36" i="18"/>
  <c r="T36" i="18" s="1"/>
  <c r="S40" i="18"/>
  <c r="T40" i="18" s="1"/>
  <c r="T52" i="18" s="1"/>
  <c r="S7" i="18"/>
  <c r="S6" i="18"/>
  <c r="AE9" i="18"/>
  <c r="AE10" i="18"/>
  <c r="AE11" i="18"/>
  <c r="AE12" i="18"/>
  <c r="AE13" i="18"/>
  <c r="AE15" i="18"/>
  <c r="AE16" i="18"/>
  <c r="AE18" i="18"/>
  <c r="AE20" i="18"/>
  <c r="AE21" i="18"/>
  <c r="AE22" i="18"/>
  <c r="AE23" i="18"/>
  <c r="AE25" i="18"/>
  <c r="AE27" i="18"/>
  <c r="AE29" i="18"/>
  <c r="AE31" i="18"/>
  <c r="AE33" i="18"/>
  <c r="AE34" i="18"/>
  <c r="AE36" i="18"/>
  <c r="AE40" i="18"/>
  <c r="AE42" i="18"/>
  <c r="AE44" i="18"/>
  <c r="AE50" i="18"/>
  <c r="AE51" i="18"/>
  <c r="AE54" i="18"/>
  <c r="AE56" i="18"/>
  <c r="AE57" i="18"/>
  <c r="AE58" i="18"/>
  <c r="AE60" i="18"/>
  <c r="AE61" i="18"/>
  <c r="AE62" i="18"/>
  <c r="AE64" i="18"/>
  <c r="AE65" i="18"/>
  <c r="AE66" i="18"/>
  <c r="AE67" i="18"/>
  <c r="AE69" i="18"/>
  <c r="AE70" i="18"/>
  <c r="AE72" i="18"/>
  <c r="AE74" i="18"/>
  <c r="AE75" i="18"/>
  <c r="AE76" i="18"/>
  <c r="AE77" i="18"/>
  <c r="AE78" i="18"/>
  <c r="AE80" i="18"/>
  <c r="AE81" i="18"/>
  <c r="AE82" i="18"/>
  <c r="AE7" i="18"/>
  <c r="AE6" i="18"/>
  <c r="AF32" i="18" l="1"/>
  <c r="T91" i="18"/>
  <c r="U31" i="18"/>
  <c r="V31" i="18" s="1"/>
  <c r="W31" i="18" s="1"/>
  <c r="X31" i="18" s="1"/>
  <c r="Y31" i="18" s="1"/>
  <c r="Z31" i="18" s="1"/>
  <c r="AA31" i="18" s="1"/>
  <c r="AB31" i="18" s="1"/>
  <c r="AC31" i="18" s="1"/>
  <c r="T31" i="18"/>
  <c r="AB38" i="18"/>
  <c r="R106" i="18"/>
  <c r="H93" i="18"/>
  <c r="H99" i="18" s="1"/>
  <c r="I93" i="18"/>
  <c r="I99" i="18" s="1"/>
  <c r="J93" i="18"/>
  <c r="J99" i="18" s="1"/>
  <c r="K93" i="18"/>
  <c r="K99" i="18" s="1"/>
  <c r="L93" i="18"/>
  <c r="L99" i="18" s="1"/>
  <c r="M93" i="18"/>
  <c r="M99" i="18" s="1"/>
  <c r="N93" i="18"/>
  <c r="N99" i="18" s="1"/>
  <c r="O93" i="18"/>
  <c r="O99" i="18" s="1"/>
  <c r="P93" i="18"/>
  <c r="P99" i="18" s="1"/>
  <c r="H96" i="18"/>
  <c r="H102" i="18" s="1"/>
  <c r="I96" i="18"/>
  <c r="I102" i="18" s="1"/>
  <c r="J96" i="18"/>
  <c r="J102" i="18" s="1"/>
  <c r="K96" i="18"/>
  <c r="K102" i="18" s="1"/>
  <c r="L96" i="18"/>
  <c r="L102" i="18" s="1"/>
  <c r="M96" i="18"/>
  <c r="M102" i="18" s="1"/>
  <c r="N96" i="18"/>
  <c r="N102" i="18" s="1"/>
  <c r="O96" i="18"/>
  <c r="O102" i="18" s="1"/>
  <c r="P96" i="18"/>
  <c r="P102" i="18" s="1"/>
  <c r="G96" i="18"/>
  <c r="G102" i="18" s="1"/>
  <c r="G93" i="18"/>
  <c r="G99" i="18" s="1"/>
  <c r="L30" i="18"/>
  <c r="K30" i="18"/>
  <c r="J30" i="18"/>
  <c r="I30" i="18"/>
  <c r="H30" i="18"/>
  <c r="G30" i="18"/>
  <c r="R99" i="18" l="1"/>
  <c r="AC38" i="18"/>
  <c r="R102" i="18"/>
  <c r="U29" i="18"/>
  <c r="R96" i="18"/>
  <c r="R93" i="18"/>
  <c r="H108" i="18"/>
  <c r="I108" i="18"/>
  <c r="J108" i="18"/>
  <c r="K108" i="18"/>
  <c r="L108" i="18"/>
  <c r="M108" i="18"/>
  <c r="N108" i="18"/>
  <c r="O108" i="18"/>
  <c r="P108" i="18"/>
  <c r="G108" i="18"/>
  <c r="H107" i="18"/>
  <c r="I107" i="18"/>
  <c r="J107" i="18"/>
  <c r="K107" i="18"/>
  <c r="L107" i="18"/>
  <c r="M107" i="18"/>
  <c r="N107" i="18"/>
  <c r="O107" i="18"/>
  <c r="P107" i="18"/>
  <c r="G107" i="18"/>
  <c r="AF38" i="18" l="1"/>
  <c r="AD38" i="18"/>
  <c r="V29" i="18"/>
  <c r="R107" i="18"/>
  <c r="R108" i="18"/>
  <c r="AF69" i="18"/>
  <c r="W29" i="18" l="1"/>
  <c r="C179" i="18"/>
  <c r="D179" i="18"/>
  <c r="E179" i="18"/>
  <c r="F179" i="18"/>
  <c r="G179" i="18"/>
  <c r="H179" i="18"/>
  <c r="I179" i="18"/>
  <c r="J179" i="18"/>
  <c r="K179" i="18"/>
  <c r="L179" i="18"/>
  <c r="M179" i="18"/>
  <c r="N179" i="18"/>
  <c r="O179" i="18"/>
  <c r="P179" i="18"/>
  <c r="C9" i="15"/>
  <c r="D70" i="18"/>
  <c r="E70" i="18"/>
  <c r="E111" i="18" s="1"/>
  <c r="E112" i="18" s="1"/>
  <c r="F70" i="18"/>
  <c r="F111" i="18" s="1"/>
  <c r="F112" i="18" s="1"/>
  <c r="G70" i="18"/>
  <c r="G111" i="18" s="1"/>
  <c r="G112" i="18" s="1"/>
  <c r="G115" i="18" s="1"/>
  <c r="H70" i="18"/>
  <c r="H111" i="18" s="1"/>
  <c r="H112" i="18" s="1"/>
  <c r="H115" i="18" s="1"/>
  <c r="I70" i="18"/>
  <c r="I111" i="18" s="1"/>
  <c r="I112" i="18" s="1"/>
  <c r="I115" i="18" s="1"/>
  <c r="J70" i="18"/>
  <c r="J111" i="18" s="1"/>
  <c r="J112" i="18" s="1"/>
  <c r="J115" i="18" s="1"/>
  <c r="K70" i="18"/>
  <c r="K111" i="18" s="1"/>
  <c r="K112" i="18" s="1"/>
  <c r="K115" i="18" s="1"/>
  <c r="L70" i="18"/>
  <c r="L111" i="18" s="1"/>
  <c r="L112" i="18" s="1"/>
  <c r="L115" i="18" s="1"/>
  <c r="M70" i="18"/>
  <c r="M111" i="18" s="1"/>
  <c r="M112" i="18" s="1"/>
  <c r="M115" i="18" s="1"/>
  <c r="N70" i="18"/>
  <c r="N111" i="18" s="1"/>
  <c r="N112" i="18" s="1"/>
  <c r="N115" i="18" s="1"/>
  <c r="O70" i="18"/>
  <c r="O111" i="18" s="1"/>
  <c r="O112" i="18" s="1"/>
  <c r="O115" i="18" s="1"/>
  <c r="P70" i="18"/>
  <c r="P111" i="18" s="1"/>
  <c r="C70" i="18"/>
  <c r="T70" i="18" l="1"/>
  <c r="T111" i="18" s="1"/>
  <c r="T112" i="18" s="1"/>
  <c r="T115" i="18" s="1"/>
  <c r="X29" i="18"/>
  <c r="R179" i="18"/>
  <c r="N113" i="18"/>
  <c r="N114" i="18" s="1"/>
  <c r="J113" i="18"/>
  <c r="J114" i="18" s="1"/>
  <c r="L113" i="18"/>
  <c r="L114" i="18" s="1"/>
  <c r="H113" i="18"/>
  <c r="H114" i="18" s="1"/>
  <c r="M113" i="18"/>
  <c r="M114" i="18" s="1"/>
  <c r="I113" i="18"/>
  <c r="I114" i="18" s="1"/>
  <c r="F113" i="18"/>
  <c r="F114" i="18" s="1"/>
  <c r="O113" i="18"/>
  <c r="O114" i="18" s="1"/>
  <c r="K113" i="18"/>
  <c r="K114" i="18" s="1"/>
  <c r="G113" i="18"/>
  <c r="G114" i="18" s="1"/>
  <c r="P112" i="18"/>
  <c r="P115" i="18" s="1"/>
  <c r="R115" i="18" s="1"/>
  <c r="R111" i="18"/>
  <c r="U44" i="18"/>
  <c r="V44" i="18" l="1"/>
  <c r="Y29" i="18"/>
  <c r="P113" i="18"/>
  <c r="R112" i="18"/>
  <c r="U70" i="18"/>
  <c r="C80" i="18"/>
  <c r="D80" i="18"/>
  <c r="E80" i="18"/>
  <c r="F80" i="18"/>
  <c r="G80" i="18"/>
  <c r="G135" i="18" s="1"/>
  <c r="H80" i="18"/>
  <c r="H135" i="18" s="1"/>
  <c r="I80" i="18"/>
  <c r="I135" i="18" s="1"/>
  <c r="J80" i="18"/>
  <c r="J135" i="18" s="1"/>
  <c r="K80" i="18"/>
  <c r="K135" i="18" s="1"/>
  <c r="L80" i="18"/>
  <c r="L135" i="18" s="1"/>
  <c r="M80" i="18"/>
  <c r="M135" i="18" s="1"/>
  <c r="N80" i="18"/>
  <c r="N135" i="18" s="1"/>
  <c r="O80" i="18"/>
  <c r="O135" i="18" s="1"/>
  <c r="C81" i="18"/>
  <c r="D81" i="18"/>
  <c r="E81" i="18"/>
  <c r="F81" i="18"/>
  <c r="G81" i="18"/>
  <c r="H81" i="18"/>
  <c r="I81" i="18"/>
  <c r="J81" i="18"/>
  <c r="K81" i="18"/>
  <c r="L81" i="18"/>
  <c r="M81" i="18"/>
  <c r="N81" i="18"/>
  <c r="O81" i="18"/>
  <c r="C82" i="18"/>
  <c r="D82" i="18"/>
  <c r="E82" i="18"/>
  <c r="F82" i="18"/>
  <c r="G82" i="18"/>
  <c r="H82" i="18"/>
  <c r="I82" i="18"/>
  <c r="J82" i="18"/>
  <c r="K82" i="18"/>
  <c r="L82" i="18"/>
  <c r="M82" i="18"/>
  <c r="N82" i="18"/>
  <c r="O82" i="18"/>
  <c r="P82" i="18"/>
  <c r="P81" i="18"/>
  <c r="P80" i="18"/>
  <c r="P135" i="18" s="1"/>
  <c r="E88" i="18"/>
  <c r="F88" i="18"/>
  <c r="H88" i="18"/>
  <c r="I88" i="18"/>
  <c r="J88" i="18"/>
  <c r="K88" i="18"/>
  <c r="L88" i="18"/>
  <c r="M88" i="18"/>
  <c r="N88" i="18"/>
  <c r="O88" i="18"/>
  <c r="E86" i="18"/>
  <c r="E87" i="18"/>
  <c r="F87" i="18"/>
  <c r="G87" i="18"/>
  <c r="H87" i="18"/>
  <c r="I87" i="18"/>
  <c r="J87" i="18"/>
  <c r="K87" i="18"/>
  <c r="L87" i="18"/>
  <c r="M87" i="18"/>
  <c r="N87" i="18"/>
  <c r="O87" i="18"/>
  <c r="F86" i="18"/>
  <c r="G86" i="18"/>
  <c r="H86" i="18"/>
  <c r="I86" i="18"/>
  <c r="J86" i="18"/>
  <c r="K86" i="18"/>
  <c r="L86" i="18"/>
  <c r="M86" i="18"/>
  <c r="N86" i="18"/>
  <c r="O86" i="18"/>
  <c r="P87" i="18"/>
  <c r="G41" i="18"/>
  <c r="G28" i="18"/>
  <c r="G11" i="18"/>
  <c r="G8" i="18"/>
  <c r="G26" i="18"/>
  <c r="W44" i="18" l="1"/>
  <c r="V70" i="18"/>
  <c r="R135" i="18"/>
  <c r="Z29" i="18"/>
  <c r="R82" i="18"/>
  <c r="R80" i="18"/>
  <c r="R81" i="18"/>
  <c r="R87" i="18"/>
  <c r="R88" i="18"/>
  <c r="P86" i="18"/>
  <c r="R86" i="18" s="1"/>
  <c r="C195" i="18"/>
  <c r="D195" i="18"/>
  <c r="E195" i="18"/>
  <c r="F195" i="18"/>
  <c r="C196" i="18"/>
  <c r="D196" i="18"/>
  <c r="E196" i="18"/>
  <c r="F196" i="18"/>
  <c r="C197" i="18"/>
  <c r="D197" i="18"/>
  <c r="E197" i="18"/>
  <c r="F197" i="18"/>
  <c r="H197" i="18"/>
  <c r="I197" i="18"/>
  <c r="J197" i="18"/>
  <c r="K197" i="18"/>
  <c r="L197" i="18"/>
  <c r="M197" i="18"/>
  <c r="N197" i="18"/>
  <c r="O197" i="18"/>
  <c r="P197" i="18"/>
  <c r="G197" i="18"/>
  <c r="H196" i="18"/>
  <c r="I196" i="18"/>
  <c r="J196" i="18"/>
  <c r="K196" i="18"/>
  <c r="L196" i="18"/>
  <c r="M196" i="18"/>
  <c r="N196" i="18"/>
  <c r="O196" i="18"/>
  <c r="P196" i="18"/>
  <c r="G196" i="18"/>
  <c r="H195" i="18"/>
  <c r="I195" i="18"/>
  <c r="J195" i="18"/>
  <c r="K195" i="18"/>
  <c r="L195" i="18"/>
  <c r="M195" i="18"/>
  <c r="N195" i="18"/>
  <c r="O195" i="18"/>
  <c r="P195" i="18"/>
  <c r="G195" i="18"/>
  <c r="H51" i="18"/>
  <c r="I51" i="18"/>
  <c r="J51" i="18"/>
  <c r="K51" i="18"/>
  <c r="L51" i="18"/>
  <c r="M51" i="18"/>
  <c r="N51" i="18"/>
  <c r="O51" i="18"/>
  <c r="P51" i="18"/>
  <c r="C51" i="18"/>
  <c r="D51" i="18"/>
  <c r="E51" i="18"/>
  <c r="F51" i="18"/>
  <c r="G51" i="18"/>
  <c r="G54" i="18"/>
  <c r="H50" i="18"/>
  <c r="H172" i="18" s="1"/>
  <c r="I50" i="18"/>
  <c r="I172" i="18" s="1"/>
  <c r="J50" i="18"/>
  <c r="J172" i="18" s="1"/>
  <c r="K50" i="18"/>
  <c r="K172" i="18" s="1"/>
  <c r="L50" i="18"/>
  <c r="L172" i="18" s="1"/>
  <c r="M50" i="18"/>
  <c r="M172" i="18" s="1"/>
  <c r="N50" i="18"/>
  <c r="N172" i="18" s="1"/>
  <c r="O50" i="18"/>
  <c r="O172" i="18" s="1"/>
  <c r="P50" i="18"/>
  <c r="P172" i="18" s="1"/>
  <c r="C50" i="18"/>
  <c r="C172" i="18" s="1"/>
  <c r="D50" i="18"/>
  <c r="D172" i="18" s="1"/>
  <c r="E50" i="18"/>
  <c r="E172" i="18" s="1"/>
  <c r="F50" i="18"/>
  <c r="F172" i="18" s="1"/>
  <c r="G50" i="18"/>
  <c r="G172" i="18" s="1"/>
  <c r="M28" i="18"/>
  <c r="L28" i="18"/>
  <c r="K28" i="18"/>
  <c r="J28" i="18"/>
  <c r="I28" i="18"/>
  <c r="H28" i="18"/>
  <c r="M26" i="18"/>
  <c r="K26" i="18"/>
  <c r="J26" i="18"/>
  <c r="I26" i="18"/>
  <c r="H26" i="18"/>
  <c r="I8" i="18"/>
  <c r="J8" i="18"/>
  <c r="K8" i="18"/>
  <c r="L8" i="18"/>
  <c r="M8" i="18"/>
  <c r="N8" i="18"/>
  <c r="O8" i="18"/>
  <c r="P8" i="18"/>
  <c r="H8" i="18"/>
  <c r="T94" i="18"/>
  <c r="T100" i="18" s="1"/>
  <c r="G178" i="18" l="1"/>
  <c r="R141" i="18"/>
  <c r="X44" i="18"/>
  <c r="W70" i="18"/>
  <c r="R172" i="18"/>
  <c r="AA29" i="18"/>
  <c r="U36" i="18"/>
  <c r="U94" i="18" s="1"/>
  <c r="U100" i="18" s="1"/>
  <c r="R197" i="18"/>
  <c r="R51" i="18"/>
  <c r="R50" i="18"/>
  <c r="R196" i="18"/>
  <c r="R195" i="18"/>
  <c r="Q191" i="18" l="1"/>
  <c r="T191" i="18"/>
  <c r="T190" i="18" s="1"/>
  <c r="P191" i="18"/>
  <c r="Y44" i="18"/>
  <c r="X70" i="18"/>
  <c r="AB29" i="18"/>
  <c r="V36" i="18"/>
  <c r="V94" i="18" s="1"/>
  <c r="V100" i="18" s="1"/>
  <c r="I77" i="18"/>
  <c r="J77" i="18"/>
  <c r="K77" i="18"/>
  <c r="L77" i="18"/>
  <c r="M77" i="18"/>
  <c r="N77" i="18"/>
  <c r="O77" i="18"/>
  <c r="P77" i="18"/>
  <c r="I78" i="18"/>
  <c r="J78" i="18"/>
  <c r="K78" i="18"/>
  <c r="L78" i="18"/>
  <c r="M78" i="18"/>
  <c r="N78" i="18"/>
  <c r="O78" i="18"/>
  <c r="P78" i="18"/>
  <c r="I72" i="18"/>
  <c r="I74" i="18" s="1"/>
  <c r="J72" i="18"/>
  <c r="J74" i="18" s="1"/>
  <c r="K72" i="18"/>
  <c r="K74" i="18" s="1"/>
  <c r="L72" i="18"/>
  <c r="L74" i="18" s="1"/>
  <c r="M72" i="18"/>
  <c r="M74" i="18" s="1"/>
  <c r="N72" i="18"/>
  <c r="N74" i="18" s="1"/>
  <c r="O72" i="18"/>
  <c r="O74" i="18" s="1"/>
  <c r="P72" i="18"/>
  <c r="P74" i="18" s="1"/>
  <c r="I75" i="18"/>
  <c r="J75" i="18"/>
  <c r="K75" i="18"/>
  <c r="L75" i="18"/>
  <c r="M75" i="18"/>
  <c r="N75" i="18"/>
  <c r="O75" i="18"/>
  <c r="P75" i="18"/>
  <c r="I76" i="18"/>
  <c r="J76" i="18"/>
  <c r="K76" i="18"/>
  <c r="L76" i="18"/>
  <c r="M76" i="18"/>
  <c r="N76" i="18"/>
  <c r="O76" i="18"/>
  <c r="P76" i="18"/>
  <c r="C75" i="18"/>
  <c r="D75" i="18"/>
  <c r="E75" i="18"/>
  <c r="F75" i="18"/>
  <c r="G75" i="18"/>
  <c r="C76" i="18"/>
  <c r="D76" i="18"/>
  <c r="E76" i="18"/>
  <c r="F76" i="18"/>
  <c r="G76" i="18"/>
  <c r="C77" i="18"/>
  <c r="D77" i="18"/>
  <c r="E77" i="18"/>
  <c r="F77" i="18"/>
  <c r="G77" i="18"/>
  <c r="C78" i="18"/>
  <c r="D78" i="18"/>
  <c r="E78" i="18"/>
  <c r="F78" i="18"/>
  <c r="G78" i="18"/>
  <c r="H78" i="18"/>
  <c r="H77" i="18"/>
  <c r="U22" i="18"/>
  <c r="V22" i="18" s="1"/>
  <c r="W22" i="18" s="1"/>
  <c r="X22" i="18" s="1"/>
  <c r="Y22" i="18" s="1"/>
  <c r="Z22" i="18" s="1"/>
  <c r="AA22" i="18" s="1"/>
  <c r="AB22" i="18" s="1"/>
  <c r="AC22" i="18" s="1"/>
  <c r="C72" i="18"/>
  <c r="C74" i="18" s="1"/>
  <c r="D72" i="18"/>
  <c r="D74" i="18" s="1"/>
  <c r="E72" i="18"/>
  <c r="E74" i="18" s="1"/>
  <c r="F72" i="18"/>
  <c r="F74" i="18" s="1"/>
  <c r="G72" i="18"/>
  <c r="G74" i="18" s="1"/>
  <c r="H72" i="18"/>
  <c r="H74" i="18" s="1"/>
  <c r="H76" i="18"/>
  <c r="H75" i="18"/>
  <c r="Z44" i="18" l="1"/>
  <c r="Y70" i="18"/>
  <c r="U23" i="18"/>
  <c r="T97" i="18"/>
  <c r="T103" i="18" s="1"/>
  <c r="AC29" i="18"/>
  <c r="AF31" i="18"/>
  <c r="AD31" i="18"/>
  <c r="AD22" i="18"/>
  <c r="AF22" i="18"/>
  <c r="W36" i="18"/>
  <c r="W94" i="18" s="1"/>
  <c r="W100" i="18" s="1"/>
  <c r="R77" i="18"/>
  <c r="R78" i="18"/>
  <c r="R76" i="18"/>
  <c r="R74" i="18"/>
  <c r="R75" i="18"/>
  <c r="R72" i="18"/>
  <c r="T55" i="18"/>
  <c r="U21" i="18"/>
  <c r="R70" i="18"/>
  <c r="R171" i="18"/>
  <c r="Z70" i="18" l="1"/>
  <c r="AA44" i="18"/>
  <c r="V23" i="18"/>
  <c r="U97" i="18"/>
  <c r="U103" i="18" s="1"/>
  <c r="AF29" i="18"/>
  <c r="AD29" i="18"/>
  <c r="U20" i="18"/>
  <c r="T72" i="18"/>
  <c r="V21" i="18"/>
  <c r="C19" i="15"/>
  <c r="U9" i="18"/>
  <c r="V9" i="18" s="1"/>
  <c r="W9" i="18" s="1"/>
  <c r="X9" i="18" s="1"/>
  <c r="Y9" i="18" s="1"/>
  <c r="Z9" i="18" s="1"/>
  <c r="AA9" i="18" s="1"/>
  <c r="AB9" i="18" s="1"/>
  <c r="AC9" i="18" s="1"/>
  <c r="AF9" i="18" s="1"/>
  <c r="T90" i="18"/>
  <c r="U33" i="18"/>
  <c r="V33" i="18" s="1"/>
  <c r="W33" i="18" s="1"/>
  <c r="X33" i="18" s="1"/>
  <c r="Y33" i="18" s="1"/>
  <c r="Z33" i="18" s="1"/>
  <c r="AA33" i="18" s="1"/>
  <c r="AB33" i="18" s="1"/>
  <c r="AC33" i="18" s="1"/>
  <c r="AF33" i="18" s="1"/>
  <c r="U34" i="18"/>
  <c r="V34" i="18" s="1"/>
  <c r="W34" i="18" s="1"/>
  <c r="X34" i="18" s="1"/>
  <c r="Y34" i="18" s="1"/>
  <c r="Z34" i="18" s="1"/>
  <c r="AA34" i="18" s="1"/>
  <c r="AB34" i="18" s="1"/>
  <c r="AC34" i="18" s="1"/>
  <c r="AF34" i="18" s="1"/>
  <c r="X36" i="18"/>
  <c r="X94" i="18" s="1"/>
  <c r="X100" i="18" s="1"/>
  <c r="O68" i="18"/>
  <c r="O176" i="18" s="1"/>
  <c r="O67" i="18"/>
  <c r="O65" i="18"/>
  <c r="O64" i="18"/>
  <c r="O62" i="18"/>
  <c r="O177" i="18" s="1"/>
  <c r="O61" i="18"/>
  <c r="O60" i="18"/>
  <c r="O58" i="18"/>
  <c r="O57" i="18"/>
  <c r="O174" i="18" s="1"/>
  <c r="O56" i="18"/>
  <c r="O54" i="18"/>
  <c r="AA70" i="18" l="1"/>
  <c r="AB44" i="18"/>
  <c r="U72" i="18"/>
  <c r="T127" i="18"/>
  <c r="T137" i="18"/>
  <c r="T128" i="18"/>
  <c r="T138" i="18"/>
  <c r="W23" i="18"/>
  <c r="V97" i="18"/>
  <c r="V103" i="18" s="1"/>
  <c r="T121" i="18"/>
  <c r="T122" i="18"/>
  <c r="T120" i="18"/>
  <c r="T109" i="18"/>
  <c r="P114" i="18"/>
  <c r="R114" i="18" s="1"/>
  <c r="R113" i="18"/>
  <c r="T93" i="18"/>
  <c r="T99" i="18" s="1"/>
  <c r="T118" i="18"/>
  <c r="T117" i="18"/>
  <c r="U18" i="18"/>
  <c r="O173" i="18"/>
  <c r="O180" i="18" s="1"/>
  <c r="O181" i="18" s="1"/>
  <c r="O178" i="18"/>
  <c r="V20" i="18"/>
  <c r="U27" i="18"/>
  <c r="Y36" i="18"/>
  <c r="Y94" i="18" s="1"/>
  <c r="Y100" i="18" s="1"/>
  <c r="U25" i="18"/>
  <c r="U90" i="18" s="1"/>
  <c r="T86" i="18"/>
  <c r="W21" i="18"/>
  <c r="AD33" i="18"/>
  <c r="AD34" i="18"/>
  <c r="AD9" i="18"/>
  <c r="O66" i="18"/>
  <c r="O175" i="18" s="1"/>
  <c r="D62" i="18"/>
  <c r="E62" i="18"/>
  <c r="F62" i="18"/>
  <c r="G62" i="18"/>
  <c r="G177" i="18" s="1"/>
  <c r="H62" i="18"/>
  <c r="H177" i="18" s="1"/>
  <c r="I62" i="18"/>
  <c r="I177" i="18" s="1"/>
  <c r="J62" i="18"/>
  <c r="J177" i="18" s="1"/>
  <c r="K62" i="18"/>
  <c r="K177" i="18" s="1"/>
  <c r="L62" i="18"/>
  <c r="L177" i="18" s="1"/>
  <c r="M62" i="18"/>
  <c r="M177" i="18" s="1"/>
  <c r="N62" i="18"/>
  <c r="N177" i="18" s="1"/>
  <c r="P62" i="18"/>
  <c r="C62" i="18"/>
  <c r="C61" i="18"/>
  <c r="AC44" i="18" l="1"/>
  <c r="AB70" i="18"/>
  <c r="U128" i="18"/>
  <c r="U138" i="18"/>
  <c r="U127" i="18"/>
  <c r="U137" i="18"/>
  <c r="X23" i="18"/>
  <c r="W97" i="18"/>
  <c r="W103" i="18" s="1"/>
  <c r="U120" i="18"/>
  <c r="U122" i="18"/>
  <c r="U121" i="18"/>
  <c r="U109" i="18"/>
  <c r="U93" i="18"/>
  <c r="U99" i="18" s="1"/>
  <c r="U118" i="18"/>
  <c r="U117" i="18"/>
  <c r="V18" i="18"/>
  <c r="W20" i="18"/>
  <c r="V72" i="18"/>
  <c r="V27" i="18"/>
  <c r="V25" i="18"/>
  <c r="U86" i="18"/>
  <c r="Z36" i="18"/>
  <c r="Z94" i="18" s="1"/>
  <c r="Z100" i="18" s="1"/>
  <c r="X21" i="18"/>
  <c r="P177" i="18"/>
  <c r="R177" i="18" s="1"/>
  <c r="R62" i="18"/>
  <c r="D61" i="18"/>
  <c r="E61" i="18"/>
  <c r="F61" i="18"/>
  <c r="G61" i="18"/>
  <c r="H61" i="18"/>
  <c r="I61" i="18"/>
  <c r="J61" i="18"/>
  <c r="K61" i="18"/>
  <c r="L61" i="18"/>
  <c r="M61" i="18"/>
  <c r="N61" i="18"/>
  <c r="P61" i="18"/>
  <c r="D60" i="18"/>
  <c r="E60" i="18"/>
  <c r="F60" i="18"/>
  <c r="G60" i="18"/>
  <c r="H60" i="18"/>
  <c r="I60" i="18"/>
  <c r="J60" i="18"/>
  <c r="K60" i="18"/>
  <c r="L60" i="18"/>
  <c r="M60" i="18"/>
  <c r="N60" i="18"/>
  <c r="P60" i="18"/>
  <c r="C60" i="18"/>
  <c r="AF44" i="18" l="1"/>
  <c r="AC70" i="18"/>
  <c r="AD44" i="18"/>
  <c r="V127" i="18"/>
  <c r="V137" i="18"/>
  <c r="V128" i="18"/>
  <c r="V138" i="18"/>
  <c r="V90" i="18"/>
  <c r="Y23" i="18"/>
  <c r="X97" i="18"/>
  <c r="X103" i="18" s="1"/>
  <c r="V122" i="18"/>
  <c r="V121" i="18"/>
  <c r="V120" i="18"/>
  <c r="V109" i="18"/>
  <c r="V93" i="18"/>
  <c r="V99" i="18" s="1"/>
  <c r="V118" i="18"/>
  <c r="V117" i="18"/>
  <c r="W18" i="18"/>
  <c r="X20" i="18"/>
  <c r="W72" i="18"/>
  <c r="W27" i="18"/>
  <c r="W25" i="18"/>
  <c r="W90" i="18" s="1"/>
  <c r="V86" i="18"/>
  <c r="AA36" i="18"/>
  <c r="AA94" i="18" s="1"/>
  <c r="AA100" i="18" s="1"/>
  <c r="Y21" i="18"/>
  <c r="R60" i="18"/>
  <c r="R61" i="18"/>
  <c r="C46" i="15"/>
  <c r="T159" i="18" l="1"/>
  <c r="Q184" i="18" s="1"/>
  <c r="AF70" i="18"/>
  <c r="U159" i="18" s="1"/>
  <c r="AD70" i="18"/>
  <c r="W128" i="18"/>
  <c r="W138" i="18"/>
  <c r="W127" i="18"/>
  <c r="W137" i="18"/>
  <c r="Z23" i="18"/>
  <c r="Y97" i="18"/>
  <c r="Y103" i="18" s="1"/>
  <c r="W109" i="18"/>
  <c r="W122" i="18"/>
  <c r="W121" i="18"/>
  <c r="W120" i="18"/>
  <c r="W93" i="18"/>
  <c r="W99" i="18" s="1"/>
  <c r="W118" i="18"/>
  <c r="W117" i="18"/>
  <c r="X18" i="18"/>
  <c r="Y20" i="18"/>
  <c r="X72" i="18"/>
  <c r="X27" i="18"/>
  <c r="X25" i="18"/>
  <c r="W86" i="18"/>
  <c r="AB36" i="18"/>
  <c r="AB94" i="18" s="1"/>
  <c r="AB100" i="18" s="1"/>
  <c r="Z21" i="18"/>
  <c r="T171" i="18"/>
  <c r="T179" i="18" s="1"/>
  <c r="C54" i="18"/>
  <c r="D54" i="18"/>
  <c r="E54" i="18"/>
  <c r="F54" i="18"/>
  <c r="H54" i="18"/>
  <c r="I54" i="18"/>
  <c r="J54" i="18"/>
  <c r="K54" i="18"/>
  <c r="L54" i="18"/>
  <c r="L178" i="18" s="1"/>
  <c r="M54" i="18"/>
  <c r="N54" i="18"/>
  <c r="N178" i="18" s="1"/>
  <c r="P54" i="18"/>
  <c r="D68" i="18"/>
  <c r="D176" i="18" s="1"/>
  <c r="E68" i="18"/>
  <c r="E176" i="18" s="1"/>
  <c r="F68" i="18"/>
  <c r="F176" i="18" s="1"/>
  <c r="G68" i="18"/>
  <c r="H68" i="18"/>
  <c r="H176" i="18" s="1"/>
  <c r="I68" i="18"/>
  <c r="I176" i="18" s="1"/>
  <c r="J68" i="18"/>
  <c r="J176" i="18" s="1"/>
  <c r="K68" i="18"/>
  <c r="K176" i="18" s="1"/>
  <c r="L68" i="18"/>
  <c r="L176" i="18" s="1"/>
  <c r="M68" i="18"/>
  <c r="M176" i="18" s="1"/>
  <c r="N68" i="18"/>
  <c r="P68" i="18"/>
  <c r="D67" i="18"/>
  <c r="E67" i="18"/>
  <c r="F67" i="18"/>
  <c r="G67" i="18"/>
  <c r="H67" i="18"/>
  <c r="I67" i="18"/>
  <c r="J67" i="18"/>
  <c r="K67" i="18"/>
  <c r="L67" i="18"/>
  <c r="M67" i="18"/>
  <c r="N67" i="18"/>
  <c r="P67" i="18"/>
  <c r="D65" i="18"/>
  <c r="E65" i="18"/>
  <c r="F65" i="18"/>
  <c r="G65" i="18"/>
  <c r="H65" i="18"/>
  <c r="I65" i="18"/>
  <c r="J65" i="18"/>
  <c r="K65" i="18"/>
  <c r="L65" i="18"/>
  <c r="M65" i="18"/>
  <c r="N65" i="18"/>
  <c r="P65" i="18"/>
  <c r="D64" i="18"/>
  <c r="D66" i="18" s="1"/>
  <c r="D175" i="18" s="1"/>
  <c r="E64" i="18"/>
  <c r="E66" i="18" s="1"/>
  <c r="E175" i="18" s="1"/>
  <c r="F64" i="18"/>
  <c r="G64" i="18"/>
  <c r="H64" i="18"/>
  <c r="I64" i="18"/>
  <c r="J64" i="18"/>
  <c r="K64" i="18"/>
  <c r="L64" i="18"/>
  <c r="M64" i="18"/>
  <c r="N64" i="18"/>
  <c r="P64" i="18"/>
  <c r="D58" i="18"/>
  <c r="E58" i="18"/>
  <c r="F58" i="18"/>
  <c r="G58" i="18"/>
  <c r="H58" i="18"/>
  <c r="I58" i="18"/>
  <c r="J58" i="18"/>
  <c r="K58" i="18"/>
  <c r="L58" i="18"/>
  <c r="M58" i="18"/>
  <c r="N58" i="18"/>
  <c r="P58" i="18"/>
  <c r="D57" i="18"/>
  <c r="D174" i="18" s="1"/>
  <c r="E57" i="18"/>
  <c r="E174" i="18" s="1"/>
  <c r="F57" i="18"/>
  <c r="F174" i="18" s="1"/>
  <c r="G57" i="18"/>
  <c r="H57" i="18"/>
  <c r="H174" i="18" s="1"/>
  <c r="I57" i="18"/>
  <c r="I174" i="18" s="1"/>
  <c r="J57" i="18"/>
  <c r="J174" i="18" s="1"/>
  <c r="K57" i="18"/>
  <c r="K174" i="18" s="1"/>
  <c r="L57" i="18"/>
  <c r="L174" i="18" s="1"/>
  <c r="M57" i="18"/>
  <c r="M174" i="18" s="1"/>
  <c r="N57" i="18"/>
  <c r="P57" i="18"/>
  <c r="C68" i="18"/>
  <c r="C176" i="18" s="1"/>
  <c r="C67" i="18"/>
  <c r="C65" i="18"/>
  <c r="C64" i="18"/>
  <c r="C58" i="18"/>
  <c r="C57" i="18"/>
  <c r="C174" i="18" s="1"/>
  <c r="D56" i="18"/>
  <c r="E56" i="18"/>
  <c r="F56" i="18"/>
  <c r="G56" i="18"/>
  <c r="H56" i="18"/>
  <c r="I56" i="18"/>
  <c r="J56" i="18"/>
  <c r="K56" i="18"/>
  <c r="L56" i="18"/>
  <c r="M56" i="18"/>
  <c r="N56" i="18"/>
  <c r="P56" i="18"/>
  <c r="C56" i="18"/>
  <c r="T125" i="18"/>
  <c r="T133" i="18"/>
  <c r="T134" i="18" s="1"/>
  <c r="T95" i="18"/>
  <c r="T101" i="18" s="1"/>
  <c r="T106" i="18" l="1"/>
  <c r="S159" i="18"/>
  <c r="P184" i="18" s="1"/>
  <c r="X127" i="18"/>
  <c r="X137" i="18"/>
  <c r="X90" i="18"/>
  <c r="X128" i="18"/>
  <c r="X138" i="18"/>
  <c r="AA23" i="18"/>
  <c r="Z97" i="18"/>
  <c r="Z103" i="18" s="1"/>
  <c r="T88" i="18"/>
  <c r="T89" i="18"/>
  <c r="T131" i="18"/>
  <c r="T130" i="18"/>
  <c r="T96" i="18"/>
  <c r="T102" i="18" s="1"/>
  <c r="T126" i="18"/>
  <c r="H178" i="18"/>
  <c r="H173" i="18"/>
  <c r="H180" i="18" s="1"/>
  <c r="H181" i="18" s="1"/>
  <c r="X109" i="18"/>
  <c r="X121" i="18"/>
  <c r="X120" i="18"/>
  <c r="X122" i="18"/>
  <c r="T108" i="18"/>
  <c r="T113" i="18"/>
  <c r="T114" i="18" s="1"/>
  <c r="X93" i="18"/>
  <c r="X99" i="18" s="1"/>
  <c r="X118" i="18"/>
  <c r="X117" i="18"/>
  <c r="T107" i="18"/>
  <c r="Y18" i="18"/>
  <c r="D173" i="18"/>
  <c r="D177" i="18" s="1"/>
  <c r="D178" i="18"/>
  <c r="E173" i="18"/>
  <c r="E177" i="18" s="1"/>
  <c r="E178" i="18"/>
  <c r="C173" i="18"/>
  <c r="C177" i="18" s="1"/>
  <c r="C178" i="18"/>
  <c r="P173" i="18"/>
  <c r="P180" i="18" s="1"/>
  <c r="P178" i="18"/>
  <c r="R178" i="18" s="1"/>
  <c r="K173" i="18"/>
  <c r="K180" i="18" s="1"/>
  <c r="K181" i="18" s="1"/>
  <c r="K178" i="18"/>
  <c r="F173" i="18"/>
  <c r="F177" i="18" s="1"/>
  <c r="F178" i="18"/>
  <c r="J173" i="18"/>
  <c r="J180" i="18" s="1"/>
  <c r="J181" i="18" s="1"/>
  <c r="J178" i="18"/>
  <c r="M173" i="18"/>
  <c r="M180" i="18" s="1"/>
  <c r="M181" i="18" s="1"/>
  <c r="M178" i="18"/>
  <c r="I173" i="18"/>
  <c r="I180" i="18" s="1"/>
  <c r="I181" i="18" s="1"/>
  <c r="I178" i="18"/>
  <c r="Z20" i="18"/>
  <c r="Y72" i="18"/>
  <c r="H66" i="18"/>
  <c r="H175" i="18" s="1"/>
  <c r="Y27" i="18"/>
  <c r="U12" i="18"/>
  <c r="U15" i="18"/>
  <c r="U125" i="18" s="1"/>
  <c r="U13" i="18"/>
  <c r="U10" i="18"/>
  <c r="U16" i="18"/>
  <c r="U133" i="18" s="1"/>
  <c r="U134" i="18" s="1"/>
  <c r="U6" i="18"/>
  <c r="U7" i="18"/>
  <c r="Y25" i="18"/>
  <c r="Y90" i="18" s="1"/>
  <c r="X86" i="18"/>
  <c r="U40" i="18"/>
  <c r="T87" i="18"/>
  <c r="AC36" i="18"/>
  <c r="F66" i="18"/>
  <c r="F175" i="18" s="1"/>
  <c r="L66" i="18"/>
  <c r="L175" i="18" s="1"/>
  <c r="K66" i="18"/>
  <c r="K175" i="18" s="1"/>
  <c r="J66" i="18"/>
  <c r="J175" i="18" s="1"/>
  <c r="AA21" i="18"/>
  <c r="C66" i="18"/>
  <c r="C175" i="18" s="1"/>
  <c r="U171" i="18"/>
  <c r="U179" i="18" s="1"/>
  <c r="I66" i="18"/>
  <c r="I175" i="18" s="1"/>
  <c r="R56" i="18"/>
  <c r="G174" i="18"/>
  <c r="R57" i="18"/>
  <c r="R58" i="18"/>
  <c r="R65" i="18"/>
  <c r="R67" i="18"/>
  <c r="G173" i="18"/>
  <c r="G180" i="18" s="1"/>
  <c r="G181" i="18" s="1"/>
  <c r="R54" i="18"/>
  <c r="G176" i="18"/>
  <c r="R68" i="18"/>
  <c r="G66" i="18"/>
  <c r="R64" i="18"/>
  <c r="N174" i="18"/>
  <c r="N173" i="18"/>
  <c r="N180" i="18" s="1"/>
  <c r="N181" i="18" s="1"/>
  <c r="N176" i="18"/>
  <c r="P174" i="18"/>
  <c r="L173" i="18"/>
  <c r="L180" i="18" s="1"/>
  <c r="L181" i="18" s="1"/>
  <c r="N66" i="18"/>
  <c r="M66" i="18"/>
  <c r="M175" i="18" s="1"/>
  <c r="P176" i="18"/>
  <c r="P66" i="18"/>
  <c r="T65" i="18"/>
  <c r="C6" i="12"/>
  <c r="C26" i="15"/>
  <c r="C58" i="15"/>
  <c r="C57" i="15"/>
  <c r="C54" i="15"/>
  <c r="C53" i="15"/>
  <c r="C50" i="15"/>
  <c r="C49" i="15"/>
  <c r="C45" i="15"/>
  <c r="P181" i="18" l="1"/>
  <c r="R180" i="18"/>
  <c r="U95" i="18"/>
  <c r="U101" i="18" s="1"/>
  <c r="U52" i="18"/>
  <c r="U91" i="18" s="1"/>
  <c r="U192" i="18"/>
  <c r="V192" i="18" s="1"/>
  <c r="W192" i="18" s="1"/>
  <c r="X192" i="18" s="1"/>
  <c r="Y192" i="18" s="1"/>
  <c r="Z192" i="18" s="1"/>
  <c r="AA192" i="18" s="1"/>
  <c r="AB192" i="18" s="1"/>
  <c r="AC192" i="18" s="1"/>
  <c r="AD192" i="18" s="1"/>
  <c r="AE192" i="18" s="1"/>
  <c r="AF192" i="18" s="1"/>
  <c r="AG192" i="18" s="1"/>
  <c r="AH192" i="18" s="1"/>
  <c r="AI192" i="18" s="1"/>
  <c r="AJ192" i="18" s="1"/>
  <c r="AK192" i="18" s="1"/>
  <c r="AL192" i="18" s="1"/>
  <c r="AM192" i="18" s="1"/>
  <c r="AN192" i="18" s="1"/>
  <c r="AO192" i="18" s="1"/>
  <c r="AP192" i="18" s="1"/>
  <c r="AQ192" i="18" s="1"/>
  <c r="AR192" i="18" s="1"/>
  <c r="AS192" i="18" s="1"/>
  <c r="AT192" i="18" s="1"/>
  <c r="U106" i="18"/>
  <c r="Y127" i="18"/>
  <c r="Y137" i="18"/>
  <c r="Y128" i="18"/>
  <c r="Y138" i="18"/>
  <c r="AF36" i="18"/>
  <c r="AC94" i="18"/>
  <c r="AB23" i="18"/>
  <c r="AA97" i="18"/>
  <c r="AA103" i="18" s="1"/>
  <c r="U131" i="18"/>
  <c r="U130" i="18"/>
  <c r="U96" i="18"/>
  <c r="U102" i="18" s="1"/>
  <c r="U126" i="18"/>
  <c r="U89" i="18"/>
  <c r="Y120" i="18"/>
  <c r="Y121" i="18"/>
  <c r="Y122" i="18"/>
  <c r="Y109" i="18"/>
  <c r="Y93" i="18"/>
  <c r="Y99" i="18" s="1"/>
  <c r="Y118" i="18"/>
  <c r="Y117" i="18"/>
  <c r="U107" i="18"/>
  <c r="U108" i="18"/>
  <c r="Z18" i="18"/>
  <c r="AA20" i="18"/>
  <c r="Z72" i="18"/>
  <c r="T64" i="18"/>
  <c r="T81" i="18"/>
  <c r="T60" i="18"/>
  <c r="T62" i="18"/>
  <c r="T177" i="18" s="1"/>
  <c r="T68" i="18"/>
  <c r="T176" i="18" s="1"/>
  <c r="T78" i="18"/>
  <c r="T80" i="18"/>
  <c r="T135" i="18" s="1"/>
  <c r="T51" i="18"/>
  <c r="T50" i="18"/>
  <c r="T172" i="18" s="1"/>
  <c r="T61" i="18"/>
  <c r="T57" i="18"/>
  <c r="T58" i="18"/>
  <c r="T67" i="18"/>
  <c r="T56" i="18"/>
  <c r="T82" i="18"/>
  <c r="T54" i="18"/>
  <c r="T178" i="18" s="1"/>
  <c r="Z27" i="18"/>
  <c r="V15" i="18"/>
  <c r="V125" i="18" s="1"/>
  <c r="V13" i="18"/>
  <c r="V12" i="18"/>
  <c r="T66" i="18"/>
  <c r="V16" i="18"/>
  <c r="V133" i="18" s="1"/>
  <c r="V134" i="18" s="1"/>
  <c r="V10" i="18"/>
  <c r="V7" i="18"/>
  <c r="V6" i="18"/>
  <c r="AD36" i="18"/>
  <c r="Z25" i="18"/>
  <c r="Z90" i="18" s="1"/>
  <c r="Y86" i="18"/>
  <c r="V40" i="18"/>
  <c r="U88" i="18"/>
  <c r="U87" i="18"/>
  <c r="U42" i="18"/>
  <c r="T75" i="18"/>
  <c r="T76" i="18"/>
  <c r="T77" i="18"/>
  <c r="T74" i="18"/>
  <c r="AB21" i="18"/>
  <c r="V171" i="18"/>
  <c r="V179" i="18" s="1"/>
  <c r="R174" i="18"/>
  <c r="R173" i="18"/>
  <c r="R176" i="18"/>
  <c r="G175" i="18"/>
  <c r="R66" i="18"/>
  <c r="N175" i="18"/>
  <c r="P175" i="18"/>
  <c r="C16" i="15"/>
  <c r="C21" i="15"/>
  <c r="C10" i="15"/>
  <c r="V95" i="18" l="1"/>
  <c r="V101" i="18" s="1"/>
  <c r="V52" i="18"/>
  <c r="V91" i="18" s="1"/>
  <c r="U193" i="18"/>
  <c r="V193" i="18" s="1"/>
  <c r="W193" i="18" s="1"/>
  <c r="X193" i="18" s="1"/>
  <c r="Y193" i="18" s="1"/>
  <c r="Z193" i="18" s="1"/>
  <c r="AA193" i="18" s="1"/>
  <c r="AB193" i="18" s="1"/>
  <c r="AC193" i="18" s="1"/>
  <c r="AD193" i="18" s="1"/>
  <c r="AE193" i="18" s="1"/>
  <c r="AF193" i="18" s="1"/>
  <c r="AG193" i="18" s="1"/>
  <c r="AH193" i="18" s="1"/>
  <c r="AI193" i="18" s="1"/>
  <c r="AJ193" i="18" s="1"/>
  <c r="AK193" i="18" s="1"/>
  <c r="AL193" i="18" s="1"/>
  <c r="AM193" i="18" s="1"/>
  <c r="AN193" i="18" s="1"/>
  <c r="AO193" i="18" s="1"/>
  <c r="AP193" i="18" s="1"/>
  <c r="AQ193" i="18" s="1"/>
  <c r="AR193" i="18" s="1"/>
  <c r="AS193" i="18" s="1"/>
  <c r="AT193" i="18" s="1"/>
  <c r="AD94" i="18"/>
  <c r="AC100" i="18"/>
  <c r="AD100" i="18" s="1"/>
  <c r="U191" i="18"/>
  <c r="V191" i="18" s="1"/>
  <c r="W191" i="18" s="1"/>
  <c r="X191" i="18" s="1"/>
  <c r="Y191" i="18" s="1"/>
  <c r="Z191" i="18" s="1"/>
  <c r="AA191" i="18" s="1"/>
  <c r="AB191" i="18" s="1"/>
  <c r="AC191" i="18" s="1"/>
  <c r="AD191" i="18" s="1"/>
  <c r="V106" i="18"/>
  <c r="U111" i="18"/>
  <c r="U112" i="18" s="1"/>
  <c r="U55" i="18"/>
  <c r="Z127" i="18"/>
  <c r="Z137" i="18"/>
  <c r="Z128" i="18"/>
  <c r="Z138" i="18"/>
  <c r="AC23" i="18"/>
  <c r="AB97" i="18"/>
  <c r="AB103" i="18" s="1"/>
  <c r="V96" i="18"/>
  <c r="V102" i="18" s="1"/>
  <c r="V126" i="18"/>
  <c r="V131" i="18"/>
  <c r="V130" i="18"/>
  <c r="V89" i="18"/>
  <c r="Z122" i="18"/>
  <c r="Z121" i="18"/>
  <c r="Z120" i="18"/>
  <c r="Z109" i="18"/>
  <c r="U64" i="18"/>
  <c r="Z93" i="18"/>
  <c r="Z99" i="18" s="1"/>
  <c r="Z118" i="18"/>
  <c r="Z117" i="18"/>
  <c r="V107" i="18"/>
  <c r="V108" i="18"/>
  <c r="U60" i="18"/>
  <c r="AA18" i="18"/>
  <c r="AB20" i="18"/>
  <c r="AA72" i="18"/>
  <c r="U62" i="18"/>
  <c r="U177" i="18" s="1"/>
  <c r="U68" i="18"/>
  <c r="U176" i="18" s="1"/>
  <c r="U78" i="18"/>
  <c r="U80" i="18"/>
  <c r="U135" i="18" s="1"/>
  <c r="U50" i="18"/>
  <c r="U172" i="18" s="1"/>
  <c r="U51" i="18"/>
  <c r="U57" i="18"/>
  <c r="U56" i="18"/>
  <c r="U67" i="18"/>
  <c r="U82" i="18"/>
  <c r="U61" i="18"/>
  <c r="U58" i="18"/>
  <c r="U54" i="18"/>
  <c r="U178" i="18" s="1"/>
  <c r="U65" i="18"/>
  <c r="U81" i="18"/>
  <c r="AA27" i="18"/>
  <c r="W13" i="18"/>
  <c r="W12" i="18"/>
  <c r="W15" i="18"/>
  <c r="W125" i="18" s="1"/>
  <c r="W10" i="18"/>
  <c r="W16" i="18"/>
  <c r="W133" i="18" s="1"/>
  <c r="W134" i="18" s="1"/>
  <c r="W6" i="18"/>
  <c r="W7" i="18"/>
  <c r="W40" i="18"/>
  <c r="V88" i="18"/>
  <c r="V87" i="18"/>
  <c r="AA25" i="18"/>
  <c r="AA90" i="18" s="1"/>
  <c r="Z86" i="18"/>
  <c r="V42" i="18"/>
  <c r="U77" i="18"/>
  <c r="U76" i="18"/>
  <c r="U75" i="18"/>
  <c r="U74" i="18"/>
  <c r="AC21" i="18"/>
  <c r="AF21" i="18" s="1"/>
  <c r="T175" i="18"/>
  <c r="W171" i="18"/>
  <c r="W179" i="18" s="1"/>
  <c r="T173" i="18"/>
  <c r="T180" i="18" s="1"/>
  <c r="T174" i="18"/>
  <c r="R175" i="18"/>
  <c r="D31" i="8"/>
  <c r="D29" i="8"/>
  <c r="D28" i="8"/>
  <c r="D13" i="8"/>
  <c r="D30" i="8" s="1"/>
  <c r="E14" i="8"/>
  <c r="F14" i="8" s="1"/>
  <c r="G14" i="8" s="1"/>
  <c r="H14" i="8" s="1"/>
  <c r="I14" i="8" s="1"/>
  <c r="U113" i="18" l="1"/>
  <c r="U114" i="18" s="1"/>
  <c r="U115" i="18"/>
  <c r="W95" i="18"/>
  <c r="W101" i="18" s="1"/>
  <c r="W52" i="18"/>
  <c r="W91" i="18" s="1"/>
  <c r="U190" i="18"/>
  <c r="V190" i="18" s="1"/>
  <c r="W190" i="18" s="1"/>
  <c r="X190" i="18" s="1"/>
  <c r="Y190" i="18" s="1"/>
  <c r="Z190" i="18" s="1"/>
  <c r="AA190" i="18" s="1"/>
  <c r="AB190" i="18" s="1"/>
  <c r="AC190" i="18" s="1"/>
  <c r="AD190" i="18" s="1"/>
  <c r="AE191" i="18"/>
  <c r="AF191" i="18" s="1"/>
  <c r="AG191" i="18" s="1"/>
  <c r="AH191" i="18" s="1"/>
  <c r="AI191" i="18" s="1"/>
  <c r="AJ191" i="18" s="1"/>
  <c r="AK191" i="18" s="1"/>
  <c r="AL191" i="18" s="1"/>
  <c r="AM191" i="18" s="1"/>
  <c r="AN191" i="18" s="1"/>
  <c r="AO191" i="18" s="1"/>
  <c r="AP191" i="18" s="1"/>
  <c r="AQ191" i="18" s="1"/>
  <c r="AR191" i="18" s="1"/>
  <c r="AS191" i="18" s="1"/>
  <c r="AT191" i="18" s="1"/>
  <c r="W106" i="18"/>
  <c r="V111" i="18"/>
  <c r="V112" i="18" s="1"/>
  <c r="V55" i="18"/>
  <c r="AA127" i="18"/>
  <c r="AA137" i="18"/>
  <c r="AA128" i="18"/>
  <c r="AA138" i="18"/>
  <c r="AF23" i="18"/>
  <c r="AC97" i="18"/>
  <c r="AD23" i="18"/>
  <c r="W89" i="18"/>
  <c r="W130" i="18"/>
  <c r="W131" i="18"/>
  <c r="W96" i="18"/>
  <c r="W102" i="18" s="1"/>
  <c r="W126" i="18"/>
  <c r="AA122" i="18"/>
  <c r="AA121" i="18"/>
  <c r="AA120" i="18"/>
  <c r="AA109" i="18"/>
  <c r="V64" i="18"/>
  <c r="U66" i="18"/>
  <c r="U175" i="18" s="1"/>
  <c r="AA93" i="18"/>
  <c r="AA99" i="18" s="1"/>
  <c r="AA118" i="18"/>
  <c r="AA117" i="18"/>
  <c r="W108" i="18"/>
  <c r="W107" i="18"/>
  <c r="AB18" i="18"/>
  <c r="AC20" i="18"/>
  <c r="AB72" i="18"/>
  <c r="V82" i="18"/>
  <c r="V81" i="18"/>
  <c r="V60" i="18"/>
  <c r="V68" i="18"/>
  <c r="V176" i="18" s="1"/>
  <c r="V67" i="18"/>
  <c r="V62" i="18"/>
  <c r="V177" i="18" s="1"/>
  <c r="V65" i="18"/>
  <c r="V56" i="18"/>
  <c r="V78" i="18"/>
  <c r="V80" i="18"/>
  <c r="V135" i="18" s="1"/>
  <c r="V51" i="18"/>
  <c r="V50" i="18"/>
  <c r="V172" i="18" s="1"/>
  <c r="V61" i="18"/>
  <c r="V57" i="18"/>
  <c r="V58" i="18"/>
  <c r="V54" i="18"/>
  <c r="V178" i="18" s="1"/>
  <c r="AB27" i="18"/>
  <c r="X12" i="18"/>
  <c r="X15" i="18"/>
  <c r="X125" i="18" s="1"/>
  <c r="X13" i="18"/>
  <c r="X16" i="18"/>
  <c r="X133" i="18" s="1"/>
  <c r="X134" i="18" s="1"/>
  <c r="X10" i="18"/>
  <c r="X7" i="18"/>
  <c r="X6" i="18"/>
  <c r="AB25" i="18"/>
  <c r="AA86" i="18"/>
  <c r="X40" i="18"/>
  <c r="W87" i="18"/>
  <c r="W88" i="18"/>
  <c r="W42" i="18"/>
  <c r="V77" i="18"/>
  <c r="V75" i="18"/>
  <c r="V76" i="18"/>
  <c r="V74" i="18"/>
  <c r="AD21" i="18"/>
  <c r="X171" i="18"/>
  <c r="X179" i="18" s="1"/>
  <c r="U173" i="18"/>
  <c r="U180" i="18" s="1"/>
  <c r="U174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113" i="18" l="1"/>
  <c r="V114" i="18" s="1"/>
  <c r="V115" i="18"/>
  <c r="X95" i="18"/>
  <c r="X101" i="18" s="1"/>
  <c r="X52" i="18"/>
  <c r="X91" i="18" s="1"/>
  <c r="AE190" i="18"/>
  <c r="AF190" i="18" s="1"/>
  <c r="AG190" i="18" s="1"/>
  <c r="AH190" i="18" s="1"/>
  <c r="AI190" i="18" s="1"/>
  <c r="AJ190" i="18" s="1"/>
  <c r="AK190" i="18" s="1"/>
  <c r="AL190" i="18" s="1"/>
  <c r="AM190" i="18" s="1"/>
  <c r="AN190" i="18" s="1"/>
  <c r="AO190" i="18" s="1"/>
  <c r="AP190" i="18" s="1"/>
  <c r="AQ190" i="18" s="1"/>
  <c r="AR190" i="18" s="1"/>
  <c r="AS190" i="18" s="1"/>
  <c r="AT190" i="18" s="1"/>
  <c r="AD97" i="18"/>
  <c r="AC103" i="18"/>
  <c r="AD103" i="18" s="1"/>
  <c r="X106" i="18"/>
  <c r="W111" i="18"/>
  <c r="W112" i="18" s="1"/>
  <c r="W55" i="18"/>
  <c r="AB127" i="18"/>
  <c r="AB137" i="18"/>
  <c r="AB128" i="18"/>
  <c r="AB138" i="18"/>
  <c r="AF20" i="18"/>
  <c r="AB90" i="18"/>
  <c r="X131" i="18"/>
  <c r="X130" i="18"/>
  <c r="X96" i="18"/>
  <c r="X102" i="18" s="1"/>
  <c r="X126" i="18"/>
  <c r="X89" i="18"/>
  <c r="AB121" i="18"/>
  <c r="AB120" i="18"/>
  <c r="AB122" i="18"/>
  <c r="AB109" i="18"/>
  <c r="V66" i="18"/>
  <c r="V175" i="18" s="1"/>
  <c r="AB93" i="18"/>
  <c r="AB99" i="18" s="1"/>
  <c r="AB118" i="18"/>
  <c r="AB117" i="18"/>
  <c r="W67" i="18"/>
  <c r="X108" i="18"/>
  <c r="X107" i="18"/>
  <c r="AC18" i="18"/>
  <c r="W82" i="18"/>
  <c r="W58" i="18"/>
  <c r="W65" i="18"/>
  <c r="AD20" i="18"/>
  <c r="AC72" i="18"/>
  <c r="W56" i="18"/>
  <c r="W64" i="18"/>
  <c r="W61" i="18"/>
  <c r="W81" i="18"/>
  <c r="W57" i="18"/>
  <c r="W62" i="18"/>
  <c r="W177" i="18" s="1"/>
  <c r="W78" i="18"/>
  <c r="W80" i="18"/>
  <c r="W135" i="18" s="1"/>
  <c r="W50" i="18"/>
  <c r="W172" i="18" s="1"/>
  <c r="W51" i="18"/>
  <c r="W60" i="18"/>
  <c r="W68" i="18"/>
  <c r="W176" i="18" s="1"/>
  <c r="W54" i="18"/>
  <c r="W178" i="18" s="1"/>
  <c r="AC27" i="18"/>
  <c r="AC138" i="18" s="1"/>
  <c r="AD138" i="18" s="1"/>
  <c r="Y15" i="18"/>
  <c r="Y125" i="18" s="1"/>
  <c r="Y13" i="18"/>
  <c r="Y12" i="18"/>
  <c r="Y10" i="18"/>
  <c r="Y16" i="18"/>
  <c r="Y133" i="18" s="1"/>
  <c r="Y134" i="18" s="1"/>
  <c r="Y6" i="18"/>
  <c r="Y7" i="18"/>
  <c r="Y40" i="18"/>
  <c r="X88" i="18"/>
  <c r="X87" i="18"/>
  <c r="AC25" i="18"/>
  <c r="AC90" i="18" s="1"/>
  <c r="AD90" i="18" s="1"/>
  <c r="AB86" i="18"/>
  <c r="X42" i="18"/>
  <c r="W77" i="18"/>
  <c r="W75" i="18"/>
  <c r="W76" i="18"/>
  <c r="W74" i="18"/>
  <c r="Y171" i="18"/>
  <c r="Y179" i="18" s="1"/>
  <c r="V173" i="18"/>
  <c r="V180" i="18" s="1"/>
  <c r="V174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W113" i="18" l="1"/>
  <c r="W114" i="18" s="1"/>
  <c r="W115" i="18"/>
  <c r="Y95" i="18"/>
  <c r="Y101" i="18" s="1"/>
  <c r="Y52" i="18"/>
  <c r="Y91" i="18" s="1"/>
  <c r="Y106" i="18"/>
  <c r="X111" i="18"/>
  <c r="X112" i="18" s="1"/>
  <c r="X55" i="18"/>
  <c r="AC127" i="18"/>
  <c r="AD127" i="18" s="1"/>
  <c r="AC137" i="18"/>
  <c r="AD137" i="18" s="1"/>
  <c r="Y96" i="18"/>
  <c r="Y102" i="18" s="1"/>
  <c r="Y126" i="18"/>
  <c r="Y131" i="18"/>
  <c r="Y130" i="18"/>
  <c r="AF27" i="18"/>
  <c r="AC128" i="18"/>
  <c r="AD128" i="18" s="1"/>
  <c r="Y89" i="18"/>
  <c r="AC120" i="18"/>
  <c r="AD120" i="18" s="1"/>
  <c r="AC122" i="18"/>
  <c r="AD122" i="18" s="1"/>
  <c r="AC121" i="18"/>
  <c r="AD121" i="18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M45" i="9"/>
  <c r="AC109" i="18"/>
  <c r="AD109" i="18" s="1"/>
  <c r="W66" i="18"/>
  <c r="W175" i="18" s="1"/>
  <c r="X65" i="18"/>
  <c r="AC93" i="18"/>
  <c r="AC118" i="18"/>
  <c r="AD118" i="18" s="1"/>
  <c r="AC117" i="18"/>
  <c r="AD117" i="18" s="1"/>
  <c r="Y108" i="18"/>
  <c r="Y107" i="18"/>
  <c r="AF25" i="18"/>
  <c r="AF18" i="18"/>
  <c r="AD18" i="18"/>
  <c r="T161" i="18"/>
  <c r="AF72" i="18"/>
  <c r="AD72" i="18"/>
  <c r="M32" i="9"/>
  <c r="M33" i="9" s="1"/>
  <c r="M34" i="9" s="1"/>
  <c r="M35" i="9" s="1"/>
  <c r="M36" i="9" s="1"/>
  <c r="M37" i="9" s="1"/>
  <c r="M38" i="9" s="1"/>
  <c r="M39" i="9" s="1"/>
  <c r="M40" i="9" s="1"/>
  <c r="M41" i="9" s="1"/>
  <c r="P32" i="9"/>
  <c r="X68" i="18"/>
  <c r="X176" i="18" s="1"/>
  <c r="X67" i="18"/>
  <c r="X62" i="18"/>
  <c r="X177" i="18" s="1"/>
  <c r="X64" i="18"/>
  <c r="X61" i="18"/>
  <c r="X81" i="18"/>
  <c r="X60" i="18"/>
  <c r="X82" i="18"/>
  <c r="X78" i="18"/>
  <c r="X80" i="18"/>
  <c r="X135" i="18" s="1"/>
  <c r="X51" i="18"/>
  <c r="X50" i="18"/>
  <c r="X172" i="18" s="1"/>
  <c r="X56" i="18"/>
  <c r="X57" i="18"/>
  <c r="X58" i="18"/>
  <c r="X54" i="18"/>
  <c r="X178" i="18" s="1"/>
  <c r="AD27" i="18"/>
  <c r="Z12" i="18"/>
  <c r="Z15" i="18"/>
  <c r="Z125" i="18" s="1"/>
  <c r="Z13" i="18"/>
  <c r="Z10" i="18"/>
  <c r="Z16" i="18"/>
  <c r="Z133" i="18" s="1"/>
  <c r="Z134" i="18" s="1"/>
  <c r="Z7" i="18"/>
  <c r="Z6" i="18"/>
  <c r="AD25" i="18"/>
  <c r="AC86" i="18"/>
  <c r="AD86" i="18" s="1"/>
  <c r="Z40" i="18"/>
  <c r="Y88" i="18"/>
  <c r="Y87" i="18"/>
  <c r="O31" i="9"/>
  <c r="O32" i="9" s="1"/>
  <c r="Y42" i="18"/>
  <c r="X77" i="18"/>
  <c r="X75" i="18"/>
  <c r="X76" i="18"/>
  <c r="X74" i="18"/>
  <c r="Z171" i="18"/>
  <c r="Z179" i="18" s="1"/>
  <c r="W173" i="18"/>
  <c r="W180" i="18" s="1"/>
  <c r="W174" i="18"/>
  <c r="P31" i="11"/>
  <c r="N32" i="11"/>
  <c r="T19" i="9"/>
  <c r="D22" i="9"/>
  <c r="X113" i="18" l="1"/>
  <c r="X114" i="18" s="1"/>
  <c r="X115" i="18"/>
  <c r="Z95" i="18"/>
  <c r="Z101" i="18" s="1"/>
  <c r="Z52" i="18"/>
  <c r="Z91" i="18" s="1"/>
  <c r="AD93" i="18"/>
  <c r="AC99" i="18"/>
  <c r="AD99" i="18" s="1"/>
  <c r="Z106" i="18"/>
  <c r="Y111" i="18"/>
  <c r="Y112" i="18" s="1"/>
  <c r="Y55" i="18"/>
  <c r="Z131" i="18"/>
  <c r="Z130" i="18"/>
  <c r="Z96" i="18"/>
  <c r="Z102" i="18" s="1"/>
  <c r="Z126" i="18"/>
  <c r="Z89" i="18"/>
  <c r="X66" i="18"/>
  <c r="X175" i="18" s="1"/>
  <c r="Y58" i="18"/>
  <c r="Z107" i="18"/>
  <c r="Z108" i="18"/>
  <c r="U161" i="18"/>
  <c r="S161" i="18" s="1"/>
  <c r="Y60" i="18"/>
  <c r="Y67" i="18"/>
  <c r="Y54" i="18"/>
  <c r="Y178" i="18" s="1"/>
  <c r="Y62" i="18"/>
  <c r="Y177" i="18" s="1"/>
  <c r="Y57" i="18"/>
  <c r="Y56" i="18"/>
  <c r="Y78" i="18"/>
  <c r="Y80" i="18"/>
  <c r="Y135" i="18" s="1"/>
  <c r="Y51" i="18"/>
  <c r="Y50" i="18"/>
  <c r="Y172" i="18" s="1"/>
  <c r="Y82" i="18"/>
  <c r="Y61" i="18"/>
  <c r="Y68" i="18"/>
  <c r="Y176" i="18" s="1"/>
  <c r="Y65" i="18"/>
  <c r="Y64" i="18"/>
  <c r="Y81" i="18"/>
  <c r="AA13" i="18"/>
  <c r="AA12" i="18"/>
  <c r="AA15" i="18"/>
  <c r="AA125" i="18" s="1"/>
  <c r="AA10" i="18"/>
  <c r="AA16" i="18"/>
  <c r="AA133" i="18" s="1"/>
  <c r="AA134" i="18" s="1"/>
  <c r="AA6" i="18"/>
  <c r="AA7" i="18"/>
  <c r="AA40" i="18"/>
  <c r="Z88" i="18"/>
  <c r="Z87" i="18"/>
  <c r="Z42" i="18"/>
  <c r="Y77" i="18"/>
  <c r="Y75" i="18"/>
  <c r="Y76" i="18"/>
  <c r="Y74" i="18"/>
  <c r="AA171" i="18"/>
  <c r="AA179" i="18" s="1"/>
  <c r="X173" i="18"/>
  <c r="X180" i="18" s="1"/>
  <c r="X174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Y113" i="18" l="1"/>
  <c r="Y114" i="18" s="1"/>
  <c r="Y115" i="18"/>
  <c r="AA95" i="18"/>
  <c r="AA101" i="18" s="1"/>
  <c r="AA52" i="18"/>
  <c r="AA91" i="18" s="1"/>
  <c r="AA106" i="18"/>
  <c r="Z111" i="18"/>
  <c r="Z112" i="18" s="1"/>
  <c r="Z55" i="18"/>
  <c r="AA96" i="18"/>
  <c r="AA102" i="18" s="1"/>
  <c r="AA126" i="18"/>
  <c r="AA130" i="18"/>
  <c r="AA131" i="18"/>
  <c r="AA89" i="18"/>
  <c r="AA107" i="18"/>
  <c r="AA108" i="18"/>
  <c r="Y66" i="18"/>
  <c r="Y175" i="18" s="1"/>
  <c r="Z78" i="18"/>
  <c r="Z80" i="18"/>
  <c r="Z135" i="18" s="1"/>
  <c r="Z50" i="18"/>
  <c r="Z172" i="18" s="1"/>
  <c r="Z51" i="18"/>
  <c r="Z62" i="18"/>
  <c r="Z177" i="18" s="1"/>
  <c r="Z68" i="18"/>
  <c r="Z176" i="18" s="1"/>
  <c r="Z67" i="18"/>
  <c r="Z65" i="18"/>
  <c r="Z56" i="18"/>
  <c r="Z54" i="18"/>
  <c r="Z178" i="18" s="1"/>
  <c r="Z61" i="18"/>
  <c r="Z57" i="18"/>
  <c r="Z58" i="18"/>
  <c r="Z64" i="18"/>
  <c r="Z81" i="18"/>
  <c r="Z60" i="18"/>
  <c r="Z82" i="18"/>
  <c r="AB12" i="18"/>
  <c r="AB15" i="18"/>
  <c r="AB125" i="18" s="1"/>
  <c r="AB13" i="18"/>
  <c r="AB10" i="18"/>
  <c r="AB16" i="18"/>
  <c r="AB133" i="18" s="1"/>
  <c r="AB134" i="18" s="1"/>
  <c r="AB7" i="18"/>
  <c r="AB6" i="18"/>
  <c r="AB40" i="18"/>
  <c r="AA87" i="18"/>
  <c r="AA88" i="18"/>
  <c r="AA42" i="18"/>
  <c r="Z77" i="18"/>
  <c r="Z75" i="18"/>
  <c r="Z76" i="18"/>
  <c r="Z74" i="18"/>
  <c r="AB171" i="18"/>
  <c r="AB179" i="18" s="1"/>
  <c r="Y173" i="18"/>
  <c r="Y180" i="18" s="1"/>
  <c r="Y174" i="18"/>
  <c r="N34" i="11"/>
  <c r="O33" i="11"/>
  <c r="D25" i="8"/>
  <c r="D23" i="8"/>
  <c r="Z113" i="18" l="1"/>
  <c r="Z114" i="18" s="1"/>
  <c r="Z115" i="18"/>
  <c r="AB95" i="18"/>
  <c r="AB101" i="18" s="1"/>
  <c r="AB52" i="18"/>
  <c r="AB91" i="18" s="1"/>
  <c r="AB106" i="18"/>
  <c r="AA111" i="18"/>
  <c r="AA112" i="18" s="1"/>
  <c r="AA55" i="18"/>
  <c r="AB89" i="18"/>
  <c r="AB130" i="18"/>
  <c r="AB131" i="18"/>
  <c r="AB96" i="18"/>
  <c r="AB102" i="18" s="1"/>
  <c r="AB126" i="18"/>
  <c r="AB107" i="18"/>
  <c r="AB108" i="18"/>
  <c r="Z66" i="18"/>
  <c r="Z175" i="18" s="1"/>
  <c r="AA78" i="18"/>
  <c r="AA80" i="18"/>
  <c r="AA135" i="18" s="1"/>
  <c r="AA51" i="18"/>
  <c r="AA50" i="18"/>
  <c r="AA172" i="18" s="1"/>
  <c r="AA56" i="18"/>
  <c r="AA67" i="18"/>
  <c r="AA57" i="18"/>
  <c r="AA62" i="18"/>
  <c r="AA177" i="18" s="1"/>
  <c r="AA65" i="18"/>
  <c r="AA64" i="18"/>
  <c r="AA82" i="18"/>
  <c r="AA68" i="18"/>
  <c r="AA176" i="18" s="1"/>
  <c r="AA54" i="18"/>
  <c r="AA178" i="18" s="1"/>
  <c r="AA61" i="18"/>
  <c r="AA81" i="18"/>
  <c r="AA60" i="18"/>
  <c r="AA58" i="18"/>
  <c r="AC15" i="18"/>
  <c r="AC13" i="18"/>
  <c r="AF13" i="18" s="1"/>
  <c r="AC12" i="18"/>
  <c r="AC126" i="18" s="1"/>
  <c r="AD126" i="18" s="1"/>
  <c r="AC10" i="18"/>
  <c r="AC16" i="18"/>
  <c r="AC6" i="18"/>
  <c r="AF6" i="18" s="1"/>
  <c r="AC7" i="18"/>
  <c r="AF7" i="18" s="1"/>
  <c r="AC40" i="18"/>
  <c r="AB88" i="18"/>
  <c r="AB87" i="18"/>
  <c r="AB42" i="18"/>
  <c r="AA77" i="18"/>
  <c r="AA75" i="18"/>
  <c r="AA76" i="18"/>
  <c r="AA74" i="18"/>
  <c r="AC171" i="18"/>
  <c r="AC179" i="18" s="1"/>
  <c r="Z173" i="18"/>
  <c r="Z180" i="18" s="1"/>
  <c r="Z174" i="18"/>
  <c r="N35" i="11"/>
  <c r="O34" i="11"/>
  <c r="D35" i="8"/>
  <c r="E5" i="8"/>
  <c r="E18" i="8" s="1"/>
  <c r="D18" i="8"/>
  <c r="D19" i="8"/>
  <c r="D21" i="8"/>
  <c r="D20" i="8"/>
  <c r="AA113" i="18" l="1"/>
  <c r="AA114" i="18" s="1"/>
  <c r="AA115" i="18"/>
  <c r="AC95" i="18"/>
  <c r="AC101" i="18" s="1"/>
  <c r="AD101" i="18" s="1"/>
  <c r="AC52" i="18"/>
  <c r="AC106" i="18"/>
  <c r="AD179" i="18"/>
  <c r="AF179" i="18" s="1"/>
  <c r="AB111" i="18"/>
  <c r="AB112" i="18" s="1"/>
  <c r="AB55" i="18"/>
  <c r="AF16" i="18"/>
  <c r="AC133" i="18"/>
  <c r="AC131" i="18"/>
  <c r="AD131" i="18" s="1"/>
  <c r="AC130" i="18"/>
  <c r="AD130" i="18" s="1"/>
  <c r="AF15" i="18"/>
  <c r="AC125" i="18"/>
  <c r="AD125" i="18" s="1"/>
  <c r="AC89" i="18"/>
  <c r="AD89" i="18" s="1"/>
  <c r="AF10" i="18"/>
  <c r="AD106" i="18"/>
  <c r="AF12" i="18"/>
  <c r="AC96" i="18"/>
  <c r="AF40" i="18"/>
  <c r="AC107" i="18"/>
  <c r="AD107" i="18" s="1"/>
  <c r="AC108" i="18"/>
  <c r="AD108" i="18" s="1"/>
  <c r="AA66" i="18"/>
  <c r="AA175" i="18" s="1"/>
  <c r="AB78" i="18"/>
  <c r="AB80" i="18"/>
  <c r="AB135" i="18" s="1"/>
  <c r="AB50" i="18"/>
  <c r="AB172" i="18" s="1"/>
  <c r="AB51" i="18"/>
  <c r="AB60" i="18"/>
  <c r="AB68" i="18"/>
  <c r="AB176" i="18" s="1"/>
  <c r="AB54" i="18"/>
  <c r="AB178" i="18" s="1"/>
  <c r="AB62" i="18"/>
  <c r="AB177" i="18" s="1"/>
  <c r="AB65" i="18"/>
  <c r="AB81" i="18"/>
  <c r="AB56" i="18"/>
  <c r="AB57" i="18"/>
  <c r="AB58" i="18"/>
  <c r="AB61" i="18"/>
  <c r="AB82" i="18"/>
  <c r="AB64" i="18"/>
  <c r="AB67" i="18"/>
  <c r="AD15" i="18"/>
  <c r="AD13" i="18"/>
  <c r="T155" i="18"/>
  <c r="AD12" i="18"/>
  <c r="AD10" i="18"/>
  <c r="AD16" i="18"/>
  <c r="AD7" i="18"/>
  <c r="AD6" i="18"/>
  <c r="AC88" i="18"/>
  <c r="AD88" i="18" s="1"/>
  <c r="AC87" i="18"/>
  <c r="AD87" i="18" s="1"/>
  <c r="AD40" i="18"/>
  <c r="AC42" i="18"/>
  <c r="AB77" i="18"/>
  <c r="AB75" i="18"/>
  <c r="AB76" i="18"/>
  <c r="AB74" i="18"/>
  <c r="AD171" i="18"/>
  <c r="AF171" i="18" s="1"/>
  <c r="AA173" i="18"/>
  <c r="AA180" i="18" s="1"/>
  <c r="AA174" i="18"/>
  <c r="N36" i="11"/>
  <c r="O35" i="11"/>
  <c r="F5" i="8"/>
  <c r="G5" i="8" s="1"/>
  <c r="H5" i="8" s="1"/>
  <c r="I5" i="8" s="1"/>
  <c r="AD95" i="18" l="1"/>
  <c r="AB113" i="18"/>
  <c r="AB114" i="18" s="1"/>
  <c r="AB115" i="18"/>
  <c r="AC91" i="18"/>
  <c r="AD91" i="18" s="1"/>
  <c r="AD52" i="18"/>
  <c r="AF52" i="18"/>
  <c r="AD96" i="18"/>
  <c r="AC102" i="18"/>
  <c r="AD102" i="18" s="1"/>
  <c r="AC111" i="18"/>
  <c r="AC112" i="18" s="1"/>
  <c r="AC55" i="18"/>
  <c r="AD133" i="18"/>
  <c r="AC134" i="18"/>
  <c r="AD134" i="18" s="1"/>
  <c r="AF42" i="18"/>
  <c r="U155" i="18"/>
  <c r="U156" i="18" s="1"/>
  <c r="AB66" i="18"/>
  <c r="AB175" i="18" s="1"/>
  <c r="AC78" i="18"/>
  <c r="AC80" i="18"/>
  <c r="AC50" i="18"/>
  <c r="AC172" i="18" s="1"/>
  <c r="AD172" i="18" s="1"/>
  <c r="AF172" i="18" s="1"/>
  <c r="AC51" i="18"/>
  <c r="AC60" i="18"/>
  <c r="AC65" i="18"/>
  <c r="AC54" i="18"/>
  <c r="AC62" i="18"/>
  <c r="AC58" i="18"/>
  <c r="AC81" i="18"/>
  <c r="AC57" i="18"/>
  <c r="AF57" i="18" s="1"/>
  <c r="AC56" i="18"/>
  <c r="AC67" i="18"/>
  <c r="AC82" i="18"/>
  <c r="AC61" i="18"/>
  <c r="AC68" i="18"/>
  <c r="AC64" i="18"/>
  <c r="T156" i="18"/>
  <c r="Q187" i="18" s="1"/>
  <c r="AC77" i="18"/>
  <c r="AC75" i="18"/>
  <c r="AD42" i="18"/>
  <c r="AC76" i="18"/>
  <c r="AC74" i="18"/>
  <c r="AB173" i="18"/>
  <c r="AB180" i="18" s="1"/>
  <c r="AB174" i="18"/>
  <c r="N37" i="11"/>
  <c r="O36" i="11"/>
  <c r="F18" i="8"/>
  <c r="G18" i="8"/>
  <c r="AC113" i="18" l="1"/>
  <c r="AC114" i="18" s="1"/>
  <c r="AC115" i="18"/>
  <c r="AF54" i="18"/>
  <c r="AC178" i="18"/>
  <c r="AF55" i="18"/>
  <c r="AD55" i="18"/>
  <c r="AF80" i="18"/>
  <c r="AC135" i="18"/>
  <c r="AD135" i="18" s="1"/>
  <c r="AD111" i="18"/>
  <c r="S155" i="18"/>
  <c r="S156" i="18"/>
  <c r="AD81" i="18"/>
  <c r="AF81" i="18"/>
  <c r="AD51" i="18"/>
  <c r="AF51" i="18"/>
  <c r="T152" i="18"/>
  <c r="AF67" i="18"/>
  <c r="AC176" i="18"/>
  <c r="AD176" i="18" s="1"/>
  <c r="AF176" i="18" s="1"/>
  <c r="AF68" i="18"/>
  <c r="AD50" i="18"/>
  <c r="AF50" i="18"/>
  <c r="AD65" i="18"/>
  <c r="AF65" i="18"/>
  <c r="T146" i="18"/>
  <c r="AF64" i="18"/>
  <c r="T145" i="18"/>
  <c r="AF58" i="18"/>
  <c r="AC177" i="18"/>
  <c r="AD177" i="18" s="1"/>
  <c r="AF177" i="18" s="1"/>
  <c r="AF62" i="18"/>
  <c r="AD61" i="18"/>
  <c r="AF61" i="18"/>
  <c r="T143" i="18"/>
  <c r="Q186" i="18" s="1"/>
  <c r="AF56" i="18"/>
  <c r="T148" i="18"/>
  <c r="AF60" i="18"/>
  <c r="AD82" i="18"/>
  <c r="AF82" i="18"/>
  <c r="T168" i="18"/>
  <c r="Q188" i="18" s="1"/>
  <c r="AF78" i="18"/>
  <c r="T166" i="18"/>
  <c r="AF77" i="18"/>
  <c r="T165" i="18"/>
  <c r="AF76" i="18"/>
  <c r="T163" i="18"/>
  <c r="AF74" i="18"/>
  <c r="T164" i="18"/>
  <c r="AF75" i="18"/>
  <c r="AD67" i="18"/>
  <c r="T149" i="18"/>
  <c r="AD56" i="18"/>
  <c r="AD58" i="18"/>
  <c r="U145" i="18" s="1"/>
  <c r="AD60" i="18"/>
  <c r="T150" i="18"/>
  <c r="Q185" i="18" s="1"/>
  <c r="AD78" i="18"/>
  <c r="AD64" i="18"/>
  <c r="T153" i="18"/>
  <c r="AC66" i="18"/>
  <c r="AD62" i="18"/>
  <c r="AD68" i="18"/>
  <c r="AD80" i="18"/>
  <c r="AD76" i="18"/>
  <c r="AD75" i="18"/>
  <c r="AD74" i="18"/>
  <c r="AD77" i="18"/>
  <c r="T142" i="18"/>
  <c r="Q189" i="18" s="1"/>
  <c r="Q190" i="18" s="1"/>
  <c r="AD54" i="18"/>
  <c r="AC173" i="18"/>
  <c r="AC180" i="18" s="1"/>
  <c r="AD180" i="18" s="1"/>
  <c r="AD57" i="18"/>
  <c r="U144" i="18" s="1"/>
  <c r="AC174" i="18"/>
  <c r="T144" i="18"/>
  <c r="N38" i="11"/>
  <c r="O37" i="11"/>
  <c r="H18" i="8"/>
  <c r="M187" i="18" l="1"/>
  <c r="P187" i="18"/>
  <c r="AD178" i="18"/>
  <c r="AF178" i="18" s="1"/>
  <c r="U142" i="18"/>
  <c r="S142" i="18" s="1"/>
  <c r="AD112" i="18"/>
  <c r="U153" i="18"/>
  <c r="S153" i="18" s="1"/>
  <c r="U143" i="18"/>
  <c r="S143" i="18" s="1"/>
  <c r="U152" i="18"/>
  <c r="S152" i="18" s="1"/>
  <c r="U148" i="18"/>
  <c r="S148" i="18" s="1"/>
  <c r="U150" i="18"/>
  <c r="S150" i="18" s="1"/>
  <c r="P185" i="18" s="1"/>
  <c r="U168" i="18"/>
  <c r="S168" i="18" s="1"/>
  <c r="P188" i="18" s="1"/>
  <c r="U165" i="18"/>
  <c r="S165" i="18" s="1"/>
  <c r="AD66" i="18"/>
  <c r="AF66" i="18"/>
  <c r="U146" i="18"/>
  <c r="S146" i="18" s="1"/>
  <c r="S145" i="18"/>
  <c r="U149" i="18"/>
  <c r="S149" i="18" s="1"/>
  <c r="U163" i="18"/>
  <c r="S163" i="18" s="1"/>
  <c r="AC175" i="18"/>
  <c r="AD175" i="18" s="1"/>
  <c r="AF175" i="18" s="1"/>
  <c r="U166" i="18"/>
  <c r="S166" i="18" s="1"/>
  <c r="U164" i="18"/>
  <c r="S164" i="18" s="1"/>
  <c r="AD174" i="18"/>
  <c r="AF174" i="18" s="1"/>
  <c r="AD173" i="18"/>
  <c r="AF173" i="18" s="1"/>
  <c r="AF180" i="18" s="1"/>
  <c r="S144" i="18"/>
  <c r="N39" i="11"/>
  <c r="O38" i="11"/>
  <c r="I18" i="8"/>
  <c r="M186" i="18" l="1"/>
  <c r="P186" i="18"/>
  <c r="P189" i="18"/>
  <c r="P190" i="18" s="1"/>
  <c r="M188" i="18"/>
  <c r="M185" i="18"/>
  <c r="AD114" i="18"/>
  <c r="AD113" i="18"/>
  <c r="N40" i="11"/>
  <c r="O39" i="11"/>
  <c r="N41" i="11" l="1"/>
  <c r="O40" i="11"/>
  <c r="N42" i="11" l="1"/>
  <c r="O41" i="11"/>
</calcChain>
</file>

<file path=xl/comments1.xml><?xml version="1.0" encoding="utf-8"?>
<comments xmlns="http://schemas.openxmlformats.org/spreadsheetml/2006/main">
  <authors>
    <author>Author</author>
  </authors>
  <commentList>
    <comment ref="B135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B17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18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<sst xmlns="http://schemas.openxmlformats.org/spreadsheetml/2006/main" count="649" uniqueCount="457">
  <si>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</si>
  <si>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</si>
  <si>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</si>
  <si>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</si>
  <si>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</si>
  <si>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</si>
  <si>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</si>
  <si>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</si>
  <si>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</si>
  <si>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</si>
  <si>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</si>
  <si>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</si>
  <si>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</si>
  <si>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</si>
  <si>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</si>
  <si>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</si>
  <si>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</si>
  <si>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</si>
  <si>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</si>
  <si>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</si>
  <si>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</si>
  <si>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</si>
  <si>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</si>
  <si>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</si>
  <si>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</si>
  <si>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</si>
  <si>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</si>
  <si>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</si>
  <si>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</si>
  <si>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</si>
  <si>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</si>
  <si>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</si>
  <si>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</si>
  <si>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</si>
  <si>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</si>
  <si>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</si>
  <si>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</si>
  <si>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</si>
  <si>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</si>
  <si>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</si>
  <si>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</si>
  <si>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</si>
  <si>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</si>
  <si>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</si>
  <si>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</si>
  <si>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</si>
  <si>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</si>
  <si>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</si>
  <si>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</si>
  <si>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</si>
  <si>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</si>
  <si>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</si>
  <si>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</si>
  <si>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</si>
  <si>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</si>
  <si>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</si>
  <si>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</si>
  <si>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</si>
  <si>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</si>
  <si>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</si>
  <si>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</si>
  <si>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</si>
  <si>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</si>
  <si>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</si>
  <si>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</si>
  <si>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</si>
  <si>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</si>
  <si>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</si>
  <si>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</si>
  <si>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</si>
  <si>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</si>
  <si>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</si>
  <si>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</si>
  <si>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</si>
  <si>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</si>
  <si>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</si>
  <si>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</si>
  <si>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</si>
  <si>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</si>
  <si>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</si>
  <si>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</si>
  <si>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</si>
  <si>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</si>
  <si>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</si>
  <si>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</si>
  <si>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</si>
  <si>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</si>
  <si>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</si>
  <si>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</si>
  <si>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</si>
  <si>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</si>
  <si>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</si>
  <si>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</si>
  <si>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</si>
  <si>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</si>
  <si>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</si>
  <si>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</si>
  <si>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</si>
  <si>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</si>
  <si>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</si>
  <si>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</si>
  <si>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</si>
  <si>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</si>
  <si>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</si>
  <si>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</si>
  <si>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</si>
  <si>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</si>
  <si>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</si>
  <si>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</si>
  <si>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</si>
  <si>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</si>
  <si>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</si>
  <si>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</si>
  <si>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</si>
  <si>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</si>
  <si>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</si>
  <si>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</si>
  <si>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</si>
  <si>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</si>
  <si>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</si>
  <si>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</si>
  <si>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</si>
  <si>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</si>
  <si>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</si>
  <si>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</si>
  <si>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</si>
  <si>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</si>
  <si>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</si>
  <si>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</si>
  <si>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</si>
  <si>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</si>
  <si>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</si>
  <si>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</si>
  <si>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</si>
  <si>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</si>
  <si>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</si>
  <si>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</si>
  <si>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</si>
  <si>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</si>
  <si>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</si>
  <si>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</si>
  <si>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</si>
  <si>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</si>
  <si>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</si>
  <si>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</si>
  <si>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</si>
  <si>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</si>
  <si>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</si>
  <si>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</si>
  <si>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</si>
  <si>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</si>
  <si>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</si>
  <si>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</si>
  <si>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</si>
  <si>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</si>
  <si>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</si>
  <si>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</si>
  <si>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</si>
  <si>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</si>
  <si>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</si>
  <si>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</si>
  <si>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</si>
  <si>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</si>
  <si>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</si>
  <si>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</si>
  <si>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</si>
  <si>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</si>
  <si>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</si>
  <si>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</si>
  <si>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</si>
  <si>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</si>
  <si>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</si>
  <si>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</si>
  <si>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</si>
  <si>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</si>
  <si>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</si>
  <si>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</si>
  <si>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</si>
  <si>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</si>
  <si>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</si>
  <si>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</si>
  <si>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</si>
  <si>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</si>
  <si>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</si>
  <si>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</si>
  <si>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</si>
  <si>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</si>
  <si>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</si>
  <si>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</si>
  <si>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</si>
  <si>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</si>
  <si>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</si>
  <si>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</si>
  <si>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</si>
  <si>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</si>
  <si>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</si>
  <si>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</si>
  <si>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</si>
  <si>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</si>
  <si>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</si>
  <si>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</si>
  <si>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</si>
  <si>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</si>
  <si>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</si>
  <si>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</si>
  <si>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</si>
  <si>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</si>
  <si>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</si>
  <si>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</si>
  <si>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</si>
  <si>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</si>
  <si>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</si>
  <si>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</si>
  <si>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</si>
  <si>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</si>
  <si>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</si>
  <si>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</si>
  <si>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</si>
  <si>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</si>
  <si>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</si>
  <si>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</si>
  <si>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</si>
  <si>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</si>
  <si>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</si>
  <si>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</si>
  <si>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</si>
  <si>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</si>
  <si>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</si>
  <si>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</si>
  <si>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</si>
  <si>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</si>
  <si>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</si>
  <si>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</si>
  <si>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</si>
  <si>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</si>
  <si>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</si>
  <si>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</si>
  <si>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</si>
  <si>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</si>
  <si>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</si>
  <si>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</si>
  <si>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</si>
  <si>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</si>
  <si>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</si>
  <si>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</si>
  <si>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</si>
  <si>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</si>
  <si>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</si>
  <si>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</si>
  <si>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</si>
  <si>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</si>
  <si>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</si>
  <si>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</si>
  <si>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</si>
  <si>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</si>
  <si>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</si>
  <si>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</si>
  <si>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</si>
  <si>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</si>
  <si>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</si>
  <si>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</si>
  <si>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</si>
  <si>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</si>
  <si>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</si>
  <si>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</si>
  <si>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</si>
  <si>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</si>
  <si>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</si>
  <si>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</si>
  <si>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</si>
  <si>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</si>
  <si>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</si>
  <si>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</si>
  <si>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</si>
  <si>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</si>
  <si>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</si>
  <si>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</si>
  <si>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</si>
  <si>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</si>
  <si>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</si>
  <si>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</si>
  <si>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</si>
  <si>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</si>
  <si>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</si>
  <si>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</si>
  <si>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</si>
  <si>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</si>
  <si>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</si>
  <si>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</si>
  <si>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</si>
  <si>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</si>
  <si>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</si>
  <si>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</si>
  <si>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</si>
  <si>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</si>
  <si>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</si>
  <si>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</si>
  <si>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</si>
  <si>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</si>
  <si>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</si>
  <si>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</si>
  <si>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</si>
  <si>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</si>
  <si>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</si>
  <si>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</si>
  <si>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</si>
  <si>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</si>
  <si>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</si>
  <si>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</si>
  <si>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</si>
  <si>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</si>
  <si>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</si>
  <si>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</si>
  <si>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</si>
  <si>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</si>
  <si>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</si>
  <si>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</si>
  <si>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</si>
  <si>
    <t>Earnings yield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</si>
  <si>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</si>
  <si>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</si>
  <si>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</si>
  <si>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</si>
  <si>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</si>
  <si>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</si>
  <si>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</si>
  <si>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</si>
  <si>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</si>
  <si>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</si>
  <si>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</si>
  <si>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</si>
  <si>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</si>
  <si>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</si>
  <si>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</si>
  <si>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</si>
  <si>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</si>
  <si>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</si>
  <si>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</si>
  <si>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</si>
  <si>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</si>
  <si>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</si>
  <si>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</si>
  <si>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</si>
  <si>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</si>
  <si>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</si>
  <si>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</si>
  <si>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</si>
  <si>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</si>
  <si>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</si>
  <si>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</si>
  <si>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</si>
  <si>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</si>
  <si>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</si>
  <si>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</si>
  <si>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</si>
  <si>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</si>
  <si>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</si>
  <si>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</si>
  <si>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</si>
  <si>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</si>
  <si>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</si>
  <si>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</si>
  <si>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</si>
  <si>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</si>
  <si>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</si>
  <si>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</si>
  <si>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</si>
  <si>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</si>
  <si>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</si>
  <si>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</si>
  <si>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</si>
  <si>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</si>
  <si>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</si>
  <si>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</si>
  <si>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</si>
  <si>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</si>
  <si>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</si>
  <si>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</si>
  <si>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</si>
  <si>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</si>
  <si>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</si>
  <si>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</si>
  <si>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</si>
  <si>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</si>
  <si>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</si>
  <si>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</si>
  <si>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</si>
  <si>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</si>
  <si>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</si>
  <si>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</si>
  <si>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</si>
  <si>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xxxx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</si>
  <si>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</si>
  <si>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</si>
  <si>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</si>
  <si>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</si>
  <si>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</si>
  <si>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</si>
  <si>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</si>
  <si>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</si>
  <si>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</si>
  <si>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</si>
  <si>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</si>
  <si>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</si>
  <si>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</si>
  <si>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</si>
  <si>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</si>
  <si>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</si>
  <si>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</si>
  <si>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</si>
  <si>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</si>
  <si>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</si>
  <si>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</si>
  <si>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</si>
  <si>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</si>
  <si>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</si>
  <si>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</si>
  <si>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</si>
  <si>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</si>
  <si>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</si>
  <si>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</si>
  <si>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</si>
  <si>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</si>
  <si>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</si>
  <si>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</si>
  <si>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</si>
  <si>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</si>
  <si>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</si>
  <si>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</si>
  <si>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</si>
  <si>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</si>
  <si>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</si>
  <si>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</si>
  <si>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</si>
  <si>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</si>
  <si>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</si>
  <si>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</si>
  <si>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</si>
  <si>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</si>
  <si>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</si>
  <si>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</si>
  <si>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</si>
  <si>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</si>
  <si>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</si>
  <si>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</si>
  <si>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</si>
  <si>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PEG</t>
  </si>
  <si>
    <t>Discount/Prem to PEG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</si>
  <si>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</si>
  <si>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</si>
  <si>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</si>
  <si>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</si>
  <si>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</si>
  <si>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</si>
  <si>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</si>
  <si>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10x2</t>
  </si>
  <si>
    <t>2nd highest Expenses Comp. ( Power Fuel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</si>
</sst>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0_);[Red]\(0\)"/>
    <numFmt numFmtId="177" formatCode="0.00_);[Red]\(0.00\)"/>
    <numFmt numFmtId="178" formatCode="#,##0.0_ ;[Red]\-#,##0.0\ "/>
    <numFmt numFmtId="179" formatCode="#,##0.0;[Red]\-#,##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0"/>
      <color theme="5" tint="0.39997558519241921"/>
      <name val="Cambria"/>
      <family val="1"/>
      <scheme val="major"/>
    </font>
    <font>
      <b/>
      <sz val="10"/>
      <color theme="5" tint="0.39997558519241921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18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6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7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8" fontId="4" fillId="5" borderId="1" xfId="0" applyNumberFormat="1" applyFont="1" applyFill="1" applyBorder="1"/>
    <xf numFmtId="179" fontId="4" fillId="5" borderId="1" xfId="0" applyNumberFormat="1" applyFont="1" applyFill="1" applyBorder="1"/>
    <xf numFmtId="0" fontId="15" fillId="5" borderId="0" xfId="0" applyFont="1" applyFill="1"/>
    <xf numFmtId="0" fontId="1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14" fillId="2" borderId="5" xfId="0" applyFont="1" applyFill="1" applyBorder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4" fillId="4" borderId="4" xfId="0" applyFont="1" applyFill="1" applyBorder="1" applyAlignment="1">
      <alignment horizontal="center"/>
    </xf>
    <xf numFmtId="0" fontId="14" fillId="4" borderId="6" xfId="0" applyFont="1" applyFill="1" applyBorder="1" applyAlignment="1">
      <alignment horizontal="center"/>
    </xf>
    <xf numFmtId="175" fontId="16" fillId="5" borderId="1" xfId="2" applyNumberFormat="1" applyFont="1" applyFill="1" applyBorder="1"/>
    <xf numFmtId="9" fontId="17" fillId="5" borderId="1" xfId="1" applyNumberFormat="1" applyFont="1" applyFill="1" applyBorder="1"/>
    <xf numFmtId="9" fontId="17" fillId="5" borderId="1" xfId="1" applyFont="1" applyFill="1" applyBorder="1"/>
    <xf numFmtId="43" fontId="16" fillId="5" borderId="1" xfId="2" applyNumberFormat="1" applyFont="1" applyFill="1" applyBorder="1"/>
    <xf numFmtId="9" fontId="5" fillId="5" borderId="1" xfId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516160"/>
        <c:axId val="97902976"/>
      </c:lineChart>
      <c:catAx>
        <c:axId val="97516160"/>
        <c:scaling>
          <c:orientation val="minMax"/>
        </c:scaling>
        <c:delete val="0"/>
        <c:axPos val="b"/>
        <c:majorTickMark val="out"/>
        <c:minorTickMark val="none"/>
        <c:tickLblPos val="nextTo"/>
        <c:crossAx val="97902976"/>
        <c:crosses val="autoZero"/>
        <c:auto val="1"/>
        <c:lblAlgn val="ctr"/>
        <c:lblOffset val="100"/>
        <c:noMultiLvlLbl val="0"/>
      </c:catAx>
      <c:valAx>
        <c:axId val="97902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75161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455" l="0.70000000000000062" r="0.70000000000000062" t="0.750000000000004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4"/>
  <sheetViews>
    <sheetView zoomScale="80" zoomScaleNormal="80" workbookViewId="0">
      <selection activeCell="C9" sqref="C9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279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5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5</v>
      </c>
      <c r="D8" s="20"/>
      <c r="E8" s="20"/>
      <c r="F8" s="20"/>
      <c r="G8" s="20"/>
    </row>
    <row r="9" spans="2:7" x14ac:dyDescent="0.2">
      <c r="B9" s="20" t="s">
        <v>318</v>
      </c>
      <c r="C9" s="152">
        <f>C8/C7</f>
        <v>0.35714285714285715</v>
      </c>
      <c r="D9" s="20"/>
      <c r="E9" s="20"/>
      <c r="F9" s="20"/>
      <c r="G9" s="20"/>
    </row>
    <row r="10" spans="2:7" x14ac:dyDescent="0.2">
      <c r="B10" s="20" t="s">
        <v>100</v>
      </c>
      <c r="C10" s="110">
        <f>C7/C8</f>
        <v>2.8</v>
      </c>
      <c r="D10" s="20" t="s">
        <v>268</v>
      </c>
      <c r="E10" s="20"/>
      <c r="F10" s="20"/>
      <c r="G10" s="20"/>
    </row>
    <row r="11" spans="2:7" x14ac:dyDescent="0.2">
      <c r="B11" s="20"/>
      <c r="C11" s="20"/>
      <c r="D11" s="20"/>
      <c r="E11" s="20"/>
      <c r="F11" s="20"/>
      <c r="G11" s="20"/>
    </row>
    <row r="12" spans="2:7" x14ac:dyDescent="0.2">
      <c r="B12" s="108" t="s">
        <v>101</v>
      </c>
      <c r="C12" s="20"/>
      <c r="D12" s="20"/>
      <c r="E12" s="20"/>
      <c r="F12" s="20"/>
      <c r="G12" s="20"/>
    </row>
    <row r="13" spans="2:7" x14ac:dyDescent="0.2">
      <c r="B13" s="20" t="s">
        <v>25</v>
      </c>
      <c r="C13" s="130">
        <v>-2.66</v>
      </c>
      <c r="D13" s="20"/>
      <c r="E13" s="20"/>
      <c r="F13" s="20"/>
      <c r="G13" s="20"/>
    </row>
    <row r="14" spans="2:7" x14ac:dyDescent="0.2">
      <c r="B14" s="20" t="s">
        <v>102</v>
      </c>
      <c r="C14" s="130">
        <v>28</v>
      </c>
      <c r="D14" s="20"/>
      <c r="E14" s="20"/>
      <c r="F14" s="20"/>
      <c r="G14" s="20"/>
    </row>
    <row r="15" spans="2:7" x14ac:dyDescent="0.2">
      <c r="B15" s="20" t="s">
        <v>103</v>
      </c>
      <c r="C15" s="130">
        <v>1000</v>
      </c>
      <c r="D15" s="20"/>
      <c r="E15" s="20"/>
      <c r="F15" s="20"/>
      <c r="G15" s="20"/>
    </row>
    <row r="16" spans="2:7" x14ac:dyDescent="0.2">
      <c r="B16" s="20" t="s">
        <v>104</v>
      </c>
      <c r="C16" s="20">
        <f>C15*C13</f>
        <v>-2660</v>
      </c>
      <c r="D16" s="20" t="s">
        <v>268</v>
      </c>
      <c r="E16" s="20"/>
      <c r="F16" s="20"/>
      <c r="G16" s="20"/>
    </row>
    <row r="17" spans="2:7" x14ac:dyDescent="0.2">
      <c r="B17" s="20"/>
      <c r="C17" s="20"/>
      <c r="D17" s="20"/>
      <c r="E17" s="20"/>
      <c r="F17" s="20"/>
      <c r="G17" s="20"/>
    </row>
    <row r="18" spans="2:7" x14ac:dyDescent="0.2">
      <c r="B18" s="108" t="s">
        <v>112</v>
      </c>
      <c r="C18" s="20"/>
      <c r="D18" s="20"/>
      <c r="E18" s="20"/>
      <c r="F18" s="20"/>
      <c r="G18" s="20"/>
    </row>
    <row r="19" spans="2:7" x14ac:dyDescent="0.2">
      <c r="B19" s="20" t="s">
        <v>114</v>
      </c>
      <c r="C19" s="130">
        <f>C4</f>
        <v>5</v>
      </c>
      <c r="D19" s="20"/>
      <c r="E19" s="20"/>
      <c r="F19" s="20"/>
      <c r="G19" s="20"/>
    </row>
    <row r="20" spans="2:7" x14ac:dyDescent="0.2">
      <c r="B20" s="20" t="s">
        <v>115</v>
      </c>
      <c r="C20" s="111">
        <v>0.08</v>
      </c>
      <c r="D20" s="20"/>
      <c r="E20" s="20"/>
      <c r="F20" s="20"/>
      <c r="G20" s="20"/>
    </row>
    <row r="21" spans="2:7" x14ac:dyDescent="0.2">
      <c r="B21" s="20" t="s">
        <v>116</v>
      </c>
      <c r="C21" s="112">
        <f>C19/C20</f>
        <v>62.5</v>
      </c>
      <c r="D21" s="20" t="s">
        <v>268</v>
      </c>
      <c r="E21" s="20"/>
      <c r="F21" s="20"/>
      <c r="G21" s="20"/>
    </row>
    <row r="22" spans="2:7" x14ac:dyDescent="0.2">
      <c r="B22" s="20"/>
      <c r="C22" s="20"/>
      <c r="D22" s="20"/>
      <c r="E22" s="20"/>
      <c r="F22" s="20"/>
      <c r="G22" s="20"/>
    </row>
    <row r="23" spans="2:7" x14ac:dyDescent="0.2">
      <c r="B23" s="108" t="s">
        <v>227</v>
      </c>
      <c r="C23" s="20"/>
      <c r="D23" s="20"/>
      <c r="E23" s="20"/>
      <c r="F23" s="20"/>
      <c r="G23" s="20"/>
    </row>
    <row r="24" spans="2:7" x14ac:dyDescent="0.2">
      <c r="B24" s="20" t="s">
        <v>99</v>
      </c>
      <c r="C24" s="130">
        <v>14</v>
      </c>
      <c r="D24" s="20"/>
      <c r="E24" s="20"/>
      <c r="F24" s="20"/>
      <c r="G24" s="20"/>
    </row>
    <row r="25" spans="2:7" x14ac:dyDescent="0.2">
      <c r="B25" s="20" t="s">
        <v>114</v>
      </c>
      <c r="C25" s="130">
        <v>-2.66</v>
      </c>
      <c r="D25" s="20"/>
      <c r="E25" s="20"/>
      <c r="F25" s="20"/>
      <c r="G25" s="20"/>
    </row>
    <row r="26" spans="2:7" x14ac:dyDescent="0.2">
      <c r="B26" s="20" t="s">
        <v>228</v>
      </c>
      <c r="C26" s="20">
        <f>C24/C25</f>
        <v>-5.2631578947368416</v>
      </c>
      <c r="D26" s="20"/>
      <c r="E26" s="20"/>
      <c r="F26" s="20"/>
      <c r="G26" s="20"/>
    </row>
    <row r="27" spans="2:7" x14ac:dyDescent="0.2">
      <c r="B27" s="20" t="s">
        <v>77</v>
      </c>
      <c r="C27" s="130">
        <v>15</v>
      </c>
      <c r="D27" s="20"/>
      <c r="E27" s="20"/>
      <c r="F27" s="20"/>
      <c r="G27" s="20"/>
    </row>
    <row r="28" spans="2:7" x14ac:dyDescent="0.2">
      <c r="B28" s="20" t="s">
        <v>229</v>
      </c>
      <c r="C28" s="131">
        <v>1</v>
      </c>
      <c r="D28" s="20"/>
      <c r="E28" s="20"/>
      <c r="F28" s="20"/>
      <c r="G28" s="20"/>
    </row>
    <row r="29" spans="2:7" x14ac:dyDescent="0.2">
      <c r="B29" s="20" t="s">
        <v>230</v>
      </c>
      <c r="C29" s="22">
        <v>139.13</v>
      </c>
      <c r="D29" s="20"/>
      <c r="E29" s="20"/>
      <c r="F29" s="20"/>
      <c r="G29" s="20"/>
    </row>
    <row r="30" spans="2:7" x14ac:dyDescent="0.2">
      <c r="B30" s="20" t="s">
        <v>231</v>
      </c>
      <c r="C30" s="132">
        <v>2.5499999999999998E-2</v>
      </c>
      <c r="D30" s="20"/>
      <c r="E30" s="20"/>
      <c r="F30" s="20"/>
      <c r="G30" s="20"/>
    </row>
    <row r="31" spans="2:7" x14ac:dyDescent="0.2">
      <c r="B31" s="20" t="s">
        <v>232</v>
      </c>
      <c r="C31" s="132">
        <v>3.1899999999999998E-2</v>
      </c>
      <c r="D31" s="20"/>
      <c r="E31" s="20"/>
      <c r="F31" s="20"/>
      <c r="G31" s="20"/>
    </row>
    <row r="32" spans="2:7" x14ac:dyDescent="0.2">
      <c r="B32" s="20" t="s">
        <v>233</v>
      </c>
      <c r="C32" s="132"/>
      <c r="D32" s="20"/>
      <c r="E32" s="20"/>
      <c r="F32" s="20"/>
      <c r="G32" s="20"/>
    </row>
    <row r="33" spans="2:7" x14ac:dyDescent="0.2">
      <c r="B33" s="20" t="s">
        <v>267</v>
      </c>
      <c r="C33" s="132">
        <v>3.44E-2</v>
      </c>
      <c r="D33" s="20"/>
      <c r="E33" s="20"/>
      <c r="F33" s="20"/>
      <c r="G33" s="20"/>
    </row>
    <row r="34" spans="2:7" x14ac:dyDescent="0.2">
      <c r="B34" s="20" t="s">
        <v>266</v>
      </c>
      <c r="C34" s="132">
        <v>0.1241</v>
      </c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20"/>
      <c r="C36" s="20"/>
      <c r="D36" s="20"/>
      <c r="E36" s="20"/>
      <c r="F36" s="20"/>
      <c r="G36" s="20"/>
    </row>
    <row r="37" spans="2:7" x14ac:dyDescent="0.2">
      <c r="B37" s="108" t="s">
        <v>187</v>
      </c>
      <c r="C37" s="20"/>
      <c r="D37" s="20"/>
      <c r="E37" s="20"/>
      <c r="F37" s="20"/>
      <c r="G37" s="20"/>
    </row>
    <row r="38" spans="2:7" x14ac:dyDescent="0.2">
      <c r="B38" s="20" t="s">
        <v>215</v>
      </c>
      <c r="C38" s="130">
        <v>3141.2</v>
      </c>
      <c r="D38" s="20"/>
      <c r="E38" s="20"/>
      <c r="F38" s="20"/>
      <c r="G38" s="20"/>
    </row>
    <row r="39" spans="2:7" x14ac:dyDescent="0.2">
      <c r="B39" s="20" t="s">
        <v>216</v>
      </c>
      <c r="C39" s="130">
        <v>3384.26</v>
      </c>
      <c r="D39" s="20"/>
      <c r="E39" s="20"/>
      <c r="F39" s="20"/>
      <c r="G39" s="20"/>
    </row>
    <row r="40" spans="2:7" x14ac:dyDescent="0.2">
      <c r="B40" s="20" t="s">
        <v>34</v>
      </c>
      <c r="C40" s="130">
        <v>92.03</v>
      </c>
      <c r="D40" s="20"/>
      <c r="E40" s="20"/>
      <c r="F40" s="20"/>
      <c r="G40" s="20"/>
    </row>
    <row r="41" spans="2:7" x14ac:dyDescent="0.2">
      <c r="B41" s="20" t="s">
        <v>217</v>
      </c>
      <c r="C41" s="130">
        <v>31.09</v>
      </c>
      <c r="D41" s="20"/>
      <c r="E41" s="20"/>
      <c r="F41" s="20"/>
      <c r="G41" s="20"/>
    </row>
    <row r="42" spans="2:7" x14ac:dyDescent="0.2">
      <c r="B42" s="20" t="s">
        <v>218</v>
      </c>
      <c r="C42" s="130">
        <v>1005.03</v>
      </c>
      <c r="D42" s="20"/>
      <c r="E42" s="20"/>
      <c r="F42" s="20"/>
      <c r="G42" s="20"/>
    </row>
    <row r="43" spans="2:7" x14ac:dyDescent="0.2">
      <c r="B43" s="20"/>
      <c r="C43" s="20"/>
      <c r="D43" s="20"/>
      <c r="E43" s="20"/>
      <c r="F43" s="20"/>
      <c r="G43" s="20"/>
    </row>
    <row r="44" spans="2:7" x14ac:dyDescent="0.2">
      <c r="B44" s="23" t="s">
        <v>212</v>
      </c>
      <c r="C44" s="130">
        <v>281.95</v>
      </c>
      <c r="D44" s="20"/>
      <c r="E44" s="20"/>
      <c r="F44" s="20"/>
      <c r="G44" s="20"/>
    </row>
    <row r="45" spans="2:7" x14ac:dyDescent="0.2">
      <c r="B45" s="20" t="s">
        <v>262</v>
      </c>
      <c r="C45" s="25">
        <f>C44/(C41+C42)</f>
        <v>0.27212098984673594</v>
      </c>
      <c r="D45" s="20" t="s">
        <v>220</v>
      </c>
      <c r="E45" s="20"/>
      <c r="F45" s="20"/>
      <c r="G45" s="20"/>
    </row>
    <row r="46" spans="2:7" x14ac:dyDescent="0.2">
      <c r="B46" s="20" t="s">
        <v>223</v>
      </c>
      <c r="C46" s="25">
        <f>C44/C40</f>
        <v>3.0636748886232748</v>
      </c>
      <c r="D46" s="20" t="s">
        <v>221</v>
      </c>
      <c r="E46" s="20"/>
      <c r="F46" s="20"/>
      <c r="G46" s="20"/>
    </row>
    <row r="47" spans="2:7" x14ac:dyDescent="0.2">
      <c r="B47" s="20"/>
      <c r="C47" s="25"/>
      <c r="D47" s="20"/>
      <c r="E47" s="20"/>
      <c r="F47" s="20"/>
      <c r="G47" s="20"/>
    </row>
    <row r="48" spans="2:7" x14ac:dyDescent="0.2">
      <c r="B48" s="23" t="s">
        <v>213</v>
      </c>
      <c r="C48" s="130">
        <v>171.6</v>
      </c>
      <c r="D48" s="20"/>
      <c r="E48" s="20"/>
      <c r="F48" s="20"/>
      <c r="G48" s="20"/>
    </row>
    <row r="49" spans="2:7" x14ac:dyDescent="0.2">
      <c r="B49" s="20" t="s">
        <v>263</v>
      </c>
      <c r="C49" s="25">
        <f>C48/(C41+C42)</f>
        <v>0.16561788209859862</v>
      </c>
      <c r="D49" s="20" t="s">
        <v>220</v>
      </c>
      <c r="E49" s="20"/>
      <c r="F49" s="20"/>
      <c r="G49" s="20"/>
    </row>
    <row r="50" spans="2:7" x14ac:dyDescent="0.2">
      <c r="B50" s="20" t="s">
        <v>224</v>
      </c>
      <c r="C50" s="25">
        <f>C48/C40</f>
        <v>1.8646093665109202</v>
      </c>
      <c r="D50" s="20" t="s">
        <v>222</v>
      </c>
      <c r="E50" s="20"/>
      <c r="F50" s="20"/>
      <c r="G50" s="20"/>
    </row>
    <row r="51" spans="2:7" x14ac:dyDescent="0.2">
      <c r="B51" s="20"/>
      <c r="C51" s="25"/>
      <c r="D51" s="20"/>
      <c r="E51" s="20"/>
      <c r="F51" s="20"/>
      <c r="G51" s="20"/>
    </row>
    <row r="52" spans="2:7" x14ac:dyDescent="0.2">
      <c r="B52" s="23" t="s">
        <v>214</v>
      </c>
      <c r="C52" s="130">
        <v>110.33</v>
      </c>
      <c r="D52" s="20"/>
      <c r="E52" s="20"/>
      <c r="F52" s="20"/>
      <c r="G52" s="20"/>
    </row>
    <row r="53" spans="2:7" x14ac:dyDescent="0.2">
      <c r="B53" s="20" t="s">
        <v>264</v>
      </c>
      <c r="C53" s="25">
        <f>C52/(C41+C42)</f>
        <v>0.10648380496467591</v>
      </c>
      <c r="D53" s="20" t="s">
        <v>220</v>
      </c>
      <c r="E53" s="20"/>
      <c r="F53" s="20"/>
      <c r="G53" s="20"/>
    </row>
    <row r="54" spans="2:7" x14ac:dyDescent="0.2">
      <c r="B54" s="20" t="s">
        <v>225</v>
      </c>
      <c r="C54" s="25">
        <f>C52/C40</f>
        <v>1.1988482016733673</v>
      </c>
      <c r="D54" s="20" t="s">
        <v>222</v>
      </c>
      <c r="E54" s="20"/>
      <c r="F54" s="20"/>
      <c r="G54" s="20"/>
    </row>
    <row r="55" spans="2:7" x14ac:dyDescent="0.2">
      <c r="B55" s="20"/>
      <c r="C55" s="20"/>
      <c r="D55" s="20"/>
      <c r="E55" s="20"/>
      <c r="F55" s="20"/>
      <c r="G55" s="20"/>
    </row>
    <row r="56" spans="2:7" x14ac:dyDescent="0.2">
      <c r="B56" s="23" t="s">
        <v>219</v>
      </c>
      <c r="C56" s="130">
        <v>1320.99</v>
      </c>
      <c r="D56" s="20"/>
      <c r="E56" s="20"/>
      <c r="F56" s="20"/>
      <c r="G56" s="20"/>
    </row>
    <row r="57" spans="2:7" x14ac:dyDescent="0.2">
      <c r="B57" s="20" t="s">
        <v>265</v>
      </c>
      <c r="C57" s="25">
        <f>C56/(C41+C42)</f>
        <v>1.2749391962320968</v>
      </c>
      <c r="D57" s="20" t="s">
        <v>220</v>
      </c>
      <c r="E57" s="20"/>
      <c r="F57" s="20"/>
      <c r="G57" s="20"/>
    </row>
    <row r="58" spans="2:7" x14ac:dyDescent="0.2">
      <c r="B58" s="20" t="s">
        <v>226</v>
      </c>
      <c r="C58" s="25">
        <f>C56/C40</f>
        <v>14.353906334890796</v>
      </c>
      <c r="D58" s="20" t="s">
        <v>222</v>
      </c>
      <c r="E58" s="20"/>
      <c r="F58" s="20"/>
      <c r="G58" s="20"/>
    </row>
    <row r="59" spans="2:7" x14ac:dyDescent="0.2">
      <c r="B59" s="20"/>
      <c r="C59" s="20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5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  <row r="64" spans="2:7" x14ac:dyDescent="0.2">
      <c r="B64" s="20"/>
      <c r="C64" s="20"/>
      <c r="D64" s="20"/>
      <c r="E64" s="20"/>
      <c r="F64" s="20"/>
      <c r="G64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T222"/>
  <sheetViews>
    <sheetView tabSelected="1" zoomScale="80" zoomScaleNormal="80" workbookViewId="0">
      <pane xSplit="2" ySplit="3" topLeftCell="C4" activePane="bottomRight" state="frozen"/>
      <selection pane="topRight" activeCell="C1" sqref="C1"/>
      <selection pane="bottomLeft" activeCell="A5" sqref="A5"/>
      <selection pane="bottomRight" activeCell="G27" sqref="G27"/>
    </sheetView>
  </sheetViews>
  <sheetFormatPr defaultRowHeight="12.75" x14ac:dyDescent="0.2"/>
  <cols>
    <col min="1" max="1" width="4.7109375" style="104" customWidth="1"/>
    <col min="2" max="2" width="34.5703125" style="104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3.42578125" style="104" bestFit="1" customWidth="1"/>
    <col min="8" max="15" width="10.140625" style="104" bestFit="1" customWidth="1"/>
    <col min="16" max="16" width="10.7109375" style="104" bestFit="1" customWidth="1"/>
    <col min="17" max="17" width="10.7109375" style="104" customWidth="1"/>
    <col min="18" max="18" width="9.42578125" style="104" bestFit="1" customWidth="1"/>
    <col min="19" max="19" width="10.85546875" style="104" bestFit="1" customWidth="1"/>
    <col min="20" max="21" width="9.7109375" style="104" bestFit="1" customWidth="1"/>
    <col min="22" max="28" width="8" style="104" bestFit="1" customWidth="1"/>
    <col min="29" max="29" width="11.28515625" style="104" bestFit="1" customWidth="1"/>
    <col min="30" max="30" width="9.28515625" style="104" bestFit="1" customWidth="1"/>
    <col min="31" max="31" width="9" style="104" customWidth="1"/>
    <col min="32" max="32" width="10.7109375" style="104" customWidth="1"/>
    <col min="33" max="16384" width="9.140625" style="104"/>
  </cols>
  <sheetData>
    <row r="1" spans="2:32" x14ac:dyDescent="0.2">
      <c r="B1" s="123" t="s">
        <v>241</v>
      </c>
      <c r="C1" s="124">
        <v>0.22</v>
      </c>
      <c r="F1" s="104" t="s">
        <v>252</v>
      </c>
      <c r="H1" s="126">
        <v>2004</v>
      </c>
      <c r="J1" s="104" t="s">
        <v>326</v>
      </c>
      <c r="L1" s="164">
        <v>0.05</v>
      </c>
      <c r="N1" s="104" t="s">
        <v>398</v>
      </c>
      <c r="P1" s="164">
        <v>0.05</v>
      </c>
    </row>
    <row r="2" spans="2:32" x14ac:dyDescent="0.2">
      <c r="B2" s="153" t="s">
        <v>314</v>
      </c>
      <c r="C2" s="120"/>
      <c r="F2" s="104" t="s">
        <v>253</v>
      </c>
      <c r="H2" s="126">
        <v>2013</v>
      </c>
      <c r="J2" s="104" t="s">
        <v>327</v>
      </c>
      <c r="L2" s="164">
        <v>0.12</v>
      </c>
      <c r="T2" s="115" t="s">
        <v>11</v>
      </c>
      <c r="U2" s="115" t="s">
        <v>12</v>
      </c>
      <c r="V2" s="115" t="s">
        <v>13</v>
      </c>
      <c r="W2" s="115" t="s">
        <v>14</v>
      </c>
      <c r="X2" s="115" t="s">
        <v>15</v>
      </c>
      <c r="Y2" s="115" t="s">
        <v>234</v>
      </c>
      <c r="Z2" s="115" t="s">
        <v>235</v>
      </c>
      <c r="AA2" s="115" t="s">
        <v>236</v>
      </c>
      <c r="AB2" s="115" t="s">
        <v>237</v>
      </c>
      <c r="AC2" s="115" t="s">
        <v>238</v>
      </c>
      <c r="AE2" s="196" t="s">
        <v>291</v>
      </c>
      <c r="AF2" s="197"/>
    </row>
    <row r="3" spans="2:32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4">
        <v>2014</v>
      </c>
      <c r="R3" s="116" t="s">
        <v>1</v>
      </c>
      <c r="S3" s="116" t="s">
        <v>254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15">
        <v>2024</v>
      </c>
      <c r="AD3" s="136" t="s">
        <v>1</v>
      </c>
      <c r="AE3" s="198" t="s">
        <v>292</v>
      </c>
      <c r="AF3" s="199"/>
    </row>
    <row r="4" spans="2:32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37"/>
      <c r="AE4" s="20"/>
      <c r="AF4" s="20"/>
    </row>
    <row r="5" spans="2:32" x14ac:dyDescent="0.2">
      <c r="B5" s="108" t="s">
        <v>242</v>
      </c>
      <c r="C5" s="20"/>
      <c r="D5" s="20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20"/>
      <c r="S5" s="20"/>
      <c r="T5" s="154"/>
      <c r="U5" s="154"/>
      <c r="V5" s="154"/>
      <c r="W5" s="154"/>
      <c r="X5" s="154"/>
      <c r="Y5" s="154"/>
      <c r="Z5" s="154"/>
      <c r="AA5" s="154"/>
      <c r="AB5" s="154"/>
      <c r="AC5" s="154"/>
      <c r="AD5" s="137"/>
      <c r="AE5" s="20"/>
      <c r="AF5" s="154"/>
    </row>
    <row r="6" spans="2:32" x14ac:dyDescent="0.2">
      <c r="B6" s="20" t="s">
        <v>16</v>
      </c>
      <c r="C6" s="141"/>
      <c r="D6" s="141"/>
      <c r="E6" s="147"/>
      <c r="F6" s="147"/>
      <c r="G6" s="147">
        <v>47</v>
      </c>
      <c r="H6" s="147">
        <v>42</v>
      </c>
      <c r="I6" s="147">
        <v>45</v>
      </c>
      <c r="J6" s="147">
        <v>47</v>
      </c>
      <c r="K6" s="147">
        <v>50</v>
      </c>
      <c r="L6" s="147">
        <v>58</v>
      </c>
      <c r="M6" s="147">
        <v>76</v>
      </c>
      <c r="N6" s="147">
        <v>97</v>
      </c>
      <c r="O6" s="147">
        <v>119</v>
      </c>
      <c r="P6" s="147">
        <v>146</v>
      </c>
      <c r="Q6" s="213">
        <f>P6</f>
        <v>146</v>
      </c>
      <c r="R6" s="118">
        <f>((Q6/G6)^(1/($H$2-$H$1) ))-1</f>
        <v>0.13421398989107014</v>
      </c>
      <c r="S6" s="31">
        <f>$L$2</f>
        <v>0.12</v>
      </c>
      <c r="T6" s="154">
        <f>Q6*(1+$S6)</f>
        <v>163.52000000000001</v>
      </c>
      <c r="U6" s="154">
        <f>T6*(1+$S6)</f>
        <v>183.14240000000004</v>
      </c>
      <c r="V6" s="154">
        <f t="shared" ref="V6:AC6" si="0">U6*(1+$S6)</f>
        <v>205.11948800000008</v>
      </c>
      <c r="W6" s="154">
        <f t="shared" si="0"/>
        <v>229.7338265600001</v>
      </c>
      <c r="X6" s="154">
        <f t="shared" si="0"/>
        <v>257.30188574720012</v>
      </c>
      <c r="Y6" s="154">
        <f t="shared" si="0"/>
        <v>288.17811203686415</v>
      </c>
      <c r="Z6" s="154">
        <f t="shared" si="0"/>
        <v>322.75948548128787</v>
      </c>
      <c r="AA6" s="154">
        <f t="shared" si="0"/>
        <v>361.49062373904246</v>
      </c>
      <c r="AB6" s="154">
        <f t="shared" si="0"/>
        <v>404.86949858772761</v>
      </c>
      <c r="AC6" s="154">
        <f t="shared" si="0"/>
        <v>453.45383841825497</v>
      </c>
      <c r="AD6" s="138">
        <f>((AC6/G6)^(1/($AC$3-$H$1) ))-1</f>
        <v>0.12000964138948</v>
      </c>
      <c r="AE6" s="31">
        <f>$L$1</f>
        <v>0.05</v>
      </c>
      <c r="AF6" s="146">
        <f t="shared" ref="AF6:AF44" si="1">(AC6*(1+AE6))/($C$1-AE6)</f>
        <v>2800.7442961127517</v>
      </c>
    </row>
    <row r="7" spans="2:32" x14ac:dyDescent="0.2">
      <c r="B7" s="20" t="s">
        <v>240</v>
      </c>
      <c r="C7" s="141"/>
      <c r="D7" s="141"/>
      <c r="E7" s="147"/>
      <c r="F7" s="147"/>
      <c r="G7" s="147">
        <v>54</v>
      </c>
      <c r="H7" s="147">
        <v>48</v>
      </c>
      <c r="I7" s="147">
        <v>52</v>
      </c>
      <c r="J7" s="147">
        <v>54</v>
      </c>
      <c r="K7" s="147">
        <v>57</v>
      </c>
      <c r="L7" s="147">
        <v>65</v>
      </c>
      <c r="M7" s="147">
        <v>83</v>
      </c>
      <c r="N7" s="147">
        <v>104</v>
      </c>
      <c r="O7" s="147">
        <v>126</v>
      </c>
      <c r="P7" s="147">
        <v>153</v>
      </c>
      <c r="Q7" s="213">
        <f>P7</f>
        <v>153</v>
      </c>
      <c r="R7" s="118">
        <f>((Q7/G7)^(1/($H$2-$H$1) ))-1</f>
        <v>0.12267821839483783</v>
      </c>
      <c r="S7" s="31">
        <f>$L$2</f>
        <v>0.12</v>
      </c>
      <c r="T7" s="154">
        <f t="shared" ref="T7:T44" si="2">Q7*(1+$S7)</f>
        <v>171.36</v>
      </c>
      <c r="U7" s="154">
        <f t="shared" ref="U7:AC7" si="3">T7*(1+$S7)</f>
        <v>191.92320000000004</v>
      </c>
      <c r="V7" s="154">
        <f t="shared" si="3"/>
        <v>214.95398400000005</v>
      </c>
      <c r="W7" s="154">
        <f t="shared" si="3"/>
        <v>240.74846208000008</v>
      </c>
      <c r="X7" s="154">
        <f t="shared" si="3"/>
        <v>269.63827752960009</v>
      </c>
      <c r="Y7" s="154">
        <f t="shared" si="3"/>
        <v>301.99487083315211</v>
      </c>
      <c r="Z7" s="154">
        <f t="shared" si="3"/>
        <v>338.23425533313036</v>
      </c>
      <c r="AA7" s="154">
        <f t="shared" si="3"/>
        <v>378.82236597310606</v>
      </c>
      <c r="AB7" s="154">
        <f t="shared" si="3"/>
        <v>424.28104988987883</v>
      </c>
      <c r="AC7" s="154">
        <f t="shared" si="3"/>
        <v>475.19477587666432</v>
      </c>
      <c r="AD7" s="138">
        <f>((AC7/G7)^(1/($AC$3-$H$1) ))-1</f>
        <v>0.11486914178282048</v>
      </c>
      <c r="AE7" s="31">
        <f>$L$1</f>
        <v>0.05</v>
      </c>
      <c r="AF7" s="146">
        <f t="shared" si="1"/>
        <v>2935.0265568852801</v>
      </c>
    </row>
    <row r="8" spans="2:32" x14ac:dyDescent="0.2">
      <c r="B8" s="20"/>
      <c r="C8" s="141"/>
      <c r="D8" s="141"/>
      <c r="E8" s="147"/>
      <c r="F8" s="147"/>
      <c r="G8" s="148">
        <f>(G7-F7)/G7</f>
        <v>1</v>
      </c>
      <c r="H8" s="151">
        <f>(H7-G7)/H7</f>
        <v>-0.125</v>
      </c>
      <c r="I8" s="151">
        <f t="shared" ref="I8:Q8" si="4">(I7-H7)/I7</f>
        <v>7.6923076923076927E-2</v>
      </c>
      <c r="J8" s="151">
        <f t="shared" si="4"/>
        <v>3.7037037037037035E-2</v>
      </c>
      <c r="K8" s="151">
        <f t="shared" si="4"/>
        <v>5.2631578947368418E-2</v>
      </c>
      <c r="L8" s="151">
        <f t="shared" si="4"/>
        <v>0.12307692307692308</v>
      </c>
      <c r="M8" s="151">
        <f t="shared" si="4"/>
        <v>0.21686746987951808</v>
      </c>
      <c r="N8" s="151">
        <f t="shared" si="4"/>
        <v>0.20192307692307693</v>
      </c>
      <c r="O8" s="151">
        <f t="shared" si="4"/>
        <v>0.17460317460317459</v>
      </c>
      <c r="P8" s="151">
        <f t="shared" si="4"/>
        <v>0.17647058823529413</v>
      </c>
      <c r="Q8" s="214">
        <f t="shared" si="4"/>
        <v>0</v>
      </c>
      <c r="R8" s="128"/>
      <c r="S8" s="20"/>
      <c r="T8" s="154"/>
      <c r="U8" s="154"/>
      <c r="V8" s="154"/>
      <c r="W8" s="154"/>
      <c r="X8" s="154"/>
      <c r="Y8" s="154"/>
      <c r="Z8" s="154"/>
      <c r="AA8" s="154"/>
      <c r="AB8" s="154"/>
      <c r="AC8" s="154"/>
      <c r="AD8" s="137"/>
      <c r="AE8" s="137"/>
      <c r="AF8" s="146"/>
    </row>
    <row r="9" spans="2:32" x14ac:dyDescent="0.2">
      <c r="B9" s="20" t="s">
        <v>269</v>
      </c>
      <c r="C9" s="141"/>
      <c r="D9" s="141"/>
      <c r="E9" s="147"/>
      <c r="F9" s="147"/>
      <c r="G9" s="147">
        <v>75</v>
      </c>
      <c r="H9" s="147">
        <v>65</v>
      </c>
      <c r="I9" s="147">
        <v>75</v>
      </c>
      <c r="J9" s="147">
        <v>93</v>
      </c>
      <c r="K9" s="147">
        <v>86</v>
      </c>
      <c r="L9" s="147">
        <v>104</v>
      </c>
      <c r="M9" s="147">
        <v>137</v>
      </c>
      <c r="N9" s="147">
        <v>151</v>
      </c>
      <c r="O9" s="147">
        <v>208</v>
      </c>
      <c r="P9" s="147">
        <v>265</v>
      </c>
      <c r="Q9" s="213">
        <f>P9</f>
        <v>265</v>
      </c>
      <c r="R9" s="118">
        <f>((Q9/G9)^(1/($H$2-$H$1) ))-1</f>
        <v>0.15056034377478578</v>
      </c>
      <c r="S9" s="31">
        <f t="shared" ref="S9:S40" si="5">$L$2</f>
        <v>0.12</v>
      </c>
      <c r="T9" s="154">
        <f t="shared" si="2"/>
        <v>296.8</v>
      </c>
      <c r="U9" s="154">
        <f t="shared" ref="U9" si="6">T9*(1+$S9)</f>
        <v>332.41600000000005</v>
      </c>
      <c r="V9" s="154">
        <f t="shared" ref="V9" si="7">U9*(1+$S9)</f>
        <v>372.30592000000007</v>
      </c>
      <c r="W9" s="154">
        <f t="shared" ref="W9" si="8">V9*(1+$S9)</f>
        <v>416.98263040000012</v>
      </c>
      <c r="X9" s="154">
        <f t="shared" ref="X9" si="9">W9*(1+$S9)</f>
        <v>467.0205460480002</v>
      </c>
      <c r="Y9" s="154">
        <f t="shared" ref="Y9" si="10">X9*(1+$S9)</f>
        <v>523.06301157376026</v>
      </c>
      <c r="Z9" s="154">
        <f t="shared" ref="Z9" si="11">Y9*(1+$S9)</f>
        <v>585.83057296261154</v>
      </c>
      <c r="AA9" s="154">
        <f t="shared" ref="AA9" si="12">Z9*(1+$S9)</f>
        <v>656.13024171812503</v>
      </c>
      <c r="AB9" s="154">
        <f t="shared" ref="AB9" si="13">AA9*(1+$S9)</f>
        <v>734.86587072430007</v>
      </c>
      <c r="AC9" s="154">
        <f t="shared" ref="AC9" si="14">AB9*(1+$S9)</f>
        <v>823.04977521121612</v>
      </c>
      <c r="AD9" s="138">
        <f>((AC9/G9)^(1/($AC$3-$H$1) ))-1</f>
        <v>0.1272448033409399</v>
      </c>
      <c r="AE9" s="31">
        <f t="shared" ref="AE9:AE81" si="15">$L$1</f>
        <v>0.05</v>
      </c>
      <c r="AF9" s="146">
        <f t="shared" si="1"/>
        <v>5083.5427292457471</v>
      </c>
    </row>
    <row r="10" spans="2:32" x14ac:dyDescent="0.2">
      <c r="B10" s="20" t="s">
        <v>4</v>
      </c>
      <c r="C10" s="141"/>
      <c r="D10" s="141"/>
      <c r="E10" s="147"/>
      <c r="F10" s="147"/>
      <c r="G10" s="147">
        <v>144</v>
      </c>
      <c r="H10" s="147">
        <v>124</v>
      </c>
      <c r="I10" s="147">
        <v>122</v>
      </c>
      <c r="J10" s="147">
        <v>121</v>
      </c>
      <c r="K10" s="147">
        <v>143</v>
      </c>
      <c r="L10" s="147">
        <v>130</v>
      </c>
      <c r="M10" s="147">
        <v>162</v>
      </c>
      <c r="N10" s="147">
        <v>195</v>
      </c>
      <c r="O10" s="147">
        <v>150</v>
      </c>
      <c r="P10" s="147">
        <v>142</v>
      </c>
      <c r="Q10" s="213">
        <f>P10</f>
        <v>142</v>
      </c>
      <c r="R10" s="118">
        <f>((Q10/G10)^(1/($H$2-$H$1) ))-1</f>
        <v>-1.5528200115536572E-3</v>
      </c>
      <c r="S10" s="31">
        <f t="shared" si="5"/>
        <v>0.12</v>
      </c>
      <c r="T10" s="154">
        <f t="shared" si="2"/>
        <v>159.04000000000002</v>
      </c>
      <c r="U10" s="154">
        <f t="shared" ref="U10:AC10" si="16">T10*(1+$S10)</f>
        <v>178.12480000000005</v>
      </c>
      <c r="V10" s="154">
        <f t="shared" si="16"/>
        <v>199.49977600000008</v>
      </c>
      <c r="W10" s="154">
        <f t="shared" si="16"/>
        <v>223.4397491200001</v>
      </c>
      <c r="X10" s="154">
        <f t="shared" si="16"/>
        <v>250.25251901440015</v>
      </c>
      <c r="Y10" s="154">
        <f t="shared" si="16"/>
        <v>280.28282129612819</v>
      </c>
      <c r="Z10" s="154">
        <f t="shared" si="16"/>
        <v>313.91675985166358</v>
      </c>
      <c r="AA10" s="154">
        <f t="shared" si="16"/>
        <v>351.58677103386327</v>
      </c>
      <c r="AB10" s="154">
        <f t="shared" si="16"/>
        <v>393.77718355792689</v>
      </c>
      <c r="AC10" s="154">
        <f t="shared" si="16"/>
        <v>441.03044558487818</v>
      </c>
      <c r="AD10" s="138">
        <f t="shared" ref="AD10:AD42" si="17">((AC10/G10)^(1/($AC$3-$H$1) ))-1</f>
        <v>5.7560700778969354E-2</v>
      </c>
      <c r="AE10" s="31">
        <f t="shared" si="15"/>
        <v>0.05</v>
      </c>
      <c r="AF10" s="146">
        <f t="shared" si="1"/>
        <v>2724.0115756713071</v>
      </c>
    </row>
    <row r="11" spans="2:32" x14ac:dyDescent="0.2">
      <c r="B11" s="20"/>
      <c r="C11" s="141"/>
      <c r="D11" s="141"/>
      <c r="E11" s="147"/>
      <c r="F11" s="147"/>
      <c r="G11" s="148">
        <f>(G10-F10)/G10</f>
        <v>1</v>
      </c>
      <c r="H11" s="148">
        <f t="shared" ref="H11:Q11" si="18">(H10-G10)/H10</f>
        <v>-0.16129032258064516</v>
      </c>
      <c r="I11" s="148">
        <f t="shared" si="18"/>
        <v>-1.6393442622950821E-2</v>
      </c>
      <c r="J11" s="148">
        <f t="shared" si="18"/>
        <v>-8.2644628099173556E-3</v>
      </c>
      <c r="K11" s="148">
        <f t="shared" si="18"/>
        <v>0.15384615384615385</v>
      </c>
      <c r="L11" s="148">
        <f t="shared" si="18"/>
        <v>-0.1</v>
      </c>
      <c r="M11" s="148">
        <f t="shared" si="18"/>
        <v>0.19753086419753085</v>
      </c>
      <c r="N11" s="148">
        <f t="shared" si="18"/>
        <v>0.16923076923076924</v>
      </c>
      <c r="O11" s="148">
        <f t="shared" si="18"/>
        <v>-0.3</v>
      </c>
      <c r="P11" s="148">
        <f t="shared" si="18"/>
        <v>-5.6338028169014086E-2</v>
      </c>
      <c r="Q11" s="215">
        <f t="shared" si="18"/>
        <v>0</v>
      </c>
      <c r="R11" s="128"/>
      <c r="S11" s="20"/>
      <c r="T11" s="154"/>
      <c r="U11" s="154"/>
      <c r="V11" s="154"/>
      <c r="W11" s="154"/>
      <c r="X11" s="154"/>
      <c r="Y11" s="154"/>
      <c r="Z11" s="154"/>
      <c r="AA11" s="154"/>
      <c r="AB11" s="154"/>
      <c r="AC11" s="154"/>
      <c r="AD11" s="119"/>
      <c r="AE11" s="31">
        <f t="shared" si="15"/>
        <v>0.05</v>
      </c>
      <c r="AF11" s="154"/>
    </row>
    <row r="12" spans="2:32" x14ac:dyDescent="0.2">
      <c r="B12" s="20" t="s">
        <v>2</v>
      </c>
      <c r="C12" s="141"/>
      <c r="D12" s="141"/>
      <c r="E12" s="147"/>
      <c r="F12" s="147"/>
      <c r="G12" s="147">
        <v>83</v>
      </c>
      <c r="H12" s="147">
        <v>3</v>
      </c>
      <c r="I12" s="147">
        <v>5</v>
      </c>
      <c r="J12" s="147">
        <v>6</v>
      </c>
      <c r="K12" s="147">
        <v>11</v>
      </c>
      <c r="L12" s="147">
        <v>11</v>
      </c>
      <c r="M12" s="147">
        <v>15</v>
      </c>
      <c r="N12" s="147">
        <v>15</v>
      </c>
      <c r="O12" s="147">
        <v>22</v>
      </c>
      <c r="P12" s="147">
        <v>26</v>
      </c>
      <c r="Q12" s="213">
        <f>P12</f>
        <v>26</v>
      </c>
      <c r="R12" s="118">
        <f>((Q12/G12)^(1/($H$2-$H$1) ))-1</f>
        <v>-0.12100103898739434</v>
      </c>
      <c r="S12" s="31">
        <f t="shared" si="5"/>
        <v>0.12</v>
      </c>
      <c r="T12" s="154">
        <f t="shared" si="2"/>
        <v>29.120000000000005</v>
      </c>
      <c r="U12" s="154">
        <f t="shared" ref="U12:AC12" si="19">T12*(1+$S12)</f>
        <v>32.61440000000001</v>
      </c>
      <c r="V12" s="154">
        <f t="shared" si="19"/>
        <v>36.528128000000017</v>
      </c>
      <c r="W12" s="154">
        <f t="shared" si="19"/>
        <v>40.911503360000026</v>
      </c>
      <c r="X12" s="154">
        <f t="shared" si="19"/>
        <v>45.820883763200037</v>
      </c>
      <c r="Y12" s="154">
        <f t="shared" si="19"/>
        <v>51.319389814784046</v>
      </c>
      <c r="Z12" s="154">
        <f t="shared" si="19"/>
        <v>57.477716592558139</v>
      </c>
      <c r="AA12" s="154">
        <f t="shared" si="19"/>
        <v>64.37504258366512</v>
      </c>
      <c r="AB12" s="154">
        <f t="shared" si="19"/>
        <v>72.100047693704937</v>
      </c>
      <c r="AC12" s="154">
        <f t="shared" si="19"/>
        <v>80.752053416949536</v>
      </c>
      <c r="AD12" s="138">
        <f t="shared" si="17"/>
        <v>-1.3719188929188775E-3</v>
      </c>
      <c r="AE12" s="31">
        <f t="shared" si="15"/>
        <v>0.05</v>
      </c>
      <c r="AF12" s="146">
        <f t="shared" si="1"/>
        <v>498.76268286939427</v>
      </c>
    </row>
    <row r="13" spans="2:32" x14ac:dyDescent="0.2">
      <c r="B13" s="20" t="s">
        <v>218</v>
      </c>
      <c r="C13" s="141"/>
      <c r="D13" s="141"/>
      <c r="E13" s="147"/>
      <c r="F13" s="147"/>
      <c r="G13" s="147">
        <v>0.96</v>
      </c>
      <c r="H13" s="147">
        <v>0.7</v>
      </c>
      <c r="I13" s="147">
        <v>0.6</v>
      </c>
      <c r="J13" s="147">
        <v>0.6</v>
      </c>
      <c r="K13" s="147">
        <v>0.6</v>
      </c>
      <c r="L13" s="147">
        <v>0.35</v>
      </c>
      <c r="M13" s="147">
        <v>1</v>
      </c>
      <c r="N13" s="147">
        <v>0.9</v>
      </c>
      <c r="O13" s="147">
        <v>5</v>
      </c>
      <c r="P13" s="147">
        <v>8.6999999999999993</v>
      </c>
      <c r="Q13" s="213">
        <f>P13</f>
        <v>8.6999999999999993</v>
      </c>
      <c r="R13" s="118">
        <f>((Q13/G13)^(1/($H$2-$H$1) ))-1</f>
        <v>0.27749994780976706</v>
      </c>
      <c r="S13" s="31">
        <f t="shared" si="5"/>
        <v>0.12</v>
      </c>
      <c r="T13" s="154">
        <f t="shared" si="2"/>
        <v>9.7439999999999998</v>
      </c>
      <c r="U13" s="154">
        <f t="shared" ref="U13:AC13" si="20">T13*(1+$S13)</f>
        <v>10.91328</v>
      </c>
      <c r="V13" s="154">
        <f t="shared" si="20"/>
        <v>12.222873600000002</v>
      </c>
      <c r="W13" s="154">
        <f t="shared" si="20"/>
        <v>13.689618432000003</v>
      </c>
      <c r="X13" s="154">
        <f t="shared" si="20"/>
        <v>15.332372643840005</v>
      </c>
      <c r="Y13" s="154">
        <f t="shared" si="20"/>
        <v>17.172257361100808</v>
      </c>
      <c r="Z13" s="154">
        <f t="shared" si="20"/>
        <v>19.232928244432905</v>
      </c>
      <c r="AA13" s="154">
        <f t="shared" si="20"/>
        <v>21.540879633764856</v>
      </c>
      <c r="AB13" s="154">
        <f t="shared" si="20"/>
        <v>24.125785189816639</v>
      </c>
      <c r="AC13" s="154">
        <f t="shared" si="20"/>
        <v>27.020879412594638</v>
      </c>
      <c r="AD13" s="138">
        <f t="shared" si="17"/>
        <v>0.18160253031345297</v>
      </c>
      <c r="AE13" s="31">
        <f t="shared" si="15"/>
        <v>0.05</v>
      </c>
      <c r="AF13" s="146">
        <f t="shared" si="1"/>
        <v>166.89366696014338</v>
      </c>
    </row>
    <row r="14" spans="2:32" x14ac:dyDescent="0.2">
      <c r="B14" s="20" t="s">
        <v>372</v>
      </c>
      <c r="C14" s="141"/>
      <c r="D14" s="141"/>
      <c r="E14" s="147"/>
      <c r="F14" s="147"/>
      <c r="G14" s="147">
        <v>56</v>
      </c>
      <c r="H14" s="147">
        <v>59</v>
      </c>
      <c r="I14" s="147">
        <v>65</v>
      </c>
      <c r="J14" s="147">
        <v>68</v>
      </c>
      <c r="K14" s="147">
        <v>57</v>
      </c>
      <c r="L14" s="147">
        <v>56</v>
      </c>
      <c r="M14" s="147">
        <v>72</v>
      </c>
      <c r="N14" s="147">
        <v>99</v>
      </c>
      <c r="O14" s="147">
        <v>100</v>
      </c>
      <c r="P14" s="147">
        <v>120</v>
      </c>
      <c r="Q14" s="213">
        <f>P14</f>
        <v>120</v>
      </c>
      <c r="R14" s="118">
        <f>((Q14/G14)^(1/($H$2-$H$1) ))-1</f>
        <v>8.8371157867333183E-2</v>
      </c>
      <c r="S14" s="31">
        <f t="shared" si="5"/>
        <v>0.12</v>
      </c>
      <c r="T14" s="154">
        <f t="shared" si="2"/>
        <v>134.4</v>
      </c>
      <c r="U14" s="154">
        <f t="shared" ref="U14" si="21">T14*(1+$S14)</f>
        <v>150.52800000000002</v>
      </c>
      <c r="V14" s="154">
        <f t="shared" ref="V14" si="22">U14*(1+$S14)</f>
        <v>168.59136000000004</v>
      </c>
      <c r="W14" s="154">
        <f t="shared" ref="W14" si="23">V14*(1+$S14)</f>
        <v>188.82232320000006</v>
      </c>
      <c r="X14" s="154">
        <f t="shared" ref="X14" si="24">W14*(1+$S14)</f>
        <v>211.48100198400007</v>
      </c>
      <c r="Y14" s="154">
        <f t="shared" ref="Y14" si="25">X14*(1+$S14)</f>
        <v>236.8587222220801</v>
      </c>
      <c r="Z14" s="154">
        <f t="shared" ref="Z14" si="26">Y14*(1+$S14)</f>
        <v>265.28176888872974</v>
      </c>
      <c r="AA14" s="154">
        <f t="shared" ref="AA14" si="27">Z14*(1+$S14)</f>
        <v>297.11558115537736</v>
      </c>
      <c r="AB14" s="154">
        <f t="shared" ref="AB14" si="28">AA14*(1+$S14)</f>
        <v>332.76945089402267</v>
      </c>
      <c r="AC14" s="154">
        <f t="shared" ref="AC14" si="29">AB14*(1+$S14)</f>
        <v>372.70178500130544</v>
      </c>
      <c r="AD14" s="138">
        <f t="shared" ref="AD14" si="30">((AC14/G14)^(1/($AC$3-$H$1) ))-1</f>
        <v>9.9407441656464535E-2</v>
      </c>
      <c r="AE14" s="31">
        <f t="shared" si="15"/>
        <v>0.05</v>
      </c>
      <c r="AF14" s="146">
        <f t="shared" ref="AF14" si="31">(AC14*(1+AE14))/($C$1-AE14)</f>
        <v>2301.9816132433575</v>
      </c>
    </row>
    <row r="15" spans="2:32" x14ac:dyDescent="0.2">
      <c r="B15" s="20" t="s">
        <v>19</v>
      </c>
      <c r="C15" s="141"/>
      <c r="D15" s="141"/>
      <c r="E15" s="147"/>
      <c r="F15" s="147"/>
      <c r="G15" s="147">
        <v>83</v>
      </c>
      <c r="H15" s="147">
        <v>90</v>
      </c>
      <c r="I15" s="147">
        <v>106</v>
      </c>
      <c r="J15" s="147">
        <v>130</v>
      </c>
      <c r="K15" s="147">
        <v>130</v>
      </c>
      <c r="L15" s="147">
        <v>144</v>
      </c>
      <c r="M15" s="147">
        <v>184</v>
      </c>
      <c r="N15" s="147">
        <v>238</v>
      </c>
      <c r="O15" s="147">
        <v>263</v>
      </c>
      <c r="P15" s="147">
        <v>321</v>
      </c>
      <c r="Q15" s="213">
        <f>P15</f>
        <v>321</v>
      </c>
      <c r="R15" s="118">
        <f>((Q15/G15)^(1/($H$2-$H$1) ))-1</f>
        <v>0.16216999876288751</v>
      </c>
      <c r="S15" s="31">
        <f t="shared" si="5"/>
        <v>0.12</v>
      </c>
      <c r="T15" s="154">
        <f t="shared" si="2"/>
        <v>359.52000000000004</v>
      </c>
      <c r="U15" s="154">
        <f t="shared" ref="U15:AC15" si="32">T15*(1+$S15)</f>
        <v>402.6624000000001</v>
      </c>
      <c r="V15" s="154">
        <f t="shared" si="32"/>
        <v>450.98188800000014</v>
      </c>
      <c r="W15" s="154">
        <f t="shared" si="32"/>
        <v>505.09971456000022</v>
      </c>
      <c r="X15" s="154">
        <f t="shared" si="32"/>
        <v>565.71168030720025</v>
      </c>
      <c r="Y15" s="154">
        <f t="shared" si="32"/>
        <v>633.59708194406437</v>
      </c>
      <c r="Z15" s="154">
        <f t="shared" si="32"/>
        <v>709.62873177735219</v>
      </c>
      <c r="AA15" s="154">
        <f t="shared" si="32"/>
        <v>794.78417959063449</v>
      </c>
      <c r="AB15" s="154">
        <f t="shared" si="32"/>
        <v>890.15828114151077</v>
      </c>
      <c r="AC15" s="154">
        <f t="shared" si="32"/>
        <v>996.97727487849215</v>
      </c>
      <c r="AD15" s="138">
        <f t="shared" si="17"/>
        <v>0.13234914977369794</v>
      </c>
      <c r="AE15" s="31">
        <f t="shared" si="15"/>
        <v>0.05</v>
      </c>
      <c r="AF15" s="146">
        <f t="shared" si="1"/>
        <v>6157.8008154259815</v>
      </c>
    </row>
    <row r="16" spans="2:32" x14ac:dyDescent="0.2">
      <c r="B16" s="20" t="s">
        <v>23</v>
      </c>
      <c r="C16" s="141"/>
      <c r="D16" s="141"/>
      <c r="E16" s="147"/>
      <c r="F16" s="147"/>
      <c r="G16" s="147">
        <v>25</v>
      </c>
      <c r="H16" s="147">
        <v>30</v>
      </c>
      <c r="I16" s="147">
        <v>37</v>
      </c>
      <c r="J16" s="147">
        <v>51</v>
      </c>
      <c r="K16" s="147">
        <v>61</v>
      </c>
      <c r="L16" s="147">
        <v>63</v>
      </c>
      <c r="M16" s="147">
        <v>89</v>
      </c>
      <c r="N16" s="147">
        <v>121</v>
      </c>
      <c r="O16" s="147">
        <v>77</v>
      </c>
      <c r="P16" s="147">
        <v>77</v>
      </c>
      <c r="Q16" s="213">
        <f>P16</f>
        <v>77</v>
      </c>
      <c r="R16" s="118">
        <f>((Q16/G16)^(1/($H$2-$H$1) ))-1</f>
        <v>0.13313958898294165</v>
      </c>
      <c r="S16" s="31">
        <f t="shared" si="5"/>
        <v>0.12</v>
      </c>
      <c r="T16" s="154">
        <f t="shared" si="2"/>
        <v>86.240000000000009</v>
      </c>
      <c r="U16" s="154">
        <f t="shared" ref="U16:AC16" si="33">T16*(1+$S16)</f>
        <v>96.58880000000002</v>
      </c>
      <c r="V16" s="154">
        <f t="shared" si="33"/>
        <v>108.17945600000003</v>
      </c>
      <c r="W16" s="154">
        <f t="shared" si="33"/>
        <v>121.16099072000004</v>
      </c>
      <c r="X16" s="154">
        <f t="shared" si="33"/>
        <v>135.70030960640005</v>
      </c>
      <c r="Y16" s="154">
        <f t="shared" si="33"/>
        <v>151.98434675916806</v>
      </c>
      <c r="Z16" s="154">
        <f t="shared" si="33"/>
        <v>170.22246837026825</v>
      </c>
      <c r="AA16" s="154">
        <f t="shared" si="33"/>
        <v>190.64916457470045</v>
      </c>
      <c r="AB16" s="154">
        <f t="shared" si="33"/>
        <v>213.52706432366452</v>
      </c>
      <c r="AC16" s="154">
        <f t="shared" si="33"/>
        <v>239.15031204250428</v>
      </c>
      <c r="AD16" s="138">
        <f t="shared" si="17"/>
        <v>0.11953209142686805</v>
      </c>
      <c r="AE16" s="31">
        <f t="shared" si="15"/>
        <v>0.05</v>
      </c>
      <c r="AF16" s="146">
        <f t="shared" si="1"/>
        <v>1477.1048684978207</v>
      </c>
    </row>
    <row r="17" spans="2:32" x14ac:dyDescent="0.2">
      <c r="B17" s="20"/>
      <c r="C17" s="141"/>
      <c r="D17" s="141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213"/>
      <c r="R17" s="128"/>
      <c r="S17" s="20"/>
      <c r="T17" s="154">
        <f t="shared" si="2"/>
        <v>0</v>
      </c>
      <c r="U17" s="154"/>
      <c r="V17" s="154"/>
      <c r="W17" s="154"/>
      <c r="X17" s="154"/>
      <c r="Y17" s="154"/>
      <c r="Z17" s="154"/>
      <c r="AA17" s="154"/>
      <c r="AB17" s="154"/>
      <c r="AC17" s="154"/>
      <c r="AD17" s="139"/>
      <c r="AE17" s="137"/>
      <c r="AF17" s="154"/>
    </row>
    <row r="18" spans="2:32" x14ac:dyDescent="0.2">
      <c r="B18" s="20" t="s">
        <v>277</v>
      </c>
      <c r="C18" s="141"/>
      <c r="D18" s="141"/>
      <c r="E18" s="147"/>
      <c r="F18" s="147"/>
      <c r="G18" s="147">
        <v>156</v>
      </c>
      <c r="H18" s="147">
        <v>142</v>
      </c>
      <c r="I18" s="147">
        <v>135</v>
      </c>
      <c r="J18" s="147">
        <v>123</v>
      </c>
      <c r="K18" s="147">
        <v>137</v>
      </c>
      <c r="L18" s="147">
        <v>131</v>
      </c>
      <c r="M18" s="147">
        <v>131</v>
      </c>
      <c r="N18" s="147">
        <v>174</v>
      </c>
      <c r="O18" s="147">
        <v>191</v>
      </c>
      <c r="P18" s="147">
        <v>200</v>
      </c>
      <c r="Q18" s="213">
        <f>P18</f>
        <v>200</v>
      </c>
      <c r="R18" s="118">
        <f>((Q18/G18)^(1/($H$2-$H$1) ))-1</f>
        <v>2.7991416921363532E-2</v>
      </c>
      <c r="S18" s="31">
        <f t="shared" si="5"/>
        <v>0.12</v>
      </c>
      <c r="T18" s="154">
        <f t="shared" si="2"/>
        <v>224.00000000000003</v>
      </c>
      <c r="U18" s="154">
        <f t="shared" ref="U18:U34" si="34">T18*(1+$S18)</f>
        <v>250.88000000000005</v>
      </c>
      <c r="V18" s="154">
        <f t="shared" ref="V18:V34" si="35">U18*(1+$S18)</f>
        <v>280.98560000000009</v>
      </c>
      <c r="W18" s="154">
        <f t="shared" ref="W18:W34" si="36">V18*(1+$S18)</f>
        <v>314.7038720000001</v>
      </c>
      <c r="X18" s="154">
        <f t="shared" ref="X18:X36" si="37">W18*(1+$S18)</f>
        <v>352.46833664000013</v>
      </c>
      <c r="Y18" s="154">
        <f t="shared" ref="Y18:Y36" si="38">X18*(1+$S18)</f>
        <v>394.76453703680016</v>
      </c>
      <c r="Z18" s="154">
        <f t="shared" ref="Z18:Z36" si="39">Y18*(1+$S18)</f>
        <v>442.1362814812162</v>
      </c>
      <c r="AA18" s="154">
        <f t="shared" ref="AA18:AA36" si="40">Z18*(1+$S18)</f>
        <v>495.19263525896218</v>
      </c>
      <c r="AB18" s="154">
        <f t="shared" ref="AB18:AB36" si="41">AA18*(1+$S18)</f>
        <v>554.61575149003772</v>
      </c>
      <c r="AC18" s="154">
        <f t="shared" ref="AC18:AC36" si="42">AB18*(1+$S18)</f>
        <v>621.16964166884236</v>
      </c>
      <c r="AD18" s="138">
        <f t="shared" si="17"/>
        <v>7.152986814332829E-2</v>
      </c>
      <c r="AE18" s="31">
        <f t="shared" si="15"/>
        <v>0.05</v>
      </c>
      <c r="AF18" s="146">
        <f t="shared" si="1"/>
        <v>3836.6360220722622</v>
      </c>
    </row>
    <row r="19" spans="2:32" x14ac:dyDescent="0.2">
      <c r="B19" s="20"/>
      <c r="C19" s="141"/>
      <c r="D19" s="141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7"/>
      <c r="Q19" s="213"/>
      <c r="R19" s="128"/>
      <c r="S19" s="20"/>
      <c r="T19" s="154">
        <f t="shared" si="2"/>
        <v>0</v>
      </c>
      <c r="U19" s="154"/>
      <c r="V19" s="154"/>
      <c r="W19" s="154"/>
      <c r="X19" s="154"/>
      <c r="Y19" s="154"/>
      <c r="Z19" s="154"/>
      <c r="AA19" s="154"/>
      <c r="AB19" s="154"/>
      <c r="AC19" s="154"/>
      <c r="AD19" s="139"/>
      <c r="AE19" s="137"/>
      <c r="AF19" s="154"/>
    </row>
    <row r="20" spans="2:32" x14ac:dyDescent="0.2">
      <c r="B20" s="20" t="s">
        <v>283</v>
      </c>
      <c r="C20" s="141"/>
      <c r="D20" s="141"/>
      <c r="E20" s="147"/>
      <c r="F20" s="147"/>
      <c r="G20" s="147">
        <v>16</v>
      </c>
      <c r="H20" s="147">
        <v>19</v>
      </c>
      <c r="I20" s="147">
        <v>23</v>
      </c>
      <c r="J20" s="147">
        <v>18</v>
      </c>
      <c r="K20" s="147">
        <v>25</v>
      </c>
      <c r="L20" s="147">
        <v>39</v>
      </c>
      <c r="M20" s="147">
        <v>41</v>
      </c>
      <c r="N20" s="147">
        <v>23</v>
      </c>
      <c r="O20" s="147">
        <v>82</v>
      </c>
      <c r="P20" s="147">
        <v>71</v>
      </c>
      <c r="Q20" s="213">
        <f>P20</f>
        <v>71</v>
      </c>
      <c r="R20" s="118">
        <f>((Q20/G20)^(1/($H$2-$H$1) ))-1</f>
        <v>0.18006047110875079</v>
      </c>
      <c r="S20" s="31">
        <f t="shared" si="5"/>
        <v>0.12</v>
      </c>
      <c r="T20" s="154">
        <f t="shared" si="2"/>
        <v>79.52000000000001</v>
      </c>
      <c r="U20" s="154">
        <f t="shared" ref="U20:U22" si="43">T20*(1+$S20)</f>
        <v>89.062400000000025</v>
      </c>
      <c r="V20" s="154">
        <f t="shared" ref="V20:V22" si="44">U20*(1+$S20)</f>
        <v>99.749888000000041</v>
      </c>
      <c r="W20" s="154">
        <f t="shared" ref="W20:W22" si="45">V20*(1+$S20)</f>
        <v>111.71987456000005</v>
      </c>
      <c r="X20" s="154">
        <f t="shared" ref="X20:X22" si="46">W20*(1+$S20)</f>
        <v>125.12625950720007</v>
      </c>
      <c r="Y20" s="154">
        <f t="shared" ref="Y20:Y22" si="47">X20*(1+$S20)</f>
        <v>140.1414106480641</v>
      </c>
      <c r="Z20" s="154">
        <f t="shared" ref="Z20:Z22" si="48">Y20*(1+$S20)</f>
        <v>156.95837992583179</v>
      </c>
      <c r="AA20" s="154">
        <f t="shared" ref="AA20:AA22" si="49">Z20*(1+$S20)</f>
        <v>175.79338551693164</v>
      </c>
      <c r="AB20" s="154">
        <f t="shared" ref="AB20:AB22" si="50">AA20*(1+$S20)</f>
        <v>196.88859177896344</v>
      </c>
      <c r="AC20" s="154">
        <f t="shared" ref="AC20:AC22" si="51">AB20*(1+$S20)</f>
        <v>220.51522279243909</v>
      </c>
      <c r="AD20" s="138">
        <f t="shared" ref="AD20:AD22" si="52">((AC20/G20)^(1/($AC$3-$H$1) ))-1</f>
        <v>0.14016033857996191</v>
      </c>
      <c r="AE20" s="31">
        <f t="shared" si="15"/>
        <v>0.05</v>
      </c>
      <c r="AF20" s="146">
        <f t="shared" si="1"/>
        <v>1362.0057878356536</v>
      </c>
    </row>
    <row r="21" spans="2:32" x14ac:dyDescent="0.2">
      <c r="B21" s="20" t="s">
        <v>284</v>
      </c>
      <c r="C21" s="141"/>
      <c r="D21" s="141"/>
      <c r="E21" s="147"/>
      <c r="F21" s="147"/>
      <c r="G21" s="147">
        <v>-1</v>
      </c>
      <c r="H21" s="147">
        <v>-0.17</v>
      </c>
      <c r="I21" s="147">
        <v>-5</v>
      </c>
      <c r="J21" s="147">
        <v>-3</v>
      </c>
      <c r="K21" s="147">
        <v>-26</v>
      </c>
      <c r="L21" s="147">
        <v>-7</v>
      </c>
      <c r="M21" s="147">
        <v>-46</v>
      </c>
      <c r="N21" s="147">
        <v>-34</v>
      </c>
      <c r="O21" s="147">
        <v>-39</v>
      </c>
      <c r="P21" s="147">
        <v>-40</v>
      </c>
      <c r="Q21" s="213">
        <f>P21</f>
        <v>-40</v>
      </c>
      <c r="R21" s="118">
        <f>((Q21/G21)^(1/($H$2-$H$1) ))-1</f>
        <v>0.50663019029466749</v>
      </c>
      <c r="S21" s="31">
        <f t="shared" si="5"/>
        <v>0.12</v>
      </c>
      <c r="T21" s="154">
        <f t="shared" si="2"/>
        <v>-44.800000000000004</v>
      </c>
      <c r="U21" s="154">
        <f t="shared" si="43"/>
        <v>-50.176000000000009</v>
      </c>
      <c r="V21" s="154">
        <f t="shared" si="44"/>
        <v>-56.197120000000012</v>
      </c>
      <c r="W21" s="154">
        <f t="shared" si="45"/>
        <v>-62.940774400000016</v>
      </c>
      <c r="X21" s="154">
        <f t="shared" si="46"/>
        <v>-70.493667328000029</v>
      </c>
      <c r="Y21" s="154">
        <f t="shared" si="47"/>
        <v>-78.952907407360044</v>
      </c>
      <c r="Z21" s="154">
        <f t="shared" si="48"/>
        <v>-88.427256296243257</v>
      </c>
      <c r="AA21" s="154">
        <f t="shared" si="49"/>
        <v>-99.038527051792457</v>
      </c>
      <c r="AB21" s="154">
        <f t="shared" si="50"/>
        <v>-110.92315029800756</v>
      </c>
      <c r="AC21" s="154">
        <f t="shared" si="51"/>
        <v>-124.23392833376847</v>
      </c>
      <c r="AD21" s="138">
        <f t="shared" si="52"/>
        <v>0.27265887634627206</v>
      </c>
      <c r="AE21" s="31">
        <f t="shared" si="15"/>
        <v>0.05</v>
      </c>
      <c r="AF21" s="146">
        <f t="shared" si="1"/>
        <v>-767.32720441445247</v>
      </c>
    </row>
    <row r="22" spans="2:32" x14ac:dyDescent="0.2">
      <c r="B22" s="20" t="s">
        <v>285</v>
      </c>
      <c r="C22" s="141"/>
      <c r="D22" s="141"/>
      <c r="E22" s="147"/>
      <c r="F22" s="147"/>
      <c r="G22" s="147">
        <v>-17</v>
      </c>
      <c r="H22" s="147">
        <v>-18</v>
      </c>
      <c r="I22" s="147">
        <v>-17</v>
      </c>
      <c r="J22" s="147">
        <v>-14</v>
      </c>
      <c r="K22" s="147">
        <v>5.3</v>
      </c>
      <c r="L22" s="147">
        <v>-33</v>
      </c>
      <c r="M22" s="147">
        <v>11</v>
      </c>
      <c r="N22" s="147">
        <v>11</v>
      </c>
      <c r="O22" s="147">
        <v>-37</v>
      </c>
      <c r="P22" s="147">
        <v>-28</v>
      </c>
      <c r="Q22" s="213">
        <f>P22</f>
        <v>-28</v>
      </c>
      <c r="R22" s="118">
        <f>((Q22/G22)^(1/($H$2-$H$1) ))-1</f>
        <v>5.7009255147326687E-2</v>
      </c>
      <c r="S22" s="31">
        <f t="shared" si="5"/>
        <v>0.12</v>
      </c>
      <c r="T22" s="154">
        <f t="shared" si="2"/>
        <v>-31.360000000000003</v>
      </c>
      <c r="U22" s="154">
        <f t="shared" si="43"/>
        <v>-35.123200000000004</v>
      </c>
      <c r="V22" s="154">
        <f t="shared" si="44"/>
        <v>-39.337984000000006</v>
      </c>
      <c r="W22" s="154">
        <f t="shared" si="45"/>
        <v>-44.058542080000009</v>
      </c>
      <c r="X22" s="154">
        <f t="shared" si="46"/>
        <v>-49.345567129600013</v>
      </c>
      <c r="Y22" s="154">
        <f t="shared" si="47"/>
        <v>-55.267035185152018</v>
      </c>
      <c r="Z22" s="154">
        <f t="shared" si="48"/>
        <v>-61.899079407370266</v>
      </c>
      <c r="AA22" s="154">
        <f t="shared" si="49"/>
        <v>-69.326968936254701</v>
      </c>
      <c r="AB22" s="154">
        <f t="shared" si="50"/>
        <v>-77.646205208605267</v>
      </c>
      <c r="AC22" s="154">
        <f t="shared" si="51"/>
        <v>-86.963749833637905</v>
      </c>
      <c r="AD22" s="138">
        <f t="shared" si="52"/>
        <v>8.503679727819291E-2</v>
      </c>
      <c r="AE22" s="31">
        <f t="shared" si="15"/>
        <v>0.05</v>
      </c>
      <c r="AF22" s="146">
        <f t="shared" si="1"/>
        <v>-537.12904309011651</v>
      </c>
    </row>
    <row r="23" spans="2:32" x14ac:dyDescent="0.2">
      <c r="B23" s="20" t="s">
        <v>295</v>
      </c>
      <c r="C23" s="141"/>
      <c r="D23" s="141"/>
      <c r="E23" s="147"/>
      <c r="F23" s="147"/>
      <c r="G23" s="147">
        <v>2.2000000000000002</v>
      </c>
      <c r="H23" s="147">
        <v>3</v>
      </c>
      <c r="I23" s="147">
        <v>5</v>
      </c>
      <c r="J23" s="147">
        <v>6</v>
      </c>
      <c r="K23" s="147">
        <v>10</v>
      </c>
      <c r="L23" s="147">
        <v>9</v>
      </c>
      <c r="M23" s="147">
        <v>15</v>
      </c>
      <c r="N23" s="147">
        <v>15</v>
      </c>
      <c r="O23" s="147">
        <v>22</v>
      </c>
      <c r="P23" s="147">
        <v>25</v>
      </c>
      <c r="Q23" s="213">
        <f>P23</f>
        <v>25</v>
      </c>
      <c r="R23" s="118">
        <f>((Q23/G23)^(1/($H$2-$H$1) ))-1</f>
        <v>0.31002536032971362</v>
      </c>
      <c r="S23" s="31">
        <f t="shared" si="5"/>
        <v>0.12</v>
      </c>
      <c r="T23" s="154">
        <f t="shared" si="2"/>
        <v>28.000000000000004</v>
      </c>
      <c r="U23" s="154">
        <f t="shared" ref="U23" si="53">T23*(1+$S23)</f>
        <v>31.360000000000007</v>
      </c>
      <c r="V23" s="154">
        <f t="shared" ref="V23" si="54">U23*(1+$S23)</f>
        <v>35.123200000000011</v>
      </c>
      <c r="W23" s="154">
        <f t="shared" ref="W23" si="55">V23*(1+$S23)</f>
        <v>39.337984000000013</v>
      </c>
      <c r="X23" s="154">
        <f t="shared" ref="X23" si="56">W23*(1+$S23)</f>
        <v>44.058542080000016</v>
      </c>
      <c r="Y23" s="154">
        <f t="shared" ref="Y23" si="57">X23*(1+$S23)</f>
        <v>49.34556712960002</v>
      </c>
      <c r="Z23" s="154">
        <f t="shared" ref="Z23" si="58">Y23*(1+$S23)</f>
        <v>55.267035185152025</v>
      </c>
      <c r="AA23" s="154">
        <f t="shared" ref="AA23" si="59">Z23*(1+$S23)</f>
        <v>61.899079407370273</v>
      </c>
      <c r="AB23" s="154">
        <f t="shared" ref="AB23" si="60">AA23*(1+$S23)</f>
        <v>69.326968936254715</v>
      </c>
      <c r="AC23" s="154">
        <f t="shared" ref="AC23" si="61">AB23*(1+$S23)</f>
        <v>77.646205208605295</v>
      </c>
      <c r="AD23" s="138">
        <f t="shared" ref="AD23" si="62">((AC23/G23)^(1/($AC$3-$H$1) ))-1</f>
        <v>0.19504670210435759</v>
      </c>
      <c r="AE23" s="31">
        <f t="shared" si="15"/>
        <v>0.05</v>
      </c>
      <c r="AF23" s="146">
        <f t="shared" si="1"/>
        <v>479.57950275903278</v>
      </c>
    </row>
    <row r="24" spans="2:32" x14ac:dyDescent="0.2">
      <c r="B24" s="20"/>
      <c r="C24" s="141"/>
      <c r="D24" s="141"/>
      <c r="E24" s="147"/>
      <c r="F24" s="147"/>
      <c r="G24" s="147"/>
      <c r="H24" s="147"/>
      <c r="I24" s="147"/>
      <c r="J24" s="147"/>
      <c r="K24" s="147"/>
      <c r="L24" s="147"/>
      <c r="M24" s="147"/>
      <c r="N24" s="147"/>
      <c r="O24" s="147"/>
      <c r="P24" s="147"/>
      <c r="Q24" s="213"/>
      <c r="R24" s="128"/>
      <c r="S24" s="20"/>
      <c r="T24" s="154">
        <f t="shared" si="2"/>
        <v>0</v>
      </c>
      <c r="U24" s="154"/>
      <c r="V24" s="154"/>
      <c r="W24" s="154"/>
      <c r="X24" s="154"/>
      <c r="Y24" s="154"/>
      <c r="Z24" s="154"/>
      <c r="AA24" s="154"/>
      <c r="AB24" s="154"/>
      <c r="AC24" s="154"/>
      <c r="AD24" s="119"/>
      <c r="AE24" s="137"/>
      <c r="AF24" s="154"/>
    </row>
    <row r="25" spans="2:32" x14ac:dyDescent="0.2">
      <c r="B25" s="20" t="s">
        <v>89</v>
      </c>
      <c r="C25" s="141"/>
      <c r="D25" s="141"/>
      <c r="E25" s="147"/>
      <c r="F25" s="147"/>
      <c r="G25" s="147">
        <v>202</v>
      </c>
      <c r="H25" s="147">
        <v>195</v>
      </c>
      <c r="I25" s="147">
        <v>234</v>
      </c>
      <c r="J25" s="147">
        <v>276</v>
      </c>
      <c r="K25" s="147">
        <v>326</v>
      </c>
      <c r="L25" s="147">
        <v>450</v>
      </c>
      <c r="M25" s="147">
        <v>553</v>
      </c>
      <c r="N25" s="147">
        <v>740</v>
      </c>
      <c r="O25" s="147">
        <v>880</v>
      </c>
      <c r="P25" s="147">
        <v>1072</v>
      </c>
      <c r="Q25" s="213">
        <v>1252</v>
      </c>
      <c r="R25" s="118">
        <f>((Q25/G25)^(1/($H$2-$H$1) ))-1</f>
        <v>0.22469545635141119</v>
      </c>
      <c r="S25" s="31">
        <f t="shared" si="5"/>
        <v>0.12</v>
      </c>
      <c r="T25" s="154">
        <f t="shared" si="2"/>
        <v>1402.2400000000002</v>
      </c>
      <c r="U25" s="154">
        <f t="shared" si="34"/>
        <v>1570.5088000000005</v>
      </c>
      <c r="V25" s="154">
        <f t="shared" si="35"/>
        <v>1758.9698560000008</v>
      </c>
      <c r="W25" s="154">
        <f t="shared" si="36"/>
        <v>1970.0462387200012</v>
      </c>
      <c r="X25" s="154">
        <f t="shared" si="37"/>
        <v>2206.4517873664017</v>
      </c>
      <c r="Y25" s="154">
        <f t="shared" si="38"/>
        <v>2471.2260018503703</v>
      </c>
      <c r="Z25" s="154">
        <f t="shared" si="39"/>
        <v>2767.7731220724149</v>
      </c>
      <c r="AA25" s="154">
        <f t="shared" si="40"/>
        <v>3099.9058967211049</v>
      </c>
      <c r="AB25" s="154">
        <f t="shared" si="41"/>
        <v>3471.8946043276378</v>
      </c>
      <c r="AC25" s="154">
        <f t="shared" si="42"/>
        <v>3888.5219568469547</v>
      </c>
      <c r="AD25" s="138">
        <f t="shared" si="17"/>
        <v>0.15936893480674508</v>
      </c>
      <c r="AE25" s="31">
        <f t="shared" si="15"/>
        <v>0.05</v>
      </c>
      <c r="AF25" s="146">
        <f t="shared" si="1"/>
        <v>24017.341498172373</v>
      </c>
    </row>
    <row r="26" spans="2:32" s="123" customFormat="1" x14ac:dyDescent="0.2">
      <c r="B26" s="23"/>
      <c r="C26" s="149"/>
      <c r="D26" s="149"/>
      <c r="E26" s="150"/>
      <c r="F26" s="150"/>
      <c r="G26" s="148">
        <f>(G25-F25)/G25</f>
        <v>1</v>
      </c>
      <c r="H26" s="148">
        <f>(H25-G25)/H25</f>
        <v>-3.5897435897435895E-2</v>
      </c>
      <c r="I26" s="148">
        <f t="shared" ref="I26" si="63">(I25-H25)/I25</f>
        <v>0.16666666666666666</v>
      </c>
      <c r="J26" s="148">
        <f t="shared" ref="J26" si="64">(J25-I25)/J25</f>
        <v>0.15217391304347827</v>
      </c>
      <c r="K26" s="148">
        <f t="shared" ref="K26" si="65">(K25-J25)/K25</f>
        <v>0.15337423312883436</v>
      </c>
      <c r="L26" s="148">
        <f t="shared" ref="L26" si="66">(L25-K25)/L25</f>
        <v>0.27555555555555555</v>
      </c>
      <c r="M26" s="148">
        <f t="shared" ref="M26" si="67">(M25-L25)/M25</f>
        <v>0.18625678119349007</v>
      </c>
      <c r="N26" s="148">
        <f t="shared" ref="N26" si="68">(N25-M25)/N25</f>
        <v>0.25270270270270268</v>
      </c>
      <c r="O26" s="148">
        <f t="shared" ref="O26" si="69">(O25-N25)/O25</f>
        <v>0.15909090909090909</v>
      </c>
      <c r="P26" s="148">
        <f t="shared" ref="P26:Q26" si="70">(P25-O25)/P25</f>
        <v>0.17910447761194029</v>
      </c>
      <c r="Q26" s="215">
        <f t="shared" si="70"/>
        <v>0.14376996805111822</v>
      </c>
      <c r="R26" s="128"/>
      <c r="S26" s="20"/>
      <c r="T26" s="154"/>
      <c r="U26" s="155"/>
      <c r="V26" s="155"/>
      <c r="W26" s="155"/>
      <c r="X26" s="155"/>
      <c r="Y26" s="155"/>
      <c r="Z26" s="155"/>
      <c r="AA26" s="155"/>
      <c r="AB26" s="155"/>
      <c r="AC26" s="155"/>
      <c r="AD26" s="119"/>
      <c r="AE26" s="137"/>
      <c r="AF26" s="154"/>
    </row>
    <row r="27" spans="2:32" x14ac:dyDescent="0.2">
      <c r="B27" s="20" t="s">
        <v>261</v>
      </c>
      <c r="C27" s="141"/>
      <c r="D27" s="141"/>
      <c r="E27" s="147"/>
      <c r="F27" s="147"/>
      <c r="G27" s="147">
        <v>172</v>
      </c>
      <c r="H27" s="147">
        <v>173</v>
      </c>
      <c r="I27" s="147">
        <v>205</v>
      </c>
      <c r="J27" s="147">
        <v>246</v>
      </c>
      <c r="K27" s="147">
        <v>288</v>
      </c>
      <c r="L27" s="147">
        <v>405</v>
      </c>
      <c r="M27" s="147">
        <v>494</v>
      </c>
      <c r="N27" s="147">
        <v>671</v>
      </c>
      <c r="O27" s="147">
        <v>805</v>
      </c>
      <c r="P27" s="147">
        <v>984</v>
      </c>
      <c r="Q27" s="213">
        <f>P27</f>
        <v>984</v>
      </c>
      <c r="R27" s="118">
        <f>((Q27/G27)^(1/($H$2-$H$1) ))-1</f>
        <v>0.21384423848381862</v>
      </c>
      <c r="S27" s="31">
        <f t="shared" si="5"/>
        <v>0.12</v>
      </c>
      <c r="T27" s="154">
        <f t="shared" si="2"/>
        <v>1102.0800000000002</v>
      </c>
      <c r="U27" s="154">
        <f t="shared" si="34"/>
        <v>1234.3296000000003</v>
      </c>
      <c r="V27" s="154">
        <f t="shared" si="35"/>
        <v>1382.4491520000004</v>
      </c>
      <c r="W27" s="154">
        <f t="shared" si="36"/>
        <v>1548.3430502400006</v>
      </c>
      <c r="X27" s="154">
        <f t="shared" si="37"/>
        <v>1734.1442162688008</v>
      </c>
      <c r="Y27" s="154">
        <f t="shared" si="38"/>
        <v>1942.241522221057</v>
      </c>
      <c r="Z27" s="154">
        <f t="shared" si="39"/>
        <v>2175.3105048875841</v>
      </c>
      <c r="AA27" s="154">
        <f t="shared" si="40"/>
        <v>2436.3477654740946</v>
      </c>
      <c r="AB27" s="154">
        <f t="shared" si="41"/>
        <v>2728.7094973309863</v>
      </c>
      <c r="AC27" s="154">
        <f t="shared" si="42"/>
        <v>3056.1546370107048</v>
      </c>
      <c r="AD27" s="138">
        <f t="shared" si="17"/>
        <v>0.15473503839017022</v>
      </c>
      <c r="AE27" s="31">
        <f t="shared" si="15"/>
        <v>0.05</v>
      </c>
      <c r="AF27" s="146">
        <f t="shared" si="1"/>
        <v>18876.24922859553</v>
      </c>
    </row>
    <row r="28" spans="2:32" s="123" customFormat="1" x14ac:dyDescent="0.2">
      <c r="B28" s="23"/>
      <c r="C28" s="149"/>
      <c r="D28" s="149"/>
      <c r="E28" s="150"/>
      <c r="F28" s="150"/>
      <c r="G28" s="148">
        <f t="shared" ref="G28:M28" si="71">(G27-F27)/G27</f>
        <v>1</v>
      </c>
      <c r="H28" s="148">
        <f t="shared" si="71"/>
        <v>5.7803468208092483E-3</v>
      </c>
      <c r="I28" s="148">
        <f t="shared" si="71"/>
        <v>0.15609756097560976</v>
      </c>
      <c r="J28" s="148">
        <f t="shared" si="71"/>
        <v>0.16666666666666666</v>
      </c>
      <c r="K28" s="148">
        <f t="shared" si="71"/>
        <v>0.14583333333333334</v>
      </c>
      <c r="L28" s="148">
        <f t="shared" si="71"/>
        <v>0.28888888888888886</v>
      </c>
      <c r="M28" s="148">
        <f t="shared" si="71"/>
        <v>0.18016194331983806</v>
      </c>
      <c r="N28" s="148">
        <f t="shared" ref="N28" si="72">(N27-M27)/N27</f>
        <v>0.2637853949329359</v>
      </c>
      <c r="O28" s="148">
        <f t="shared" ref="O28" si="73">(O27-N27)/O27</f>
        <v>0.16645962732919253</v>
      </c>
      <c r="P28" s="148">
        <f t="shared" ref="P28:Q28" si="74">(P27-O27)/P27</f>
        <v>0.18191056910569106</v>
      </c>
      <c r="Q28" s="215">
        <f t="shared" si="74"/>
        <v>0</v>
      </c>
      <c r="R28" s="128"/>
      <c r="S28" s="20"/>
      <c r="T28" s="154"/>
      <c r="U28" s="155"/>
      <c r="V28" s="155"/>
      <c r="W28" s="155"/>
      <c r="X28" s="155"/>
      <c r="Y28" s="155"/>
      <c r="Z28" s="155"/>
      <c r="AA28" s="155"/>
      <c r="AB28" s="155"/>
      <c r="AC28" s="155"/>
      <c r="AD28" s="119"/>
      <c r="AE28" s="137"/>
      <c r="AF28" s="154"/>
    </row>
    <row r="29" spans="2:32" s="123" customFormat="1" x14ac:dyDescent="0.2">
      <c r="B29" s="20" t="s">
        <v>323</v>
      </c>
      <c r="C29" s="149"/>
      <c r="D29" s="149"/>
      <c r="E29" s="150"/>
      <c r="F29" s="147"/>
      <c r="G29" s="147">
        <v>15</v>
      </c>
      <c r="H29" s="147">
        <v>14</v>
      </c>
      <c r="I29" s="147">
        <v>14</v>
      </c>
      <c r="J29" s="147">
        <v>13</v>
      </c>
      <c r="K29" s="147">
        <v>17</v>
      </c>
      <c r="L29" s="147">
        <v>17</v>
      </c>
      <c r="M29" s="147">
        <v>14</v>
      </c>
      <c r="N29" s="147">
        <v>19</v>
      </c>
      <c r="O29" s="147">
        <v>21</v>
      </c>
      <c r="P29" s="147">
        <v>20</v>
      </c>
      <c r="Q29" s="213">
        <f>P29</f>
        <v>20</v>
      </c>
      <c r="R29" s="118">
        <f>((Q29/G29)^(1/($H$2-$H$1) ))-1</f>
        <v>3.24810319761204E-2</v>
      </c>
      <c r="S29" s="31">
        <f t="shared" si="5"/>
        <v>0.12</v>
      </c>
      <c r="T29" s="154">
        <f t="shared" si="2"/>
        <v>22.400000000000002</v>
      </c>
      <c r="U29" s="154">
        <f t="shared" ref="U29" si="75">T29*(1+$S29)</f>
        <v>25.088000000000005</v>
      </c>
      <c r="V29" s="154">
        <f t="shared" ref="V29" si="76">U29*(1+$S29)</f>
        <v>28.098560000000006</v>
      </c>
      <c r="W29" s="154">
        <f t="shared" ref="W29" si="77">V29*(1+$S29)</f>
        <v>31.470387200000008</v>
      </c>
      <c r="X29" s="154">
        <f t="shared" ref="X29" si="78">W29*(1+$S29)</f>
        <v>35.246833664000015</v>
      </c>
      <c r="Y29" s="154">
        <f t="shared" ref="Y29" si="79">X29*(1+$S29)</f>
        <v>39.476453703680022</v>
      </c>
      <c r="Z29" s="154">
        <f t="shared" ref="Z29" si="80">Y29*(1+$S29)</f>
        <v>44.213628148121629</v>
      </c>
      <c r="AA29" s="154">
        <f t="shared" ref="AA29" si="81">Z29*(1+$S29)</f>
        <v>49.519263525896228</v>
      </c>
      <c r="AB29" s="154">
        <f t="shared" ref="AB29" si="82">AA29*(1+$S29)</f>
        <v>55.461575149003778</v>
      </c>
      <c r="AC29" s="154">
        <f t="shared" ref="AC29" si="83">AB29*(1+$S29)</f>
        <v>62.116964166884237</v>
      </c>
      <c r="AD29" s="138">
        <f t="shared" ref="AD29" si="84">((AC29/G29)^(1/($AC$3-$H$1) ))-1</f>
        <v>7.3633238140721868E-2</v>
      </c>
      <c r="AE29" s="31">
        <f t="shared" si="15"/>
        <v>0.05</v>
      </c>
      <c r="AF29" s="146">
        <f t="shared" ref="AF29" si="85">(AC29*(1+AE29))/($C$1-AE29)</f>
        <v>383.66360220722623</v>
      </c>
    </row>
    <row r="30" spans="2:32" s="123" customFormat="1" x14ac:dyDescent="0.2">
      <c r="B30" s="23"/>
      <c r="C30" s="149"/>
      <c r="D30" s="149"/>
      <c r="E30" s="150"/>
      <c r="F30" s="150"/>
      <c r="G30" s="148">
        <f t="shared" ref="G30:L30" si="86">(G29-F29)/G29</f>
        <v>1</v>
      </c>
      <c r="H30" s="148">
        <f t="shared" si="86"/>
        <v>-7.1428571428571425E-2</v>
      </c>
      <c r="I30" s="148">
        <f t="shared" si="86"/>
        <v>0</v>
      </c>
      <c r="J30" s="148">
        <f t="shared" si="86"/>
        <v>-7.6923076923076927E-2</v>
      </c>
      <c r="K30" s="148">
        <f t="shared" si="86"/>
        <v>0.23529411764705882</v>
      </c>
      <c r="L30" s="148">
        <f t="shared" si="86"/>
        <v>0</v>
      </c>
      <c r="M30" s="148">
        <f t="shared" ref="M30" si="87">(M29-L29)/M29</f>
        <v>-0.21428571428571427</v>
      </c>
      <c r="N30" s="148">
        <f t="shared" ref="N30" si="88">(N29-M29)/N29</f>
        <v>0.26315789473684209</v>
      </c>
      <c r="O30" s="148">
        <f t="shared" ref="O30" si="89">(O29-N29)/O29</f>
        <v>9.5238095238095233E-2</v>
      </c>
      <c r="P30" s="148">
        <f t="shared" ref="P30:Q30" si="90">(P29-O29)/P29</f>
        <v>-0.05</v>
      </c>
      <c r="Q30" s="215">
        <f t="shared" si="90"/>
        <v>0</v>
      </c>
      <c r="R30" s="128"/>
      <c r="S30" s="20"/>
      <c r="T30" s="154"/>
      <c r="U30" s="155"/>
      <c r="V30" s="155"/>
      <c r="W30" s="155"/>
      <c r="X30" s="155"/>
      <c r="Y30" s="155"/>
      <c r="Z30" s="155"/>
      <c r="AA30" s="155"/>
      <c r="AB30" s="155"/>
      <c r="AC30" s="155"/>
      <c r="AD30" s="162"/>
      <c r="AE30" s="137"/>
      <c r="AF30" s="154"/>
    </row>
    <row r="31" spans="2:32" x14ac:dyDescent="0.2">
      <c r="B31" s="20" t="s">
        <v>331</v>
      </c>
      <c r="C31" s="141"/>
      <c r="D31" s="141"/>
      <c r="E31" s="147"/>
      <c r="F31" s="147"/>
      <c r="G31" s="147"/>
      <c r="H31" s="147"/>
      <c r="I31" s="147"/>
      <c r="J31" s="147"/>
      <c r="K31" s="147"/>
      <c r="L31" s="147"/>
      <c r="M31" s="147"/>
      <c r="N31" s="147"/>
      <c r="O31" s="147"/>
      <c r="P31" s="147"/>
      <c r="Q31" s="213"/>
      <c r="R31" s="118" t="e">
        <f>((Q31/G31)^(1/($H$2-$H$1) ))-1</f>
        <v>#DIV/0!</v>
      </c>
      <c r="S31" s="31">
        <f t="shared" si="5"/>
        <v>0.12</v>
      </c>
      <c r="T31" s="154">
        <f t="shared" si="2"/>
        <v>0</v>
      </c>
      <c r="U31" s="154">
        <f>T31*(1+$S31)</f>
        <v>0</v>
      </c>
      <c r="V31" s="154">
        <f t="shared" ref="V31:AC32" si="91">U31*(1+$S31)</f>
        <v>0</v>
      </c>
      <c r="W31" s="154">
        <f t="shared" si="91"/>
        <v>0</v>
      </c>
      <c r="X31" s="154">
        <f t="shared" si="91"/>
        <v>0</v>
      </c>
      <c r="Y31" s="154">
        <f t="shared" si="91"/>
        <v>0</v>
      </c>
      <c r="Z31" s="154">
        <f t="shared" si="91"/>
        <v>0</v>
      </c>
      <c r="AA31" s="154">
        <f t="shared" si="91"/>
        <v>0</v>
      </c>
      <c r="AB31" s="154">
        <f t="shared" si="91"/>
        <v>0</v>
      </c>
      <c r="AC31" s="154">
        <f t="shared" si="91"/>
        <v>0</v>
      </c>
      <c r="AD31" s="138" t="e">
        <f t="shared" ref="AD31" si="92">((AC31/G31)^(1/($AC$3-$H$1) ))-1</f>
        <v>#DIV/0!</v>
      </c>
      <c r="AE31" s="31">
        <f t="shared" si="15"/>
        <v>0.05</v>
      </c>
      <c r="AF31" s="146">
        <f t="shared" si="1"/>
        <v>0</v>
      </c>
    </row>
    <row r="32" spans="2:32" x14ac:dyDescent="0.2">
      <c r="B32" s="20" t="s">
        <v>330</v>
      </c>
      <c r="C32" s="141"/>
      <c r="D32" s="141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213"/>
      <c r="R32" s="118" t="e">
        <f>((Q32/G32)^(1/($H$2-$H$1) ))-1</f>
        <v>#DIV/0!</v>
      </c>
      <c r="S32" s="31">
        <f t="shared" si="5"/>
        <v>0.12</v>
      </c>
      <c r="T32" s="154">
        <f t="shared" si="2"/>
        <v>0</v>
      </c>
      <c r="U32" s="154">
        <f>T32*(1+$S32)</f>
        <v>0</v>
      </c>
      <c r="V32" s="154">
        <f t="shared" si="91"/>
        <v>0</v>
      </c>
      <c r="W32" s="154">
        <f t="shared" si="91"/>
        <v>0</v>
      </c>
      <c r="X32" s="154">
        <f t="shared" si="91"/>
        <v>0</v>
      </c>
      <c r="Y32" s="154">
        <f t="shared" si="91"/>
        <v>0</v>
      </c>
      <c r="Z32" s="154">
        <f t="shared" si="91"/>
        <v>0</v>
      </c>
      <c r="AA32" s="154">
        <f t="shared" si="91"/>
        <v>0</v>
      </c>
      <c r="AB32" s="154">
        <f t="shared" si="91"/>
        <v>0</v>
      </c>
      <c r="AC32" s="154">
        <f t="shared" si="91"/>
        <v>0</v>
      </c>
      <c r="AD32" s="138" t="e">
        <f t="shared" ref="AD32" si="93">((AC32/G32)^(1/($AC$3-$H$1) ))-1</f>
        <v>#DIV/0!</v>
      </c>
      <c r="AE32" s="31">
        <f t="shared" si="15"/>
        <v>0.05</v>
      </c>
      <c r="AF32" s="146">
        <f t="shared" si="1"/>
        <v>0</v>
      </c>
    </row>
    <row r="33" spans="2:32" x14ac:dyDescent="0.2">
      <c r="B33" s="20" t="s">
        <v>315</v>
      </c>
      <c r="C33" s="141"/>
      <c r="D33" s="141"/>
      <c r="E33" s="147"/>
      <c r="F33" s="147"/>
      <c r="G33" s="147">
        <v>82</v>
      </c>
      <c r="H33" s="147">
        <v>87</v>
      </c>
      <c r="I33" s="147">
        <v>104</v>
      </c>
      <c r="J33" s="147">
        <v>129</v>
      </c>
      <c r="K33" s="147">
        <v>157</v>
      </c>
      <c r="L33" s="147">
        <v>237</v>
      </c>
      <c r="M33" s="147">
        <v>306</v>
      </c>
      <c r="N33" s="147">
        <v>431</v>
      </c>
      <c r="O33" s="147">
        <v>527</v>
      </c>
      <c r="P33" s="147">
        <v>661</v>
      </c>
      <c r="Q33" s="213">
        <f>P33</f>
        <v>661</v>
      </c>
      <c r="R33" s="118">
        <f>((Q33/G33)^(1/($H$2-$H$1) ))-1</f>
        <v>0.26098445893522948</v>
      </c>
      <c r="S33" s="31">
        <f t="shared" si="5"/>
        <v>0.12</v>
      </c>
      <c r="T33" s="154">
        <f t="shared" si="2"/>
        <v>740.32</v>
      </c>
      <c r="U33" s="154">
        <f t="shared" si="34"/>
        <v>829.15840000000014</v>
      </c>
      <c r="V33" s="154">
        <f t="shared" si="35"/>
        <v>928.65740800000026</v>
      </c>
      <c r="W33" s="154">
        <f t="shared" si="36"/>
        <v>1040.0962969600005</v>
      </c>
      <c r="X33" s="154">
        <f t="shared" si="37"/>
        <v>1164.9078525952007</v>
      </c>
      <c r="Y33" s="154">
        <f t="shared" si="38"/>
        <v>1304.696794906625</v>
      </c>
      <c r="Z33" s="154">
        <f t="shared" si="39"/>
        <v>1461.2604102954201</v>
      </c>
      <c r="AA33" s="154">
        <f t="shared" si="40"/>
        <v>1636.6116595308706</v>
      </c>
      <c r="AB33" s="154">
        <f t="shared" si="41"/>
        <v>1833.0050586745754</v>
      </c>
      <c r="AC33" s="154">
        <f t="shared" si="42"/>
        <v>2052.9656657155247</v>
      </c>
      <c r="AD33" s="138">
        <f t="shared" si="17"/>
        <v>0.17470384883469947</v>
      </c>
      <c r="AE33" s="31">
        <f t="shared" si="15"/>
        <v>0.05</v>
      </c>
      <c r="AF33" s="146">
        <f t="shared" si="1"/>
        <v>12680.082052948832</v>
      </c>
    </row>
    <row r="34" spans="2:32" x14ac:dyDescent="0.2">
      <c r="B34" s="20" t="s">
        <v>456</v>
      </c>
      <c r="C34" s="141"/>
      <c r="D34" s="141"/>
      <c r="E34" s="147"/>
      <c r="F34" s="147"/>
      <c r="G34" s="147">
        <v>39</v>
      </c>
      <c r="H34" s="147">
        <v>34</v>
      </c>
      <c r="I34" s="147">
        <v>33</v>
      </c>
      <c r="J34" s="147">
        <v>37</v>
      </c>
      <c r="K34" s="147">
        <v>42</v>
      </c>
      <c r="L34" s="147">
        <v>64</v>
      </c>
      <c r="M34" s="147">
        <v>64</v>
      </c>
      <c r="N34" s="147">
        <v>87</v>
      </c>
      <c r="O34" s="147">
        <v>109</v>
      </c>
      <c r="P34" s="147">
        <v>131</v>
      </c>
      <c r="Q34" s="213">
        <f>P34</f>
        <v>131</v>
      </c>
      <c r="R34" s="118">
        <f>((Q34/G34)^(1/($H$2-$H$1) ))-1</f>
        <v>0.14410902082532018</v>
      </c>
      <c r="S34" s="31">
        <f t="shared" si="5"/>
        <v>0.12</v>
      </c>
      <c r="T34" s="154">
        <f t="shared" si="2"/>
        <v>146.72000000000003</v>
      </c>
      <c r="U34" s="154">
        <f t="shared" si="34"/>
        <v>164.32640000000004</v>
      </c>
      <c r="V34" s="154">
        <f t="shared" si="35"/>
        <v>184.04556800000006</v>
      </c>
      <c r="W34" s="154">
        <f t="shared" si="36"/>
        <v>206.13103616000009</v>
      </c>
      <c r="X34" s="154">
        <f t="shared" si="37"/>
        <v>230.86676049920013</v>
      </c>
      <c r="Y34" s="154">
        <f t="shared" si="38"/>
        <v>258.57077175910416</v>
      </c>
      <c r="Z34" s="154">
        <f t="shared" si="39"/>
        <v>289.59926437019669</v>
      </c>
      <c r="AA34" s="154">
        <f t="shared" si="40"/>
        <v>324.35117609462031</v>
      </c>
      <c r="AB34" s="154">
        <f t="shared" si="41"/>
        <v>363.27331722597478</v>
      </c>
      <c r="AC34" s="154">
        <f t="shared" si="42"/>
        <v>406.86611529309181</v>
      </c>
      <c r="AD34" s="138">
        <f t="shared" si="17"/>
        <v>0.1243961393306956</v>
      </c>
      <c r="AE34" s="31">
        <f t="shared" si="15"/>
        <v>0.05</v>
      </c>
      <c r="AF34" s="146">
        <f t="shared" si="1"/>
        <v>2512.9965944573319</v>
      </c>
    </row>
    <row r="35" spans="2:32" x14ac:dyDescent="0.2">
      <c r="B35" s="20"/>
      <c r="C35" s="141"/>
      <c r="D35" s="141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213"/>
      <c r="R35" s="128"/>
      <c r="S35" s="20"/>
      <c r="T35" s="154">
        <f t="shared" si="2"/>
        <v>0</v>
      </c>
      <c r="U35" s="154"/>
      <c r="V35" s="154"/>
      <c r="W35" s="154"/>
      <c r="X35" s="154"/>
      <c r="Y35" s="154"/>
      <c r="Z35" s="154"/>
      <c r="AA35" s="154"/>
      <c r="AB35" s="154"/>
      <c r="AC35" s="154"/>
      <c r="AD35" s="139"/>
      <c r="AE35" s="137"/>
      <c r="AF35" s="154"/>
    </row>
    <row r="36" spans="2:32" x14ac:dyDescent="0.2">
      <c r="B36" s="20" t="s">
        <v>278</v>
      </c>
      <c r="C36" s="141"/>
      <c r="D36" s="141"/>
      <c r="E36" s="147"/>
      <c r="F36" s="147"/>
      <c r="G36" s="147">
        <v>21</v>
      </c>
      <c r="H36" s="147">
        <v>23</v>
      </c>
      <c r="I36" s="147">
        <v>28</v>
      </c>
      <c r="J36" s="147">
        <v>30</v>
      </c>
      <c r="K36" s="147">
        <v>37</v>
      </c>
      <c r="L36" s="147">
        <v>45</v>
      </c>
      <c r="M36" s="147">
        <v>57</v>
      </c>
      <c r="N36" s="147">
        <v>67</v>
      </c>
      <c r="O36" s="147">
        <v>74</v>
      </c>
      <c r="P36" s="147">
        <v>86</v>
      </c>
      <c r="Q36" s="213">
        <f>P36</f>
        <v>86</v>
      </c>
      <c r="R36" s="118">
        <f>((Q36/G36)^(1/($H$2-$H$1) ))-1</f>
        <v>0.16958291985937923</v>
      </c>
      <c r="S36" s="31">
        <f t="shared" si="5"/>
        <v>0.12</v>
      </c>
      <c r="T36" s="154">
        <f t="shared" si="2"/>
        <v>96.320000000000007</v>
      </c>
      <c r="U36" s="154">
        <f t="shared" ref="U36" si="94">T36*(1+$S36)</f>
        <v>107.87840000000001</v>
      </c>
      <c r="V36" s="154">
        <f t="shared" ref="V36" si="95">U36*(1+$S36)</f>
        <v>120.82380800000003</v>
      </c>
      <c r="W36" s="154">
        <f t="shared" ref="W36" si="96">V36*(1+$S36)</f>
        <v>135.32266496000005</v>
      </c>
      <c r="X36" s="154">
        <f t="shared" si="37"/>
        <v>151.56138475520007</v>
      </c>
      <c r="Y36" s="154">
        <f t="shared" si="38"/>
        <v>169.74875092582408</v>
      </c>
      <c r="Z36" s="154">
        <f t="shared" si="39"/>
        <v>190.118601036923</v>
      </c>
      <c r="AA36" s="154">
        <f t="shared" si="40"/>
        <v>212.93283316135378</v>
      </c>
      <c r="AB36" s="154">
        <f t="shared" si="41"/>
        <v>238.48477314071627</v>
      </c>
      <c r="AC36" s="154">
        <f t="shared" si="42"/>
        <v>267.10294591760226</v>
      </c>
      <c r="AD36" s="138">
        <f t="shared" si="17"/>
        <v>0.13559368603990696</v>
      </c>
      <c r="AE36" s="31">
        <f t="shared" si="15"/>
        <v>0.05</v>
      </c>
      <c r="AF36" s="146">
        <f t="shared" si="1"/>
        <v>1649.7534894910727</v>
      </c>
    </row>
    <row r="37" spans="2:32" s="123" customFormat="1" x14ac:dyDescent="0.2">
      <c r="B37" s="23"/>
      <c r="C37" s="149"/>
      <c r="D37" s="149"/>
      <c r="E37" s="150"/>
      <c r="F37" s="150"/>
      <c r="G37" s="148">
        <f t="shared" ref="G37" si="97">(G36-F36)/G36</f>
        <v>1</v>
      </c>
      <c r="H37" s="148">
        <f t="shared" ref="H37" si="98">(H36-G36)/H36</f>
        <v>8.6956521739130432E-2</v>
      </c>
      <c r="I37" s="148">
        <f t="shared" ref="I37" si="99">(I36-H36)/I36</f>
        <v>0.17857142857142858</v>
      </c>
      <c r="J37" s="148">
        <f t="shared" ref="J37" si="100">(J36-I36)/J36</f>
        <v>6.6666666666666666E-2</v>
      </c>
      <c r="K37" s="148">
        <f t="shared" ref="K37" si="101">(K36-J36)/K36</f>
        <v>0.1891891891891892</v>
      </c>
      <c r="L37" s="148">
        <f t="shared" ref="L37" si="102">(L36-K36)/L36</f>
        <v>0.17777777777777778</v>
      </c>
      <c r="M37" s="148">
        <f t="shared" ref="M37" si="103">(M36-L36)/M36</f>
        <v>0.21052631578947367</v>
      </c>
      <c r="N37" s="148">
        <f t="shared" ref="N37" si="104">(N36-M36)/N36</f>
        <v>0.14925373134328357</v>
      </c>
      <c r="O37" s="148">
        <f t="shared" ref="O37" si="105">(O36-N36)/O36</f>
        <v>9.45945945945946E-2</v>
      </c>
      <c r="P37" s="148">
        <f t="shared" ref="P37:Q37" si="106">(P36-O36)/P36</f>
        <v>0.13953488372093023</v>
      </c>
      <c r="Q37" s="215">
        <f t="shared" si="106"/>
        <v>0</v>
      </c>
      <c r="R37" s="128"/>
      <c r="S37" s="20"/>
      <c r="T37" s="154"/>
      <c r="U37" s="155"/>
      <c r="V37" s="155"/>
      <c r="W37" s="155"/>
      <c r="X37" s="155"/>
      <c r="Y37" s="155"/>
      <c r="Z37" s="155"/>
      <c r="AA37" s="155"/>
      <c r="AB37" s="155"/>
      <c r="AC37" s="155"/>
      <c r="AD37" s="139"/>
      <c r="AE37" s="137"/>
      <c r="AF37" s="156"/>
    </row>
    <row r="38" spans="2:32" s="123" customFormat="1" x14ac:dyDescent="0.2">
      <c r="B38" s="20" t="s">
        <v>400</v>
      </c>
      <c r="C38" s="149"/>
      <c r="D38" s="149"/>
      <c r="E38" s="150"/>
      <c r="F38" s="150"/>
      <c r="G38" s="147">
        <v>-2</v>
      </c>
      <c r="H38" s="147">
        <v>-3.15</v>
      </c>
      <c r="I38" s="147">
        <v>3</v>
      </c>
      <c r="J38" s="147">
        <v>5</v>
      </c>
      <c r="K38" s="147">
        <v>7</v>
      </c>
      <c r="L38" s="147">
        <v>14</v>
      </c>
      <c r="M38" s="147">
        <v>31</v>
      </c>
      <c r="N38" s="147">
        <v>34</v>
      </c>
      <c r="O38" s="147">
        <v>36</v>
      </c>
      <c r="P38" s="147">
        <v>48</v>
      </c>
      <c r="Q38" s="213">
        <f>P38</f>
        <v>48</v>
      </c>
      <c r="R38" s="118">
        <f>((Q38/G38)^(1/($H$2-$H$1) ))-1</f>
        <v>-2.4234978142529124</v>
      </c>
      <c r="S38" s="31">
        <f t="shared" si="5"/>
        <v>0.12</v>
      </c>
      <c r="T38" s="154">
        <f t="shared" si="2"/>
        <v>53.760000000000005</v>
      </c>
      <c r="U38" s="154">
        <f t="shared" ref="U38" si="107">T38*(1+$S38)</f>
        <v>60.211200000000012</v>
      </c>
      <c r="V38" s="154">
        <f t="shared" ref="V38" si="108">U38*(1+$S38)</f>
        <v>67.436544000000026</v>
      </c>
      <c r="W38" s="154">
        <f t="shared" ref="W38" si="109">V38*(1+$S38)</f>
        <v>75.528929280000042</v>
      </c>
      <c r="X38" s="154">
        <f t="shared" ref="X38" si="110">W38*(1+$S38)</f>
        <v>84.592400793600049</v>
      </c>
      <c r="Y38" s="154">
        <f t="shared" ref="Y38" si="111">X38*(1+$S38)</f>
        <v>94.743488888832061</v>
      </c>
      <c r="Z38" s="154">
        <f t="shared" ref="Z38" si="112">Y38*(1+$S38)</f>
        <v>106.11270755549192</v>
      </c>
      <c r="AA38" s="154">
        <f t="shared" ref="AA38" si="113">Z38*(1+$S38)</f>
        <v>118.84623246215097</v>
      </c>
      <c r="AB38" s="154">
        <f t="shared" ref="AB38" si="114">AA38*(1+$S38)</f>
        <v>133.1077803576091</v>
      </c>
      <c r="AC38" s="154">
        <f t="shared" ref="AC38" si="115">AB38*(1+$S38)</f>
        <v>149.08071400052222</v>
      </c>
      <c r="AD38" s="138" t="e">
        <f t="shared" ref="AD38" si="116">((AC38/G38)^(1/($AC$3-$H$1) ))-1</f>
        <v>#NUM!</v>
      </c>
      <c r="AE38" s="31">
        <f t="shared" si="15"/>
        <v>0.05</v>
      </c>
      <c r="AF38" s="146">
        <f t="shared" ref="AF38" si="117">(AC38*(1+AE38))/($C$1-AE38)</f>
        <v>920.79264529734326</v>
      </c>
    </row>
    <row r="39" spans="2:32" s="123" customFormat="1" x14ac:dyDescent="0.2">
      <c r="B39" s="23"/>
      <c r="C39" s="149"/>
      <c r="D39" s="149"/>
      <c r="E39" s="150"/>
      <c r="F39" s="150"/>
      <c r="G39" s="148">
        <f t="shared" ref="G39" si="118">(G38-F38)/G38</f>
        <v>1</v>
      </c>
      <c r="H39" s="148">
        <f t="shared" ref="H39" si="119">(H38-G38)/H38</f>
        <v>0.36507936507936506</v>
      </c>
      <c r="I39" s="148">
        <f t="shared" ref="I39" si="120">(I38-H38)/I38</f>
        <v>2.0500000000000003</v>
      </c>
      <c r="J39" s="148">
        <f t="shared" ref="J39" si="121">(J38-I38)/J38</f>
        <v>0.4</v>
      </c>
      <c r="K39" s="148">
        <f t="shared" ref="K39" si="122">(K38-J38)/K38</f>
        <v>0.2857142857142857</v>
      </c>
      <c r="L39" s="148">
        <f t="shared" ref="L39" si="123">(L38-K38)/L38</f>
        <v>0.5</v>
      </c>
      <c r="M39" s="148">
        <f t="shared" ref="M39" si="124">(M38-L38)/M38</f>
        <v>0.54838709677419351</v>
      </c>
      <c r="N39" s="148">
        <f t="shared" ref="N39" si="125">(N38-M38)/N38</f>
        <v>8.8235294117647065E-2</v>
      </c>
      <c r="O39" s="148">
        <f t="shared" ref="O39" si="126">(O38-N38)/O38</f>
        <v>5.5555555555555552E-2</v>
      </c>
      <c r="P39" s="148">
        <f t="shared" ref="P39:Q39" si="127">(P38-O38)/P38</f>
        <v>0.25</v>
      </c>
      <c r="Q39" s="215">
        <f t="shared" si="127"/>
        <v>0</v>
      </c>
      <c r="R39" s="128"/>
      <c r="S39" s="20"/>
      <c r="T39" s="154"/>
      <c r="U39" s="155"/>
      <c r="V39" s="155"/>
      <c r="W39" s="155"/>
      <c r="X39" s="155"/>
      <c r="Y39" s="155"/>
      <c r="Z39" s="155"/>
      <c r="AA39" s="155"/>
      <c r="AB39" s="155"/>
      <c r="AC39" s="155"/>
      <c r="AD39" s="139"/>
      <c r="AE39" s="137"/>
      <c r="AF39" s="156"/>
    </row>
    <row r="40" spans="2:32" x14ac:dyDescent="0.2">
      <c r="B40" s="20" t="s">
        <v>401</v>
      </c>
      <c r="C40" s="141"/>
      <c r="D40" s="141"/>
      <c r="E40" s="147"/>
      <c r="F40" s="147"/>
      <c r="G40" s="147">
        <v>-2</v>
      </c>
      <c r="H40" s="147">
        <v>-2</v>
      </c>
      <c r="I40" s="147">
        <v>3</v>
      </c>
      <c r="J40" s="147">
        <v>2.5</v>
      </c>
      <c r="K40" s="147">
        <v>4</v>
      </c>
      <c r="L40" s="147">
        <v>9</v>
      </c>
      <c r="M40" s="147">
        <v>20</v>
      </c>
      <c r="N40" s="147">
        <v>24</v>
      </c>
      <c r="O40" s="147">
        <v>25</v>
      </c>
      <c r="P40" s="147">
        <v>33</v>
      </c>
      <c r="Q40" s="213">
        <f>P40</f>
        <v>33</v>
      </c>
      <c r="R40" s="118">
        <f>((Q40/G40)^(1/($H$2-$H$1) ))-1</f>
        <v>-2.3654506037067087</v>
      </c>
      <c r="S40" s="31">
        <f t="shared" si="5"/>
        <v>0.12</v>
      </c>
      <c r="T40" s="154">
        <f t="shared" si="2"/>
        <v>36.96</v>
      </c>
      <c r="U40" s="154">
        <f t="shared" ref="U40:AC40" si="128">T40*(1+$S40)</f>
        <v>41.395200000000003</v>
      </c>
      <c r="V40" s="154">
        <f t="shared" si="128"/>
        <v>46.362624000000011</v>
      </c>
      <c r="W40" s="154">
        <f t="shared" si="128"/>
        <v>51.926138880000018</v>
      </c>
      <c r="X40" s="154">
        <f t="shared" si="128"/>
        <v>58.157275545600022</v>
      </c>
      <c r="Y40" s="154">
        <f t="shared" si="128"/>
        <v>65.136148611072031</v>
      </c>
      <c r="Z40" s="154">
        <f t="shared" si="128"/>
        <v>72.952486444400677</v>
      </c>
      <c r="AA40" s="154">
        <f t="shared" si="128"/>
        <v>81.70678481772876</v>
      </c>
      <c r="AB40" s="154">
        <f t="shared" si="128"/>
        <v>91.511598995856218</v>
      </c>
      <c r="AC40" s="154">
        <f t="shared" si="128"/>
        <v>102.49299087535897</v>
      </c>
      <c r="AD40" s="138" t="e">
        <f t="shared" si="17"/>
        <v>#NUM!</v>
      </c>
      <c r="AE40" s="31">
        <f t="shared" si="15"/>
        <v>0.05</v>
      </c>
      <c r="AF40" s="146">
        <f t="shared" si="1"/>
        <v>633.04494364192317</v>
      </c>
    </row>
    <row r="41" spans="2:32" s="123" customFormat="1" x14ac:dyDescent="0.2">
      <c r="B41" s="23"/>
      <c r="C41" s="149"/>
      <c r="D41" s="149"/>
      <c r="E41" s="150"/>
      <c r="F41" s="150"/>
      <c r="G41" s="148">
        <f>(G40-F40)/G40</f>
        <v>1</v>
      </c>
      <c r="H41" s="148">
        <f t="shared" ref="H41:Q41" si="129">(H40-G40)/H40</f>
        <v>0</v>
      </c>
      <c r="I41" s="148">
        <f t="shared" si="129"/>
        <v>1.6666666666666667</v>
      </c>
      <c r="J41" s="148">
        <f t="shared" si="129"/>
        <v>-0.2</v>
      </c>
      <c r="K41" s="148">
        <f t="shared" si="129"/>
        <v>0.375</v>
      </c>
      <c r="L41" s="148">
        <f t="shared" si="129"/>
        <v>0.55555555555555558</v>
      </c>
      <c r="M41" s="148">
        <f t="shared" si="129"/>
        <v>0.55000000000000004</v>
      </c>
      <c r="N41" s="148">
        <f t="shared" si="129"/>
        <v>0.16666666666666666</v>
      </c>
      <c r="O41" s="148">
        <f t="shared" si="129"/>
        <v>0.04</v>
      </c>
      <c r="P41" s="148">
        <f t="shared" si="129"/>
        <v>0.24242424242424243</v>
      </c>
      <c r="Q41" s="215">
        <f t="shared" si="129"/>
        <v>0</v>
      </c>
      <c r="R41" s="128"/>
      <c r="S41" s="20"/>
      <c r="T41" s="154"/>
      <c r="U41" s="155"/>
      <c r="V41" s="155"/>
      <c r="W41" s="155"/>
      <c r="X41" s="155"/>
      <c r="Y41" s="155"/>
      <c r="Z41" s="155"/>
      <c r="AA41" s="155"/>
      <c r="AB41" s="155"/>
      <c r="AC41" s="155"/>
      <c r="AD41" s="139"/>
      <c r="AE41" s="137"/>
      <c r="AF41" s="156"/>
    </row>
    <row r="42" spans="2:32" x14ac:dyDescent="0.2">
      <c r="B42" s="20" t="s">
        <v>239</v>
      </c>
      <c r="C42" s="142">
        <v>1</v>
      </c>
      <c r="D42" s="142">
        <v>1</v>
      </c>
      <c r="E42" s="145">
        <v>1</v>
      </c>
      <c r="F42" s="145">
        <v>1</v>
      </c>
      <c r="G42" s="145">
        <v>0.68</v>
      </c>
      <c r="H42" s="145">
        <v>0.68</v>
      </c>
      <c r="I42" s="145">
        <v>0.6</v>
      </c>
      <c r="J42" s="145">
        <v>0.68</v>
      </c>
      <c r="K42" s="145">
        <v>0.68</v>
      </c>
      <c r="L42" s="145">
        <v>0.68</v>
      </c>
      <c r="M42" s="145">
        <v>0.68</v>
      </c>
      <c r="N42" s="145">
        <v>3.44</v>
      </c>
      <c r="O42" s="145">
        <v>3.44</v>
      </c>
      <c r="P42" s="145">
        <v>3.44</v>
      </c>
      <c r="Q42" s="216">
        <f>P42</f>
        <v>3.44</v>
      </c>
      <c r="R42" s="118">
        <f>((Q42/G42)^(1/($H$2-$H$1) ))-1</f>
        <v>0.19736821565375817</v>
      </c>
      <c r="S42" s="31">
        <f>P1</f>
        <v>0.05</v>
      </c>
      <c r="T42" s="154">
        <f t="shared" si="2"/>
        <v>3.6120000000000001</v>
      </c>
      <c r="U42" s="154">
        <f t="shared" ref="U42:AC42" si="130">T42*(1+$S42)</f>
        <v>3.7926000000000002</v>
      </c>
      <c r="V42" s="154">
        <f t="shared" si="130"/>
        <v>3.9822300000000004</v>
      </c>
      <c r="W42" s="154">
        <f t="shared" si="130"/>
        <v>4.1813415000000003</v>
      </c>
      <c r="X42" s="154">
        <f t="shared" si="130"/>
        <v>4.3904085750000004</v>
      </c>
      <c r="Y42" s="154">
        <f t="shared" si="130"/>
        <v>4.6099290037500005</v>
      </c>
      <c r="Z42" s="154">
        <f t="shared" si="130"/>
        <v>4.8404254539375007</v>
      </c>
      <c r="AA42" s="154">
        <f t="shared" si="130"/>
        <v>5.0824467266343758</v>
      </c>
      <c r="AB42" s="154">
        <f t="shared" si="130"/>
        <v>5.3365690629660945</v>
      </c>
      <c r="AC42" s="154">
        <f t="shared" si="130"/>
        <v>5.6033975161143994</v>
      </c>
      <c r="AD42" s="138">
        <f t="shared" si="17"/>
        <v>0.11121252022382566</v>
      </c>
      <c r="AE42" s="31">
        <f t="shared" si="15"/>
        <v>0.05</v>
      </c>
      <c r="AF42" s="146">
        <f t="shared" si="1"/>
        <v>34.609219952471292</v>
      </c>
    </row>
    <row r="43" spans="2:32" x14ac:dyDescent="0.2">
      <c r="B43" s="20"/>
      <c r="C43" s="142"/>
      <c r="D43" s="142"/>
      <c r="E43" s="143"/>
      <c r="F43" s="147"/>
      <c r="G43" s="148">
        <f>(G42-F42)/G42</f>
        <v>-0.47058823529411753</v>
      </c>
      <c r="H43" s="148">
        <f t="shared" ref="H43" si="131">(H42-G42)/H42</f>
        <v>0</v>
      </c>
      <c r="I43" s="148">
        <f t="shared" ref="I43" si="132">(I42-H42)/I42</f>
        <v>-0.13333333333333347</v>
      </c>
      <c r="J43" s="148">
        <f t="shared" ref="J43" si="133">(J42-I42)/J42</f>
        <v>0.11764705882352951</v>
      </c>
      <c r="K43" s="148">
        <f t="shared" ref="K43" si="134">(K42-J42)/K42</f>
        <v>0</v>
      </c>
      <c r="L43" s="148">
        <f t="shared" ref="L43" si="135">(L42-K42)/L42</f>
        <v>0</v>
      </c>
      <c r="M43" s="148">
        <f t="shared" ref="M43" si="136">(M42-L42)/M42</f>
        <v>0</v>
      </c>
      <c r="N43" s="148">
        <f t="shared" ref="N43" si="137">(N42-M42)/N42</f>
        <v>0.80232558139534882</v>
      </c>
      <c r="O43" s="148">
        <f t="shared" ref="O43" si="138">(O42-N42)/O42</f>
        <v>0</v>
      </c>
      <c r="P43" s="148">
        <f t="shared" ref="P43:Q43" si="139">(P42-O42)/P42</f>
        <v>0</v>
      </c>
      <c r="Q43" s="215">
        <f t="shared" si="139"/>
        <v>0</v>
      </c>
      <c r="R43" s="128"/>
      <c r="S43" s="20"/>
      <c r="T43" s="154"/>
      <c r="U43" s="154"/>
      <c r="V43" s="154"/>
      <c r="W43" s="154"/>
      <c r="X43" s="154"/>
      <c r="Y43" s="154"/>
      <c r="Z43" s="154"/>
      <c r="AA43" s="154"/>
      <c r="AB43" s="154"/>
      <c r="AC43" s="154"/>
      <c r="AD43" s="138"/>
      <c r="AE43" s="31"/>
      <c r="AF43" s="146"/>
    </row>
    <row r="44" spans="2:32" x14ac:dyDescent="0.2">
      <c r="B44" s="20" t="s">
        <v>282</v>
      </c>
      <c r="C44" s="145"/>
      <c r="D44" s="145"/>
      <c r="E44" s="145"/>
      <c r="F44" s="147"/>
      <c r="G44" s="145">
        <v>0</v>
      </c>
      <c r="H44" s="145">
        <v>0</v>
      </c>
      <c r="I44" s="145">
        <v>0</v>
      </c>
      <c r="J44" s="145">
        <v>0</v>
      </c>
      <c r="K44" s="145">
        <v>1</v>
      </c>
      <c r="L44" s="145">
        <v>1.5</v>
      </c>
      <c r="M44" s="145">
        <v>3</v>
      </c>
      <c r="N44" s="145">
        <v>0.7</v>
      </c>
      <c r="O44" s="145">
        <v>0.8</v>
      </c>
      <c r="P44" s="145">
        <v>1.2</v>
      </c>
      <c r="Q44" s="216">
        <v>1.5</v>
      </c>
      <c r="R44" s="118" t="e">
        <f>((Q44/G44)^(1/($H$2-$H$1) ))-1</f>
        <v>#DIV/0!</v>
      </c>
      <c r="S44" s="31">
        <f>P1</f>
        <v>0.05</v>
      </c>
      <c r="T44" s="154">
        <f t="shared" si="2"/>
        <v>1.5750000000000002</v>
      </c>
      <c r="U44" s="154">
        <f t="shared" ref="U44" si="140">T44*(1+$S44)</f>
        <v>1.6537500000000003</v>
      </c>
      <c r="V44" s="154">
        <f t="shared" ref="V44" si="141">U44*(1+$S44)</f>
        <v>1.7364375000000003</v>
      </c>
      <c r="W44" s="154">
        <f t="shared" ref="W44" si="142">V44*(1+$S44)</f>
        <v>1.8232593750000003</v>
      </c>
      <c r="X44" s="154">
        <f t="shared" ref="X44" si="143">W44*(1+$S44)</f>
        <v>1.9144223437500005</v>
      </c>
      <c r="Y44" s="154">
        <f t="shared" ref="Y44" si="144">X44*(1+$S44)</f>
        <v>2.0101434609375008</v>
      </c>
      <c r="Z44" s="154">
        <f t="shared" ref="Z44" si="145">Y44*(1+$S44)</f>
        <v>2.1106506339843758</v>
      </c>
      <c r="AA44" s="154">
        <f t="shared" ref="AA44" si="146">Z44*(1+$S44)</f>
        <v>2.2161831656835949</v>
      </c>
      <c r="AB44" s="154">
        <f t="shared" ref="AB44" si="147">AA44*(1+$S44)</f>
        <v>2.3269923239677746</v>
      </c>
      <c r="AC44" s="154">
        <f t="shared" ref="AC44" si="148">AB44*(1+$S44)</f>
        <v>2.4433419401661634</v>
      </c>
      <c r="AD44" s="138" t="e">
        <f t="shared" ref="AD44" si="149">((AC44/G44)^(1/($AC$3-$H$1) ))-1</f>
        <v>#DIV/0!</v>
      </c>
      <c r="AE44" s="31">
        <f t="shared" si="15"/>
        <v>0.05</v>
      </c>
      <c r="AF44" s="146">
        <f t="shared" si="1"/>
        <v>15.09122963043807</v>
      </c>
    </row>
    <row r="45" spans="2:32" x14ac:dyDescent="0.2">
      <c r="B45" s="20" t="s">
        <v>426</v>
      </c>
      <c r="C45" s="20"/>
      <c r="D45" s="20"/>
      <c r="E45" s="127"/>
      <c r="F45" s="127"/>
      <c r="G45" s="147">
        <v>0</v>
      </c>
      <c r="H45" s="147">
        <v>0</v>
      </c>
      <c r="I45" s="147">
        <v>0</v>
      </c>
      <c r="J45" s="147">
        <v>0</v>
      </c>
      <c r="K45" s="147">
        <v>0</v>
      </c>
      <c r="L45" s="147">
        <v>0</v>
      </c>
      <c r="M45" s="147">
        <v>0</v>
      </c>
      <c r="N45" s="147" t="s">
        <v>455</v>
      </c>
      <c r="O45" s="147">
        <v>0</v>
      </c>
      <c r="P45" s="147">
        <v>0</v>
      </c>
      <c r="Q45" s="147">
        <v>0</v>
      </c>
      <c r="R45" s="147">
        <v>0</v>
      </c>
      <c r="S45" s="128"/>
      <c r="T45" s="154"/>
      <c r="U45" s="154"/>
      <c r="V45" s="154"/>
      <c r="W45" s="154"/>
      <c r="X45" s="154"/>
      <c r="Y45" s="154"/>
      <c r="Z45" s="154"/>
      <c r="AA45" s="154"/>
      <c r="AB45" s="154"/>
      <c r="AC45" s="154"/>
      <c r="AD45" s="139"/>
      <c r="AE45" s="137"/>
      <c r="AF45" s="154"/>
    </row>
    <row r="46" spans="2:32" x14ac:dyDescent="0.2">
      <c r="B46" s="20" t="s">
        <v>424</v>
      </c>
      <c r="C46" s="20"/>
      <c r="D46" s="20"/>
      <c r="E46" s="127"/>
      <c r="F46" s="127"/>
      <c r="G46" s="147">
        <v>0</v>
      </c>
      <c r="H46" s="147">
        <v>0</v>
      </c>
      <c r="I46" s="147">
        <v>0</v>
      </c>
      <c r="J46" s="147">
        <v>0</v>
      </c>
      <c r="K46" s="147">
        <v>0</v>
      </c>
      <c r="L46" s="147">
        <v>0</v>
      </c>
      <c r="M46" s="147">
        <v>0</v>
      </c>
      <c r="N46" s="147">
        <v>0</v>
      </c>
      <c r="O46" s="147">
        <v>0</v>
      </c>
      <c r="P46" s="147">
        <v>0</v>
      </c>
      <c r="Q46" s="147">
        <v>0</v>
      </c>
      <c r="R46" s="147">
        <v>0</v>
      </c>
      <c r="S46" s="128"/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39"/>
      <c r="AE46" s="137"/>
      <c r="AF46" s="154"/>
    </row>
    <row r="47" spans="2:32" x14ac:dyDescent="0.2">
      <c r="B47" s="20" t="s">
        <v>425</v>
      </c>
      <c r="C47" s="20"/>
      <c r="D47" s="20"/>
      <c r="E47" s="127"/>
      <c r="F47" s="127"/>
      <c r="G47" s="147">
        <v>0</v>
      </c>
      <c r="H47" s="147">
        <v>0</v>
      </c>
      <c r="I47" s="147">
        <v>0</v>
      </c>
      <c r="J47" s="147">
        <v>0</v>
      </c>
      <c r="K47" s="147">
        <v>0</v>
      </c>
      <c r="L47" s="147">
        <v>0</v>
      </c>
      <c r="M47" s="147">
        <v>0</v>
      </c>
      <c r="N47" s="147">
        <v>0</v>
      </c>
      <c r="O47" s="147">
        <v>0</v>
      </c>
      <c r="P47" s="147">
        <v>0</v>
      </c>
      <c r="Q47" s="147">
        <v>0</v>
      </c>
      <c r="R47" s="147">
        <v>0</v>
      </c>
      <c r="S47" s="128"/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39"/>
      <c r="AE47" s="137"/>
      <c r="AF47" s="154"/>
    </row>
    <row r="48" spans="2:32" x14ac:dyDescent="0.2">
      <c r="B48" s="20"/>
      <c r="C48" s="20"/>
      <c r="D48" s="20"/>
      <c r="E48" s="127"/>
      <c r="F48" s="127"/>
      <c r="G48" s="127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128"/>
      <c r="S48" s="128"/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39"/>
      <c r="AE48" s="137"/>
      <c r="AF48" s="154"/>
    </row>
    <row r="49" spans="2:32" x14ac:dyDescent="0.2">
      <c r="B49" s="108" t="s">
        <v>243</v>
      </c>
      <c r="C49" s="20"/>
      <c r="D49" s="20"/>
      <c r="E49" s="127"/>
      <c r="F49" s="127"/>
      <c r="G49" s="127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128"/>
      <c r="S49" s="128"/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39"/>
      <c r="AE49" s="137"/>
      <c r="AF49" s="154"/>
    </row>
    <row r="50" spans="2:32" x14ac:dyDescent="0.2">
      <c r="B50" s="20" t="s">
        <v>303</v>
      </c>
      <c r="C50" s="133">
        <f t="shared" ref="C50:P50" si="150">C25/C42</f>
        <v>0</v>
      </c>
      <c r="D50" s="133">
        <f t="shared" si="150"/>
        <v>0</v>
      </c>
      <c r="E50" s="133">
        <f t="shared" si="150"/>
        <v>0</v>
      </c>
      <c r="F50" s="133">
        <f t="shared" si="150"/>
        <v>0</v>
      </c>
      <c r="G50" s="133">
        <f t="shared" si="150"/>
        <v>297.05882352941177</v>
      </c>
      <c r="H50" s="133">
        <f t="shared" si="150"/>
        <v>286.76470588235293</v>
      </c>
      <c r="I50" s="133">
        <f t="shared" si="150"/>
        <v>390</v>
      </c>
      <c r="J50" s="133">
        <f t="shared" si="150"/>
        <v>405.88235294117646</v>
      </c>
      <c r="K50" s="133">
        <f t="shared" si="150"/>
        <v>479.41176470588232</v>
      </c>
      <c r="L50" s="133">
        <f t="shared" si="150"/>
        <v>661.76470588235293</v>
      </c>
      <c r="M50" s="133">
        <f t="shared" si="150"/>
        <v>813.23529411764696</v>
      </c>
      <c r="N50" s="133">
        <f t="shared" si="150"/>
        <v>215.11627906976744</v>
      </c>
      <c r="O50" s="133">
        <f t="shared" si="150"/>
        <v>255.81395348837211</v>
      </c>
      <c r="P50" s="133">
        <f t="shared" si="150"/>
        <v>311.62790697674421</v>
      </c>
      <c r="Q50" s="133">
        <f t="shared" ref="Q50" si="151">Q25/Q42</f>
        <v>363.95348837209303</v>
      </c>
      <c r="R50" s="118">
        <f>((P50/G50)^(1/($H$2-$H$1) ))-1</f>
        <v>5.3341419270398482E-3</v>
      </c>
      <c r="S50" s="128"/>
      <c r="T50" s="158">
        <f t="shared" ref="T50:AC50" si="152">T25/T42</f>
        <v>388.21705426356596</v>
      </c>
      <c r="U50" s="158">
        <f t="shared" si="152"/>
        <v>414.09819121447038</v>
      </c>
      <c r="V50" s="158">
        <f t="shared" si="152"/>
        <v>441.70473729543517</v>
      </c>
      <c r="W50" s="158">
        <f t="shared" si="152"/>
        <v>471.15171978179757</v>
      </c>
      <c r="X50" s="158">
        <f t="shared" si="152"/>
        <v>502.56183443391745</v>
      </c>
      <c r="Y50" s="158">
        <f t="shared" si="152"/>
        <v>536.06595672951198</v>
      </c>
      <c r="Z50" s="158">
        <f t="shared" si="152"/>
        <v>571.80368717814622</v>
      </c>
      <c r="AA50" s="158">
        <f t="shared" si="152"/>
        <v>609.92393299002265</v>
      </c>
      <c r="AB50" s="158">
        <f t="shared" si="152"/>
        <v>650.58552852269088</v>
      </c>
      <c r="AC50" s="158">
        <f t="shared" si="152"/>
        <v>693.95789709087035</v>
      </c>
      <c r="AD50" s="138">
        <f t="shared" ref="AD50" si="153">((AC50/G50)^(1/($AC$3-$H$1) ))-1</f>
        <v>4.3336817851205689E-2</v>
      </c>
      <c r="AE50" s="31">
        <f t="shared" si="15"/>
        <v>0.05</v>
      </c>
      <c r="AF50" s="146">
        <f t="shared" ref="AF50:AF51" si="154">(AC50*(1+AE50))/($C$1-AE50)</f>
        <v>4286.2105408553762</v>
      </c>
    </row>
    <row r="51" spans="2:32" x14ac:dyDescent="0.2">
      <c r="B51" s="20" t="s">
        <v>304</v>
      </c>
      <c r="C51" s="133">
        <f t="shared" ref="C51:P51" si="155">C27/C42</f>
        <v>0</v>
      </c>
      <c r="D51" s="133">
        <f t="shared" si="155"/>
        <v>0</v>
      </c>
      <c r="E51" s="133">
        <f t="shared" si="155"/>
        <v>0</v>
      </c>
      <c r="F51" s="133">
        <f t="shared" si="155"/>
        <v>0</v>
      </c>
      <c r="G51" s="133">
        <f t="shared" si="155"/>
        <v>252.9411764705882</v>
      </c>
      <c r="H51" s="133">
        <f t="shared" si="155"/>
        <v>254.41176470588235</v>
      </c>
      <c r="I51" s="133">
        <f t="shared" si="155"/>
        <v>341.66666666666669</v>
      </c>
      <c r="J51" s="133">
        <f t="shared" si="155"/>
        <v>361.76470588235293</v>
      </c>
      <c r="K51" s="133">
        <f t="shared" si="155"/>
        <v>423.52941176470586</v>
      </c>
      <c r="L51" s="133">
        <f t="shared" si="155"/>
        <v>595.58823529411757</v>
      </c>
      <c r="M51" s="133">
        <f t="shared" si="155"/>
        <v>726.47058823529403</v>
      </c>
      <c r="N51" s="133">
        <f t="shared" si="155"/>
        <v>195.05813953488374</v>
      </c>
      <c r="O51" s="133">
        <f t="shared" si="155"/>
        <v>234.01162790697674</v>
      </c>
      <c r="P51" s="133">
        <f t="shared" si="155"/>
        <v>286.04651162790697</v>
      </c>
      <c r="Q51" s="133">
        <f t="shared" ref="Q51" si="156">Q27/Q42</f>
        <v>286.04651162790697</v>
      </c>
      <c r="R51" s="118">
        <f>((P51/G51)^(1/($H$2-$H$1) ))-1</f>
        <v>1.3760197251490025E-2</v>
      </c>
      <c r="S51" s="128"/>
      <c r="T51" s="158">
        <f t="shared" ref="T51:AC51" si="157">T27/T42</f>
        <v>305.11627906976747</v>
      </c>
      <c r="U51" s="158">
        <f t="shared" si="157"/>
        <v>325.45736434108534</v>
      </c>
      <c r="V51" s="158">
        <f t="shared" si="157"/>
        <v>347.15452196382432</v>
      </c>
      <c r="W51" s="158">
        <f t="shared" si="157"/>
        <v>370.29815676141271</v>
      </c>
      <c r="X51" s="158">
        <f t="shared" si="157"/>
        <v>394.98470054550688</v>
      </c>
      <c r="Y51" s="158">
        <f t="shared" si="157"/>
        <v>421.31701391520738</v>
      </c>
      <c r="Z51" s="158">
        <f t="shared" si="157"/>
        <v>449.4048148428879</v>
      </c>
      <c r="AA51" s="158">
        <f t="shared" si="157"/>
        <v>479.36513583241384</v>
      </c>
      <c r="AB51" s="158">
        <f t="shared" si="157"/>
        <v>511.32281155457486</v>
      </c>
      <c r="AC51" s="158">
        <f t="shared" si="157"/>
        <v>545.41099899154653</v>
      </c>
      <c r="AD51" s="138">
        <f t="shared" ref="AD51" si="158">((AC51/G51)^(1/($AC$3-$H$1) ))-1</f>
        <v>3.9166691676204124E-2</v>
      </c>
      <c r="AE51" s="31">
        <f t="shared" si="15"/>
        <v>0.05</v>
      </c>
      <c r="AF51" s="146">
        <f t="shared" si="154"/>
        <v>3368.714993771317</v>
      </c>
    </row>
    <row r="52" spans="2:32" x14ac:dyDescent="0.2">
      <c r="B52" s="20" t="s">
        <v>427</v>
      </c>
      <c r="C52" s="133"/>
      <c r="D52" s="133"/>
      <c r="E52" s="133"/>
      <c r="F52" s="133"/>
      <c r="G52" s="133">
        <f>G38-G40</f>
        <v>0</v>
      </c>
      <c r="H52" s="133">
        <f t="shared" ref="H52:P52" si="159">H38-H40</f>
        <v>-1.1499999999999999</v>
      </c>
      <c r="I52" s="133">
        <f t="shared" si="159"/>
        <v>0</v>
      </c>
      <c r="J52" s="133">
        <f t="shared" si="159"/>
        <v>2.5</v>
      </c>
      <c r="K52" s="133">
        <f t="shared" si="159"/>
        <v>3</v>
      </c>
      <c r="L52" s="133">
        <f t="shared" si="159"/>
        <v>5</v>
      </c>
      <c r="M52" s="133">
        <f t="shared" si="159"/>
        <v>11</v>
      </c>
      <c r="N52" s="133">
        <f t="shared" si="159"/>
        <v>10</v>
      </c>
      <c r="O52" s="133">
        <f t="shared" si="159"/>
        <v>11</v>
      </c>
      <c r="P52" s="133">
        <f t="shared" si="159"/>
        <v>15</v>
      </c>
      <c r="Q52" s="133">
        <f t="shared" ref="Q52" si="160">Q38-Q40</f>
        <v>15</v>
      </c>
      <c r="R52" s="118" t="e">
        <f>((P52/G52)^(1/($H$2-$H$1) ))-1</f>
        <v>#DIV/0!</v>
      </c>
      <c r="S52" s="128"/>
      <c r="T52" s="133">
        <f t="shared" ref="T52:AC52" si="161">T38-T40</f>
        <v>16.800000000000004</v>
      </c>
      <c r="U52" s="133">
        <f t="shared" si="161"/>
        <v>18.81600000000001</v>
      </c>
      <c r="V52" s="133">
        <f t="shared" si="161"/>
        <v>21.073920000000015</v>
      </c>
      <c r="W52" s="133">
        <f t="shared" si="161"/>
        <v>23.602790400000025</v>
      </c>
      <c r="X52" s="133">
        <f t="shared" si="161"/>
        <v>26.435125248000027</v>
      </c>
      <c r="Y52" s="133">
        <f t="shared" si="161"/>
        <v>29.607340277760031</v>
      </c>
      <c r="Z52" s="133">
        <f t="shared" si="161"/>
        <v>33.160221111091246</v>
      </c>
      <c r="AA52" s="133">
        <f t="shared" si="161"/>
        <v>37.139447644422205</v>
      </c>
      <c r="AB52" s="133">
        <f t="shared" si="161"/>
        <v>41.596181361752883</v>
      </c>
      <c r="AC52" s="133">
        <f t="shared" si="161"/>
        <v>46.587723125163251</v>
      </c>
      <c r="AD52" s="138" t="e">
        <f t="shared" ref="AD52" si="162">((AC52/G52)^(1/($AC$3-$H$1) ))-1</f>
        <v>#DIV/0!</v>
      </c>
      <c r="AE52" s="31">
        <f t="shared" si="15"/>
        <v>0.05</v>
      </c>
      <c r="AF52" s="146">
        <f t="shared" ref="AF52" si="163">(AC52*(1+AE52))/($C$1-AE52)</f>
        <v>287.74770165542014</v>
      </c>
    </row>
    <row r="53" spans="2:32" x14ac:dyDescent="0.2">
      <c r="B53" s="20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28"/>
      <c r="S53" s="12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19"/>
      <c r="AE53" s="137"/>
      <c r="AF53" s="146"/>
    </row>
    <row r="54" spans="2:32" x14ac:dyDescent="0.2">
      <c r="B54" s="20" t="s">
        <v>257</v>
      </c>
      <c r="C54" s="25">
        <f t="shared" ref="C54:P54" si="164">C40/C42</f>
        <v>0</v>
      </c>
      <c r="D54" s="25">
        <f t="shared" si="164"/>
        <v>0</v>
      </c>
      <c r="E54" s="25">
        <f t="shared" si="164"/>
        <v>0</v>
      </c>
      <c r="F54" s="133">
        <f t="shared" si="164"/>
        <v>0</v>
      </c>
      <c r="G54" s="133">
        <f t="shared" si="164"/>
        <v>-2.9411764705882351</v>
      </c>
      <c r="H54" s="133">
        <f t="shared" si="164"/>
        <v>-2.9411764705882351</v>
      </c>
      <c r="I54" s="133">
        <f t="shared" si="164"/>
        <v>5</v>
      </c>
      <c r="J54" s="133">
        <f t="shared" si="164"/>
        <v>3.6764705882352939</v>
      </c>
      <c r="K54" s="133">
        <f t="shared" si="164"/>
        <v>5.8823529411764701</v>
      </c>
      <c r="L54" s="133">
        <f t="shared" si="164"/>
        <v>13.235294117647058</v>
      </c>
      <c r="M54" s="133">
        <f t="shared" si="164"/>
        <v>29.411764705882351</v>
      </c>
      <c r="N54" s="133">
        <f t="shared" si="164"/>
        <v>6.9767441860465116</v>
      </c>
      <c r="O54" s="133">
        <f t="shared" si="164"/>
        <v>7.2674418604651168</v>
      </c>
      <c r="P54" s="133">
        <f t="shared" si="164"/>
        <v>9.5930232558139537</v>
      </c>
      <c r="Q54" s="133">
        <f t="shared" ref="Q54" si="165">Q40/Q42</f>
        <v>9.5930232558139537</v>
      </c>
      <c r="R54" s="118">
        <f>((P54/G54)^(1/($H$2-$H$1) ))-1</f>
        <v>-2.1403765239928125</v>
      </c>
      <c r="S54" s="128"/>
      <c r="T54" s="158">
        <f t="shared" ref="T54:AC54" si="166">T40/T42</f>
        <v>10.232558139534884</v>
      </c>
      <c r="U54" s="158">
        <f t="shared" si="166"/>
        <v>10.914728682170542</v>
      </c>
      <c r="V54" s="158">
        <f t="shared" si="166"/>
        <v>11.642377260981913</v>
      </c>
      <c r="W54" s="158">
        <f t="shared" si="166"/>
        <v>12.418535745047377</v>
      </c>
      <c r="X54" s="158">
        <f t="shared" si="166"/>
        <v>13.246438128050535</v>
      </c>
      <c r="Y54" s="158">
        <f t="shared" si="166"/>
        <v>14.129534003253905</v>
      </c>
      <c r="Z54" s="158">
        <f t="shared" si="166"/>
        <v>15.071502936804166</v>
      </c>
      <c r="AA54" s="158">
        <f t="shared" si="166"/>
        <v>16.076269799257776</v>
      </c>
      <c r="AB54" s="158">
        <f t="shared" si="166"/>
        <v>17.148021119208298</v>
      </c>
      <c r="AC54" s="158">
        <f t="shared" si="166"/>
        <v>18.291222527155515</v>
      </c>
      <c r="AD54" s="138" t="e">
        <f t="shared" ref="AD54:AD68" si="167">((AC54/G54)^(1/($AC$3-$H$1) ))-1</f>
        <v>#NUM!</v>
      </c>
      <c r="AE54" s="31">
        <f t="shared" si="15"/>
        <v>0.05</v>
      </c>
      <c r="AF54" s="146">
        <f t="shared" ref="AF54:AF82" si="168">(AC54*(1+AE54))/($C$1-AE54)</f>
        <v>112.97519796184289</v>
      </c>
    </row>
    <row r="55" spans="2:32" x14ac:dyDescent="0.2">
      <c r="B55" s="20" t="s">
        <v>387</v>
      </c>
      <c r="C55" s="133">
        <f t="shared" ref="C55:F55" si="169">C20/C42</f>
        <v>0</v>
      </c>
      <c r="D55" s="133">
        <f t="shared" si="169"/>
        <v>0</v>
      </c>
      <c r="E55" s="133">
        <f t="shared" si="169"/>
        <v>0</v>
      </c>
      <c r="F55" s="133">
        <f t="shared" si="169"/>
        <v>0</v>
      </c>
      <c r="G55" s="133">
        <f>G20/G42</f>
        <v>23.52941176470588</v>
      </c>
      <c r="H55" s="133">
        <f t="shared" ref="H55:P55" si="170">H20/H42</f>
        <v>27.941176470588232</v>
      </c>
      <c r="I55" s="133">
        <f t="shared" si="170"/>
        <v>38.333333333333336</v>
      </c>
      <c r="J55" s="133">
        <f t="shared" si="170"/>
        <v>26.470588235294116</v>
      </c>
      <c r="K55" s="133">
        <f t="shared" si="170"/>
        <v>36.764705882352942</v>
      </c>
      <c r="L55" s="133">
        <f t="shared" si="170"/>
        <v>57.352941176470587</v>
      </c>
      <c r="M55" s="133">
        <f t="shared" si="170"/>
        <v>60.294117647058819</v>
      </c>
      <c r="N55" s="133">
        <f t="shared" si="170"/>
        <v>6.6860465116279073</v>
      </c>
      <c r="O55" s="133">
        <f t="shared" si="170"/>
        <v>23.837209302325583</v>
      </c>
      <c r="P55" s="133">
        <f t="shared" si="170"/>
        <v>20.63953488372093</v>
      </c>
      <c r="Q55" s="133">
        <f t="shared" ref="Q55" si="171">Q20/Q42</f>
        <v>20.63953488372093</v>
      </c>
      <c r="R55" s="118">
        <f>((P55/G55)^(1/($H$2-$H$1) ))-1</f>
        <v>-1.4454822099614018E-2</v>
      </c>
      <c r="S55" s="128"/>
      <c r="T55" s="133">
        <f t="shared" ref="T55:AC55" si="172">T20/T42</f>
        <v>22.015503875968996</v>
      </c>
      <c r="U55" s="133">
        <f t="shared" si="172"/>
        <v>23.483204134366929</v>
      </c>
      <c r="V55" s="133">
        <f t="shared" si="172"/>
        <v>25.048751076658061</v>
      </c>
      <c r="W55" s="133">
        <f t="shared" si="172"/>
        <v>26.718667815101934</v>
      </c>
      <c r="X55" s="133">
        <f t="shared" si="172"/>
        <v>28.499912336108732</v>
      </c>
      <c r="Y55" s="133">
        <f t="shared" si="172"/>
        <v>30.399906491849318</v>
      </c>
      <c r="Z55" s="133">
        <f t="shared" si="172"/>
        <v>32.426566924639275</v>
      </c>
      <c r="AA55" s="133">
        <f t="shared" si="172"/>
        <v>34.588338052948565</v>
      </c>
      <c r="AB55" s="133">
        <f t="shared" si="172"/>
        <v>36.894227256478466</v>
      </c>
      <c r="AC55" s="133">
        <f t="shared" si="172"/>
        <v>39.353842406910374</v>
      </c>
      <c r="AD55" s="138">
        <f t="shared" ref="AD55" si="173">((AC55/G55)^(1/($AC$3-$H$1) ))-1</f>
        <v>2.6050658923736147E-2</v>
      </c>
      <c r="AE55" s="31">
        <f t="shared" si="15"/>
        <v>0.05</v>
      </c>
      <c r="AF55" s="146">
        <f t="shared" si="168"/>
        <v>243.06785016032879</v>
      </c>
    </row>
    <row r="56" spans="2:32" x14ac:dyDescent="0.2">
      <c r="B56" s="20" t="s">
        <v>245</v>
      </c>
      <c r="C56" s="25">
        <f t="shared" ref="C56:P56" si="174">C7/C42</f>
        <v>0</v>
      </c>
      <c r="D56" s="25">
        <f t="shared" si="174"/>
        <v>0</v>
      </c>
      <c r="E56" s="25">
        <f t="shared" si="174"/>
        <v>0</v>
      </c>
      <c r="F56" s="133">
        <f t="shared" si="174"/>
        <v>0</v>
      </c>
      <c r="G56" s="133">
        <f t="shared" si="174"/>
        <v>79.411764705882348</v>
      </c>
      <c r="H56" s="133">
        <f t="shared" si="174"/>
        <v>70.588235294117638</v>
      </c>
      <c r="I56" s="133">
        <f t="shared" si="174"/>
        <v>86.666666666666671</v>
      </c>
      <c r="J56" s="133">
        <f t="shared" si="174"/>
        <v>79.411764705882348</v>
      </c>
      <c r="K56" s="133">
        <f t="shared" si="174"/>
        <v>83.823529411764696</v>
      </c>
      <c r="L56" s="133">
        <f t="shared" si="174"/>
        <v>95.588235294117638</v>
      </c>
      <c r="M56" s="133">
        <f t="shared" si="174"/>
        <v>122.05882352941175</v>
      </c>
      <c r="N56" s="133">
        <f t="shared" si="174"/>
        <v>30.232558139534884</v>
      </c>
      <c r="O56" s="133">
        <f t="shared" si="174"/>
        <v>36.627906976744185</v>
      </c>
      <c r="P56" s="133">
        <f t="shared" si="174"/>
        <v>44.47674418604651</v>
      </c>
      <c r="Q56" s="133">
        <f t="shared" ref="Q56" si="175">Q7/Q42</f>
        <v>44.47674418604651</v>
      </c>
      <c r="R56" s="118">
        <f>((P56/G56)^(1/($H$2-$H$1) ))-1</f>
        <v>-6.2378469949730508E-2</v>
      </c>
      <c r="S56" s="128"/>
      <c r="T56" s="158">
        <f t="shared" ref="T56:AC56" si="176">T7/T42</f>
        <v>47.441860465116278</v>
      </c>
      <c r="U56" s="158">
        <f t="shared" si="176"/>
        <v>50.604651162790702</v>
      </c>
      <c r="V56" s="158">
        <f t="shared" si="176"/>
        <v>53.978294573643417</v>
      </c>
      <c r="W56" s="158">
        <f t="shared" si="176"/>
        <v>57.576847545219657</v>
      </c>
      <c r="X56" s="158">
        <f t="shared" si="176"/>
        <v>61.415304048234297</v>
      </c>
      <c r="Y56" s="158">
        <f t="shared" si="176"/>
        <v>65.509657651449913</v>
      </c>
      <c r="Z56" s="158">
        <f t="shared" si="176"/>
        <v>69.876968161546571</v>
      </c>
      <c r="AA56" s="158">
        <f t="shared" si="176"/>
        <v>74.535432705649683</v>
      </c>
      <c r="AB56" s="158">
        <f t="shared" si="176"/>
        <v>79.504461552693016</v>
      </c>
      <c r="AC56" s="158">
        <f t="shared" si="176"/>
        <v>84.804758989539209</v>
      </c>
      <c r="AD56" s="138">
        <f t="shared" si="167"/>
        <v>3.2906590705603644E-3</v>
      </c>
      <c r="AE56" s="31">
        <f t="shared" si="15"/>
        <v>0.05</v>
      </c>
      <c r="AF56" s="146">
        <f t="shared" si="168"/>
        <v>523.7940996412716</v>
      </c>
    </row>
    <row r="57" spans="2:32" x14ac:dyDescent="0.2">
      <c r="B57" s="20" t="s">
        <v>246</v>
      </c>
      <c r="C57" s="127">
        <f t="shared" ref="C57:P57" si="177">C6/C42</f>
        <v>0</v>
      </c>
      <c r="D57" s="127">
        <f t="shared" si="177"/>
        <v>0</v>
      </c>
      <c r="E57" s="127">
        <f t="shared" si="177"/>
        <v>0</v>
      </c>
      <c r="F57" s="144">
        <f t="shared" si="177"/>
        <v>0</v>
      </c>
      <c r="G57" s="144">
        <f t="shared" si="177"/>
        <v>69.117647058823522</v>
      </c>
      <c r="H57" s="144">
        <f t="shared" si="177"/>
        <v>61.764705882352935</v>
      </c>
      <c r="I57" s="144">
        <f t="shared" si="177"/>
        <v>75</v>
      </c>
      <c r="J57" s="144">
        <f t="shared" si="177"/>
        <v>69.117647058823522</v>
      </c>
      <c r="K57" s="144">
        <f t="shared" si="177"/>
        <v>73.529411764705884</v>
      </c>
      <c r="L57" s="144">
        <f t="shared" si="177"/>
        <v>85.294117647058812</v>
      </c>
      <c r="M57" s="144">
        <f t="shared" si="177"/>
        <v>111.76470588235293</v>
      </c>
      <c r="N57" s="144">
        <f t="shared" si="177"/>
        <v>28.197674418604652</v>
      </c>
      <c r="O57" s="144">
        <f t="shared" si="177"/>
        <v>34.593023255813954</v>
      </c>
      <c r="P57" s="144">
        <f t="shared" si="177"/>
        <v>42.441860465116278</v>
      </c>
      <c r="Q57" s="144">
        <f t="shared" ref="Q57" si="178">Q6/Q42</f>
        <v>42.441860465116278</v>
      </c>
      <c r="R57" s="118">
        <f>((P57/G57)^(1/($H$2-$H$1) ))-1</f>
        <v>-5.2744197596898745E-2</v>
      </c>
      <c r="S57" s="128"/>
      <c r="T57" s="157">
        <f t="shared" ref="T57:AC57" si="179">T6/T42</f>
        <v>45.271317829457367</v>
      </c>
      <c r="U57" s="157">
        <f t="shared" si="179"/>
        <v>48.289405684754527</v>
      </c>
      <c r="V57" s="157">
        <f t="shared" si="179"/>
        <v>51.508699397071503</v>
      </c>
      <c r="W57" s="157">
        <f t="shared" si="179"/>
        <v>54.942612690209607</v>
      </c>
      <c r="X57" s="157">
        <f t="shared" si="179"/>
        <v>58.605453536223585</v>
      </c>
      <c r="Y57" s="157">
        <f t="shared" si="179"/>
        <v>62.512483771971823</v>
      </c>
      <c r="Z57" s="157">
        <f t="shared" si="179"/>
        <v>66.679982690103287</v>
      </c>
      <c r="AA57" s="157">
        <f t="shared" si="179"/>
        <v>71.125314869443514</v>
      </c>
      <c r="AB57" s="157">
        <f t="shared" si="179"/>
        <v>75.867002527406427</v>
      </c>
      <c r="AC57" s="157">
        <f t="shared" si="179"/>
        <v>80.924802695900183</v>
      </c>
      <c r="AD57" s="138">
        <f t="shared" si="167"/>
        <v>7.9166865073498904E-3</v>
      </c>
      <c r="AE57" s="31">
        <f t="shared" si="15"/>
        <v>0.05</v>
      </c>
      <c r="AF57" s="146">
        <f t="shared" si="168"/>
        <v>499.82966370997178</v>
      </c>
    </row>
    <row r="58" spans="2:32" x14ac:dyDescent="0.2">
      <c r="B58" s="20" t="s">
        <v>247</v>
      </c>
      <c r="C58" s="127">
        <f t="shared" ref="C58:P58" si="180">C10/C42</f>
        <v>0</v>
      </c>
      <c r="D58" s="127">
        <f t="shared" si="180"/>
        <v>0</v>
      </c>
      <c r="E58" s="127">
        <f t="shared" si="180"/>
        <v>0</v>
      </c>
      <c r="F58" s="144">
        <f t="shared" si="180"/>
        <v>0</v>
      </c>
      <c r="G58" s="144">
        <f t="shared" si="180"/>
        <v>211.76470588235293</v>
      </c>
      <c r="H58" s="144">
        <f t="shared" si="180"/>
        <v>182.35294117647058</v>
      </c>
      <c r="I58" s="144">
        <f t="shared" si="180"/>
        <v>203.33333333333334</v>
      </c>
      <c r="J58" s="144">
        <f t="shared" si="180"/>
        <v>177.94117647058823</v>
      </c>
      <c r="K58" s="144">
        <f t="shared" si="180"/>
        <v>210.29411764705881</v>
      </c>
      <c r="L58" s="144">
        <f t="shared" si="180"/>
        <v>191.17647058823528</v>
      </c>
      <c r="M58" s="144">
        <f t="shared" si="180"/>
        <v>238.23529411764704</v>
      </c>
      <c r="N58" s="144">
        <f t="shared" si="180"/>
        <v>56.686046511627907</v>
      </c>
      <c r="O58" s="144">
        <f t="shared" si="180"/>
        <v>43.604651162790695</v>
      </c>
      <c r="P58" s="144">
        <f t="shared" si="180"/>
        <v>41.279069767441861</v>
      </c>
      <c r="Q58" s="144">
        <f t="shared" ref="Q58" si="181">Q10/Q42</f>
        <v>41.279069767441861</v>
      </c>
      <c r="R58" s="118">
        <f>((P58/G58)^(1/($H$2-$H$1) ))-1</f>
        <v>-0.16613188246081989</v>
      </c>
      <c r="S58" s="128"/>
      <c r="T58" s="157">
        <f t="shared" ref="T58:AC58" si="182">T10/T42</f>
        <v>44.031007751937992</v>
      </c>
      <c r="U58" s="157">
        <f t="shared" si="182"/>
        <v>46.966408268733858</v>
      </c>
      <c r="V58" s="157">
        <f t="shared" si="182"/>
        <v>50.097502153316121</v>
      </c>
      <c r="W58" s="157">
        <f t="shared" si="182"/>
        <v>53.437335630203869</v>
      </c>
      <c r="X58" s="157">
        <f t="shared" si="182"/>
        <v>56.999824672217464</v>
      </c>
      <c r="Y58" s="157">
        <f t="shared" si="182"/>
        <v>60.799812983698637</v>
      </c>
      <c r="Z58" s="157">
        <f t="shared" si="182"/>
        <v>64.853133849278549</v>
      </c>
      <c r="AA58" s="157">
        <f t="shared" si="182"/>
        <v>69.17667610589713</v>
      </c>
      <c r="AB58" s="157">
        <f t="shared" si="182"/>
        <v>73.788454512956932</v>
      </c>
      <c r="AC58" s="157">
        <f t="shared" si="182"/>
        <v>78.707684813820748</v>
      </c>
      <c r="AD58" s="138">
        <f t="shared" si="167"/>
        <v>-4.8282230867997766E-2</v>
      </c>
      <c r="AE58" s="31">
        <f t="shared" si="15"/>
        <v>0.05</v>
      </c>
      <c r="AF58" s="146">
        <f t="shared" si="168"/>
        <v>486.13570032065758</v>
      </c>
    </row>
    <row r="59" spans="2:32" x14ac:dyDescent="0.2">
      <c r="B59" s="20"/>
      <c r="C59" s="127"/>
      <c r="D59" s="127"/>
      <c r="E59" s="127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28"/>
      <c r="S59" s="128"/>
      <c r="T59" s="157"/>
      <c r="U59" s="157"/>
      <c r="V59" s="157"/>
      <c r="W59" s="157"/>
      <c r="X59" s="157"/>
      <c r="Y59" s="157"/>
      <c r="Z59" s="157"/>
      <c r="AA59" s="157"/>
      <c r="AB59" s="157"/>
      <c r="AC59" s="157"/>
      <c r="AD59" s="139"/>
      <c r="AE59" s="137"/>
      <c r="AF59" s="146"/>
    </row>
    <row r="60" spans="2:32" x14ac:dyDescent="0.2">
      <c r="B60" s="20" t="s">
        <v>270</v>
      </c>
      <c r="C60" s="127">
        <f t="shared" ref="C60:P60" si="183">(C7-C10)/C42</f>
        <v>0</v>
      </c>
      <c r="D60" s="127">
        <f t="shared" si="183"/>
        <v>0</v>
      </c>
      <c r="E60" s="127">
        <f t="shared" si="183"/>
        <v>0</v>
      </c>
      <c r="F60" s="144">
        <f t="shared" si="183"/>
        <v>0</v>
      </c>
      <c r="G60" s="144">
        <f t="shared" si="183"/>
        <v>-132.35294117647058</v>
      </c>
      <c r="H60" s="144">
        <f t="shared" si="183"/>
        <v>-111.76470588235293</v>
      </c>
      <c r="I60" s="144">
        <f t="shared" si="183"/>
        <v>-116.66666666666667</v>
      </c>
      <c r="J60" s="144">
        <f t="shared" si="183"/>
        <v>-98.52941176470587</v>
      </c>
      <c r="K60" s="144">
        <f t="shared" si="183"/>
        <v>-126.4705882352941</v>
      </c>
      <c r="L60" s="144">
        <f t="shared" si="183"/>
        <v>-95.588235294117638</v>
      </c>
      <c r="M60" s="144">
        <f t="shared" si="183"/>
        <v>-116.17647058823529</v>
      </c>
      <c r="N60" s="144">
        <f t="shared" si="183"/>
        <v>-26.453488372093023</v>
      </c>
      <c r="O60" s="144">
        <f t="shared" si="183"/>
        <v>-6.9767441860465116</v>
      </c>
      <c r="P60" s="144">
        <f t="shared" si="183"/>
        <v>3.1976744186046511</v>
      </c>
      <c r="Q60" s="144">
        <f t="shared" ref="Q60" si="184">(Q7-Q10)/Q42</f>
        <v>3.1976744186046511</v>
      </c>
      <c r="R60" s="118">
        <f>((P60/G60)^(1/($H$2-$H$1) ))-1</f>
        <v>-1.6612177694442503</v>
      </c>
      <c r="S60" s="128"/>
      <c r="T60" s="157">
        <f t="shared" ref="T60:AC60" si="185">(T7-T10)/T42</f>
        <v>3.4108527131782926</v>
      </c>
      <c r="U60" s="157">
        <f t="shared" si="185"/>
        <v>3.6382428940568436</v>
      </c>
      <c r="V60" s="157">
        <f t="shared" si="185"/>
        <v>3.8807924203272952</v>
      </c>
      <c r="W60" s="157">
        <f t="shared" si="185"/>
        <v>4.1395119150157855</v>
      </c>
      <c r="X60" s="157">
        <f t="shared" si="185"/>
        <v>4.4154793760168296</v>
      </c>
      <c r="Y60" s="157">
        <f t="shared" si="185"/>
        <v>4.7098446677512813</v>
      </c>
      <c r="Z60" s="157">
        <f t="shared" si="185"/>
        <v>5.0238343122680318</v>
      </c>
      <c r="AA60" s="157">
        <f t="shared" si="185"/>
        <v>5.3587565997525664</v>
      </c>
      <c r="AB60" s="157">
        <f t="shared" si="185"/>
        <v>5.7160070397360743</v>
      </c>
      <c r="AC60" s="157">
        <f t="shared" si="185"/>
        <v>6.0970741757184737</v>
      </c>
      <c r="AD60" s="138" t="e">
        <f t="shared" si="167"/>
        <v>#NUM!</v>
      </c>
      <c r="AE60" s="31">
        <f t="shared" si="15"/>
        <v>0.05</v>
      </c>
      <c r="AF60" s="146">
        <f t="shared" si="168"/>
        <v>37.658399320614109</v>
      </c>
    </row>
    <row r="61" spans="2:32" x14ac:dyDescent="0.2">
      <c r="B61" s="20" t="s">
        <v>271</v>
      </c>
      <c r="C61" s="127">
        <f t="shared" ref="C61:P61" si="186">(C7-C10-C9)/C42</f>
        <v>0</v>
      </c>
      <c r="D61" s="127">
        <f t="shared" si="186"/>
        <v>0</v>
      </c>
      <c r="E61" s="127">
        <f t="shared" si="186"/>
        <v>0</v>
      </c>
      <c r="F61" s="144">
        <f t="shared" si="186"/>
        <v>0</v>
      </c>
      <c r="G61" s="144">
        <f t="shared" si="186"/>
        <v>-242.64705882352939</v>
      </c>
      <c r="H61" s="144">
        <f t="shared" si="186"/>
        <v>-207.35294117647058</v>
      </c>
      <c r="I61" s="144">
        <f t="shared" si="186"/>
        <v>-241.66666666666669</v>
      </c>
      <c r="J61" s="144">
        <f t="shared" si="186"/>
        <v>-235.29411764705881</v>
      </c>
      <c r="K61" s="144">
        <f t="shared" si="186"/>
        <v>-252.9411764705882</v>
      </c>
      <c r="L61" s="144">
        <f t="shared" si="186"/>
        <v>-248.52941176470586</v>
      </c>
      <c r="M61" s="144">
        <f t="shared" si="186"/>
        <v>-317.64705882352939</v>
      </c>
      <c r="N61" s="144">
        <f t="shared" si="186"/>
        <v>-70.348837209302332</v>
      </c>
      <c r="O61" s="144">
        <f t="shared" si="186"/>
        <v>-67.441860465116278</v>
      </c>
      <c r="P61" s="144">
        <f t="shared" si="186"/>
        <v>-73.837209302325576</v>
      </c>
      <c r="Q61" s="144">
        <f t="shared" ref="Q61" si="187">(Q7-Q10-Q9)/Q42</f>
        <v>-73.837209302325576</v>
      </c>
      <c r="R61" s="118">
        <f>((P61/G61)^(1/($H$2-$H$1) ))-1</f>
        <v>-0.12382891671816088</v>
      </c>
      <c r="S61" s="128"/>
      <c r="T61" s="157">
        <f t="shared" ref="T61:AC61" si="188">(T7-T10-T9)/T42</f>
        <v>-78.759689922480618</v>
      </c>
      <c r="U61" s="157">
        <f t="shared" si="188"/>
        <v>-84.010335917312673</v>
      </c>
      <c r="V61" s="157">
        <f t="shared" si="188"/>
        <v>-89.611024978466858</v>
      </c>
      <c r="W61" s="157">
        <f t="shared" si="188"/>
        <v>-95.585093310364655</v>
      </c>
      <c r="X61" s="157">
        <f t="shared" si="188"/>
        <v>-101.95743286438899</v>
      </c>
      <c r="Y61" s="157">
        <f t="shared" si="188"/>
        <v>-108.75459505534826</v>
      </c>
      <c r="Z61" s="157">
        <f t="shared" si="188"/>
        <v>-116.00490139237149</v>
      </c>
      <c r="AA61" s="157">
        <f t="shared" si="188"/>
        <v>-123.73856148519627</v>
      </c>
      <c r="AB61" s="157">
        <f t="shared" si="188"/>
        <v>-131.9877989175427</v>
      </c>
      <c r="AC61" s="157">
        <f t="shared" si="188"/>
        <v>-140.78698551204556</v>
      </c>
      <c r="AD61" s="138">
        <f t="shared" si="167"/>
        <v>-2.6850925554377736E-2</v>
      </c>
      <c r="AE61" s="31">
        <f t="shared" si="15"/>
        <v>0.05</v>
      </c>
      <c r="AF61" s="146">
        <f t="shared" si="168"/>
        <v>-869.56667522145801</v>
      </c>
    </row>
    <row r="62" spans="2:32" x14ac:dyDescent="0.2">
      <c r="B62" s="20" t="s">
        <v>276</v>
      </c>
      <c r="C62" s="127">
        <f t="shared" ref="C62:P62" si="189">(C7+C15-C10-C9)/C42</f>
        <v>0</v>
      </c>
      <c r="D62" s="127">
        <f t="shared" si="189"/>
        <v>0</v>
      </c>
      <c r="E62" s="127">
        <f t="shared" si="189"/>
        <v>0</v>
      </c>
      <c r="F62" s="144">
        <f t="shared" si="189"/>
        <v>0</v>
      </c>
      <c r="G62" s="144">
        <f t="shared" si="189"/>
        <v>-120.58823529411764</v>
      </c>
      <c r="H62" s="144">
        <f t="shared" si="189"/>
        <v>-75</v>
      </c>
      <c r="I62" s="144">
        <f t="shared" si="189"/>
        <v>-65</v>
      </c>
      <c r="J62" s="144">
        <f t="shared" si="189"/>
        <v>-44.117647058823529</v>
      </c>
      <c r="K62" s="144">
        <f t="shared" si="189"/>
        <v>-61.764705882352935</v>
      </c>
      <c r="L62" s="144">
        <f t="shared" si="189"/>
        <v>-36.764705882352942</v>
      </c>
      <c r="M62" s="144">
        <f t="shared" si="189"/>
        <v>-47.058823529411761</v>
      </c>
      <c r="N62" s="144">
        <f t="shared" si="189"/>
        <v>-1.1627906976744187</v>
      </c>
      <c r="O62" s="144">
        <f t="shared" si="189"/>
        <v>9.0116279069767451</v>
      </c>
      <c r="P62" s="144">
        <f t="shared" si="189"/>
        <v>19.476744186046513</v>
      </c>
      <c r="Q62" s="144">
        <f t="shared" ref="Q62" si="190">(Q7+Q15-Q10-Q9)/Q42</f>
        <v>19.476744186046513</v>
      </c>
      <c r="R62" s="118">
        <f>((P62/G62)^(1/($H$2-$H$1) ))-1</f>
        <v>-1.8166265418185297</v>
      </c>
      <c r="S62" s="128"/>
      <c r="T62" s="157">
        <f t="shared" ref="T62:AC62" si="191">(T7+T15-T10-T9)/T42</f>
        <v>20.775193798449632</v>
      </c>
      <c r="U62" s="157">
        <f t="shared" si="191"/>
        <v>22.160206718346256</v>
      </c>
      <c r="V62" s="157">
        <f t="shared" si="191"/>
        <v>23.637553832902682</v>
      </c>
      <c r="W62" s="157">
        <f t="shared" si="191"/>
        <v>25.213390755096185</v>
      </c>
      <c r="X62" s="157">
        <f t="shared" si="191"/>
        <v>26.894283472102575</v>
      </c>
      <c r="Y62" s="157">
        <f t="shared" si="191"/>
        <v>28.687235703576089</v>
      </c>
      <c r="Z62" s="157">
        <f t="shared" si="191"/>
        <v>30.599718083814551</v>
      </c>
      <c r="AA62" s="157">
        <f t="shared" si="191"/>
        <v>32.639699289402159</v>
      </c>
      <c r="AB62" s="157">
        <f t="shared" si="191"/>
        <v>34.81567924202897</v>
      </c>
      <c r="AC62" s="157">
        <f t="shared" si="191"/>
        <v>37.13672452483091</v>
      </c>
      <c r="AD62" s="138" t="e">
        <f t="shared" si="167"/>
        <v>#NUM!</v>
      </c>
      <c r="AE62" s="31">
        <f t="shared" si="15"/>
        <v>0.05</v>
      </c>
      <c r="AF62" s="146">
        <f t="shared" si="168"/>
        <v>229.37388677101447</v>
      </c>
    </row>
    <row r="63" spans="2:32" x14ac:dyDescent="0.2">
      <c r="B63" s="20"/>
      <c r="C63" s="127"/>
      <c r="D63" s="127"/>
      <c r="E63" s="127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28"/>
      <c r="S63" s="128"/>
      <c r="T63" s="154"/>
      <c r="U63" s="154"/>
      <c r="V63" s="154"/>
      <c r="W63" s="154"/>
      <c r="X63" s="154"/>
      <c r="Y63" s="154"/>
      <c r="Z63" s="154"/>
      <c r="AA63" s="154"/>
      <c r="AB63" s="154"/>
      <c r="AC63" s="154"/>
      <c r="AD63" s="139"/>
      <c r="AE63" s="137"/>
      <c r="AF63" s="154"/>
    </row>
    <row r="64" spans="2:32" x14ac:dyDescent="0.2">
      <c r="B64" s="20" t="s">
        <v>248</v>
      </c>
      <c r="C64" s="127">
        <f t="shared" ref="C64:P64" si="192">C12/C42</f>
        <v>0</v>
      </c>
      <c r="D64" s="127">
        <f t="shared" si="192"/>
        <v>0</v>
      </c>
      <c r="E64" s="127">
        <f t="shared" si="192"/>
        <v>0</v>
      </c>
      <c r="F64" s="144">
        <f t="shared" si="192"/>
        <v>0</v>
      </c>
      <c r="G64" s="144">
        <f t="shared" si="192"/>
        <v>122.05882352941175</v>
      </c>
      <c r="H64" s="144">
        <f t="shared" si="192"/>
        <v>4.4117647058823524</v>
      </c>
      <c r="I64" s="144">
        <f t="shared" si="192"/>
        <v>8.3333333333333339</v>
      </c>
      <c r="J64" s="144">
        <f t="shared" si="192"/>
        <v>8.8235294117647047</v>
      </c>
      <c r="K64" s="144">
        <f t="shared" si="192"/>
        <v>16.176470588235293</v>
      </c>
      <c r="L64" s="144">
        <f t="shared" si="192"/>
        <v>16.176470588235293</v>
      </c>
      <c r="M64" s="144">
        <f t="shared" si="192"/>
        <v>22.058823529411764</v>
      </c>
      <c r="N64" s="144">
        <f t="shared" si="192"/>
        <v>4.3604651162790695</v>
      </c>
      <c r="O64" s="144">
        <f t="shared" si="192"/>
        <v>6.3953488372093021</v>
      </c>
      <c r="P64" s="144">
        <f t="shared" si="192"/>
        <v>7.558139534883721</v>
      </c>
      <c r="Q64" s="144">
        <f t="shared" ref="Q64" si="193">Q12/Q42</f>
        <v>7.558139534883721</v>
      </c>
      <c r="R64" s="118">
        <f>((P64/G64)^(1/($H$2-$H$1) ))-1</f>
        <v>-0.26589085168535576</v>
      </c>
      <c r="S64" s="128"/>
      <c r="T64" s="157">
        <f t="shared" ref="T64:AC64" si="194">T12/T42</f>
        <v>8.0620155038759709</v>
      </c>
      <c r="U64" s="157">
        <f t="shared" si="194"/>
        <v>8.5994832041343692</v>
      </c>
      <c r="V64" s="157">
        <f t="shared" si="194"/>
        <v>9.1727820844099952</v>
      </c>
      <c r="W64" s="157">
        <f t="shared" si="194"/>
        <v>9.7843008900373292</v>
      </c>
      <c r="X64" s="157">
        <f t="shared" si="194"/>
        <v>10.436587616039819</v>
      </c>
      <c r="Y64" s="157">
        <f t="shared" si="194"/>
        <v>11.132360123775809</v>
      </c>
      <c r="Z64" s="157">
        <f t="shared" si="194"/>
        <v>11.874517465360864</v>
      </c>
      <c r="AA64" s="157">
        <f t="shared" si="194"/>
        <v>12.666151963051588</v>
      </c>
      <c r="AB64" s="157">
        <f t="shared" si="194"/>
        <v>13.510562093921695</v>
      </c>
      <c r="AC64" s="157">
        <f t="shared" si="194"/>
        <v>14.411266233516475</v>
      </c>
      <c r="AD64" s="138">
        <f t="shared" si="167"/>
        <v>-0.10131674820768521</v>
      </c>
      <c r="AE64" s="31">
        <f t="shared" si="15"/>
        <v>0.05</v>
      </c>
      <c r="AF64" s="146">
        <f t="shared" si="168"/>
        <v>89.010762030542949</v>
      </c>
    </row>
    <row r="65" spans="2:32" x14ac:dyDescent="0.2">
      <c r="B65" s="20" t="s">
        <v>255</v>
      </c>
      <c r="C65" s="127">
        <f t="shared" ref="C65:P65" si="195">C13/C42</f>
        <v>0</v>
      </c>
      <c r="D65" s="127">
        <f t="shared" si="195"/>
        <v>0</v>
      </c>
      <c r="E65" s="127">
        <f t="shared" si="195"/>
        <v>0</v>
      </c>
      <c r="F65" s="144">
        <f t="shared" si="195"/>
        <v>0</v>
      </c>
      <c r="G65" s="144">
        <f t="shared" si="195"/>
        <v>1.4117647058823528</v>
      </c>
      <c r="H65" s="144">
        <f t="shared" si="195"/>
        <v>1.0294117647058822</v>
      </c>
      <c r="I65" s="144">
        <f t="shared" si="195"/>
        <v>1</v>
      </c>
      <c r="J65" s="144">
        <f t="shared" si="195"/>
        <v>0.88235294117647045</v>
      </c>
      <c r="K65" s="144">
        <f t="shared" si="195"/>
        <v>0.88235294117647045</v>
      </c>
      <c r="L65" s="144">
        <f t="shared" si="195"/>
        <v>0.51470588235294112</v>
      </c>
      <c r="M65" s="144">
        <f t="shared" si="195"/>
        <v>1.4705882352941175</v>
      </c>
      <c r="N65" s="144">
        <f t="shared" si="195"/>
        <v>0.26162790697674421</v>
      </c>
      <c r="O65" s="144">
        <f t="shared" si="195"/>
        <v>1.4534883720930232</v>
      </c>
      <c r="P65" s="144">
        <f t="shared" si="195"/>
        <v>2.5290697674418605</v>
      </c>
      <c r="Q65" s="144">
        <f t="shared" ref="Q65" si="196">Q13/Q42</f>
        <v>2.5290697674418605</v>
      </c>
      <c r="R65" s="118">
        <f>((P65/G65)^(1/($H$2-$H$1) ))-1</f>
        <v>6.6923216357682724E-2</v>
      </c>
      <c r="S65" s="128"/>
      <c r="T65" s="157">
        <f t="shared" ref="T65:AC65" si="197">T13/T42</f>
        <v>2.6976744186046511</v>
      </c>
      <c r="U65" s="157">
        <f t="shared" si="197"/>
        <v>2.8775193798449612</v>
      </c>
      <c r="V65" s="157">
        <f t="shared" si="197"/>
        <v>3.0693540051679586</v>
      </c>
      <c r="W65" s="157">
        <f t="shared" si="197"/>
        <v>3.2739776055124898</v>
      </c>
      <c r="X65" s="157">
        <f t="shared" si="197"/>
        <v>3.4922427792133228</v>
      </c>
      <c r="Y65" s="157">
        <f t="shared" si="197"/>
        <v>3.7250589644942114</v>
      </c>
      <c r="Z65" s="157">
        <f t="shared" si="197"/>
        <v>3.9733962287938254</v>
      </c>
      <c r="AA65" s="157">
        <f t="shared" si="197"/>
        <v>4.2382893107134141</v>
      </c>
      <c r="AB65" s="157">
        <f t="shared" si="197"/>
        <v>4.5208419314276416</v>
      </c>
      <c r="AC65" s="157">
        <f t="shared" si="197"/>
        <v>4.8222313935228183</v>
      </c>
      <c r="AD65" s="138">
        <f t="shared" si="167"/>
        <v>6.3345227675664528E-2</v>
      </c>
      <c r="AE65" s="31">
        <f t="shared" si="15"/>
        <v>0.05</v>
      </c>
      <c r="AF65" s="146">
        <f t="shared" si="168"/>
        <v>29.784370371758587</v>
      </c>
    </row>
    <row r="66" spans="2:32" x14ac:dyDescent="0.2">
      <c r="B66" s="20" t="s">
        <v>256</v>
      </c>
      <c r="C66" s="127">
        <f>(C64+C65)</f>
        <v>0</v>
      </c>
      <c r="D66" s="127">
        <f t="shared" ref="D66:P66" si="198">(D64+D65)</f>
        <v>0</v>
      </c>
      <c r="E66" s="127">
        <f t="shared" si="198"/>
        <v>0</v>
      </c>
      <c r="F66" s="144">
        <f t="shared" si="198"/>
        <v>0</v>
      </c>
      <c r="G66" s="144">
        <f t="shared" si="198"/>
        <v>123.4705882352941</v>
      </c>
      <c r="H66" s="144">
        <f t="shared" si="198"/>
        <v>5.4411764705882346</v>
      </c>
      <c r="I66" s="144">
        <f t="shared" si="198"/>
        <v>9.3333333333333339</v>
      </c>
      <c r="J66" s="144">
        <f t="shared" si="198"/>
        <v>9.7058823529411757</v>
      </c>
      <c r="K66" s="144">
        <f t="shared" si="198"/>
        <v>17.058823529411764</v>
      </c>
      <c r="L66" s="144">
        <f t="shared" si="198"/>
        <v>16.691176470588236</v>
      </c>
      <c r="M66" s="144">
        <f t="shared" si="198"/>
        <v>23.52941176470588</v>
      </c>
      <c r="N66" s="144">
        <f t="shared" si="198"/>
        <v>4.6220930232558137</v>
      </c>
      <c r="O66" s="144">
        <f t="shared" ref="O66" si="199">(O64+O65)</f>
        <v>7.8488372093023253</v>
      </c>
      <c r="P66" s="144">
        <f t="shared" si="198"/>
        <v>10.087209302325581</v>
      </c>
      <c r="Q66" s="144">
        <f t="shared" ref="Q66" si="200">(Q64+Q65)</f>
        <v>10.087209302325581</v>
      </c>
      <c r="R66" s="118">
        <f>((P66/G66)^(1/($H$2-$H$1) ))-1</f>
        <v>-0.24293325743937655</v>
      </c>
      <c r="S66" s="128"/>
      <c r="T66" s="157">
        <f t="shared" ref="T66:AC66" si="201">(T64+T65)</f>
        <v>10.759689922480622</v>
      </c>
      <c r="U66" s="157">
        <f t="shared" si="201"/>
        <v>11.477002583979331</v>
      </c>
      <c r="V66" s="157">
        <f t="shared" si="201"/>
        <v>12.242136089577954</v>
      </c>
      <c r="W66" s="157">
        <f t="shared" si="201"/>
        <v>13.058278495549819</v>
      </c>
      <c r="X66" s="157">
        <f t="shared" si="201"/>
        <v>13.928830395253142</v>
      </c>
      <c r="Y66" s="157">
        <f t="shared" si="201"/>
        <v>14.857419088270021</v>
      </c>
      <c r="Z66" s="157">
        <f t="shared" si="201"/>
        <v>15.847913694154689</v>
      </c>
      <c r="AA66" s="157">
        <f t="shared" si="201"/>
        <v>16.904441273765002</v>
      </c>
      <c r="AB66" s="157">
        <f t="shared" si="201"/>
        <v>18.031404025349339</v>
      </c>
      <c r="AC66" s="157">
        <f t="shared" si="201"/>
        <v>19.233497627039291</v>
      </c>
      <c r="AD66" s="138">
        <f t="shared" si="167"/>
        <v>-8.8776864877642692E-2</v>
      </c>
      <c r="AE66" s="31">
        <f t="shared" si="15"/>
        <v>0.05</v>
      </c>
      <c r="AF66" s="146">
        <f t="shared" si="168"/>
        <v>118.79513240230152</v>
      </c>
    </row>
    <row r="67" spans="2:32" x14ac:dyDescent="0.2">
      <c r="B67" s="20" t="s">
        <v>249</v>
      </c>
      <c r="C67" s="127">
        <f t="shared" ref="C67:P67" si="202">C15/C42</f>
        <v>0</v>
      </c>
      <c r="D67" s="127">
        <f t="shared" si="202"/>
        <v>0</v>
      </c>
      <c r="E67" s="127">
        <f t="shared" si="202"/>
        <v>0</v>
      </c>
      <c r="F67" s="144">
        <f t="shared" si="202"/>
        <v>0</v>
      </c>
      <c r="G67" s="144">
        <f t="shared" si="202"/>
        <v>122.05882352941175</v>
      </c>
      <c r="H67" s="144">
        <f t="shared" si="202"/>
        <v>132.35294117647058</v>
      </c>
      <c r="I67" s="144">
        <f t="shared" si="202"/>
        <v>176.66666666666669</v>
      </c>
      <c r="J67" s="144">
        <f t="shared" si="202"/>
        <v>191.17647058823528</v>
      </c>
      <c r="K67" s="144">
        <f t="shared" si="202"/>
        <v>191.17647058823528</v>
      </c>
      <c r="L67" s="144">
        <f t="shared" si="202"/>
        <v>211.76470588235293</v>
      </c>
      <c r="M67" s="144">
        <f t="shared" si="202"/>
        <v>270.58823529411762</v>
      </c>
      <c r="N67" s="144">
        <f t="shared" si="202"/>
        <v>69.186046511627907</v>
      </c>
      <c r="O67" s="144">
        <f t="shared" si="202"/>
        <v>76.45348837209302</v>
      </c>
      <c r="P67" s="144">
        <f t="shared" si="202"/>
        <v>93.313953488372093</v>
      </c>
      <c r="Q67" s="144">
        <f t="shared" ref="Q67" si="203">Q15/Q42</f>
        <v>93.313953488372093</v>
      </c>
      <c r="R67" s="118">
        <f>((P67/G67)^(1/($H$2-$H$1) ))-1</f>
        <v>-2.9396318050460835E-2</v>
      </c>
      <c r="S67" s="128"/>
      <c r="T67" s="157">
        <f t="shared" ref="T67:AC67" si="204">T15/T42</f>
        <v>99.534883720930239</v>
      </c>
      <c r="U67" s="157">
        <f t="shared" si="204"/>
        <v>106.17054263565893</v>
      </c>
      <c r="V67" s="157">
        <f t="shared" si="204"/>
        <v>113.24857881136953</v>
      </c>
      <c r="W67" s="157">
        <f t="shared" si="204"/>
        <v>120.79848406546085</v>
      </c>
      <c r="X67" s="157">
        <f t="shared" si="204"/>
        <v>128.85171633649156</v>
      </c>
      <c r="Y67" s="157">
        <f t="shared" si="204"/>
        <v>137.44183075892437</v>
      </c>
      <c r="Z67" s="157">
        <f t="shared" si="204"/>
        <v>146.604619476186</v>
      </c>
      <c r="AA67" s="157">
        <f t="shared" si="204"/>
        <v>156.3782607745984</v>
      </c>
      <c r="AB67" s="157">
        <f t="shared" si="204"/>
        <v>166.80347815957165</v>
      </c>
      <c r="AC67" s="157">
        <f t="shared" si="204"/>
        <v>177.92371003687646</v>
      </c>
      <c r="AD67" s="138">
        <f t="shared" si="167"/>
        <v>1.9021230561382385E-2</v>
      </c>
      <c r="AE67" s="31">
        <f t="shared" si="15"/>
        <v>0.05</v>
      </c>
      <c r="AF67" s="146">
        <f t="shared" si="168"/>
        <v>1098.9405619924723</v>
      </c>
    </row>
    <row r="68" spans="2:32" x14ac:dyDescent="0.2">
      <c r="B68" s="20" t="s">
        <v>250</v>
      </c>
      <c r="C68" s="127">
        <f t="shared" ref="C68:P68" si="205">C16/C42</f>
        <v>0</v>
      </c>
      <c r="D68" s="127">
        <f t="shared" si="205"/>
        <v>0</v>
      </c>
      <c r="E68" s="127">
        <f t="shared" si="205"/>
        <v>0</v>
      </c>
      <c r="F68" s="144">
        <f t="shared" si="205"/>
        <v>0</v>
      </c>
      <c r="G68" s="144">
        <f t="shared" si="205"/>
        <v>36.764705882352942</v>
      </c>
      <c r="H68" s="144">
        <f t="shared" si="205"/>
        <v>44.117647058823529</v>
      </c>
      <c r="I68" s="144">
        <f t="shared" si="205"/>
        <v>61.666666666666671</v>
      </c>
      <c r="J68" s="144">
        <f t="shared" si="205"/>
        <v>75</v>
      </c>
      <c r="K68" s="144">
        <f t="shared" si="205"/>
        <v>89.705882352941174</v>
      </c>
      <c r="L68" s="144">
        <f t="shared" si="205"/>
        <v>92.647058823529406</v>
      </c>
      <c r="M68" s="144">
        <f t="shared" si="205"/>
        <v>130.88235294117646</v>
      </c>
      <c r="N68" s="144">
        <f t="shared" si="205"/>
        <v>35.174418604651166</v>
      </c>
      <c r="O68" s="144">
        <f t="shared" si="205"/>
        <v>22.38372093023256</v>
      </c>
      <c r="P68" s="144">
        <f t="shared" si="205"/>
        <v>22.38372093023256</v>
      </c>
      <c r="Q68" s="144">
        <f t="shared" ref="Q68" si="206">Q16/Q42</f>
        <v>22.38372093023256</v>
      </c>
      <c r="R68" s="118">
        <f>((P68/G68)^(1/($H$2-$H$1) ))-1</f>
        <v>-5.364149960816178E-2</v>
      </c>
      <c r="S68" s="128"/>
      <c r="T68" s="157">
        <f t="shared" ref="T68:AC68" si="207">T16/T42</f>
        <v>23.875968992248065</v>
      </c>
      <c r="U68" s="157">
        <f t="shared" si="207"/>
        <v>25.467700258397937</v>
      </c>
      <c r="V68" s="157">
        <f t="shared" si="207"/>
        <v>27.165546942291133</v>
      </c>
      <c r="W68" s="157">
        <f t="shared" si="207"/>
        <v>28.976583405110546</v>
      </c>
      <c r="X68" s="157">
        <f t="shared" si="207"/>
        <v>30.908355632117917</v>
      </c>
      <c r="Y68" s="157">
        <f t="shared" si="207"/>
        <v>32.968912674259109</v>
      </c>
      <c r="Z68" s="157">
        <f t="shared" si="207"/>
        <v>35.166840185876389</v>
      </c>
      <c r="AA68" s="157">
        <f t="shared" si="207"/>
        <v>37.511296198268148</v>
      </c>
      <c r="AB68" s="157">
        <f t="shared" si="207"/>
        <v>40.012049278152695</v>
      </c>
      <c r="AC68" s="157">
        <f t="shared" si="207"/>
        <v>42.679519230029541</v>
      </c>
      <c r="AD68" s="138">
        <f t="shared" si="167"/>
        <v>7.4869307640328397E-3</v>
      </c>
      <c r="AE68" s="137"/>
      <c r="AF68" s="146">
        <f t="shared" si="168"/>
        <v>193.99781468195246</v>
      </c>
    </row>
    <row r="69" spans="2:32" x14ac:dyDescent="0.2">
      <c r="B69" s="20"/>
      <c r="C69" s="127"/>
      <c r="D69" s="127"/>
      <c r="E69" s="127"/>
      <c r="F69" s="144"/>
      <c r="G69" s="144"/>
      <c r="H69" s="144"/>
      <c r="I69" s="144"/>
      <c r="J69" s="144"/>
      <c r="K69" s="144"/>
      <c r="L69" s="144"/>
      <c r="M69" s="144"/>
      <c r="N69" s="144"/>
      <c r="O69" s="144"/>
      <c r="P69" s="144"/>
      <c r="Q69" s="144"/>
      <c r="R69" s="128"/>
      <c r="S69" s="128"/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39"/>
      <c r="AE69" s="31">
        <f t="shared" si="15"/>
        <v>0.05</v>
      </c>
      <c r="AF69" s="146">
        <f t="shared" si="168"/>
        <v>0</v>
      </c>
    </row>
    <row r="70" spans="2:32" x14ac:dyDescent="0.2">
      <c r="B70" s="20" t="s">
        <v>282</v>
      </c>
      <c r="C70" s="159">
        <f>C44</f>
        <v>0</v>
      </c>
      <c r="D70" s="159">
        <f t="shared" ref="D70:P70" si="208">D44</f>
        <v>0</v>
      </c>
      <c r="E70" s="159">
        <f t="shared" si="208"/>
        <v>0</v>
      </c>
      <c r="F70" s="159">
        <f t="shared" si="208"/>
        <v>0</v>
      </c>
      <c r="G70" s="159">
        <f t="shared" si="208"/>
        <v>0</v>
      </c>
      <c r="H70" s="159">
        <f t="shared" si="208"/>
        <v>0</v>
      </c>
      <c r="I70" s="159">
        <f t="shared" si="208"/>
        <v>0</v>
      </c>
      <c r="J70" s="159">
        <f t="shared" si="208"/>
        <v>0</v>
      </c>
      <c r="K70" s="159">
        <f t="shared" si="208"/>
        <v>1</v>
      </c>
      <c r="L70" s="159">
        <f t="shared" si="208"/>
        <v>1.5</v>
      </c>
      <c r="M70" s="159">
        <f t="shared" si="208"/>
        <v>3</v>
      </c>
      <c r="N70" s="159">
        <f t="shared" si="208"/>
        <v>0.7</v>
      </c>
      <c r="O70" s="159">
        <f t="shared" si="208"/>
        <v>0.8</v>
      </c>
      <c r="P70" s="159">
        <f t="shared" si="208"/>
        <v>1.2</v>
      </c>
      <c r="Q70" s="159">
        <f t="shared" ref="Q70" si="209">Q44</f>
        <v>1.5</v>
      </c>
      <c r="R70" s="118" t="e">
        <f>((P70/G70)^(1/($H$2-$H$1) ))-1</f>
        <v>#DIV/0!</v>
      </c>
      <c r="S70" s="128"/>
      <c r="T70" s="159">
        <f t="shared" ref="T70:AC70" si="210">T44</f>
        <v>1.5750000000000002</v>
      </c>
      <c r="U70" s="159">
        <f t="shared" si="210"/>
        <v>1.6537500000000003</v>
      </c>
      <c r="V70" s="159">
        <f t="shared" si="210"/>
        <v>1.7364375000000003</v>
      </c>
      <c r="W70" s="159">
        <f t="shared" si="210"/>
        <v>1.8232593750000003</v>
      </c>
      <c r="X70" s="159">
        <f t="shared" si="210"/>
        <v>1.9144223437500005</v>
      </c>
      <c r="Y70" s="159">
        <f t="shared" si="210"/>
        <v>2.0101434609375008</v>
      </c>
      <c r="Z70" s="159">
        <f t="shared" si="210"/>
        <v>2.1106506339843758</v>
      </c>
      <c r="AA70" s="159">
        <f t="shared" si="210"/>
        <v>2.2161831656835949</v>
      </c>
      <c r="AB70" s="159">
        <f t="shared" si="210"/>
        <v>2.3269923239677746</v>
      </c>
      <c r="AC70" s="159">
        <f t="shared" si="210"/>
        <v>2.4433419401661634</v>
      </c>
      <c r="AD70" s="138" t="e">
        <f t="shared" ref="AD70" si="211">((AC70/G70)^(1/($AC$3-$H$1) ))-1</f>
        <v>#DIV/0!</v>
      </c>
      <c r="AE70" s="31">
        <f t="shared" si="15"/>
        <v>0.05</v>
      </c>
      <c r="AF70" s="146">
        <f t="shared" si="168"/>
        <v>15.09122963043807</v>
      </c>
    </row>
    <row r="71" spans="2:32" x14ac:dyDescent="0.2">
      <c r="B71" s="20"/>
      <c r="C71" s="127"/>
      <c r="D71" s="127"/>
      <c r="E71" s="127"/>
      <c r="F71" s="144"/>
      <c r="G71" s="144"/>
      <c r="H71" s="144"/>
      <c r="I71" s="144"/>
      <c r="J71" s="144"/>
      <c r="K71" s="144"/>
      <c r="L71" s="144"/>
      <c r="M71" s="144"/>
      <c r="N71" s="144"/>
      <c r="O71" s="144"/>
      <c r="P71" s="144"/>
      <c r="Q71" s="144"/>
      <c r="R71" s="128"/>
      <c r="S71" s="128"/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39"/>
      <c r="AE71" s="137"/>
      <c r="AF71" s="154"/>
    </row>
    <row r="72" spans="2:32" x14ac:dyDescent="0.2">
      <c r="B72" s="20" t="s">
        <v>316</v>
      </c>
      <c r="C72" s="127">
        <f t="shared" ref="C72:P72" si="212">C20+C21</f>
        <v>0</v>
      </c>
      <c r="D72" s="127">
        <f t="shared" si="212"/>
        <v>0</v>
      </c>
      <c r="E72" s="127">
        <f t="shared" si="212"/>
        <v>0</v>
      </c>
      <c r="F72" s="144">
        <f t="shared" si="212"/>
        <v>0</v>
      </c>
      <c r="G72" s="144">
        <f t="shared" si="212"/>
        <v>15</v>
      </c>
      <c r="H72" s="144">
        <f t="shared" si="212"/>
        <v>18.829999999999998</v>
      </c>
      <c r="I72" s="144">
        <f t="shared" si="212"/>
        <v>18</v>
      </c>
      <c r="J72" s="144">
        <f t="shared" si="212"/>
        <v>15</v>
      </c>
      <c r="K72" s="144">
        <f t="shared" si="212"/>
        <v>-1</v>
      </c>
      <c r="L72" s="144">
        <f t="shared" si="212"/>
        <v>32</v>
      </c>
      <c r="M72" s="144">
        <f t="shared" si="212"/>
        <v>-5</v>
      </c>
      <c r="N72" s="144">
        <f t="shared" si="212"/>
        <v>-11</v>
      </c>
      <c r="O72" s="144">
        <f t="shared" si="212"/>
        <v>43</v>
      </c>
      <c r="P72" s="144">
        <f t="shared" si="212"/>
        <v>31</v>
      </c>
      <c r="Q72" s="144">
        <f t="shared" ref="Q72" si="213">Q20+Q21</f>
        <v>31</v>
      </c>
      <c r="R72" s="118">
        <f>((P72/G72)^(1/($H$2-$H$1) ))-1</f>
        <v>8.4001912204888507E-2</v>
      </c>
      <c r="S72" s="128"/>
      <c r="T72" s="144">
        <f t="shared" ref="T72:AC72" si="214">T20+T21</f>
        <v>34.720000000000006</v>
      </c>
      <c r="U72" s="144">
        <f t="shared" si="214"/>
        <v>38.886400000000016</v>
      </c>
      <c r="V72" s="144">
        <f t="shared" si="214"/>
        <v>43.552768000000029</v>
      </c>
      <c r="W72" s="144">
        <f t="shared" si="214"/>
        <v>48.779100160000034</v>
      </c>
      <c r="X72" s="144">
        <f t="shared" si="214"/>
        <v>54.632592179200046</v>
      </c>
      <c r="Y72" s="144">
        <f t="shared" si="214"/>
        <v>61.188503240704051</v>
      </c>
      <c r="Z72" s="144">
        <f t="shared" si="214"/>
        <v>68.531123629588535</v>
      </c>
      <c r="AA72" s="144">
        <f t="shared" si="214"/>
        <v>76.754858465139179</v>
      </c>
      <c r="AB72" s="144">
        <f t="shared" si="214"/>
        <v>85.965441480955889</v>
      </c>
      <c r="AC72" s="144">
        <f t="shared" si="214"/>
        <v>96.281294458670615</v>
      </c>
      <c r="AD72" s="138">
        <f t="shared" ref="AD72:AD77" si="215">((AC72/G72)^(1/($AC$3-$H$1) ))-1</f>
        <v>9.7419146702261372E-2</v>
      </c>
      <c r="AE72" s="31">
        <f t="shared" si="15"/>
        <v>0.05</v>
      </c>
      <c r="AF72" s="146">
        <f t="shared" si="168"/>
        <v>594.67858342120098</v>
      </c>
    </row>
    <row r="73" spans="2:32" x14ac:dyDescent="0.2">
      <c r="B73" s="20"/>
      <c r="C73" s="127"/>
      <c r="D73" s="127"/>
      <c r="E73" s="127"/>
      <c r="F73" s="144"/>
      <c r="G73" s="144"/>
      <c r="H73" s="144"/>
      <c r="I73" s="144"/>
      <c r="J73" s="144"/>
      <c r="K73" s="144"/>
      <c r="L73" s="144"/>
      <c r="M73" s="144"/>
      <c r="N73" s="144"/>
      <c r="O73" s="144"/>
      <c r="P73" s="144"/>
      <c r="Q73" s="144"/>
      <c r="R73" s="128"/>
      <c r="S73" s="128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39"/>
      <c r="AE73" s="137"/>
      <c r="AF73" s="146"/>
    </row>
    <row r="74" spans="2:32" x14ac:dyDescent="0.2">
      <c r="B74" s="20" t="s">
        <v>317</v>
      </c>
      <c r="C74" s="127">
        <f t="shared" ref="C74:P74" si="216">C72/C42</f>
        <v>0</v>
      </c>
      <c r="D74" s="127">
        <f t="shared" si="216"/>
        <v>0</v>
      </c>
      <c r="E74" s="127">
        <f t="shared" si="216"/>
        <v>0</v>
      </c>
      <c r="F74" s="144">
        <f t="shared" si="216"/>
        <v>0</v>
      </c>
      <c r="G74" s="144">
        <f t="shared" si="216"/>
        <v>22.058823529411764</v>
      </c>
      <c r="H74" s="144">
        <f t="shared" si="216"/>
        <v>27.691176470588232</v>
      </c>
      <c r="I74" s="144">
        <f t="shared" si="216"/>
        <v>30</v>
      </c>
      <c r="J74" s="144">
        <f t="shared" si="216"/>
        <v>22.058823529411764</v>
      </c>
      <c r="K74" s="144">
        <f t="shared" si="216"/>
        <v>-1.4705882352941175</v>
      </c>
      <c r="L74" s="144">
        <f t="shared" si="216"/>
        <v>47.058823529411761</v>
      </c>
      <c r="M74" s="144">
        <f t="shared" si="216"/>
        <v>-7.3529411764705879</v>
      </c>
      <c r="N74" s="144">
        <f t="shared" si="216"/>
        <v>-3.1976744186046511</v>
      </c>
      <c r="O74" s="144">
        <f t="shared" si="216"/>
        <v>12.5</v>
      </c>
      <c r="P74" s="144">
        <f t="shared" si="216"/>
        <v>9.0116279069767451</v>
      </c>
      <c r="Q74" s="144">
        <f t="shared" ref="Q74" si="217">Q72/Q42</f>
        <v>9.0116279069767451</v>
      </c>
      <c r="R74" s="118">
        <f>((P74/G74)^(1/($H$2-$H$1) ))-1</f>
        <v>-9.4679566374636148E-2</v>
      </c>
      <c r="S74" s="128"/>
      <c r="T74" s="146">
        <f t="shared" ref="T74:AC74" si="218">T72/T42</f>
        <v>9.6124031007751949</v>
      </c>
      <c r="U74" s="146">
        <f t="shared" si="218"/>
        <v>10.253229974160211</v>
      </c>
      <c r="V74" s="146">
        <f t="shared" si="218"/>
        <v>10.936778639104226</v>
      </c>
      <c r="W74" s="146">
        <f t="shared" si="218"/>
        <v>11.665897215044509</v>
      </c>
      <c r="X74" s="146">
        <f t="shared" si="218"/>
        <v>12.443623696047478</v>
      </c>
      <c r="Y74" s="146">
        <f t="shared" si="218"/>
        <v>13.27319860911731</v>
      </c>
      <c r="Z74" s="146">
        <f t="shared" si="218"/>
        <v>14.158078516391797</v>
      </c>
      <c r="AA74" s="146">
        <f t="shared" si="218"/>
        <v>15.101950417484586</v>
      </c>
      <c r="AB74" s="146">
        <f t="shared" si="218"/>
        <v>16.108747111983561</v>
      </c>
      <c r="AC74" s="146">
        <f t="shared" si="218"/>
        <v>17.182663586115801</v>
      </c>
      <c r="AD74" s="138">
        <f t="shared" si="215"/>
        <v>-1.2412903266052266E-2</v>
      </c>
      <c r="AE74" s="31">
        <f t="shared" si="15"/>
        <v>0.05</v>
      </c>
      <c r="AF74" s="146">
        <f t="shared" si="168"/>
        <v>106.12821626718583</v>
      </c>
    </row>
    <row r="75" spans="2:32" x14ac:dyDescent="0.2">
      <c r="B75" s="20" t="s">
        <v>287</v>
      </c>
      <c r="C75" s="127">
        <f t="shared" ref="C75:P75" si="219">C20/C42</f>
        <v>0</v>
      </c>
      <c r="D75" s="127">
        <f t="shared" si="219"/>
        <v>0</v>
      </c>
      <c r="E75" s="127">
        <f t="shared" si="219"/>
        <v>0</v>
      </c>
      <c r="F75" s="144">
        <f t="shared" si="219"/>
        <v>0</v>
      </c>
      <c r="G75" s="144">
        <f t="shared" si="219"/>
        <v>23.52941176470588</v>
      </c>
      <c r="H75" s="144">
        <f t="shared" si="219"/>
        <v>27.941176470588232</v>
      </c>
      <c r="I75" s="144">
        <f t="shared" si="219"/>
        <v>38.333333333333336</v>
      </c>
      <c r="J75" s="144">
        <f t="shared" si="219"/>
        <v>26.470588235294116</v>
      </c>
      <c r="K75" s="144">
        <f t="shared" si="219"/>
        <v>36.764705882352942</v>
      </c>
      <c r="L75" s="144">
        <f t="shared" si="219"/>
        <v>57.352941176470587</v>
      </c>
      <c r="M75" s="144">
        <f t="shared" si="219"/>
        <v>60.294117647058819</v>
      </c>
      <c r="N75" s="144">
        <f t="shared" si="219"/>
        <v>6.6860465116279073</v>
      </c>
      <c r="O75" s="144">
        <f t="shared" si="219"/>
        <v>23.837209302325583</v>
      </c>
      <c r="P75" s="144">
        <f t="shared" si="219"/>
        <v>20.63953488372093</v>
      </c>
      <c r="Q75" s="144">
        <f t="shared" ref="Q75" si="220">Q20/Q42</f>
        <v>20.63953488372093</v>
      </c>
      <c r="R75" s="118">
        <f>((P75/G75)^(1/($H$2-$H$1) ))-1</f>
        <v>-1.4454822099614018E-2</v>
      </c>
      <c r="S75" s="128"/>
      <c r="T75" s="146">
        <f t="shared" ref="T75:AC75" si="221">T20/T42</f>
        <v>22.015503875968996</v>
      </c>
      <c r="U75" s="146">
        <f t="shared" si="221"/>
        <v>23.483204134366929</v>
      </c>
      <c r="V75" s="146">
        <f t="shared" si="221"/>
        <v>25.048751076658061</v>
      </c>
      <c r="W75" s="146">
        <f t="shared" si="221"/>
        <v>26.718667815101934</v>
      </c>
      <c r="X75" s="146">
        <f t="shared" si="221"/>
        <v>28.499912336108732</v>
      </c>
      <c r="Y75" s="146">
        <f t="shared" si="221"/>
        <v>30.399906491849318</v>
      </c>
      <c r="Z75" s="146">
        <f t="shared" si="221"/>
        <v>32.426566924639275</v>
      </c>
      <c r="AA75" s="146">
        <f t="shared" si="221"/>
        <v>34.588338052948565</v>
      </c>
      <c r="AB75" s="146">
        <f t="shared" si="221"/>
        <v>36.894227256478466</v>
      </c>
      <c r="AC75" s="146">
        <f t="shared" si="221"/>
        <v>39.353842406910374</v>
      </c>
      <c r="AD75" s="138">
        <f t="shared" si="215"/>
        <v>2.6050658923736147E-2</v>
      </c>
      <c r="AE75" s="31">
        <f t="shared" si="15"/>
        <v>0.05</v>
      </c>
      <c r="AF75" s="146">
        <f t="shared" si="168"/>
        <v>243.06785016032879</v>
      </c>
    </row>
    <row r="76" spans="2:32" x14ac:dyDescent="0.2">
      <c r="B76" s="20" t="s">
        <v>288</v>
      </c>
      <c r="C76" s="127">
        <f t="shared" ref="C76:P76" si="222">C21/C42</f>
        <v>0</v>
      </c>
      <c r="D76" s="127">
        <f t="shared" si="222"/>
        <v>0</v>
      </c>
      <c r="E76" s="127">
        <f t="shared" si="222"/>
        <v>0</v>
      </c>
      <c r="F76" s="144">
        <f t="shared" si="222"/>
        <v>0</v>
      </c>
      <c r="G76" s="144">
        <f t="shared" si="222"/>
        <v>-1.4705882352941175</v>
      </c>
      <c r="H76" s="144">
        <f t="shared" si="222"/>
        <v>-0.25</v>
      </c>
      <c r="I76" s="144">
        <f t="shared" si="222"/>
        <v>-8.3333333333333339</v>
      </c>
      <c r="J76" s="144">
        <f t="shared" si="222"/>
        <v>-4.4117647058823524</v>
      </c>
      <c r="K76" s="144">
        <f t="shared" si="222"/>
        <v>-38.235294117647058</v>
      </c>
      <c r="L76" s="144">
        <f t="shared" si="222"/>
        <v>-10.294117647058822</v>
      </c>
      <c r="M76" s="144">
        <f t="shared" si="222"/>
        <v>-67.647058823529406</v>
      </c>
      <c r="N76" s="144">
        <f t="shared" si="222"/>
        <v>-9.8837209302325579</v>
      </c>
      <c r="O76" s="144">
        <f t="shared" si="222"/>
        <v>-11.337209302325581</v>
      </c>
      <c r="P76" s="144">
        <f t="shared" si="222"/>
        <v>-11.627906976744185</v>
      </c>
      <c r="Q76" s="144">
        <f t="shared" ref="Q76" si="223">Q21/Q42</f>
        <v>-11.627906976744185</v>
      </c>
      <c r="R76" s="118">
        <f>((P76/G76)^(1/($H$2-$H$1) ))-1</f>
        <v>0.25828477038039099</v>
      </c>
      <c r="S76" s="128"/>
      <c r="T76" s="146">
        <f t="shared" ref="T76:AC76" si="224">T21/T42</f>
        <v>-12.403100775193799</v>
      </c>
      <c r="U76" s="146">
        <f t="shared" si="224"/>
        <v>-13.229974160206719</v>
      </c>
      <c r="V76" s="146">
        <f t="shared" si="224"/>
        <v>-14.111972437553835</v>
      </c>
      <c r="W76" s="146">
        <f t="shared" si="224"/>
        <v>-15.052770600057425</v>
      </c>
      <c r="X76" s="146">
        <f t="shared" si="224"/>
        <v>-16.056288640061254</v>
      </c>
      <c r="Y76" s="146">
        <f t="shared" si="224"/>
        <v>-17.126707882732006</v>
      </c>
      <c r="Z76" s="146">
        <f t="shared" si="224"/>
        <v>-18.268488408247475</v>
      </c>
      <c r="AA76" s="146">
        <f t="shared" si="224"/>
        <v>-19.486387635463977</v>
      </c>
      <c r="AB76" s="146">
        <f t="shared" si="224"/>
        <v>-20.785480144494908</v>
      </c>
      <c r="AC76" s="146">
        <f t="shared" si="224"/>
        <v>-22.171178820794569</v>
      </c>
      <c r="AD76" s="138">
        <f t="shared" si="215"/>
        <v>0.14528846029374032</v>
      </c>
      <c r="AE76" s="31">
        <f t="shared" si="15"/>
        <v>0.05</v>
      </c>
      <c r="AF76" s="146">
        <f t="shared" si="168"/>
        <v>-136.93963389314294</v>
      </c>
    </row>
    <row r="77" spans="2:32" x14ac:dyDescent="0.2">
      <c r="B77" s="20" t="s">
        <v>289</v>
      </c>
      <c r="C77" s="127">
        <f t="shared" ref="C77:P77" si="225">C22/C42</f>
        <v>0</v>
      </c>
      <c r="D77" s="127">
        <f t="shared" si="225"/>
        <v>0</v>
      </c>
      <c r="E77" s="127">
        <f t="shared" si="225"/>
        <v>0</v>
      </c>
      <c r="F77" s="144">
        <f t="shared" si="225"/>
        <v>0</v>
      </c>
      <c r="G77" s="144">
        <f t="shared" si="225"/>
        <v>-24.999999999999996</v>
      </c>
      <c r="H77" s="144">
        <f t="shared" si="225"/>
        <v>-26.470588235294116</v>
      </c>
      <c r="I77" s="144">
        <f t="shared" si="225"/>
        <v>-28.333333333333336</v>
      </c>
      <c r="J77" s="144">
        <f t="shared" si="225"/>
        <v>-20.588235294117645</v>
      </c>
      <c r="K77" s="144">
        <f t="shared" si="225"/>
        <v>7.7941176470588225</v>
      </c>
      <c r="L77" s="144">
        <f t="shared" si="225"/>
        <v>-48.529411764705877</v>
      </c>
      <c r="M77" s="144">
        <f t="shared" si="225"/>
        <v>16.176470588235293</v>
      </c>
      <c r="N77" s="144">
        <f t="shared" si="225"/>
        <v>3.1976744186046511</v>
      </c>
      <c r="O77" s="144">
        <f t="shared" si="225"/>
        <v>-10.755813953488373</v>
      </c>
      <c r="P77" s="144">
        <f t="shared" si="225"/>
        <v>-8.1395348837209305</v>
      </c>
      <c r="Q77" s="144">
        <f t="shared" ref="Q77" si="226">Q22/Q42</f>
        <v>-8.1395348837209305</v>
      </c>
      <c r="R77" s="118">
        <f>((P77/G77)^(1/($H$2-$H$1) ))-1</f>
        <v>-0.11722288822390026</v>
      </c>
      <c r="S77" s="128"/>
      <c r="T77" s="146">
        <f t="shared" ref="T77:AC77" si="227">T22/T42</f>
        <v>-8.6821705426356601</v>
      </c>
      <c r="U77" s="146">
        <f t="shared" si="227"/>
        <v>-9.2609819121447039</v>
      </c>
      <c r="V77" s="146">
        <f t="shared" si="227"/>
        <v>-9.8783807062876843</v>
      </c>
      <c r="W77" s="146">
        <f t="shared" si="227"/>
        <v>-10.536939420040197</v>
      </c>
      <c r="X77" s="146">
        <f t="shared" si="227"/>
        <v>-11.239402048042876</v>
      </c>
      <c r="Y77" s="146">
        <f t="shared" si="227"/>
        <v>-11.988695517912403</v>
      </c>
      <c r="Z77" s="146">
        <f t="shared" si="227"/>
        <v>-12.787941885773231</v>
      </c>
      <c r="AA77" s="146">
        <f t="shared" si="227"/>
        <v>-13.64047134482478</v>
      </c>
      <c r="AB77" s="146">
        <f t="shared" si="227"/>
        <v>-14.549836101146433</v>
      </c>
      <c r="AC77" s="146">
        <f t="shared" si="227"/>
        <v>-15.519825174556194</v>
      </c>
      <c r="AD77" s="138">
        <f t="shared" si="215"/>
        <v>-2.3556000737249172E-2</v>
      </c>
      <c r="AE77" s="31">
        <f t="shared" si="15"/>
        <v>0.05</v>
      </c>
      <c r="AF77" s="146">
        <f t="shared" si="168"/>
        <v>-95.857743725200052</v>
      </c>
    </row>
    <row r="78" spans="2:32" x14ac:dyDescent="0.2">
      <c r="B78" s="20" t="s">
        <v>296</v>
      </c>
      <c r="C78" s="127">
        <f t="shared" ref="C78:P78" si="228">C23/C42</f>
        <v>0</v>
      </c>
      <c r="D78" s="127">
        <f t="shared" si="228"/>
        <v>0</v>
      </c>
      <c r="E78" s="127">
        <f t="shared" si="228"/>
        <v>0</v>
      </c>
      <c r="F78" s="144">
        <f t="shared" si="228"/>
        <v>0</v>
      </c>
      <c r="G78" s="144">
        <f t="shared" si="228"/>
        <v>3.2352941176470589</v>
      </c>
      <c r="H78" s="144">
        <f t="shared" si="228"/>
        <v>4.4117647058823524</v>
      </c>
      <c r="I78" s="144">
        <f t="shared" si="228"/>
        <v>8.3333333333333339</v>
      </c>
      <c r="J78" s="144">
        <f t="shared" si="228"/>
        <v>8.8235294117647047</v>
      </c>
      <c r="K78" s="144">
        <f t="shared" si="228"/>
        <v>14.705882352941176</v>
      </c>
      <c r="L78" s="144">
        <f t="shared" si="228"/>
        <v>13.235294117647058</v>
      </c>
      <c r="M78" s="144">
        <f t="shared" si="228"/>
        <v>22.058823529411764</v>
      </c>
      <c r="N78" s="144">
        <f t="shared" si="228"/>
        <v>4.3604651162790695</v>
      </c>
      <c r="O78" s="144">
        <f t="shared" si="228"/>
        <v>6.3953488372093021</v>
      </c>
      <c r="P78" s="144">
        <f t="shared" si="228"/>
        <v>7.2674418604651168</v>
      </c>
      <c r="Q78" s="144">
        <f t="shared" ref="Q78" si="229">Q23/Q42</f>
        <v>7.2674418604651168</v>
      </c>
      <c r="R78" s="118">
        <f>((P78/G78)^(1/($H$2-$H$1) ))-1</f>
        <v>9.4087301803351453E-2</v>
      </c>
      <c r="S78" s="128"/>
      <c r="T78" s="146">
        <f t="shared" ref="T78:AC78" si="230">T23/T42</f>
        <v>7.7519379844961245</v>
      </c>
      <c r="U78" s="146">
        <f t="shared" si="230"/>
        <v>8.2687338501292</v>
      </c>
      <c r="V78" s="146">
        <f t="shared" si="230"/>
        <v>8.819982773471148</v>
      </c>
      <c r="W78" s="146">
        <f t="shared" si="230"/>
        <v>9.407981625035891</v>
      </c>
      <c r="X78" s="146">
        <f t="shared" si="230"/>
        <v>10.035180400038284</v>
      </c>
      <c r="Y78" s="146">
        <f t="shared" si="230"/>
        <v>10.704192426707504</v>
      </c>
      <c r="Z78" s="146">
        <f t="shared" si="230"/>
        <v>11.41780525515467</v>
      </c>
      <c r="AA78" s="146">
        <f t="shared" si="230"/>
        <v>12.178992272164983</v>
      </c>
      <c r="AB78" s="146">
        <f t="shared" si="230"/>
        <v>12.990925090309316</v>
      </c>
      <c r="AC78" s="146">
        <f t="shared" si="230"/>
        <v>13.856986762996605</v>
      </c>
      <c r="AD78" s="138">
        <f t="shared" ref="AD78" si="231">((AC78/G78)^(1/($AC$3-$H$1) ))-1</f>
        <v>7.5443878065417636E-2</v>
      </c>
      <c r="AE78" s="31">
        <f t="shared" si="15"/>
        <v>0.05</v>
      </c>
      <c r="AF78" s="146">
        <f t="shared" si="168"/>
        <v>85.587271183214341</v>
      </c>
    </row>
    <row r="79" spans="2:32" x14ac:dyDescent="0.2">
      <c r="B79" s="20"/>
      <c r="C79" s="127"/>
      <c r="D79" s="127"/>
      <c r="E79" s="127"/>
      <c r="F79" s="144"/>
      <c r="G79" s="144"/>
      <c r="H79" s="144"/>
      <c r="I79" s="144"/>
      <c r="J79" s="144"/>
      <c r="K79" s="144"/>
      <c r="L79" s="144"/>
      <c r="M79" s="144"/>
      <c r="N79" s="144"/>
      <c r="O79" s="144"/>
      <c r="P79" s="144"/>
      <c r="Q79" s="144"/>
      <c r="R79" s="128"/>
      <c r="S79" s="128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39"/>
      <c r="AE79" s="137"/>
      <c r="AF79" s="154"/>
    </row>
    <row r="80" spans="2:32" x14ac:dyDescent="0.2">
      <c r="B80" s="20" t="s">
        <v>310</v>
      </c>
      <c r="C80" s="144">
        <f t="shared" ref="C80:P80" si="232">C36/C42</f>
        <v>0</v>
      </c>
      <c r="D80" s="144">
        <f t="shared" si="232"/>
        <v>0</v>
      </c>
      <c r="E80" s="144">
        <f t="shared" si="232"/>
        <v>0</v>
      </c>
      <c r="F80" s="144">
        <f t="shared" si="232"/>
        <v>0</v>
      </c>
      <c r="G80" s="144">
        <f t="shared" si="232"/>
        <v>30.882352941176467</v>
      </c>
      <c r="H80" s="144">
        <f t="shared" si="232"/>
        <v>33.823529411764703</v>
      </c>
      <c r="I80" s="144">
        <f t="shared" si="232"/>
        <v>46.666666666666671</v>
      </c>
      <c r="J80" s="144">
        <f t="shared" si="232"/>
        <v>44.117647058823529</v>
      </c>
      <c r="K80" s="144">
        <f t="shared" si="232"/>
        <v>54.411764705882348</v>
      </c>
      <c r="L80" s="144">
        <f t="shared" si="232"/>
        <v>66.17647058823529</v>
      </c>
      <c r="M80" s="144">
        <f t="shared" si="232"/>
        <v>83.823529411764696</v>
      </c>
      <c r="N80" s="144">
        <f t="shared" si="232"/>
        <v>19.476744186046513</v>
      </c>
      <c r="O80" s="144">
        <f t="shared" si="232"/>
        <v>21.511627906976745</v>
      </c>
      <c r="P80" s="144">
        <f t="shared" si="232"/>
        <v>25</v>
      </c>
      <c r="Q80" s="144">
        <f t="shared" ref="Q80" si="233">Q36/Q42</f>
        <v>25</v>
      </c>
      <c r="R80" s="118">
        <f>((P80/G80)^(1/($H$2-$H$1) ))-1</f>
        <v>-2.3205305962801237E-2</v>
      </c>
      <c r="S80" s="128"/>
      <c r="T80" s="144">
        <f t="shared" ref="T80:AC80" si="234">T36/T42</f>
        <v>26.666666666666668</v>
      </c>
      <c r="U80" s="144">
        <f t="shared" si="234"/>
        <v>28.444444444444446</v>
      </c>
      <c r="V80" s="144">
        <f t="shared" si="234"/>
        <v>30.340740740740745</v>
      </c>
      <c r="W80" s="144">
        <f t="shared" si="234"/>
        <v>32.363456790123465</v>
      </c>
      <c r="X80" s="144">
        <f t="shared" si="234"/>
        <v>34.521020576131697</v>
      </c>
      <c r="Y80" s="144">
        <f t="shared" si="234"/>
        <v>36.822421947873814</v>
      </c>
      <c r="Z80" s="144">
        <f t="shared" si="234"/>
        <v>39.27725007773207</v>
      </c>
      <c r="AA80" s="144">
        <f t="shared" si="234"/>
        <v>41.895733416247545</v>
      </c>
      <c r="AB80" s="144">
        <f t="shared" si="234"/>
        <v>44.68878231066406</v>
      </c>
      <c r="AC80" s="144">
        <f t="shared" si="234"/>
        <v>47.668034464708334</v>
      </c>
      <c r="AD80" s="138">
        <f t="shared" ref="AD80:AD82" si="235">((AC80/G80)^(1/($AC$3-$H$1) ))-1</f>
        <v>2.1941046714601509E-2</v>
      </c>
      <c r="AE80" s="31">
        <f t="shared" si="15"/>
        <v>0.05</v>
      </c>
      <c r="AF80" s="146">
        <f t="shared" si="168"/>
        <v>294.42021287025739</v>
      </c>
    </row>
    <row r="81" spans="2:32" x14ac:dyDescent="0.2">
      <c r="B81" s="20" t="s">
        <v>311</v>
      </c>
      <c r="C81" s="144">
        <f t="shared" ref="C81:P81" si="236">C40/C42</f>
        <v>0</v>
      </c>
      <c r="D81" s="144">
        <f t="shared" si="236"/>
        <v>0</v>
      </c>
      <c r="E81" s="144">
        <f t="shared" si="236"/>
        <v>0</v>
      </c>
      <c r="F81" s="144">
        <f t="shared" si="236"/>
        <v>0</v>
      </c>
      <c r="G81" s="144">
        <f t="shared" si="236"/>
        <v>-2.9411764705882351</v>
      </c>
      <c r="H81" s="144">
        <f t="shared" si="236"/>
        <v>-2.9411764705882351</v>
      </c>
      <c r="I81" s="144">
        <f t="shared" si="236"/>
        <v>5</v>
      </c>
      <c r="J81" s="144">
        <f t="shared" si="236"/>
        <v>3.6764705882352939</v>
      </c>
      <c r="K81" s="144">
        <f t="shared" si="236"/>
        <v>5.8823529411764701</v>
      </c>
      <c r="L81" s="144">
        <f t="shared" si="236"/>
        <v>13.235294117647058</v>
      </c>
      <c r="M81" s="144">
        <f t="shared" si="236"/>
        <v>29.411764705882351</v>
      </c>
      <c r="N81" s="144">
        <f t="shared" si="236"/>
        <v>6.9767441860465116</v>
      </c>
      <c r="O81" s="144">
        <f t="shared" si="236"/>
        <v>7.2674418604651168</v>
      </c>
      <c r="P81" s="144">
        <f t="shared" si="236"/>
        <v>9.5930232558139537</v>
      </c>
      <c r="Q81" s="144">
        <f t="shared" ref="Q81" si="237">Q40/Q42</f>
        <v>9.5930232558139537</v>
      </c>
      <c r="R81" s="118">
        <f>((P81/G81)^(1/($H$2-$H$1) ))-1</f>
        <v>-2.1403765239928125</v>
      </c>
      <c r="S81" s="128"/>
      <c r="T81" s="144">
        <f t="shared" ref="T81:AC81" si="238">T40/T42</f>
        <v>10.232558139534884</v>
      </c>
      <c r="U81" s="144">
        <f t="shared" si="238"/>
        <v>10.914728682170542</v>
      </c>
      <c r="V81" s="144">
        <f t="shared" si="238"/>
        <v>11.642377260981913</v>
      </c>
      <c r="W81" s="144">
        <f t="shared" si="238"/>
        <v>12.418535745047377</v>
      </c>
      <c r="X81" s="144">
        <f t="shared" si="238"/>
        <v>13.246438128050535</v>
      </c>
      <c r="Y81" s="144">
        <f t="shared" si="238"/>
        <v>14.129534003253905</v>
      </c>
      <c r="Z81" s="144">
        <f t="shared" si="238"/>
        <v>15.071502936804166</v>
      </c>
      <c r="AA81" s="144">
        <f t="shared" si="238"/>
        <v>16.076269799257776</v>
      </c>
      <c r="AB81" s="144">
        <f t="shared" si="238"/>
        <v>17.148021119208298</v>
      </c>
      <c r="AC81" s="144">
        <f t="shared" si="238"/>
        <v>18.291222527155515</v>
      </c>
      <c r="AD81" s="138" t="e">
        <f t="shared" si="235"/>
        <v>#NUM!</v>
      </c>
      <c r="AE81" s="31">
        <f t="shared" si="15"/>
        <v>0.05</v>
      </c>
      <c r="AF81" s="146">
        <f t="shared" si="168"/>
        <v>112.97519796184289</v>
      </c>
    </row>
    <row r="82" spans="2:32" x14ac:dyDescent="0.2">
      <c r="B82" s="20" t="s">
        <v>312</v>
      </c>
      <c r="C82" s="144">
        <f t="shared" ref="C82:P82" si="239">C6/C42</f>
        <v>0</v>
      </c>
      <c r="D82" s="144">
        <f t="shared" si="239"/>
        <v>0</v>
      </c>
      <c r="E82" s="144">
        <f t="shared" si="239"/>
        <v>0</v>
      </c>
      <c r="F82" s="144">
        <f t="shared" si="239"/>
        <v>0</v>
      </c>
      <c r="G82" s="144">
        <f t="shared" si="239"/>
        <v>69.117647058823522</v>
      </c>
      <c r="H82" s="144">
        <f t="shared" si="239"/>
        <v>61.764705882352935</v>
      </c>
      <c r="I82" s="144">
        <f t="shared" si="239"/>
        <v>75</v>
      </c>
      <c r="J82" s="144">
        <f t="shared" si="239"/>
        <v>69.117647058823522</v>
      </c>
      <c r="K82" s="144">
        <f t="shared" si="239"/>
        <v>73.529411764705884</v>
      </c>
      <c r="L82" s="144">
        <f t="shared" si="239"/>
        <v>85.294117647058812</v>
      </c>
      <c r="M82" s="144">
        <f t="shared" si="239"/>
        <v>111.76470588235293</v>
      </c>
      <c r="N82" s="144">
        <f t="shared" si="239"/>
        <v>28.197674418604652</v>
      </c>
      <c r="O82" s="144">
        <f t="shared" si="239"/>
        <v>34.593023255813954</v>
      </c>
      <c r="P82" s="144">
        <f t="shared" si="239"/>
        <v>42.441860465116278</v>
      </c>
      <c r="Q82" s="144">
        <f t="shared" ref="Q82" si="240">Q6/Q42</f>
        <v>42.441860465116278</v>
      </c>
      <c r="R82" s="118">
        <f>((P82/G82)^(1/($H$2-$H$1) ))-1</f>
        <v>-5.2744197596898745E-2</v>
      </c>
      <c r="S82" s="128"/>
      <c r="T82" s="144">
        <f t="shared" ref="T82:AC82" si="241">T6/T42</f>
        <v>45.271317829457367</v>
      </c>
      <c r="U82" s="144">
        <f t="shared" si="241"/>
        <v>48.289405684754527</v>
      </c>
      <c r="V82" s="144">
        <f t="shared" si="241"/>
        <v>51.508699397071503</v>
      </c>
      <c r="W82" s="144">
        <f t="shared" si="241"/>
        <v>54.942612690209607</v>
      </c>
      <c r="X82" s="144">
        <f t="shared" si="241"/>
        <v>58.605453536223585</v>
      </c>
      <c r="Y82" s="144">
        <f t="shared" si="241"/>
        <v>62.512483771971823</v>
      </c>
      <c r="Z82" s="144">
        <f t="shared" si="241"/>
        <v>66.679982690103287</v>
      </c>
      <c r="AA82" s="144">
        <f t="shared" si="241"/>
        <v>71.125314869443514</v>
      </c>
      <c r="AB82" s="144">
        <f t="shared" si="241"/>
        <v>75.867002527406427</v>
      </c>
      <c r="AC82" s="144">
        <f t="shared" si="241"/>
        <v>80.924802695900183</v>
      </c>
      <c r="AD82" s="138">
        <f t="shared" si="235"/>
        <v>7.9166865073498904E-3</v>
      </c>
      <c r="AE82" s="31">
        <f t="shared" ref="AE82" si="242">$L$1</f>
        <v>0.05</v>
      </c>
      <c r="AF82" s="146">
        <f t="shared" si="168"/>
        <v>499.82966370997178</v>
      </c>
    </row>
    <row r="83" spans="2:32" x14ac:dyDescent="0.2">
      <c r="B83" s="20"/>
      <c r="C83" s="127"/>
      <c r="D83" s="127"/>
      <c r="E83" s="127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44"/>
      <c r="Q83" s="144"/>
      <c r="R83" s="128"/>
      <c r="S83" s="128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39"/>
      <c r="AE83" s="20"/>
      <c r="AF83" s="154"/>
    </row>
    <row r="84" spans="2:32" x14ac:dyDescent="0.2">
      <c r="B84" s="20"/>
      <c r="C84" s="127"/>
      <c r="D84" s="127"/>
      <c r="E84" s="127"/>
      <c r="F84" s="144"/>
      <c r="G84" s="144"/>
      <c r="H84" s="144"/>
      <c r="I84" s="144"/>
      <c r="J84" s="144"/>
      <c r="K84" s="144"/>
      <c r="L84" s="144"/>
      <c r="M84" s="144"/>
      <c r="N84" s="144"/>
      <c r="O84" s="144"/>
      <c r="P84" s="144"/>
      <c r="Q84" s="144"/>
      <c r="R84" s="128"/>
      <c r="S84" s="128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39"/>
      <c r="AE84" s="20"/>
      <c r="AF84" s="154"/>
    </row>
    <row r="85" spans="2:32" x14ac:dyDescent="0.2">
      <c r="B85" s="108" t="s">
        <v>309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</row>
    <row r="86" spans="2:32" x14ac:dyDescent="0.2">
      <c r="B86" s="20" t="s">
        <v>308</v>
      </c>
      <c r="C86" s="152"/>
      <c r="D86" s="152"/>
      <c r="E86" s="152" t="e">
        <f t="shared" ref="E86:P86" si="243">E36/E25</f>
        <v>#DIV/0!</v>
      </c>
      <c r="F86" s="152" t="e">
        <f t="shared" si="243"/>
        <v>#DIV/0!</v>
      </c>
      <c r="G86" s="152">
        <f t="shared" si="243"/>
        <v>0.10396039603960396</v>
      </c>
      <c r="H86" s="152">
        <f t="shared" si="243"/>
        <v>0.11794871794871795</v>
      </c>
      <c r="I86" s="152">
        <f t="shared" si="243"/>
        <v>0.11965811965811966</v>
      </c>
      <c r="J86" s="152">
        <f t="shared" si="243"/>
        <v>0.10869565217391304</v>
      </c>
      <c r="K86" s="152">
        <f t="shared" si="243"/>
        <v>0.11349693251533742</v>
      </c>
      <c r="L86" s="152">
        <f t="shared" si="243"/>
        <v>0.1</v>
      </c>
      <c r="M86" s="152">
        <f t="shared" si="243"/>
        <v>0.10307414104882459</v>
      </c>
      <c r="N86" s="152">
        <f t="shared" si="243"/>
        <v>9.0540540540540546E-2</v>
      </c>
      <c r="O86" s="152">
        <f t="shared" si="243"/>
        <v>8.4090909090909091E-2</v>
      </c>
      <c r="P86" s="152">
        <f t="shared" si="243"/>
        <v>8.0223880597014921E-2</v>
      </c>
      <c r="Q86" s="152">
        <f t="shared" ref="Q86" si="244">Q36/Q25</f>
        <v>6.8690095846645371E-2</v>
      </c>
      <c r="R86" s="118">
        <f t="shared" ref="R86:R138" si="245">((P86/G86)^(1/($H$2-$H$1) ))-1</f>
        <v>-2.8388022150661496E-2</v>
      </c>
      <c r="S86" s="152"/>
      <c r="T86" s="152">
        <f t="shared" ref="T86:AC86" si="246">T36/T25</f>
        <v>6.8690095846645358E-2</v>
      </c>
      <c r="U86" s="152">
        <f t="shared" si="246"/>
        <v>6.8690095846645358E-2</v>
      </c>
      <c r="V86" s="152">
        <f t="shared" si="246"/>
        <v>6.8690095846645344E-2</v>
      </c>
      <c r="W86" s="152">
        <f t="shared" si="246"/>
        <v>6.8690095846645358E-2</v>
      </c>
      <c r="X86" s="152">
        <f t="shared" si="246"/>
        <v>6.8690095846645344E-2</v>
      </c>
      <c r="Y86" s="152">
        <f t="shared" si="246"/>
        <v>6.8690095846645344E-2</v>
      </c>
      <c r="Z86" s="152">
        <f t="shared" si="246"/>
        <v>6.8690095846645344E-2</v>
      </c>
      <c r="AA86" s="152">
        <f t="shared" si="246"/>
        <v>6.8690095846645344E-2</v>
      </c>
      <c r="AB86" s="152">
        <f t="shared" si="246"/>
        <v>6.8690095846645344E-2</v>
      </c>
      <c r="AC86" s="152">
        <f t="shared" si="246"/>
        <v>6.8690095846645358E-2</v>
      </c>
      <c r="AD86" s="138">
        <f t="shared" ref="AD86:AD125" si="247">((AC86/G86)^(1/($AC$3-$H$1) ))-1</f>
        <v>-2.050706039557737E-2</v>
      </c>
      <c r="AE86" s="146"/>
      <c r="AF86" s="146"/>
    </row>
    <row r="87" spans="2:32" x14ac:dyDescent="0.2">
      <c r="B87" s="20" t="s">
        <v>266</v>
      </c>
      <c r="C87" s="152"/>
      <c r="D87" s="152"/>
      <c r="E87" s="152" t="e">
        <f t="shared" ref="E87:P87" si="248">E40/E25</f>
        <v>#DIV/0!</v>
      </c>
      <c r="F87" s="152" t="e">
        <f t="shared" si="248"/>
        <v>#DIV/0!</v>
      </c>
      <c r="G87" s="152">
        <f t="shared" si="248"/>
        <v>-9.9009900990099011E-3</v>
      </c>
      <c r="H87" s="152">
        <f t="shared" si="248"/>
        <v>-1.0256410256410256E-2</v>
      </c>
      <c r="I87" s="152">
        <f t="shared" si="248"/>
        <v>1.282051282051282E-2</v>
      </c>
      <c r="J87" s="152">
        <f t="shared" si="248"/>
        <v>9.057971014492754E-3</v>
      </c>
      <c r="K87" s="152">
        <f t="shared" si="248"/>
        <v>1.2269938650306749E-2</v>
      </c>
      <c r="L87" s="152">
        <f t="shared" si="248"/>
        <v>0.02</v>
      </c>
      <c r="M87" s="152">
        <f t="shared" si="248"/>
        <v>3.6166365280289332E-2</v>
      </c>
      <c r="N87" s="152">
        <f t="shared" si="248"/>
        <v>3.2432432432432434E-2</v>
      </c>
      <c r="O87" s="152">
        <f t="shared" si="248"/>
        <v>2.8409090909090908E-2</v>
      </c>
      <c r="P87" s="152">
        <f t="shared" si="248"/>
        <v>3.0783582089552237E-2</v>
      </c>
      <c r="Q87" s="152">
        <f t="shared" ref="Q87" si="249">Q40/Q25</f>
        <v>2.6357827476038338E-2</v>
      </c>
      <c r="R87" s="118">
        <f t="shared" si="245"/>
        <v>-2.1343258688170295</v>
      </c>
      <c r="S87" s="152"/>
      <c r="T87" s="152">
        <f t="shared" ref="T87:AC87" si="250">T40/T25</f>
        <v>2.6357827476038334E-2</v>
      </c>
      <c r="U87" s="152">
        <f t="shared" si="250"/>
        <v>2.6357827476038331E-2</v>
      </c>
      <c r="V87" s="152">
        <f t="shared" si="250"/>
        <v>2.6357827476038331E-2</v>
      </c>
      <c r="W87" s="152">
        <f t="shared" si="250"/>
        <v>2.6357827476038331E-2</v>
      </c>
      <c r="X87" s="152">
        <f t="shared" si="250"/>
        <v>2.6357827476038327E-2</v>
      </c>
      <c r="Y87" s="152">
        <f t="shared" si="250"/>
        <v>2.6357827476038327E-2</v>
      </c>
      <c r="Z87" s="152">
        <f t="shared" si="250"/>
        <v>2.6357827476038327E-2</v>
      </c>
      <c r="AA87" s="152">
        <f t="shared" si="250"/>
        <v>2.6357827476038324E-2</v>
      </c>
      <c r="AB87" s="152">
        <f t="shared" si="250"/>
        <v>2.6357827476038324E-2</v>
      </c>
      <c r="AC87" s="152">
        <f t="shared" si="250"/>
        <v>2.6357827476038324E-2</v>
      </c>
      <c r="AD87" s="138" t="e">
        <f t="shared" si="247"/>
        <v>#NUM!</v>
      </c>
      <c r="AE87" s="146"/>
      <c r="AF87" s="146"/>
    </row>
    <row r="88" spans="2:32" x14ac:dyDescent="0.2">
      <c r="B88" s="20" t="s">
        <v>358</v>
      </c>
      <c r="C88" s="152"/>
      <c r="D88" s="152"/>
      <c r="E88" s="152" t="e">
        <f t="shared" ref="E88:O88" si="251">E40/E7</f>
        <v>#DIV/0!</v>
      </c>
      <c r="F88" s="152" t="e">
        <f t="shared" si="251"/>
        <v>#DIV/0!</v>
      </c>
      <c r="G88" s="152">
        <f>G40/G7</f>
        <v>-3.7037037037037035E-2</v>
      </c>
      <c r="H88" s="152">
        <f t="shared" si="251"/>
        <v>-4.1666666666666664E-2</v>
      </c>
      <c r="I88" s="152">
        <f t="shared" si="251"/>
        <v>5.7692307692307696E-2</v>
      </c>
      <c r="J88" s="152">
        <f t="shared" si="251"/>
        <v>4.6296296296296294E-2</v>
      </c>
      <c r="K88" s="152">
        <f t="shared" si="251"/>
        <v>7.0175438596491224E-2</v>
      </c>
      <c r="L88" s="152">
        <f t="shared" si="251"/>
        <v>0.13846153846153847</v>
      </c>
      <c r="M88" s="152">
        <f t="shared" si="251"/>
        <v>0.24096385542168675</v>
      </c>
      <c r="N88" s="152">
        <f t="shared" si="251"/>
        <v>0.23076923076923078</v>
      </c>
      <c r="O88" s="152">
        <f t="shared" si="251"/>
        <v>0.1984126984126984</v>
      </c>
      <c r="P88" s="152">
        <f t="shared" ref="P88:Q88" si="252">P40/P7</f>
        <v>0.21568627450980393</v>
      </c>
      <c r="Q88" s="152">
        <f t="shared" si="252"/>
        <v>0.21568627450980393</v>
      </c>
      <c r="R88" s="118">
        <f t="shared" si="245"/>
        <v>-2.2162439613899148</v>
      </c>
      <c r="S88" s="20"/>
      <c r="T88" s="152">
        <f t="shared" ref="T88" si="253">T40/T7</f>
        <v>0.2156862745098039</v>
      </c>
      <c r="U88" s="152">
        <f t="shared" ref="U88:AC88" si="254">U40/U7</f>
        <v>0.2156862745098039</v>
      </c>
      <c r="V88" s="152">
        <f t="shared" si="254"/>
        <v>0.21568627450980393</v>
      </c>
      <c r="W88" s="152">
        <f t="shared" si="254"/>
        <v>0.21568627450980393</v>
      </c>
      <c r="X88" s="152">
        <f t="shared" si="254"/>
        <v>0.21568627450980393</v>
      </c>
      <c r="Y88" s="152">
        <f t="shared" si="254"/>
        <v>0.21568627450980396</v>
      </c>
      <c r="Z88" s="152">
        <f t="shared" si="254"/>
        <v>0.21568627450980396</v>
      </c>
      <c r="AA88" s="152">
        <f t="shared" si="254"/>
        <v>0.21568627450980393</v>
      </c>
      <c r="AB88" s="152">
        <f t="shared" si="254"/>
        <v>0.21568627450980393</v>
      </c>
      <c r="AC88" s="152">
        <f t="shared" si="254"/>
        <v>0.2156862745098039</v>
      </c>
      <c r="AD88" s="138" t="e">
        <f t="shared" si="247"/>
        <v>#NUM!</v>
      </c>
      <c r="AE88" s="146"/>
      <c r="AF88" s="146"/>
    </row>
    <row r="89" spans="2:32" x14ac:dyDescent="0.2">
      <c r="B89" s="20" t="s">
        <v>359</v>
      </c>
      <c r="C89" s="152"/>
      <c r="D89" s="152"/>
      <c r="E89" s="152" t="e">
        <f t="shared" ref="E89:F89" si="255">(E40)/(E7+E10)</f>
        <v>#DIV/0!</v>
      </c>
      <c r="F89" s="152" t="e">
        <f t="shared" si="255"/>
        <v>#DIV/0!</v>
      </c>
      <c r="G89" s="152">
        <f>(G40)/(G7+G10)</f>
        <v>-1.0101010101010102E-2</v>
      </c>
      <c r="H89" s="152">
        <f t="shared" ref="H89:O89" si="256">(H40)/(H7+H10)</f>
        <v>-1.1627906976744186E-2</v>
      </c>
      <c r="I89" s="152">
        <f t="shared" si="256"/>
        <v>1.7241379310344827E-2</v>
      </c>
      <c r="J89" s="152">
        <f t="shared" si="256"/>
        <v>1.4285714285714285E-2</v>
      </c>
      <c r="K89" s="152">
        <f t="shared" si="256"/>
        <v>0.02</v>
      </c>
      <c r="L89" s="152">
        <f t="shared" si="256"/>
        <v>4.6153846153846156E-2</v>
      </c>
      <c r="M89" s="152">
        <f t="shared" si="256"/>
        <v>8.1632653061224483E-2</v>
      </c>
      <c r="N89" s="152">
        <f t="shared" si="256"/>
        <v>8.0267558528428096E-2</v>
      </c>
      <c r="O89" s="152">
        <f t="shared" si="256"/>
        <v>9.0579710144927536E-2</v>
      </c>
      <c r="P89" s="152">
        <f t="shared" ref="P89:Q89" si="257">(P40)/(P7+P10)</f>
        <v>0.11186440677966102</v>
      </c>
      <c r="Q89" s="152">
        <f t="shared" si="257"/>
        <v>0.11186440677966102</v>
      </c>
      <c r="R89" s="118">
        <f t="shared" si="245"/>
        <v>-2.3062802073344235</v>
      </c>
      <c r="S89" s="20"/>
      <c r="T89" s="152">
        <f t="shared" ref="T89:AC89" si="258">(T40)/(T7+T10)</f>
        <v>0.111864406779661</v>
      </c>
      <c r="U89" s="152">
        <f t="shared" si="258"/>
        <v>0.11186440677966099</v>
      </c>
      <c r="V89" s="152">
        <f t="shared" si="258"/>
        <v>0.11186440677966102</v>
      </c>
      <c r="W89" s="152">
        <f t="shared" si="258"/>
        <v>0.11186440677966102</v>
      </c>
      <c r="X89" s="152">
        <f t="shared" si="258"/>
        <v>0.111864406779661</v>
      </c>
      <c r="Y89" s="152">
        <f t="shared" si="258"/>
        <v>0.11186440677966103</v>
      </c>
      <c r="Z89" s="152">
        <f t="shared" si="258"/>
        <v>0.111864406779661</v>
      </c>
      <c r="AA89" s="152">
        <f t="shared" si="258"/>
        <v>0.111864406779661</v>
      </c>
      <c r="AB89" s="152">
        <f t="shared" si="258"/>
        <v>0.111864406779661</v>
      </c>
      <c r="AC89" s="152">
        <f t="shared" si="258"/>
        <v>0.11186440677966099</v>
      </c>
      <c r="AD89" s="138" t="e">
        <f t="shared" si="247"/>
        <v>#NUM!</v>
      </c>
      <c r="AE89" s="146"/>
      <c r="AF89" s="146"/>
    </row>
    <row r="90" spans="2:32" x14ac:dyDescent="0.2">
      <c r="B90" s="20" t="s">
        <v>375</v>
      </c>
      <c r="C90" s="152"/>
      <c r="D90" s="152"/>
      <c r="E90" s="152"/>
      <c r="F90" s="152"/>
      <c r="G90" s="152">
        <f>G20/G25</f>
        <v>7.9207920792079209E-2</v>
      </c>
      <c r="H90" s="152">
        <f t="shared" ref="H90:P90" si="259">H20/H25</f>
        <v>9.7435897435897437E-2</v>
      </c>
      <c r="I90" s="152">
        <f t="shared" si="259"/>
        <v>9.8290598290598288E-2</v>
      </c>
      <c r="J90" s="152">
        <f t="shared" si="259"/>
        <v>6.5217391304347824E-2</v>
      </c>
      <c r="K90" s="152">
        <f t="shared" si="259"/>
        <v>7.6687116564417179E-2</v>
      </c>
      <c r="L90" s="152">
        <f t="shared" si="259"/>
        <v>8.666666666666667E-2</v>
      </c>
      <c r="M90" s="152">
        <f t="shared" si="259"/>
        <v>7.4141048824593131E-2</v>
      </c>
      <c r="N90" s="152">
        <f t="shared" si="259"/>
        <v>3.1081081081081083E-2</v>
      </c>
      <c r="O90" s="152">
        <f t="shared" si="259"/>
        <v>9.3181818181818185E-2</v>
      </c>
      <c r="P90" s="152">
        <f t="shared" si="259"/>
        <v>6.6231343283582086E-2</v>
      </c>
      <c r="Q90" s="152">
        <f t="shared" ref="Q90" si="260">Q20/Q25</f>
        <v>5.6709265175718851E-2</v>
      </c>
      <c r="R90" s="118">
        <f t="shared" si="245"/>
        <v>-1.9683966953238152E-2</v>
      </c>
      <c r="S90" s="20"/>
      <c r="T90" s="152">
        <f t="shared" ref="T90:AC90" si="261">T20/T25</f>
        <v>5.6709265175718851E-2</v>
      </c>
      <c r="U90" s="152">
        <f t="shared" si="261"/>
        <v>5.6709265175718844E-2</v>
      </c>
      <c r="V90" s="152">
        <f t="shared" si="261"/>
        <v>5.6709265175718844E-2</v>
      </c>
      <c r="W90" s="152">
        <f t="shared" si="261"/>
        <v>5.6709265175718844E-2</v>
      </c>
      <c r="X90" s="152">
        <f t="shared" si="261"/>
        <v>5.6709265175718837E-2</v>
      </c>
      <c r="Y90" s="152">
        <f t="shared" si="261"/>
        <v>5.6709265175718837E-2</v>
      </c>
      <c r="Z90" s="152">
        <f t="shared" si="261"/>
        <v>5.6709265175718837E-2</v>
      </c>
      <c r="AA90" s="152">
        <f t="shared" si="261"/>
        <v>5.6709265175718837E-2</v>
      </c>
      <c r="AB90" s="152">
        <f t="shared" si="261"/>
        <v>5.6709265175718837E-2</v>
      </c>
      <c r="AC90" s="152">
        <f t="shared" si="261"/>
        <v>5.6709265175718844E-2</v>
      </c>
      <c r="AD90" s="138">
        <f t="shared" si="247"/>
        <v>-1.656814811066587E-2</v>
      </c>
      <c r="AE90" s="146"/>
      <c r="AF90" s="146"/>
    </row>
    <row r="91" spans="2:32" x14ac:dyDescent="0.2">
      <c r="B91" s="20" t="s">
        <v>428</v>
      </c>
      <c r="C91" s="152"/>
      <c r="D91" s="152"/>
      <c r="E91" s="152"/>
      <c r="F91" s="152"/>
      <c r="G91" s="152">
        <f>G52/G25</f>
        <v>0</v>
      </c>
      <c r="H91" s="152">
        <f t="shared" ref="H91:P91" si="262">H52/H25</f>
        <v>-5.8974358974358968E-3</v>
      </c>
      <c r="I91" s="152">
        <f t="shared" si="262"/>
        <v>0</v>
      </c>
      <c r="J91" s="152">
        <f t="shared" si="262"/>
        <v>9.057971014492754E-3</v>
      </c>
      <c r="K91" s="152">
        <f t="shared" si="262"/>
        <v>9.202453987730062E-3</v>
      </c>
      <c r="L91" s="152">
        <f t="shared" si="262"/>
        <v>1.1111111111111112E-2</v>
      </c>
      <c r="M91" s="152">
        <f t="shared" si="262"/>
        <v>1.9891500904159132E-2</v>
      </c>
      <c r="N91" s="152">
        <f t="shared" si="262"/>
        <v>1.3513513513513514E-2</v>
      </c>
      <c r="O91" s="152">
        <f t="shared" si="262"/>
        <v>1.2500000000000001E-2</v>
      </c>
      <c r="P91" s="152">
        <f t="shared" si="262"/>
        <v>1.3992537313432836E-2</v>
      </c>
      <c r="Q91" s="152">
        <f t="shared" ref="Q91" si="263">Q52/Q25</f>
        <v>1.1980830670926517E-2</v>
      </c>
      <c r="R91" s="118" t="e">
        <f t="shared" si="245"/>
        <v>#DIV/0!</v>
      </c>
      <c r="S91" s="20"/>
      <c r="T91" s="152">
        <f t="shared" ref="T91:AC91" si="264">T52/T25</f>
        <v>1.1980830670926519E-2</v>
      </c>
      <c r="U91" s="152">
        <f t="shared" si="264"/>
        <v>1.1980830670926521E-2</v>
      </c>
      <c r="V91" s="152">
        <f t="shared" si="264"/>
        <v>1.1980830670926521E-2</v>
      </c>
      <c r="W91" s="152">
        <f t="shared" si="264"/>
        <v>1.1980830670926522E-2</v>
      </c>
      <c r="X91" s="152">
        <f t="shared" si="264"/>
        <v>1.1980830670926521E-2</v>
      </c>
      <c r="Y91" s="152">
        <f t="shared" si="264"/>
        <v>1.1980830670926519E-2</v>
      </c>
      <c r="Z91" s="152">
        <f t="shared" si="264"/>
        <v>1.1980830670926522E-2</v>
      </c>
      <c r="AA91" s="152">
        <f t="shared" si="264"/>
        <v>1.1980830670926524E-2</v>
      </c>
      <c r="AB91" s="152">
        <f t="shared" si="264"/>
        <v>1.1980830670926527E-2</v>
      </c>
      <c r="AC91" s="152">
        <f t="shared" si="264"/>
        <v>1.1980830670926533E-2</v>
      </c>
      <c r="AD91" s="138" t="e">
        <f t="shared" si="247"/>
        <v>#DIV/0!</v>
      </c>
      <c r="AE91" s="146"/>
      <c r="AF91" s="146"/>
    </row>
    <row r="92" spans="2:32" x14ac:dyDescent="0.2">
      <c r="B92" s="20"/>
      <c r="C92" s="152"/>
      <c r="D92" s="152"/>
      <c r="E92" s="152"/>
      <c r="F92" s="152"/>
      <c r="G92" s="152"/>
      <c r="H92" s="152"/>
      <c r="I92" s="152"/>
      <c r="J92" s="152"/>
      <c r="K92" s="152"/>
      <c r="L92" s="152"/>
      <c r="M92" s="152"/>
      <c r="N92" s="152"/>
      <c r="O92" s="152"/>
      <c r="P92" s="152"/>
      <c r="Q92" s="152"/>
      <c r="R92" s="152"/>
      <c r="S92" s="20"/>
      <c r="T92" s="152"/>
      <c r="U92" s="152"/>
      <c r="V92" s="152"/>
      <c r="W92" s="152"/>
      <c r="X92" s="152"/>
      <c r="Y92" s="152"/>
      <c r="Z92" s="152"/>
      <c r="AA92" s="152"/>
      <c r="AB92" s="152"/>
      <c r="AC92" s="152"/>
      <c r="AD92" s="3"/>
      <c r="AE92" s="146"/>
      <c r="AF92" s="146"/>
    </row>
    <row r="93" spans="2:32" x14ac:dyDescent="0.2">
      <c r="B93" s="20" t="s">
        <v>322</v>
      </c>
      <c r="C93" s="152"/>
      <c r="D93" s="152"/>
      <c r="E93" s="152"/>
      <c r="F93" s="152"/>
      <c r="G93" s="152">
        <f>G29/G25</f>
        <v>7.4257425742574254E-2</v>
      </c>
      <c r="H93" s="152">
        <f t="shared" ref="H93:P93" si="265">H29/H25</f>
        <v>7.179487179487179E-2</v>
      </c>
      <c r="I93" s="152">
        <f t="shared" si="265"/>
        <v>5.9829059829059832E-2</v>
      </c>
      <c r="J93" s="152">
        <f t="shared" si="265"/>
        <v>4.710144927536232E-2</v>
      </c>
      <c r="K93" s="152">
        <f t="shared" si="265"/>
        <v>5.2147239263803678E-2</v>
      </c>
      <c r="L93" s="152">
        <f t="shared" si="265"/>
        <v>3.7777777777777778E-2</v>
      </c>
      <c r="M93" s="152">
        <f t="shared" si="265"/>
        <v>2.5316455696202531E-2</v>
      </c>
      <c r="N93" s="152">
        <f t="shared" si="265"/>
        <v>2.5675675675675677E-2</v>
      </c>
      <c r="O93" s="152">
        <f t="shared" si="265"/>
        <v>2.3863636363636365E-2</v>
      </c>
      <c r="P93" s="152">
        <f t="shared" si="265"/>
        <v>1.8656716417910446E-2</v>
      </c>
      <c r="Q93" s="152">
        <f t="shared" ref="Q93" si="266">Q29/Q25</f>
        <v>1.5974440894568689E-2</v>
      </c>
      <c r="R93" s="118">
        <f t="shared" si="245"/>
        <v>-0.1422831844270972</v>
      </c>
      <c r="S93" s="20"/>
      <c r="T93" s="152">
        <f t="shared" ref="T93:AC93" si="267">T29/T25</f>
        <v>1.5974440894568689E-2</v>
      </c>
      <c r="U93" s="152">
        <f t="shared" si="267"/>
        <v>1.5974440894568686E-2</v>
      </c>
      <c r="V93" s="152">
        <f t="shared" si="267"/>
        <v>1.5974440894568686E-2</v>
      </c>
      <c r="W93" s="152">
        <f t="shared" si="267"/>
        <v>1.5974440894568686E-2</v>
      </c>
      <c r="X93" s="152">
        <f t="shared" si="267"/>
        <v>1.5974440894568682E-2</v>
      </c>
      <c r="Y93" s="152">
        <f t="shared" si="267"/>
        <v>1.5974440894568686E-2</v>
      </c>
      <c r="Z93" s="152">
        <f t="shared" si="267"/>
        <v>1.5974440894568686E-2</v>
      </c>
      <c r="AA93" s="152">
        <f t="shared" si="267"/>
        <v>1.5974440894568686E-2</v>
      </c>
      <c r="AB93" s="152">
        <f t="shared" si="267"/>
        <v>1.5974440894568682E-2</v>
      </c>
      <c r="AC93" s="152">
        <f t="shared" si="267"/>
        <v>1.5974440894568682E-2</v>
      </c>
      <c r="AD93" s="138">
        <f t="shared" si="247"/>
        <v>-7.3950313909622256E-2</v>
      </c>
      <c r="AE93" s="146"/>
      <c r="AF93" s="146"/>
    </row>
    <row r="94" spans="2:32" x14ac:dyDescent="0.2">
      <c r="B94" s="20" t="s">
        <v>368</v>
      </c>
      <c r="C94" s="152"/>
      <c r="D94" s="152"/>
      <c r="E94" s="152"/>
      <c r="F94" s="152"/>
      <c r="G94" s="152">
        <f>G29/G36</f>
        <v>0.7142857142857143</v>
      </c>
      <c r="H94" s="152">
        <f t="shared" ref="H94:P94" si="268">H29/H36</f>
        <v>0.60869565217391308</v>
      </c>
      <c r="I94" s="152">
        <f t="shared" si="268"/>
        <v>0.5</v>
      </c>
      <c r="J94" s="152">
        <f t="shared" si="268"/>
        <v>0.43333333333333335</v>
      </c>
      <c r="K94" s="152">
        <f t="shared" si="268"/>
        <v>0.45945945945945948</v>
      </c>
      <c r="L94" s="152">
        <f t="shared" si="268"/>
        <v>0.37777777777777777</v>
      </c>
      <c r="M94" s="152">
        <f t="shared" si="268"/>
        <v>0.24561403508771928</v>
      </c>
      <c r="N94" s="152">
        <f t="shared" si="268"/>
        <v>0.28358208955223879</v>
      </c>
      <c r="O94" s="152">
        <f t="shared" si="268"/>
        <v>0.28378378378378377</v>
      </c>
      <c r="P94" s="152">
        <f t="shared" si="268"/>
        <v>0.23255813953488372</v>
      </c>
      <c r="Q94" s="152">
        <f t="shared" ref="Q94" si="269">Q29/Q36</f>
        <v>0.23255813953488372</v>
      </c>
      <c r="R94" s="118">
        <f t="shared" ref="R94" si="270">((P94/G94)^(1/($H$2-$H$1) ))-1</f>
        <v>-0.11722288822390026</v>
      </c>
      <c r="S94" s="20"/>
      <c r="T94" s="152">
        <f t="shared" ref="T94:AC94" si="271">T29/T36</f>
        <v>0.23255813953488372</v>
      </c>
      <c r="U94" s="152">
        <f t="shared" si="271"/>
        <v>0.23255813953488375</v>
      </c>
      <c r="V94" s="152">
        <f t="shared" si="271"/>
        <v>0.23255813953488372</v>
      </c>
      <c r="W94" s="152">
        <f t="shared" si="271"/>
        <v>0.23255813953488369</v>
      </c>
      <c r="X94" s="152">
        <f t="shared" si="271"/>
        <v>0.23255813953488372</v>
      </c>
      <c r="Y94" s="152">
        <f t="shared" si="271"/>
        <v>0.23255813953488375</v>
      </c>
      <c r="Z94" s="152">
        <f t="shared" si="271"/>
        <v>0.23255813953488372</v>
      </c>
      <c r="AA94" s="152">
        <f t="shared" si="271"/>
        <v>0.23255813953488372</v>
      </c>
      <c r="AB94" s="152">
        <f t="shared" si="271"/>
        <v>0.23255813953488369</v>
      </c>
      <c r="AC94" s="152">
        <f t="shared" si="271"/>
        <v>0.23255813953488369</v>
      </c>
      <c r="AD94" s="138">
        <f t="shared" ref="AD94" si="272">((AC94/G94)^(1/($AC$3-$H$1) ))-1</f>
        <v>-5.4562163087799709E-2</v>
      </c>
      <c r="AE94" s="146"/>
      <c r="AF94" s="146"/>
    </row>
    <row r="95" spans="2:32" ht="12" customHeight="1" x14ac:dyDescent="0.2">
      <c r="B95" s="20" t="s">
        <v>367</v>
      </c>
      <c r="C95" s="152"/>
      <c r="D95" s="152"/>
      <c r="E95" s="152"/>
      <c r="F95" s="152"/>
      <c r="G95" s="171">
        <f t="shared" ref="G95:P95" si="273">G29/G40</f>
        <v>-7.5</v>
      </c>
      <c r="H95" s="171">
        <f t="shared" si="273"/>
        <v>-7</v>
      </c>
      <c r="I95" s="171">
        <f t="shared" si="273"/>
        <v>4.666666666666667</v>
      </c>
      <c r="J95" s="171">
        <f t="shared" si="273"/>
        <v>5.2</v>
      </c>
      <c r="K95" s="171">
        <f t="shared" si="273"/>
        <v>4.25</v>
      </c>
      <c r="L95" s="171">
        <f t="shared" si="273"/>
        <v>1.8888888888888888</v>
      </c>
      <c r="M95" s="171">
        <f t="shared" si="273"/>
        <v>0.7</v>
      </c>
      <c r="N95" s="171">
        <f t="shared" si="273"/>
        <v>0.79166666666666663</v>
      </c>
      <c r="O95" s="171">
        <f t="shared" si="273"/>
        <v>0.84</v>
      </c>
      <c r="P95" s="171">
        <f t="shared" si="273"/>
        <v>0.60606060606060608</v>
      </c>
      <c r="Q95" s="171">
        <f t="shared" ref="Q95" si="274">Q29/Q40</f>
        <v>0.60606060606060608</v>
      </c>
      <c r="R95" s="118">
        <f t="shared" ref="R95" si="275">((P95/G95)^(1/($H$2-$H$1) ))-1</f>
        <v>-1.7561467468492118</v>
      </c>
      <c r="S95" s="20"/>
      <c r="T95" s="171">
        <f t="shared" ref="T95:AC95" si="276">T29/T40</f>
        <v>0.60606060606060608</v>
      </c>
      <c r="U95" s="171">
        <f t="shared" si="276"/>
        <v>0.60606060606060608</v>
      </c>
      <c r="V95" s="171">
        <f t="shared" si="276"/>
        <v>0.60606060606060608</v>
      </c>
      <c r="W95" s="171">
        <f t="shared" si="276"/>
        <v>0.60606060606060597</v>
      </c>
      <c r="X95" s="171">
        <f t="shared" si="276"/>
        <v>0.60606060606060608</v>
      </c>
      <c r="Y95" s="171">
        <f t="shared" si="276"/>
        <v>0.60606060606060608</v>
      </c>
      <c r="Z95" s="171">
        <f t="shared" si="276"/>
        <v>0.60606060606060619</v>
      </c>
      <c r="AA95" s="171">
        <f t="shared" si="276"/>
        <v>0.60606060606060619</v>
      </c>
      <c r="AB95" s="171">
        <f t="shared" si="276"/>
        <v>0.60606060606060619</v>
      </c>
      <c r="AC95" s="171">
        <f t="shared" si="276"/>
        <v>0.60606060606060619</v>
      </c>
      <c r="AD95" s="138" t="e">
        <f t="shared" ref="AD95" si="277">((AC95/G95)^(1/($AC$3-$H$1) ))-1</f>
        <v>#NUM!</v>
      </c>
      <c r="AE95" s="146"/>
      <c r="AF95" s="146"/>
    </row>
    <row r="96" spans="2:32" ht="12" customHeight="1" x14ac:dyDescent="0.2">
      <c r="B96" s="20" t="s">
        <v>324</v>
      </c>
      <c r="C96" s="152"/>
      <c r="D96" s="152"/>
      <c r="E96" s="152"/>
      <c r="F96" s="152"/>
      <c r="G96" s="171">
        <f t="shared" ref="G96:P96" si="278">G29/G12</f>
        <v>0.18072289156626506</v>
      </c>
      <c r="H96" s="171">
        <f t="shared" si="278"/>
        <v>4.666666666666667</v>
      </c>
      <c r="I96" s="171">
        <f t="shared" si="278"/>
        <v>2.8</v>
      </c>
      <c r="J96" s="171">
        <f t="shared" si="278"/>
        <v>2.1666666666666665</v>
      </c>
      <c r="K96" s="171">
        <f t="shared" si="278"/>
        <v>1.5454545454545454</v>
      </c>
      <c r="L96" s="171">
        <f t="shared" si="278"/>
        <v>1.5454545454545454</v>
      </c>
      <c r="M96" s="171">
        <f t="shared" si="278"/>
        <v>0.93333333333333335</v>
      </c>
      <c r="N96" s="171">
        <f t="shared" si="278"/>
        <v>1.2666666666666666</v>
      </c>
      <c r="O96" s="171">
        <f t="shared" si="278"/>
        <v>0.95454545454545459</v>
      </c>
      <c r="P96" s="171">
        <f t="shared" si="278"/>
        <v>0.76923076923076927</v>
      </c>
      <c r="Q96" s="171">
        <f t="shared" ref="Q96" si="279">Q29/Q12</f>
        <v>0.76923076923076927</v>
      </c>
      <c r="R96" s="118">
        <f t="shared" si="245"/>
        <v>0.17461007096834735</v>
      </c>
      <c r="S96" s="20"/>
      <c r="T96" s="152">
        <f t="shared" ref="T96:AC96" si="280">T29/T12</f>
        <v>0.76923076923076916</v>
      </c>
      <c r="U96" s="152">
        <f t="shared" si="280"/>
        <v>0.76923076923076916</v>
      </c>
      <c r="V96" s="152">
        <f t="shared" si="280"/>
        <v>0.76923076923076905</v>
      </c>
      <c r="W96" s="152">
        <f t="shared" si="280"/>
        <v>0.76923076923076894</v>
      </c>
      <c r="X96" s="152">
        <f t="shared" si="280"/>
        <v>0.76923076923076894</v>
      </c>
      <c r="Y96" s="152">
        <f t="shared" si="280"/>
        <v>0.76923076923076894</v>
      </c>
      <c r="Z96" s="152">
        <f t="shared" si="280"/>
        <v>0.76923076923076894</v>
      </c>
      <c r="AA96" s="152">
        <f t="shared" si="280"/>
        <v>0.76923076923076894</v>
      </c>
      <c r="AB96" s="152">
        <f t="shared" si="280"/>
        <v>0.76923076923076894</v>
      </c>
      <c r="AC96" s="152">
        <f t="shared" si="280"/>
        <v>0.76923076923076894</v>
      </c>
      <c r="AD96" s="138">
        <f t="shared" si="247"/>
        <v>7.51081993913989E-2</v>
      </c>
      <c r="AE96" s="146"/>
      <c r="AF96" s="146"/>
    </row>
    <row r="97" spans="2:32" ht="12" customHeight="1" x14ac:dyDescent="0.2">
      <c r="B97" s="20" t="s">
        <v>369</v>
      </c>
      <c r="C97" s="152"/>
      <c r="D97" s="152"/>
      <c r="E97" s="152"/>
      <c r="F97" s="152"/>
      <c r="G97" s="171">
        <f>G29/G23</f>
        <v>6.8181818181818175</v>
      </c>
      <c r="H97" s="171">
        <f t="shared" ref="H97:P97" si="281">H29/H23</f>
        <v>4.666666666666667</v>
      </c>
      <c r="I97" s="171">
        <f t="shared" si="281"/>
        <v>2.8</v>
      </c>
      <c r="J97" s="171">
        <f t="shared" si="281"/>
        <v>2.1666666666666665</v>
      </c>
      <c r="K97" s="171">
        <f t="shared" si="281"/>
        <v>1.7</v>
      </c>
      <c r="L97" s="171">
        <f t="shared" si="281"/>
        <v>1.8888888888888888</v>
      </c>
      <c r="M97" s="171">
        <f t="shared" si="281"/>
        <v>0.93333333333333335</v>
      </c>
      <c r="N97" s="171">
        <f t="shared" si="281"/>
        <v>1.2666666666666666</v>
      </c>
      <c r="O97" s="171">
        <f t="shared" si="281"/>
        <v>0.95454545454545459</v>
      </c>
      <c r="P97" s="171">
        <f t="shared" si="281"/>
        <v>0.8</v>
      </c>
      <c r="Q97" s="171">
        <f t="shared" ref="Q97" si="282">Q29/Q23</f>
        <v>0.8</v>
      </c>
      <c r="R97" s="118">
        <f t="shared" ref="R97" si="283">((P97/G97)^(1/($H$2-$H$1) ))-1</f>
        <v>-0.2118617980675882</v>
      </c>
      <c r="S97" s="20"/>
      <c r="T97" s="171">
        <f t="shared" ref="T97:AC97" si="284">T29/T23</f>
        <v>0.79999999999999993</v>
      </c>
      <c r="U97" s="171">
        <f t="shared" si="284"/>
        <v>0.79999999999999993</v>
      </c>
      <c r="V97" s="171">
        <f t="shared" si="284"/>
        <v>0.79999999999999993</v>
      </c>
      <c r="W97" s="171">
        <f t="shared" si="284"/>
        <v>0.79999999999999993</v>
      </c>
      <c r="X97" s="171">
        <f t="shared" si="284"/>
        <v>0.8</v>
      </c>
      <c r="Y97" s="171">
        <f t="shared" si="284"/>
        <v>0.80000000000000016</v>
      </c>
      <c r="Z97" s="171">
        <f t="shared" si="284"/>
        <v>0.80000000000000016</v>
      </c>
      <c r="AA97" s="171">
        <f t="shared" si="284"/>
        <v>0.80000000000000016</v>
      </c>
      <c r="AB97" s="171">
        <f t="shared" si="284"/>
        <v>0.8</v>
      </c>
      <c r="AC97" s="171">
        <f t="shared" si="284"/>
        <v>0.8</v>
      </c>
      <c r="AD97" s="138">
        <f t="shared" ref="AD97" si="285">((AC97/G97)^(1/($AC$3-$H$1) ))-1</f>
        <v>-0.10159725452556689</v>
      </c>
      <c r="AE97" s="146"/>
      <c r="AF97" s="146"/>
    </row>
    <row r="98" spans="2:32" ht="12" customHeight="1" x14ac:dyDescent="0.2">
      <c r="B98" s="20"/>
      <c r="C98" s="152"/>
      <c r="D98" s="152"/>
      <c r="E98" s="152"/>
      <c r="F98" s="152"/>
      <c r="G98" s="171"/>
      <c r="H98" s="171"/>
      <c r="I98" s="171"/>
      <c r="J98" s="171"/>
      <c r="K98" s="171"/>
      <c r="L98" s="171"/>
      <c r="M98" s="171"/>
      <c r="N98" s="171"/>
      <c r="O98" s="171"/>
      <c r="P98" s="171"/>
      <c r="Q98" s="171"/>
      <c r="R98" s="171"/>
      <c r="S98" s="20"/>
      <c r="T98" s="152"/>
      <c r="U98" s="152"/>
      <c r="V98" s="152"/>
      <c r="W98" s="152"/>
      <c r="X98" s="152"/>
      <c r="Y98" s="152"/>
      <c r="Z98" s="152"/>
      <c r="AA98" s="152"/>
      <c r="AB98" s="152"/>
      <c r="AC98" s="152"/>
      <c r="AD98" s="152"/>
      <c r="AE98" s="146"/>
      <c r="AF98" s="146"/>
    </row>
    <row r="99" spans="2:32" ht="12" customHeight="1" x14ac:dyDescent="0.2">
      <c r="B99" s="20" t="s">
        <v>402</v>
      </c>
      <c r="C99" s="152"/>
      <c r="D99" s="152"/>
      <c r="E99" s="152"/>
      <c r="F99" s="152"/>
      <c r="G99" s="127">
        <f>1/G93</f>
        <v>13.466666666666667</v>
      </c>
      <c r="H99" s="127">
        <f t="shared" ref="H99:P99" si="286">1/H93</f>
        <v>13.928571428571429</v>
      </c>
      <c r="I99" s="127">
        <f t="shared" si="286"/>
        <v>16.714285714285715</v>
      </c>
      <c r="J99" s="127">
        <f t="shared" si="286"/>
        <v>21.23076923076923</v>
      </c>
      <c r="K99" s="127">
        <f t="shared" si="286"/>
        <v>19.176470588235293</v>
      </c>
      <c r="L99" s="127">
        <f t="shared" si="286"/>
        <v>26.470588235294116</v>
      </c>
      <c r="M99" s="127">
        <f t="shared" si="286"/>
        <v>39.5</v>
      </c>
      <c r="N99" s="127">
        <f t="shared" si="286"/>
        <v>38.94736842105263</v>
      </c>
      <c r="O99" s="127">
        <f t="shared" si="286"/>
        <v>41.904761904761905</v>
      </c>
      <c r="P99" s="127">
        <f t="shared" si="286"/>
        <v>53.6</v>
      </c>
      <c r="Q99" s="127">
        <f t="shared" ref="Q99" si="287">1/Q93</f>
        <v>62.6</v>
      </c>
      <c r="R99" s="118">
        <f t="shared" si="245"/>
        <v>0.16588596824006618</v>
      </c>
      <c r="S99" s="20"/>
      <c r="T99" s="127">
        <f t="shared" ref="T99:AC99" si="288">1/T93</f>
        <v>62.6</v>
      </c>
      <c r="U99" s="127">
        <f t="shared" si="288"/>
        <v>62.600000000000016</v>
      </c>
      <c r="V99" s="127">
        <f t="shared" si="288"/>
        <v>62.600000000000016</v>
      </c>
      <c r="W99" s="127">
        <f t="shared" si="288"/>
        <v>62.600000000000016</v>
      </c>
      <c r="X99" s="127">
        <f t="shared" si="288"/>
        <v>62.60000000000003</v>
      </c>
      <c r="Y99" s="127">
        <f t="shared" si="288"/>
        <v>62.600000000000016</v>
      </c>
      <c r="Z99" s="127">
        <f t="shared" si="288"/>
        <v>62.600000000000016</v>
      </c>
      <c r="AA99" s="127">
        <f t="shared" si="288"/>
        <v>62.600000000000016</v>
      </c>
      <c r="AB99" s="127">
        <f t="shared" si="288"/>
        <v>62.60000000000003</v>
      </c>
      <c r="AC99" s="127">
        <f t="shared" si="288"/>
        <v>62.60000000000003</v>
      </c>
      <c r="AD99" s="138">
        <f t="shared" si="247"/>
        <v>7.9855665436082246E-2</v>
      </c>
      <c r="AE99" s="146"/>
      <c r="AF99" s="146"/>
    </row>
    <row r="100" spans="2:32" ht="12" customHeight="1" x14ac:dyDescent="0.2">
      <c r="B100" s="20" t="s">
        <v>403</v>
      </c>
      <c r="C100" s="152"/>
      <c r="D100" s="152"/>
      <c r="E100" s="152"/>
      <c r="F100" s="152"/>
      <c r="G100" s="127">
        <f t="shared" ref="G100:P103" si="289">1/G94</f>
        <v>1.4</v>
      </c>
      <c r="H100" s="127">
        <f t="shared" si="289"/>
        <v>1.6428571428571428</v>
      </c>
      <c r="I100" s="127">
        <f t="shared" si="289"/>
        <v>2</v>
      </c>
      <c r="J100" s="127">
        <f t="shared" si="289"/>
        <v>2.3076923076923075</v>
      </c>
      <c r="K100" s="127">
        <f t="shared" si="289"/>
        <v>2.1764705882352939</v>
      </c>
      <c r="L100" s="127">
        <f t="shared" si="289"/>
        <v>2.6470588235294117</v>
      </c>
      <c r="M100" s="127">
        <f t="shared" si="289"/>
        <v>4.0714285714285721</v>
      </c>
      <c r="N100" s="127">
        <f t="shared" si="289"/>
        <v>3.5263157894736845</v>
      </c>
      <c r="O100" s="127">
        <f t="shared" si="289"/>
        <v>3.5238095238095242</v>
      </c>
      <c r="P100" s="127">
        <f t="shared" si="289"/>
        <v>4.3</v>
      </c>
      <c r="Q100" s="127">
        <f t="shared" ref="Q100" si="290">1/Q94</f>
        <v>4.3</v>
      </c>
      <c r="R100" s="118">
        <f t="shared" si="245"/>
        <v>0.13278877154852164</v>
      </c>
      <c r="S100" s="20"/>
      <c r="T100" s="127">
        <f t="shared" ref="T100:AC100" si="291">1/T94</f>
        <v>4.3</v>
      </c>
      <c r="U100" s="127">
        <f t="shared" si="291"/>
        <v>4.3</v>
      </c>
      <c r="V100" s="127">
        <f t="shared" si="291"/>
        <v>4.3</v>
      </c>
      <c r="W100" s="127">
        <f t="shared" si="291"/>
        <v>4.3000000000000007</v>
      </c>
      <c r="X100" s="127">
        <f t="shared" si="291"/>
        <v>4.3</v>
      </c>
      <c r="Y100" s="127">
        <f t="shared" si="291"/>
        <v>4.3</v>
      </c>
      <c r="Z100" s="127">
        <f t="shared" si="291"/>
        <v>4.3</v>
      </c>
      <c r="AA100" s="127">
        <f t="shared" si="291"/>
        <v>4.3</v>
      </c>
      <c r="AB100" s="127">
        <f t="shared" si="291"/>
        <v>4.3000000000000007</v>
      </c>
      <c r="AC100" s="127">
        <f t="shared" si="291"/>
        <v>4.3000000000000007</v>
      </c>
      <c r="AD100" s="138">
        <f t="shared" si="247"/>
        <v>5.7711000086478226E-2</v>
      </c>
      <c r="AE100" s="146"/>
      <c r="AF100" s="146"/>
    </row>
    <row r="101" spans="2:32" ht="12" customHeight="1" x14ac:dyDescent="0.2">
      <c r="B101" s="20" t="s">
        <v>404</v>
      </c>
      <c r="C101" s="152"/>
      <c r="D101" s="152"/>
      <c r="E101" s="152"/>
      <c r="F101" s="152"/>
      <c r="G101" s="127">
        <f t="shared" si="289"/>
        <v>-0.13333333333333333</v>
      </c>
      <c r="H101" s="127">
        <f t="shared" si="289"/>
        <v>-0.14285714285714285</v>
      </c>
      <c r="I101" s="127">
        <f t="shared" si="289"/>
        <v>0.21428571428571427</v>
      </c>
      <c r="J101" s="127">
        <f t="shared" si="289"/>
        <v>0.19230769230769229</v>
      </c>
      <c r="K101" s="127">
        <f t="shared" si="289"/>
        <v>0.23529411764705882</v>
      </c>
      <c r="L101" s="127">
        <f t="shared" si="289"/>
        <v>0.52941176470588236</v>
      </c>
      <c r="M101" s="127">
        <f t="shared" si="289"/>
        <v>1.4285714285714286</v>
      </c>
      <c r="N101" s="127">
        <f t="shared" si="289"/>
        <v>1.2631578947368423</v>
      </c>
      <c r="O101" s="127">
        <f t="shared" si="289"/>
        <v>1.1904761904761905</v>
      </c>
      <c r="P101" s="127">
        <f t="shared" si="289"/>
        <v>1.65</v>
      </c>
      <c r="Q101" s="127">
        <f t="shared" ref="Q101" si="292">1/Q95</f>
        <v>1.65</v>
      </c>
      <c r="R101" s="118">
        <f t="shared" si="245"/>
        <v>-2.3224946138654969</v>
      </c>
      <c r="S101" s="20"/>
      <c r="T101" s="127">
        <f t="shared" ref="T101:AC101" si="293">1/T95</f>
        <v>1.65</v>
      </c>
      <c r="U101" s="127">
        <f t="shared" si="293"/>
        <v>1.65</v>
      </c>
      <c r="V101" s="127">
        <f t="shared" si="293"/>
        <v>1.65</v>
      </c>
      <c r="W101" s="127">
        <f t="shared" si="293"/>
        <v>1.6500000000000004</v>
      </c>
      <c r="X101" s="127">
        <f t="shared" si="293"/>
        <v>1.65</v>
      </c>
      <c r="Y101" s="127">
        <f t="shared" si="293"/>
        <v>1.65</v>
      </c>
      <c r="Z101" s="127">
        <f t="shared" si="293"/>
        <v>1.6499999999999997</v>
      </c>
      <c r="AA101" s="127">
        <f t="shared" si="293"/>
        <v>1.6499999999999997</v>
      </c>
      <c r="AB101" s="127">
        <f t="shared" si="293"/>
        <v>1.6499999999999997</v>
      </c>
      <c r="AC101" s="127">
        <f t="shared" si="293"/>
        <v>1.6499999999999997</v>
      </c>
      <c r="AD101" s="138" t="e">
        <f t="shared" si="247"/>
        <v>#NUM!</v>
      </c>
      <c r="AE101" s="146"/>
      <c r="AF101" s="146"/>
    </row>
    <row r="102" spans="2:32" ht="12" customHeight="1" x14ac:dyDescent="0.2">
      <c r="B102" s="20" t="s">
        <v>405</v>
      </c>
      <c r="C102" s="152"/>
      <c r="D102" s="152"/>
      <c r="E102" s="152"/>
      <c r="F102" s="152"/>
      <c r="G102" s="127">
        <f t="shared" si="289"/>
        <v>5.5333333333333332</v>
      </c>
      <c r="H102" s="127">
        <f t="shared" si="289"/>
        <v>0.21428571428571427</v>
      </c>
      <c r="I102" s="127">
        <f t="shared" si="289"/>
        <v>0.35714285714285715</v>
      </c>
      <c r="J102" s="127">
        <f t="shared" si="289"/>
        <v>0.46153846153846156</v>
      </c>
      <c r="K102" s="127">
        <f t="shared" si="289"/>
        <v>0.6470588235294118</v>
      </c>
      <c r="L102" s="127">
        <f t="shared" si="289"/>
        <v>0.6470588235294118</v>
      </c>
      <c r="M102" s="127">
        <f t="shared" si="289"/>
        <v>1.0714285714285714</v>
      </c>
      <c r="N102" s="127">
        <f t="shared" si="289"/>
        <v>0.78947368421052633</v>
      </c>
      <c r="O102" s="127">
        <f t="shared" si="289"/>
        <v>1.0476190476190477</v>
      </c>
      <c r="P102" s="127">
        <f t="shared" si="289"/>
        <v>1.2999999999999998</v>
      </c>
      <c r="Q102" s="127">
        <f t="shared" ref="Q102" si="294">1/Q96</f>
        <v>1.2999999999999998</v>
      </c>
      <c r="R102" s="118">
        <f t="shared" si="245"/>
        <v>-0.14865364709873385</v>
      </c>
      <c r="S102" s="20"/>
      <c r="T102" s="127">
        <f t="shared" ref="T102:AC102" si="295">1/T96</f>
        <v>1.3</v>
      </c>
      <c r="U102" s="127">
        <f t="shared" si="295"/>
        <v>1.3</v>
      </c>
      <c r="V102" s="127">
        <f t="shared" si="295"/>
        <v>1.3000000000000003</v>
      </c>
      <c r="W102" s="127">
        <f t="shared" si="295"/>
        <v>1.3000000000000005</v>
      </c>
      <c r="X102" s="127">
        <f t="shared" si="295"/>
        <v>1.3000000000000005</v>
      </c>
      <c r="Y102" s="127">
        <f t="shared" si="295"/>
        <v>1.3000000000000005</v>
      </c>
      <c r="Z102" s="127">
        <f t="shared" si="295"/>
        <v>1.3000000000000005</v>
      </c>
      <c r="AA102" s="127">
        <f t="shared" si="295"/>
        <v>1.3000000000000005</v>
      </c>
      <c r="AB102" s="127">
        <f t="shared" si="295"/>
        <v>1.3000000000000005</v>
      </c>
      <c r="AC102" s="127">
        <f t="shared" si="295"/>
        <v>1.3000000000000005</v>
      </c>
      <c r="AD102" s="138">
        <f t="shared" si="247"/>
        <v>-6.986106089965316E-2</v>
      </c>
      <c r="AE102" s="146"/>
      <c r="AF102" s="146"/>
    </row>
    <row r="103" spans="2:32" ht="12" customHeight="1" x14ac:dyDescent="0.2">
      <c r="B103" s="20" t="s">
        <v>406</v>
      </c>
      <c r="C103" s="152"/>
      <c r="D103" s="152"/>
      <c r="E103" s="152"/>
      <c r="F103" s="152"/>
      <c r="G103" s="127">
        <f t="shared" si="289"/>
        <v>0.1466666666666667</v>
      </c>
      <c r="H103" s="127">
        <f t="shared" si="289"/>
        <v>0.21428571428571427</v>
      </c>
      <c r="I103" s="127">
        <f t="shared" si="289"/>
        <v>0.35714285714285715</v>
      </c>
      <c r="J103" s="127">
        <f t="shared" si="289"/>
        <v>0.46153846153846156</v>
      </c>
      <c r="K103" s="127">
        <f t="shared" si="289"/>
        <v>0.58823529411764708</v>
      </c>
      <c r="L103" s="127">
        <f t="shared" si="289"/>
        <v>0.52941176470588236</v>
      </c>
      <c r="M103" s="127">
        <f t="shared" si="289"/>
        <v>1.0714285714285714</v>
      </c>
      <c r="N103" s="127">
        <f t="shared" si="289"/>
        <v>0.78947368421052633</v>
      </c>
      <c r="O103" s="127">
        <f t="shared" si="289"/>
        <v>1.0476190476190477</v>
      </c>
      <c r="P103" s="127">
        <f t="shared" si="289"/>
        <v>1.25</v>
      </c>
      <c r="Q103" s="127">
        <f t="shared" ref="Q103" si="296">1/Q97</f>
        <v>1.25</v>
      </c>
      <c r="R103" s="118">
        <f t="shared" si="245"/>
        <v>0.26881300455698098</v>
      </c>
      <c r="S103" s="20"/>
      <c r="T103" s="127">
        <f t="shared" ref="T103:AC103" si="297">1/T97</f>
        <v>1.25</v>
      </c>
      <c r="U103" s="127">
        <f t="shared" si="297"/>
        <v>1.25</v>
      </c>
      <c r="V103" s="127">
        <f t="shared" si="297"/>
        <v>1.25</v>
      </c>
      <c r="W103" s="127">
        <f t="shared" si="297"/>
        <v>1.25</v>
      </c>
      <c r="X103" s="127">
        <f t="shared" si="297"/>
        <v>1.25</v>
      </c>
      <c r="Y103" s="127">
        <f t="shared" si="297"/>
        <v>1.2499999999999998</v>
      </c>
      <c r="Z103" s="127">
        <f t="shared" si="297"/>
        <v>1.2499999999999998</v>
      </c>
      <c r="AA103" s="127">
        <f t="shared" si="297"/>
        <v>1.2499999999999998</v>
      </c>
      <c r="AB103" s="127">
        <f t="shared" si="297"/>
        <v>1.25</v>
      </c>
      <c r="AC103" s="127">
        <f t="shared" si="297"/>
        <v>1.25</v>
      </c>
      <c r="AD103" s="138">
        <f t="shared" si="247"/>
        <v>0.11308653611907094</v>
      </c>
      <c r="AE103" s="146"/>
      <c r="AF103" s="146"/>
    </row>
    <row r="104" spans="2:32" ht="12" customHeight="1" x14ac:dyDescent="0.2">
      <c r="B104" s="20"/>
      <c r="C104" s="152"/>
      <c r="D104" s="152"/>
      <c r="E104" s="152"/>
      <c r="F104" s="152"/>
      <c r="G104" s="171"/>
      <c r="H104" s="171"/>
      <c r="I104" s="171"/>
      <c r="J104" s="171"/>
      <c r="K104" s="171"/>
      <c r="L104" s="171"/>
      <c r="M104" s="171"/>
      <c r="N104" s="171"/>
      <c r="O104" s="171"/>
      <c r="P104" s="171"/>
      <c r="Q104" s="171"/>
      <c r="R104" s="171"/>
      <c r="S104" s="20"/>
      <c r="T104" s="152"/>
      <c r="U104" s="152"/>
      <c r="V104" s="152"/>
      <c r="W104" s="152"/>
      <c r="X104" s="152"/>
      <c r="Y104" s="152"/>
      <c r="Z104" s="152"/>
      <c r="AA104" s="152"/>
      <c r="AB104" s="152"/>
      <c r="AC104" s="152"/>
      <c r="AD104" s="152"/>
      <c r="AE104" s="146"/>
      <c r="AF104" s="146"/>
    </row>
    <row r="105" spans="2:32" ht="12" customHeight="1" x14ac:dyDescent="0.2">
      <c r="B105" s="20"/>
      <c r="C105" s="152"/>
      <c r="D105" s="152"/>
      <c r="E105" s="152"/>
      <c r="F105" s="152"/>
      <c r="G105" s="171"/>
      <c r="H105" s="171"/>
      <c r="I105" s="171"/>
      <c r="J105" s="171"/>
      <c r="K105" s="171"/>
      <c r="L105" s="171"/>
      <c r="M105" s="171"/>
      <c r="N105" s="171"/>
      <c r="O105" s="171"/>
      <c r="P105" s="171"/>
      <c r="Q105" s="171"/>
      <c r="R105" s="171"/>
      <c r="S105" s="20"/>
      <c r="T105" s="152"/>
      <c r="U105" s="152"/>
      <c r="V105" s="152"/>
      <c r="W105" s="152"/>
      <c r="X105" s="152"/>
      <c r="Y105" s="152"/>
      <c r="Z105" s="152"/>
      <c r="AA105" s="152"/>
      <c r="AB105" s="152"/>
      <c r="AC105" s="152"/>
      <c r="AD105" s="152"/>
      <c r="AE105" s="146"/>
      <c r="AF105" s="146"/>
    </row>
    <row r="106" spans="2:32" x14ac:dyDescent="0.2">
      <c r="B106" s="20" t="s">
        <v>325</v>
      </c>
      <c r="C106" s="152"/>
      <c r="D106" s="152"/>
      <c r="E106" s="152"/>
      <c r="F106" s="163">
        <f t="shared" ref="F106:O106" si="298">F10-(F12+F13)</f>
        <v>0</v>
      </c>
      <c r="G106" s="163">
        <f t="shared" si="298"/>
        <v>60.040000000000006</v>
      </c>
      <c r="H106" s="163">
        <f t="shared" si="298"/>
        <v>120.3</v>
      </c>
      <c r="I106" s="163">
        <f t="shared" si="298"/>
        <v>116.4</v>
      </c>
      <c r="J106" s="163">
        <f t="shared" si="298"/>
        <v>114.4</v>
      </c>
      <c r="K106" s="163">
        <f t="shared" si="298"/>
        <v>131.4</v>
      </c>
      <c r="L106" s="163">
        <f t="shared" si="298"/>
        <v>118.65</v>
      </c>
      <c r="M106" s="163">
        <f t="shared" si="298"/>
        <v>146</v>
      </c>
      <c r="N106" s="163">
        <f t="shared" si="298"/>
        <v>179.1</v>
      </c>
      <c r="O106" s="163">
        <f t="shared" si="298"/>
        <v>123</v>
      </c>
      <c r="P106" s="163">
        <f>P10-(P12+P13)</f>
        <v>107.3</v>
      </c>
      <c r="Q106" s="163">
        <f>Q10-(Q12+Q13)</f>
        <v>107.3</v>
      </c>
      <c r="R106" s="118">
        <f t="shared" si="245"/>
        <v>6.6639520657519435E-2</v>
      </c>
      <c r="S106" s="20"/>
      <c r="T106" s="163">
        <f>T10-(T12+T13)</f>
        <v>120.17600000000002</v>
      </c>
      <c r="U106" s="163">
        <f t="shared" ref="U106:AC106" si="299">U10-(U12+U13)</f>
        <v>134.59712000000005</v>
      </c>
      <c r="V106" s="163">
        <f t="shared" si="299"/>
        <v>150.74877440000006</v>
      </c>
      <c r="W106" s="163">
        <f t="shared" si="299"/>
        <v>168.83862732800009</v>
      </c>
      <c r="X106" s="163">
        <f t="shared" si="299"/>
        <v>189.09926260736012</v>
      </c>
      <c r="Y106" s="163">
        <f t="shared" si="299"/>
        <v>211.79117412024334</v>
      </c>
      <c r="Z106" s="163">
        <f t="shared" si="299"/>
        <v>237.20611501467255</v>
      </c>
      <c r="AA106" s="163">
        <f t="shared" si="299"/>
        <v>265.67084881643331</v>
      </c>
      <c r="AB106" s="163">
        <f t="shared" si="299"/>
        <v>297.55135067440528</v>
      </c>
      <c r="AC106" s="163">
        <f t="shared" si="299"/>
        <v>333.25751275533401</v>
      </c>
      <c r="AD106" s="138">
        <f t="shared" si="247"/>
        <v>8.9474232970048639E-2</v>
      </c>
      <c r="AE106" s="146"/>
      <c r="AF106" s="146"/>
    </row>
    <row r="107" spans="2:32" ht="12" customHeight="1" x14ac:dyDescent="0.2">
      <c r="B107" s="20" t="s">
        <v>320</v>
      </c>
      <c r="C107" s="20"/>
      <c r="D107" s="20"/>
      <c r="E107" s="20"/>
      <c r="F107" s="20"/>
      <c r="G107" s="152">
        <f t="shared" ref="G107:P107" si="300">G40/G18</f>
        <v>-1.282051282051282E-2</v>
      </c>
      <c r="H107" s="152">
        <f t="shared" si="300"/>
        <v>-1.4084507042253521E-2</v>
      </c>
      <c r="I107" s="152">
        <f t="shared" si="300"/>
        <v>2.2222222222222223E-2</v>
      </c>
      <c r="J107" s="152">
        <f t="shared" si="300"/>
        <v>2.032520325203252E-2</v>
      </c>
      <c r="K107" s="152">
        <f t="shared" si="300"/>
        <v>2.9197080291970802E-2</v>
      </c>
      <c r="L107" s="152">
        <f t="shared" si="300"/>
        <v>6.8702290076335881E-2</v>
      </c>
      <c r="M107" s="152">
        <f t="shared" si="300"/>
        <v>0.15267175572519084</v>
      </c>
      <c r="N107" s="152">
        <f t="shared" si="300"/>
        <v>0.13793103448275862</v>
      </c>
      <c r="O107" s="152">
        <f t="shared" si="300"/>
        <v>0.13089005235602094</v>
      </c>
      <c r="P107" s="152">
        <f t="shared" si="300"/>
        <v>0.16500000000000001</v>
      </c>
      <c r="Q107" s="152">
        <f t="shared" ref="Q107" si="301">Q40/Q18</f>
        <v>0.16500000000000001</v>
      </c>
      <c r="R107" s="118">
        <f t="shared" si="245"/>
        <v>-2.3282704322531904</v>
      </c>
      <c r="S107" s="20"/>
      <c r="T107" s="152">
        <f t="shared" ref="T107:AC107" si="302">T40/T18</f>
        <v>0.16499999999999998</v>
      </c>
      <c r="U107" s="152">
        <f t="shared" si="302"/>
        <v>0.16499999999999998</v>
      </c>
      <c r="V107" s="152">
        <f t="shared" si="302"/>
        <v>0.16499999999999998</v>
      </c>
      <c r="W107" s="152">
        <f t="shared" si="302"/>
        <v>0.16500000000000001</v>
      </c>
      <c r="X107" s="152">
        <f t="shared" si="302"/>
        <v>0.16500000000000001</v>
      </c>
      <c r="Y107" s="152">
        <f t="shared" si="302"/>
        <v>0.16500000000000001</v>
      </c>
      <c r="Z107" s="152">
        <f t="shared" si="302"/>
        <v>0.16500000000000001</v>
      </c>
      <c r="AA107" s="152">
        <f t="shared" si="302"/>
        <v>0.16500000000000001</v>
      </c>
      <c r="AB107" s="152">
        <f t="shared" si="302"/>
        <v>0.16499999999999998</v>
      </c>
      <c r="AC107" s="152">
        <f t="shared" si="302"/>
        <v>0.16499999999999998</v>
      </c>
      <c r="AD107" s="138" t="e">
        <f t="shared" si="247"/>
        <v>#NUM!</v>
      </c>
      <c r="AE107" s="20"/>
      <c r="AF107" s="20"/>
    </row>
    <row r="108" spans="2:32" x14ac:dyDescent="0.2">
      <c r="B108" s="20" t="s">
        <v>321</v>
      </c>
      <c r="C108" s="20"/>
      <c r="D108" s="20"/>
      <c r="E108" s="20"/>
      <c r="F108" s="20"/>
      <c r="G108" s="152">
        <f t="shared" ref="G108:P108" si="303">G40/G25</f>
        <v>-9.9009900990099011E-3</v>
      </c>
      <c r="H108" s="152">
        <f t="shared" si="303"/>
        <v>-1.0256410256410256E-2</v>
      </c>
      <c r="I108" s="152">
        <f t="shared" si="303"/>
        <v>1.282051282051282E-2</v>
      </c>
      <c r="J108" s="152">
        <f t="shared" si="303"/>
        <v>9.057971014492754E-3</v>
      </c>
      <c r="K108" s="152">
        <f t="shared" si="303"/>
        <v>1.2269938650306749E-2</v>
      </c>
      <c r="L108" s="152">
        <f t="shared" si="303"/>
        <v>0.02</v>
      </c>
      <c r="M108" s="152">
        <f t="shared" si="303"/>
        <v>3.6166365280289332E-2</v>
      </c>
      <c r="N108" s="152">
        <f t="shared" si="303"/>
        <v>3.2432432432432434E-2</v>
      </c>
      <c r="O108" s="152">
        <f t="shared" si="303"/>
        <v>2.8409090909090908E-2</v>
      </c>
      <c r="P108" s="152">
        <f t="shared" si="303"/>
        <v>3.0783582089552237E-2</v>
      </c>
      <c r="Q108" s="152">
        <f t="shared" ref="Q108" si="304">Q40/Q25</f>
        <v>2.6357827476038338E-2</v>
      </c>
      <c r="R108" s="118">
        <f t="shared" si="245"/>
        <v>-2.1343258688170295</v>
      </c>
      <c r="S108" s="20"/>
      <c r="T108" s="152">
        <f t="shared" ref="T108:AC108" si="305">T40/T25</f>
        <v>2.6357827476038334E-2</v>
      </c>
      <c r="U108" s="152">
        <f t="shared" si="305"/>
        <v>2.6357827476038331E-2</v>
      </c>
      <c r="V108" s="152">
        <f t="shared" si="305"/>
        <v>2.6357827476038331E-2</v>
      </c>
      <c r="W108" s="152">
        <f t="shared" si="305"/>
        <v>2.6357827476038331E-2</v>
      </c>
      <c r="X108" s="152">
        <f t="shared" si="305"/>
        <v>2.6357827476038327E-2</v>
      </c>
      <c r="Y108" s="152">
        <f t="shared" si="305"/>
        <v>2.6357827476038327E-2</v>
      </c>
      <c r="Z108" s="152">
        <f t="shared" si="305"/>
        <v>2.6357827476038327E-2</v>
      </c>
      <c r="AA108" s="152">
        <f t="shared" si="305"/>
        <v>2.6357827476038324E-2</v>
      </c>
      <c r="AB108" s="152">
        <f t="shared" si="305"/>
        <v>2.6357827476038324E-2</v>
      </c>
      <c r="AC108" s="152">
        <f t="shared" si="305"/>
        <v>2.6357827476038324E-2</v>
      </c>
      <c r="AD108" s="138" t="e">
        <f t="shared" si="247"/>
        <v>#NUM!</v>
      </c>
      <c r="AE108" s="20"/>
      <c r="AF108" s="20"/>
    </row>
    <row r="109" spans="2:32" x14ac:dyDescent="0.2">
      <c r="B109" s="20" t="s">
        <v>347</v>
      </c>
      <c r="C109" s="20"/>
      <c r="D109" s="20"/>
      <c r="E109" s="152"/>
      <c r="F109" s="152"/>
      <c r="G109" s="152">
        <f t="shared" ref="G109:O109" si="306">G25/G18</f>
        <v>1.2948717948717949</v>
      </c>
      <c r="H109" s="152">
        <f t="shared" si="306"/>
        <v>1.3732394366197183</v>
      </c>
      <c r="I109" s="152">
        <f t="shared" si="306"/>
        <v>1.7333333333333334</v>
      </c>
      <c r="J109" s="152">
        <f t="shared" si="306"/>
        <v>2.2439024390243905</v>
      </c>
      <c r="K109" s="152">
        <f t="shared" si="306"/>
        <v>2.3795620437956204</v>
      </c>
      <c r="L109" s="152">
        <f t="shared" si="306"/>
        <v>3.4351145038167941</v>
      </c>
      <c r="M109" s="152">
        <f t="shared" si="306"/>
        <v>4.221374045801527</v>
      </c>
      <c r="N109" s="152">
        <f t="shared" si="306"/>
        <v>4.2528735632183912</v>
      </c>
      <c r="O109" s="152">
        <f t="shared" si="306"/>
        <v>4.6073298429319376</v>
      </c>
      <c r="P109" s="152">
        <f>P25/P18</f>
        <v>5.36</v>
      </c>
      <c r="Q109" s="152">
        <f>Q25/Q18</f>
        <v>6.26</v>
      </c>
      <c r="R109" s="118">
        <f t="shared" si="245"/>
        <v>0.17097781930903344</v>
      </c>
      <c r="S109" s="20"/>
      <c r="T109" s="152">
        <f>T25/T18</f>
        <v>6.2600000000000007</v>
      </c>
      <c r="U109" s="152">
        <f t="shared" ref="U109:AC109" si="307">U25/U18</f>
        <v>6.2600000000000007</v>
      </c>
      <c r="V109" s="152">
        <f t="shared" si="307"/>
        <v>6.2600000000000007</v>
      </c>
      <c r="W109" s="152">
        <f t="shared" si="307"/>
        <v>6.2600000000000016</v>
      </c>
      <c r="X109" s="152">
        <f t="shared" si="307"/>
        <v>6.2600000000000025</v>
      </c>
      <c r="Y109" s="152">
        <f t="shared" si="307"/>
        <v>6.2600000000000033</v>
      </c>
      <c r="Z109" s="152">
        <f t="shared" si="307"/>
        <v>6.2600000000000033</v>
      </c>
      <c r="AA109" s="152">
        <f t="shared" si="307"/>
        <v>6.2600000000000033</v>
      </c>
      <c r="AB109" s="152">
        <f t="shared" si="307"/>
        <v>6.2600000000000033</v>
      </c>
      <c r="AC109" s="152">
        <f t="shared" si="307"/>
        <v>6.2600000000000025</v>
      </c>
      <c r="AD109" s="138">
        <f t="shared" si="247"/>
        <v>8.1975378638411867E-2</v>
      </c>
      <c r="AE109" s="20"/>
      <c r="AF109" s="20"/>
    </row>
    <row r="110" spans="2:32" x14ac:dyDescent="0.2">
      <c r="B110" s="20"/>
      <c r="C110" s="20"/>
      <c r="D110" s="20"/>
      <c r="E110" s="20"/>
      <c r="F110" s="20"/>
      <c r="G110" s="152"/>
      <c r="H110" s="152"/>
      <c r="I110" s="152"/>
      <c r="J110" s="152"/>
      <c r="K110" s="152"/>
      <c r="L110" s="152"/>
      <c r="M110" s="152"/>
      <c r="N110" s="152"/>
      <c r="O110" s="152"/>
      <c r="P110" s="152"/>
      <c r="Q110" s="152"/>
      <c r="R110" s="128"/>
      <c r="S110" s="20"/>
      <c r="T110" s="152"/>
      <c r="U110" s="152"/>
      <c r="V110" s="152"/>
      <c r="W110" s="152"/>
      <c r="X110" s="152"/>
      <c r="Y110" s="152"/>
      <c r="Z110" s="152"/>
      <c r="AA110" s="152"/>
      <c r="AB110" s="152"/>
      <c r="AC110" s="152"/>
      <c r="AD110" s="128"/>
      <c r="AE110" s="20"/>
      <c r="AF110" s="20"/>
    </row>
    <row r="111" spans="2:32" x14ac:dyDescent="0.2">
      <c r="B111" s="20" t="s">
        <v>333</v>
      </c>
      <c r="C111" s="20"/>
      <c r="D111" s="20"/>
      <c r="E111" s="165">
        <f t="shared" ref="E111:F111" si="308">E70*E42</f>
        <v>0</v>
      </c>
      <c r="F111" s="165">
        <f t="shared" si="308"/>
        <v>0</v>
      </c>
      <c r="G111" s="165">
        <f>G70*G42</f>
        <v>0</v>
      </c>
      <c r="H111" s="165">
        <f t="shared" ref="H111:P111" si="309">H70*H42</f>
        <v>0</v>
      </c>
      <c r="I111" s="165">
        <f t="shared" si="309"/>
        <v>0</v>
      </c>
      <c r="J111" s="165">
        <f t="shared" si="309"/>
        <v>0</v>
      </c>
      <c r="K111" s="165">
        <f t="shared" si="309"/>
        <v>0.68</v>
      </c>
      <c r="L111" s="165">
        <f t="shared" si="309"/>
        <v>1.02</v>
      </c>
      <c r="M111" s="165">
        <f t="shared" si="309"/>
        <v>2.04</v>
      </c>
      <c r="N111" s="165">
        <f t="shared" si="309"/>
        <v>2.4079999999999999</v>
      </c>
      <c r="O111" s="165">
        <f t="shared" si="309"/>
        <v>2.7520000000000002</v>
      </c>
      <c r="P111" s="165">
        <f t="shared" si="309"/>
        <v>4.1280000000000001</v>
      </c>
      <c r="Q111" s="165">
        <f t="shared" ref="Q111" si="310">Q70*Q42</f>
        <v>5.16</v>
      </c>
      <c r="R111" s="118" t="e">
        <f t="shared" si="245"/>
        <v>#DIV/0!</v>
      </c>
      <c r="S111" s="20"/>
      <c r="T111" s="165">
        <f t="shared" ref="T111:AC111" si="311">T70*T42</f>
        <v>5.6889000000000012</v>
      </c>
      <c r="U111" s="165">
        <f t="shared" si="311"/>
        <v>6.2720122500000013</v>
      </c>
      <c r="V111" s="165">
        <f t="shared" si="311"/>
        <v>6.9148935056250016</v>
      </c>
      <c r="W111" s="165">
        <f t="shared" si="311"/>
        <v>7.6236700899515641</v>
      </c>
      <c r="X111" s="165">
        <f t="shared" si="311"/>
        <v>8.4050962741716013</v>
      </c>
      <c r="Y111" s="165">
        <f t="shared" si="311"/>
        <v>9.2666186422741905</v>
      </c>
      <c r="Z111" s="165">
        <f t="shared" si="311"/>
        <v>10.216447053107295</v>
      </c>
      <c r="AA111" s="165">
        <f t="shared" si="311"/>
        <v>11.263632876050796</v>
      </c>
      <c r="AB111" s="165">
        <f t="shared" si="311"/>
        <v>12.418155245846002</v>
      </c>
      <c r="AC111" s="165">
        <f t="shared" si="311"/>
        <v>13.691016158545217</v>
      </c>
      <c r="AD111" s="138" t="e">
        <f t="shared" si="247"/>
        <v>#DIV/0!</v>
      </c>
      <c r="AE111" s="20"/>
      <c r="AF111" s="20"/>
    </row>
    <row r="112" spans="2:32" x14ac:dyDescent="0.2">
      <c r="B112" s="20" t="s">
        <v>334</v>
      </c>
      <c r="C112" s="20"/>
      <c r="D112" s="20"/>
      <c r="E112" s="165">
        <f>(E111*0.17)+E111</f>
        <v>0</v>
      </c>
      <c r="F112" s="165">
        <f>(F111*0.17)+F111</f>
        <v>0</v>
      </c>
      <c r="G112" s="165">
        <f t="shared" ref="G112:P112" si="312">(G111*0.17)+G111</f>
        <v>0</v>
      </c>
      <c r="H112" s="165">
        <f t="shared" si="312"/>
        <v>0</v>
      </c>
      <c r="I112" s="165">
        <f t="shared" si="312"/>
        <v>0</v>
      </c>
      <c r="J112" s="165">
        <f t="shared" si="312"/>
        <v>0</v>
      </c>
      <c r="K112" s="165">
        <f t="shared" si="312"/>
        <v>0.79560000000000008</v>
      </c>
      <c r="L112" s="165">
        <f t="shared" si="312"/>
        <v>1.1934</v>
      </c>
      <c r="M112" s="165">
        <f t="shared" si="312"/>
        <v>2.3868</v>
      </c>
      <c r="N112" s="165">
        <f t="shared" si="312"/>
        <v>2.8173599999999999</v>
      </c>
      <c r="O112" s="165">
        <f t="shared" si="312"/>
        <v>3.2198400000000005</v>
      </c>
      <c r="P112" s="165">
        <f t="shared" si="312"/>
        <v>4.8297600000000003</v>
      </c>
      <c r="Q112" s="165">
        <f t="shared" ref="Q112" si="313">(Q111*0.17)+Q111</f>
        <v>6.0372000000000003</v>
      </c>
      <c r="R112" s="118" t="e">
        <f t="shared" si="245"/>
        <v>#DIV/0!</v>
      </c>
      <c r="S112" s="20"/>
      <c r="T112" s="165">
        <f t="shared" ref="T112:AC112" si="314">(T111*0.17)+T111</f>
        <v>6.6560130000000015</v>
      </c>
      <c r="U112" s="165">
        <f t="shared" si="314"/>
        <v>7.3382543325000018</v>
      </c>
      <c r="V112" s="165">
        <f t="shared" si="314"/>
        <v>8.0904254015812516</v>
      </c>
      <c r="W112" s="165">
        <f t="shared" si="314"/>
        <v>8.9196940052433309</v>
      </c>
      <c r="X112" s="165">
        <f t="shared" si="314"/>
        <v>9.8339626407807739</v>
      </c>
      <c r="Y112" s="165">
        <f t="shared" si="314"/>
        <v>10.841943811460803</v>
      </c>
      <c r="Z112" s="165">
        <f t="shared" si="314"/>
        <v>11.953243052135536</v>
      </c>
      <c r="AA112" s="165">
        <f t="shared" si="314"/>
        <v>13.178450464979431</v>
      </c>
      <c r="AB112" s="165">
        <f t="shared" si="314"/>
        <v>14.529241637639823</v>
      </c>
      <c r="AC112" s="165">
        <f t="shared" si="314"/>
        <v>16.018488905497904</v>
      </c>
      <c r="AD112" s="138" t="e">
        <f t="shared" si="247"/>
        <v>#DIV/0!</v>
      </c>
      <c r="AE112" s="20"/>
      <c r="AF112" s="20"/>
    </row>
    <row r="113" spans="2:32" x14ac:dyDescent="0.2">
      <c r="B113" s="20" t="s">
        <v>335</v>
      </c>
      <c r="C113" s="20"/>
      <c r="D113" s="20"/>
      <c r="E113" s="20"/>
      <c r="F113" s="152" t="e">
        <f t="shared" ref="F113:P113" si="315">F112/F40</f>
        <v>#DIV/0!</v>
      </c>
      <c r="G113" s="152">
        <f t="shared" si="315"/>
        <v>0</v>
      </c>
      <c r="H113" s="152">
        <f t="shared" si="315"/>
        <v>0</v>
      </c>
      <c r="I113" s="152">
        <f t="shared" si="315"/>
        <v>0</v>
      </c>
      <c r="J113" s="152">
        <f t="shared" si="315"/>
        <v>0</v>
      </c>
      <c r="K113" s="152">
        <f t="shared" si="315"/>
        <v>0.19890000000000002</v>
      </c>
      <c r="L113" s="152">
        <f t="shared" si="315"/>
        <v>0.1326</v>
      </c>
      <c r="M113" s="152">
        <f t="shared" si="315"/>
        <v>0.11934</v>
      </c>
      <c r="N113" s="152">
        <f t="shared" si="315"/>
        <v>0.11738999999999999</v>
      </c>
      <c r="O113" s="152">
        <f t="shared" si="315"/>
        <v>0.12879360000000001</v>
      </c>
      <c r="P113" s="152">
        <f t="shared" si="315"/>
        <v>0.14635636363636365</v>
      </c>
      <c r="Q113" s="152">
        <f t="shared" ref="Q113" si="316">Q112/Q40</f>
        <v>0.18294545454545455</v>
      </c>
      <c r="R113" s="118" t="e">
        <f t="shared" si="245"/>
        <v>#DIV/0!</v>
      </c>
      <c r="S113" s="20"/>
      <c r="T113" s="152">
        <f t="shared" ref="T113:AC113" si="317">T112/T40</f>
        <v>0.18008693181818186</v>
      </c>
      <c r="U113" s="152">
        <f t="shared" si="317"/>
        <v>0.17727307350852275</v>
      </c>
      <c r="V113" s="152">
        <f t="shared" si="317"/>
        <v>0.17450318173495205</v>
      </c>
      <c r="W113" s="152">
        <f t="shared" si="317"/>
        <v>0.17177656952034343</v>
      </c>
      <c r="X113" s="152">
        <f t="shared" si="317"/>
        <v>0.16909256062158809</v>
      </c>
      <c r="Y113" s="152">
        <f t="shared" si="317"/>
        <v>0.16645048936187576</v>
      </c>
      <c r="Z113" s="152">
        <f t="shared" si="317"/>
        <v>0.16384970046559644</v>
      </c>
      <c r="AA113" s="152">
        <f t="shared" si="317"/>
        <v>0.16128954889582153</v>
      </c>
      <c r="AB113" s="152">
        <f t="shared" si="317"/>
        <v>0.1587693996943243</v>
      </c>
      <c r="AC113" s="152">
        <f t="shared" si="317"/>
        <v>0.15628862782410047</v>
      </c>
      <c r="AD113" s="138" t="e">
        <f t="shared" si="247"/>
        <v>#DIV/0!</v>
      </c>
      <c r="AE113" s="20"/>
      <c r="AF113" s="20"/>
    </row>
    <row r="114" spans="2:32" x14ac:dyDescent="0.2">
      <c r="B114" s="20" t="s">
        <v>328</v>
      </c>
      <c r="C114" s="20"/>
      <c r="D114" s="20"/>
      <c r="E114" s="20"/>
      <c r="F114" s="152" t="e">
        <f>1-F113</f>
        <v>#DIV/0!</v>
      </c>
      <c r="G114" s="152">
        <f>1-G113</f>
        <v>1</v>
      </c>
      <c r="H114" s="152">
        <f t="shared" ref="H114:P114" si="318">1-H113</f>
        <v>1</v>
      </c>
      <c r="I114" s="152">
        <f t="shared" si="318"/>
        <v>1</v>
      </c>
      <c r="J114" s="152">
        <f t="shared" si="318"/>
        <v>1</v>
      </c>
      <c r="K114" s="152">
        <f t="shared" si="318"/>
        <v>0.80109999999999992</v>
      </c>
      <c r="L114" s="152">
        <f t="shared" si="318"/>
        <v>0.86739999999999995</v>
      </c>
      <c r="M114" s="152">
        <f t="shared" si="318"/>
        <v>0.88066</v>
      </c>
      <c r="N114" s="152">
        <f t="shared" si="318"/>
        <v>0.88261000000000001</v>
      </c>
      <c r="O114" s="152">
        <f t="shared" si="318"/>
        <v>0.87120639999999994</v>
      </c>
      <c r="P114" s="152">
        <f t="shared" si="318"/>
        <v>0.85364363636363638</v>
      </c>
      <c r="Q114" s="152">
        <f t="shared" ref="Q114" si="319">1-Q113</f>
        <v>0.81705454545454548</v>
      </c>
      <c r="R114" s="118">
        <f t="shared" si="245"/>
        <v>-1.7428716249275777E-2</v>
      </c>
      <c r="S114" s="20"/>
      <c r="T114" s="152">
        <f t="shared" ref="T114:AC114" si="320">1-T113</f>
        <v>0.81991306818181808</v>
      </c>
      <c r="U114" s="152">
        <f t="shared" si="320"/>
        <v>0.82272692649147727</v>
      </c>
      <c r="V114" s="152">
        <f t="shared" si="320"/>
        <v>0.82549681826504795</v>
      </c>
      <c r="W114" s="152">
        <f t="shared" si="320"/>
        <v>0.82822343047965652</v>
      </c>
      <c r="X114" s="152">
        <f t="shared" si="320"/>
        <v>0.83090743937841194</v>
      </c>
      <c r="Y114" s="152">
        <f t="shared" si="320"/>
        <v>0.83354951063812421</v>
      </c>
      <c r="Z114" s="152">
        <f t="shared" si="320"/>
        <v>0.83615029953440356</v>
      </c>
      <c r="AA114" s="152">
        <f t="shared" si="320"/>
        <v>0.83871045110417852</v>
      </c>
      <c r="AB114" s="152">
        <f t="shared" si="320"/>
        <v>0.84123060030567576</v>
      </c>
      <c r="AC114" s="152">
        <f t="shared" si="320"/>
        <v>0.84371137217589953</v>
      </c>
      <c r="AD114" s="138">
        <f t="shared" si="247"/>
        <v>-8.4612414342211117E-3</v>
      </c>
      <c r="AE114" s="20"/>
      <c r="AF114" s="20"/>
    </row>
    <row r="115" spans="2:32" x14ac:dyDescent="0.2">
      <c r="B115" s="20" t="s">
        <v>452</v>
      </c>
      <c r="C115" s="20"/>
      <c r="D115" s="20"/>
      <c r="E115" s="20"/>
      <c r="F115" s="152" t="e">
        <f t="shared" ref="F115:P115" si="321">F112/F20</f>
        <v>#DIV/0!</v>
      </c>
      <c r="G115" s="152">
        <f t="shared" si="321"/>
        <v>0</v>
      </c>
      <c r="H115" s="152">
        <f t="shared" si="321"/>
        <v>0</v>
      </c>
      <c r="I115" s="152">
        <f t="shared" si="321"/>
        <v>0</v>
      </c>
      <c r="J115" s="152">
        <f t="shared" si="321"/>
        <v>0</v>
      </c>
      <c r="K115" s="152">
        <f t="shared" si="321"/>
        <v>3.1824000000000005E-2</v>
      </c>
      <c r="L115" s="152">
        <f t="shared" si="321"/>
        <v>3.0599999999999999E-2</v>
      </c>
      <c r="M115" s="152">
        <f t="shared" si="321"/>
        <v>5.8214634146341461E-2</v>
      </c>
      <c r="N115" s="152">
        <f t="shared" si="321"/>
        <v>0.12249391304347826</v>
      </c>
      <c r="O115" s="152">
        <f t="shared" si="321"/>
        <v>3.9266341463414643E-2</v>
      </c>
      <c r="P115" s="152">
        <f t="shared" si="321"/>
        <v>6.802478873239437E-2</v>
      </c>
      <c r="Q115" s="152">
        <f>Q112/Q20</f>
        <v>8.5030985915492963E-2</v>
      </c>
      <c r="R115" s="118" t="e">
        <f t="shared" si="245"/>
        <v>#DIV/0!</v>
      </c>
      <c r="S115" s="20"/>
      <c r="T115" s="152">
        <f>T112/T20</f>
        <v>8.3702376760563385E-2</v>
      </c>
      <c r="U115" s="152">
        <f t="shared" ref="U115:AC115" si="322">U112/U20</f>
        <v>8.2394527123679576E-2</v>
      </c>
      <c r="V115" s="152">
        <f t="shared" si="322"/>
        <v>8.1107112637372067E-2</v>
      </c>
      <c r="W115" s="152">
        <f t="shared" si="322"/>
        <v>7.9839814002413134E-2</v>
      </c>
      <c r="X115" s="152">
        <f t="shared" si="322"/>
        <v>7.8592316908625434E-2</v>
      </c>
      <c r="Y115" s="152">
        <f t="shared" si="322"/>
        <v>7.7364311956928153E-2</v>
      </c>
      <c r="Z115" s="152">
        <f t="shared" si="322"/>
        <v>7.6155494582601152E-2</v>
      </c>
      <c r="AA115" s="152">
        <f t="shared" si="322"/>
        <v>7.4965564979748003E-2</v>
      </c>
      <c r="AB115" s="152">
        <f t="shared" si="322"/>
        <v>7.379422802693944E-2</v>
      </c>
      <c r="AC115" s="152">
        <f t="shared" si="322"/>
        <v>7.2641193214018504E-2</v>
      </c>
      <c r="AD115" s="138" t="s">
        <v>453</v>
      </c>
      <c r="AE115" s="20"/>
      <c r="AF115" s="20"/>
    </row>
    <row r="116" spans="2:32" x14ac:dyDescent="0.2">
      <c r="B116" s="20"/>
      <c r="C116" s="20"/>
      <c r="D116" s="20"/>
      <c r="E116" s="20"/>
      <c r="F116" s="20"/>
      <c r="G116" s="152"/>
      <c r="H116" s="152"/>
      <c r="I116" s="152"/>
      <c r="J116" s="152"/>
      <c r="K116" s="152"/>
      <c r="L116" s="152"/>
      <c r="M116" s="152"/>
      <c r="N116" s="152"/>
      <c r="O116" s="152"/>
      <c r="P116" s="152"/>
      <c r="Q116" s="152"/>
      <c r="R116" s="128"/>
      <c r="S116" s="20"/>
      <c r="T116" s="152"/>
      <c r="U116" s="152"/>
      <c r="V116" s="152"/>
      <c r="W116" s="152"/>
      <c r="X116" s="152"/>
      <c r="Y116" s="152"/>
      <c r="Z116" s="152"/>
      <c r="AA116" s="152"/>
      <c r="AB116" s="152"/>
      <c r="AC116" s="152"/>
      <c r="AD116" s="128"/>
      <c r="AE116" s="20"/>
      <c r="AF116" s="20"/>
    </row>
    <row r="117" spans="2:32" x14ac:dyDescent="0.2">
      <c r="B117" s="20" t="s">
        <v>332</v>
      </c>
      <c r="C117" s="152"/>
      <c r="D117" s="152"/>
      <c r="E117" s="152"/>
      <c r="F117" s="152" t="e">
        <f>F31/F25</f>
        <v>#DIV/0!</v>
      </c>
      <c r="G117" s="152">
        <f>G31/G25</f>
        <v>0</v>
      </c>
      <c r="H117" s="152">
        <f t="shared" ref="H117:P117" si="323">H31/H25</f>
        <v>0</v>
      </c>
      <c r="I117" s="152">
        <f t="shared" si="323"/>
        <v>0</v>
      </c>
      <c r="J117" s="152">
        <f t="shared" si="323"/>
        <v>0</v>
      </c>
      <c r="K117" s="152">
        <f t="shared" si="323"/>
        <v>0</v>
      </c>
      <c r="L117" s="152">
        <f t="shared" si="323"/>
        <v>0</v>
      </c>
      <c r="M117" s="152">
        <f t="shared" si="323"/>
        <v>0</v>
      </c>
      <c r="N117" s="152">
        <f t="shared" si="323"/>
        <v>0</v>
      </c>
      <c r="O117" s="152">
        <f t="shared" si="323"/>
        <v>0</v>
      </c>
      <c r="P117" s="152">
        <f t="shared" si="323"/>
        <v>0</v>
      </c>
      <c r="Q117" s="152">
        <f t="shared" ref="Q117" si="324">Q31/Q25</f>
        <v>0</v>
      </c>
      <c r="R117" s="118" t="e">
        <f t="shared" si="245"/>
        <v>#DIV/0!</v>
      </c>
      <c r="S117" s="20"/>
      <c r="T117" s="152">
        <f t="shared" ref="T117:AC117" si="325">T31/T25</f>
        <v>0</v>
      </c>
      <c r="U117" s="152">
        <f t="shared" si="325"/>
        <v>0</v>
      </c>
      <c r="V117" s="152">
        <f t="shared" si="325"/>
        <v>0</v>
      </c>
      <c r="W117" s="152">
        <f t="shared" si="325"/>
        <v>0</v>
      </c>
      <c r="X117" s="152">
        <f t="shared" si="325"/>
        <v>0</v>
      </c>
      <c r="Y117" s="152">
        <f t="shared" si="325"/>
        <v>0</v>
      </c>
      <c r="Z117" s="152">
        <f t="shared" si="325"/>
        <v>0</v>
      </c>
      <c r="AA117" s="152">
        <f t="shared" si="325"/>
        <v>0</v>
      </c>
      <c r="AB117" s="152">
        <f t="shared" si="325"/>
        <v>0</v>
      </c>
      <c r="AC117" s="152">
        <f t="shared" si="325"/>
        <v>0</v>
      </c>
      <c r="AD117" s="138" t="e">
        <f t="shared" si="247"/>
        <v>#DIV/0!</v>
      </c>
      <c r="AE117" s="20"/>
      <c r="AF117" s="20"/>
    </row>
    <row r="118" spans="2:32" x14ac:dyDescent="0.2">
      <c r="B118" s="20" t="s">
        <v>329</v>
      </c>
      <c r="C118" s="152"/>
      <c r="D118" s="152"/>
      <c r="E118" s="152"/>
      <c r="F118" s="152" t="e">
        <f>F32/F25</f>
        <v>#DIV/0!</v>
      </c>
      <c r="G118" s="152">
        <f>G32/G25</f>
        <v>0</v>
      </c>
      <c r="H118" s="152">
        <f t="shared" ref="H118:P118" si="326">H32/H25</f>
        <v>0</v>
      </c>
      <c r="I118" s="152">
        <f t="shared" si="326"/>
        <v>0</v>
      </c>
      <c r="J118" s="152">
        <f t="shared" si="326"/>
        <v>0</v>
      </c>
      <c r="K118" s="152">
        <f t="shared" si="326"/>
        <v>0</v>
      </c>
      <c r="L118" s="152">
        <f t="shared" si="326"/>
        <v>0</v>
      </c>
      <c r="M118" s="152">
        <f t="shared" si="326"/>
        <v>0</v>
      </c>
      <c r="N118" s="152">
        <f t="shared" si="326"/>
        <v>0</v>
      </c>
      <c r="O118" s="152">
        <f t="shared" si="326"/>
        <v>0</v>
      </c>
      <c r="P118" s="152">
        <f t="shared" si="326"/>
        <v>0</v>
      </c>
      <c r="Q118" s="152">
        <f t="shared" ref="Q118" si="327">Q32/Q25</f>
        <v>0</v>
      </c>
      <c r="R118" s="118" t="e">
        <f t="shared" si="245"/>
        <v>#DIV/0!</v>
      </c>
      <c r="S118" s="20"/>
      <c r="T118" s="152">
        <f t="shared" ref="T118:AC118" si="328">T32/T25</f>
        <v>0</v>
      </c>
      <c r="U118" s="152">
        <f t="shared" si="328"/>
        <v>0</v>
      </c>
      <c r="V118" s="152">
        <f t="shared" si="328"/>
        <v>0</v>
      </c>
      <c r="W118" s="152">
        <f t="shared" si="328"/>
        <v>0</v>
      </c>
      <c r="X118" s="152">
        <f t="shared" si="328"/>
        <v>0</v>
      </c>
      <c r="Y118" s="152">
        <f t="shared" si="328"/>
        <v>0</v>
      </c>
      <c r="Z118" s="152">
        <f t="shared" si="328"/>
        <v>0</v>
      </c>
      <c r="AA118" s="152">
        <f t="shared" si="328"/>
        <v>0</v>
      </c>
      <c r="AB118" s="152">
        <f t="shared" si="328"/>
        <v>0</v>
      </c>
      <c r="AC118" s="152">
        <f t="shared" si="328"/>
        <v>0</v>
      </c>
      <c r="AD118" s="138" t="e">
        <f t="shared" si="247"/>
        <v>#DIV/0!</v>
      </c>
      <c r="AE118" s="20"/>
      <c r="AF118" s="20"/>
    </row>
    <row r="119" spans="2:32" x14ac:dyDescent="0.2">
      <c r="B119" s="20"/>
      <c r="C119" s="20"/>
      <c r="D119" s="20"/>
      <c r="E119" s="20"/>
      <c r="F119" s="20"/>
      <c r="G119" s="152"/>
      <c r="H119" s="152"/>
      <c r="I119" s="152"/>
      <c r="J119" s="152"/>
      <c r="K119" s="152"/>
      <c r="L119" s="152"/>
      <c r="M119" s="152"/>
      <c r="N119" s="152"/>
      <c r="O119" s="152"/>
      <c r="P119" s="152"/>
      <c r="Q119" s="152"/>
      <c r="R119" s="128"/>
      <c r="S119" s="20"/>
      <c r="T119" s="152"/>
      <c r="U119" s="152"/>
      <c r="V119" s="152"/>
      <c r="W119" s="152"/>
      <c r="X119" s="152"/>
      <c r="Y119" s="152"/>
      <c r="Z119" s="152"/>
      <c r="AA119" s="152"/>
      <c r="AB119" s="152"/>
      <c r="AC119" s="152"/>
      <c r="AD119" s="128"/>
      <c r="AE119" s="20"/>
      <c r="AF119" s="20"/>
    </row>
    <row r="120" spans="2:32" x14ac:dyDescent="0.2">
      <c r="B120" s="20" t="s">
        <v>353</v>
      </c>
      <c r="C120" s="20"/>
      <c r="D120" s="20"/>
      <c r="E120" s="20"/>
      <c r="F120" s="20"/>
      <c r="G120" s="152">
        <f>G27/G25</f>
        <v>0.85148514851485146</v>
      </c>
      <c r="H120" s="152">
        <f t="shared" ref="H120:P120" si="329">H27/H25</f>
        <v>0.88717948717948714</v>
      </c>
      <c r="I120" s="152">
        <f t="shared" si="329"/>
        <v>0.87606837606837606</v>
      </c>
      <c r="J120" s="152">
        <f t="shared" si="329"/>
        <v>0.89130434782608692</v>
      </c>
      <c r="K120" s="152">
        <f t="shared" si="329"/>
        <v>0.8834355828220859</v>
      </c>
      <c r="L120" s="152">
        <f t="shared" si="329"/>
        <v>0.9</v>
      </c>
      <c r="M120" s="152">
        <f t="shared" si="329"/>
        <v>0.89330922242314648</v>
      </c>
      <c r="N120" s="152">
        <f t="shared" si="329"/>
        <v>0.90675675675675671</v>
      </c>
      <c r="O120" s="152">
        <f t="shared" si="329"/>
        <v>0.91477272727272729</v>
      </c>
      <c r="P120" s="152">
        <f t="shared" si="329"/>
        <v>0.91791044776119401</v>
      </c>
      <c r="Q120" s="152">
        <f t="shared" ref="Q120" si="330">Q27/Q25</f>
        <v>0.78594249201277955</v>
      </c>
      <c r="R120" s="118">
        <f t="shared" si="245"/>
        <v>8.3813480245473748E-3</v>
      </c>
      <c r="S120" s="20"/>
      <c r="T120" s="152">
        <f t="shared" ref="T120:AC120" si="331">T27/T25</f>
        <v>0.78594249201277955</v>
      </c>
      <c r="U120" s="152">
        <f t="shared" si="331"/>
        <v>0.78594249201277944</v>
      </c>
      <c r="V120" s="152">
        <f t="shared" si="331"/>
        <v>0.78594249201277944</v>
      </c>
      <c r="W120" s="152">
        <f t="shared" si="331"/>
        <v>0.78594249201277944</v>
      </c>
      <c r="X120" s="152">
        <f t="shared" si="331"/>
        <v>0.78594249201277933</v>
      </c>
      <c r="Y120" s="152">
        <f t="shared" si="331"/>
        <v>0.78594249201277921</v>
      </c>
      <c r="Z120" s="152">
        <f t="shared" si="331"/>
        <v>0.78594249201277921</v>
      </c>
      <c r="AA120" s="152">
        <f t="shared" si="331"/>
        <v>0.78594249201277933</v>
      </c>
      <c r="AB120" s="152">
        <f t="shared" si="331"/>
        <v>0.78594249201277944</v>
      </c>
      <c r="AC120" s="152">
        <f t="shared" si="331"/>
        <v>0.78594249201277933</v>
      </c>
      <c r="AD120" s="138">
        <f t="shared" si="247"/>
        <v>-3.9969126974643832E-3</v>
      </c>
      <c r="AE120" s="20"/>
      <c r="AF120" s="20"/>
    </row>
    <row r="121" spans="2:32" x14ac:dyDescent="0.2">
      <c r="B121" s="20" t="str">
        <f>B33</f>
        <v>Top Expenses ( Raw material )</v>
      </c>
      <c r="C121" s="20"/>
      <c r="D121" s="20"/>
      <c r="E121" s="20"/>
      <c r="F121" s="20"/>
      <c r="G121" s="152">
        <f>G33/G25</f>
        <v>0.40594059405940597</v>
      </c>
      <c r="H121" s="152">
        <f t="shared" ref="H121:P121" si="332">H33/H25</f>
        <v>0.44615384615384618</v>
      </c>
      <c r="I121" s="152">
        <f t="shared" si="332"/>
        <v>0.44444444444444442</v>
      </c>
      <c r="J121" s="152">
        <f t="shared" si="332"/>
        <v>0.46739130434782611</v>
      </c>
      <c r="K121" s="152">
        <f t="shared" si="332"/>
        <v>0.48159509202453987</v>
      </c>
      <c r="L121" s="152">
        <f t="shared" si="332"/>
        <v>0.52666666666666662</v>
      </c>
      <c r="M121" s="152">
        <f t="shared" si="332"/>
        <v>0.55334538878842676</v>
      </c>
      <c r="N121" s="152">
        <f t="shared" si="332"/>
        <v>0.58243243243243248</v>
      </c>
      <c r="O121" s="152">
        <f t="shared" si="332"/>
        <v>0.59886363636363638</v>
      </c>
      <c r="P121" s="152">
        <f t="shared" si="332"/>
        <v>0.61660447761194026</v>
      </c>
      <c r="Q121" s="152">
        <f t="shared" ref="Q121" si="333">Q33/Q25</f>
        <v>0.52795527156549515</v>
      </c>
      <c r="R121" s="118">
        <f t="shared" si="245"/>
        <v>4.7542319043648806E-2</v>
      </c>
      <c r="S121" s="20"/>
      <c r="T121" s="152">
        <f t="shared" ref="T121:AC121" si="334">T33/T25</f>
        <v>0.52795527156549515</v>
      </c>
      <c r="U121" s="152">
        <f t="shared" si="334"/>
        <v>0.52795527156549515</v>
      </c>
      <c r="V121" s="152">
        <f t="shared" si="334"/>
        <v>0.52795527156549515</v>
      </c>
      <c r="W121" s="152">
        <f t="shared" si="334"/>
        <v>0.52795527156549515</v>
      </c>
      <c r="X121" s="152">
        <f t="shared" si="334"/>
        <v>0.52795527156549504</v>
      </c>
      <c r="Y121" s="152">
        <f t="shared" si="334"/>
        <v>0.52795527156549515</v>
      </c>
      <c r="Z121" s="152">
        <f t="shared" si="334"/>
        <v>0.52795527156549515</v>
      </c>
      <c r="AA121" s="152">
        <f t="shared" si="334"/>
        <v>0.52795527156549515</v>
      </c>
      <c r="AB121" s="152">
        <f t="shared" si="334"/>
        <v>0.52795527156549515</v>
      </c>
      <c r="AC121" s="152">
        <f t="shared" si="334"/>
        <v>0.52795527156549515</v>
      </c>
      <c r="AD121" s="138">
        <f t="shared" si="247"/>
        <v>1.3226949220017437E-2</v>
      </c>
      <c r="AE121" s="20"/>
      <c r="AF121" s="20"/>
    </row>
    <row r="122" spans="2:32" x14ac:dyDescent="0.2">
      <c r="B122" s="20" t="str">
        <f>B34</f>
        <v>2nd highest Expenses Comp. ( Power Fuel )</v>
      </c>
      <c r="C122" s="20"/>
      <c r="D122" s="20"/>
      <c r="E122" s="20"/>
      <c r="F122" s="20"/>
      <c r="G122" s="152">
        <f>G34/G25</f>
        <v>0.19306930693069307</v>
      </c>
      <c r="H122" s="152">
        <f t="shared" ref="H122:P122" si="335">H34/H25</f>
        <v>0.17435897435897435</v>
      </c>
      <c r="I122" s="152">
        <f t="shared" si="335"/>
        <v>0.14102564102564102</v>
      </c>
      <c r="J122" s="152">
        <f t="shared" si="335"/>
        <v>0.13405797101449277</v>
      </c>
      <c r="K122" s="152">
        <f t="shared" si="335"/>
        <v>0.12883435582822086</v>
      </c>
      <c r="L122" s="152">
        <f t="shared" si="335"/>
        <v>0.14222222222222222</v>
      </c>
      <c r="M122" s="152">
        <f t="shared" si="335"/>
        <v>0.11573236889692586</v>
      </c>
      <c r="N122" s="152">
        <f t="shared" si="335"/>
        <v>0.11756756756756757</v>
      </c>
      <c r="O122" s="152">
        <f t="shared" si="335"/>
        <v>0.12386363636363637</v>
      </c>
      <c r="P122" s="152">
        <f t="shared" si="335"/>
        <v>0.12220149253731344</v>
      </c>
      <c r="Q122" s="152">
        <f t="shared" ref="Q122" si="336">Q34/Q25</f>
        <v>0.10463258785942492</v>
      </c>
      <c r="R122" s="118">
        <f t="shared" si="245"/>
        <v>-4.9550049232069626E-2</v>
      </c>
      <c r="S122" s="20"/>
      <c r="T122" s="152">
        <f t="shared" ref="T122:AC122" si="337">T34/T25</f>
        <v>0.10463258785942492</v>
      </c>
      <c r="U122" s="152">
        <f t="shared" si="337"/>
        <v>0.10463258785942491</v>
      </c>
      <c r="V122" s="152">
        <f t="shared" si="337"/>
        <v>0.10463258785942491</v>
      </c>
      <c r="W122" s="152">
        <f t="shared" si="337"/>
        <v>0.10463258785942491</v>
      </c>
      <c r="X122" s="152">
        <f t="shared" si="337"/>
        <v>0.10463258785942489</v>
      </c>
      <c r="Y122" s="152">
        <f t="shared" si="337"/>
        <v>0.10463258785942489</v>
      </c>
      <c r="Z122" s="152">
        <f t="shared" si="337"/>
        <v>0.10463258785942489</v>
      </c>
      <c r="AA122" s="152">
        <f t="shared" si="337"/>
        <v>0.10463258785942489</v>
      </c>
      <c r="AB122" s="152">
        <f t="shared" si="337"/>
        <v>0.10463258785942489</v>
      </c>
      <c r="AC122" s="152">
        <f t="shared" si="337"/>
        <v>0.10463258785942489</v>
      </c>
      <c r="AD122" s="138">
        <f t="shared" si="247"/>
        <v>-3.0165372234921106E-2</v>
      </c>
      <c r="AE122" s="20"/>
      <c r="AF122" s="20"/>
    </row>
    <row r="123" spans="2:32" x14ac:dyDescent="0.2"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128"/>
      <c r="S123" s="128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39"/>
      <c r="AE123" s="20"/>
      <c r="AF123" s="20"/>
    </row>
    <row r="124" spans="2:32" x14ac:dyDescent="0.2">
      <c r="B124" s="108" t="s">
        <v>361</v>
      </c>
      <c r="C124" s="20"/>
      <c r="D124" s="20"/>
      <c r="E124" s="20"/>
      <c r="F124" s="20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118"/>
      <c r="S124" s="128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138"/>
      <c r="AE124" s="20"/>
      <c r="AF124" s="20"/>
    </row>
    <row r="125" spans="2:32" x14ac:dyDescent="0.2">
      <c r="B125" s="20" t="s">
        <v>364</v>
      </c>
      <c r="C125" s="20"/>
      <c r="D125" s="20"/>
      <c r="E125" s="20"/>
      <c r="F125" s="20"/>
      <c r="G125" s="25">
        <f>G15/G9</f>
        <v>1.1066666666666667</v>
      </c>
      <c r="H125" s="25">
        <f t="shared" ref="H125:AC125" si="338">H15/H9</f>
        <v>1.3846153846153846</v>
      </c>
      <c r="I125" s="25">
        <f t="shared" si="338"/>
        <v>1.4133333333333333</v>
      </c>
      <c r="J125" s="25">
        <f t="shared" si="338"/>
        <v>1.3978494623655915</v>
      </c>
      <c r="K125" s="25">
        <f t="shared" si="338"/>
        <v>1.5116279069767442</v>
      </c>
      <c r="L125" s="25">
        <f t="shared" si="338"/>
        <v>1.3846153846153846</v>
      </c>
      <c r="M125" s="25">
        <f t="shared" si="338"/>
        <v>1.3430656934306568</v>
      </c>
      <c r="N125" s="25">
        <f t="shared" si="338"/>
        <v>1.576158940397351</v>
      </c>
      <c r="O125" s="25">
        <f t="shared" si="338"/>
        <v>1.2644230769230769</v>
      </c>
      <c r="P125" s="25">
        <f t="shared" si="338"/>
        <v>1.2113207547169811</v>
      </c>
      <c r="Q125" s="25">
        <f t="shared" ref="Q125" si="339">Q15/Q9</f>
        <v>1.2113207547169811</v>
      </c>
      <c r="R125" s="118">
        <f t="shared" si="245"/>
        <v>1.0090435543791187E-2</v>
      </c>
      <c r="S125" s="20"/>
      <c r="T125" s="20">
        <f t="shared" si="338"/>
        <v>1.2113207547169813</v>
      </c>
      <c r="U125" s="20">
        <f t="shared" si="338"/>
        <v>1.2113207547169813</v>
      </c>
      <c r="V125" s="20">
        <f t="shared" si="338"/>
        <v>1.2113207547169813</v>
      </c>
      <c r="W125" s="20">
        <f t="shared" si="338"/>
        <v>1.2113207547169813</v>
      </c>
      <c r="X125" s="20">
        <f t="shared" si="338"/>
        <v>1.2113207547169811</v>
      </c>
      <c r="Y125" s="20">
        <f t="shared" si="338"/>
        <v>1.2113207547169813</v>
      </c>
      <c r="Z125" s="20">
        <f t="shared" si="338"/>
        <v>1.2113207547169813</v>
      </c>
      <c r="AA125" s="20">
        <f t="shared" si="338"/>
        <v>1.2113207547169811</v>
      </c>
      <c r="AB125" s="20">
        <f t="shared" si="338"/>
        <v>1.2113207547169813</v>
      </c>
      <c r="AC125" s="20">
        <f t="shared" si="338"/>
        <v>1.2113207547169813</v>
      </c>
      <c r="AD125" s="138">
        <f t="shared" si="247"/>
        <v>4.5281614229932821E-3</v>
      </c>
      <c r="AE125" s="20"/>
      <c r="AF125" s="20"/>
    </row>
    <row r="126" spans="2:32" x14ac:dyDescent="0.2">
      <c r="B126" s="20" t="s">
        <v>354</v>
      </c>
      <c r="C126" s="20"/>
      <c r="D126" s="20"/>
      <c r="E126" s="20"/>
      <c r="F126" s="20"/>
      <c r="G126" s="25">
        <f>G12/G9</f>
        <v>1.1066666666666667</v>
      </c>
      <c r="H126" s="25">
        <f t="shared" ref="H126:P126" si="340">H12/H9</f>
        <v>4.6153846153846156E-2</v>
      </c>
      <c r="I126" s="25">
        <f t="shared" si="340"/>
        <v>6.6666666666666666E-2</v>
      </c>
      <c r="J126" s="25">
        <f t="shared" si="340"/>
        <v>6.4516129032258063E-2</v>
      </c>
      <c r="K126" s="25">
        <f t="shared" si="340"/>
        <v>0.12790697674418605</v>
      </c>
      <c r="L126" s="25">
        <f t="shared" si="340"/>
        <v>0.10576923076923077</v>
      </c>
      <c r="M126" s="25">
        <f t="shared" si="340"/>
        <v>0.10948905109489052</v>
      </c>
      <c r="N126" s="25">
        <f t="shared" si="340"/>
        <v>9.9337748344370855E-2</v>
      </c>
      <c r="O126" s="25">
        <f t="shared" si="340"/>
        <v>0.10576923076923077</v>
      </c>
      <c r="P126" s="25">
        <f t="shared" si="340"/>
        <v>9.8113207547169817E-2</v>
      </c>
      <c r="Q126" s="25">
        <f t="shared" ref="Q126" si="341">Q12/Q9</f>
        <v>9.8113207547169817E-2</v>
      </c>
      <c r="R126" s="118">
        <f t="shared" si="245"/>
        <v>-0.23602532820767586</v>
      </c>
      <c r="S126" s="128"/>
      <c r="T126" s="20">
        <f t="shared" ref="T126:AC126" si="342">T12/T9</f>
        <v>9.8113207547169817E-2</v>
      </c>
      <c r="U126" s="20">
        <f t="shared" si="342"/>
        <v>9.8113207547169831E-2</v>
      </c>
      <c r="V126" s="20">
        <f t="shared" si="342"/>
        <v>9.8113207547169831E-2</v>
      </c>
      <c r="W126" s="20">
        <f t="shared" si="342"/>
        <v>9.8113207547169845E-2</v>
      </c>
      <c r="X126" s="20">
        <f t="shared" si="342"/>
        <v>9.8113207547169845E-2</v>
      </c>
      <c r="Y126" s="20">
        <f t="shared" si="342"/>
        <v>9.8113207547169845E-2</v>
      </c>
      <c r="Z126" s="20">
        <f t="shared" si="342"/>
        <v>9.8113207547169859E-2</v>
      </c>
      <c r="AA126" s="20">
        <f t="shared" si="342"/>
        <v>9.8113207547169845E-2</v>
      </c>
      <c r="AB126" s="20">
        <f t="shared" si="342"/>
        <v>9.8113207547169845E-2</v>
      </c>
      <c r="AC126" s="20">
        <f t="shared" si="342"/>
        <v>9.8113207547169845E-2</v>
      </c>
      <c r="AD126" s="118">
        <f t="shared" ref="AD126" si="343">((AC126/T126)^(1/($H$2-$H$1) ))-1</f>
        <v>0</v>
      </c>
      <c r="AE126" s="20"/>
      <c r="AF126" s="20"/>
    </row>
    <row r="127" spans="2:32" x14ac:dyDescent="0.2">
      <c r="B127" s="20" t="s">
        <v>356</v>
      </c>
      <c r="C127" s="20"/>
      <c r="D127" s="20"/>
      <c r="E127" s="20"/>
      <c r="F127" s="20"/>
      <c r="G127" s="25">
        <f>G25/360</f>
        <v>0.56111111111111112</v>
      </c>
      <c r="H127" s="25">
        <f t="shared" ref="H127:P127" si="344">H25/360</f>
        <v>0.54166666666666663</v>
      </c>
      <c r="I127" s="25">
        <f t="shared" si="344"/>
        <v>0.65</v>
      </c>
      <c r="J127" s="25">
        <f t="shared" si="344"/>
        <v>0.76666666666666672</v>
      </c>
      <c r="K127" s="25">
        <f t="shared" si="344"/>
        <v>0.90555555555555556</v>
      </c>
      <c r="L127" s="25">
        <f t="shared" si="344"/>
        <v>1.25</v>
      </c>
      <c r="M127" s="25">
        <f t="shared" si="344"/>
        <v>1.5361111111111112</v>
      </c>
      <c r="N127" s="25">
        <f t="shared" si="344"/>
        <v>2.0555555555555554</v>
      </c>
      <c r="O127" s="25">
        <f t="shared" si="344"/>
        <v>2.4444444444444446</v>
      </c>
      <c r="P127" s="25">
        <f t="shared" si="344"/>
        <v>2.9777777777777779</v>
      </c>
      <c r="Q127" s="25">
        <f t="shared" ref="Q127" si="345">Q25/360</f>
        <v>3.4777777777777779</v>
      </c>
      <c r="R127" s="118">
        <f t="shared" si="245"/>
        <v>0.20375514765498171</v>
      </c>
      <c r="S127" s="128"/>
      <c r="T127" s="25">
        <f t="shared" ref="T127:AC127" si="346">T25/360</f>
        <v>3.8951111111111119</v>
      </c>
      <c r="U127" s="25">
        <f t="shared" si="346"/>
        <v>4.3625244444444462</v>
      </c>
      <c r="V127" s="25">
        <f t="shared" si="346"/>
        <v>4.8860273777777801</v>
      </c>
      <c r="W127" s="25">
        <f t="shared" si="346"/>
        <v>5.4723506631111141</v>
      </c>
      <c r="X127" s="25">
        <f t="shared" si="346"/>
        <v>6.1290327426844495</v>
      </c>
      <c r="Y127" s="25">
        <f t="shared" si="346"/>
        <v>6.8645166718065838</v>
      </c>
      <c r="Z127" s="25">
        <f t="shared" si="346"/>
        <v>7.688258672423375</v>
      </c>
      <c r="AA127" s="25">
        <f t="shared" si="346"/>
        <v>8.610849713114181</v>
      </c>
      <c r="AB127" s="25">
        <f t="shared" si="346"/>
        <v>9.6441516786878836</v>
      </c>
      <c r="AC127" s="25">
        <f t="shared" si="346"/>
        <v>10.801449880130431</v>
      </c>
      <c r="AD127" s="118">
        <f t="shared" ref="AD127:AD138" si="347">((AC127/T127)^(1/($H$2-$H$1) ))-1</f>
        <v>0.12000000000000011</v>
      </c>
      <c r="AE127" s="20"/>
      <c r="AF127" s="20"/>
    </row>
    <row r="128" spans="2:32" x14ac:dyDescent="0.2">
      <c r="B128" s="20" t="s">
        <v>355</v>
      </c>
      <c r="C128" s="20"/>
      <c r="D128" s="20"/>
      <c r="E128" s="20"/>
      <c r="F128" s="20"/>
      <c r="G128" s="25">
        <f>G27/360</f>
        <v>0.4777777777777778</v>
      </c>
      <c r="H128" s="25">
        <f t="shared" ref="H128:P128" si="348">H27/360</f>
        <v>0.48055555555555557</v>
      </c>
      <c r="I128" s="25">
        <f t="shared" si="348"/>
        <v>0.56944444444444442</v>
      </c>
      <c r="J128" s="25">
        <f t="shared" si="348"/>
        <v>0.68333333333333335</v>
      </c>
      <c r="K128" s="25">
        <f t="shared" si="348"/>
        <v>0.8</v>
      </c>
      <c r="L128" s="25">
        <f t="shared" si="348"/>
        <v>1.125</v>
      </c>
      <c r="M128" s="25">
        <f t="shared" si="348"/>
        <v>1.3722222222222222</v>
      </c>
      <c r="N128" s="25">
        <f t="shared" si="348"/>
        <v>1.8638888888888889</v>
      </c>
      <c r="O128" s="25">
        <f t="shared" si="348"/>
        <v>2.2361111111111112</v>
      </c>
      <c r="P128" s="25">
        <f t="shared" si="348"/>
        <v>2.7333333333333334</v>
      </c>
      <c r="Q128" s="25">
        <f t="shared" ref="Q128" si="349">Q27/360</f>
        <v>2.7333333333333334</v>
      </c>
      <c r="R128" s="118">
        <f t="shared" si="245"/>
        <v>0.21384423848381839</v>
      </c>
      <c r="S128" s="128"/>
      <c r="T128" s="25">
        <f t="shared" ref="T128:AC128" si="350">T27/360</f>
        <v>3.0613333333333337</v>
      </c>
      <c r="U128" s="25">
        <f t="shared" si="350"/>
        <v>3.4286933333333343</v>
      </c>
      <c r="V128" s="25">
        <f t="shared" si="350"/>
        <v>3.8401365333333342</v>
      </c>
      <c r="W128" s="25">
        <f t="shared" si="350"/>
        <v>4.3009529173333352</v>
      </c>
      <c r="X128" s="25">
        <f t="shared" si="350"/>
        <v>4.8170672674133357</v>
      </c>
      <c r="Y128" s="25">
        <f t="shared" si="350"/>
        <v>5.3951153395029365</v>
      </c>
      <c r="Z128" s="25">
        <f t="shared" si="350"/>
        <v>6.0425291802432888</v>
      </c>
      <c r="AA128" s="25">
        <f t="shared" si="350"/>
        <v>6.7676326818724846</v>
      </c>
      <c r="AB128" s="25">
        <f t="shared" si="350"/>
        <v>7.5797486036971842</v>
      </c>
      <c r="AC128" s="25">
        <f t="shared" si="350"/>
        <v>8.4893184361408469</v>
      </c>
      <c r="AD128" s="118">
        <f t="shared" si="347"/>
        <v>0.12000000000000011</v>
      </c>
      <c r="AE128" s="20"/>
      <c r="AF128" s="20"/>
    </row>
    <row r="129" spans="2:32" x14ac:dyDescent="0.2">
      <c r="B129" s="20"/>
      <c r="C129" s="20"/>
      <c r="D129" s="20"/>
      <c r="E129" s="20"/>
      <c r="F129" s="20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128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128"/>
      <c r="AE129" s="20"/>
      <c r="AF129" s="20"/>
    </row>
    <row r="130" spans="2:32" x14ac:dyDescent="0.2">
      <c r="B130" s="20" t="s">
        <v>365</v>
      </c>
      <c r="C130" s="20"/>
      <c r="D130" s="20"/>
      <c r="E130" s="20"/>
      <c r="F130" s="20"/>
      <c r="G130" s="25">
        <f>G10/G7</f>
        <v>2.6666666666666665</v>
      </c>
      <c r="H130" s="25">
        <f t="shared" ref="H130:P130" si="351">H10/H7</f>
        <v>2.5833333333333335</v>
      </c>
      <c r="I130" s="25">
        <f t="shared" si="351"/>
        <v>2.3461538461538463</v>
      </c>
      <c r="J130" s="25">
        <f t="shared" si="351"/>
        <v>2.2407407407407409</v>
      </c>
      <c r="K130" s="25">
        <f t="shared" si="351"/>
        <v>2.5087719298245612</v>
      </c>
      <c r="L130" s="25">
        <f t="shared" si="351"/>
        <v>2</v>
      </c>
      <c r="M130" s="25">
        <f t="shared" si="351"/>
        <v>1.9518072289156627</v>
      </c>
      <c r="N130" s="25">
        <f t="shared" si="351"/>
        <v>1.875</v>
      </c>
      <c r="O130" s="25">
        <f t="shared" si="351"/>
        <v>1.1904761904761905</v>
      </c>
      <c r="P130" s="25">
        <f t="shared" si="351"/>
        <v>0.92810457516339873</v>
      </c>
      <c r="Q130" s="25">
        <f t="shared" ref="Q130" si="352">Q10/Q7</f>
        <v>0.92810457516339873</v>
      </c>
      <c r="R130" s="118">
        <f t="shared" si="245"/>
        <v>-0.11065596211888051</v>
      </c>
      <c r="S130" s="128"/>
      <c r="T130" s="25">
        <f t="shared" ref="T130:AC130" si="353">T10/T7</f>
        <v>0.92810457516339873</v>
      </c>
      <c r="U130" s="25">
        <f t="shared" si="353"/>
        <v>0.92810457516339873</v>
      </c>
      <c r="V130" s="25">
        <f t="shared" si="353"/>
        <v>0.92810457516339884</v>
      </c>
      <c r="W130" s="25">
        <f t="shared" si="353"/>
        <v>0.92810457516339884</v>
      </c>
      <c r="X130" s="25">
        <f t="shared" si="353"/>
        <v>0.92810457516339895</v>
      </c>
      <c r="Y130" s="25">
        <f t="shared" si="353"/>
        <v>0.92810457516339895</v>
      </c>
      <c r="Z130" s="25">
        <f t="shared" si="353"/>
        <v>0.92810457516339906</v>
      </c>
      <c r="AA130" s="25">
        <f t="shared" si="353"/>
        <v>0.92810457516339906</v>
      </c>
      <c r="AB130" s="25">
        <f t="shared" si="353"/>
        <v>0.92810457516339906</v>
      </c>
      <c r="AC130" s="25">
        <f t="shared" si="353"/>
        <v>0.92810457516339906</v>
      </c>
      <c r="AD130" s="118">
        <f t="shared" si="347"/>
        <v>0</v>
      </c>
      <c r="AE130" s="20"/>
      <c r="AF130" s="20"/>
    </row>
    <row r="131" spans="2:32" x14ac:dyDescent="0.2">
      <c r="B131" s="20" t="s">
        <v>357</v>
      </c>
      <c r="C131" s="20"/>
      <c r="D131" s="20"/>
      <c r="E131" s="20"/>
      <c r="F131" s="20"/>
      <c r="G131" s="25">
        <f>G10/(G10+G7)</f>
        <v>0.72727272727272729</v>
      </c>
      <c r="H131" s="25">
        <f t="shared" ref="H131:P131" si="354">H10/(H10+H7)</f>
        <v>0.72093023255813948</v>
      </c>
      <c r="I131" s="25">
        <f t="shared" si="354"/>
        <v>0.70114942528735635</v>
      </c>
      <c r="J131" s="25">
        <f t="shared" si="354"/>
        <v>0.69142857142857139</v>
      </c>
      <c r="K131" s="25">
        <f t="shared" si="354"/>
        <v>0.71499999999999997</v>
      </c>
      <c r="L131" s="25">
        <f t="shared" si="354"/>
        <v>0.66666666666666663</v>
      </c>
      <c r="M131" s="25">
        <f t="shared" si="354"/>
        <v>0.66122448979591841</v>
      </c>
      <c r="N131" s="25">
        <f t="shared" si="354"/>
        <v>0.65217391304347827</v>
      </c>
      <c r="O131" s="25">
        <f t="shared" si="354"/>
        <v>0.54347826086956519</v>
      </c>
      <c r="P131" s="25">
        <f t="shared" si="354"/>
        <v>0.48135593220338985</v>
      </c>
      <c r="Q131" s="25">
        <f t="shared" ref="Q131" si="355">Q10/(Q10+Q7)</f>
        <v>0.48135593220338985</v>
      </c>
      <c r="R131" s="118">
        <f t="shared" si="245"/>
        <v>-4.4819500795413636E-2</v>
      </c>
      <c r="S131" s="128"/>
      <c r="T131" s="25">
        <f t="shared" ref="T131:AC131" si="356">T10/(T10+T7)</f>
        <v>0.48135593220338985</v>
      </c>
      <c r="U131" s="25">
        <f t="shared" si="356"/>
        <v>0.48135593220338979</v>
      </c>
      <c r="V131" s="25">
        <f t="shared" si="356"/>
        <v>0.4813559322033899</v>
      </c>
      <c r="W131" s="25">
        <f t="shared" si="356"/>
        <v>0.48135593220338985</v>
      </c>
      <c r="X131" s="25">
        <f t="shared" si="356"/>
        <v>0.48135593220338985</v>
      </c>
      <c r="Y131" s="25">
        <f t="shared" si="356"/>
        <v>0.48135593220338996</v>
      </c>
      <c r="Z131" s="25">
        <f t="shared" si="356"/>
        <v>0.4813559322033899</v>
      </c>
      <c r="AA131" s="25">
        <f t="shared" si="356"/>
        <v>0.4813559322033899</v>
      </c>
      <c r="AB131" s="25">
        <f t="shared" si="356"/>
        <v>0.4813559322033899</v>
      </c>
      <c r="AC131" s="25">
        <f t="shared" si="356"/>
        <v>0.4813559322033899</v>
      </c>
      <c r="AD131" s="118">
        <f t="shared" si="347"/>
        <v>0</v>
      </c>
      <c r="AE131" s="20"/>
      <c r="AF131" s="20"/>
    </row>
    <row r="132" spans="2:32" x14ac:dyDescent="0.2">
      <c r="B132" s="20"/>
      <c r="C132" s="20"/>
      <c r="D132" s="20"/>
      <c r="E132" s="20"/>
      <c r="F132" s="20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128"/>
      <c r="S132" s="128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137"/>
      <c r="AE132" s="20"/>
      <c r="AF132" s="20"/>
    </row>
    <row r="133" spans="2:32" x14ac:dyDescent="0.2">
      <c r="B133" s="20" t="s">
        <v>362</v>
      </c>
      <c r="C133" s="20"/>
      <c r="D133" s="20"/>
      <c r="E133" s="20"/>
      <c r="F133" s="20"/>
      <c r="G133" s="25">
        <f>G16</f>
        <v>25</v>
      </c>
      <c r="H133" s="25">
        <f t="shared" ref="H133:P133" si="357">H16</f>
        <v>30</v>
      </c>
      <c r="I133" s="25">
        <f t="shared" si="357"/>
        <v>37</v>
      </c>
      <c r="J133" s="25">
        <f t="shared" si="357"/>
        <v>51</v>
      </c>
      <c r="K133" s="25">
        <f t="shared" si="357"/>
        <v>61</v>
      </c>
      <c r="L133" s="25">
        <f t="shared" si="357"/>
        <v>63</v>
      </c>
      <c r="M133" s="25">
        <f t="shared" si="357"/>
        <v>89</v>
      </c>
      <c r="N133" s="25">
        <f t="shared" si="357"/>
        <v>121</v>
      </c>
      <c r="O133" s="25">
        <f t="shared" si="357"/>
        <v>77</v>
      </c>
      <c r="P133" s="25">
        <f t="shared" si="357"/>
        <v>77</v>
      </c>
      <c r="Q133" s="25">
        <f t="shared" ref="Q133" si="358">Q16</f>
        <v>77</v>
      </c>
      <c r="R133" s="118">
        <f t="shared" si="245"/>
        <v>0.13313958898294165</v>
      </c>
      <c r="S133" s="128"/>
      <c r="T133" s="25">
        <f t="shared" ref="T133:AC133" si="359">T16</f>
        <v>86.240000000000009</v>
      </c>
      <c r="U133" s="25">
        <f t="shared" si="359"/>
        <v>96.58880000000002</v>
      </c>
      <c r="V133" s="25">
        <f t="shared" si="359"/>
        <v>108.17945600000003</v>
      </c>
      <c r="W133" s="25">
        <f t="shared" si="359"/>
        <v>121.16099072000004</v>
      </c>
      <c r="X133" s="25">
        <f t="shared" si="359"/>
        <v>135.70030960640005</v>
      </c>
      <c r="Y133" s="25">
        <f t="shared" si="359"/>
        <v>151.98434675916806</v>
      </c>
      <c r="Z133" s="25">
        <f t="shared" si="359"/>
        <v>170.22246837026825</v>
      </c>
      <c r="AA133" s="25">
        <f t="shared" si="359"/>
        <v>190.64916457470045</v>
      </c>
      <c r="AB133" s="25">
        <f t="shared" si="359"/>
        <v>213.52706432366452</v>
      </c>
      <c r="AC133" s="25">
        <f t="shared" si="359"/>
        <v>239.15031204250428</v>
      </c>
      <c r="AD133" s="118">
        <f t="shared" si="347"/>
        <v>0.12000000000000011</v>
      </c>
      <c r="AE133" s="20"/>
      <c r="AF133" s="20"/>
    </row>
    <row r="134" spans="2:32" x14ac:dyDescent="0.2">
      <c r="B134" s="20" t="s">
        <v>363</v>
      </c>
      <c r="C134" s="20"/>
      <c r="D134" s="20"/>
      <c r="E134" s="20"/>
      <c r="F134" s="20"/>
      <c r="G134" s="119">
        <f t="shared" ref="G134:P134" si="360">G133*365/G25</f>
        <v>45.17326732673267</v>
      </c>
      <c r="H134" s="119">
        <f t="shared" si="360"/>
        <v>56.153846153846153</v>
      </c>
      <c r="I134" s="119">
        <f t="shared" si="360"/>
        <v>57.713675213675216</v>
      </c>
      <c r="J134" s="119">
        <f t="shared" si="360"/>
        <v>67.445652173913047</v>
      </c>
      <c r="K134" s="119">
        <f t="shared" si="360"/>
        <v>68.297546012269933</v>
      </c>
      <c r="L134" s="119">
        <f t="shared" si="360"/>
        <v>51.1</v>
      </c>
      <c r="M134" s="119">
        <f t="shared" si="360"/>
        <v>58.743218806509944</v>
      </c>
      <c r="N134" s="119">
        <f t="shared" si="360"/>
        <v>59.682432432432435</v>
      </c>
      <c r="O134" s="119">
        <f t="shared" si="360"/>
        <v>31.9375</v>
      </c>
      <c r="P134" s="119">
        <f t="shared" si="360"/>
        <v>26.217350746268657</v>
      </c>
      <c r="Q134" s="119">
        <f t="shared" ref="Q134" si="361">Q133*365/Q25</f>
        <v>22.44808306709265</v>
      </c>
      <c r="R134" s="118">
        <f t="shared" si="245"/>
        <v>-5.8662726227676099E-2</v>
      </c>
      <c r="S134" s="128"/>
      <c r="T134" s="119">
        <f t="shared" ref="T134:AC134" si="362">T133*365/T25</f>
        <v>22.44808306709265</v>
      </c>
      <c r="U134" s="119">
        <f t="shared" si="362"/>
        <v>22.448083067092647</v>
      </c>
      <c r="V134" s="119">
        <f t="shared" si="362"/>
        <v>22.44808306709265</v>
      </c>
      <c r="W134" s="119">
        <f t="shared" si="362"/>
        <v>22.448083067092647</v>
      </c>
      <c r="X134" s="119">
        <f t="shared" si="362"/>
        <v>22.448083067092643</v>
      </c>
      <c r="Y134" s="119">
        <f t="shared" si="362"/>
        <v>22.448083067092639</v>
      </c>
      <c r="Z134" s="119">
        <f t="shared" si="362"/>
        <v>22.448083067092643</v>
      </c>
      <c r="AA134" s="119">
        <f t="shared" si="362"/>
        <v>22.448083067092639</v>
      </c>
      <c r="AB134" s="119">
        <f t="shared" si="362"/>
        <v>22.448083067092639</v>
      </c>
      <c r="AC134" s="119">
        <f t="shared" si="362"/>
        <v>22.448083067092639</v>
      </c>
      <c r="AD134" s="118">
        <f t="shared" si="347"/>
        <v>0</v>
      </c>
      <c r="AE134" s="20"/>
      <c r="AF134" s="20"/>
    </row>
    <row r="135" spans="2:32" x14ac:dyDescent="0.2">
      <c r="B135" s="20" t="s">
        <v>366</v>
      </c>
      <c r="C135" s="20"/>
      <c r="D135" s="20"/>
      <c r="E135" s="20"/>
      <c r="F135" s="20"/>
      <c r="G135" s="133">
        <f>G80/G29</f>
        <v>2.0588235294117645</v>
      </c>
      <c r="H135" s="133">
        <f t="shared" ref="H135:P135" si="363">H80/H29</f>
        <v>2.4159663865546217</v>
      </c>
      <c r="I135" s="133">
        <f t="shared" si="363"/>
        <v>3.3333333333333335</v>
      </c>
      <c r="J135" s="133">
        <f t="shared" si="363"/>
        <v>3.3936651583710407</v>
      </c>
      <c r="K135" s="133">
        <f t="shared" si="363"/>
        <v>3.2006920415224909</v>
      </c>
      <c r="L135" s="133">
        <f t="shared" si="363"/>
        <v>3.8927335640138407</v>
      </c>
      <c r="M135" s="133">
        <f t="shared" si="363"/>
        <v>5.9873949579831924</v>
      </c>
      <c r="N135" s="133">
        <f t="shared" si="363"/>
        <v>1.0250917992656059</v>
      </c>
      <c r="O135" s="133">
        <f t="shared" si="363"/>
        <v>1.0243632336655593</v>
      </c>
      <c r="P135" s="133">
        <f t="shared" si="363"/>
        <v>1.25</v>
      </c>
      <c r="Q135" s="133">
        <f t="shared" ref="Q135" si="364">Q80/Q29</f>
        <v>1.25</v>
      </c>
      <c r="R135" s="118">
        <f t="shared" si="245"/>
        <v>-5.3934490043212269E-2</v>
      </c>
      <c r="S135" s="128"/>
      <c r="T135" s="133">
        <f t="shared" ref="T135:AC135" si="365">T80/T29</f>
        <v>1.1904761904761905</v>
      </c>
      <c r="U135" s="133">
        <f t="shared" si="365"/>
        <v>1.1337868480725621</v>
      </c>
      <c r="V135" s="133">
        <f t="shared" si="365"/>
        <v>1.0797969981643449</v>
      </c>
      <c r="W135" s="133">
        <f t="shared" si="365"/>
        <v>1.0283780934898525</v>
      </c>
      <c r="X135" s="133">
        <f t="shared" si="365"/>
        <v>0.97940770808557365</v>
      </c>
      <c r="Y135" s="133">
        <f t="shared" si="365"/>
        <v>0.93276924579578435</v>
      </c>
      <c r="Z135" s="133">
        <f t="shared" si="365"/>
        <v>0.88835166266265175</v>
      </c>
      <c r="AA135" s="133">
        <f t="shared" si="365"/>
        <v>0.8460492025358588</v>
      </c>
      <c r="AB135" s="133">
        <f t="shared" si="365"/>
        <v>0.80576114527224663</v>
      </c>
      <c r="AC135" s="133">
        <f t="shared" si="365"/>
        <v>0.76739156692594923</v>
      </c>
      <c r="AD135" s="118">
        <f t="shared" si="347"/>
        <v>-4.7619047619047561E-2</v>
      </c>
      <c r="AE135" s="20"/>
      <c r="AF135" s="20"/>
    </row>
    <row r="136" spans="2:32" x14ac:dyDescent="0.2"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128"/>
      <c r="S136" s="128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137"/>
      <c r="AE136" s="20"/>
      <c r="AF136" s="20"/>
    </row>
    <row r="137" spans="2:32" x14ac:dyDescent="0.2">
      <c r="B137" s="20" t="s">
        <v>373</v>
      </c>
      <c r="C137" s="20"/>
      <c r="D137" s="20"/>
      <c r="E137" s="20"/>
      <c r="F137" s="20"/>
      <c r="G137" s="180">
        <f>G25/G14</f>
        <v>3.6071428571428572</v>
      </c>
      <c r="H137" s="180">
        <f t="shared" ref="H137:P137" si="366">H25/H14</f>
        <v>3.3050847457627119</v>
      </c>
      <c r="I137" s="180">
        <f t="shared" si="366"/>
        <v>3.6</v>
      </c>
      <c r="J137" s="180">
        <f t="shared" si="366"/>
        <v>4.0588235294117645</v>
      </c>
      <c r="K137" s="180">
        <f t="shared" si="366"/>
        <v>5.7192982456140351</v>
      </c>
      <c r="L137" s="180">
        <f t="shared" si="366"/>
        <v>8.0357142857142865</v>
      </c>
      <c r="M137" s="180">
        <f t="shared" si="366"/>
        <v>7.6805555555555554</v>
      </c>
      <c r="N137" s="180">
        <f t="shared" si="366"/>
        <v>7.4747474747474749</v>
      </c>
      <c r="O137" s="180">
        <f t="shared" si="366"/>
        <v>8.8000000000000007</v>
      </c>
      <c r="P137" s="180">
        <f t="shared" si="366"/>
        <v>8.9333333333333336</v>
      </c>
      <c r="Q137" s="180">
        <f t="shared" ref="Q137" si="367">Q25/Q14</f>
        <v>10.433333333333334</v>
      </c>
      <c r="R137" s="118">
        <f t="shared" si="245"/>
        <v>0.10601529538300491</v>
      </c>
      <c r="S137" s="128"/>
      <c r="T137" s="20">
        <f t="shared" ref="T137" si="368">T25/T14</f>
        <v>10.433333333333335</v>
      </c>
      <c r="U137" s="20">
        <f t="shared" ref="U137:AC137" si="369">U25/U14</f>
        <v>10.433333333333335</v>
      </c>
      <c r="V137" s="20">
        <f t="shared" si="369"/>
        <v>10.433333333333335</v>
      </c>
      <c r="W137" s="20">
        <f t="shared" si="369"/>
        <v>10.433333333333337</v>
      </c>
      <c r="X137" s="20">
        <f t="shared" si="369"/>
        <v>10.433333333333337</v>
      </c>
      <c r="Y137" s="20">
        <f t="shared" si="369"/>
        <v>10.433333333333339</v>
      </c>
      <c r="Z137" s="20">
        <f t="shared" si="369"/>
        <v>10.433333333333339</v>
      </c>
      <c r="AA137" s="20">
        <f t="shared" si="369"/>
        <v>10.433333333333337</v>
      </c>
      <c r="AB137" s="20">
        <f t="shared" si="369"/>
        <v>10.433333333333337</v>
      </c>
      <c r="AC137" s="20">
        <f t="shared" si="369"/>
        <v>10.433333333333337</v>
      </c>
      <c r="AD137" s="118">
        <f t="shared" si="347"/>
        <v>0</v>
      </c>
      <c r="AE137" s="20"/>
      <c r="AF137" s="20"/>
    </row>
    <row r="138" spans="2:32" x14ac:dyDescent="0.2">
      <c r="B138" s="20" t="s">
        <v>374</v>
      </c>
      <c r="C138" s="20"/>
      <c r="D138" s="20"/>
      <c r="E138" s="20"/>
      <c r="F138" s="20"/>
      <c r="G138" s="180">
        <f>G27/G14</f>
        <v>3.0714285714285716</v>
      </c>
      <c r="H138" s="180">
        <f t="shared" ref="H138:P138" si="370">H27/H14</f>
        <v>2.9322033898305087</v>
      </c>
      <c r="I138" s="180">
        <f t="shared" si="370"/>
        <v>3.1538461538461537</v>
      </c>
      <c r="J138" s="180">
        <f t="shared" si="370"/>
        <v>3.6176470588235294</v>
      </c>
      <c r="K138" s="180">
        <f t="shared" si="370"/>
        <v>5.0526315789473681</v>
      </c>
      <c r="L138" s="180">
        <f t="shared" si="370"/>
        <v>7.2321428571428568</v>
      </c>
      <c r="M138" s="180">
        <f t="shared" si="370"/>
        <v>6.8611111111111107</v>
      </c>
      <c r="N138" s="180">
        <f t="shared" si="370"/>
        <v>6.7777777777777777</v>
      </c>
      <c r="O138" s="180">
        <f t="shared" si="370"/>
        <v>8.0500000000000007</v>
      </c>
      <c r="P138" s="180">
        <f t="shared" si="370"/>
        <v>8.1999999999999993</v>
      </c>
      <c r="Q138" s="180">
        <f t="shared" ref="Q138" si="371">Q27/Q14</f>
        <v>8.1999999999999993</v>
      </c>
      <c r="R138" s="118">
        <f t="shared" si="245"/>
        <v>0.11528519449408248</v>
      </c>
      <c r="S138" s="128"/>
      <c r="T138" s="20">
        <f t="shared" ref="T138:AC138" si="372">T27/T14</f>
        <v>8.2000000000000011</v>
      </c>
      <c r="U138" s="20">
        <f t="shared" si="372"/>
        <v>8.2000000000000011</v>
      </c>
      <c r="V138" s="20">
        <f t="shared" si="372"/>
        <v>8.2000000000000011</v>
      </c>
      <c r="W138" s="20">
        <f t="shared" si="372"/>
        <v>8.2000000000000011</v>
      </c>
      <c r="X138" s="20">
        <f t="shared" si="372"/>
        <v>8.2000000000000011</v>
      </c>
      <c r="Y138" s="20">
        <f t="shared" si="372"/>
        <v>8.2000000000000011</v>
      </c>
      <c r="Z138" s="20">
        <f t="shared" si="372"/>
        <v>8.2000000000000011</v>
      </c>
      <c r="AA138" s="20">
        <f t="shared" si="372"/>
        <v>8.2000000000000011</v>
      </c>
      <c r="AB138" s="20">
        <f t="shared" si="372"/>
        <v>8.2000000000000011</v>
      </c>
      <c r="AC138" s="20">
        <f t="shared" si="372"/>
        <v>8.2000000000000011</v>
      </c>
      <c r="AD138" s="118">
        <f t="shared" si="347"/>
        <v>0</v>
      </c>
      <c r="AE138" s="20"/>
      <c r="AF138" s="20"/>
    </row>
    <row r="139" spans="2:32" x14ac:dyDescent="0.2"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128"/>
      <c r="S139" s="128"/>
      <c r="T139" s="119"/>
      <c r="U139" s="119"/>
      <c r="V139" s="119"/>
      <c r="W139" s="119"/>
      <c r="X139" s="119"/>
      <c r="Y139" s="119"/>
      <c r="Z139" s="119"/>
      <c r="AA139" s="119"/>
      <c r="AB139" s="119"/>
      <c r="AC139" s="119"/>
      <c r="AD139" s="137"/>
      <c r="AE139" s="20"/>
      <c r="AF139" s="20"/>
    </row>
    <row r="140" spans="2:32" x14ac:dyDescent="0.2">
      <c r="B140" s="108" t="s">
        <v>244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3"/>
      <c r="S140" s="23"/>
      <c r="T140" s="122" t="s">
        <v>66</v>
      </c>
      <c r="U140" s="20"/>
      <c r="V140" s="20"/>
      <c r="W140" s="20"/>
      <c r="X140" s="20"/>
      <c r="Y140" s="20"/>
      <c r="Z140" s="20"/>
      <c r="AA140" s="20"/>
      <c r="AB140" s="20"/>
      <c r="AC140" s="20"/>
      <c r="AD140" s="137"/>
      <c r="AE140" s="20"/>
      <c r="AF140" s="20"/>
    </row>
    <row r="141" spans="2:32" x14ac:dyDescent="0.2">
      <c r="B141" s="23" t="s">
        <v>280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5"/>
      <c r="Q141" s="25"/>
      <c r="R141" s="160">
        <f>AVERAGE(G54:Q54)</f>
        <v>7.7048874518094772</v>
      </c>
      <c r="S141" s="23"/>
      <c r="T141" s="134"/>
      <c r="U141" s="20"/>
      <c r="V141" s="20"/>
      <c r="W141" s="20"/>
      <c r="X141" s="20"/>
      <c r="Y141" s="20"/>
      <c r="Z141" s="20"/>
      <c r="AA141" s="20"/>
      <c r="AB141" s="20"/>
      <c r="AC141" s="20"/>
      <c r="AD141" s="137"/>
      <c r="AE141" s="20"/>
      <c r="AF141" s="20"/>
    </row>
    <row r="142" spans="2:32" x14ac:dyDescent="0.2">
      <c r="B142" s="20" t="s">
        <v>25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140">
        <f>T142+U142</f>
        <v>21.923766428288229</v>
      </c>
      <c r="T142" s="133">
        <f>PV($C$1, ($AC$3-$T$3), 0, -AC54)</f>
        <v>3.0549510596795071</v>
      </c>
      <c r="U142" s="133">
        <f>PV($C$1, ($AC$3-$T$3), 0, -AF54)</f>
        <v>18.868815368608722</v>
      </c>
      <c r="V142" s="20"/>
      <c r="W142" s="20"/>
      <c r="X142" s="20"/>
      <c r="Y142" s="20"/>
      <c r="Z142" s="20"/>
      <c r="AA142" s="20"/>
      <c r="AB142" s="20"/>
      <c r="AC142" s="20"/>
      <c r="AD142" s="137"/>
      <c r="AE142" s="20"/>
      <c r="AF142" s="20"/>
    </row>
    <row r="143" spans="2:32" x14ac:dyDescent="0.2">
      <c r="B143" s="20" t="s">
        <v>272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140">
        <f t="shared" ref="S143:S161" si="373">T143+U143</f>
        <v>101.64655344024543</v>
      </c>
      <c r="T143" s="133">
        <f>PV($C$1, ($AC$3-$T$3), 0, -AC56)</f>
        <v>14.163864003968625</v>
      </c>
      <c r="U143" s="133">
        <f>PV($C$1, ($AC$3-$T$3), 0, -AF56)</f>
        <v>87.4826894362768</v>
      </c>
      <c r="V143" s="20"/>
      <c r="W143" s="20"/>
      <c r="X143" s="20"/>
      <c r="Y143" s="20"/>
      <c r="Z143" s="20"/>
      <c r="AA143" s="20"/>
      <c r="AB143" s="20"/>
      <c r="AC143" s="20"/>
      <c r="AD143" s="137"/>
      <c r="AE143" s="20"/>
      <c r="AF143" s="20"/>
    </row>
    <row r="144" spans="2:32" x14ac:dyDescent="0.2">
      <c r="B144" s="20" t="s">
        <v>273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140">
        <f t="shared" si="373"/>
        <v>96.996057531214632</v>
      </c>
      <c r="T144" s="133">
        <f>PV($C$1, ($AC$3-$T$3), 0, -AC57)</f>
        <v>13.515844082218431</v>
      </c>
      <c r="U144" s="133">
        <f>PV($C$1, ($AC$3-$T$3), 0, -AF57)</f>
        <v>83.480213448996196</v>
      </c>
      <c r="V144" s="20"/>
      <c r="W144" s="20"/>
      <c r="X144" s="20"/>
      <c r="Y144" s="20"/>
      <c r="Z144" s="20"/>
      <c r="AA144" s="20"/>
      <c r="AB144" s="20"/>
      <c r="AC144" s="20"/>
      <c r="AD144" s="137"/>
      <c r="AE144" s="20"/>
      <c r="AF144" s="20"/>
    </row>
    <row r="145" spans="2:32" x14ac:dyDescent="0.2">
      <c r="B145" s="20" t="s">
        <v>274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140">
        <f t="shared" si="373"/>
        <v>94.338631297482735</v>
      </c>
      <c r="T145" s="133">
        <f>PV($C$1, ($AC$3-$T$3), 0, -AC58)</f>
        <v>13.145546984075462</v>
      </c>
      <c r="U145" s="133">
        <f>PV($C$1, ($AC$3-$T$3), 0, -AF58)</f>
        <v>81.193084313407269</v>
      </c>
      <c r="V145" s="20"/>
      <c r="W145" s="20"/>
      <c r="X145" s="20"/>
      <c r="Y145" s="20"/>
      <c r="Z145" s="20"/>
      <c r="AA145" s="20"/>
      <c r="AB145" s="20"/>
      <c r="AC145" s="20"/>
      <c r="AD145" s="137"/>
      <c r="AE145" s="20"/>
      <c r="AF145" s="20"/>
    </row>
    <row r="146" spans="2:32" x14ac:dyDescent="0.2">
      <c r="B146" s="20" t="s">
        <v>275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140">
        <f t="shared" si="373"/>
        <v>17.273270519257405</v>
      </c>
      <c r="T146" s="133">
        <f>PV($C$1, ($AC$3-$T$3), 0, -AC64)</f>
        <v>2.4069311379293099</v>
      </c>
      <c r="U146" s="133">
        <f>PV($C$1, ($AC$3-$T$3), 0, -AF64)</f>
        <v>14.866339381328094</v>
      </c>
      <c r="V146" s="20"/>
      <c r="W146" s="20"/>
      <c r="X146" s="20"/>
      <c r="Y146" s="20"/>
      <c r="Z146" s="20"/>
      <c r="AA146" s="20"/>
      <c r="AB146" s="20"/>
      <c r="AC146" s="20"/>
      <c r="AD146" s="137"/>
      <c r="AE146" s="20"/>
      <c r="AF146" s="20"/>
    </row>
    <row r="147" spans="2:32" x14ac:dyDescent="0.2"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140"/>
      <c r="T147" s="133"/>
      <c r="U147" s="20"/>
      <c r="V147" s="20"/>
      <c r="W147" s="20"/>
      <c r="X147" s="20"/>
      <c r="Y147" s="20"/>
      <c r="Z147" s="20"/>
      <c r="AA147" s="20"/>
      <c r="AB147" s="20"/>
      <c r="AC147" s="20"/>
      <c r="AD147" s="137"/>
      <c r="AE147" s="20"/>
      <c r="AF147" s="20"/>
    </row>
    <row r="148" spans="2:32" x14ac:dyDescent="0.2">
      <c r="B148" s="20" t="s">
        <v>270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140">
        <f t="shared" si="373"/>
        <v>7.3079221427627061</v>
      </c>
      <c r="T148" s="133">
        <f>PV($C$1, ($AC$3-$T$3), 0, -AC60)</f>
        <v>1.0183170198931639</v>
      </c>
      <c r="U148" s="133">
        <f>PV($C$1, ($AC$3-$T$3), 0, -$AF$60)</f>
        <v>6.289605122869542</v>
      </c>
      <c r="V148" s="20"/>
      <c r="W148" s="20"/>
      <c r="X148" s="20"/>
      <c r="Y148" s="20"/>
      <c r="Z148" s="20"/>
      <c r="AA148" s="20"/>
      <c r="AB148" s="20"/>
      <c r="AC148" s="20"/>
      <c r="AD148" s="137"/>
      <c r="AE148" s="20"/>
      <c r="AF148" s="20"/>
    </row>
    <row r="149" spans="2:32" x14ac:dyDescent="0.2">
      <c r="B149" s="20" t="s">
        <v>271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140">
        <f t="shared" si="373"/>
        <v>-168.74656584197618</v>
      </c>
      <c r="T149" s="133">
        <f>PV($C$1, ($AC$3-$T$3), 0, -AC61)</f>
        <v>-23.513865732078646</v>
      </c>
      <c r="U149" s="133">
        <f>PV($C$1, ($AC$3-$T$3), 0, -$AF$61)</f>
        <v>-145.23270010989754</v>
      </c>
      <c r="V149" s="20"/>
      <c r="W149" s="20"/>
      <c r="X149" s="20"/>
      <c r="Y149" s="20"/>
      <c r="Z149" s="20"/>
      <c r="AA149" s="20"/>
      <c r="AB149" s="20"/>
      <c r="AC149" s="20"/>
      <c r="AD149" s="137"/>
      <c r="AE149" s="20"/>
      <c r="AF149" s="20"/>
    </row>
    <row r="150" spans="2:32" x14ac:dyDescent="0.2">
      <c r="B150" s="20" t="s">
        <v>276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140">
        <f t="shared" si="373"/>
        <v>44.511889415009449</v>
      </c>
      <c r="T150" s="133">
        <f>PV($C$1, ($AC$3-$T$3), 0, -AC62)</f>
        <v>6.2024763938947594</v>
      </c>
      <c r="U150" s="133">
        <f>PV($C$1, ($AC$3-$T$3), 0, -$AF$62)</f>
        <v>38.309413021114693</v>
      </c>
      <c r="V150" s="20"/>
      <c r="W150" s="20"/>
      <c r="X150" s="20"/>
      <c r="Y150" s="20"/>
      <c r="Z150" s="20"/>
      <c r="AA150" s="20"/>
      <c r="AB150" s="20"/>
      <c r="AC150" s="20"/>
      <c r="AD150" s="137"/>
      <c r="AE150" s="20"/>
      <c r="AF150" s="20"/>
    </row>
    <row r="151" spans="2:32" x14ac:dyDescent="0.2"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140"/>
      <c r="T151" s="133"/>
      <c r="U151" s="20"/>
      <c r="V151" s="20"/>
      <c r="W151" s="20"/>
      <c r="X151" s="20"/>
      <c r="Y151" s="20"/>
      <c r="Z151" s="20"/>
      <c r="AA151" s="20"/>
      <c r="AB151" s="20"/>
      <c r="AC151" s="20"/>
      <c r="AD151" s="137"/>
      <c r="AE151" s="20"/>
      <c r="AF151" s="20"/>
    </row>
    <row r="152" spans="2:32" x14ac:dyDescent="0.2">
      <c r="B152" s="20" t="s">
        <v>249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140">
        <f t="shared" si="373"/>
        <v>213.2584552569856</v>
      </c>
      <c r="T152" s="133">
        <f>PV($C$1, ($AC$3-$T$3), 0, -AC67)</f>
        <v>29.716342125973402</v>
      </c>
      <c r="U152" s="133">
        <f>PV($C$1, ($AC$3-$T$3), 0, -AF67)</f>
        <v>183.5421131310122</v>
      </c>
      <c r="V152" s="20"/>
      <c r="W152" s="20"/>
      <c r="X152" s="20"/>
      <c r="Y152" s="20"/>
      <c r="Z152" s="20"/>
      <c r="AA152" s="20"/>
      <c r="AB152" s="20"/>
      <c r="AC152" s="20"/>
      <c r="AD152" s="137"/>
      <c r="AE152" s="20"/>
      <c r="AF152" s="20"/>
    </row>
    <row r="153" spans="2:32" x14ac:dyDescent="0.2">
      <c r="B153" s="20" t="s">
        <v>250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140">
        <f t="shared" si="373"/>
        <v>39.529215226762119</v>
      </c>
      <c r="T153" s="133">
        <f>PV($C$1, ($AC$3-$T$3), 0, -AC68)</f>
        <v>7.1282191392521845</v>
      </c>
      <c r="U153" s="133">
        <f>PV($C$1, ($AC$3-$T$3), 0, -AF68)</f>
        <v>32.400996087509931</v>
      </c>
      <c r="V153" s="20"/>
      <c r="W153" s="20"/>
      <c r="X153" s="20"/>
      <c r="Y153" s="20"/>
      <c r="Z153" s="20"/>
      <c r="AA153" s="20"/>
      <c r="AB153" s="20"/>
      <c r="AC153" s="20"/>
      <c r="AD153" s="137"/>
      <c r="AE153" s="20"/>
      <c r="AF153" s="20"/>
    </row>
    <row r="154" spans="2:32" x14ac:dyDescent="0.2"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140"/>
      <c r="T154" s="133"/>
      <c r="U154" s="133"/>
      <c r="V154" s="20"/>
      <c r="W154" s="20"/>
      <c r="X154" s="20"/>
      <c r="Y154" s="20"/>
      <c r="Z154" s="20"/>
      <c r="AA154" s="20"/>
      <c r="AB154" s="20"/>
      <c r="AC154" s="20"/>
      <c r="AD154" s="137"/>
      <c r="AE154" s="20"/>
      <c r="AF154" s="20"/>
    </row>
    <row r="155" spans="2:32" x14ac:dyDescent="0.2">
      <c r="B155" s="20" t="s">
        <v>293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140">
        <f t="shared" ref="S155" si="374">T155+U155</f>
        <v>96.789001122779027</v>
      </c>
      <c r="T155" s="133">
        <f>PV($C$1, ($AC$3-$T$3), 0, -AC12)</f>
        <v>13.486991959731501</v>
      </c>
      <c r="U155" s="133">
        <f>PV($C$1, ($AC$3-$T$3), 0, -AF12)</f>
        <v>83.302009163047529</v>
      </c>
      <c r="V155" s="20"/>
      <c r="W155" s="20"/>
      <c r="X155" s="20"/>
      <c r="Y155" s="20"/>
      <c r="Z155" s="20"/>
      <c r="AA155" s="20"/>
      <c r="AB155" s="20"/>
      <c r="AC155" s="20"/>
      <c r="AD155" s="137"/>
      <c r="AE155" s="20"/>
      <c r="AF155" s="20"/>
    </row>
    <row r="156" spans="2:32" x14ac:dyDescent="0.2">
      <c r="B156" s="20" t="s">
        <v>294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140">
        <f>T156+U156</f>
        <v>28.136337535691581</v>
      </c>
      <c r="T156" s="140">
        <f>T155/P42</f>
        <v>3.9206371975963665</v>
      </c>
      <c r="U156" s="140">
        <f>U155/P42</f>
        <v>24.215700338095214</v>
      </c>
      <c r="V156" s="20"/>
      <c r="W156" s="20"/>
      <c r="X156" s="20"/>
      <c r="Y156" s="20"/>
      <c r="Z156" s="20"/>
      <c r="AA156" s="20"/>
      <c r="AB156" s="20"/>
      <c r="AC156" s="20"/>
      <c r="AD156" s="137"/>
      <c r="AE156" s="20"/>
      <c r="AF156" s="20"/>
    </row>
    <row r="157" spans="2:32" x14ac:dyDescent="0.2"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140"/>
      <c r="T157" s="140"/>
      <c r="U157" s="140"/>
      <c r="V157" s="20"/>
      <c r="W157" s="20"/>
      <c r="X157" s="20"/>
      <c r="Y157" s="20"/>
      <c r="Z157" s="20"/>
      <c r="AA157" s="20"/>
      <c r="AB157" s="20"/>
      <c r="AC157" s="20"/>
      <c r="AD157" s="137"/>
      <c r="AE157" s="20"/>
      <c r="AF157" s="20"/>
    </row>
    <row r="158" spans="2:32" x14ac:dyDescent="0.2">
      <c r="B158" s="108" t="s">
        <v>297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140"/>
      <c r="T158" s="133"/>
      <c r="U158" s="133"/>
      <c r="V158" s="20"/>
      <c r="W158" s="20"/>
      <c r="X158" s="20"/>
      <c r="Y158" s="20"/>
      <c r="Z158" s="20"/>
      <c r="AA158" s="20"/>
      <c r="AB158" s="20"/>
      <c r="AC158" s="20"/>
      <c r="AD158" s="137"/>
      <c r="AE158" s="20"/>
      <c r="AF158" s="20"/>
    </row>
    <row r="159" spans="2:32" x14ac:dyDescent="0.2">
      <c r="B159" s="20" t="s">
        <v>282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140">
        <f t="shared" ref="S159" si="375">T159+U159</f>
        <v>14.21502740475464</v>
      </c>
      <c r="T159" s="133">
        <f>PV($C$1, ($AC$3-$T$3), 0, -AC70)+PV($C$1, ($AB$3-$T$3), 0, -AC70)+PV($C$1, ($AA$3-$T$3), 0, -AC70)+PV($C$1, ($Z$3-$T$3), 0, -AC70)+PV($C$1, ($Y$3-$T$3), 0, -AC70)+PV($C$1, ($X$3-$T$3), 0, -AC70)+PV($C$1, ($W$3-$T$3), 0, -AC70)+PV($C$1, ($V$3-$T$3), 0, -AC70)+PV($C$1, ($U$3-$T$3), 0, -AC70)+PV($C$1, ($T$3-$T$3), 0, -AC70)</f>
        <v>11.694530599091259</v>
      </c>
      <c r="U159" s="133">
        <f>PV($C$1, ($AC$3-$T$3), 0, -AF70)</f>
        <v>2.5204968056633814</v>
      </c>
      <c r="V159" s="20"/>
      <c r="W159" s="20"/>
      <c r="X159" s="20"/>
      <c r="Y159" s="20"/>
      <c r="Z159" s="20"/>
      <c r="AA159" s="20"/>
      <c r="AB159" s="20"/>
      <c r="AC159" s="20"/>
      <c r="AD159" s="137"/>
      <c r="AE159" s="20"/>
      <c r="AF159" s="20"/>
    </row>
    <row r="160" spans="2:32" x14ac:dyDescent="0.2">
      <c r="B160" s="23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140"/>
      <c r="T160" s="133"/>
      <c r="U160" s="133"/>
      <c r="V160" s="20"/>
      <c r="W160" s="20"/>
      <c r="X160" s="20"/>
      <c r="Y160" s="20"/>
      <c r="Z160" s="20"/>
      <c r="AA160" s="20"/>
      <c r="AB160" s="20"/>
      <c r="AC160" s="20"/>
      <c r="AD160" s="137"/>
      <c r="AE160" s="20"/>
      <c r="AF160" s="20"/>
    </row>
    <row r="161" spans="2:32" x14ac:dyDescent="0.2">
      <c r="B161" s="20" t="s">
        <v>290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140">
        <f t="shared" si="373"/>
        <v>560.15133076387053</v>
      </c>
      <c r="T161" s="133">
        <f>PV($C$1, ($AC$3-$T$3), 0, -AC72)+PV($C$1, ($AB$3-$T$3), 0, -AC72)+PV($C$1, ($AA$3-$T$3), 0, -AC72)+PV($C$1, ($Z$3-$T$3), 0, -AC72)+PV($C$1, ($Y$3-$T$3), 0, -AC72)+PV($C$1, ($X$3-$T$3), 0, -AC72)+PV($C$1, ($W$3-$T$3), 0, -AC72)+PV($C$1, ($V$3-$T$3), 0, -AC72)+PV($C$1, ($U$3-$T$3), 0, -AC72)+PV($C$1, ($T$3-$T$3), 0, -AC72)</f>
        <v>460.82970445408313</v>
      </c>
      <c r="U161" s="133">
        <f>PV($C$1, ($AC$3-$T$3), 0, -AF72)</f>
        <v>99.321626309787447</v>
      </c>
      <c r="V161" s="20"/>
      <c r="W161" s="20"/>
      <c r="X161" s="20"/>
      <c r="Y161" s="20"/>
      <c r="Z161" s="20"/>
      <c r="AA161" s="20"/>
      <c r="AB161" s="20"/>
      <c r="AC161" s="20"/>
      <c r="AD161" s="137"/>
      <c r="AE161" s="20"/>
      <c r="AF161" s="20"/>
    </row>
    <row r="162" spans="2:32" x14ac:dyDescent="0.2"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140"/>
      <c r="T162" s="133"/>
      <c r="U162" s="133"/>
      <c r="V162" s="20"/>
      <c r="W162" s="20"/>
      <c r="X162" s="20"/>
      <c r="Y162" s="20"/>
      <c r="Z162" s="20"/>
      <c r="AA162" s="20"/>
      <c r="AB162" s="20"/>
      <c r="AC162" s="20"/>
      <c r="AD162" s="137"/>
      <c r="AE162" s="20"/>
      <c r="AF162" s="20"/>
    </row>
    <row r="163" spans="2:32" x14ac:dyDescent="0.2">
      <c r="B163" s="20" t="s">
        <v>286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140">
        <f t="shared" ref="S163:S166" si="376">T163+U163</f>
        <v>99.966373821056337</v>
      </c>
      <c r="T163" s="133">
        <f>PV($C$1, ($AC$3-$T$3), 0, -AC74)+PV($C$1, ($AB$3-$T$3), 0, -AC74)+PV($C$1, ($AA$3-$T$3), 0, -AC74)+PV($C$1, ($Z$3-$T$3), 0, -AC74)+PV($C$1, ($Y$3-$T$3), 0, -AC74)+PV($C$1, ($X$3-$T$3), 0, -AC74)+PV($C$1, ($W$3-$T$3), 0, -AC74)+PV($C$1, ($V$3-$T$3), 0, -AC74)+PV($C$1, ($U$3-$T$3), 0, -AC74)+PV($C$1, ($T$3-$T$3), 0, -AC74)</f>
        <v>82.241123020242071</v>
      </c>
      <c r="U163" s="133">
        <f>PV($C$1, ($AC$3-$T$3), 0, -AF74)</f>
        <v>17.725250800814269</v>
      </c>
      <c r="V163" s="20"/>
      <c r="W163" s="20"/>
      <c r="X163" s="20"/>
      <c r="Y163" s="20"/>
      <c r="Z163" s="20"/>
      <c r="AA163" s="20"/>
      <c r="AB163" s="20"/>
      <c r="AC163" s="20"/>
      <c r="AD163" s="137"/>
      <c r="AE163" s="20"/>
      <c r="AF163" s="20"/>
    </row>
    <row r="164" spans="2:32" x14ac:dyDescent="0.2">
      <c r="B164" s="20" t="s">
        <v>287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140">
        <f t="shared" si="376"/>
        <v>228.95524326758058</v>
      </c>
      <c r="T164" s="133">
        <f>PV($C$1, ($AC$3-$T$3), 0, -AC75)+PV($C$1, ($AB$3-$T$3), 0, -AC75)+PV($C$1, ($AA$3-$T$3), 0, -AC75)+PV($C$1, ($Z$3-$T$3), 0, -AC75)+PV($C$1, ($Y$3-$T$3), 0, -AC75)+PV($C$1, ($X$3-$T$3), 0, -AC75)+PV($C$1, ($W$3-$T$3), 0, -AC75)+PV($C$1, ($V$3-$T$3), 0, -AC75)+PV($C$1, ($U$3-$T$3), 0, -AC75)+PV($C$1, ($T$3-$T$3), 0, -AC75)</f>
        <v>188.35870111087695</v>
      </c>
      <c r="U164" s="133">
        <f>PV($C$1, ($AC$3-$T$3), 0, -AF75)</f>
        <v>40.596542156703634</v>
      </c>
      <c r="V164" s="20"/>
      <c r="W164" s="20"/>
      <c r="X164" s="20"/>
      <c r="Y164" s="20"/>
      <c r="Z164" s="20"/>
      <c r="AA164" s="20"/>
      <c r="AB164" s="20"/>
      <c r="AC164" s="20"/>
      <c r="AD164" s="137"/>
      <c r="AE164" s="20"/>
      <c r="AF164" s="20"/>
    </row>
    <row r="165" spans="2:32" x14ac:dyDescent="0.2">
      <c r="B165" s="20" t="s">
        <v>288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140">
        <f t="shared" si="376"/>
        <v>-128.98886944652423</v>
      </c>
      <c r="T165" s="133">
        <f>PV($C$1, ($AC$3-$T$3), 0, -AC76)+PV($C$1, ($AB$3-$T$3), 0, -AC76)+PV($C$1, ($AA$3-$T$3), 0, -AC76)+PV($C$1, ($Z$3-$T$3), 0, -AC76)+PV($C$1, ($Y$3-$T$3), 0, -AC76)+PV($C$1, ($X$3-$T$3), 0, -AC76)+PV($C$1, ($W$3-$T$3), 0, -AC76)+PV($C$1, ($V$3-$T$3), 0, -AC76)+PV($C$1, ($U$3-$T$3), 0, -AC76)+PV($C$1, ($T$3-$T$3), 0, -AC76)</f>
        <v>-106.11757809063488</v>
      </c>
      <c r="U165" s="133">
        <f>PV($C$1, ($AC$3-$T$3), 0, -AF76)</f>
        <v>-22.871291355889365</v>
      </c>
      <c r="V165" s="20"/>
      <c r="W165" s="20"/>
      <c r="X165" s="20"/>
      <c r="Y165" s="20"/>
      <c r="Z165" s="20"/>
      <c r="AA165" s="20"/>
      <c r="AB165" s="20"/>
      <c r="AC165" s="20"/>
      <c r="AD165" s="137"/>
      <c r="AE165" s="20"/>
      <c r="AF165" s="20"/>
    </row>
    <row r="166" spans="2:32" x14ac:dyDescent="0.2">
      <c r="B166" s="20" t="s">
        <v>289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140">
        <f t="shared" si="376"/>
        <v>-90.292208612566952</v>
      </c>
      <c r="T166" s="133">
        <f>PV($C$1, ($AC$3-$T$3), 0, -AC77)+PV($C$1, ($AB$3-$T$3), 0, -AC77)+PV($C$1, ($AA$3-$T$3), 0, -AC77)+PV($C$1, ($Z$3-$T$3), 0, -AC77)+PV($C$1, ($Y$3-$T$3), 0, -AC77)+PV($C$1, ($X$3-$T$3), 0, -AC77)+PV($C$1, ($W$3-$T$3), 0, -AC77)+PV($C$1, ($V$3-$T$3), 0, -AC77)+PV($C$1, ($U$3-$T$3), 0, -AC77)+PV($C$1, ($T$3-$T$3), 0, -AC77)</f>
        <v>-74.282304663444393</v>
      </c>
      <c r="U166" s="133">
        <f>PV($C$1, ($AC$3-$T$3), 0, -AF77)</f>
        <v>-16.009903949122556</v>
      </c>
      <c r="V166" s="20"/>
      <c r="W166" s="20"/>
      <c r="X166" s="20"/>
      <c r="Y166" s="20"/>
      <c r="Z166" s="20"/>
      <c r="AA166" s="20"/>
      <c r="AB166" s="20"/>
      <c r="AC166" s="20"/>
      <c r="AD166" s="137"/>
      <c r="AE166" s="20"/>
      <c r="AF166" s="20"/>
    </row>
    <row r="167" spans="2:32" x14ac:dyDescent="0.2"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140"/>
      <c r="T167" s="133"/>
      <c r="U167" s="133"/>
      <c r="V167" s="20"/>
      <c r="W167" s="20"/>
      <c r="X167" s="20"/>
      <c r="Y167" s="20"/>
      <c r="Z167" s="20"/>
      <c r="AA167" s="20"/>
      <c r="AB167" s="20"/>
      <c r="AC167" s="20"/>
      <c r="AD167" s="137"/>
      <c r="AE167" s="20"/>
      <c r="AF167" s="20"/>
    </row>
    <row r="168" spans="2:32" x14ac:dyDescent="0.2">
      <c r="B168" s="20" t="s">
        <v>298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140">
        <f>T168+U168</f>
        <v>80.618043404077653</v>
      </c>
      <c r="T168" s="133">
        <f>PV($C$1, ($AC$3-$T$3), 0, -AC78)+PV($C$1, ($AB$3-$T$3), 0, -AC78)+PV($C$1, ($AA$3-$T$3), 0, -AC78)+PV($C$1, ($Z$3-$T$3), 0, -AC78)+PV($C$1, ($Y$3-$T$3), 0, -AC78)+PV($C$1, ($X$3-$T$3), 0, -AC78)+PV($C$1, ($W$3-$T$3), 0, -AC78)+PV($C$1, ($V$3-$T$3), 0, -AC78)+PV($C$1, ($U$3-$T$3), 0, -AC78)+PV($C$1, ($T$3-$T$3), 0, -AC78)</f>
        <v>66.323486306646799</v>
      </c>
      <c r="U168" s="133">
        <f>PV($C$1, ($AC$3-$T$3), 0, -AF78)</f>
        <v>14.294557097430854</v>
      </c>
      <c r="V168" s="20"/>
      <c r="W168" s="20"/>
      <c r="X168" s="20"/>
      <c r="Y168" s="20"/>
      <c r="Z168" s="20"/>
      <c r="AA168" s="20"/>
      <c r="AB168" s="20"/>
      <c r="AC168" s="20"/>
      <c r="AD168" s="137"/>
      <c r="AE168" s="20"/>
      <c r="AF168" s="20"/>
    </row>
    <row r="169" spans="2:32" x14ac:dyDescent="0.2"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183">
        <v>41729</v>
      </c>
      <c r="P169" s="20">
        <v>137</v>
      </c>
      <c r="Q169" s="20"/>
      <c r="R169" s="20"/>
      <c r="S169" s="20"/>
      <c r="T169" s="121"/>
      <c r="U169" s="20"/>
      <c r="V169" s="20"/>
      <c r="W169" s="20"/>
      <c r="X169" s="20"/>
      <c r="Y169" s="20"/>
      <c r="Z169" s="20"/>
      <c r="AA169" s="20"/>
      <c r="AB169" s="20"/>
      <c r="AC169" s="20"/>
      <c r="AD169" s="137"/>
      <c r="AE169" s="20"/>
      <c r="AF169" s="20"/>
    </row>
    <row r="170" spans="2:32" x14ac:dyDescent="0.2">
      <c r="B170" s="108" t="s">
        <v>251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3" t="s">
        <v>389</v>
      </c>
      <c r="P170" s="20">
        <v>240</v>
      </c>
      <c r="Q170" s="20"/>
      <c r="R170" s="20" t="s">
        <v>391</v>
      </c>
      <c r="S170" s="23" t="s">
        <v>390</v>
      </c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137"/>
      <c r="AE170" s="20"/>
      <c r="AF170" s="20"/>
    </row>
    <row r="171" spans="2:32" x14ac:dyDescent="0.2">
      <c r="B171" s="20" t="s">
        <v>204</v>
      </c>
      <c r="C171" s="22">
        <v>0</v>
      </c>
      <c r="D171" s="22">
        <v>0</v>
      </c>
      <c r="E171" s="22">
        <v>0</v>
      </c>
      <c r="F171" s="22">
        <v>0</v>
      </c>
      <c r="G171" s="22">
        <v>30</v>
      </c>
      <c r="H171" s="22">
        <v>50</v>
      </c>
      <c r="I171" s="22">
        <v>75</v>
      </c>
      <c r="J171" s="22">
        <v>52</v>
      </c>
      <c r="K171" s="22">
        <v>41</v>
      </c>
      <c r="L171" s="22">
        <v>42</v>
      </c>
      <c r="M171" s="22">
        <v>150</v>
      </c>
      <c r="N171" s="22">
        <v>35</v>
      </c>
      <c r="O171" s="22">
        <v>35</v>
      </c>
      <c r="P171" s="22">
        <v>60</v>
      </c>
      <c r="Q171" s="22">
        <v>80</v>
      </c>
      <c r="R171" s="118">
        <f t="shared" ref="R171:R176" si="377">((P171/G171)^(1/($H$2-$H$1) ))-1</f>
        <v>8.0059738892306109E-2</v>
      </c>
      <c r="S171" s="31">
        <f>L2-3%</f>
        <v>0.09</v>
      </c>
      <c r="T171" s="119">
        <f t="shared" ref="T171" si="378">P171*(1+$S171)</f>
        <v>65.400000000000006</v>
      </c>
      <c r="U171" s="119">
        <f t="shared" ref="U171:AC171" si="379">T171*(1+$S171)</f>
        <v>71.286000000000016</v>
      </c>
      <c r="V171" s="119">
        <f t="shared" si="379"/>
        <v>77.701740000000029</v>
      </c>
      <c r="W171" s="119">
        <f t="shared" si="379"/>
        <v>84.694896600000035</v>
      </c>
      <c r="X171" s="119">
        <f t="shared" si="379"/>
        <v>92.317437294000044</v>
      </c>
      <c r="Y171" s="119">
        <f t="shared" si="379"/>
        <v>100.62600665046006</v>
      </c>
      <c r="Z171" s="119">
        <f t="shared" si="379"/>
        <v>109.68234724900147</v>
      </c>
      <c r="AA171" s="119">
        <f t="shared" si="379"/>
        <v>119.55375850141161</v>
      </c>
      <c r="AB171" s="119">
        <f t="shared" si="379"/>
        <v>130.31359676653867</v>
      </c>
      <c r="AC171" s="119">
        <f t="shared" si="379"/>
        <v>142.04182047552715</v>
      </c>
      <c r="AD171" s="138">
        <f t="shared" ref="AD171:AD176" si="380">((AC171/G171)^(1/($AC$3-$H$1) ))-1</f>
        <v>8.0848312282791879E-2</v>
      </c>
      <c r="AE171" s="31">
        <v>0.08</v>
      </c>
      <c r="AF171" s="127">
        <f t="shared" ref="AF171:AF179" si="381">(AC171*(1+AD171))/($C$1-AE171)</f>
        <v>1096.611870961063</v>
      </c>
    </row>
    <row r="172" spans="2:32" x14ac:dyDescent="0.2">
      <c r="B172" s="20" t="s">
        <v>360</v>
      </c>
      <c r="C172" s="25" t="e">
        <f t="shared" ref="C172:P172" si="382">C171/C50</f>
        <v>#DIV/0!</v>
      </c>
      <c r="D172" s="25" t="e">
        <f t="shared" si="382"/>
        <v>#DIV/0!</v>
      </c>
      <c r="E172" s="25" t="e">
        <f t="shared" si="382"/>
        <v>#DIV/0!</v>
      </c>
      <c r="F172" s="25" t="e">
        <f t="shared" si="382"/>
        <v>#DIV/0!</v>
      </c>
      <c r="G172" s="25">
        <f t="shared" si="382"/>
        <v>0.10099009900990098</v>
      </c>
      <c r="H172" s="25">
        <f t="shared" si="382"/>
        <v>0.17435897435897438</v>
      </c>
      <c r="I172" s="25">
        <f t="shared" si="382"/>
        <v>0.19230769230769232</v>
      </c>
      <c r="J172" s="25">
        <f t="shared" si="382"/>
        <v>0.12811594202898552</v>
      </c>
      <c r="K172" s="25">
        <f t="shared" si="382"/>
        <v>8.5521472392638048E-2</v>
      </c>
      <c r="L172" s="25">
        <f t="shared" si="382"/>
        <v>6.3466666666666671E-2</v>
      </c>
      <c r="M172" s="25">
        <f t="shared" si="382"/>
        <v>0.18444846292947562</v>
      </c>
      <c r="N172" s="25">
        <f t="shared" si="382"/>
        <v>0.16270270270270271</v>
      </c>
      <c r="O172" s="25">
        <f t="shared" si="382"/>
        <v>0.13681818181818181</v>
      </c>
      <c r="P172" s="25">
        <f t="shared" si="382"/>
        <v>0.19253731343283581</v>
      </c>
      <c r="Q172" s="25">
        <f t="shared" ref="Q172" si="383">Q171/Q50</f>
        <v>0.21980830670926516</v>
      </c>
      <c r="R172" s="118">
        <f t="shared" ref="R172" si="384">((P172/G172)^(1/($H$2-$H$1) ))-1</f>
        <v>7.4329114916987793E-2</v>
      </c>
      <c r="S172" s="128"/>
      <c r="T172" s="25">
        <f t="shared" ref="T172:AC172" si="385">T171/T50</f>
        <v>0.16846246006389776</v>
      </c>
      <c r="U172" s="25">
        <f t="shared" si="385"/>
        <v>0.17214757637779551</v>
      </c>
      <c r="V172" s="25">
        <f t="shared" si="385"/>
        <v>0.17591330461105981</v>
      </c>
      <c r="W172" s="25">
        <f t="shared" si="385"/>
        <v>0.1797614081494267</v>
      </c>
      <c r="X172" s="25">
        <f t="shared" si="385"/>
        <v>0.18369368895269542</v>
      </c>
      <c r="Y172" s="25">
        <f t="shared" si="385"/>
        <v>0.18771198839853562</v>
      </c>
      <c r="Z172" s="25">
        <f t="shared" si="385"/>
        <v>0.19181818814475357</v>
      </c>
      <c r="AA172" s="25">
        <f t="shared" si="385"/>
        <v>0.19601421101042008</v>
      </c>
      <c r="AB172" s="25">
        <f t="shared" si="385"/>
        <v>0.200302021876273</v>
      </c>
      <c r="AC172" s="25">
        <f t="shared" si="385"/>
        <v>0.20468362860481645</v>
      </c>
      <c r="AD172" s="138">
        <f t="shared" ref="AD172" si="386">((AC172/G172)^(1/($AC$3-$H$1) ))-1</f>
        <v>3.5953388962964627E-2</v>
      </c>
      <c r="AE172" s="31">
        <v>0.08</v>
      </c>
      <c r="AF172" s="127">
        <f t="shared" ref="AF172" si="387">(AC172*(1+AD172))/($C$1-AE172)</f>
        <v>1.5145907051314027</v>
      </c>
    </row>
    <row r="173" spans="2:32" x14ac:dyDescent="0.2">
      <c r="B173" s="20" t="s">
        <v>388</v>
      </c>
      <c r="C173" s="25" t="e">
        <f t="shared" ref="C173:P173" si="388">C171/C54</f>
        <v>#DIV/0!</v>
      </c>
      <c r="D173" s="25" t="e">
        <f t="shared" si="388"/>
        <v>#DIV/0!</v>
      </c>
      <c r="E173" s="25" t="e">
        <f t="shared" si="388"/>
        <v>#DIV/0!</v>
      </c>
      <c r="F173" s="25" t="e">
        <f t="shared" si="388"/>
        <v>#DIV/0!</v>
      </c>
      <c r="G173" s="25">
        <f t="shared" si="388"/>
        <v>-10.200000000000001</v>
      </c>
      <c r="H173" s="25">
        <f t="shared" si="388"/>
        <v>-17</v>
      </c>
      <c r="I173" s="25">
        <f t="shared" si="388"/>
        <v>15</v>
      </c>
      <c r="J173" s="25">
        <f t="shared" si="388"/>
        <v>14.144</v>
      </c>
      <c r="K173" s="25">
        <f t="shared" si="388"/>
        <v>6.9700000000000006</v>
      </c>
      <c r="L173" s="25">
        <f t="shared" si="388"/>
        <v>3.1733333333333333</v>
      </c>
      <c r="M173" s="25">
        <f t="shared" si="388"/>
        <v>5.1000000000000005</v>
      </c>
      <c r="N173" s="25">
        <f t="shared" si="388"/>
        <v>5.0166666666666666</v>
      </c>
      <c r="O173" s="25">
        <f t="shared" si="388"/>
        <v>4.8159999999999998</v>
      </c>
      <c r="P173" s="25">
        <f t="shared" si="388"/>
        <v>6.2545454545454549</v>
      </c>
      <c r="Q173" s="25">
        <f t="shared" ref="Q173" si="389">Q171/Q54</f>
        <v>8.3393939393939398</v>
      </c>
      <c r="R173" s="118">
        <f t="shared" si="377"/>
        <v>-1.9471080087747523</v>
      </c>
      <c r="S173" s="128"/>
      <c r="T173" s="119">
        <f t="shared" ref="T173:AC173" si="390">T171/T54</f>
        <v>6.3913636363636366</v>
      </c>
      <c r="U173" s="119">
        <f t="shared" si="390"/>
        <v>6.531174715909092</v>
      </c>
      <c r="V173" s="119">
        <f t="shared" si="390"/>
        <v>6.6740441628196043</v>
      </c>
      <c r="W173" s="119">
        <f t="shared" si="390"/>
        <v>6.8200388788812818</v>
      </c>
      <c r="X173" s="119">
        <f t="shared" si="390"/>
        <v>6.96922722935681</v>
      </c>
      <c r="Y173" s="119">
        <f t="shared" si="390"/>
        <v>7.1216790749989904</v>
      </c>
      <c r="Z173" s="119">
        <f t="shared" si="390"/>
        <v>7.2774658047645939</v>
      </c>
      <c r="AA173" s="119">
        <f t="shared" si="390"/>
        <v>7.4366603692438202</v>
      </c>
      <c r="AB173" s="119">
        <f t="shared" si="390"/>
        <v>7.5993373148210281</v>
      </c>
      <c r="AC173" s="119">
        <f t="shared" si="390"/>
        <v>7.7655728185827391</v>
      </c>
      <c r="AD173" s="138" t="e">
        <f t="shared" si="380"/>
        <v>#NUM!</v>
      </c>
      <c r="AE173" s="31">
        <v>0.08</v>
      </c>
      <c r="AF173" s="127" t="e">
        <f t="shared" si="381"/>
        <v>#NUM!</v>
      </c>
    </row>
    <row r="174" spans="2:32" x14ac:dyDescent="0.2">
      <c r="B174" s="20" t="s">
        <v>258</v>
      </c>
      <c r="C174" s="25" t="e">
        <f t="shared" ref="C174:P174" si="391">C171/C57</f>
        <v>#DIV/0!</v>
      </c>
      <c r="D174" s="25" t="e">
        <f t="shared" si="391"/>
        <v>#DIV/0!</v>
      </c>
      <c r="E174" s="25" t="e">
        <f t="shared" si="391"/>
        <v>#DIV/0!</v>
      </c>
      <c r="F174" s="25" t="e">
        <f t="shared" si="391"/>
        <v>#DIV/0!</v>
      </c>
      <c r="G174" s="25">
        <f t="shared" si="391"/>
        <v>0.43404255319148943</v>
      </c>
      <c r="H174" s="25">
        <f t="shared" si="391"/>
        <v>0.80952380952380965</v>
      </c>
      <c r="I174" s="25">
        <f t="shared" si="391"/>
        <v>1</v>
      </c>
      <c r="J174" s="25">
        <f t="shared" si="391"/>
        <v>0.75234042553191494</v>
      </c>
      <c r="K174" s="25">
        <f t="shared" si="391"/>
        <v>0.55759999999999998</v>
      </c>
      <c r="L174" s="25">
        <f t="shared" si="391"/>
        <v>0.49241379310344835</v>
      </c>
      <c r="M174" s="25">
        <f t="shared" si="391"/>
        <v>1.3421052631578949</v>
      </c>
      <c r="N174" s="25">
        <f t="shared" si="391"/>
        <v>1.2412371134020619</v>
      </c>
      <c r="O174" s="25">
        <f t="shared" si="391"/>
        <v>1.0117647058823529</v>
      </c>
      <c r="P174" s="25">
        <f t="shared" si="391"/>
        <v>1.4136986301369863</v>
      </c>
      <c r="Q174" s="25">
        <f t="shared" ref="Q174" si="392">Q171/Q57</f>
        <v>1.8849315068493151</v>
      </c>
      <c r="R174" s="118">
        <f t="shared" si="377"/>
        <v>0.14019859910310761</v>
      </c>
      <c r="S174" s="128"/>
      <c r="T174" s="119">
        <f t="shared" ref="T174:AC174" si="393">T171/T57</f>
        <v>1.4446232876712328</v>
      </c>
      <c r="U174" s="119">
        <f t="shared" si="393"/>
        <v>1.4762244220890413</v>
      </c>
      <c r="V174" s="119">
        <f t="shared" si="393"/>
        <v>1.508516831322239</v>
      </c>
      <c r="W174" s="119">
        <f t="shared" si="393"/>
        <v>1.541515637007413</v>
      </c>
      <c r="X174" s="119">
        <f t="shared" si="393"/>
        <v>1.5752362915669502</v>
      </c>
      <c r="Y174" s="119">
        <f t="shared" si="393"/>
        <v>1.6096945854449773</v>
      </c>
      <c r="Z174" s="119">
        <f t="shared" si="393"/>
        <v>1.644906654501586</v>
      </c>
      <c r="AA174" s="119">
        <f t="shared" si="393"/>
        <v>1.6808889875688082</v>
      </c>
      <c r="AB174" s="119">
        <f t="shared" si="393"/>
        <v>1.7176584341718757</v>
      </c>
      <c r="AC174" s="119">
        <f t="shared" si="393"/>
        <v>1.7552322124193858</v>
      </c>
      <c r="AD174" s="138">
        <f t="shared" si="380"/>
        <v>7.2358783966724349E-2</v>
      </c>
      <c r="AE174" s="31">
        <v>0.08</v>
      </c>
      <c r="AF174" s="127">
        <f t="shared" si="381"/>
        <v>13.444562006351967</v>
      </c>
    </row>
    <row r="175" spans="2:32" x14ac:dyDescent="0.2">
      <c r="B175" s="20" t="s">
        <v>259</v>
      </c>
      <c r="C175" s="25" t="e">
        <f t="shared" ref="C175:P175" si="394">C171/C66</f>
        <v>#DIV/0!</v>
      </c>
      <c r="D175" s="25" t="e">
        <f t="shared" si="394"/>
        <v>#DIV/0!</v>
      </c>
      <c r="E175" s="25" t="e">
        <f t="shared" si="394"/>
        <v>#DIV/0!</v>
      </c>
      <c r="F175" s="25" t="e">
        <f t="shared" si="394"/>
        <v>#DIV/0!</v>
      </c>
      <c r="G175" s="25">
        <f t="shared" si="394"/>
        <v>0.24297284421152934</v>
      </c>
      <c r="H175" s="25">
        <f t="shared" si="394"/>
        <v>9.1891891891891895</v>
      </c>
      <c r="I175" s="25">
        <f t="shared" si="394"/>
        <v>8.0357142857142847</v>
      </c>
      <c r="J175" s="25">
        <f t="shared" si="394"/>
        <v>5.3575757575757583</v>
      </c>
      <c r="K175" s="25">
        <f t="shared" si="394"/>
        <v>2.4034482758620692</v>
      </c>
      <c r="L175" s="25">
        <f t="shared" si="394"/>
        <v>2.5162995594713657</v>
      </c>
      <c r="M175" s="25">
        <f t="shared" si="394"/>
        <v>6.3750000000000009</v>
      </c>
      <c r="N175" s="25">
        <f t="shared" si="394"/>
        <v>7.5723270440251573</v>
      </c>
      <c r="O175" s="25">
        <f t="shared" si="394"/>
        <v>4.4592592592592597</v>
      </c>
      <c r="P175" s="25">
        <f t="shared" si="394"/>
        <v>5.9481268011527382</v>
      </c>
      <c r="Q175" s="25">
        <f t="shared" ref="Q175" si="395">Q171/Q66</f>
        <v>7.9308357348703176</v>
      </c>
      <c r="R175" s="118">
        <f t="shared" si="377"/>
        <v>0.42663741275864919</v>
      </c>
      <c r="S175" s="128"/>
      <c r="T175" s="119">
        <f t="shared" ref="T175:AC175" si="396">T171/T66</f>
        <v>6.078242074927954</v>
      </c>
      <c r="U175" s="119">
        <f t="shared" si="396"/>
        <v>6.2112036203170025</v>
      </c>
      <c r="V175" s="119">
        <f t="shared" si="396"/>
        <v>6.3470736995114372</v>
      </c>
      <c r="W175" s="119">
        <f t="shared" si="396"/>
        <v>6.4859159366882499</v>
      </c>
      <c r="X175" s="119">
        <f t="shared" si="396"/>
        <v>6.6277953478033051</v>
      </c>
      <c r="Y175" s="119">
        <f t="shared" si="396"/>
        <v>6.7727783710365017</v>
      </c>
      <c r="Z175" s="119">
        <f t="shared" si="396"/>
        <v>6.920932897902925</v>
      </c>
      <c r="AA175" s="119">
        <f t="shared" si="396"/>
        <v>7.072328305044552</v>
      </c>
      <c r="AB175" s="119">
        <f t="shared" si="396"/>
        <v>7.2270354867174014</v>
      </c>
      <c r="AC175" s="119">
        <f t="shared" si="396"/>
        <v>7.3851268879893457</v>
      </c>
      <c r="AD175" s="138">
        <f t="shared" si="380"/>
        <v>0.18615108706349681</v>
      </c>
      <c r="AE175" s="31">
        <v>0.08</v>
      </c>
      <c r="AF175" s="127">
        <f t="shared" si="381"/>
        <v>62.570544902074431</v>
      </c>
    </row>
    <row r="176" spans="2:32" x14ac:dyDescent="0.2">
      <c r="B176" s="20" t="s">
        <v>260</v>
      </c>
      <c r="C176" s="25" t="e">
        <f t="shared" ref="C176:P176" si="397">C171/C68</f>
        <v>#DIV/0!</v>
      </c>
      <c r="D176" s="25" t="e">
        <f t="shared" si="397"/>
        <v>#DIV/0!</v>
      </c>
      <c r="E176" s="25" t="e">
        <f t="shared" si="397"/>
        <v>#DIV/0!</v>
      </c>
      <c r="F176" s="25" t="e">
        <f t="shared" si="397"/>
        <v>#DIV/0!</v>
      </c>
      <c r="G176" s="25">
        <f t="shared" si="397"/>
        <v>0.81599999999999995</v>
      </c>
      <c r="H176" s="25">
        <f t="shared" si="397"/>
        <v>1.1333333333333333</v>
      </c>
      <c r="I176" s="25">
        <f t="shared" si="397"/>
        <v>1.2162162162162162</v>
      </c>
      <c r="J176" s="25">
        <f t="shared" si="397"/>
        <v>0.69333333333333336</v>
      </c>
      <c r="K176" s="25">
        <f t="shared" si="397"/>
        <v>0.45704918032786884</v>
      </c>
      <c r="L176" s="25">
        <f t="shared" si="397"/>
        <v>0.45333333333333337</v>
      </c>
      <c r="M176" s="25">
        <f t="shared" si="397"/>
        <v>1.1460674157303372</v>
      </c>
      <c r="N176" s="25">
        <f t="shared" si="397"/>
        <v>0.99504132231404951</v>
      </c>
      <c r="O176" s="25">
        <f t="shared" si="397"/>
        <v>1.5636363636363635</v>
      </c>
      <c r="P176" s="25">
        <f t="shared" si="397"/>
        <v>2.6805194805194805</v>
      </c>
      <c r="Q176" s="25">
        <f t="shared" ref="Q176" si="398">Q171/Q68</f>
        <v>3.5740259740259739</v>
      </c>
      <c r="R176" s="118">
        <f t="shared" si="377"/>
        <v>0.1412796931026763</v>
      </c>
      <c r="S176" s="128"/>
      <c r="T176" s="119">
        <f t="shared" ref="T176:AC176" si="399">T171/T68</f>
        <v>2.7391558441558441</v>
      </c>
      <c r="U176" s="119">
        <f t="shared" si="399"/>
        <v>2.7990748782467536</v>
      </c>
      <c r="V176" s="119">
        <f t="shared" si="399"/>
        <v>2.8603046412084017</v>
      </c>
      <c r="W176" s="119">
        <f t="shared" si="399"/>
        <v>2.9228738052348349</v>
      </c>
      <c r="X176" s="119">
        <f t="shared" si="399"/>
        <v>2.986811669724347</v>
      </c>
      <c r="Y176" s="119">
        <f t="shared" si="399"/>
        <v>3.0521481749995676</v>
      </c>
      <c r="Z176" s="119">
        <f t="shared" si="399"/>
        <v>3.1189139163276827</v>
      </c>
      <c r="AA176" s="119">
        <f t="shared" si="399"/>
        <v>3.1871401582473511</v>
      </c>
      <c r="AB176" s="119">
        <f t="shared" si="399"/>
        <v>3.2568588492090118</v>
      </c>
      <c r="AC176" s="119">
        <f t="shared" si="399"/>
        <v>3.3281026365354593</v>
      </c>
      <c r="AD176" s="138">
        <f t="shared" si="380"/>
        <v>7.2816211584129542E-2</v>
      </c>
      <c r="AE176" s="31">
        <v>0.08</v>
      </c>
      <c r="AF176" s="127">
        <f t="shared" si="381"/>
        <v>25.503160444936604</v>
      </c>
    </row>
    <row r="177" spans="2:46" x14ac:dyDescent="0.2">
      <c r="B177" s="20" t="s">
        <v>281</v>
      </c>
      <c r="C177" s="25" t="e">
        <f>C173/C123</f>
        <v>#DIV/0!</v>
      </c>
      <c r="D177" s="25" t="e">
        <f>D173/D123</f>
        <v>#DIV/0!</v>
      </c>
      <c r="E177" s="25" t="e">
        <f>E173/E123</f>
        <v>#DIV/0!</v>
      </c>
      <c r="F177" s="25" t="e">
        <f>F173/F123</f>
        <v>#DIV/0!</v>
      </c>
      <c r="G177" s="182">
        <f t="shared" ref="G177:P177" si="400">G171/G62</f>
        <v>-0.24878048780487808</v>
      </c>
      <c r="H177" s="182">
        <f t="shared" si="400"/>
        <v>-0.66666666666666663</v>
      </c>
      <c r="I177" s="182">
        <f t="shared" si="400"/>
        <v>-1.1538461538461537</v>
      </c>
      <c r="J177" s="182">
        <f t="shared" si="400"/>
        <v>-1.1786666666666668</v>
      </c>
      <c r="K177" s="182">
        <f t="shared" si="400"/>
        <v>-0.66380952380952385</v>
      </c>
      <c r="L177" s="182">
        <f t="shared" si="400"/>
        <v>-1.1424000000000001</v>
      </c>
      <c r="M177" s="182">
        <f t="shared" si="400"/>
        <v>-3.1875000000000004</v>
      </c>
      <c r="N177" s="182">
        <f t="shared" si="400"/>
        <v>-30.099999999999998</v>
      </c>
      <c r="O177" s="182">
        <f t="shared" si="400"/>
        <v>3.883870967741935</v>
      </c>
      <c r="P177" s="182">
        <f t="shared" si="400"/>
        <v>3.080597014925373</v>
      </c>
      <c r="Q177" s="182">
        <f t="shared" ref="Q177" si="401">Q171/Q62</f>
        <v>4.107462686567164</v>
      </c>
      <c r="R177" s="118">
        <f t="shared" ref="R177:R180" si="402">((P177/G177)^(1/($H$2-$H$1) ))-1</f>
        <v>-2.3225871112236227</v>
      </c>
      <c r="S177" s="128"/>
      <c r="T177" s="135">
        <f t="shared" ref="T177:AC177" si="403">T171/T62</f>
        <v>3.1479850746268632</v>
      </c>
      <c r="U177" s="135">
        <f t="shared" si="403"/>
        <v>3.2168472481343287</v>
      </c>
      <c r="V177" s="135">
        <f t="shared" si="403"/>
        <v>3.2872157816872662</v>
      </c>
      <c r="W177" s="135">
        <f t="shared" si="403"/>
        <v>3.3591236269116767</v>
      </c>
      <c r="X177" s="135">
        <f t="shared" si="403"/>
        <v>3.4326044562503726</v>
      </c>
      <c r="Y177" s="135">
        <f t="shared" si="403"/>
        <v>3.5076926787308489</v>
      </c>
      <c r="Z177" s="135">
        <f t="shared" si="403"/>
        <v>3.5844234560780799</v>
      </c>
      <c r="AA177" s="135">
        <f t="shared" si="403"/>
        <v>3.6628327191797911</v>
      </c>
      <c r="AB177" s="135">
        <f t="shared" si="403"/>
        <v>3.7429571849118495</v>
      </c>
      <c r="AC177" s="135">
        <f t="shared" si="403"/>
        <v>3.8248343733317953</v>
      </c>
      <c r="AD177" s="138" t="e">
        <f t="shared" ref="AD177" si="404">((AC177/G177)^(1/($AC$3-$H$1) ))-1</f>
        <v>#NUM!</v>
      </c>
      <c r="AE177" s="31">
        <v>0.08</v>
      </c>
      <c r="AF177" s="127" t="e">
        <f t="shared" si="381"/>
        <v>#NUM!</v>
      </c>
    </row>
    <row r="178" spans="2:46" x14ac:dyDescent="0.2">
      <c r="B178" s="20" t="s">
        <v>370</v>
      </c>
      <c r="C178" s="161" t="e">
        <f t="shared" ref="C178:P178" si="405">C54/C171</f>
        <v>#DIV/0!</v>
      </c>
      <c r="D178" s="161" t="e">
        <f t="shared" si="405"/>
        <v>#DIV/0!</v>
      </c>
      <c r="E178" s="161" t="e">
        <f t="shared" si="405"/>
        <v>#DIV/0!</v>
      </c>
      <c r="F178" s="161" t="e">
        <f t="shared" si="405"/>
        <v>#DIV/0!</v>
      </c>
      <c r="G178" s="161">
        <f t="shared" si="405"/>
        <v>-9.8039215686274508E-2</v>
      </c>
      <c r="H178" s="161">
        <f t="shared" si="405"/>
        <v>-5.8823529411764698E-2</v>
      </c>
      <c r="I178" s="161">
        <f t="shared" si="405"/>
        <v>6.6666666666666666E-2</v>
      </c>
      <c r="J178" s="161">
        <f t="shared" si="405"/>
        <v>7.0701357466063347E-2</v>
      </c>
      <c r="K178" s="161">
        <f t="shared" si="405"/>
        <v>0.14347202295552366</v>
      </c>
      <c r="L178" s="161">
        <f t="shared" si="405"/>
        <v>0.31512605042016806</v>
      </c>
      <c r="M178" s="161">
        <f t="shared" si="405"/>
        <v>0.19607843137254902</v>
      </c>
      <c r="N178" s="161">
        <f t="shared" si="405"/>
        <v>0.19933554817275748</v>
      </c>
      <c r="O178" s="161">
        <f t="shared" si="405"/>
        <v>0.20764119601328904</v>
      </c>
      <c r="P178" s="161">
        <f t="shared" si="405"/>
        <v>0.15988372093023256</v>
      </c>
      <c r="Q178" s="161">
        <f t="shared" ref="Q178" si="406">Q54/Q171</f>
        <v>0.11991279069767442</v>
      </c>
      <c r="R178" s="118">
        <f t="shared" si="402"/>
        <v>-2.0558457860510257</v>
      </c>
      <c r="S178" s="128"/>
      <c r="T178" s="161">
        <f t="shared" ref="T178:AC178" si="407">T54/T171</f>
        <v>0.15646113363203185</v>
      </c>
      <c r="U178" s="161">
        <f t="shared" si="407"/>
        <v>0.15311181272859384</v>
      </c>
      <c r="V178" s="161">
        <f t="shared" si="407"/>
        <v>0.14983418982614685</v>
      </c>
      <c r="W178" s="161">
        <f t="shared" si="407"/>
        <v>0.14662673010509789</v>
      </c>
      <c r="X178" s="161">
        <f t="shared" si="407"/>
        <v>0.14348793160131901</v>
      </c>
      <c r="Y178" s="161">
        <f t="shared" si="407"/>
        <v>0.14041632450281982</v>
      </c>
      <c r="Z178" s="161">
        <f t="shared" si="407"/>
        <v>0.13741047046147506</v>
      </c>
      <c r="AA178" s="161">
        <f t="shared" si="407"/>
        <v>0.13446896191948629</v>
      </c>
      <c r="AB178" s="161">
        <f t="shared" si="407"/>
        <v>0.13159042145026181</v>
      </c>
      <c r="AC178" s="161">
        <f t="shared" si="407"/>
        <v>0.12877350111340605</v>
      </c>
      <c r="AD178" s="138" t="e">
        <f t="shared" ref="AD178:AD180" si="408">((AC178/G178)^(1/($AC$3-$H$1) ))-1</f>
        <v>#NUM!</v>
      </c>
      <c r="AE178" s="31">
        <v>0.08</v>
      </c>
      <c r="AF178" s="127" t="e">
        <f t="shared" si="381"/>
        <v>#NUM!</v>
      </c>
    </row>
    <row r="179" spans="2:46" x14ac:dyDescent="0.2">
      <c r="B179" s="20" t="s">
        <v>319</v>
      </c>
      <c r="C179" s="152" t="e">
        <f t="shared" ref="C179:P179" si="409">C44/C171</f>
        <v>#DIV/0!</v>
      </c>
      <c r="D179" s="152" t="e">
        <f t="shared" si="409"/>
        <v>#DIV/0!</v>
      </c>
      <c r="E179" s="152" t="e">
        <f t="shared" si="409"/>
        <v>#DIV/0!</v>
      </c>
      <c r="F179" s="152" t="e">
        <f t="shared" si="409"/>
        <v>#DIV/0!</v>
      </c>
      <c r="G179" s="152">
        <f t="shared" si="409"/>
        <v>0</v>
      </c>
      <c r="H179" s="152">
        <f t="shared" si="409"/>
        <v>0</v>
      </c>
      <c r="I179" s="152">
        <f t="shared" si="409"/>
        <v>0</v>
      </c>
      <c r="J179" s="152">
        <f t="shared" si="409"/>
        <v>0</v>
      </c>
      <c r="K179" s="152">
        <f t="shared" si="409"/>
        <v>2.4390243902439025E-2</v>
      </c>
      <c r="L179" s="152">
        <f t="shared" si="409"/>
        <v>3.5714285714285712E-2</v>
      </c>
      <c r="M179" s="152">
        <f t="shared" si="409"/>
        <v>0.02</v>
      </c>
      <c r="N179" s="152">
        <f t="shared" si="409"/>
        <v>0.02</v>
      </c>
      <c r="O179" s="152">
        <f t="shared" si="409"/>
        <v>2.2857142857142857E-2</v>
      </c>
      <c r="P179" s="152">
        <f t="shared" si="409"/>
        <v>0.02</v>
      </c>
      <c r="Q179" s="152">
        <f t="shared" ref="Q179" si="410">Q44/Q171</f>
        <v>1.8749999999999999E-2</v>
      </c>
      <c r="R179" s="118" t="e">
        <f t="shared" si="402"/>
        <v>#DIV/0!</v>
      </c>
      <c r="S179" s="128"/>
      <c r="T179" s="152">
        <f t="shared" ref="T179:AC179" si="411">T44/T171</f>
        <v>2.4082568807339451E-2</v>
      </c>
      <c r="U179" s="152">
        <f t="shared" si="411"/>
        <v>2.3198804814409561E-2</v>
      </c>
      <c r="V179" s="152">
        <f t="shared" si="411"/>
        <v>2.2347472527642232E-2</v>
      </c>
      <c r="W179" s="152">
        <f t="shared" si="411"/>
        <v>2.1527381792682886E-2</v>
      </c>
      <c r="X179" s="152">
        <f t="shared" si="411"/>
        <v>2.0737386130566082E-2</v>
      </c>
      <c r="Y179" s="152">
        <f t="shared" si="411"/>
        <v>1.997638113494898E-2</v>
      </c>
      <c r="Z179" s="152">
        <f t="shared" si="411"/>
        <v>1.924330292816186E-2</v>
      </c>
      <c r="AA179" s="152">
        <f t="shared" si="411"/>
        <v>1.8537126673917388E-2</v>
      </c>
      <c r="AB179" s="152">
        <f t="shared" si="411"/>
        <v>1.7856865144599318E-2</v>
      </c>
      <c r="AC179" s="152">
        <f t="shared" si="411"/>
        <v>1.7201567341127783E-2</v>
      </c>
      <c r="AD179" s="138" t="e">
        <f t="shared" si="408"/>
        <v>#DIV/0!</v>
      </c>
      <c r="AE179" s="31">
        <v>0.08</v>
      </c>
      <c r="AF179" s="127" t="e">
        <f t="shared" si="381"/>
        <v>#DIV/0!</v>
      </c>
    </row>
    <row r="180" spans="2:46" x14ac:dyDescent="0.2">
      <c r="B180" s="20" t="s">
        <v>446</v>
      </c>
      <c r="C180" s="181" t="e">
        <f t="shared" ref="C180:O180" si="412">(C173)/($L$2*100)</f>
        <v>#DIV/0!</v>
      </c>
      <c r="D180" s="181" t="e">
        <f t="shared" si="412"/>
        <v>#DIV/0!</v>
      </c>
      <c r="E180" s="181" t="e">
        <f t="shared" si="412"/>
        <v>#DIV/0!</v>
      </c>
      <c r="F180" s="181" t="e">
        <f t="shared" si="412"/>
        <v>#DIV/0!</v>
      </c>
      <c r="G180" s="181">
        <f t="shared" si="412"/>
        <v>-0.85000000000000009</v>
      </c>
      <c r="H180" s="181">
        <f t="shared" si="412"/>
        <v>-1.4166666666666667</v>
      </c>
      <c r="I180" s="181">
        <f t="shared" si="412"/>
        <v>1.25</v>
      </c>
      <c r="J180" s="181">
        <f t="shared" si="412"/>
        <v>1.1786666666666668</v>
      </c>
      <c r="K180" s="181">
        <f t="shared" si="412"/>
        <v>0.58083333333333342</v>
      </c>
      <c r="L180" s="181">
        <f t="shared" si="412"/>
        <v>0.26444444444444443</v>
      </c>
      <c r="M180" s="181">
        <f t="shared" si="412"/>
        <v>0.42500000000000004</v>
      </c>
      <c r="N180" s="181">
        <f t="shared" si="412"/>
        <v>0.41805555555555557</v>
      </c>
      <c r="O180" s="181">
        <f t="shared" si="412"/>
        <v>0.40133333333333332</v>
      </c>
      <c r="P180" s="181">
        <f>(P173)/($L$2*100)</f>
        <v>0.52121212121212124</v>
      </c>
      <c r="Q180" s="181">
        <f>(Q173)/($L$2*100)</f>
        <v>0.69494949494949498</v>
      </c>
      <c r="R180" s="118">
        <f t="shared" si="402"/>
        <v>-1.9471080087747523</v>
      </c>
      <c r="S180" s="128"/>
      <c r="T180" s="181">
        <f>(T173)/($L$2*100)</f>
        <v>0.53261363636363634</v>
      </c>
      <c r="U180" s="181">
        <f t="shared" ref="U180:AC180" si="413">(U173)/($L$2*100)</f>
        <v>0.54426455965909104</v>
      </c>
      <c r="V180" s="181">
        <f t="shared" si="413"/>
        <v>0.55617034690163369</v>
      </c>
      <c r="W180" s="181">
        <f t="shared" si="413"/>
        <v>0.56833657324010678</v>
      </c>
      <c r="X180" s="181">
        <f t="shared" si="413"/>
        <v>0.58076893577973421</v>
      </c>
      <c r="Y180" s="181">
        <f t="shared" si="413"/>
        <v>0.59347325624991587</v>
      </c>
      <c r="Z180" s="181">
        <f t="shared" si="413"/>
        <v>0.60645548373038283</v>
      </c>
      <c r="AA180" s="181">
        <f t="shared" si="413"/>
        <v>0.61972169743698502</v>
      </c>
      <c r="AB180" s="181">
        <f t="shared" si="413"/>
        <v>0.63327810956841901</v>
      </c>
      <c r="AC180" s="181">
        <f t="shared" si="413"/>
        <v>0.64713106821522826</v>
      </c>
      <c r="AD180" s="138" t="e">
        <f t="shared" si="408"/>
        <v>#NUM!</v>
      </c>
      <c r="AE180" s="31">
        <v>0.08</v>
      </c>
      <c r="AF180" s="181" t="e">
        <f>(AF173)/($L$2*100)</f>
        <v>#NUM!</v>
      </c>
    </row>
    <row r="181" spans="2:46" x14ac:dyDescent="0.2">
      <c r="B181" s="20" t="s">
        <v>447</v>
      </c>
      <c r="C181" s="152"/>
      <c r="D181" s="152"/>
      <c r="E181" s="152"/>
      <c r="F181" s="152"/>
      <c r="G181" s="152">
        <f t="shared" ref="G181:P181" si="414">G180-1</f>
        <v>-1.85</v>
      </c>
      <c r="H181" s="152">
        <f t="shared" si="414"/>
        <v>-2.416666666666667</v>
      </c>
      <c r="I181" s="152">
        <f t="shared" si="414"/>
        <v>0.25</v>
      </c>
      <c r="J181" s="152">
        <f t="shared" si="414"/>
        <v>0.17866666666666675</v>
      </c>
      <c r="K181" s="152">
        <f t="shared" si="414"/>
        <v>-0.41916666666666658</v>
      </c>
      <c r="L181" s="152">
        <f t="shared" si="414"/>
        <v>-0.73555555555555552</v>
      </c>
      <c r="M181" s="152">
        <f t="shared" si="414"/>
        <v>-0.57499999999999996</v>
      </c>
      <c r="N181" s="152">
        <f t="shared" si="414"/>
        <v>-0.58194444444444438</v>
      </c>
      <c r="O181" s="152">
        <f t="shared" si="414"/>
        <v>-0.59866666666666668</v>
      </c>
      <c r="P181" s="152">
        <f t="shared" si="414"/>
        <v>-0.47878787878787876</v>
      </c>
      <c r="Q181" s="152">
        <f>Q180-1</f>
        <v>-0.30505050505050502</v>
      </c>
      <c r="R181" s="128"/>
      <c r="S181" s="128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7"/>
      <c r="AE181" s="20"/>
      <c r="AF181" s="127"/>
    </row>
    <row r="182" spans="2:46" x14ac:dyDescent="0.2">
      <c r="B182" s="20"/>
      <c r="C182" s="129"/>
      <c r="D182" s="129"/>
      <c r="E182" s="129"/>
      <c r="F182" s="129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28"/>
      <c r="S182" s="128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7"/>
      <c r="AE182" s="20"/>
      <c r="AF182" s="20"/>
    </row>
    <row r="183" spans="2:46" x14ac:dyDescent="0.2">
      <c r="B183" s="108" t="s">
        <v>301</v>
      </c>
      <c r="C183" s="20"/>
      <c r="D183" s="20"/>
      <c r="E183" s="20"/>
      <c r="F183" s="20"/>
      <c r="G183" s="20"/>
      <c r="H183" s="20"/>
      <c r="I183" s="20"/>
      <c r="J183" s="20"/>
      <c r="K183" s="203" t="s">
        <v>350</v>
      </c>
      <c r="L183" s="204"/>
      <c r="M183" s="20"/>
      <c r="N183" s="20"/>
      <c r="O183" s="20"/>
      <c r="P183" s="108" t="s">
        <v>430</v>
      </c>
      <c r="Q183" s="108" t="s">
        <v>429</v>
      </c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137"/>
      <c r="AE183" s="20"/>
      <c r="AF183" s="20"/>
    </row>
    <row r="184" spans="2:46" x14ac:dyDescent="0.2">
      <c r="B184" s="20" t="s">
        <v>299</v>
      </c>
      <c r="C184" s="20" t="s">
        <v>313</v>
      </c>
      <c r="D184" s="20"/>
      <c r="E184" s="20"/>
      <c r="F184" s="20"/>
      <c r="G184" s="20"/>
      <c r="H184" s="20"/>
      <c r="I184" s="20"/>
      <c r="J184" s="20"/>
      <c r="K184" s="20" t="s">
        <v>351</v>
      </c>
      <c r="L184" s="22">
        <v>1</v>
      </c>
      <c r="M184" s="20"/>
      <c r="N184" s="20"/>
      <c r="O184" s="20"/>
      <c r="P184" s="128">
        <f>(Q171-S159)/Q171</f>
        <v>0.82231215744056707</v>
      </c>
      <c r="Q184" s="128">
        <f>(Q171-T159)/Q171</f>
        <v>0.85381836751135931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137"/>
      <c r="AE184" s="20"/>
      <c r="AF184" s="20"/>
    </row>
    <row r="185" spans="2:46" x14ac:dyDescent="0.2">
      <c r="B185" s="20" t="s">
        <v>348</v>
      </c>
      <c r="C185" s="20" t="s">
        <v>313</v>
      </c>
      <c r="D185" s="20"/>
      <c r="E185" s="20"/>
      <c r="F185" s="20"/>
      <c r="G185" s="20"/>
      <c r="H185" s="20"/>
      <c r="I185" s="20"/>
      <c r="J185" s="20"/>
      <c r="K185" s="172">
        <f>$L$184</f>
        <v>1</v>
      </c>
      <c r="L185" s="20"/>
      <c r="M185" s="128">
        <f>(P171-(K185*S150))/P171</f>
        <v>0.25813517641650918</v>
      </c>
      <c r="N185" s="20"/>
      <c r="O185" s="20"/>
      <c r="P185" s="128">
        <f>(Q171-S150)/Q171</f>
        <v>0.44360138231238189</v>
      </c>
      <c r="Q185" s="128">
        <f>(Q171-T150)/Q171</f>
        <v>0.92246904507631555</v>
      </c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137"/>
      <c r="AE185" s="20"/>
      <c r="AF185" s="20"/>
    </row>
    <row r="186" spans="2:46" x14ac:dyDescent="0.2">
      <c r="B186" s="20" t="s">
        <v>349</v>
      </c>
      <c r="C186" s="20" t="s">
        <v>313</v>
      </c>
      <c r="D186" s="20"/>
      <c r="E186" s="20"/>
      <c r="F186" s="20"/>
      <c r="G186" s="20"/>
      <c r="H186" s="20"/>
      <c r="I186" s="20"/>
      <c r="J186" s="20"/>
      <c r="K186" s="172">
        <f>$L$184</f>
        <v>1</v>
      </c>
      <c r="L186" s="20"/>
      <c r="M186" s="128">
        <f>(P171-(K186*S143))/P171</f>
        <v>-0.69410922400409047</v>
      </c>
      <c r="N186" s="20"/>
      <c r="O186" s="20"/>
      <c r="P186" s="128">
        <f>(Q171-S143)/Q171</f>
        <v>-0.27058191800306786</v>
      </c>
      <c r="Q186" s="128">
        <f>(Q171-T143)/Q171</f>
        <v>0.82295169995039219</v>
      </c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137"/>
      <c r="AE186" s="20"/>
      <c r="AF186" s="20"/>
    </row>
    <row r="187" spans="2:46" x14ac:dyDescent="0.2">
      <c r="B187" s="20" t="s">
        <v>352</v>
      </c>
      <c r="C187" s="20" t="s">
        <v>313</v>
      </c>
      <c r="D187" s="20"/>
      <c r="E187" s="20"/>
      <c r="F187" s="20"/>
      <c r="G187" s="20"/>
      <c r="H187" s="20"/>
      <c r="I187" s="20"/>
      <c r="J187" s="20"/>
      <c r="K187" s="172">
        <f>$L$184</f>
        <v>1</v>
      </c>
      <c r="L187" s="20"/>
      <c r="M187" s="128">
        <f>(P171-(K187*S156))/P171</f>
        <v>0.53106104107180696</v>
      </c>
      <c r="N187" s="20"/>
      <c r="O187" s="20"/>
      <c r="P187" s="128">
        <f>(Q171-S156)/Q171</f>
        <v>0.64829578080385519</v>
      </c>
      <c r="Q187" s="128">
        <f>(Q171-T156)/Q171</f>
        <v>0.95099203503004548</v>
      </c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137"/>
      <c r="AE187" s="20"/>
      <c r="AF187" s="20"/>
    </row>
    <row r="188" spans="2:46" x14ac:dyDescent="0.2">
      <c r="B188" s="20" t="s">
        <v>399</v>
      </c>
      <c r="C188" s="20" t="s">
        <v>313</v>
      </c>
      <c r="D188" s="20"/>
      <c r="E188" s="20"/>
      <c r="F188" s="20"/>
      <c r="G188" s="20"/>
      <c r="H188" s="20"/>
      <c r="I188" s="20"/>
      <c r="J188" s="20"/>
      <c r="K188" s="172">
        <f>$L$184</f>
        <v>1</v>
      </c>
      <c r="L188" s="20"/>
      <c r="M188" s="128">
        <f>(P171-(K188*S168))/P171</f>
        <v>-0.34363405673462755</v>
      </c>
      <c r="N188" s="20"/>
      <c r="O188" s="20"/>
      <c r="P188" s="128">
        <f>(Q171-S168)/Q171</f>
        <v>-7.7255425509706651E-3</v>
      </c>
      <c r="Q188" s="128">
        <f>(Q171-T168)/Q171</f>
        <v>0.17095642116691501</v>
      </c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137"/>
      <c r="AE188" s="20"/>
      <c r="AF188" s="20"/>
    </row>
    <row r="189" spans="2:46" x14ac:dyDescent="0.2">
      <c r="B189" s="20" t="s">
        <v>300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5">
        <f>Q171/S142</f>
        <v>3.6490080416463488</v>
      </c>
      <c r="Q189" s="25">
        <f>Q171/T142</f>
        <v>26.186998887109095</v>
      </c>
      <c r="R189" s="20"/>
      <c r="S189" s="20"/>
      <c r="T189" s="115" t="s">
        <v>11</v>
      </c>
      <c r="U189" s="115" t="s">
        <v>12</v>
      </c>
      <c r="V189" s="115" t="s">
        <v>13</v>
      </c>
      <c r="W189" s="115" t="s">
        <v>14</v>
      </c>
      <c r="X189" s="115" t="s">
        <v>15</v>
      </c>
      <c r="Y189" s="115" t="s">
        <v>234</v>
      </c>
      <c r="Z189" s="115" t="s">
        <v>235</v>
      </c>
      <c r="AA189" s="115" t="s">
        <v>236</v>
      </c>
      <c r="AB189" s="115" t="s">
        <v>237</v>
      </c>
      <c r="AC189" s="115" t="s">
        <v>238</v>
      </c>
      <c r="AD189" s="115" t="s">
        <v>407</v>
      </c>
      <c r="AE189" s="115" t="s">
        <v>408</v>
      </c>
      <c r="AF189" s="115" t="s">
        <v>409</v>
      </c>
      <c r="AG189" s="115" t="s">
        <v>410</v>
      </c>
      <c r="AH189" s="115" t="s">
        <v>411</v>
      </c>
      <c r="AI189" s="115" t="s">
        <v>412</v>
      </c>
      <c r="AJ189" s="115" t="s">
        <v>413</v>
      </c>
      <c r="AK189" s="115" t="s">
        <v>414</v>
      </c>
      <c r="AL189" s="115" t="s">
        <v>415</v>
      </c>
      <c r="AM189" s="115" t="s">
        <v>416</v>
      </c>
      <c r="AN189" s="115" t="s">
        <v>417</v>
      </c>
      <c r="AO189" s="115" t="s">
        <v>418</v>
      </c>
      <c r="AP189" s="115" t="s">
        <v>419</v>
      </c>
      <c r="AQ189" s="115" t="s">
        <v>420</v>
      </c>
      <c r="AR189" s="115" t="s">
        <v>421</v>
      </c>
      <c r="AS189" s="115" t="s">
        <v>422</v>
      </c>
      <c r="AT189" s="115" t="s">
        <v>423</v>
      </c>
    </row>
    <row r="190" spans="2:46" x14ac:dyDescent="0.2">
      <c r="B190" s="20" t="s">
        <v>370</v>
      </c>
      <c r="C190" s="20"/>
      <c r="D190" s="20"/>
      <c r="E190" s="20"/>
      <c r="F190" s="20"/>
      <c r="G190" s="189" t="s">
        <v>448</v>
      </c>
      <c r="H190" s="190"/>
      <c r="I190" s="189" t="s">
        <v>449</v>
      </c>
      <c r="J190" s="190"/>
      <c r="K190" s="20"/>
      <c r="L190" s="189" t="s">
        <v>450</v>
      </c>
      <c r="M190" s="190"/>
      <c r="N190" s="189" t="s">
        <v>451</v>
      </c>
      <c r="O190" s="190"/>
      <c r="P190" s="152">
        <f>1/P189</f>
        <v>0.27404708035360287</v>
      </c>
      <c r="Q190" s="152">
        <f>1/Q189</f>
        <v>3.8186888245993839E-2</v>
      </c>
      <c r="R190" s="20"/>
      <c r="S190" s="20"/>
      <c r="T190" s="129">
        <f>Q171-T191</f>
        <v>71.909868175600053</v>
      </c>
      <c r="U190" s="185">
        <f>T190-U191</f>
        <v>63.4152297599801</v>
      </c>
      <c r="V190" s="185">
        <f t="shared" ref="V190:X190" si="415">U190-V191</f>
        <v>54.495859423579148</v>
      </c>
      <c r="W190" s="185">
        <f t="shared" si="415"/>
        <v>45.130520570358151</v>
      </c>
      <c r="X190" s="185">
        <f t="shared" si="415"/>
        <v>35.296914774476107</v>
      </c>
      <c r="Y190" s="185">
        <f>X190-Y191</f>
        <v>24.97162868879996</v>
      </c>
      <c r="Z190" s="185">
        <f t="shared" ref="Z190:AC190" si="416">Y190-Z191</f>
        <v>14.130078298840003</v>
      </c>
      <c r="AA190" s="185">
        <f t="shared" si="416"/>
        <v>2.746450389382046</v>
      </c>
      <c r="AB190" s="185">
        <f t="shared" si="416"/>
        <v>-9.2063589155488081</v>
      </c>
      <c r="AC190" s="185">
        <f t="shared" si="416"/>
        <v>-21.756808685726206</v>
      </c>
      <c r="AD190" s="185">
        <f t="shared" ref="AD190" si="417">AC190-AD191</f>
        <v>-34.934780944412474</v>
      </c>
      <c r="AE190" s="185">
        <f t="shared" ref="AE190" si="418">AD190-AE191</f>
        <v>-48.771651816033057</v>
      </c>
      <c r="AF190" s="185">
        <f t="shared" ref="AF190" si="419">AE190-AF191</f>
        <v>-63.300366231234669</v>
      </c>
      <c r="AG190" s="185">
        <f t="shared" ref="AG190" si="420">AF190-AG191</f>
        <v>-78.555516367196361</v>
      </c>
      <c r="AH190" s="185">
        <f t="shared" ref="AH190" si="421">AG190-AH191</f>
        <v>-94.573424009956142</v>
      </c>
      <c r="AI190" s="185">
        <f t="shared" ref="AI190" si="422">AH190-AI191</f>
        <v>-111.3922270348539</v>
      </c>
      <c r="AJ190" s="185">
        <f t="shared" ref="AJ190" si="423">AI190-AJ191</f>
        <v>-129.05197021099656</v>
      </c>
      <c r="AK190" s="185">
        <f t="shared" ref="AK190" si="424">AJ190-AK191</f>
        <v>-147.59470054594635</v>
      </c>
      <c r="AL190" s="185">
        <f t="shared" ref="AL190" si="425">AK190-AL191</f>
        <v>-167.06456739764363</v>
      </c>
      <c r="AM190" s="185">
        <f t="shared" ref="AM190" si="426">AL190-AM191</f>
        <v>-187.50792759192578</v>
      </c>
      <c r="AN190" s="185">
        <f t="shared" ref="AN190" si="427">AM190-AN191</f>
        <v>-208.97345579592204</v>
      </c>
      <c r="AO190" s="185">
        <f t="shared" ref="AO190" si="428">AN190-AO191</f>
        <v>-231.5122604101181</v>
      </c>
      <c r="AP190" s="185">
        <f t="shared" ref="AP190" si="429">AO190-AP191</f>
        <v>-255.17800525502398</v>
      </c>
      <c r="AQ190" s="185">
        <f t="shared" ref="AQ190" si="430">AP190-AQ191</f>
        <v>-280.02703734217516</v>
      </c>
      <c r="AR190" s="185">
        <f t="shared" ref="AR190" si="431">AQ190-AR191</f>
        <v>-306.11852103368392</v>
      </c>
      <c r="AS190" s="185">
        <f t="shared" ref="AS190" si="432">AR190-AS191</f>
        <v>-333.51457890976809</v>
      </c>
      <c r="AT190" s="185">
        <f t="shared" ref="AT190" si="433">AS190-AT191</f>
        <v>-362.28043967965647</v>
      </c>
    </row>
    <row r="191" spans="2:46" x14ac:dyDescent="0.2">
      <c r="B191" s="20" t="s">
        <v>396</v>
      </c>
      <c r="C191" s="20"/>
      <c r="D191" s="20"/>
      <c r="E191" s="20"/>
      <c r="F191" s="20"/>
      <c r="G191" s="191">
        <v>0</v>
      </c>
      <c r="H191" s="190"/>
      <c r="I191" s="191">
        <v>0.05</v>
      </c>
      <c r="J191" s="190"/>
      <c r="K191" s="184">
        <f>P1</f>
        <v>0.05</v>
      </c>
      <c r="L191" s="191">
        <v>0.12</v>
      </c>
      <c r="M191" s="190"/>
      <c r="N191" s="191">
        <v>0.2</v>
      </c>
      <c r="O191" s="190"/>
      <c r="P191" s="181">
        <f>Q171/R141</f>
        <v>10.383019933822935</v>
      </c>
      <c r="Q191" s="181">
        <f>Q171/R141</f>
        <v>10.383019933822935</v>
      </c>
      <c r="R191" s="20"/>
      <c r="S191" s="20"/>
      <c r="T191" s="186">
        <f>R141*(1+$K$191)</f>
        <v>8.0901318243999523</v>
      </c>
      <c r="U191" s="186">
        <f>T191*(1+$K$191)</f>
        <v>8.494638415619951</v>
      </c>
      <c r="V191" s="186">
        <f t="shared" ref="V191:AC191" si="434">U191*(1+$K$191)</f>
        <v>8.9193703364009487</v>
      </c>
      <c r="W191" s="186">
        <f t="shared" si="434"/>
        <v>9.3653388532209974</v>
      </c>
      <c r="X191" s="186">
        <f t="shared" si="434"/>
        <v>9.8336057958820469</v>
      </c>
      <c r="Y191" s="186">
        <f t="shared" si="434"/>
        <v>10.325286085676149</v>
      </c>
      <c r="Z191" s="186">
        <f t="shared" si="434"/>
        <v>10.841550389959957</v>
      </c>
      <c r="AA191" s="186">
        <f t="shared" si="434"/>
        <v>11.383627909457957</v>
      </c>
      <c r="AB191" s="186">
        <f t="shared" si="434"/>
        <v>11.952809304930854</v>
      </c>
      <c r="AC191" s="186">
        <f t="shared" si="434"/>
        <v>12.550449770177398</v>
      </c>
      <c r="AD191" s="186">
        <f t="shared" ref="AD191" si="435">AC191*(1+$K$191)</f>
        <v>13.177972258686268</v>
      </c>
      <c r="AE191" s="186">
        <f t="shared" ref="AE191" si="436">AD191*(1+$K$191)</f>
        <v>13.836870871620581</v>
      </c>
      <c r="AF191" s="186">
        <f t="shared" ref="AF191" si="437">AE191*(1+$K$191)</f>
        <v>14.528714415201611</v>
      </c>
      <c r="AG191" s="186">
        <f t="shared" ref="AG191" si="438">AF191*(1+$K$191)</f>
        <v>15.255150135961692</v>
      </c>
      <c r="AH191" s="186">
        <f t="shared" ref="AH191" si="439">AG191*(1+$K$191)</f>
        <v>16.017907642759777</v>
      </c>
      <c r="AI191" s="186">
        <f t="shared" ref="AI191" si="440">AH191*(1+$K$191)</f>
        <v>16.818803024897768</v>
      </c>
      <c r="AJ191" s="186">
        <f t="shared" ref="AJ191" si="441">AI191*(1+$K$191)</f>
        <v>17.659743176142658</v>
      </c>
      <c r="AK191" s="186">
        <f t="shared" ref="AK191" si="442">AJ191*(1+$K$191)</f>
        <v>18.542730334949791</v>
      </c>
      <c r="AL191" s="186">
        <f t="shared" ref="AL191" si="443">AK191*(1+$K$191)</f>
        <v>19.469866851697283</v>
      </c>
      <c r="AM191" s="186">
        <f t="shared" ref="AM191" si="444">AL191*(1+$K$191)</f>
        <v>20.44336019428215</v>
      </c>
      <c r="AN191" s="186">
        <f t="shared" ref="AN191" si="445">AM191*(1+$K$191)</f>
        <v>21.465528203996257</v>
      </c>
      <c r="AO191" s="186">
        <f t="shared" ref="AO191" si="446">AN191*(1+$K$191)</f>
        <v>22.538804614196071</v>
      </c>
      <c r="AP191" s="186">
        <f t="shared" ref="AP191" si="447">AO191*(1+$K$191)</f>
        <v>23.665744844905877</v>
      </c>
      <c r="AQ191" s="186">
        <f t="shared" ref="AQ191" si="448">AP191*(1+$K$191)</f>
        <v>24.849032087151173</v>
      </c>
      <c r="AR191" s="186">
        <f t="shared" ref="AR191" si="449">AQ191*(1+$K$191)</f>
        <v>26.091483691508731</v>
      </c>
      <c r="AS191" s="186">
        <f t="shared" ref="AS191" si="450">AR191*(1+$K$191)</f>
        <v>27.396057876084168</v>
      </c>
      <c r="AT191" s="186">
        <f t="shared" ref="AT191" si="451">AS191*(1+$K$191)</f>
        <v>28.765860769888377</v>
      </c>
    </row>
    <row r="192" spans="2:46" x14ac:dyDescent="0.2">
      <c r="B192" s="20" t="s">
        <v>395</v>
      </c>
      <c r="C192" s="20"/>
      <c r="D192" s="20"/>
      <c r="E192" s="23" t="s">
        <v>390</v>
      </c>
      <c r="F192" s="22"/>
      <c r="G192" s="191">
        <v>0</v>
      </c>
      <c r="H192" s="192">
        <f>Q173</f>
        <v>8.3393939393939398</v>
      </c>
      <c r="I192" s="191">
        <v>0.05</v>
      </c>
      <c r="J192" s="190"/>
      <c r="K192" s="184">
        <f>P1</f>
        <v>0.05</v>
      </c>
      <c r="L192" s="191">
        <v>0.12</v>
      </c>
      <c r="M192" s="190"/>
      <c r="N192" s="191">
        <v>0.2</v>
      </c>
      <c r="O192" s="190"/>
      <c r="P192" s="181">
        <f>Q171/Q54</f>
        <v>8.3393939393939398</v>
      </c>
      <c r="Q192" s="181">
        <f>Q171/Q54</f>
        <v>8.3393939393939398</v>
      </c>
      <c r="R192" s="20"/>
      <c r="S192" s="20"/>
      <c r="T192" s="186">
        <f>Q54*(1+$K$192)</f>
        <v>10.072674418604652</v>
      </c>
      <c r="U192" s="186">
        <f>T192*(1+$K$192)</f>
        <v>10.576308139534886</v>
      </c>
      <c r="V192" s="186">
        <f t="shared" ref="V192:AC192" si="452">U192*(1+$K$192)</f>
        <v>11.105123546511631</v>
      </c>
      <c r="W192" s="186">
        <f t="shared" si="452"/>
        <v>11.660379723837213</v>
      </c>
      <c r="X192" s="186">
        <f t="shared" si="452"/>
        <v>12.243398710029075</v>
      </c>
      <c r="Y192" s="186">
        <f t="shared" si="452"/>
        <v>12.855568645530528</v>
      </c>
      <c r="Z192" s="186">
        <f t="shared" si="452"/>
        <v>13.498347077807056</v>
      </c>
      <c r="AA192" s="186">
        <f t="shared" si="452"/>
        <v>14.17326443169741</v>
      </c>
      <c r="AB192" s="186">
        <f t="shared" si="452"/>
        <v>14.881927653282281</v>
      </c>
      <c r="AC192" s="186">
        <f t="shared" si="452"/>
        <v>15.626024035946395</v>
      </c>
      <c r="AD192" s="186">
        <f t="shared" ref="AD192" si="453">AC192*(1+$K$192)</f>
        <v>16.407325237743716</v>
      </c>
      <c r="AE192" s="186">
        <f t="shared" ref="AE192" si="454">AD192*(1+$K$192)</f>
        <v>17.227691499630904</v>
      </c>
      <c r="AF192" s="186">
        <f t="shared" ref="AF192" si="455">AE192*(1+$K$192)</f>
        <v>18.08907607461245</v>
      </c>
      <c r="AG192" s="186">
        <f t="shared" ref="AG192" si="456">AF192*(1+$K$192)</f>
        <v>18.993529878343072</v>
      </c>
      <c r="AH192" s="186">
        <f t="shared" ref="AH192" si="457">AG192*(1+$K$192)</f>
        <v>19.943206372260224</v>
      </c>
      <c r="AI192" s="186">
        <f t="shared" ref="AI192" si="458">AH192*(1+$K$192)</f>
        <v>20.940366690873237</v>
      </c>
      <c r="AJ192" s="186">
        <f t="shared" ref="AJ192" si="459">AI192*(1+$K$192)</f>
        <v>21.987385025416899</v>
      </c>
      <c r="AK192" s="186">
        <f t="shared" ref="AK192" si="460">AJ192*(1+$K$192)</f>
        <v>23.086754276687746</v>
      </c>
      <c r="AL192" s="186">
        <f t="shared" ref="AL192" si="461">AK192*(1+$K$192)</f>
        <v>24.241091990522133</v>
      </c>
      <c r="AM192" s="186">
        <f t="shared" ref="AM192" si="462">AL192*(1+$K$192)</f>
        <v>25.453146590048242</v>
      </c>
      <c r="AN192" s="186">
        <f t="shared" ref="AN192" si="463">AM192*(1+$K$192)</f>
        <v>26.725803919550653</v>
      </c>
      <c r="AO192" s="186">
        <f t="shared" ref="AO192" si="464">AN192*(1+$K$192)</f>
        <v>28.062094115528186</v>
      </c>
      <c r="AP192" s="186">
        <f t="shared" ref="AP192" si="465">AO192*(1+$K$192)</f>
        <v>29.465198821304597</v>
      </c>
      <c r="AQ192" s="186">
        <f t="shared" ref="AQ192" si="466">AP192*(1+$K$192)</f>
        <v>30.938458762369827</v>
      </c>
      <c r="AR192" s="186">
        <f t="shared" ref="AR192" si="467">AQ192*(1+$K$192)</f>
        <v>32.485381700488318</v>
      </c>
      <c r="AS192" s="186">
        <f t="shared" ref="AS192" si="468">AR192*(1+$K$192)</f>
        <v>34.109650785512734</v>
      </c>
      <c r="AT192" s="186">
        <f t="shared" ref="AT192" si="469">AS192*(1+$K$192)</f>
        <v>35.81513332478837</v>
      </c>
    </row>
    <row r="193" spans="2:46" x14ac:dyDescent="0.2">
      <c r="B193" s="20"/>
      <c r="C193" s="20"/>
      <c r="D193" s="20"/>
      <c r="E193" s="23" t="s">
        <v>454</v>
      </c>
      <c r="F193" s="22"/>
      <c r="G193" s="191">
        <v>0</v>
      </c>
      <c r="H193" s="192"/>
      <c r="I193" s="191">
        <v>0.05</v>
      </c>
      <c r="J193" s="190"/>
      <c r="K193" s="190"/>
      <c r="L193" s="191">
        <v>0.12</v>
      </c>
      <c r="M193" s="190"/>
      <c r="N193" s="191">
        <v>0.2</v>
      </c>
      <c r="O193" s="20"/>
      <c r="P193" s="20"/>
      <c r="Q193" s="20"/>
      <c r="R193" s="20"/>
      <c r="S193" s="20"/>
      <c r="T193" s="129">
        <f>Q171-T192</f>
        <v>69.927325581395351</v>
      </c>
      <c r="U193" s="185">
        <f>T193-U192</f>
        <v>59.351017441860463</v>
      </c>
      <c r="V193" s="185">
        <f t="shared" ref="V193:AA193" si="470">U193-V192</f>
        <v>48.245893895348829</v>
      </c>
      <c r="W193" s="185">
        <f t="shared" si="470"/>
        <v>36.585514171511619</v>
      </c>
      <c r="X193" s="185">
        <f t="shared" si="470"/>
        <v>24.342115461482543</v>
      </c>
      <c r="Y193" s="185">
        <f t="shared" si="470"/>
        <v>11.486546815952014</v>
      </c>
      <c r="Z193" s="185">
        <f t="shared" si="470"/>
        <v>-2.0118002618550417</v>
      </c>
      <c r="AA193" s="185">
        <f t="shared" si="470"/>
        <v>-16.185064693552452</v>
      </c>
      <c r="AB193" s="185">
        <f>AA193-AB192</f>
        <v>-31.066992346834731</v>
      </c>
      <c r="AC193" s="185">
        <f t="shared" ref="AC193" si="471">AB193-AC192</f>
        <v>-46.693016382781124</v>
      </c>
      <c r="AD193" s="185">
        <f t="shared" ref="AD193" si="472">AC193-AD192</f>
        <v>-63.100341620524844</v>
      </c>
      <c r="AE193" s="185">
        <f t="shared" ref="AE193" si="473">AD193-AE192</f>
        <v>-80.328033120155752</v>
      </c>
      <c r="AF193" s="185">
        <f t="shared" ref="AF193" si="474">AE193-AF192</f>
        <v>-98.417109194768202</v>
      </c>
      <c r="AG193" s="185">
        <f t="shared" ref="AG193" si="475">AF193-AG192</f>
        <v>-117.41063907311127</v>
      </c>
      <c r="AH193" s="185">
        <f t="shared" ref="AH193" si="476">AG193-AH192</f>
        <v>-137.35384544537149</v>
      </c>
      <c r="AI193" s="185">
        <f t="shared" ref="AI193" si="477">AH193-AI192</f>
        <v>-158.29421213624474</v>
      </c>
      <c r="AJ193" s="185">
        <f t="shared" ref="AJ193" si="478">AI193-AJ192</f>
        <v>-180.28159716166164</v>
      </c>
      <c r="AK193" s="185">
        <f t="shared" ref="AK193" si="479">AJ193-AK192</f>
        <v>-203.36835143834938</v>
      </c>
      <c r="AL193" s="185">
        <f t="shared" ref="AL193" si="480">AK193-AL192</f>
        <v>-227.60944342887151</v>
      </c>
      <c r="AM193" s="185">
        <f t="shared" ref="AM193" si="481">AL193-AM192</f>
        <v>-253.06259001891976</v>
      </c>
      <c r="AN193" s="185">
        <f t="shared" ref="AN193" si="482">AM193-AN192</f>
        <v>-279.78839393847039</v>
      </c>
      <c r="AO193" s="185">
        <f t="shared" ref="AO193" si="483">AN193-AO192</f>
        <v>-307.85048805399856</v>
      </c>
      <c r="AP193" s="185">
        <f t="shared" ref="AP193" si="484">AO193-AP192</f>
        <v>-337.31568687530319</v>
      </c>
      <c r="AQ193" s="185">
        <f t="shared" ref="AQ193" si="485">AP193-AQ192</f>
        <v>-368.25414563767299</v>
      </c>
      <c r="AR193" s="185">
        <f t="shared" ref="AR193" si="486">AQ193-AR192</f>
        <v>-400.73952733816134</v>
      </c>
      <c r="AS193" s="185">
        <f t="shared" ref="AS193" si="487">AR193-AS192</f>
        <v>-434.84917812367405</v>
      </c>
      <c r="AT193" s="185">
        <f t="shared" ref="AT193" si="488">AS193-AT192</f>
        <v>-470.6643114484624</v>
      </c>
    </row>
    <row r="194" spans="2:46" x14ac:dyDescent="0.2">
      <c r="B194" s="108" t="s">
        <v>302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</row>
    <row r="195" spans="2:46" x14ac:dyDescent="0.2">
      <c r="B195" s="20" t="s">
        <v>305</v>
      </c>
      <c r="C195" s="25" t="e">
        <f t="shared" ref="C195:P195" si="489">C10/C7</f>
        <v>#DIV/0!</v>
      </c>
      <c r="D195" s="25" t="e">
        <f t="shared" si="489"/>
        <v>#DIV/0!</v>
      </c>
      <c r="E195" s="25" t="e">
        <f t="shared" si="489"/>
        <v>#DIV/0!</v>
      </c>
      <c r="F195" s="25" t="e">
        <f t="shared" si="489"/>
        <v>#DIV/0!</v>
      </c>
      <c r="G195" s="25">
        <f t="shared" si="489"/>
        <v>2.6666666666666665</v>
      </c>
      <c r="H195" s="25">
        <f t="shared" si="489"/>
        <v>2.5833333333333335</v>
      </c>
      <c r="I195" s="25">
        <f t="shared" si="489"/>
        <v>2.3461538461538463</v>
      </c>
      <c r="J195" s="25">
        <f t="shared" si="489"/>
        <v>2.2407407407407409</v>
      </c>
      <c r="K195" s="25">
        <f t="shared" si="489"/>
        <v>2.5087719298245612</v>
      </c>
      <c r="L195" s="25">
        <f t="shared" si="489"/>
        <v>2</v>
      </c>
      <c r="M195" s="25">
        <f t="shared" si="489"/>
        <v>1.9518072289156627</v>
      </c>
      <c r="N195" s="25">
        <f t="shared" si="489"/>
        <v>1.875</v>
      </c>
      <c r="O195" s="25">
        <f t="shared" si="489"/>
        <v>1.1904761904761905</v>
      </c>
      <c r="P195" s="25">
        <f t="shared" si="489"/>
        <v>0.92810457516339873</v>
      </c>
      <c r="Q195" s="25">
        <f t="shared" ref="Q195" si="490">Q10/Q7</f>
        <v>0.92810457516339873</v>
      </c>
      <c r="R195" s="118">
        <f t="shared" ref="R195:R197" si="491">((P195/G195)^(1/($H$2-$H$1) ))-1</f>
        <v>-0.11065596211888051</v>
      </c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</row>
    <row r="196" spans="2:46" x14ac:dyDescent="0.2">
      <c r="B196" s="20" t="s">
        <v>306</v>
      </c>
      <c r="C196" s="112" t="e">
        <f>C10/C12</f>
        <v>#DIV/0!</v>
      </c>
      <c r="D196" s="112" t="e">
        <f>D10/D12</f>
        <v>#DIV/0!</v>
      </c>
      <c r="E196" s="112" t="e">
        <f>E10/E12</f>
        <v>#DIV/0!</v>
      </c>
      <c r="F196" s="112" t="e">
        <f>F10/F12</f>
        <v>#DIV/0!</v>
      </c>
      <c r="G196" s="112">
        <f>G10/G12</f>
        <v>1.7349397590361446</v>
      </c>
      <c r="H196" s="112">
        <f t="shared" ref="H196:P196" si="492">H10/H12</f>
        <v>41.333333333333336</v>
      </c>
      <c r="I196" s="112">
        <f t="shared" si="492"/>
        <v>24.4</v>
      </c>
      <c r="J196" s="112">
        <f t="shared" si="492"/>
        <v>20.166666666666668</v>
      </c>
      <c r="K196" s="112">
        <f t="shared" si="492"/>
        <v>13</v>
      </c>
      <c r="L196" s="112">
        <f t="shared" si="492"/>
        <v>11.818181818181818</v>
      </c>
      <c r="M196" s="112">
        <f t="shared" si="492"/>
        <v>10.8</v>
      </c>
      <c r="N196" s="112">
        <f t="shared" si="492"/>
        <v>13</v>
      </c>
      <c r="O196" s="112">
        <f t="shared" si="492"/>
        <v>6.8181818181818183</v>
      </c>
      <c r="P196" s="112">
        <f t="shared" si="492"/>
        <v>5.4615384615384617</v>
      </c>
      <c r="Q196" s="112">
        <f t="shared" ref="Q196" si="493">Q10/Q12</f>
        <v>5.4615384615384617</v>
      </c>
      <c r="R196" s="118">
        <f t="shared" si="491"/>
        <v>0.13589119472705247</v>
      </c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</row>
    <row r="197" spans="2:46" x14ac:dyDescent="0.2">
      <c r="B197" s="20" t="s">
        <v>307</v>
      </c>
      <c r="C197" s="25" t="e">
        <f>C10/(C12+C13)</f>
        <v>#DIV/0!</v>
      </c>
      <c r="D197" s="25" t="e">
        <f>D10/(D12+D13)</f>
        <v>#DIV/0!</v>
      </c>
      <c r="E197" s="25" t="e">
        <f>E10/(E12+E13)</f>
        <v>#DIV/0!</v>
      </c>
      <c r="F197" s="25" t="e">
        <f>F10/(F12+F13)</f>
        <v>#DIV/0!</v>
      </c>
      <c r="G197" s="25">
        <f>G10/(G12+G13)</f>
        <v>1.7151024297284423</v>
      </c>
      <c r="H197" s="25">
        <f t="shared" ref="H197:P197" si="494">H10/(H12+H13)</f>
        <v>33.513513513513509</v>
      </c>
      <c r="I197" s="25">
        <f t="shared" si="494"/>
        <v>21.785714285714288</v>
      </c>
      <c r="J197" s="25">
        <f t="shared" si="494"/>
        <v>18.333333333333336</v>
      </c>
      <c r="K197" s="25">
        <f t="shared" si="494"/>
        <v>12.327586206896552</v>
      </c>
      <c r="L197" s="25">
        <f t="shared" si="494"/>
        <v>11.453744493392071</v>
      </c>
      <c r="M197" s="25">
        <f t="shared" si="494"/>
        <v>10.125</v>
      </c>
      <c r="N197" s="25">
        <f t="shared" si="494"/>
        <v>12.264150943396226</v>
      </c>
      <c r="O197" s="25">
        <f t="shared" si="494"/>
        <v>5.5555555555555554</v>
      </c>
      <c r="P197" s="25">
        <f t="shared" si="494"/>
        <v>4.0922190201729105</v>
      </c>
      <c r="Q197" s="25">
        <f t="shared" ref="Q197" si="495">Q10/(Q12+Q13)</f>
        <v>4.0922190201729105</v>
      </c>
      <c r="R197" s="118">
        <f t="shared" si="491"/>
        <v>0.10144597650504594</v>
      </c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</row>
    <row r="198" spans="2:46" x14ac:dyDescent="0.2"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</row>
    <row r="199" spans="2:46" x14ac:dyDescent="0.2"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</row>
    <row r="200" spans="2:46" x14ac:dyDescent="0.2">
      <c r="B200" s="20"/>
      <c r="C200" s="174" t="s">
        <v>376</v>
      </c>
      <c r="D200" s="175"/>
      <c r="E200" s="175"/>
      <c r="F200" s="175"/>
      <c r="G200" s="175"/>
      <c r="H200" s="175"/>
      <c r="I200" s="175"/>
      <c r="J200" s="175"/>
      <c r="K200" s="20"/>
      <c r="L200" s="200" t="s">
        <v>336</v>
      </c>
      <c r="M200" s="201"/>
      <c r="N200" s="202"/>
      <c r="O200" s="23" t="s">
        <v>339</v>
      </c>
      <c r="P200" s="20"/>
      <c r="Q200" s="137"/>
      <c r="R200" s="200" t="s">
        <v>337</v>
      </c>
      <c r="S200" s="201"/>
      <c r="T200" s="202"/>
      <c r="U200" s="23" t="s">
        <v>339</v>
      </c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</row>
    <row r="201" spans="2:46" x14ac:dyDescent="0.2">
      <c r="B201" s="20"/>
      <c r="C201" s="166" t="s">
        <v>338</v>
      </c>
      <c r="D201" s="166" t="s">
        <v>0</v>
      </c>
      <c r="E201" s="166" t="s">
        <v>377</v>
      </c>
      <c r="F201" s="166" t="s">
        <v>378</v>
      </c>
      <c r="G201" s="166" t="s">
        <v>379</v>
      </c>
      <c r="H201" s="166" t="s">
        <v>380</v>
      </c>
      <c r="I201" s="166" t="s">
        <v>381</v>
      </c>
      <c r="J201" s="166" t="s">
        <v>382</v>
      </c>
      <c r="K201" s="20"/>
      <c r="L201" s="166" t="s">
        <v>338</v>
      </c>
      <c r="M201" s="166"/>
      <c r="N201" s="166" t="s">
        <v>0</v>
      </c>
      <c r="O201" s="166" t="s">
        <v>371</v>
      </c>
      <c r="P201" s="20"/>
      <c r="Q201" s="20"/>
      <c r="R201" s="166" t="s">
        <v>338</v>
      </c>
      <c r="S201" s="166"/>
      <c r="T201" s="166" t="s">
        <v>0</v>
      </c>
      <c r="U201" s="166" t="s">
        <v>371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</row>
    <row r="202" spans="2:46" x14ac:dyDescent="0.2">
      <c r="B202" s="20"/>
      <c r="C202" s="167" t="s">
        <v>340</v>
      </c>
      <c r="D202" s="21">
        <v>30</v>
      </c>
      <c r="E202" s="176" t="s">
        <v>383</v>
      </c>
      <c r="F202" s="22">
        <v>0</v>
      </c>
      <c r="G202" s="22">
        <v>1</v>
      </c>
      <c r="H202" s="167">
        <f>F202/G202</f>
        <v>0</v>
      </c>
      <c r="I202" s="167">
        <f>H202*D203</f>
        <v>0</v>
      </c>
      <c r="J202" s="177">
        <f>I202+D203</f>
        <v>1</v>
      </c>
      <c r="K202" s="20"/>
      <c r="L202" s="167" t="s">
        <v>340</v>
      </c>
      <c r="M202" s="167"/>
      <c r="N202" s="21">
        <v>7</v>
      </c>
      <c r="O202" s="173">
        <f>N202</f>
        <v>7</v>
      </c>
      <c r="P202" s="20"/>
      <c r="Q202" s="20"/>
      <c r="R202" s="167" t="s">
        <v>340</v>
      </c>
      <c r="S202" s="167"/>
      <c r="T202" s="21">
        <v>1</v>
      </c>
      <c r="U202" s="173">
        <f>T202</f>
        <v>1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</row>
    <row r="203" spans="2:46" x14ac:dyDescent="0.2">
      <c r="B203" s="20"/>
      <c r="C203" s="167" t="s">
        <v>341</v>
      </c>
      <c r="D203" s="21">
        <v>1</v>
      </c>
      <c r="E203" s="176" t="s">
        <v>384</v>
      </c>
      <c r="F203" s="22">
        <v>0</v>
      </c>
      <c r="G203" s="22">
        <v>1</v>
      </c>
      <c r="H203" s="167">
        <f>F203/G203</f>
        <v>0</v>
      </c>
      <c r="I203" s="167">
        <f>H203*J202</f>
        <v>0</v>
      </c>
      <c r="J203" s="167">
        <f>I203+J202</f>
        <v>1</v>
      </c>
      <c r="K203" s="20"/>
      <c r="L203" s="167" t="s">
        <v>341</v>
      </c>
      <c r="M203" s="167"/>
      <c r="N203" s="21">
        <v>1</v>
      </c>
      <c r="O203" s="173">
        <f>N203</f>
        <v>1</v>
      </c>
      <c r="P203" s="20"/>
      <c r="Q203" s="20"/>
      <c r="R203" s="167" t="s">
        <v>341</v>
      </c>
      <c r="S203" s="167"/>
      <c r="T203" s="21">
        <v>1</v>
      </c>
      <c r="U203" s="173">
        <f>T203</f>
        <v>1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</row>
    <row r="204" spans="2:46" x14ac:dyDescent="0.2">
      <c r="B204" s="20"/>
      <c r="C204" s="167" t="s">
        <v>343</v>
      </c>
      <c r="D204" s="168">
        <f>D202*D203</f>
        <v>30</v>
      </c>
      <c r="E204" s="176" t="s">
        <v>397</v>
      </c>
      <c r="F204" s="22">
        <v>0</v>
      </c>
      <c r="G204" s="22">
        <v>1</v>
      </c>
      <c r="H204" s="167">
        <f>F204/G204</f>
        <v>0</v>
      </c>
      <c r="I204" s="167">
        <f>H204*J203</f>
        <v>0</v>
      </c>
      <c r="J204" s="167">
        <f>I204+J203</f>
        <v>1</v>
      </c>
      <c r="K204" s="20"/>
      <c r="L204" s="167" t="s">
        <v>342</v>
      </c>
      <c r="M204" s="167"/>
      <c r="N204" s="168">
        <f>N202*N203</f>
        <v>7</v>
      </c>
      <c r="O204" s="173">
        <f>N204</f>
        <v>7</v>
      </c>
      <c r="P204" s="20"/>
      <c r="Q204" s="20"/>
      <c r="R204" s="167" t="s">
        <v>343</v>
      </c>
      <c r="S204" s="167"/>
      <c r="T204" s="168">
        <f>T202*T203</f>
        <v>1</v>
      </c>
      <c r="U204" s="173">
        <f>T204</f>
        <v>1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</row>
    <row r="205" spans="2:46" x14ac:dyDescent="0.2">
      <c r="B205" s="20"/>
      <c r="C205" s="167"/>
      <c r="D205" s="168"/>
      <c r="E205" s="176" t="s">
        <v>385</v>
      </c>
      <c r="F205" s="22">
        <v>10</v>
      </c>
      <c r="G205" s="22">
        <v>2</v>
      </c>
      <c r="H205" s="167">
        <f>F205/G205</f>
        <v>5</v>
      </c>
      <c r="I205" s="167">
        <f>H205*J204</f>
        <v>5</v>
      </c>
      <c r="J205" s="167">
        <f>I205</f>
        <v>5</v>
      </c>
      <c r="K205" s="20"/>
      <c r="L205" s="167" t="s">
        <v>344</v>
      </c>
      <c r="M205" s="167"/>
      <c r="N205" s="21">
        <v>240</v>
      </c>
      <c r="O205" s="21">
        <v>295</v>
      </c>
      <c r="P205" s="20"/>
      <c r="Q205" s="20"/>
      <c r="R205" s="167" t="s">
        <v>344</v>
      </c>
      <c r="S205" s="167"/>
      <c r="T205" s="21">
        <v>1</v>
      </c>
      <c r="U205" s="21">
        <v>1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</row>
    <row r="206" spans="2:46" x14ac:dyDescent="0.2">
      <c r="B206" s="20"/>
      <c r="C206" s="167" t="s">
        <v>344</v>
      </c>
      <c r="D206" s="21">
        <v>240</v>
      </c>
      <c r="E206" s="176"/>
      <c r="F206" s="167"/>
      <c r="G206" s="167"/>
      <c r="H206" s="169" t="s">
        <v>386</v>
      </c>
      <c r="I206" s="167"/>
      <c r="J206" s="167">
        <f>J205</f>
        <v>5</v>
      </c>
      <c r="K206" s="20"/>
      <c r="L206" s="167" t="s">
        <v>345</v>
      </c>
      <c r="M206" s="167"/>
      <c r="N206" s="168">
        <f>N205*N203</f>
        <v>240</v>
      </c>
      <c r="O206" s="168">
        <f>O205*O203</f>
        <v>295</v>
      </c>
      <c r="P206" s="20"/>
      <c r="Q206" s="20"/>
      <c r="R206" s="167" t="s">
        <v>341</v>
      </c>
      <c r="S206" s="167"/>
      <c r="T206" s="21">
        <v>1</v>
      </c>
      <c r="U206" s="127">
        <f>T206</f>
        <v>1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</row>
    <row r="207" spans="2:46" x14ac:dyDescent="0.2">
      <c r="B207" s="20"/>
      <c r="C207" s="167" t="s">
        <v>341</v>
      </c>
      <c r="D207" s="21">
        <v>5</v>
      </c>
      <c r="E207" s="176" t="s">
        <v>385</v>
      </c>
      <c r="F207" s="22">
        <v>10</v>
      </c>
      <c r="G207" s="22">
        <v>2</v>
      </c>
      <c r="H207" s="167">
        <f>F207/G207</f>
        <v>5</v>
      </c>
      <c r="I207" s="177">
        <f>H207*D203</f>
        <v>5</v>
      </c>
      <c r="J207" s="177">
        <f>I207</f>
        <v>5</v>
      </c>
      <c r="K207" s="20"/>
      <c r="L207" s="167"/>
      <c r="M207" s="167"/>
      <c r="N207" s="168"/>
      <c r="O207" s="168"/>
      <c r="P207" s="20"/>
      <c r="Q207" s="20"/>
      <c r="R207" s="167" t="s">
        <v>343</v>
      </c>
      <c r="S207" s="167"/>
      <c r="T207" s="168">
        <f>T206*T205</f>
        <v>1</v>
      </c>
      <c r="U207" s="168">
        <f>U206*U205</f>
        <v>1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</row>
    <row r="208" spans="2:46" x14ac:dyDescent="0.2">
      <c r="B208" s="20"/>
      <c r="C208" s="167" t="s">
        <v>343</v>
      </c>
      <c r="D208" s="168">
        <f>D207*D206</f>
        <v>1200</v>
      </c>
      <c r="E208" s="167"/>
      <c r="F208" s="167"/>
      <c r="G208" s="167"/>
      <c r="H208" s="169" t="s">
        <v>386</v>
      </c>
      <c r="I208" s="167"/>
      <c r="J208" s="167">
        <f>J207</f>
        <v>5</v>
      </c>
      <c r="K208" s="20"/>
      <c r="L208" s="167"/>
      <c r="M208" s="167"/>
      <c r="N208" s="168"/>
      <c r="O208" s="168"/>
      <c r="P208" s="20"/>
      <c r="Q208" s="20"/>
      <c r="R208" s="167"/>
      <c r="S208" s="167"/>
      <c r="T208" s="168"/>
      <c r="U208" s="168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</row>
    <row r="209" spans="2:32" x14ac:dyDescent="0.2">
      <c r="B209" s="20"/>
      <c r="C209" s="167"/>
      <c r="D209" s="168"/>
      <c r="E209" s="176" t="s">
        <v>385</v>
      </c>
      <c r="F209" s="22">
        <v>10</v>
      </c>
      <c r="G209" s="22">
        <v>2</v>
      </c>
      <c r="H209" s="167">
        <f>F209/G209</f>
        <v>5</v>
      </c>
      <c r="I209" s="167">
        <f>H209*J208</f>
        <v>25</v>
      </c>
      <c r="J209" s="167">
        <f>I209</f>
        <v>25</v>
      </c>
      <c r="K209" s="20"/>
      <c r="L209" s="169" t="s">
        <v>346</v>
      </c>
      <c r="M209" s="169"/>
      <c r="N209" s="170">
        <f>N206/N204</f>
        <v>34.285714285714285</v>
      </c>
      <c r="O209" s="170">
        <f>O206/O204</f>
        <v>42.142857142857146</v>
      </c>
      <c r="P209" s="20"/>
      <c r="Q209" s="20"/>
      <c r="R209" s="169" t="s">
        <v>346</v>
      </c>
      <c r="S209" s="169"/>
      <c r="T209" s="170">
        <f>T207/T204</f>
        <v>1</v>
      </c>
      <c r="U209" s="170">
        <f>U207/U204</f>
        <v>1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</row>
    <row r="210" spans="2:32" x14ac:dyDescent="0.2">
      <c r="B210" s="20"/>
      <c r="C210" s="169" t="s">
        <v>346</v>
      </c>
      <c r="D210" s="170">
        <f>D208/D204</f>
        <v>40</v>
      </c>
      <c r="E210" s="176"/>
      <c r="F210" s="167"/>
      <c r="G210" s="167"/>
      <c r="H210" s="169" t="s">
        <v>386</v>
      </c>
      <c r="I210" s="167"/>
      <c r="J210" s="167">
        <f>J209</f>
        <v>25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</row>
    <row r="211" spans="2:32" x14ac:dyDescent="0.2"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</row>
    <row r="212" spans="2:32" x14ac:dyDescent="0.2">
      <c r="B212" s="20"/>
      <c r="C212" s="20"/>
      <c r="D212" s="137"/>
      <c r="E212" s="178"/>
      <c r="F212" s="178"/>
      <c r="G212" s="179"/>
      <c r="H212" s="20"/>
      <c r="I212" s="137"/>
      <c r="J212" s="178"/>
      <c r="K212" s="179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</row>
    <row r="213" spans="2:32" ht="14.25" x14ac:dyDescent="0.2">
      <c r="B213" s="20"/>
      <c r="C213" s="20"/>
      <c r="D213" s="193" t="s">
        <v>27</v>
      </c>
      <c r="E213" s="194"/>
      <c r="F213" s="194"/>
      <c r="G213" s="195"/>
      <c r="H213" s="20"/>
      <c r="I213" s="193" t="s">
        <v>392</v>
      </c>
      <c r="J213" s="194"/>
      <c r="K213" s="195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</row>
    <row r="214" spans="2:32" x14ac:dyDescent="0.2">
      <c r="B214" s="20"/>
      <c r="C214" s="20"/>
      <c r="D214" s="20" t="s">
        <v>28</v>
      </c>
      <c r="E214" s="127"/>
      <c r="F214" s="127"/>
      <c r="G214" s="21">
        <f>D204</f>
        <v>30</v>
      </c>
      <c r="H214" s="20"/>
      <c r="I214" s="20" t="s">
        <v>28</v>
      </c>
      <c r="J214" s="127"/>
      <c r="K214" s="21">
        <f>G214</f>
        <v>30</v>
      </c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</row>
    <row r="215" spans="2:32" x14ac:dyDescent="0.2">
      <c r="B215" s="20"/>
      <c r="C215" s="20"/>
      <c r="D215" s="20" t="s">
        <v>29</v>
      </c>
      <c r="E215" s="127"/>
      <c r="F215" s="127"/>
      <c r="G215" s="21">
        <f>D208</f>
        <v>1200</v>
      </c>
      <c r="H215" s="20"/>
      <c r="I215" s="20" t="s">
        <v>29</v>
      </c>
      <c r="J215" s="20"/>
      <c r="K215" s="21">
        <f>G215</f>
        <v>1200</v>
      </c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</row>
    <row r="216" spans="2:32" x14ac:dyDescent="0.2">
      <c r="B216" s="20"/>
      <c r="C216" s="20"/>
      <c r="D216" s="20" t="s">
        <v>30</v>
      </c>
      <c r="E216" s="20"/>
      <c r="F216" s="20"/>
      <c r="G216" s="22">
        <v>10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</row>
    <row r="217" spans="2:32" x14ac:dyDescent="0.2">
      <c r="B217" s="20"/>
      <c r="C217" s="20"/>
      <c r="D217" s="23" t="s">
        <v>31</v>
      </c>
      <c r="E217" s="3"/>
      <c r="F217" s="3"/>
      <c r="G217" s="3">
        <f>((G215/G214)^(1/G216))-1</f>
        <v>0.44612554959192474</v>
      </c>
      <c r="H217" s="20"/>
      <c r="I217" s="23" t="s">
        <v>393</v>
      </c>
      <c r="J217" s="23"/>
      <c r="K217" s="217">
        <f>(K215-K214)/K214</f>
        <v>39</v>
      </c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</row>
    <row r="218" spans="2:32" x14ac:dyDescent="0.2">
      <c r="B218" s="20"/>
      <c r="C218" s="20"/>
      <c r="D218" s="23" t="s">
        <v>32</v>
      </c>
      <c r="E218" s="165"/>
      <c r="F218" s="165"/>
      <c r="G218" s="24">
        <f>G216*12</f>
        <v>120</v>
      </c>
      <c r="H218" s="20"/>
      <c r="I218" s="23" t="s">
        <v>394</v>
      </c>
      <c r="J218" s="23"/>
      <c r="K218" s="23">
        <f>K215/K214</f>
        <v>40</v>
      </c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</row>
    <row r="219" spans="2:32" x14ac:dyDescent="0.2">
      <c r="B219" s="20"/>
      <c r="C219" s="20"/>
      <c r="D219" s="20" t="s">
        <v>30</v>
      </c>
      <c r="E219" s="25"/>
      <c r="F219" s="25"/>
      <c r="G219" s="25">
        <f>G218/12</f>
        <v>10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</row>
    <row r="220" spans="2:32" x14ac:dyDescent="0.2">
      <c r="B220" s="20"/>
      <c r="C220" s="20"/>
      <c r="D220" s="23" t="s">
        <v>33</v>
      </c>
      <c r="E220" s="3"/>
      <c r="F220" s="3"/>
      <c r="G220" s="3">
        <f>((G215/G214)^(1/G219))-1</f>
        <v>0.44612554959192474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</row>
    <row r="221" spans="2:32" x14ac:dyDescent="0.2"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</row>
    <row r="222" spans="2:32" x14ac:dyDescent="0.2">
      <c r="C222" s="20"/>
      <c r="D222" s="20"/>
      <c r="E222" s="20"/>
      <c r="F222" s="20"/>
      <c r="G222" s="20"/>
      <c r="H222" s="20"/>
      <c r="I222" s="20"/>
      <c r="J222" s="20"/>
      <c r="K222" s="20"/>
    </row>
  </sheetData>
  <mergeCells count="7">
    <mergeCell ref="D213:G213"/>
    <mergeCell ref="I213:K213"/>
    <mergeCell ref="AE2:AF2"/>
    <mergeCell ref="AE3:AF3"/>
    <mergeCell ref="L200:N200"/>
    <mergeCell ref="R200:T200"/>
    <mergeCell ref="K183:L183"/>
  </mergeCells>
  <pageMargins left="0.7" right="0.7" top="0.75" bottom="0.75" header="0.3" footer="0.3"/>
  <pageSetup orientation="portrait" r:id="rId1"/>
  <ignoredErrors>
    <ignoredError sqref="C173" evalError="1"/>
    <ignoredError sqref="U31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A5" zoomScale="80" zoomScaleNormal="80" workbookViewId="0">
      <selection activeCell="F26" sqref="F26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205" t="s">
        <v>27</v>
      </c>
      <c r="K5" s="205"/>
      <c r="M5" s="205" t="s">
        <v>65</v>
      </c>
      <c r="N5" s="205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205" t="s">
        <v>36</v>
      </c>
      <c r="K14" s="205"/>
      <c r="L14" s="205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205" t="s">
        <v>27</v>
      </c>
      <c r="S5" s="205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205" t="s">
        <v>36</v>
      </c>
      <c r="S14" s="205"/>
      <c r="T14" s="205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205" t="s">
        <v>27</v>
      </c>
      <c r="C2" s="205"/>
      <c r="E2" s="205" t="s">
        <v>65</v>
      </c>
      <c r="F2" s="205"/>
      <c r="H2" s="209" t="s">
        <v>36</v>
      </c>
      <c r="I2" s="210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206" t="s">
        <v>68</v>
      </c>
      <c r="E10" s="207"/>
      <c r="F10" s="207"/>
      <c r="G10" s="207"/>
      <c r="H10" s="208"/>
      <c r="I10" s="206" t="s">
        <v>72</v>
      </c>
      <c r="J10" s="207"/>
      <c r="K10" s="207"/>
      <c r="L10" s="208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workbookViewId="0">
      <selection activeCell="D19" sqref="D19"/>
    </sheetView>
  </sheetViews>
  <sheetFormatPr defaultRowHeight="14.25" x14ac:dyDescent="0.2"/>
  <cols>
    <col min="1" max="1" width="9.140625" style="187"/>
    <col min="2" max="2" width="16.5703125" style="187" customWidth="1"/>
    <col min="3" max="3" width="39.7109375" style="187" customWidth="1"/>
    <col min="4" max="5" width="9.140625" style="187"/>
    <col min="6" max="6" width="19" style="187" bestFit="1" customWidth="1"/>
    <col min="7" max="7" width="49" style="187" customWidth="1"/>
    <col min="8" max="16384" width="9.140625" style="187"/>
  </cols>
  <sheetData>
    <row r="3" spans="2:7" x14ac:dyDescent="0.2">
      <c r="B3" s="211" t="s">
        <v>431</v>
      </c>
      <c r="C3" s="212"/>
      <c r="F3" s="211" t="s">
        <v>432</v>
      </c>
      <c r="G3" s="212"/>
    </row>
    <row r="4" spans="2:7" x14ac:dyDescent="0.2">
      <c r="B4" s="188" t="s">
        <v>433</v>
      </c>
      <c r="C4" s="188"/>
      <c r="F4" s="188" t="s">
        <v>434</v>
      </c>
      <c r="G4" s="188"/>
    </row>
    <row r="5" spans="2:7" x14ac:dyDescent="0.2">
      <c r="B5" s="188" t="s">
        <v>435</v>
      </c>
      <c r="C5" s="188"/>
      <c r="F5" s="188" t="s">
        <v>292</v>
      </c>
      <c r="G5" s="188"/>
    </row>
    <row r="6" spans="2:7" x14ac:dyDescent="0.2">
      <c r="B6" s="188" t="s">
        <v>436</v>
      </c>
      <c r="C6" s="188"/>
      <c r="F6" s="188" t="s">
        <v>437</v>
      </c>
      <c r="G6" s="188"/>
    </row>
    <row r="7" spans="2:7" x14ac:dyDescent="0.2">
      <c r="B7" s="188" t="s">
        <v>438</v>
      </c>
      <c r="C7" s="188"/>
      <c r="F7" s="188" t="s">
        <v>439</v>
      </c>
      <c r="G7" s="188"/>
    </row>
    <row r="8" spans="2:7" x14ac:dyDescent="0.2">
      <c r="B8" s="188" t="s">
        <v>440</v>
      </c>
      <c r="C8" s="188"/>
      <c r="F8" s="188" t="s">
        <v>441</v>
      </c>
      <c r="G8" s="188"/>
    </row>
    <row r="9" spans="2:7" x14ac:dyDescent="0.2">
      <c r="B9" s="188" t="s">
        <v>442</v>
      </c>
      <c r="C9" s="188"/>
      <c r="F9" s="188" t="s">
        <v>443</v>
      </c>
      <c r="G9" s="188"/>
    </row>
    <row r="10" spans="2:7" x14ac:dyDescent="0.2">
      <c r="B10" s="188" t="s">
        <v>441</v>
      </c>
      <c r="C10" s="188"/>
      <c r="F10" s="188"/>
      <c r="G10" s="188"/>
    </row>
    <row r="11" spans="2:7" x14ac:dyDescent="0.2">
      <c r="B11" s="188" t="s">
        <v>444</v>
      </c>
      <c r="C11" s="188"/>
      <c r="F11" s="188"/>
      <c r="G11" s="188"/>
    </row>
    <row r="12" spans="2:7" x14ac:dyDescent="0.2">
      <c r="B12" s="188" t="s">
        <v>445</v>
      </c>
      <c r="C12" s="188"/>
      <c r="F12" s="188"/>
      <c r="G12" s="188"/>
    </row>
    <row r="13" spans="2:7" x14ac:dyDescent="0.2">
      <c r="B13" s="188"/>
      <c r="C13" s="188"/>
      <c r="F13" s="188"/>
      <c r="G13" s="188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2014-06-28T12:33:27Z</dcterms:modified>
</cp:coreProperties>
</file>
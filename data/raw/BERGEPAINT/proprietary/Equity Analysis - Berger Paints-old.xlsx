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R43" i="18" l="1"/>
  <c r="R42" i="18"/>
  <c r="G210" i="18"/>
  <c r="G209" i="18"/>
  <c r="S42" i="18" l="1"/>
  <c r="G212" i="18" l="1"/>
  <c r="AC186" i="18" l="1"/>
  <c r="AC185" i="18" s="1"/>
  <c r="AD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AC187" i="18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K183" i="18"/>
  <c r="K182" i="18"/>
  <c r="K181" i="18"/>
  <c r="K180" i="18"/>
  <c r="AE185" i="18" l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188" i="18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H96" i="18"/>
  <c r="I96" i="18"/>
  <c r="J96" i="18"/>
  <c r="K96" i="18"/>
  <c r="L96" i="18"/>
  <c r="M96" i="18"/>
  <c r="N96" i="18"/>
  <c r="O96" i="18"/>
  <c r="P96" i="18"/>
  <c r="H97" i="18"/>
  <c r="I97" i="18"/>
  <c r="J97" i="18"/>
  <c r="K97" i="18"/>
  <c r="L97" i="18"/>
  <c r="M97" i="18"/>
  <c r="N97" i="18"/>
  <c r="O97" i="18"/>
  <c r="P97" i="18"/>
  <c r="H98" i="18"/>
  <c r="I98" i="18"/>
  <c r="J98" i="18"/>
  <c r="K98" i="18"/>
  <c r="L98" i="18"/>
  <c r="M98" i="18"/>
  <c r="N98" i="18"/>
  <c r="O98" i="18"/>
  <c r="P98" i="18"/>
  <c r="H99" i="18"/>
  <c r="I99" i="18"/>
  <c r="J99" i="18"/>
  <c r="K99" i="18"/>
  <c r="L99" i="18"/>
  <c r="M99" i="18"/>
  <c r="N99" i="18"/>
  <c r="O99" i="18"/>
  <c r="P99" i="18"/>
  <c r="H100" i="18"/>
  <c r="I100" i="18"/>
  <c r="J100" i="18"/>
  <c r="K100" i="18"/>
  <c r="L100" i="18"/>
  <c r="M100" i="18"/>
  <c r="N100" i="18"/>
  <c r="O100" i="18"/>
  <c r="P100" i="18"/>
  <c r="G97" i="18"/>
  <c r="G98" i="18"/>
  <c r="Q98" i="18" s="1"/>
  <c r="G99" i="18"/>
  <c r="G100" i="18"/>
  <c r="G96" i="18"/>
  <c r="Q97" i="18"/>
  <c r="Q99" i="18"/>
  <c r="Q100" i="18"/>
  <c r="Q96" i="18"/>
  <c r="AD38" i="18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G215" i="18" s="1"/>
  <c r="K210" i="18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H202" i="18"/>
  <c r="I202" i="18" s="1"/>
  <c r="J202" i="18" s="1"/>
  <c r="J203" i="18" s="1"/>
  <c r="H200" i="18"/>
  <c r="H198" i="18"/>
  <c r="H197" i="18"/>
  <c r="I197" i="18" s="1"/>
  <c r="J197" i="18" s="1"/>
  <c r="D205" i="18" l="1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I94" i="18"/>
  <c r="J94" i="18"/>
  <c r="K94" i="18"/>
  <c r="L94" i="18"/>
  <c r="M94" i="18"/>
  <c r="N94" i="18"/>
  <c r="O94" i="18"/>
  <c r="P94" i="18"/>
  <c r="G94" i="18"/>
  <c r="H91" i="18"/>
  <c r="I91" i="18"/>
  <c r="J91" i="18"/>
  <c r="K91" i="18"/>
  <c r="L91" i="18"/>
  <c r="M91" i="18"/>
  <c r="N91" i="18"/>
  <c r="O91" i="18"/>
  <c r="P91" i="18"/>
  <c r="G91" i="18"/>
  <c r="H92" i="18"/>
  <c r="I92" i="18"/>
  <c r="J92" i="18"/>
  <c r="K92" i="18"/>
  <c r="L92" i="18"/>
  <c r="M92" i="18"/>
  <c r="N92" i="18"/>
  <c r="O92" i="18"/>
  <c r="P92" i="18"/>
  <c r="G92" i="18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I199" i="18" l="1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I90" i="18"/>
  <c r="J90" i="18"/>
  <c r="K90" i="18"/>
  <c r="L90" i="18"/>
  <c r="M90" i="18"/>
  <c r="N90" i="18"/>
  <c r="O90" i="18"/>
  <c r="P90" i="18"/>
  <c r="H93" i="18"/>
  <c r="I93" i="18"/>
  <c r="J93" i="18"/>
  <c r="K93" i="18"/>
  <c r="L93" i="18"/>
  <c r="M93" i="18"/>
  <c r="N93" i="18"/>
  <c r="O93" i="18"/>
  <c r="P93" i="18"/>
  <c r="G93" i="18"/>
  <c r="G90" i="18"/>
  <c r="S29" i="18"/>
  <c r="Q29" i="18"/>
  <c r="L30" i="18"/>
  <c r="K30" i="18"/>
  <c r="J30" i="18"/>
  <c r="I30" i="18"/>
  <c r="H30" i="18"/>
  <c r="G30" i="18"/>
  <c r="T29" i="18" l="1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8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S188" i="18"/>
  <c r="T188" i="18" s="1"/>
  <c r="U188" i="18" s="1"/>
  <c r="V188" i="18" s="1"/>
  <c r="W188" i="18" s="1"/>
  <c r="X188" i="18" s="1"/>
  <c r="Y188" i="18" s="1"/>
  <c r="Z188" i="18" s="1"/>
  <c r="AA188" i="18" s="1"/>
  <c r="AB188" i="18" s="1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AC91" i="18" l="1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S185" i="18"/>
  <c r="T185" i="18" s="1"/>
  <c r="U185" i="18" s="1"/>
  <c r="V185" i="18" s="1"/>
  <c r="W185" i="18" s="1"/>
  <c r="X185" i="18" s="1"/>
  <c r="Y185" i="18" s="1"/>
  <c r="Z185" i="18" s="1"/>
  <c r="AA185" i="18" s="1"/>
  <c r="AB185" i="18" s="1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V103" i="18" l="1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4" i="18" l="1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R138" i="18"/>
  <c r="P184" i="18" s="1"/>
  <c r="P185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<sst xmlns="http://schemas.openxmlformats.org/spreadsheetml/2006/main" count="618" uniqueCount="428">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</sst>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82496"/>
        <c:axId val="102076800"/>
      </c:lineChart>
      <c:catAx>
        <c:axId val="101882496"/>
        <c:scaling>
          <c:orientation val="minMax"/>
        </c:scaling>
        <c:delete val="0"/>
        <c:axPos val="b"/>
        <c:majorTickMark val="out"/>
        <c:minorTickMark val="none"/>
        <c:tickLblPos val="nextTo"/>
        <c:crossAx val="102076800"/>
        <c:crosses val="autoZero"/>
        <c:auto val="1"/>
        <c:lblAlgn val="ctr"/>
        <c:lblOffset val="100"/>
        <c:noMultiLvlLbl val="0"/>
      </c:catAx>
      <c:valAx>
        <c:axId val="102076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188249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C13" sqref="C13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291</v>
      </c>
      <c r="AE2" s="192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292</v>
      </c>
      <c r="AE3" s="194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18" t="e">
        <f>((P6/G6)^(1/($H$2-$H$1) ))-1</f>
        <v>#DIV/0!</v>
      </c>
      <c r="R6" s="31">
        <f>$L$2</f>
        <v>0.12</v>
      </c>
      <c r="S6" s="154">
        <f>P6*(1+$R6)</f>
        <v>0</v>
      </c>
      <c r="T6" s="154">
        <f>S6*(1+$R6)</f>
        <v>0</v>
      </c>
      <c r="U6" s="154">
        <f t="shared" ref="U6:AB6" si="0">T6*(1+$R6)</f>
        <v>0</v>
      </c>
      <c r="V6" s="154">
        <f t="shared" si="0"/>
        <v>0</v>
      </c>
      <c r="W6" s="154">
        <f t="shared" si="0"/>
        <v>0</v>
      </c>
      <c r="X6" s="154">
        <f t="shared" si="0"/>
        <v>0</v>
      </c>
      <c r="Y6" s="154">
        <f t="shared" si="0"/>
        <v>0</v>
      </c>
      <c r="Z6" s="154">
        <f t="shared" si="0"/>
        <v>0</v>
      </c>
      <c r="AA6" s="154">
        <f t="shared" si="0"/>
        <v>0</v>
      </c>
      <c r="AB6" s="154">
        <f t="shared" si="0"/>
        <v>0</v>
      </c>
      <c r="AC6" s="138" t="e">
        <f>((AB6/G6)^(1/($AB$3-$H$1) ))-1</f>
        <v>#DIV/0!</v>
      </c>
      <c r="AD6" s="31">
        <f>$L$1</f>
        <v>0.05</v>
      </c>
      <c r="AE6" s="146">
        <f t="shared" ref="AE6:AE43" si="1">(AB6*(1+AD6))/($C$1-AD6)</f>
        <v>0</v>
      </c>
    </row>
    <row r="7" spans="2:31" x14ac:dyDescent="0.2">
      <c r="B7" s="20" t="s">
        <v>240</v>
      </c>
      <c r="C7" s="141"/>
      <c r="D7" s="141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18" t="e">
        <f>((P7/G7)^(1/($H$2-$H$1) ))-1</f>
        <v>#DIV/0!</v>
      </c>
      <c r="R7" s="31">
        <f>$L$2</f>
        <v>0.12</v>
      </c>
      <c r="S7" s="154">
        <f t="shared" ref="S7:S16" si="2">P7*(1+$R7)</f>
        <v>0</v>
      </c>
      <c r="T7" s="154">
        <f t="shared" ref="T7:AB7" si="3">S7*(1+$R7)</f>
        <v>0</v>
      </c>
      <c r="U7" s="154">
        <f t="shared" si="3"/>
        <v>0</v>
      </c>
      <c r="V7" s="154">
        <f t="shared" si="3"/>
        <v>0</v>
      </c>
      <c r="W7" s="154">
        <f t="shared" si="3"/>
        <v>0</v>
      </c>
      <c r="X7" s="154">
        <f t="shared" si="3"/>
        <v>0</v>
      </c>
      <c r="Y7" s="154">
        <f t="shared" si="3"/>
        <v>0</v>
      </c>
      <c r="Z7" s="154">
        <f t="shared" si="3"/>
        <v>0</v>
      </c>
      <c r="AA7" s="154">
        <f t="shared" si="3"/>
        <v>0</v>
      </c>
      <c r="AB7" s="154">
        <f t="shared" si="3"/>
        <v>0</v>
      </c>
      <c r="AC7" s="138" t="e">
        <f>((AB7/G7)^(1/($AB$3-$H$1) ))-1</f>
        <v>#DIV/0!</v>
      </c>
      <c r="AD7" s="31">
        <f>$L$1</f>
        <v>0.05</v>
      </c>
      <c r="AE7" s="146">
        <f t="shared" si="1"/>
        <v>0</v>
      </c>
    </row>
    <row r="8" spans="2:31" x14ac:dyDescent="0.2">
      <c r="B8" s="20"/>
      <c r="C8" s="141"/>
      <c r="D8" s="141"/>
      <c r="E8" s="147"/>
      <c r="F8" s="147"/>
      <c r="G8" s="148" t="e">
        <f>(G7-F7)/G7</f>
        <v>#DIV/0!</v>
      </c>
      <c r="H8" s="151" t="e">
        <f>(H7-G7)/H7</f>
        <v>#DIV/0!</v>
      </c>
      <c r="I8" s="151" t="e">
        <f t="shared" ref="I8:P8" si="4">(I7-H7)/I7</f>
        <v>#DIV/0!</v>
      </c>
      <c r="J8" s="151" t="e">
        <f t="shared" si="4"/>
        <v>#DIV/0!</v>
      </c>
      <c r="K8" s="151" t="e">
        <f t="shared" si="4"/>
        <v>#DIV/0!</v>
      </c>
      <c r="L8" s="151" t="e">
        <f t="shared" si="4"/>
        <v>#DIV/0!</v>
      </c>
      <c r="M8" s="151" t="e">
        <f t="shared" si="4"/>
        <v>#DIV/0!</v>
      </c>
      <c r="N8" s="151" t="e">
        <f t="shared" si="4"/>
        <v>#DIV/0!</v>
      </c>
      <c r="O8" s="151" t="e">
        <f t="shared" si="4"/>
        <v>#DIV/0!</v>
      </c>
      <c r="P8" s="151" t="e">
        <f t="shared" si="4"/>
        <v>#DIV/0!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18" t="e">
        <f t="shared" ref="Q9:Q16" si="5">((P9/G9)^(1/($H$2-$H$1) ))-1</f>
        <v>#DIV/0!</v>
      </c>
      <c r="R9" s="31">
        <f t="shared" ref="R9:R40" si="6">$L$2</f>
        <v>0.12</v>
      </c>
      <c r="S9" s="154">
        <f t="shared" ref="S9" si="7">P9*(1+$R9)</f>
        <v>0</v>
      </c>
      <c r="T9" s="154">
        <f t="shared" ref="T9" si="8">S9*(1+$R9)</f>
        <v>0</v>
      </c>
      <c r="U9" s="154">
        <f t="shared" ref="U9" si="9">T9*(1+$R9)</f>
        <v>0</v>
      </c>
      <c r="V9" s="154">
        <f t="shared" ref="V9" si="10">U9*(1+$R9)</f>
        <v>0</v>
      </c>
      <c r="W9" s="154">
        <f t="shared" ref="W9" si="11">V9*(1+$R9)</f>
        <v>0</v>
      </c>
      <c r="X9" s="154">
        <f t="shared" ref="X9" si="12">W9*(1+$R9)</f>
        <v>0</v>
      </c>
      <c r="Y9" s="154">
        <f t="shared" ref="Y9" si="13">X9*(1+$R9)</f>
        <v>0</v>
      </c>
      <c r="Z9" s="154">
        <f t="shared" ref="Z9" si="14">Y9*(1+$R9)</f>
        <v>0</v>
      </c>
      <c r="AA9" s="154">
        <f t="shared" ref="AA9" si="15">Z9*(1+$R9)</f>
        <v>0</v>
      </c>
      <c r="AB9" s="154">
        <f t="shared" ref="AB9" si="16">AA9*(1+$R9)</f>
        <v>0</v>
      </c>
      <c r="AC9" s="138" t="e">
        <f>((AB9/G9)^(1/($AB$3-$H$1) ))-1</f>
        <v>#DIV/0!</v>
      </c>
      <c r="AD9" s="31">
        <f t="shared" ref="AD9:AD79" si="17">$L$1</f>
        <v>0.05</v>
      </c>
      <c r="AE9" s="146">
        <f t="shared" si="1"/>
        <v>0</v>
      </c>
    </row>
    <row r="10" spans="2:31" x14ac:dyDescent="0.2">
      <c r="B10" s="20" t="s">
        <v>4</v>
      </c>
      <c r="C10" s="141"/>
      <c r="D10" s="141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18" t="e">
        <f t="shared" si="5"/>
        <v>#DIV/0!</v>
      </c>
      <c r="R10" s="31">
        <f t="shared" si="6"/>
        <v>0.12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 t="e">
        <f t="shared" ref="AC10:AC42" si="19">((AB10/G10)^(1/($AB$3-$H$1) ))-1</f>
        <v>#DIV/0!</v>
      </c>
      <c r="AD10" s="31">
        <f t="shared" si="17"/>
        <v>0.05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20">(H10-G10)/H10</f>
        <v>#DIV/0!</v>
      </c>
      <c r="I11" s="148" t="e">
        <f t="shared" si="20"/>
        <v>#DIV/0!</v>
      </c>
      <c r="J11" s="148" t="e">
        <f t="shared" si="20"/>
        <v>#DIV/0!</v>
      </c>
      <c r="K11" s="148" t="e">
        <f t="shared" si="20"/>
        <v>#DIV/0!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18" t="e">
        <f t="shared" si="5"/>
        <v>#DIV/0!</v>
      </c>
      <c r="R12" s="31">
        <f t="shared" si="6"/>
        <v>0.12</v>
      </c>
      <c r="S12" s="154">
        <f t="shared" si="2"/>
        <v>0</v>
      </c>
      <c r="T12" s="154">
        <f t="shared" ref="T12:AB12" si="21">S12*(1+$R12)</f>
        <v>0</v>
      </c>
      <c r="U12" s="154">
        <f t="shared" si="21"/>
        <v>0</v>
      </c>
      <c r="V12" s="154">
        <f t="shared" si="21"/>
        <v>0</v>
      </c>
      <c r="W12" s="154">
        <f t="shared" si="21"/>
        <v>0</v>
      </c>
      <c r="X12" s="154">
        <f t="shared" si="21"/>
        <v>0</v>
      </c>
      <c r="Y12" s="154">
        <f t="shared" si="21"/>
        <v>0</v>
      </c>
      <c r="Z12" s="154">
        <f t="shared" si="21"/>
        <v>0</v>
      </c>
      <c r="AA12" s="154">
        <f t="shared" si="21"/>
        <v>0</v>
      </c>
      <c r="AB12" s="154">
        <f t="shared" si="21"/>
        <v>0</v>
      </c>
      <c r="AC12" s="138" t="e">
        <f t="shared" si="19"/>
        <v>#DIV/0!</v>
      </c>
      <c r="AD12" s="31">
        <f t="shared" si="17"/>
        <v>0.05</v>
      </c>
      <c r="AE12" s="146">
        <f t="shared" si="1"/>
        <v>0</v>
      </c>
    </row>
    <row r="13" spans="2:31" x14ac:dyDescent="0.2">
      <c r="B13" s="20" t="s">
        <v>218</v>
      </c>
      <c r="C13" s="141"/>
      <c r="D13" s="141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18" t="e">
        <f t="shared" si="5"/>
        <v>#DIV/0!</v>
      </c>
      <c r="R13" s="31">
        <f t="shared" si="6"/>
        <v>0.12</v>
      </c>
      <c r="S13" s="154">
        <f t="shared" si="2"/>
        <v>0</v>
      </c>
      <c r="T13" s="154">
        <f t="shared" ref="T13:AB13" si="22">S13*(1+$R13)</f>
        <v>0</v>
      </c>
      <c r="U13" s="154">
        <f t="shared" si="22"/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38" t="e">
        <f t="shared" si="19"/>
        <v>#DIV/0!</v>
      </c>
      <c r="AD13" s="31">
        <f t="shared" si="17"/>
        <v>0.05</v>
      </c>
      <c r="AE13" s="146">
        <f t="shared" si="1"/>
        <v>0</v>
      </c>
    </row>
    <row r="14" spans="2:31" x14ac:dyDescent="0.2">
      <c r="B14" s="20" t="s">
        <v>373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0.05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18" t="e">
        <f t="shared" si="5"/>
        <v>#DIV/0!</v>
      </c>
      <c r="R15" s="31">
        <f t="shared" si="6"/>
        <v>0.12</v>
      </c>
      <c r="S15" s="154">
        <f t="shared" si="2"/>
        <v>0</v>
      </c>
      <c r="T15" s="154">
        <f t="shared" ref="T15:AB15" si="36">S15*(1+$R15)</f>
        <v>0</v>
      </c>
      <c r="U15" s="154">
        <f t="shared" si="36"/>
        <v>0</v>
      </c>
      <c r="V15" s="154">
        <f t="shared" si="36"/>
        <v>0</v>
      </c>
      <c r="W15" s="154">
        <f t="shared" si="36"/>
        <v>0</v>
      </c>
      <c r="X15" s="154">
        <f t="shared" si="36"/>
        <v>0</v>
      </c>
      <c r="Y15" s="154">
        <f t="shared" si="36"/>
        <v>0</v>
      </c>
      <c r="Z15" s="154">
        <f t="shared" si="36"/>
        <v>0</v>
      </c>
      <c r="AA15" s="154">
        <f t="shared" si="36"/>
        <v>0</v>
      </c>
      <c r="AB15" s="154">
        <f t="shared" si="36"/>
        <v>0</v>
      </c>
      <c r="AC15" s="138" t="e">
        <f t="shared" si="19"/>
        <v>#DIV/0!</v>
      </c>
      <c r="AD15" s="31">
        <f t="shared" si="17"/>
        <v>0.05</v>
      </c>
      <c r="AE15" s="146">
        <f t="shared" si="1"/>
        <v>0</v>
      </c>
    </row>
    <row r="16" spans="2:31" x14ac:dyDescent="0.2">
      <c r="B16" s="20" t="s">
        <v>23</v>
      </c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18" t="e">
        <f t="shared" si="5"/>
        <v>#DIV/0!</v>
      </c>
      <c r="R16" s="31">
        <f t="shared" si="6"/>
        <v>0.12</v>
      </c>
      <c r="S16" s="154">
        <f t="shared" si="2"/>
        <v>0</v>
      </c>
      <c r="T16" s="154">
        <f t="shared" ref="T16:AB16" si="37">S16*(1+$R16)</f>
        <v>0</v>
      </c>
      <c r="U16" s="154">
        <f t="shared" si="37"/>
        <v>0</v>
      </c>
      <c r="V16" s="154">
        <f t="shared" si="37"/>
        <v>0</v>
      </c>
      <c r="W16" s="154">
        <f t="shared" si="37"/>
        <v>0</v>
      </c>
      <c r="X16" s="154">
        <f t="shared" si="37"/>
        <v>0</v>
      </c>
      <c r="Y16" s="154">
        <f t="shared" si="37"/>
        <v>0</v>
      </c>
      <c r="Z16" s="154">
        <f t="shared" si="37"/>
        <v>0</v>
      </c>
      <c r="AA16" s="154">
        <f t="shared" si="37"/>
        <v>0</v>
      </c>
      <c r="AB16" s="154">
        <f t="shared" si="37"/>
        <v>0</v>
      </c>
      <c r="AC16" s="138" t="e">
        <f t="shared" si="19"/>
        <v>#DIV/0!</v>
      </c>
      <c r="AD16" s="31">
        <f t="shared" si="17"/>
        <v>0.05</v>
      </c>
      <c r="AE16" s="146">
        <f t="shared" si="1"/>
        <v>0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18" t="e">
        <f>((P18/G18)^(1/($H$2-$H$1) ))-1</f>
        <v>#DIV/0!</v>
      </c>
      <c r="R18" s="31">
        <f t="shared" si="6"/>
        <v>0.12</v>
      </c>
      <c r="S18" s="154">
        <f t="shared" ref="S18:S34" si="38">P18*(1+$R18)</f>
        <v>0</v>
      </c>
      <c r="T18" s="154">
        <f t="shared" ref="T18:T34" si="39">S18*(1+$R18)</f>
        <v>0</v>
      </c>
      <c r="U18" s="154">
        <f t="shared" ref="U18:U34" si="40">T18*(1+$R18)</f>
        <v>0</v>
      </c>
      <c r="V18" s="154">
        <f t="shared" ref="V18:V34" si="41">U18*(1+$R18)</f>
        <v>0</v>
      </c>
      <c r="W18" s="154">
        <f t="shared" ref="W18:W36" si="42">V18*(1+$R18)</f>
        <v>0</v>
      </c>
      <c r="X18" s="154">
        <f t="shared" ref="X18:X36" si="43">W18*(1+$R18)</f>
        <v>0</v>
      </c>
      <c r="Y18" s="154">
        <f t="shared" ref="Y18:Y36" si="44">X18*(1+$R18)</f>
        <v>0</v>
      </c>
      <c r="Z18" s="154">
        <f t="shared" ref="Z18:Z36" si="45">Y18*(1+$R18)</f>
        <v>0</v>
      </c>
      <c r="AA18" s="154">
        <f t="shared" ref="AA18:AA36" si="46">Z18*(1+$R18)</f>
        <v>0</v>
      </c>
      <c r="AB18" s="154">
        <f t="shared" ref="AB18:AB36" si="47">AA18*(1+$R18)</f>
        <v>0</v>
      </c>
      <c r="AC18" s="138" t="e">
        <f t="shared" si="19"/>
        <v>#DIV/0!</v>
      </c>
      <c r="AD18" s="31">
        <f t="shared" si="17"/>
        <v>0.05</v>
      </c>
      <c r="AE18" s="146">
        <f t="shared" si="1"/>
        <v>0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18" t="e">
        <f>((P25/G25)^(1/($H$2-$H$1) ))-1</f>
        <v>#DIV/0!</v>
      </c>
      <c r="R25" s="31">
        <f t="shared" si="6"/>
        <v>0.12</v>
      </c>
      <c r="S25" s="154">
        <f t="shared" si="38"/>
        <v>0</v>
      </c>
      <c r="T25" s="154">
        <f t="shared" si="39"/>
        <v>0</v>
      </c>
      <c r="U25" s="154">
        <f t="shared" si="40"/>
        <v>0</v>
      </c>
      <c r="V25" s="154">
        <f t="shared" si="41"/>
        <v>0</v>
      </c>
      <c r="W25" s="154">
        <f t="shared" si="42"/>
        <v>0</v>
      </c>
      <c r="X25" s="154">
        <f t="shared" si="43"/>
        <v>0</v>
      </c>
      <c r="Y25" s="154">
        <f t="shared" si="44"/>
        <v>0</v>
      </c>
      <c r="Z25" s="154">
        <f t="shared" si="45"/>
        <v>0</v>
      </c>
      <c r="AA25" s="154">
        <f t="shared" si="46"/>
        <v>0</v>
      </c>
      <c r="AB25" s="154">
        <f t="shared" si="47"/>
        <v>0</v>
      </c>
      <c r="AC25" s="138" t="e">
        <f t="shared" si="19"/>
        <v>#DIV/0!</v>
      </c>
      <c r="AD25" s="31">
        <f t="shared" si="17"/>
        <v>0.05</v>
      </c>
      <c r="AE25" s="146">
        <f t="shared" si="1"/>
        <v>0</v>
      </c>
    </row>
    <row r="26" spans="2:31" s="123" customFormat="1" x14ac:dyDescent="0.2">
      <c r="B26" s="23"/>
      <c r="C26" s="149"/>
      <c r="D26" s="149"/>
      <c r="E26" s="150"/>
      <c r="F26" s="150"/>
      <c r="G26" s="148" t="e">
        <f>(G25-F25)/G25</f>
        <v>#DIV/0!</v>
      </c>
      <c r="H26" s="148" t="e">
        <f>(H25-G25)/H25</f>
        <v>#DIV/0!</v>
      </c>
      <c r="I26" s="148" t="e">
        <f t="shared" ref="I26" si="70">(I25-H25)/I25</f>
        <v>#DIV/0!</v>
      </c>
      <c r="J26" s="148" t="e">
        <f t="shared" ref="J26" si="71">(J25-I25)/J25</f>
        <v>#DIV/0!</v>
      </c>
      <c r="K26" s="148" t="e">
        <f t="shared" ref="K26" si="72">(K25-J25)/K25</f>
        <v>#DIV/0!</v>
      </c>
      <c r="L26" s="148" t="e">
        <f t="shared" ref="L26" si="73">(L25-K25)/L25</f>
        <v>#DIV/0!</v>
      </c>
      <c r="M26" s="148" t="e">
        <f t="shared" ref="M26" si="74">(M25-L25)/M25</f>
        <v>#DIV/0!</v>
      </c>
      <c r="N26" s="148" t="e">
        <f t="shared" ref="N26" si="75">(N25-M25)/N25</f>
        <v>#DIV/0!</v>
      </c>
      <c r="O26" s="148" t="e">
        <f t="shared" ref="O26" si="76">(O25-N25)/O25</f>
        <v>#DIV/0!</v>
      </c>
      <c r="P26" s="148" t="e">
        <f t="shared" ref="P26" si="77">(P25-O25)/P25</f>
        <v>#DIV/0!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18" t="e">
        <f>((P27/G27)^(1/($H$2-$H$1) ))-1</f>
        <v>#DIV/0!</v>
      </c>
      <c r="R27" s="31">
        <f t="shared" si="6"/>
        <v>0.12</v>
      </c>
      <c r="S27" s="154">
        <f t="shared" si="38"/>
        <v>0</v>
      </c>
      <c r="T27" s="154">
        <f t="shared" si="39"/>
        <v>0</v>
      </c>
      <c r="U27" s="154">
        <f t="shared" si="40"/>
        <v>0</v>
      </c>
      <c r="V27" s="154">
        <f t="shared" si="41"/>
        <v>0</v>
      </c>
      <c r="W27" s="154">
        <f t="shared" si="42"/>
        <v>0</v>
      </c>
      <c r="X27" s="154">
        <f t="shared" si="43"/>
        <v>0</v>
      </c>
      <c r="Y27" s="154">
        <f t="shared" si="44"/>
        <v>0</v>
      </c>
      <c r="Z27" s="154">
        <f t="shared" si="45"/>
        <v>0</v>
      </c>
      <c r="AA27" s="154">
        <f t="shared" si="46"/>
        <v>0</v>
      </c>
      <c r="AB27" s="154">
        <f t="shared" si="47"/>
        <v>0</v>
      </c>
      <c r="AC27" s="138" t="e">
        <f t="shared" si="19"/>
        <v>#DIV/0!</v>
      </c>
      <c r="AD27" s="31">
        <f t="shared" si="17"/>
        <v>0.05</v>
      </c>
      <c r="AE27" s="146">
        <f t="shared" si="1"/>
        <v>0</v>
      </c>
    </row>
    <row r="28" spans="2:31" s="123" customFormat="1" x14ac:dyDescent="0.2">
      <c r="B28" s="23"/>
      <c r="C28" s="149"/>
      <c r="D28" s="149"/>
      <c r="E28" s="150"/>
      <c r="F28" s="150"/>
      <c r="G28" s="148" t="e">
        <f t="shared" ref="G28:M28" si="78">(G27-F27)/G27</f>
        <v>#DIV/0!</v>
      </c>
      <c r="H28" s="148" t="e">
        <f t="shared" si="78"/>
        <v>#DIV/0!</v>
      </c>
      <c r="I28" s="148" t="e">
        <f t="shared" si="78"/>
        <v>#DIV/0!</v>
      </c>
      <c r="J28" s="148" t="e">
        <f t="shared" si="78"/>
        <v>#DIV/0!</v>
      </c>
      <c r="K28" s="148" t="e">
        <f t="shared" si="78"/>
        <v>#DIV/0!</v>
      </c>
      <c r="L28" s="148" t="e">
        <f t="shared" si="78"/>
        <v>#DIV/0!</v>
      </c>
      <c r="M28" s="148" t="e">
        <f t="shared" si="78"/>
        <v>#DIV/0!</v>
      </c>
      <c r="N28" s="148" t="e">
        <f t="shared" ref="N28" si="79">(N27-M27)/N27</f>
        <v>#DIV/0!</v>
      </c>
      <c r="O28" s="148" t="e">
        <f t="shared" ref="O28" si="80">(O27-N27)/O27</f>
        <v>#DIV/0!</v>
      </c>
      <c r="P28" s="148" t="e">
        <f t="shared" ref="P28" si="81">(P27-O27)/P27</f>
        <v>#DIV/0!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18" t="e">
        <f>((P29/G29)^(1/($H$2-$H$1) ))-1</f>
        <v>#DIV/0!</v>
      </c>
      <c r="R29" s="31">
        <f t="shared" si="6"/>
        <v>0.12</v>
      </c>
      <c r="S29" s="154">
        <f t="shared" ref="S29" si="82">P29*(1+$R29)</f>
        <v>0</v>
      </c>
      <c r="T29" s="154">
        <f t="shared" ref="T29" si="83">S29*(1+$R29)</f>
        <v>0</v>
      </c>
      <c r="U29" s="154">
        <f t="shared" ref="U29" si="84">T29*(1+$R29)</f>
        <v>0</v>
      </c>
      <c r="V29" s="154">
        <f t="shared" ref="V29" si="85">U29*(1+$R29)</f>
        <v>0</v>
      </c>
      <c r="W29" s="154">
        <f t="shared" ref="W29" si="86">V29*(1+$R29)</f>
        <v>0</v>
      </c>
      <c r="X29" s="154">
        <f t="shared" ref="X29" si="87">W29*(1+$R29)</f>
        <v>0</v>
      </c>
      <c r="Y29" s="154">
        <f t="shared" ref="Y29" si="88">X29*(1+$R29)</f>
        <v>0</v>
      </c>
      <c r="Z29" s="154">
        <f t="shared" ref="Z29" si="89">Y29*(1+$R29)</f>
        <v>0</v>
      </c>
      <c r="AA29" s="154">
        <f t="shared" ref="AA29" si="90">Z29*(1+$R29)</f>
        <v>0</v>
      </c>
      <c r="AB29" s="154">
        <f t="shared" ref="AB29" si="91">AA29*(1+$R29)</f>
        <v>0</v>
      </c>
      <c r="AC29" s="138" t="e">
        <f t="shared" ref="AC29" si="92">((AB29/G29)^(1/($AB$3-$H$1) ))-1</f>
        <v>#DIV/0!</v>
      </c>
      <c r="AD29" s="31">
        <f t="shared" si="17"/>
        <v>0.05</v>
      </c>
      <c r="AE29" s="146">
        <f t="shared" ref="AE29" si="93">(AB29*(1+AD29))/($C$1-AD29)</f>
        <v>0</v>
      </c>
    </row>
    <row r="30" spans="2:31" s="123" customFormat="1" x14ac:dyDescent="0.2">
      <c r="B30" s="23"/>
      <c r="C30" s="149"/>
      <c r="D30" s="149"/>
      <c r="E30" s="150"/>
      <c r="F30" s="150"/>
      <c r="G30" s="148" t="e">
        <f t="shared" ref="G30:L30" si="94">(G29-F29)/G29</f>
        <v>#DIV/0!</v>
      </c>
      <c r="H30" s="148" t="e">
        <f t="shared" si="94"/>
        <v>#DIV/0!</v>
      </c>
      <c r="I30" s="148" t="e">
        <f t="shared" si="94"/>
        <v>#DIV/0!</v>
      </c>
      <c r="J30" s="148" t="e">
        <f t="shared" si="94"/>
        <v>#DIV/0!</v>
      </c>
      <c r="K30" s="148" t="e">
        <f t="shared" si="94"/>
        <v>#DIV/0!</v>
      </c>
      <c r="L30" s="148" t="e">
        <f t="shared" si="94"/>
        <v>#DIV/0!</v>
      </c>
      <c r="M30" s="148" t="e">
        <f t="shared" ref="M30" si="95">(M29-L29)/M29</f>
        <v>#DIV/0!</v>
      </c>
      <c r="N30" s="148" t="e">
        <f t="shared" ref="N30" si="96">(N29-M29)/N29</f>
        <v>#DIV/0!</v>
      </c>
      <c r="O30" s="148" t="e">
        <f t="shared" ref="O30" si="97">(O29-N29)/O29</f>
        <v>#DIV/0!</v>
      </c>
      <c r="P30" s="148" t="e">
        <f t="shared" ref="P30" si="98">(P29-O29)/P29</f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18" t="e">
        <f>((P33/G33)^(1/($H$2-$H$1) ))-1</f>
        <v>#DIV/0!</v>
      </c>
      <c r="R33" s="31">
        <f t="shared" si="6"/>
        <v>0.12</v>
      </c>
      <c r="S33" s="154">
        <f t="shared" si="38"/>
        <v>0</v>
      </c>
      <c r="T33" s="154">
        <f t="shared" si="39"/>
        <v>0</v>
      </c>
      <c r="U33" s="154">
        <f t="shared" si="40"/>
        <v>0</v>
      </c>
      <c r="V33" s="154">
        <f t="shared" si="41"/>
        <v>0</v>
      </c>
      <c r="W33" s="154">
        <f t="shared" si="42"/>
        <v>0</v>
      </c>
      <c r="X33" s="154">
        <f t="shared" si="43"/>
        <v>0</v>
      </c>
      <c r="Y33" s="154">
        <f t="shared" si="44"/>
        <v>0</v>
      </c>
      <c r="Z33" s="154">
        <f t="shared" si="45"/>
        <v>0</v>
      </c>
      <c r="AA33" s="154">
        <f t="shared" si="46"/>
        <v>0</v>
      </c>
      <c r="AB33" s="154">
        <f t="shared" si="47"/>
        <v>0</v>
      </c>
      <c r="AC33" s="138" t="e">
        <f t="shared" si="19"/>
        <v>#DIV/0!</v>
      </c>
      <c r="AD33" s="31">
        <f t="shared" si="17"/>
        <v>0.05</v>
      </c>
      <c r="AE33" s="146">
        <f t="shared" si="1"/>
        <v>0</v>
      </c>
    </row>
    <row r="34" spans="2:31" x14ac:dyDescent="0.2">
      <c r="B34" s="20" t="s">
        <v>308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18" t="e">
        <f>((P34/G34)^(1/($H$2-$H$1) ))-1</f>
        <v>#DIV/0!</v>
      </c>
      <c r="R34" s="31">
        <f t="shared" si="6"/>
        <v>0.12</v>
      </c>
      <c r="S34" s="154">
        <f t="shared" si="38"/>
        <v>0</v>
      </c>
      <c r="T34" s="154">
        <f t="shared" si="39"/>
        <v>0</v>
      </c>
      <c r="U34" s="154">
        <f t="shared" si="40"/>
        <v>0</v>
      </c>
      <c r="V34" s="154">
        <f t="shared" si="41"/>
        <v>0</v>
      </c>
      <c r="W34" s="154">
        <f t="shared" si="42"/>
        <v>0</v>
      </c>
      <c r="X34" s="154">
        <f t="shared" si="43"/>
        <v>0</v>
      </c>
      <c r="Y34" s="154">
        <f t="shared" si="44"/>
        <v>0</v>
      </c>
      <c r="Z34" s="154">
        <f t="shared" si="45"/>
        <v>0</v>
      </c>
      <c r="AA34" s="154">
        <f t="shared" si="46"/>
        <v>0</v>
      </c>
      <c r="AB34" s="154">
        <f t="shared" si="47"/>
        <v>0</v>
      </c>
      <c r="AC34" s="138" t="e">
        <f t="shared" si="19"/>
        <v>#DIV/0!</v>
      </c>
      <c r="AD34" s="31">
        <f t="shared" si="17"/>
        <v>0.05</v>
      </c>
      <c r="AE34" s="146">
        <f t="shared" si="1"/>
        <v>0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18" t="e">
        <f>((P36/G36)^(1/($H$2-$H$1) ))-1</f>
        <v>#DIV/0!</v>
      </c>
      <c r="R36" s="31">
        <f t="shared" si="6"/>
        <v>0.12</v>
      </c>
      <c r="S36" s="154">
        <f t="shared" ref="S36" si="102">P36*(1+$R36)</f>
        <v>0</v>
      </c>
      <c r="T36" s="154">
        <f t="shared" ref="T36" si="103">S36*(1+$R36)</f>
        <v>0</v>
      </c>
      <c r="U36" s="154">
        <f t="shared" ref="U36" si="104">T36*(1+$R36)</f>
        <v>0</v>
      </c>
      <c r="V36" s="154">
        <f t="shared" ref="V36" si="105">U36*(1+$R36)</f>
        <v>0</v>
      </c>
      <c r="W36" s="154">
        <f t="shared" si="42"/>
        <v>0</v>
      </c>
      <c r="X36" s="154">
        <f t="shared" si="43"/>
        <v>0</v>
      </c>
      <c r="Y36" s="154">
        <f t="shared" si="44"/>
        <v>0</v>
      </c>
      <c r="Z36" s="154">
        <f t="shared" si="45"/>
        <v>0</v>
      </c>
      <c r="AA36" s="154">
        <f t="shared" si="46"/>
        <v>0</v>
      </c>
      <c r="AB36" s="154">
        <f t="shared" si="47"/>
        <v>0</v>
      </c>
      <c r="AC36" s="138" t="e">
        <f t="shared" si="19"/>
        <v>#DIV/0!</v>
      </c>
      <c r="AD36" s="31">
        <f t="shared" si="17"/>
        <v>0.05</v>
      </c>
      <c r="AE36" s="146">
        <f t="shared" si="1"/>
        <v>0</v>
      </c>
    </row>
    <row r="37" spans="2:31" s="123" customFormat="1" x14ac:dyDescent="0.2">
      <c r="B37" s="23"/>
      <c r="C37" s="149"/>
      <c r="D37" s="149"/>
      <c r="E37" s="150"/>
      <c r="F37" s="150"/>
      <c r="G37" s="148" t="e">
        <f t="shared" ref="G37" si="106">(G36-F36)/G36</f>
        <v>#DIV/0!</v>
      </c>
      <c r="H37" s="148" t="e">
        <f t="shared" ref="H37" si="107">(H36-G36)/H36</f>
        <v>#DIV/0!</v>
      </c>
      <c r="I37" s="148" t="e">
        <f t="shared" ref="I37" si="108">(I36-H36)/I36</f>
        <v>#DIV/0!</v>
      </c>
      <c r="J37" s="148" t="e">
        <f t="shared" ref="J37" si="109">(J36-I36)/J36</f>
        <v>#DIV/0!</v>
      </c>
      <c r="K37" s="148" t="e">
        <f t="shared" ref="K37" si="110">(K36-J36)/K36</f>
        <v>#DIV/0!</v>
      </c>
      <c r="L37" s="148" t="e">
        <f t="shared" ref="L37" si="111">(L36-K36)/L36</f>
        <v>#DIV/0!</v>
      </c>
      <c r="M37" s="148" t="e">
        <f t="shared" ref="M37" si="112">(M36-L36)/M36</f>
        <v>#DIV/0!</v>
      </c>
      <c r="N37" s="148" t="e">
        <f t="shared" ref="N37" si="113">(N36-M36)/N36</f>
        <v>#DIV/0!</v>
      </c>
      <c r="O37" s="148" t="e">
        <f t="shared" ref="O37" si="114">(O36-N36)/O36</f>
        <v>#DIV/0!</v>
      </c>
      <c r="P37" s="148" t="e">
        <f t="shared" ref="P37" si="115">(P36-O36)/P36</f>
        <v>#DIV/0!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f t="shared" si="6"/>
        <v>0.12</v>
      </c>
      <c r="S38" s="154">
        <f t="shared" ref="S38" si="116">P38*(1+$R38)</f>
        <v>0</v>
      </c>
      <c r="T38" s="154">
        <f t="shared" ref="T38" si="117">S38*(1+$R38)</f>
        <v>0</v>
      </c>
      <c r="U38" s="154">
        <f t="shared" ref="U38" si="118">T38*(1+$R38)</f>
        <v>0</v>
      </c>
      <c r="V38" s="154">
        <f t="shared" ref="V38" si="119">U38*(1+$R38)</f>
        <v>0</v>
      </c>
      <c r="W38" s="154">
        <f t="shared" ref="W38" si="120">V38*(1+$R38)</f>
        <v>0</v>
      </c>
      <c r="X38" s="154">
        <f t="shared" ref="X38" si="121">W38*(1+$R38)</f>
        <v>0</v>
      </c>
      <c r="Y38" s="154">
        <f t="shared" ref="Y38" si="122">X38*(1+$R38)</f>
        <v>0</v>
      </c>
      <c r="Z38" s="154">
        <f t="shared" ref="Z38" si="123">Y38*(1+$R38)</f>
        <v>0</v>
      </c>
      <c r="AA38" s="154">
        <f t="shared" ref="AA38" si="124">Z38*(1+$R38)</f>
        <v>0</v>
      </c>
      <c r="AB38" s="154">
        <f t="shared" ref="AB38" si="125">AA38*(1+$R38)</f>
        <v>0</v>
      </c>
      <c r="AC38" s="138" t="e">
        <f t="shared" ref="AC38" si="126">((AB38/G38)^(1/($AB$3-$H$1) ))-1</f>
        <v>#DIV/0!</v>
      </c>
      <c r="AD38" s="31">
        <f t="shared" si="17"/>
        <v>0.05</v>
      </c>
      <c r="AE38" s="146">
        <f t="shared" ref="AE38" si="127">(AB38*(1+AD38))/($C$1-AD38)</f>
        <v>0</v>
      </c>
    </row>
    <row r="39" spans="2:31" s="123" customFormat="1" x14ac:dyDescent="0.2">
      <c r="B39" s="23"/>
      <c r="C39" s="149"/>
      <c r="D39" s="149"/>
      <c r="E39" s="150"/>
      <c r="F39" s="150"/>
      <c r="G39" s="148" t="e">
        <f t="shared" ref="G39" si="128">(G38-F38)/G38</f>
        <v>#DIV/0!</v>
      </c>
      <c r="H39" s="148" t="e">
        <f t="shared" ref="H39" si="129">(H38-G38)/H38</f>
        <v>#DIV/0!</v>
      </c>
      <c r="I39" s="148" t="e">
        <f t="shared" ref="I39" si="130">(I38-H38)/I38</f>
        <v>#DIV/0!</v>
      </c>
      <c r="J39" s="148" t="e">
        <f t="shared" ref="J39" si="131">(J38-I38)/J38</f>
        <v>#DIV/0!</v>
      </c>
      <c r="K39" s="148" t="e">
        <f t="shared" ref="K39" si="132">(K38-J38)/K38</f>
        <v>#DIV/0!</v>
      </c>
      <c r="L39" s="148" t="e">
        <f t="shared" ref="L39" si="133">(L38-K38)/L38</f>
        <v>#DIV/0!</v>
      </c>
      <c r="M39" s="148" t="e">
        <f t="shared" ref="M39" si="134">(M38-L38)/M38</f>
        <v>#DIV/0!</v>
      </c>
      <c r="N39" s="148" t="e">
        <f t="shared" ref="N39" si="135">(N38-M38)/N38</f>
        <v>#DIV/0!</v>
      </c>
      <c r="O39" s="148" t="e">
        <f t="shared" ref="O39" si="136">(O38-N38)/O38</f>
        <v>#DIV/0!</v>
      </c>
      <c r="P39" s="148" t="e">
        <f t="shared" ref="P39" si="137">(P38-O38)/P38</f>
        <v>#DIV/0!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18" t="e">
        <f>((P40/G40)^(1/($H$2-$H$1) ))-1</f>
        <v>#DIV/0!</v>
      </c>
      <c r="R40" s="31">
        <f t="shared" si="6"/>
        <v>0.12</v>
      </c>
      <c r="S40" s="154">
        <f>P40*(1+$R40)</f>
        <v>0</v>
      </c>
      <c r="T40" s="154">
        <f t="shared" ref="T40:AB40" si="138">S40*(1+$R40)</f>
        <v>0</v>
      </c>
      <c r="U40" s="154">
        <f t="shared" si="138"/>
        <v>0</v>
      </c>
      <c r="V40" s="154">
        <f t="shared" si="138"/>
        <v>0</v>
      </c>
      <c r="W40" s="154">
        <f t="shared" si="138"/>
        <v>0</v>
      </c>
      <c r="X40" s="154">
        <f t="shared" si="138"/>
        <v>0</v>
      </c>
      <c r="Y40" s="154">
        <f t="shared" si="138"/>
        <v>0</v>
      </c>
      <c r="Z40" s="154">
        <f t="shared" si="138"/>
        <v>0</v>
      </c>
      <c r="AA40" s="154">
        <f t="shared" si="138"/>
        <v>0</v>
      </c>
      <c r="AB40" s="154">
        <f t="shared" si="138"/>
        <v>0</v>
      </c>
      <c r="AC40" s="138" t="e">
        <f t="shared" si="19"/>
        <v>#DIV/0!</v>
      </c>
      <c r="AD40" s="31">
        <f t="shared" si="17"/>
        <v>0.05</v>
      </c>
      <c r="AE40" s="146">
        <f t="shared" si="1"/>
        <v>0</v>
      </c>
    </row>
    <row r="41" spans="2:31" s="123" customFormat="1" x14ac:dyDescent="0.2">
      <c r="B41" s="23"/>
      <c r="C41" s="149"/>
      <c r="D41" s="149"/>
      <c r="E41" s="150"/>
      <c r="F41" s="150"/>
      <c r="G41" s="148" t="e">
        <f>(G40-F40)/G40</f>
        <v>#DIV/0!</v>
      </c>
      <c r="H41" s="148" t="e">
        <f t="shared" ref="H41:P41" si="139">(H40-G40)/H40</f>
        <v>#DIV/0!</v>
      </c>
      <c r="I41" s="148" t="e">
        <f t="shared" si="139"/>
        <v>#DIV/0!</v>
      </c>
      <c r="J41" s="148" t="e">
        <f t="shared" si="139"/>
        <v>#DIV/0!</v>
      </c>
      <c r="K41" s="148" t="e">
        <f t="shared" si="139"/>
        <v>#DIV/0!</v>
      </c>
      <c r="L41" s="148" t="e">
        <f t="shared" si="139"/>
        <v>#DIV/0!</v>
      </c>
      <c r="M41" s="148" t="e">
        <f t="shared" si="139"/>
        <v>#DIV/0!</v>
      </c>
      <c r="N41" s="148" t="e">
        <f t="shared" si="139"/>
        <v>#DIV/0!</v>
      </c>
      <c r="O41" s="148" t="e">
        <f t="shared" si="139"/>
        <v>#DIV/0!</v>
      </c>
      <c r="P41" s="148" t="e">
        <f t="shared" si="139"/>
        <v>#DIV/0!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18" t="e">
        <f>((P42/G42)^(1/($H$2-$H$1) ))-1</f>
        <v>#DIV/0!</v>
      </c>
      <c r="R42" s="31">
        <f>P1</f>
        <v>0.05</v>
      </c>
      <c r="S42" s="154">
        <f t="shared" ref="S42:S43" si="140">P42*(1+$R42)</f>
        <v>0</v>
      </c>
      <c r="T42" s="154">
        <f t="shared" ref="T42:AB42" si="141">S42*(1+$R42)</f>
        <v>0</v>
      </c>
      <c r="U42" s="154">
        <f t="shared" si="141"/>
        <v>0</v>
      </c>
      <c r="V42" s="154">
        <f t="shared" si="141"/>
        <v>0</v>
      </c>
      <c r="W42" s="154">
        <f t="shared" si="141"/>
        <v>0</v>
      </c>
      <c r="X42" s="154">
        <f t="shared" si="141"/>
        <v>0</v>
      </c>
      <c r="Y42" s="154">
        <f t="shared" si="141"/>
        <v>0</v>
      </c>
      <c r="Z42" s="154">
        <f t="shared" si="141"/>
        <v>0</v>
      </c>
      <c r="AA42" s="154">
        <f t="shared" si="141"/>
        <v>0</v>
      </c>
      <c r="AB42" s="154">
        <f t="shared" si="141"/>
        <v>0</v>
      </c>
      <c r="AC42" s="138" t="e">
        <f t="shared" si="19"/>
        <v>#DIV/0!</v>
      </c>
      <c r="AD42" s="31">
        <f t="shared" si="17"/>
        <v>0.05</v>
      </c>
      <c r="AE42" s="146">
        <f t="shared" si="1"/>
        <v>0</v>
      </c>
    </row>
    <row r="43" spans="2:31" x14ac:dyDescent="0.2">
      <c r="B43" s="20" t="s">
        <v>282</v>
      </c>
      <c r="C43" s="145"/>
      <c r="D43" s="145"/>
      <c r="E43" s="145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18" t="e">
        <f>((P43/G43)^(1/($H$2-$H$1) ))-1</f>
        <v>#DIV/0!</v>
      </c>
      <c r="R43" s="31">
        <f>P1</f>
        <v>0.05</v>
      </c>
      <c r="S43" s="154">
        <f t="shared" si="140"/>
        <v>0</v>
      </c>
      <c r="T43" s="154">
        <f t="shared" ref="T43" si="142">S43*(1+$R43)</f>
        <v>0</v>
      </c>
      <c r="U43" s="154">
        <f t="shared" ref="U43" si="143">T43*(1+$R43)</f>
        <v>0</v>
      </c>
      <c r="V43" s="154">
        <f t="shared" ref="V43" si="144">U43*(1+$R43)</f>
        <v>0</v>
      </c>
      <c r="W43" s="154">
        <f t="shared" ref="W43" si="145">V43*(1+$R43)</f>
        <v>0</v>
      </c>
      <c r="X43" s="154">
        <f t="shared" ref="X43" si="146">W43*(1+$R43)</f>
        <v>0</v>
      </c>
      <c r="Y43" s="154">
        <f t="shared" ref="Y43" si="147">X43*(1+$R43)</f>
        <v>0</v>
      </c>
      <c r="Z43" s="154">
        <f t="shared" ref="Z43" si="148">Y43*(1+$R43)</f>
        <v>0</v>
      </c>
      <c r="AA43" s="154">
        <f t="shared" ref="AA43" si="149">Z43*(1+$R43)</f>
        <v>0</v>
      </c>
      <c r="AB43" s="154">
        <f t="shared" ref="AB43" si="150">AA43*(1+$R43)</f>
        <v>0</v>
      </c>
      <c r="AC43" s="138" t="e">
        <f t="shared" ref="AC43" si="151">((AB43/G43)^(1/($AB$3-$H$1) ))-1</f>
        <v>#DIV/0!</v>
      </c>
      <c r="AD43" s="31">
        <f t="shared" si="17"/>
        <v>0.05</v>
      </c>
      <c r="AE43" s="146">
        <f t="shared" si="1"/>
        <v>0</v>
      </c>
    </row>
    <row r="44" spans="2:31" x14ac:dyDescent="0.2">
      <c r="B44" s="20" t="s">
        <v>427</v>
      </c>
      <c r="C44" s="20"/>
      <c r="D44" s="20"/>
      <c r="E44" s="127"/>
      <c r="F44" s="12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2">C25/C42</f>
        <v>0</v>
      </c>
      <c r="D49" s="133">
        <f t="shared" si="152"/>
        <v>0</v>
      </c>
      <c r="E49" s="133">
        <f t="shared" si="152"/>
        <v>0</v>
      </c>
      <c r="F49" s="133">
        <f t="shared" si="152"/>
        <v>0</v>
      </c>
      <c r="G49" s="133" t="e">
        <f t="shared" si="152"/>
        <v>#DIV/0!</v>
      </c>
      <c r="H49" s="133" t="e">
        <f t="shared" si="152"/>
        <v>#DIV/0!</v>
      </c>
      <c r="I49" s="133" t="e">
        <f t="shared" si="152"/>
        <v>#DIV/0!</v>
      </c>
      <c r="J49" s="133" t="e">
        <f t="shared" si="152"/>
        <v>#DIV/0!</v>
      </c>
      <c r="K49" s="133" t="e">
        <f t="shared" si="152"/>
        <v>#DIV/0!</v>
      </c>
      <c r="L49" s="133" t="e">
        <f t="shared" si="152"/>
        <v>#DIV/0!</v>
      </c>
      <c r="M49" s="133" t="e">
        <f t="shared" si="152"/>
        <v>#DIV/0!</v>
      </c>
      <c r="N49" s="133" t="e">
        <f t="shared" si="152"/>
        <v>#DIV/0!</v>
      </c>
      <c r="O49" s="133" t="e">
        <f t="shared" si="152"/>
        <v>#DIV/0!</v>
      </c>
      <c r="P49" s="133" t="e">
        <f t="shared" si="152"/>
        <v>#DIV/0!</v>
      </c>
      <c r="Q49" s="118" t="e">
        <f>((P49/G49)^(1/($H$2-$H$1) ))-1</f>
        <v>#DIV/0!</v>
      </c>
      <c r="R49" s="128"/>
      <c r="S49" s="158" t="e">
        <f t="shared" ref="S49:AB49" si="153">S25/S42</f>
        <v>#DIV/0!</v>
      </c>
      <c r="T49" s="158" t="e">
        <f t="shared" si="153"/>
        <v>#DIV/0!</v>
      </c>
      <c r="U49" s="158" t="e">
        <f t="shared" si="153"/>
        <v>#DIV/0!</v>
      </c>
      <c r="V49" s="158" t="e">
        <f t="shared" si="153"/>
        <v>#DIV/0!</v>
      </c>
      <c r="W49" s="158" t="e">
        <f t="shared" si="153"/>
        <v>#DIV/0!</v>
      </c>
      <c r="X49" s="158" t="e">
        <f t="shared" si="153"/>
        <v>#DIV/0!</v>
      </c>
      <c r="Y49" s="158" t="e">
        <f t="shared" si="153"/>
        <v>#DIV/0!</v>
      </c>
      <c r="Z49" s="158" t="e">
        <f t="shared" si="153"/>
        <v>#DIV/0!</v>
      </c>
      <c r="AA49" s="158" t="e">
        <f t="shared" si="153"/>
        <v>#DIV/0!</v>
      </c>
      <c r="AB49" s="158" t="e">
        <f t="shared" si="153"/>
        <v>#DIV/0!</v>
      </c>
      <c r="AC49" s="138" t="e">
        <f t="shared" ref="AC49" si="154">((AB49/G49)^(1/($AB$3-$H$1) ))-1</f>
        <v>#DIV/0!</v>
      </c>
      <c r="AD49" s="31">
        <f t="shared" si="17"/>
        <v>0.05</v>
      </c>
      <c r="AE49" s="146" t="e">
        <f t="shared" ref="AE49:AE50" si="155">(AB49*(1+AD49))/($C$1-AD49)</f>
        <v>#DIV/0!</v>
      </c>
    </row>
    <row r="50" spans="2:31" x14ac:dyDescent="0.2">
      <c r="B50" s="20" t="s">
        <v>304</v>
      </c>
      <c r="C50" s="133">
        <f t="shared" ref="C50:P50" si="156">C27/C42</f>
        <v>0</v>
      </c>
      <c r="D50" s="133">
        <f t="shared" si="156"/>
        <v>0</v>
      </c>
      <c r="E50" s="133">
        <f t="shared" si="156"/>
        <v>0</v>
      </c>
      <c r="F50" s="133">
        <f t="shared" si="156"/>
        <v>0</v>
      </c>
      <c r="G50" s="133" t="e">
        <f t="shared" si="156"/>
        <v>#DIV/0!</v>
      </c>
      <c r="H50" s="133" t="e">
        <f t="shared" si="156"/>
        <v>#DIV/0!</v>
      </c>
      <c r="I50" s="133" t="e">
        <f t="shared" si="156"/>
        <v>#DIV/0!</v>
      </c>
      <c r="J50" s="133" t="e">
        <f t="shared" si="156"/>
        <v>#DIV/0!</v>
      </c>
      <c r="K50" s="133" t="e">
        <f t="shared" si="156"/>
        <v>#DIV/0!</v>
      </c>
      <c r="L50" s="133" t="e">
        <f t="shared" si="156"/>
        <v>#DIV/0!</v>
      </c>
      <c r="M50" s="133" t="e">
        <f t="shared" si="156"/>
        <v>#DIV/0!</v>
      </c>
      <c r="N50" s="133" t="e">
        <f t="shared" si="156"/>
        <v>#DIV/0!</v>
      </c>
      <c r="O50" s="133" t="e">
        <f t="shared" si="156"/>
        <v>#DIV/0!</v>
      </c>
      <c r="P50" s="133" t="e">
        <f t="shared" si="156"/>
        <v>#DIV/0!</v>
      </c>
      <c r="Q50" s="118" t="e">
        <f>((P50/G50)^(1/($H$2-$H$1) ))-1</f>
        <v>#DIV/0!</v>
      </c>
      <c r="R50" s="128"/>
      <c r="S50" s="158" t="e">
        <f t="shared" ref="S50:AB50" si="157">S27/S42</f>
        <v>#DIV/0!</v>
      </c>
      <c r="T50" s="158" t="e">
        <f t="shared" si="157"/>
        <v>#DIV/0!</v>
      </c>
      <c r="U50" s="158" t="e">
        <f t="shared" si="157"/>
        <v>#DIV/0!</v>
      </c>
      <c r="V50" s="158" t="e">
        <f t="shared" si="157"/>
        <v>#DIV/0!</v>
      </c>
      <c r="W50" s="158" t="e">
        <f t="shared" si="157"/>
        <v>#DIV/0!</v>
      </c>
      <c r="X50" s="158" t="e">
        <f t="shared" si="157"/>
        <v>#DIV/0!</v>
      </c>
      <c r="Y50" s="158" t="e">
        <f t="shared" si="157"/>
        <v>#DIV/0!</v>
      </c>
      <c r="Z50" s="158" t="e">
        <f t="shared" si="157"/>
        <v>#DIV/0!</v>
      </c>
      <c r="AA50" s="158" t="e">
        <f t="shared" si="157"/>
        <v>#DIV/0!</v>
      </c>
      <c r="AB50" s="158" t="e">
        <f t="shared" si="157"/>
        <v>#DIV/0!</v>
      </c>
      <c r="AC50" s="138" t="e">
        <f t="shared" ref="AC50" si="158">((AB50/G50)^(1/($AB$3-$H$1) ))-1</f>
        <v>#DIV/0!</v>
      </c>
      <c r="AD50" s="31">
        <f t="shared" si="17"/>
        <v>0.05</v>
      </c>
      <c r="AE50" s="146" t="e">
        <f t="shared" si="155"/>
        <v>#DIV/0!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59">C40/C42</f>
        <v>0</v>
      </c>
      <c r="D52" s="25">
        <f t="shared" si="159"/>
        <v>0</v>
      </c>
      <c r="E52" s="25">
        <f t="shared" si="159"/>
        <v>0</v>
      </c>
      <c r="F52" s="133">
        <f t="shared" si="159"/>
        <v>0</v>
      </c>
      <c r="G52" s="133" t="e">
        <f t="shared" si="159"/>
        <v>#DIV/0!</v>
      </c>
      <c r="H52" s="133" t="e">
        <f t="shared" si="159"/>
        <v>#DIV/0!</v>
      </c>
      <c r="I52" s="133" t="e">
        <f t="shared" si="159"/>
        <v>#DIV/0!</v>
      </c>
      <c r="J52" s="133" t="e">
        <f t="shared" si="159"/>
        <v>#DIV/0!</v>
      </c>
      <c r="K52" s="133" t="e">
        <f t="shared" si="159"/>
        <v>#DIV/0!</v>
      </c>
      <c r="L52" s="133" t="e">
        <f t="shared" si="159"/>
        <v>#DIV/0!</v>
      </c>
      <c r="M52" s="133" t="e">
        <f t="shared" si="159"/>
        <v>#DIV/0!</v>
      </c>
      <c r="N52" s="133" t="e">
        <f t="shared" si="159"/>
        <v>#DIV/0!</v>
      </c>
      <c r="O52" s="133" t="e">
        <f t="shared" si="159"/>
        <v>#DIV/0!</v>
      </c>
      <c r="P52" s="133" t="e">
        <f t="shared" si="159"/>
        <v>#DIV/0!</v>
      </c>
      <c r="Q52" s="118" t="e">
        <f>((P52/G52)^(1/($H$2-$H$1) ))-1</f>
        <v>#DIV/0!</v>
      </c>
      <c r="R52" s="128"/>
      <c r="S52" s="158" t="e">
        <f t="shared" ref="S52:AB52" si="160">S40/S42</f>
        <v>#DIV/0!</v>
      </c>
      <c r="T52" s="158" t="e">
        <f t="shared" si="160"/>
        <v>#DIV/0!</v>
      </c>
      <c r="U52" s="158" t="e">
        <f t="shared" si="160"/>
        <v>#DIV/0!</v>
      </c>
      <c r="V52" s="158" t="e">
        <f t="shared" si="160"/>
        <v>#DIV/0!</v>
      </c>
      <c r="W52" s="158" t="e">
        <f t="shared" si="160"/>
        <v>#DIV/0!</v>
      </c>
      <c r="X52" s="158" t="e">
        <f t="shared" si="160"/>
        <v>#DIV/0!</v>
      </c>
      <c r="Y52" s="158" t="e">
        <f t="shared" si="160"/>
        <v>#DIV/0!</v>
      </c>
      <c r="Z52" s="158" t="e">
        <f t="shared" si="160"/>
        <v>#DIV/0!</v>
      </c>
      <c r="AA52" s="158" t="e">
        <f t="shared" si="160"/>
        <v>#DIV/0!</v>
      </c>
      <c r="AB52" s="158" t="e">
        <f t="shared" si="160"/>
        <v>#DIV/0!</v>
      </c>
      <c r="AC52" s="138" t="e">
        <f t="shared" ref="AC52:AC66" si="161">((AB52/G52)^(1/($AB$3-$H$1) ))-1</f>
        <v>#DIV/0!</v>
      </c>
      <c r="AD52" s="31">
        <f t="shared" si="17"/>
        <v>0.05</v>
      </c>
      <c r="AE52" s="146" t="e">
        <f t="shared" ref="AE52:AE80" si="162">(AB52*(1+AD52))/($C$1-AD52)</f>
        <v>#DIV/0!</v>
      </c>
    </row>
    <row r="53" spans="2:31" x14ac:dyDescent="0.2">
      <c r="B53" s="20" t="s">
        <v>388</v>
      </c>
      <c r="C53" s="133">
        <f t="shared" ref="C53:F53" si="163">C20/C42</f>
        <v>0</v>
      </c>
      <c r="D53" s="133">
        <f t="shared" si="163"/>
        <v>0</v>
      </c>
      <c r="E53" s="133">
        <f t="shared" si="163"/>
        <v>0</v>
      </c>
      <c r="F53" s="133">
        <f t="shared" si="163"/>
        <v>0</v>
      </c>
      <c r="G53" s="133" t="e">
        <f>G20/G42</f>
        <v>#DIV/0!</v>
      </c>
      <c r="H53" s="133" t="e">
        <f t="shared" ref="H53:P53" si="164">H20/H42</f>
        <v>#DIV/0!</v>
      </c>
      <c r="I53" s="133" t="e">
        <f t="shared" si="164"/>
        <v>#DIV/0!</v>
      </c>
      <c r="J53" s="133" t="e">
        <f t="shared" si="164"/>
        <v>#DIV/0!</v>
      </c>
      <c r="K53" s="133" t="e">
        <f t="shared" si="164"/>
        <v>#DIV/0!</v>
      </c>
      <c r="L53" s="133" t="e">
        <f t="shared" si="164"/>
        <v>#DIV/0!</v>
      </c>
      <c r="M53" s="133" t="e">
        <f t="shared" si="164"/>
        <v>#DIV/0!</v>
      </c>
      <c r="N53" s="133" t="e">
        <f t="shared" si="164"/>
        <v>#DIV/0!</v>
      </c>
      <c r="O53" s="133" t="e">
        <f t="shared" si="164"/>
        <v>#DIV/0!</v>
      </c>
      <c r="P53" s="133" t="e">
        <f t="shared" si="164"/>
        <v>#DIV/0!</v>
      </c>
      <c r="Q53" s="118" t="e">
        <f>((P53/G53)^(1/($H$2-$H$1) ))-1</f>
        <v>#DIV/0!</v>
      </c>
      <c r="R53" s="128"/>
      <c r="S53" s="133" t="e">
        <f t="shared" ref="S53:AB53" si="165">S20/S42</f>
        <v>#DIV/0!</v>
      </c>
      <c r="T53" s="133" t="e">
        <f t="shared" si="165"/>
        <v>#DIV/0!</v>
      </c>
      <c r="U53" s="133" t="e">
        <f t="shared" si="165"/>
        <v>#DIV/0!</v>
      </c>
      <c r="V53" s="133" t="e">
        <f t="shared" si="165"/>
        <v>#DIV/0!</v>
      </c>
      <c r="W53" s="133" t="e">
        <f t="shared" si="165"/>
        <v>#DIV/0!</v>
      </c>
      <c r="X53" s="133" t="e">
        <f t="shared" si="165"/>
        <v>#DIV/0!</v>
      </c>
      <c r="Y53" s="133" t="e">
        <f t="shared" si="165"/>
        <v>#DIV/0!</v>
      </c>
      <c r="Z53" s="133" t="e">
        <f t="shared" si="165"/>
        <v>#DIV/0!</v>
      </c>
      <c r="AA53" s="133" t="e">
        <f t="shared" si="165"/>
        <v>#DIV/0!</v>
      </c>
      <c r="AB53" s="133" t="e">
        <f t="shared" si="165"/>
        <v>#DIV/0!</v>
      </c>
      <c r="AC53" s="138" t="e">
        <f t="shared" ref="AC53" si="166">((AB53/G53)^(1/($AB$3-$H$1) ))-1</f>
        <v>#DIV/0!</v>
      </c>
      <c r="AD53" s="31">
        <f t="shared" si="17"/>
        <v>0.05</v>
      </c>
      <c r="AE53" s="146" t="e">
        <f t="shared" si="162"/>
        <v>#DIV/0!</v>
      </c>
    </row>
    <row r="54" spans="2:31" x14ac:dyDescent="0.2">
      <c r="B54" s="20" t="s">
        <v>245</v>
      </c>
      <c r="C54" s="25">
        <f t="shared" ref="C54:P54" si="167">C7/C42</f>
        <v>0</v>
      </c>
      <c r="D54" s="25">
        <f t="shared" si="167"/>
        <v>0</v>
      </c>
      <c r="E54" s="25">
        <f t="shared" si="167"/>
        <v>0</v>
      </c>
      <c r="F54" s="133">
        <f t="shared" si="167"/>
        <v>0</v>
      </c>
      <c r="G54" s="133" t="e">
        <f t="shared" si="167"/>
        <v>#DIV/0!</v>
      </c>
      <c r="H54" s="133" t="e">
        <f t="shared" si="167"/>
        <v>#DIV/0!</v>
      </c>
      <c r="I54" s="133" t="e">
        <f t="shared" si="167"/>
        <v>#DIV/0!</v>
      </c>
      <c r="J54" s="133" t="e">
        <f t="shared" si="167"/>
        <v>#DIV/0!</v>
      </c>
      <c r="K54" s="133" t="e">
        <f t="shared" si="167"/>
        <v>#DIV/0!</v>
      </c>
      <c r="L54" s="133" t="e">
        <f t="shared" si="167"/>
        <v>#DIV/0!</v>
      </c>
      <c r="M54" s="133" t="e">
        <f t="shared" si="167"/>
        <v>#DIV/0!</v>
      </c>
      <c r="N54" s="133" t="e">
        <f t="shared" si="167"/>
        <v>#DIV/0!</v>
      </c>
      <c r="O54" s="133" t="e">
        <f t="shared" si="167"/>
        <v>#DIV/0!</v>
      </c>
      <c r="P54" s="133" t="e">
        <f t="shared" si="167"/>
        <v>#DIV/0!</v>
      </c>
      <c r="Q54" s="118" t="e">
        <f>((P54/G54)^(1/($H$2-$H$1) ))-1</f>
        <v>#DIV/0!</v>
      </c>
      <c r="R54" s="128"/>
      <c r="S54" s="158" t="e">
        <f t="shared" ref="S54:AB54" si="168">S7/S42</f>
        <v>#DIV/0!</v>
      </c>
      <c r="T54" s="158" t="e">
        <f t="shared" si="168"/>
        <v>#DIV/0!</v>
      </c>
      <c r="U54" s="158" t="e">
        <f t="shared" si="168"/>
        <v>#DIV/0!</v>
      </c>
      <c r="V54" s="158" t="e">
        <f t="shared" si="168"/>
        <v>#DIV/0!</v>
      </c>
      <c r="W54" s="158" t="e">
        <f t="shared" si="168"/>
        <v>#DIV/0!</v>
      </c>
      <c r="X54" s="158" t="e">
        <f t="shared" si="168"/>
        <v>#DIV/0!</v>
      </c>
      <c r="Y54" s="158" t="e">
        <f t="shared" si="168"/>
        <v>#DIV/0!</v>
      </c>
      <c r="Z54" s="158" t="e">
        <f t="shared" si="168"/>
        <v>#DIV/0!</v>
      </c>
      <c r="AA54" s="158" t="e">
        <f t="shared" si="168"/>
        <v>#DIV/0!</v>
      </c>
      <c r="AB54" s="158" t="e">
        <f t="shared" si="168"/>
        <v>#DIV/0!</v>
      </c>
      <c r="AC54" s="138" t="e">
        <f t="shared" si="161"/>
        <v>#DIV/0!</v>
      </c>
      <c r="AD54" s="31">
        <f t="shared" si="17"/>
        <v>0.05</v>
      </c>
      <c r="AE54" s="146" t="e">
        <f t="shared" si="162"/>
        <v>#DIV/0!</v>
      </c>
    </row>
    <row r="55" spans="2:31" x14ac:dyDescent="0.2">
      <c r="B55" s="20" t="s">
        <v>246</v>
      </c>
      <c r="C55" s="127">
        <f t="shared" ref="C55:P55" si="169">C6/C42</f>
        <v>0</v>
      </c>
      <c r="D55" s="127">
        <f t="shared" si="169"/>
        <v>0</v>
      </c>
      <c r="E55" s="127">
        <f t="shared" si="169"/>
        <v>0</v>
      </c>
      <c r="F55" s="144">
        <f t="shared" si="169"/>
        <v>0</v>
      </c>
      <c r="G55" s="144" t="e">
        <f t="shared" si="169"/>
        <v>#DIV/0!</v>
      </c>
      <c r="H55" s="144" t="e">
        <f t="shared" si="169"/>
        <v>#DIV/0!</v>
      </c>
      <c r="I55" s="144" t="e">
        <f t="shared" si="169"/>
        <v>#DIV/0!</v>
      </c>
      <c r="J55" s="144" t="e">
        <f t="shared" si="169"/>
        <v>#DIV/0!</v>
      </c>
      <c r="K55" s="144" t="e">
        <f t="shared" si="169"/>
        <v>#DIV/0!</v>
      </c>
      <c r="L55" s="144" t="e">
        <f t="shared" si="169"/>
        <v>#DIV/0!</v>
      </c>
      <c r="M55" s="144" t="e">
        <f t="shared" si="169"/>
        <v>#DIV/0!</v>
      </c>
      <c r="N55" s="144" t="e">
        <f t="shared" si="169"/>
        <v>#DIV/0!</v>
      </c>
      <c r="O55" s="144" t="e">
        <f t="shared" si="169"/>
        <v>#DIV/0!</v>
      </c>
      <c r="P55" s="144" t="e">
        <f t="shared" si="169"/>
        <v>#DIV/0!</v>
      </c>
      <c r="Q55" s="118" t="e">
        <f>((P55/G55)^(1/($H$2-$H$1) ))-1</f>
        <v>#DIV/0!</v>
      </c>
      <c r="R55" s="128"/>
      <c r="S55" s="157" t="e">
        <f t="shared" ref="S55:AB55" si="170">S6/S42</f>
        <v>#DIV/0!</v>
      </c>
      <c r="T55" s="157" t="e">
        <f t="shared" si="170"/>
        <v>#DIV/0!</v>
      </c>
      <c r="U55" s="157" t="e">
        <f t="shared" si="170"/>
        <v>#DIV/0!</v>
      </c>
      <c r="V55" s="157" t="e">
        <f t="shared" si="170"/>
        <v>#DIV/0!</v>
      </c>
      <c r="W55" s="157" t="e">
        <f t="shared" si="170"/>
        <v>#DIV/0!</v>
      </c>
      <c r="X55" s="157" t="e">
        <f t="shared" si="170"/>
        <v>#DIV/0!</v>
      </c>
      <c r="Y55" s="157" t="e">
        <f t="shared" si="170"/>
        <v>#DIV/0!</v>
      </c>
      <c r="Z55" s="157" t="e">
        <f t="shared" si="170"/>
        <v>#DIV/0!</v>
      </c>
      <c r="AA55" s="157" t="e">
        <f t="shared" si="170"/>
        <v>#DIV/0!</v>
      </c>
      <c r="AB55" s="157" t="e">
        <f t="shared" si="170"/>
        <v>#DIV/0!</v>
      </c>
      <c r="AC55" s="138" t="e">
        <f t="shared" si="161"/>
        <v>#DIV/0!</v>
      </c>
      <c r="AD55" s="31">
        <f t="shared" si="17"/>
        <v>0.05</v>
      </c>
      <c r="AE55" s="146" t="e">
        <f t="shared" si="162"/>
        <v>#DIV/0!</v>
      </c>
    </row>
    <row r="56" spans="2:31" x14ac:dyDescent="0.2">
      <c r="B56" s="20" t="s">
        <v>247</v>
      </c>
      <c r="C56" s="127">
        <f t="shared" ref="C56:P56" si="171">C10/C42</f>
        <v>0</v>
      </c>
      <c r="D56" s="127">
        <f t="shared" si="171"/>
        <v>0</v>
      </c>
      <c r="E56" s="127">
        <f t="shared" si="171"/>
        <v>0</v>
      </c>
      <c r="F56" s="144">
        <f t="shared" si="171"/>
        <v>0</v>
      </c>
      <c r="G56" s="144" t="e">
        <f t="shared" si="171"/>
        <v>#DIV/0!</v>
      </c>
      <c r="H56" s="144" t="e">
        <f t="shared" si="171"/>
        <v>#DIV/0!</v>
      </c>
      <c r="I56" s="144" t="e">
        <f t="shared" si="171"/>
        <v>#DIV/0!</v>
      </c>
      <c r="J56" s="144" t="e">
        <f t="shared" si="171"/>
        <v>#DIV/0!</v>
      </c>
      <c r="K56" s="144" t="e">
        <f t="shared" si="171"/>
        <v>#DIV/0!</v>
      </c>
      <c r="L56" s="144" t="e">
        <f t="shared" si="171"/>
        <v>#DIV/0!</v>
      </c>
      <c r="M56" s="144" t="e">
        <f t="shared" si="171"/>
        <v>#DIV/0!</v>
      </c>
      <c r="N56" s="144" t="e">
        <f t="shared" si="171"/>
        <v>#DIV/0!</v>
      </c>
      <c r="O56" s="144" t="e">
        <f t="shared" si="171"/>
        <v>#DIV/0!</v>
      </c>
      <c r="P56" s="144" t="e">
        <f t="shared" si="171"/>
        <v>#DIV/0!</v>
      </c>
      <c r="Q56" s="118" t="e">
        <f>((P56/G56)^(1/($H$2-$H$1) ))-1</f>
        <v>#DIV/0!</v>
      </c>
      <c r="R56" s="128"/>
      <c r="S56" s="157" t="e">
        <f t="shared" ref="S56:AB56" si="172">S10/S42</f>
        <v>#DIV/0!</v>
      </c>
      <c r="T56" s="157" t="e">
        <f t="shared" si="172"/>
        <v>#DIV/0!</v>
      </c>
      <c r="U56" s="157" t="e">
        <f t="shared" si="172"/>
        <v>#DIV/0!</v>
      </c>
      <c r="V56" s="157" t="e">
        <f t="shared" si="172"/>
        <v>#DIV/0!</v>
      </c>
      <c r="W56" s="157" t="e">
        <f t="shared" si="172"/>
        <v>#DIV/0!</v>
      </c>
      <c r="X56" s="157" t="e">
        <f t="shared" si="172"/>
        <v>#DIV/0!</v>
      </c>
      <c r="Y56" s="157" t="e">
        <f t="shared" si="172"/>
        <v>#DIV/0!</v>
      </c>
      <c r="Z56" s="157" t="e">
        <f t="shared" si="172"/>
        <v>#DIV/0!</v>
      </c>
      <c r="AA56" s="157" t="e">
        <f t="shared" si="172"/>
        <v>#DIV/0!</v>
      </c>
      <c r="AB56" s="157" t="e">
        <f t="shared" si="172"/>
        <v>#DIV/0!</v>
      </c>
      <c r="AC56" s="138" t="e">
        <f t="shared" si="161"/>
        <v>#DIV/0!</v>
      </c>
      <c r="AD56" s="31">
        <f t="shared" si="17"/>
        <v>0.05</v>
      </c>
      <c r="AE56" s="146" t="e">
        <f t="shared" si="162"/>
        <v>#DIV/0!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3">(C7-C10)/C42</f>
        <v>0</v>
      </c>
      <c r="D58" s="127">
        <f t="shared" si="173"/>
        <v>0</v>
      </c>
      <c r="E58" s="127">
        <f t="shared" si="173"/>
        <v>0</v>
      </c>
      <c r="F58" s="144">
        <f t="shared" si="173"/>
        <v>0</v>
      </c>
      <c r="G58" s="144" t="e">
        <f t="shared" si="173"/>
        <v>#DIV/0!</v>
      </c>
      <c r="H58" s="144" t="e">
        <f t="shared" si="173"/>
        <v>#DIV/0!</v>
      </c>
      <c r="I58" s="144" t="e">
        <f t="shared" si="173"/>
        <v>#DIV/0!</v>
      </c>
      <c r="J58" s="144" t="e">
        <f t="shared" si="173"/>
        <v>#DIV/0!</v>
      </c>
      <c r="K58" s="144" t="e">
        <f t="shared" si="173"/>
        <v>#DIV/0!</v>
      </c>
      <c r="L58" s="144" t="e">
        <f t="shared" si="173"/>
        <v>#DIV/0!</v>
      </c>
      <c r="M58" s="144" t="e">
        <f t="shared" si="173"/>
        <v>#DIV/0!</v>
      </c>
      <c r="N58" s="144" t="e">
        <f t="shared" si="173"/>
        <v>#DIV/0!</v>
      </c>
      <c r="O58" s="144" t="e">
        <f t="shared" si="173"/>
        <v>#DIV/0!</v>
      </c>
      <c r="P58" s="144" t="e">
        <f t="shared" si="173"/>
        <v>#DIV/0!</v>
      </c>
      <c r="Q58" s="118" t="e">
        <f>((P58/G58)^(1/($H$2-$H$1) ))-1</f>
        <v>#DIV/0!</v>
      </c>
      <c r="R58" s="128"/>
      <c r="S58" s="157" t="e">
        <f t="shared" ref="S58:AB58" si="174">(S7-S10)/S42</f>
        <v>#DIV/0!</v>
      </c>
      <c r="T58" s="157" t="e">
        <f t="shared" si="174"/>
        <v>#DIV/0!</v>
      </c>
      <c r="U58" s="157" t="e">
        <f t="shared" si="174"/>
        <v>#DIV/0!</v>
      </c>
      <c r="V58" s="157" t="e">
        <f t="shared" si="174"/>
        <v>#DIV/0!</v>
      </c>
      <c r="W58" s="157" t="e">
        <f t="shared" si="174"/>
        <v>#DIV/0!</v>
      </c>
      <c r="X58" s="157" t="e">
        <f t="shared" si="174"/>
        <v>#DIV/0!</v>
      </c>
      <c r="Y58" s="157" t="e">
        <f t="shared" si="174"/>
        <v>#DIV/0!</v>
      </c>
      <c r="Z58" s="157" t="e">
        <f t="shared" si="174"/>
        <v>#DIV/0!</v>
      </c>
      <c r="AA58" s="157" t="e">
        <f t="shared" si="174"/>
        <v>#DIV/0!</v>
      </c>
      <c r="AB58" s="157" t="e">
        <f t="shared" si="174"/>
        <v>#DIV/0!</v>
      </c>
      <c r="AC58" s="138" t="e">
        <f t="shared" si="161"/>
        <v>#DIV/0!</v>
      </c>
      <c r="AD58" s="31">
        <f t="shared" si="17"/>
        <v>0.05</v>
      </c>
      <c r="AE58" s="146" t="e">
        <f t="shared" si="162"/>
        <v>#DIV/0!</v>
      </c>
    </row>
    <row r="59" spans="2:31" x14ac:dyDescent="0.2">
      <c r="B59" s="20" t="s">
        <v>271</v>
      </c>
      <c r="C59" s="127">
        <f t="shared" ref="C59:P59" si="175">(C7-C10-C9)/C42</f>
        <v>0</v>
      </c>
      <c r="D59" s="127">
        <f t="shared" si="175"/>
        <v>0</v>
      </c>
      <c r="E59" s="127">
        <f t="shared" si="175"/>
        <v>0</v>
      </c>
      <c r="F59" s="144">
        <f t="shared" si="175"/>
        <v>0</v>
      </c>
      <c r="G59" s="144" t="e">
        <f t="shared" si="175"/>
        <v>#DIV/0!</v>
      </c>
      <c r="H59" s="144" t="e">
        <f t="shared" si="175"/>
        <v>#DIV/0!</v>
      </c>
      <c r="I59" s="144" t="e">
        <f t="shared" si="175"/>
        <v>#DIV/0!</v>
      </c>
      <c r="J59" s="144" t="e">
        <f t="shared" si="175"/>
        <v>#DIV/0!</v>
      </c>
      <c r="K59" s="144" t="e">
        <f t="shared" si="175"/>
        <v>#DIV/0!</v>
      </c>
      <c r="L59" s="144" t="e">
        <f t="shared" si="175"/>
        <v>#DIV/0!</v>
      </c>
      <c r="M59" s="144" t="e">
        <f t="shared" si="175"/>
        <v>#DIV/0!</v>
      </c>
      <c r="N59" s="144" t="e">
        <f t="shared" si="175"/>
        <v>#DIV/0!</v>
      </c>
      <c r="O59" s="144" t="e">
        <f t="shared" si="175"/>
        <v>#DIV/0!</v>
      </c>
      <c r="P59" s="144" t="e">
        <f t="shared" si="175"/>
        <v>#DIV/0!</v>
      </c>
      <c r="Q59" s="118" t="e">
        <f>((P59/G59)^(1/($H$2-$H$1) ))-1</f>
        <v>#DIV/0!</v>
      </c>
      <c r="R59" s="128"/>
      <c r="S59" s="157" t="e">
        <f t="shared" ref="S59:AB59" si="176">(S7-S10-S9)/S42</f>
        <v>#DIV/0!</v>
      </c>
      <c r="T59" s="157" t="e">
        <f t="shared" si="176"/>
        <v>#DIV/0!</v>
      </c>
      <c r="U59" s="157" t="e">
        <f t="shared" si="176"/>
        <v>#DIV/0!</v>
      </c>
      <c r="V59" s="157" t="e">
        <f t="shared" si="176"/>
        <v>#DIV/0!</v>
      </c>
      <c r="W59" s="157" t="e">
        <f t="shared" si="176"/>
        <v>#DIV/0!</v>
      </c>
      <c r="X59" s="157" t="e">
        <f t="shared" si="176"/>
        <v>#DIV/0!</v>
      </c>
      <c r="Y59" s="157" t="e">
        <f t="shared" si="176"/>
        <v>#DIV/0!</v>
      </c>
      <c r="Z59" s="157" t="e">
        <f t="shared" si="176"/>
        <v>#DIV/0!</v>
      </c>
      <c r="AA59" s="157" t="e">
        <f t="shared" si="176"/>
        <v>#DIV/0!</v>
      </c>
      <c r="AB59" s="157" t="e">
        <f t="shared" si="176"/>
        <v>#DIV/0!</v>
      </c>
      <c r="AC59" s="138" t="e">
        <f t="shared" si="161"/>
        <v>#DIV/0!</v>
      </c>
      <c r="AD59" s="31">
        <f t="shared" si="17"/>
        <v>0.05</v>
      </c>
      <c r="AE59" s="146" t="e">
        <f t="shared" si="162"/>
        <v>#DIV/0!</v>
      </c>
    </row>
    <row r="60" spans="2:31" x14ac:dyDescent="0.2">
      <c r="B60" s="20" t="s">
        <v>276</v>
      </c>
      <c r="C60" s="127">
        <f t="shared" ref="C60:P60" si="177">(C7+C15-C10-C9)/C42</f>
        <v>0</v>
      </c>
      <c r="D60" s="127">
        <f t="shared" si="177"/>
        <v>0</v>
      </c>
      <c r="E60" s="127">
        <f t="shared" si="177"/>
        <v>0</v>
      </c>
      <c r="F60" s="144">
        <f t="shared" si="177"/>
        <v>0</v>
      </c>
      <c r="G60" s="144" t="e">
        <f t="shared" si="177"/>
        <v>#DIV/0!</v>
      </c>
      <c r="H60" s="144" t="e">
        <f t="shared" si="177"/>
        <v>#DIV/0!</v>
      </c>
      <c r="I60" s="144" t="e">
        <f t="shared" si="177"/>
        <v>#DIV/0!</v>
      </c>
      <c r="J60" s="144" t="e">
        <f t="shared" si="177"/>
        <v>#DIV/0!</v>
      </c>
      <c r="K60" s="144" t="e">
        <f t="shared" si="177"/>
        <v>#DIV/0!</v>
      </c>
      <c r="L60" s="144" t="e">
        <f t="shared" si="177"/>
        <v>#DIV/0!</v>
      </c>
      <c r="M60" s="144" t="e">
        <f t="shared" si="177"/>
        <v>#DIV/0!</v>
      </c>
      <c r="N60" s="144" t="e">
        <f t="shared" si="177"/>
        <v>#DIV/0!</v>
      </c>
      <c r="O60" s="144" t="e">
        <f t="shared" si="177"/>
        <v>#DIV/0!</v>
      </c>
      <c r="P60" s="144" t="e">
        <f t="shared" si="177"/>
        <v>#DIV/0!</v>
      </c>
      <c r="Q60" s="118" t="e">
        <f>((P60/G60)^(1/($H$2-$H$1) ))-1</f>
        <v>#DIV/0!</v>
      </c>
      <c r="R60" s="128"/>
      <c r="S60" s="157" t="e">
        <f t="shared" ref="S60:AB60" si="178">(S7+S15-S10-S9)/S42</f>
        <v>#DIV/0!</v>
      </c>
      <c r="T60" s="157" t="e">
        <f t="shared" si="178"/>
        <v>#DIV/0!</v>
      </c>
      <c r="U60" s="157" t="e">
        <f t="shared" si="178"/>
        <v>#DIV/0!</v>
      </c>
      <c r="V60" s="157" t="e">
        <f t="shared" si="178"/>
        <v>#DIV/0!</v>
      </c>
      <c r="W60" s="157" t="e">
        <f t="shared" si="178"/>
        <v>#DIV/0!</v>
      </c>
      <c r="X60" s="157" t="e">
        <f t="shared" si="178"/>
        <v>#DIV/0!</v>
      </c>
      <c r="Y60" s="157" t="e">
        <f t="shared" si="178"/>
        <v>#DIV/0!</v>
      </c>
      <c r="Z60" s="157" t="e">
        <f t="shared" si="178"/>
        <v>#DIV/0!</v>
      </c>
      <c r="AA60" s="157" t="e">
        <f t="shared" si="178"/>
        <v>#DIV/0!</v>
      </c>
      <c r="AB60" s="157" t="e">
        <f t="shared" si="178"/>
        <v>#DIV/0!</v>
      </c>
      <c r="AC60" s="138" t="e">
        <f t="shared" si="161"/>
        <v>#DIV/0!</v>
      </c>
      <c r="AD60" s="31">
        <f t="shared" si="17"/>
        <v>0.05</v>
      </c>
      <c r="AE60" s="146" t="e">
        <f t="shared" si="162"/>
        <v>#DIV/0!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79">C12/C42</f>
        <v>0</v>
      </c>
      <c r="D62" s="127">
        <f t="shared" si="179"/>
        <v>0</v>
      </c>
      <c r="E62" s="127">
        <f t="shared" si="179"/>
        <v>0</v>
      </c>
      <c r="F62" s="144">
        <f t="shared" si="179"/>
        <v>0</v>
      </c>
      <c r="G62" s="144" t="e">
        <f t="shared" si="179"/>
        <v>#DIV/0!</v>
      </c>
      <c r="H62" s="144" t="e">
        <f t="shared" si="179"/>
        <v>#DIV/0!</v>
      </c>
      <c r="I62" s="144" t="e">
        <f t="shared" si="179"/>
        <v>#DIV/0!</v>
      </c>
      <c r="J62" s="144" t="e">
        <f t="shared" si="179"/>
        <v>#DIV/0!</v>
      </c>
      <c r="K62" s="144" t="e">
        <f t="shared" si="179"/>
        <v>#DIV/0!</v>
      </c>
      <c r="L62" s="144" t="e">
        <f t="shared" si="179"/>
        <v>#DIV/0!</v>
      </c>
      <c r="M62" s="144" t="e">
        <f t="shared" si="179"/>
        <v>#DIV/0!</v>
      </c>
      <c r="N62" s="144" t="e">
        <f t="shared" si="179"/>
        <v>#DIV/0!</v>
      </c>
      <c r="O62" s="144" t="e">
        <f t="shared" si="179"/>
        <v>#DIV/0!</v>
      </c>
      <c r="P62" s="144" t="e">
        <f t="shared" si="179"/>
        <v>#DIV/0!</v>
      </c>
      <c r="Q62" s="118" t="e">
        <f>((P62/G62)^(1/($H$2-$H$1) ))-1</f>
        <v>#DIV/0!</v>
      </c>
      <c r="R62" s="128"/>
      <c r="S62" s="157" t="e">
        <f t="shared" ref="S62:AB62" si="180">S12/S42</f>
        <v>#DIV/0!</v>
      </c>
      <c r="T62" s="157" t="e">
        <f t="shared" si="180"/>
        <v>#DIV/0!</v>
      </c>
      <c r="U62" s="157" t="e">
        <f t="shared" si="180"/>
        <v>#DIV/0!</v>
      </c>
      <c r="V62" s="157" t="e">
        <f t="shared" si="180"/>
        <v>#DIV/0!</v>
      </c>
      <c r="W62" s="157" t="e">
        <f t="shared" si="180"/>
        <v>#DIV/0!</v>
      </c>
      <c r="X62" s="157" t="e">
        <f t="shared" si="180"/>
        <v>#DIV/0!</v>
      </c>
      <c r="Y62" s="157" t="e">
        <f t="shared" si="180"/>
        <v>#DIV/0!</v>
      </c>
      <c r="Z62" s="157" t="e">
        <f t="shared" si="180"/>
        <v>#DIV/0!</v>
      </c>
      <c r="AA62" s="157" t="e">
        <f t="shared" si="180"/>
        <v>#DIV/0!</v>
      </c>
      <c r="AB62" s="157" t="e">
        <f t="shared" si="180"/>
        <v>#DIV/0!</v>
      </c>
      <c r="AC62" s="138" t="e">
        <f t="shared" si="161"/>
        <v>#DIV/0!</v>
      </c>
      <c r="AD62" s="31">
        <f t="shared" si="17"/>
        <v>0.05</v>
      </c>
      <c r="AE62" s="146" t="e">
        <f t="shared" si="162"/>
        <v>#DIV/0!</v>
      </c>
    </row>
    <row r="63" spans="2:31" x14ac:dyDescent="0.2">
      <c r="B63" s="20" t="s">
        <v>255</v>
      </c>
      <c r="C63" s="127">
        <f t="shared" ref="C63:P63" si="181">C13/C42</f>
        <v>0</v>
      </c>
      <c r="D63" s="127">
        <f t="shared" si="181"/>
        <v>0</v>
      </c>
      <c r="E63" s="127">
        <f t="shared" si="181"/>
        <v>0</v>
      </c>
      <c r="F63" s="144">
        <f t="shared" si="181"/>
        <v>0</v>
      </c>
      <c r="G63" s="144" t="e">
        <f t="shared" si="181"/>
        <v>#DIV/0!</v>
      </c>
      <c r="H63" s="144" t="e">
        <f t="shared" si="181"/>
        <v>#DIV/0!</v>
      </c>
      <c r="I63" s="144" t="e">
        <f t="shared" si="181"/>
        <v>#DIV/0!</v>
      </c>
      <c r="J63" s="144" t="e">
        <f t="shared" si="181"/>
        <v>#DIV/0!</v>
      </c>
      <c r="K63" s="144" t="e">
        <f t="shared" si="181"/>
        <v>#DIV/0!</v>
      </c>
      <c r="L63" s="144" t="e">
        <f t="shared" si="181"/>
        <v>#DIV/0!</v>
      </c>
      <c r="M63" s="144" t="e">
        <f t="shared" si="181"/>
        <v>#DIV/0!</v>
      </c>
      <c r="N63" s="144" t="e">
        <f t="shared" si="181"/>
        <v>#DIV/0!</v>
      </c>
      <c r="O63" s="144" t="e">
        <f t="shared" si="181"/>
        <v>#DIV/0!</v>
      </c>
      <c r="P63" s="144" t="e">
        <f t="shared" si="181"/>
        <v>#DIV/0!</v>
      </c>
      <c r="Q63" s="118" t="e">
        <f>((P63/G63)^(1/($H$2-$H$1) ))-1</f>
        <v>#DIV/0!</v>
      </c>
      <c r="R63" s="128"/>
      <c r="S63" s="157" t="e">
        <f t="shared" ref="S63:AB63" si="182">S13/S42</f>
        <v>#DIV/0!</v>
      </c>
      <c r="T63" s="157" t="e">
        <f t="shared" si="182"/>
        <v>#DIV/0!</v>
      </c>
      <c r="U63" s="157" t="e">
        <f t="shared" si="182"/>
        <v>#DIV/0!</v>
      </c>
      <c r="V63" s="157" t="e">
        <f t="shared" si="182"/>
        <v>#DIV/0!</v>
      </c>
      <c r="W63" s="157" t="e">
        <f t="shared" si="182"/>
        <v>#DIV/0!</v>
      </c>
      <c r="X63" s="157" t="e">
        <f t="shared" si="182"/>
        <v>#DIV/0!</v>
      </c>
      <c r="Y63" s="157" t="e">
        <f t="shared" si="182"/>
        <v>#DIV/0!</v>
      </c>
      <c r="Z63" s="157" t="e">
        <f t="shared" si="182"/>
        <v>#DIV/0!</v>
      </c>
      <c r="AA63" s="157" t="e">
        <f t="shared" si="182"/>
        <v>#DIV/0!</v>
      </c>
      <c r="AB63" s="157" t="e">
        <f t="shared" si="182"/>
        <v>#DIV/0!</v>
      </c>
      <c r="AC63" s="138" t="e">
        <f t="shared" si="161"/>
        <v>#DIV/0!</v>
      </c>
      <c r="AD63" s="31">
        <f t="shared" si="17"/>
        <v>0.05</v>
      </c>
      <c r="AE63" s="146" t="e">
        <f t="shared" si="162"/>
        <v>#DIV/0!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3">(D62+D63)</f>
        <v>0</v>
      </c>
      <c r="E64" s="127">
        <f t="shared" si="183"/>
        <v>0</v>
      </c>
      <c r="F64" s="144">
        <f t="shared" si="183"/>
        <v>0</v>
      </c>
      <c r="G64" s="144" t="e">
        <f t="shared" si="183"/>
        <v>#DIV/0!</v>
      </c>
      <c r="H64" s="144" t="e">
        <f t="shared" si="183"/>
        <v>#DIV/0!</v>
      </c>
      <c r="I64" s="144" t="e">
        <f t="shared" si="183"/>
        <v>#DIV/0!</v>
      </c>
      <c r="J64" s="144" t="e">
        <f t="shared" si="183"/>
        <v>#DIV/0!</v>
      </c>
      <c r="K64" s="144" t="e">
        <f t="shared" si="183"/>
        <v>#DIV/0!</v>
      </c>
      <c r="L64" s="144" t="e">
        <f t="shared" si="183"/>
        <v>#DIV/0!</v>
      </c>
      <c r="M64" s="144" t="e">
        <f t="shared" si="183"/>
        <v>#DIV/0!</v>
      </c>
      <c r="N64" s="144" t="e">
        <f t="shared" si="183"/>
        <v>#DIV/0!</v>
      </c>
      <c r="O64" s="144" t="e">
        <f t="shared" ref="O64" si="184">(O62+O63)</f>
        <v>#DIV/0!</v>
      </c>
      <c r="P64" s="144" t="e">
        <f t="shared" si="183"/>
        <v>#DIV/0!</v>
      </c>
      <c r="Q64" s="118" t="e">
        <f>((P64/G64)^(1/($H$2-$H$1) ))-1</f>
        <v>#DIV/0!</v>
      </c>
      <c r="R64" s="128"/>
      <c r="S64" s="157" t="e">
        <f t="shared" ref="S64:AB64" si="185">(S62+S63)</f>
        <v>#DIV/0!</v>
      </c>
      <c r="T64" s="157" t="e">
        <f t="shared" si="185"/>
        <v>#DIV/0!</v>
      </c>
      <c r="U64" s="157" t="e">
        <f t="shared" si="185"/>
        <v>#DIV/0!</v>
      </c>
      <c r="V64" s="157" t="e">
        <f t="shared" si="185"/>
        <v>#DIV/0!</v>
      </c>
      <c r="W64" s="157" t="e">
        <f t="shared" si="185"/>
        <v>#DIV/0!</v>
      </c>
      <c r="X64" s="157" t="e">
        <f t="shared" si="185"/>
        <v>#DIV/0!</v>
      </c>
      <c r="Y64" s="157" t="e">
        <f t="shared" si="185"/>
        <v>#DIV/0!</v>
      </c>
      <c r="Z64" s="157" t="e">
        <f t="shared" si="185"/>
        <v>#DIV/0!</v>
      </c>
      <c r="AA64" s="157" t="e">
        <f t="shared" si="185"/>
        <v>#DIV/0!</v>
      </c>
      <c r="AB64" s="157" t="e">
        <f t="shared" si="185"/>
        <v>#DIV/0!</v>
      </c>
      <c r="AC64" s="138" t="e">
        <f t="shared" si="161"/>
        <v>#DIV/0!</v>
      </c>
      <c r="AD64" s="31">
        <f t="shared" si="17"/>
        <v>0.05</v>
      </c>
      <c r="AE64" s="146" t="e">
        <f t="shared" si="162"/>
        <v>#DIV/0!</v>
      </c>
    </row>
    <row r="65" spans="2:31" x14ac:dyDescent="0.2">
      <c r="B65" s="20" t="s">
        <v>249</v>
      </c>
      <c r="C65" s="127">
        <f t="shared" ref="C65:P65" si="186">C15/C42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0</v>
      </c>
      <c r="G65" s="144" t="e">
        <f t="shared" si="186"/>
        <v>#DIV/0!</v>
      </c>
      <c r="H65" s="144" t="e">
        <f t="shared" si="186"/>
        <v>#DIV/0!</v>
      </c>
      <c r="I65" s="144" t="e">
        <f t="shared" si="186"/>
        <v>#DIV/0!</v>
      </c>
      <c r="J65" s="144" t="e">
        <f t="shared" si="186"/>
        <v>#DIV/0!</v>
      </c>
      <c r="K65" s="144" t="e">
        <f t="shared" si="186"/>
        <v>#DIV/0!</v>
      </c>
      <c r="L65" s="144" t="e">
        <f t="shared" si="186"/>
        <v>#DIV/0!</v>
      </c>
      <c r="M65" s="144" t="e">
        <f t="shared" si="186"/>
        <v>#DIV/0!</v>
      </c>
      <c r="N65" s="144" t="e">
        <f t="shared" si="186"/>
        <v>#DIV/0!</v>
      </c>
      <c r="O65" s="144" t="e">
        <f t="shared" si="186"/>
        <v>#DIV/0!</v>
      </c>
      <c r="P65" s="144" t="e">
        <f t="shared" si="186"/>
        <v>#DIV/0!</v>
      </c>
      <c r="Q65" s="118" t="e">
        <f>((P65/G65)^(1/($H$2-$H$1) ))-1</f>
        <v>#DIV/0!</v>
      </c>
      <c r="R65" s="128"/>
      <c r="S65" s="157" t="e">
        <f t="shared" ref="S65:AB65" si="187">S15/S42</f>
        <v>#DIV/0!</v>
      </c>
      <c r="T65" s="157" t="e">
        <f t="shared" si="187"/>
        <v>#DIV/0!</v>
      </c>
      <c r="U65" s="157" t="e">
        <f t="shared" si="187"/>
        <v>#DIV/0!</v>
      </c>
      <c r="V65" s="157" t="e">
        <f t="shared" si="187"/>
        <v>#DIV/0!</v>
      </c>
      <c r="W65" s="157" t="e">
        <f t="shared" si="187"/>
        <v>#DIV/0!</v>
      </c>
      <c r="X65" s="157" t="e">
        <f t="shared" si="187"/>
        <v>#DIV/0!</v>
      </c>
      <c r="Y65" s="157" t="e">
        <f t="shared" si="187"/>
        <v>#DIV/0!</v>
      </c>
      <c r="Z65" s="157" t="e">
        <f t="shared" si="187"/>
        <v>#DIV/0!</v>
      </c>
      <c r="AA65" s="157" t="e">
        <f t="shared" si="187"/>
        <v>#DIV/0!</v>
      </c>
      <c r="AB65" s="157" t="e">
        <f t="shared" si="187"/>
        <v>#DIV/0!</v>
      </c>
      <c r="AC65" s="138" t="e">
        <f t="shared" si="161"/>
        <v>#DIV/0!</v>
      </c>
      <c r="AD65" s="31">
        <f t="shared" si="17"/>
        <v>0.05</v>
      </c>
      <c r="AE65" s="146" t="e">
        <f t="shared" si="162"/>
        <v>#DIV/0!</v>
      </c>
    </row>
    <row r="66" spans="2:31" x14ac:dyDescent="0.2">
      <c r="B66" s="20" t="s">
        <v>250</v>
      </c>
      <c r="C66" s="127">
        <f t="shared" ref="C66:P66" si="188">C16/C42</f>
        <v>0</v>
      </c>
      <c r="D66" s="127">
        <f t="shared" si="188"/>
        <v>0</v>
      </c>
      <c r="E66" s="127">
        <f t="shared" si="188"/>
        <v>0</v>
      </c>
      <c r="F66" s="144">
        <f t="shared" si="188"/>
        <v>0</v>
      </c>
      <c r="G66" s="144" t="e">
        <f t="shared" si="188"/>
        <v>#DIV/0!</v>
      </c>
      <c r="H66" s="144" t="e">
        <f t="shared" si="188"/>
        <v>#DIV/0!</v>
      </c>
      <c r="I66" s="144" t="e">
        <f t="shared" si="188"/>
        <v>#DIV/0!</v>
      </c>
      <c r="J66" s="144" t="e">
        <f t="shared" si="188"/>
        <v>#DIV/0!</v>
      </c>
      <c r="K66" s="144" t="e">
        <f t="shared" si="188"/>
        <v>#DIV/0!</v>
      </c>
      <c r="L66" s="144" t="e">
        <f t="shared" si="188"/>
        <v>#DIV/0!</v>
      </c>
      <c r="M66" s="144" t="e">
        <f t="shared" si="188"/>
        <v>#DIV/0!</v>
      </c>
      <c r="N66" s="144" t="e">
        <f t="shared" si="188"/>
        <v>#DIV/0!</v>
      </c>
      <c r="O66" s="144" t="e">
        <f t="shared" si="188"/>
        <v>#DIV/0!</v>
      </c>
      <c r="P66" s="144" t="e">
        <f t="shared" si="188"/>
        <v>#DIV/0!</v>
      </c>
      <c r="Q66" s="118" t="e">
        <f>((P66/G66)^(1/($H$2-$H$1) ))-1</f>
        <v>#DIV/0!</v>
      </c>
      <c r="R66" s="128"/>
      <c r="S66" s="157" t="e">
        <f t="shared" ref="S66:AB66" si="189">S16/S42</f>
        <v>#DIV/0!</v>
      </c>
      <c r="T66" s="157" t="e">
        <f t="shared" si="189"/>
        <v>#DIV/0!</v>
      </c>
      <c r="U66" s="157" t="e">
        <f t="shared" si="189"/>
        <v>#DIV/0!</v>
      </c>
      <c r="V66" s="157" t="e">
        <f t="shared" si="189"/>
        <v>#DIV/0!</v>
      </c>
      <c r="W66" s="157" t="e">
        <f t="shared" si="189"/>
        <v>#DIV/0!</v>
      </c>
      <c r="X66" s="157" t="e">
        <f t="shared" si="189"/>
        <v>#DIV/0!</v>
      </c>
      <c r="Y66" s="157" t="e">
        <f t="shared" si="189"/>
        <v>#DIV/0!</v>
      </c>
      <c r="Z66" s="157" t="e">
        <f t="shared" si="189"/>
        <v>#DIV/0!</v>
      </c>
      <c r="AA66" s="157" t="e">
        <f t="shared" si="189"/>
        <v>#DIV/0!</v>
      </c>
      <c r="AB66" s="157" t="e">
        <f t="shared" si="189"/>
        <v>#DIV/0!</v>
      </c>
      <c r="AC66" s="138" t="e">
        <f t="shared" si="161"/>
        <v>#DIV/0!</v>
      </c>
      <c r="AD66" s="137"/>
      <c r="AE66" s="146" t="e">
        <f t="shared" si="162"/>
        <v>#DIV/0!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0">D43</f>
        <v>0</v>
      </c>
      <c r="E68" s="159">
        <f t="shared" si="190"/>
        <v>0</v>
      </c>
      <c r="F68" s="159">
        <f t="shared" si="190"/>
        <v>0</v>
      </c>
      <c r="G68" s="159">
        <f t="shared" si="190"/>
        <v>0</v>
      </c>
      <c r="H68" s="159">
        <f t="shared" si="190"/>
        <v>0</v>
      </c>
      <c r="I68" s="159">
        <f t="shared" si="190"/>
        <v>0</v>
      </c>
      <c r="J68" s="159">
        <f t="shared" si="190"/>
        <v>0</v>
      </c>
      <c r="K68" s="159">
        <f t="shared" si="190"/>
        <v>0</v>
      </c>
      <c r="L68" s="159">
        <f t="shared" si="190"/>
        <v>0</v>
      </c>
      <c r="M68" s="159">
        <f t="shared" si="190"/>
        <v>0</v>
      </c>
      <c r="N68" s="159">
        <f t="shared" si="190"/>
        <v>0</v>
      </c>
      <c r="O68" s="159">
        <f t="shared" si="190"/>
        <v>0</v>
      </c>
      <c r="P68" s="159">
        <f t="shared" si="190"/>
        <v>0</v>
      </c>
      <c r="Q68" s="118" t="e">
        <f>((P68/G68)^(1/($H$2-$H$1) ))-1</f>
        <v>#DIV/0!</v>
      </c>
      <c r="R68" s="128"/>
      <c r="S68" s="159">
        <f t="shared" ref="S68:AB68" si="191">S43</f>
        <v>0</v>
      </c>
      <c r="T68" s="159">
        <f t="shared" si="191"/>
        <v>0</v>
      </c>
      <c r="U68" s="159">
        <f t="shared" si="191"/>
        <v>0</v>
      </c>
      <c r="V68" s="159">
        <f t="shared" si="191"/>
        <v>0</v>
      </c>
      <c r="W68" s="159">
        <f t="shared" si="191"/>
        <v>0</v>
      </c>
      <c r="X68" s="159">
        <f t="shared" si="191"/>
        <v>0</v>
      </c>
      <c r="Y68" s="159">
        <f t="shared" si="191"/>
        <v>0</v>
      </c>
      <c r="Z68" s="159">
        <f t="shared" si="191"/>
        <v>0</v>
      </c>
      <c r="AA68" s="159">
        <f t="shared" si="191"/>
        <v>0</v>
      </c>
      <c r="AB68" s="159">
        <f t="shared" si="191"/>
        <v>0</v>
      </c>
      <c r="AC68" s="138" t="e">
        <f t="shared" ref="AC68" si="192">((AB68/G68)^(1/($AB$3-$H$1) ))-1</f>
        <v>#DIV/0!</v>
      </c>
      <c r="AD68" s="31">
        <f t="shared" si="17"/>
        <v>0.05</v>
      </c>
      <c r="AE68" s="146">
        <f t="shared" si="162"/>
        <v>0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93">C20+C21</f>
        <v>0</v>
      </c>
      <c r="D70" s="127">
        <f t="shared" si="193"/>
        <v>0</v>
      </c>
      <c r="E70" s="127">
        <f t="shared" si="193"/>
        <v>0</v>
      </c>
      <c r="F70" s="144">
        <f t="shared" si="193"/>
        <v>0</v>
      </c>
      <c r="G70" s="144">
        <f t="shared" si="193"/>
        <v>0</v>
      </c>
      <c r="H70" s="144">
        <f t="shared" si="193"/>
        <v>0</v>
      </c>
      <c r="I70" s="144">
        <f t="shared" si="193"/>
        <v>0</v>
      </c>
      <c r="J70" s="144">
        <f t="shared" si="193"/>
        <v>0</v>
      </c>
      <c r="K70" s="144">
        <f t="shared" si="193"/>
        <v>0</v>
      </c>
      <c r="L70" s="144">
        <f t="shared" si="193"/>
        <v>0</v>
      </c>
      <c r="M70" s="144">
        <f t="shared" si="193"/>
        <v>0</v>
      </c>
      <c r="N70" s="144">
        <f t="shared" si="193"/>
        <v>0</v>
      </c>
      <c r="O70" s="144">
        <f t="shared" si="193"/>
        <v>0</v>
      </c>
      <c r="P70" s="144">
        <f t="shared" si="193"/>
        <v>0</v>
      </c>
      <c r="Q70" s="118" t="e">
        <f>((P70/G70)^(1/($H$2-$H$1) ))-1</f>
        <v>#DIV/0!</v>
      </c>
      <c r="R70" s="128"/>
      <c r="S70" s="144">
        <f t="shared" ref="S70:AB70" si="194">S20+S21</f>
        <v>0</v>
      </c>
      <c r="T70" s="144">
        <f t="shared" si="194"/>
        <v>0</v>
      </c>
      <c r="U70" s="144">
        <f t="shared" si="194"/>
        <v>0</v>
      </c>
      <c r="V70" s="144">
        <f t="shared" si="194"/>
        <v>0</v>
      </c>
      <c r="W70" s="144">
        <f t="shared" si="194"/>
        <v>0</v>
      </c>
      <c r="X70" s="144">
        <f t="shared" si="194"/>
        <v>0</v>
      </c>
      <c r="Y70" s="144">
        <f t="shared" si="194"/>
        <v>0</v>
      </c>
      <c r="Z70" s="144">
        <f t="shared" si="194"/>
        <v>0</v>
      </c>
      <c r="AA70" s="144">
        <f t="shared" si="194"/>
        <v>0</v>
      </c>
      <c r="AB70" s="144">
        <f t="shared" si="194"/>
        <v>0</v>
      </c>
      <c r="AC70" s="138" t="e">
        <f t="shared" ref="AC70:AC75" si="195">((AB70/G70)^(1/($AB$3-$H$1) ))-1</f>
        <v>#DIV/0!</v>
      </c>
      <c r="AD70" s="31">
        <f t="shared" si="17"/>
        <v>0.05</v>
      </c>
      <c r="AE70" s="146">
        <f t="shared" si="162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96">C70/C42</f>
        <v>0</v>
      </c>
      <c r="D72" s="127">
        <f t="shared" si="196"/>
        <v>0</v>
      </c>
      <c r="E72" s="127">
        <f t="shared" si="196"/>
        <v>0</v>
      </c>
      <c r="F72" s="144">
        <f t="shared" si="196"/>
        <v>0</v>
      </c>
      <c r="G72" s="144" t="e">
        <f t="shared" si="196"/>
        <v>#DIV/0!</v>
      </c>
      <c r="H72" s="144" t="e">
        <f t="shared" si="196"/>
        <v>#DIV/0!</v>
      </c>
      <c r="I72" s="144" t="e">
        <f t="shared" si="196"/>
        <v>#DIV/0!</v>
      </c>
      <c r="J72" s="144" t="e">
        <f t="shared" si="196"/>
        <v>#DIV/0!</v>
      </c>
      <c r="K72" s="144" t="e">
        <f t="shared" si="196"/>
        <v>#DIV/0!</v>
      </c>
      <c r="L72" s="144" t="e">
        <f t="shared" si="196"/>
        <v>#DIV/0!</v>
      </c>
      <c r="M72" s="144" t="e">
        <f t="shared" si="196"/>
        <v>#DIV/0!</v>
      </c>
      <c r="N72" s="144" t="e">
        <f t="shared" si="196"/>
        <v>#DIV/0!</v>
      </c>
      <c r="O72" s="144" t="e">
        <f t="shared" si="196"/>
        <v>#DIV/0!</v>
      </c>
      <c r="P72" s="144" t="e">
        <f t="shared" si="196"/>
        <v>#DIV/0!</v>
      </c>
      <c r="Q72" s="118" t="e">
        <f>((P72/G72)^(1/($H$2-$H$1) ))-1</f>
        <v>#DIV/0!</v>
      </c>
      <c r="R72" s="128"/>
      <c r="S72" s="146" t="e">
        <f t="shared" ref="S72:AB72" si="197">S70/S42</f>
        <v>#DIV/0!</v>
      </c>
      <c r="T72" s="146" t="e">
        <f t="shared" si="197"/>
        <v>#DIV/0!</v>
      </c>
      <c r="U72" s="146" t="e">
        <f t="shared" si="197"/>
        <v>#DIV/0!</v>
      </c>
      <c r="V72" s="146" t="e">
        <f t="shared" si="197"/>
        <v>#DIV/0!</v>
      </c>
      <c r="W72" s="146" t="e">
        <f t="shared" si="197"/>
        <v>#DIV/0!</v>
      </c>
      <c r="X72" s="146" t="e">
        <f t="shared" si="197"/>
        <v>#DIV/0!</v>
      </c>
      <c r="Y72" s="146" t="e">
        <f t="shared" si="197"/>
        <v>#DIV/0!</v>
      </c>
      <c r="Z72" s="146" t="e">
        <f t="shared" si="197"/>
        <v>#DIV/0!</v>
      </c>
      <c r="AA72" s="146" t="e">
        <f t="shared" si="197"/>
        <v>#DIV/0!</v>
      </c>
      <c r="AB72" s="146" t="e">
        <f t="shared" si="197"/>
        <v>#DIV/0!</v>
      </c>
      <c r="AC72" s="138" t="e">
        <f t="shared" si="195"/>
        <v>#DIV/0!</v>
      </c>
      <c r="AD72" s="31">
        <f t="shared" si="17"/>
        <v>0.05</v>
      </c>
      <c r="AE72" s="146" t="e">
        <f t="shared" si="162"/>
        <v>#DIV/0!</v>
      </c>
    </row>
    <row r="73" spans="2:31" x14ac:dyDescent="0.2">
      <c r="B73" s="20" t="s">
        <v>287</v>
      </c>
      <c r="C73" s="127">
        <f t="shared" ref="C73:P73" si="198">C20/C42</f>
        <v>0</v>
      </c>
      <c r="D73" s="127">
        <f t="shared" si="198"/>
        <v>0</v>
      </c>
      <c r="E73" s="127">
        <f t="shared" si="198"/>
        <v>0</v>
      </c>
      <c r="F73" s="144">
        <f t="shared" si="198"/>
        <v>0</v>
      </c>
      <c r="G73" s="144" t="e">
        <f t="shared" si="198"/>
        <v>#DIV/0!</v>
      </c>
      <c r="H73" s="144" t="e">
        <f t="shared" si="198"/>
        <v>#DIV/0!</v>
      </c>
      <c r="I73" s="144" t="e">
        <f t="shared" si="198"/>
        <v>#DIV/0!</v>
      </c>
      <c r="J73" s="144" t="e">
        <f t="shared" si="198"/>
        <v>#DIV/0!</v>
      </c>
      <c r="K73" s="144" t="e">
        <f t="shared" si="198"/>
        <v>#DIV/0!</v>
      </c>
      <c r="L73" s="144" t="e">
        <f t="shared" si="198"/>
        <v>#DIV/0!</v>
      </c>
      <c r="M73" s="144" t="e">
        <f t="shared" si="198"/>
        <v>#DIV/0!</v>
      </c>
      <c r="N73" s="144" t="e">
        <f t="shared" si="198"/>
        <v>#DIV/0!</v>
      </c>
      <c r="O73" s="144" t="e">
        <f t="shared" si="198"/>
        <v>#DIV/0!</v>
      </c>
      <c r="P73" s="144" t="e">
        <f t="shared" si="198"/>
        <v>#DIV/0!</v>
      </c>
      <c r="Q73" s="118" t="e">
        <f>((P73/G73)^(1/($H$2-$H$1) ))-1</f>
        <v>#DIV/0!</v>
      </c>
      <c r="R73" s="128"/>
      <c r="S73" s="146" t="e">
        <f t="shared" ref="S73:AB73" si="199">S20/S42</f>
        <v>#DIV/0!</v>
      </c>
      <c r="T73" s="146" t="e">
        <f t="shared" si="199"/>
        <v>#DIV/0!</v>
      </c>
      <c r="U73" s="146" t="e">
        <f t="shared" si="199"/>
        <v>#DIV/0!</v>
      </c>
      <c r="V73" s="146" t="e">
        <f t="shared" si="199"/>
        <v>#DIV/0!</v>
      </c>
      <c r="W73" s="146" t="e">
        <f t="shared" si="199"/>
        <v>#DIV/0!</v>
      </c>
      <c r="X73" s="146" t="e">
        <f t="shared" si="199"/>
        <v>#DIV/0!</v>
      </c>
      <c r="Y73" s="146" t="e">
        <f t="shared" si="199"/>
        <v>#DIV/0!</v>
      </c>
      <c r="Z73" s="146" t="e">
        <f t="shared" si="199"/>
        <v>#DIV/0!</v>
      </c>
      <c r="AA73" s="146" t="e">
        <f t="shared" si="199"/>
        <v>#DIV/0!</v>
      </c>
      <c r="AB73" s="146" t="e">
        <f t="shared" si="199"/>
        <v>#DIV/0!</v>
      </c>
      <c r="AC73" s="138" t="e">
        <f t="shared" si="195"/>
        <v>#DIV/0!</v>
      </c>
      <c r="AD73" s="31">
        <f t="shared" si="17"/>
        <v>0.05</v>
      </c>
      <c r="AE73" s="146" t="e">
        <f t="shared" si="162"/>
        <v>#DIV/0!</v>
      </c>
    </row>
    <row r="74" spans="2:31" x14ac:dyDescent="0.2">
      <c r="B74" s="20" t="s">
        <v>288</v>
      </c>
      <c r="C74" s="127">
        <f t="shared" ref="C74:P74" si="200">C21/C42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0</v>
      </c>
      <c r="G74" s="144" t="e">
        <f t="shared" si="200"/>
        <v>#DIV/0!</v>
      </c>
      <c r="H74" s="144" t="e">
        <f t="shared" si="200"/>
        <v>#DIV/0!</v>
      </c>
      <c r="I74" s="144" t="e">
        <f t="shared" si="200"/>
        <v>#DIV/0!</v>
      </c>
      <c r="J74" s="144" t="e">
        <f t="shared" si="200"/>
        <v>#DIV/0!</v>
      </c>
      <c r="K74" s="144" t="e">
        <f t="shared" si="200"/>
        <v>#DIV/0!</v>
      </c>
      <c r="L74" s="144" t="e">
        <f t="shared" si="200"/>
        <v>#DIV/0!</v>
      </c>
      <c r="M74" s="144" t="e">
        <f t="shared" si="200"/>
        <v>#DIV/0!</v>
      </c>
      <c r="N74" s="144" t="e">
        <f t="shared" si="200"/>
        <v>#DIV/0!</v>
      </c>
      <c r="O74" s="144" t="e">
        <f t="shared" si="200"/>
        <v>#DIV/0!</v>
      </c>
      <c r="P74" s="144" t="e">
        <f t="shared" si="200"/>
        <v>#DIV/0!</v>
      </c>
      <c r="Q74" s="118" t="e">
        <f>((P74/G74)^(1/($H$2-$H$1) ))-1</f>
        <v>#DIV/0!</v>
      </c>
      <c r="R74" s="128"/>
      <c r="S74" s="146" t="e">
        <f t="shared" ref="S74:AB74" si="201">S21/S42</f>
        <v>#DIV/0!</v>
      </c>
      <c r="T74" s="146" t="e">
        <f t="shared" si="201"/>
        <v>#DIV/0!</v>
      </c>
      <c r="U74" s="146" t="e">
        <f t="shared" si="201"/>
        <v>#DIV/0!</v>
      </c>
      <c r="V74" s="146" t="e">
        <f t="shared" si="201"/>
        <v>#DIV/0!</v>
      </c>
      <c r="W74" s="146" t="e">
        <f t="shared" si="201"/>
        <v>#DIV/0!</v>
      </c>
      <c r="X74" s="146" t="e">
        <f t="shared" si="201"/>
        <v>#DIV/0!</v>
      </c>
      <c r="Y74" s="146" t="e">
        <f t="shared" si="201"/>
        <v>#DIV/0!</v>
      </c>
      <c r="Z74" s="146" t="e">
        <f t="shared" si="201"/>
        <v>#DIV/0!</v>
      </c>
      <c r="AA74" s="146" t="e">
        <f t="shared" si="201"/>
        <v>#DIV/0!</v>
      </c>
      <c r="AB74" s="146" t="e">
        <f t="shared" si="201"/>
        <v>#DIV/0!</v>
      </c>
      <c r="AC74" s="138" t="e">
        <f t="shared" si="195"/>
        <v>#DIV/0!</v>
      </c>
      <c r="AD74" s="31">
        <f t="shared" si="17"/>
        <v>0.05</v>
      </c>
      <c r="AE74" s="146" t="e">
        <f t="shared" si="162"/>
        <v>#DIV/0!</v>
      </c>
    </row>
    <row r="75" spans="2:31" x14ac:dyDescent="0.2">
      <c r="B75" s="20" t="s">
        <v>289</v>
      </c>
      <c r="C75" s="127">
        <f t="shared" ref="C75:P75" si="202">C22/C42</f>
        <v>0</v>
      </c>
      <c r="D75" s="127">
        <f t="shared" si="202"/>
        <v>0</v>
      </c>
      <c r="E75" s="127">
        <f t="shared" si="202"/>
        <v>0</v>
      </c>
      <c r="F75" s="144">
        <f t="shared" si="202"/>
        <v>0</v>
      </c>
      <c r="G75" s="144" t="e">
        <f t="shared" si="202"/>
        <v>#DIV/0!</v>
      </c>
      <c r="H75" s="144" t="e">
        <f t="shared" si="202"/>
        <v>#DIV/0!</v>
      </c>
      <c r="I75" s="144" t="e">
        <f t="shared" si="202"/>
        <v>#DIV/0!</v>
      </c>
      <c r="J75" s="144" t="e">
        <f t="shared" si="202"/>
        <v>#DIV/0!</v>
      </c>
      <c r="K75" s="144" t="e">
        <f t="shared" si="202"/>
        <v>#DIV/0!</v>
      </c>
      <c r="L75" s="144" t="e">
        <f t="shared" si="202"/>
        <v>#DIV/0!</v>
      </c>
      <c r="M75" s="144" t="e">
        <f t="shared" si="202"/>
        <v>#DIV/0!</v>
      </c>
      <c r="N75" s="144" t="e">
        <f t="shared" si="202"/>
        <v>#DIV/0!</v>
      </c>
      <c r="O75" s="144" t="e">
        <f t="shared" si="202"/>
        <v>#DIV/0!</v>
      </c>
      <c r="P75" s="144" t="e">
        <f t="shared" si="202"/>
        <v>#DIV/0!</v>
      </c>
      <c r="Q75" s="118" t="e">
        <f>((P75/G75)^(1/($H$2-$H$1) ))-1</f>
        <v>#DIV/0!</v>
      </c>
      <c r="R75" s="128"/>
      <c r="S75" s="146" t="e">
        <f t="shared" ref="S75:AB75" si="203">S22/S42</f>
        <v>#DIV/0!</v>
      </c>
      <c r="T75" s="146" t="e">
        <f t="shared" si="203"/>
        <v>#DIV/0!</v>
      </c>
      <c r="U75" s="146" t="e">
        <f t="shared" si="203"/>
        <v>#DIV/0!</v>
      </c>
      <c r="V75" s="146" t="e">
        <f t="shared" si="203"/>
        <v>#DIV/0!</v>
      </c>
      <c r="W75" s="146" t="e">
        <f t="shared" si="203"/>
        <v>#DIV/0!</v>
      </c>
      <c r="X75" s="146" t="e">
        <f t="shared" si="203"/>
        <v>#DIV/0!</v>
      </c>
      <c r="Y75" s="146" t="e">
        <f t="shared" si="203"/>
        <v>#DIV/0!</v>
      </c>
      <c r="Z75" s="146" t="e">
        <f t="shared" si="203"/>
        <v>#DIV/0!</v>
      </c>
      <c r="AA75" s="146" t="e">
        <f t="shared" si="203"/>
        <v>#DIV/0!</v>
      </c>
      <c r="AB75" s="146" t="e">
        <f t="shared" si="203"/>
        <v>#DIV/0!</v>
      </c>
      <c r="AC75" s="138" t="e">
        <f t="shared" si="195"/>
        <v>#DIV/0!</v>
      </c>
      <c r="AD75" s="31">
        <f t="shared" si="17"/>
        <v>0.05</v>
      </c>
      <c r="AE75" s="146" t="e">
        <f t="shared" si="162"/>
        <v>#DIV/0!</v>
      </c>
    </row>
    <row r="76" spans="2:31" x14ac:dyDescent="0.2">
      <c r="B76" s="20" t="s">
        <v>296</v>
      </c>
      <c r="C76" s="127">
        <f t="shared" ref="C76:P76" si="204">C23/C42</f>
        <v>0</v>
      </c>
      <c r="D76" s="127">
        <f t="shared" si="204"/>
        <v>0</v>
      </c>
      <c r="E76" s="127">
        <f t="shared" si="204"/>
        <v>0</v>
      </c>
      <c r="F76" s="144">
        <f t="shared" si="204"/>
        <v>0</v>
      </c>
      <c r="G76" s="144" t="e">
        <f t="shared" si="204"/>
        <v>#DIV/0!</v>
      </c>
      <c r="H76" s="144" t="e">
        <f t="shared" si="204"/>
        <v>#DIV/0!</v>
      </c>
      <c r="I76" s="144" t="e">
        <f t="shared" si="204"/>
        <v>#DIV/0!</v>
      </c>
      <c r="J76" s="144" t="e">
        <f t="shared" si="204"/>
        <v>#DIV/0!</v>
      </c>
      <c r="K76" s="144" t="e">
        <f t="shared" si="204"/>
        <v>#DIV/0!</v>
      </c>
      <c r="L76" s="144" t="e">
        <f t="shared" si="204"/>
        <v>#DIV/0!</v>
      </c>
      <c r="M76" s="144" t="e">
        <f t="shared" si="204"/>
        <v>#DIV/0!</v>
      </c>
      <c r="N76" s="144" t="e">
        <f t="shared" si="204"/>
        <v>#DIV/0!</v>
      </c>
      <c r="O76" s="144" t="e">
        <f t="shared" si="204"/>
        <v>#DIV/0!</v>
      </c>
      <c r="P76" s="144" t="e">
        <f t="shared" si="204"/>
        <v>#DIV/0!</v>
      </c>
      <c r="Q76" s="118" t="e">
        <f>((P76/G76)^(1/($H$2-$H$1) ))-1</f>
        <v>#DIV/0!</v>
      </c>
      <c r="R76" s="128"/>
      <c r="S76" s="146" t="e">
        <f t="shared" ref="S76:AB76" si="205">S23/S42</f>
        <v>#DIV/0!</v>
      </c>
      <c r="T76" s="146" t="e">
        <f t="shared" si="205"/>
        <v>#DIV/0!</v>
      </c>
      <c r="U76" s="146" t="e">
        <f t="shared" si="205"/>
        <v>#DIV/0!</v>
      </c>
      <c r="V76" s="146" t="e">
        <f t="shared" si="205"/>
        <v>#DIV/0!</v>
      </c>
      <c r="W76" s="146" t="e">
        <f t="shared" si="205"/>
        <v>#DIV/0!</v>
      </c>
      <c r="X76" s="146" t="e">
        <f t="shared" si="205"/>
        <v>#DIV/0!</v>
      </c>
      <c r="Y76" s="146" t="e">
        <f t="shared" si="205"/>
        <v>#DIV/0!</v>
      </c>
      <c r="Z76" s="146" t="e">
        <f t="shared" si="205"/>
        <v>#DIV/0!</v>
      </c>
      <c r="AA76" s="146" t="e">
        <f t="shared" si="205"/>
        <v>#DIV/0!</v>
      </c>
      <c r="AB76" s="146" t="e">
        <f t="shared" si="205"/>
        <v>#DIV/0!</v>
      </c>
      <c r="AC76" s="138" t="e">
        <f t="shared" ref="AC76" si="206">((AB76/G76)^(1/($AB$3-$H$1) ))-1</f>
        <v>#DIV/0!</v>
      </c>
      <c r="AD76" s="31">
        <f t="shared" si="17"/>
        <v>0.05</v>
      </c>
      <c r="AE76" s="146" t="e">
        <f t="shared" si="162"/>
        <v>#DIV/0!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7">C36/C42</f>
        <v>0</v>
      </c>
      <c r="D78" s="144">
        <f t="shared" si="207"/>
        <v>0</v>
      </c>
      <c r="E78" s="144">
        <f t="shared" si="207"/>
        <v>0</v>
      </c>
      <c r="F78" s="144">
        <f t="shared" si="207"/>
        <v>0</v>
      </c>
      <c r="G78" s="144" t="e">
        <f t="shared" si="207"/>
        <v>#DIV/0!</v>
      </c>
      <c r="H78" s="144" t="e">
        <f t="shared" si="207"/>
        <v>#DIV/0!</v>
      </c>
      <c r="I78" s="144" t="e">
        <f t="shared" si="207"/>
        <v>#DIV/0!</v>
      </c>
      <c r="J78" s="144" t="e">
        <f t="shared" si="207"/>
        <v>#DIV/0!</v>
      </c>
      <c r="K78" s="144" t="e">
        <f t="shared" si="207"/>
        <v>#DIV/0!</v>
      </c>
      <c r="L78" s="144" t="e">
        <f t="shared" si="207"/>
        <v>#DIV/0!</v>
      </c>
      <c r="M78" s="144" t="e">
        <f t="shared" si="207"/>
        <v>#DIV/0!</v>
      </c>
      <c r="N78" s="144" t="e">
        <f t="shared" si="207"/>
        <v>#DIV/0!</v>
      </c>
      <c r="O78" s="144" t="e">
        <f t="shared" si="207"/>
        <v>#DIV/0!</v>
      </c>
      <c r="P78" s="144" t="e">
        <f t="shared" si="207"/>
        <v>#DIV/0!</v>
      </c>
      <c r="Q78" s="118" t="e">
        <f>((P78/G78)^(1/($H$2-$H$1) ))-1</f>
        <v>#DIV/0!</v>
      </c>
      <c r="R78" s="128"/>
      <c r="S78" s="144" t="e">
        <f t="shared" ref="S78:AB78" si="208">S36/S42</f>
        <v>#DIV/0!</v>
      </c>
      <c r="T78" s="144" t="e">
        <f t="shared" si="208"/>
        <v>#DIV/0!</v>
      </c>
      <c r="U78" s="144" t="e">
        <f t="shared" si="208"/>
        <v>#DIV/0!</v>
      </c>
      <c r="V78" s="144" t="e">
        <f t="shared" si="208"/>
        <v>#DIV/0!</v>
      </c>
      <c r="W78" s="144" t="e">
        <f t="shared" si="208"/>
        <v>#DIV/0!</v>
      </c>
      <c r="X78" s="144" t="e">
        <f t="shared" si="208"/>
        <v>#DIV/0!</v>
      </c>
      <c r="Y78" s="144" t="e">
        <f t="shared" si="208"/>
        <v>#DIV/0!</v>
      </c>
      <c r="Z78" s="144" t="e">
        <f t="shared" si="208"/>
        <v>#DIV/0!</v>
      </c>
      <c r="AA78" s="144" t="e">
        <f t="shared" si="208"/>
        <v>#DIV/0!</v>
      </c>
      <c r="AB78" s="144" t="e">
        <f t="shared" si="208"/>
        <v>#DIV/0!</v>
      </c>
      <c r="AC78" s="138" t="e">
        <f t="shared" ref="AC78:AC80" si="209">((AB78/G78)^(1/($AB$3-$H$1) ))-1</f>
        <v>#DIV/0!</v>
      </c>
      <c r="AD78" s="31">
        <f t="shared" si="17"/>
        <v>0.05</v>
      </c>
      <c r="AE78" s="146" t="e">
        <f t="shared" si="162"/>
        <v>#DIV/0!</v>
      </c>
    </row>
    <row r="79" spans="2:31" x14ac:dyDescent="0.2">
      <c r="B79" s="20" t="s">
        <v>312</v>
      </c>
      <c r="C79" s="144">
        <f t="shared" ref="C79:P79" si="210">C40/C42</f>
        <v>0</v>
      </c>
      <c r="D79" s="144">
        <f t="shared" si="210"/>
        <v>0</v>
      </c>
      <c r="E79" s="144">
        <f t="shared" si="210"/>
        <v>0</v>
      </c>
      <c r="F79" s="144">
        <f t="shared" si="210"/>
        <v>0</v>
      </c>
      <c r="G79" s="144" t="e">
        <f t="shared" si="210"/>
        <v>#DIV/0!</v>
      </c>
      <c r="H79" s="144" t="e">
        <f t="shared" si="210"/>
        <v>#DIV/0!</v>
      </c>
      <c r="I79" s="144" t="e">
        <f t="shared" si="210"/>
        <v>#DIV/0!</v>
      </c>
      <c r="J79" s="144" t="e">
        <f t="shared" si="210"/>
        <v>#DIV/0!</v>
      </c>
      <c r="K79" s="144" t="e">
        <f t="shared" si="210"/>
        <v>#DIV/0!</v>
      </c>
      <c r="L79" s="144" t="e">
        <f t="shared" si="210"/>
        <v>#DIV/0!</v>
      </c>
      <c r="M79" s="144" t="e">
        <f t="shared" si="210"/>
        <v>#DIV/0!</v>
      </c>
      <c r="N79" s="144" t="e">
        <f t="shared" si="210"/>
        <v>#DIV/0!</v>
      </c>
      <c r="O79" s="144" t="e">
        <f t="shared" si="210"/>
        <v>#DIV/0!</v>
      </c>
      <c r="P79" s="144" t="e">
        <f t="shared" si="210"/>
        <v>#DIV/0!</v>
      </c>
      <c r="Q79" s="118" t="e">
        <f>((P79/G79)^(1/($H$2-$H$1) ))-1</f>
        <v>#DIV/0!</v>
      </c>
      <c r="R79" s="128"/>
      <c r="S79" s="144" t="e">
        <f t="shared" ref="S79:AB79" si="211">S40/S42</f>
        <v>#DIV/0!</v>
      </c>
      <c r="T79" s="144" t="e">
        <f t="shared" si="211"/>
        <v>#DIV/0!</v>
      </c>
      <c r="U79" s="144" t="e">
        <f t="shared" si="211"/>
        <v>#DIV/0!</v>
      </c>
      <c r="V79" s="144" t="e">
        <f t="shared" si="211"/>
        <v>#DIV/0!</v>
      </c>
      <c r="W79" s="144" t="e">
        <f t="shared" si="211"/>
        <v>#DIV/0!</v>
      </c>
      <c r="X79" s="144" t="e">
        <f t="shared" si="211"/>
        <v>#DIV/0!</v>
      </c>
      <c r="Y79" s="144" t="e">
        <f t="shared" si="211"/>
        <v>#DIV/0!</v>
      </c>
      <c r="Z79" s="144" t="e">
        <f t="shared" si="211"/>
        <v>#DIV/0!</v>
      </c>
      <c r="AA79" s="144" t="e">
        <f t="shared" si="211"/>
        <v>#DIV/0!</v>
      </c>
      <c r="AB79" s="144" t="e">
        <f t="shared" si="211"/>
        <v>#DIV/0!</v>
      </c>
      <c r="AC79" s="138" t="e">
        <f t="shared" si="209"/>
        <v>#DIV/0!</v>
      </c>
      <c r="AD79" s="31">
        <f t="shared" si="17"/>
        <v>0.05</v>
      </c>
      <c r="AE79" s="146" t="e">
        <f t="shared" si="162"/>
        <v>#DIV/0!</v>
      </c>
    </row>
    <row r="80" spans="2:31" x14ac:dyDescent="0.2">
      <c r="B80" s="20" t="s">
        <v>313</v>
      </c>
      <c r="C80" s="144">
        <f t="shared" ref="C80:P80" si="212">C6/C42</f>
        <v>0</v>
      </c>
      <c r="D80" s="144">
        <f t="shared" si="212"/>
        <v>0</v>
      </c>
      <c r="E80" s="144">
        <f t="shared" si="212"/>
        <v>0</v>
      </c>
      <c r="F80" s="144">
        <f t="shared" si="212"/>
        <v>0</v>
      </c>
      <c r="G80" s="144" t="e">
        <f t="shared" si="212"/>
        <v>#DIV/0!</v>
      </c>
      <c r="H80" s="144" t="e">
        <f t="shared" si="212"/>
        <v>#DIV/0!</v>
      </c>
      <c r="I80" s="144" t="e">
        <f t="shared" si="212"/>
        <v>#DIV/0!</v>
      </c>
      <c r="J80" s="144" t="e">
        <f t="shared" si="212"/>
        <v>#DIV/0!</v>
      </c>
      <c r="K80" s="144" t="e">
        <f t="shared" si="212"/>
        <v>#DIV/0!</v>
      </c>
      <c r="L80" s="144" t="e">
        <f t="shared" si="212"/>
        <v>#DIV/0!</v>
      </c>
      <c r="M80" s="144" t="e">
        <f t="shared" si="212"/>
        <v>#DIV/0!</v>
      </c>
      <c r="N80" s="144" t="e">
        <f t="shared" si="212"/>
        <v>#DIV/0!</v>
      </c>
      <c r="O80" s="144" t="e">
        <f t="shared" si="212"/>
        <v>#DIV/0!</v>
      </c>
      <c r="P80" s="144" t="e">
        <f t="shared" si="212"/>
        <v>#DIV/0!</v>
      </c>
      <c r="Q80" s="118" t="e">
        <f>((P80/G80)^(1/($H$2-$H$1) ))-1</f>
        <v>#DIV/0!</v>
      </c>
      <c r="R80" s="128"/>
      <c r="S80" s="144" t="e">
        <f t="shared" ref="S80:AB80" si="213">S6/S42</f>
        <v>#DIV/0!</v>
      </c>
      <c r="T80" s="144" t="e">
        <f t="shared" si="213"/>
        <v>#DIV/0!</v>
      </c>
      <c r="U80" s="144" t="e">
        <f t="shared" si="213"/>
        <v>#DIV/0!</v>
      </c>
      <c r="V80" s="144" t="e">
        <f t="shared" si="213"/>
        <v>#DIV/0!</v>
      </c>
      <c r="W80" s="144" t="e">
        <f t="shared" si="213"/>
        <v>#DIV/0!</v>
      </c>
      <c r="X80" s="144" t="e">
        <f t="shared" si="213"/>
        <v>#DIV/0!</v>
      </c>
      <c r="Y80" s="144" t="e">
        <f t="shared" si="213"/>
        <v>#DIV/0!</v>
      </c>
      <c r="Z80" s="144" t="e">
        <f t="shared" si="213"/>
        <v>#DIV/0!</v>
      </c>
      <c r="AA80" s="144" t="e">
        <f t="shared" si="213"/>
        <v>#DIV/0!</v>
      </c>
      <c r="AB80" s="144" t="e">
        <f t="shared" si="213"/>
        <v>#DIV/0!</v>
      </c>
      <c r="AC80" s="138" t="e">
        <f t="shared" si="209"/>
        <v>#DIV/0!</v>
      </c>
      <c r="AD80" s="31">
        <f t="shared" ref="AD80" si="214">$L$1</f>
        <v>0.05</v>
      </c>
      <c r="AE80" s="146" t="e">
        <f t="shared" si="162"/>
        <v>#DIV/0!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5">E36/E25</f>
        <v>#DIV/0!</v>
      </c>
      <c r="F84" s="152" t="e">
        <f t="shared" si="215"/>
        <v>#DIV/0!</v>
      </c>
      <c r="G84" s="152" t="e">
        <f t="shared" si="215"/>
        <v>#DIV/0!</v>
      </c>
      <c r="H84" s="152" t="e">
        <f t="shared" si="215"/>
        <v>#DIV/0!</v>
      </c>
      <c r="I84" s="152" t="e">
        <f t="shared" si="215"/>
        <v>#DIV/0!</v>
      </c>
      <c r="J84" s="152" t="e">
        <f t="shared" si="215"/>
        <v>#DIV/0!</v>
      </c>
      <c r="K84" s="152" t="e">
        <f t="shared" si="215"/>
        <v>#DIV/0!</v>
      </c>
      <c r="L84" s="152" t="e">
        <f t="shared" si="215"/>
        <v>#DIV/0!</v>
      </c>
      <c r="M84" s="152" t="e">
        <f t="shared" si="215"/>
        <v>#DIV/0!</v>
      </c>
      <c r="N84" s="152" t="e">
        <f t="shared" si="215"/>
        <v>#DIV/0!</v>
      </c>
      <c r="O84" s="152" t="e">
        <f t="shared" si="215"/>
        <v>#DIV/0!</v>
      </c>
      <c r="P84" s="152" t="e">
        <f t="shared" si="215"/>
        <v>#DIV/0!</v>
      </c>
      <c r="Q84" s="118" t="e">
        <f t="shared" ref="Q84:Q134" si="216">((P84/G84)^(1/($H$2-$H$1) ))-1</f>
        <v>#DIV/0!</v>
      </c>
      <c r="R84" s="152"/>
      <c r="S84" s="152" t="e">
        <f t="shared" ref="S84:AB84" si="217">S36/S25</f>
        <v>#DIV/0!</v>
      </c>
      <c r="T84" s="152" t="e">
        <f t="shared" si="217"/>
        <v>#DIV/0!</v>
      </c>
      <c r="U84" s="152" t="e">
        <f t="shared" si="217"/>
        <v>#DIV/0!</v>
      </c>
      <c r="V84" s="152" t="e">
        <f t="shared" si="217"/>
        <v>#DIV/0!</v>
      </c>
      <c r="W84" s="152" t="e">
        <f t="shared" si="217"/>
        <v>#DIV/0!</v>
      </c>
      <c r="X84" s="152" t="e">
        <f t="shared" si="217"/>
        <v>#DIV/0!</v>
      </c>
      <c r="Y84" s="152" t="e">
        <f t="shared" si="217"/>
        <v>#DIV/0!</v>
      </c>
      <c r="Z84" s="152" t="e">
        <f t="shared" si="217"/>
        <v>#DIV/0!</v>
      </c>
      <c r="AA84" s="152" t="e">
        <f t="shared" si="217"/>
        <v>#DIV/0!</v>
      </c>
      <c r="AB84" s="152" t="e">
        <f t="shared" si="217"/>
        <v>#DIV/0!</v>
      </c>
      <c r="AC84" s="138" t="e">
        <f t="shared" ref="AC84:AC121" si="218">((AB84/G84)^(1/($AB$3-$H$1) ))-1</f>
        <v>#DIV/0!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19">E40/E25</f>
        <v>#DIV/0!</v>
      </c>
      <c r="F85" s="152" t="e">
        <f t="shared" si="219"/>
        <v>#DIV/0!</v>
      </c>
      <c r="G85" s="152" t="e">
        <f t="shared" si="219"/>
        <v>#DIV/0!</v>
      </c>
      <c r="H85" s="152" t="e">
        <f t="shared" si="219"/>
        <v>#DIV/0!</v>
      </c>
      <c r="I85" s="152" t="e">
        <f t="shared" si="219"/>
        <v>#DIV/0!</v>
      </c>
      <c r="J85" s="152" t="e">
        <f t="shared" si="219"/>
        <v>#DIV/0!</v>
      </c>
      <c r="K85" s="152" t="e">
        <f t="shared" si="219"/>
        <v>#DIV/0!</v>
      </c>
      <c r="L85" s="152" t="e">
        <f t="shared" si="219"/>
        <v>#DIV/0!</v>
      </c>
      <c r="M85" s="152" t="e">
        <f t="shared" si="219"/>
        <v>#DIV/0!</v>
      </c>
      <c r="N85" s="152" t="e">
        <f t="shared" si="219"/>
        <v>#DIV/0!</v>
      </c>
      <c r="O85" s="152" t="e">
        <f t="shared" si="219"/>
        <v>#DIV/0!</v>
      </c>
      <c r="P85" s="152" t="e">
        <f t="shared" si="219"/>
        <v>#DIV/0!</v>
      </c>
      <c r="Q85" s="118" t="e">
        <f t="shared" si="216"/>
        <v>#DIV/0!</v>
      </c>
      <c r="R85" s="152"/>
      <c r="S85" s="152" t="e">
        <f t="shared" ref="S85:AB85" si="220">S40/S25</f>
        <v>#DIV/0!</v>
      </c>
      <c r="T85" s="152" t="e">
        <f t="shared" si="220"/>
        <v>#DIV/0!</v>
      </c>
      <c r="U85" s="152" t="e">
        <f t="shared" si="220"/>
        <v>#DIV/0!</v>
      </c>
      <c r="V85" s="152" t="e">
        <f t="shared" si="220"/>
        <v>#DIV/0!</v>
      </c>
      <c r="W85" s="152" t="e">
        <f t="shared" si="220"/>
        <v>#DIV/0!</v>
      </c>
      <c r="X85" s="152" t="e">
        <f t="shared" si="220"/>
        <v>#DIV/0!</v>
      </c>
      <c r="Y85" s="152" t="e">
        <f t="shared" si="220"/>
        <v>#DIV/0!</v>
      </c>
      <c r="Z85" s="152" t="e">
        <f t="shared" si="220"/>
        <v>#DIV/0!</v>
      </c>
      <c r="AA85" s="152" t="e">
        <f t="shared" si="220"/>
        <v>#DIV/0!</v>
      </c>
      <c r="AB85" s="152" t="e">
        <f t="shared" si="220"/>
        <v>#DIV/0!</v>
      </c>
      <c r="AC85" s="138" t="e">
        <f t="shared" si="218"/>
        <v>#DIV/0!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21">E40/E7</f>
        <v>#DIV/0!</v>
      </c>
      <c r="F86" s="152" t="e">
        <f t="shared" si="221"/>
        <v>#DIV/0!</v>
      </c>
      <c r="G86" s="152" t="e">
        <f>G40/G7</f>
        <v>#DIV/0!</v>
      </c>
      <c r="H86" s="152" t="e">
        <f t="shared" si="221"/>
        <v>#DIV/0!</v>
      </c>
      <c r="I86" s="152" t="e">
        <f t="shared" si="221"/>
        <v>#DIV/0!</v>
      </c>
      <c r="J86" s="152" t="e">
        <f t="shared" si="221"/>
        <v>#DIV/0!</v>
      </c>
      <c r="K86" s="152" t="e">
        <f t="shared" si="221"/>
        <v>#DIV/0!</v>
      </c>
      <c r="L86" s="152" t="e">
        <f t="shared" si="221"/>
        <v>#DIV/0!</v>
      </c>
      <c r="M86" s="152" t="e">
        <f t="shared" si="221"/>
        <v>#DIV/0!</v>
      </c>
      <c r="N86" s="152" t="e">
        <f t="shared" si="221"/>
        <v>#DIV/0!</v>
      </c>
      <c r="O86" s="152" t="e">
        <f t="shared" si="221"/>
        <v>#DIV/0!</v>
      </c>
      <c r="P86" s="152" t="e">
        <f t="shared" ref="P86" si="222">P40/P7</f>
        <v>#DIV/0!</v>
      </c>
      <c r="Q86" s="118" t="e">
        <f t="shared" si="216"/>
        <v>#DIV/0!</v>
      </c>
      <c r="R86" s="20"/>
      <c r="S86" s="152" t="e">
        <f t="shared" ref="S86" si="223">S40/S7</f>
        <v>#DIV/0!</v>
      </c>
      <c r="T86" s="152" t="e">
        <f t="shared" ref="T86:AB86" si="224">T40/T7</f>
        <v>#DIV/0!</v>
      </c>
      <c r="U86" s="152" t="e">
        <f t="shared" si="224"/>
        <v>#DIV/0!</v>
      </c>
      <c r="V86" s="152" t="e">
        <f t="shared" si="224"/>
        <v>#DIV/0!</v>
      </c>
      <c r="W86" s="152" t="e">
        <f t="shared" si="224"/>
        <v>#DIV/0!</v>
      </c>
      <c r="X86" s="152" t="e">
        <f t="shared" si="224"/>
        <v>#DIV/0!</v>
      </c>
      <c r="Y86" s="152" t="e">
        <f t="shared" si="224"/>
        <v>#DIV/0!</v>
      </c>
      <c r="Z86" s="152" t="e">
        <f t="shared" si="224"/>
        <v>#DIV/0!</v>
      </c>
      <c r="AA86" s="152" t="e">
        <f t="shared" si="224"/>
        <v>#DIV/0!</v>
      </c>
      <c r="AB86" s="152" t="e">
        <f t="shared" si="224"/>
        <v>#DIV/0!</v>
      </c>
      <c r="AC86" s="138" t="e">
        <f t="shared" si="218"/>
        <v>#DIV/0!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25">(E40)/(E7+E10)</f>
        <v>#DIV/0!</v>
      </c>
      <c r="F87" s="152" t="e">
        <f t="shared" si="225"/>
        <v>#DIV/0!</v>
      </c>
      <c r="G87" s="152" t="e">
        <f>(G40)/(G7+G10)</f>
        <v>#DIV/0!</v>
      </c>
      <c r="H87" s="152" t="e">
        <f t="shared" ref="H87:O87" si="226">(H40)/(H7+H10)</f>
        <v>#DIV/0!</v>
      </c>
      <c r="I87" s="152" t="e">
        <f t="shared" si="226"/>
        <v>#DIV/0!</v>
      </c>
      <c r="J87" s="152" t="e">
        <f t="shared" si="226"/>
        <v>#DIV/0!</v>
      </c>
      <c r="K87" s="152" t="e">
        <f t="shared" si="226"/>
        <v>#DIV/0!</v>
      </c>
      <c r="L87" s="152" t="e">
        <f t="shared" si="226"/>
        <v>#DIV/0!</v>
      </c>
      <c r="M87" s="152" t="e">
        <f t="shared" si="226"/>
        <v>#DIV/0!</v>
      </c>
      <c r="N87" s="152" t="e">
        <f t="shared" si="226"/>
        <v>#DIV/0!</v>
      </c>
      <c r="O87" s="152" t="e">
        <f t="shared" si="226"/>
        <v>#DIV/0!</v>
      </c>
      <c r="P87" s="152" t="e">
        <f t="shared" ref="P87" si="227">(P40)/(P7+P10)</f>
        <v>#DIV/0!</v>
      </c>
      <c r="Q87" s="118" t="e">
        <f t="shared" si="216"/>
        <v>#DIV/0!</v>
      </c>
      <c r="R87" s="20"/>
      <c r="S87" s="152" t="e">
        <f t="shared" ref="S87:AB87" si="228">(S40)/(S7+S10)</f>
        <v>#DIV/0!</v>
      </c>
      <c r="T87" s="152" t="e">
        <f t="shared" si="228"/>
        <v>#DIV/0!</v>
      </c>
      <c r="U87" s="152" t="e">
        <f t="shared" si="228"/>
        <v>#DIV/0!</v>
      </c>
      <c r="V87" s="152" t="e">
        <f t="shared" si="228"/>
        <v>#DIV/0!</v>
      </c>
      <c r="W87" s="152" t="e">
        <f t="shared" si="228"/>
        <v>#DIV/0!</v>
      </c>
      <c r="X87" s="152" t="e">
        <f t="shared" si="228"/>
        <v>#DIV/0!</v>
      </c>
      <c r="Y87" s="152" t="e">
        <f t="shared" si="228"/>
        <v>#DIV/0!</v>
      </c>
      <c r="Z87" s="152" t="e">
        <f t="shared" si="228"/>
        <v>#DIV/0!</v>
      </c>
      <c r="AA87" s="152" t="e">
        <f t="shared" si="228"/>
        <v>#DIV/0!</v>
      </c>
      <c r="AB87" s="152" t="e">
        <f t="shared" si="228"/>
        <v>#DIV/0!</v>
      </c>
      <c r="AC87" s="138" t="e">
        <f t="shared" si="218"/>
        <v>#DIV/0!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 t="e">
        <f>G20/G25</f>
        <v>#DIV/0!</v>
      </c>
      <c r="H88" s="152" t="e">
        <f t="shared" ref="H88:P88" si="229">H20/H25</f>
        <v>#DIV/0!</v>
      </c>
      <c r="I88" s="152" t="e">
        <f t="shared" si="229"/>
        <v>#DIV/0!</v>
      </c>
      <c r="J88" s="152" t="e">
        <f t="shared" si="229"/>
        <v>#DIV/0!</v>
      </c>
      <c r="K88" s="152" t="e">
        <f t="shared" si="229"/>
        <v>#DIV/0!</v>
      </c>
      <c r="L88" s="152" t="e">
        <f t="shared" si="229"/>
        <v>#DIV/0!</v>
      </c>
      <c r="M88" s="152" t="e">
        <f t="shared" si="229"/>
        <v>#DIV/0!</v>
      </c>
      <c r="N88" s="152" t="e">
        <f t="shared" si="229"/>
        <v>#DIV/0!</v>
      </c>
      <c r="O88" s="152" t="e">
        <f t="shared" si="229"/>
        <v>#DIV/0!</v>
      </c>
      <c r="P88" s="152" t="e">
        <f t="shared" si="229"/>
        <v>#DIV/0!</v>
      </c>
      <c r="Q88" s="118" t="e">
        <f t="shared" si="216"/>
        <v>#DIV/0!</v>
      </c>
      <c r="R88" s="20"/>
      <c r="S88" s="152" t="e">
        <f t="shared" ref="S88:AB88" si="230">S20/S25</f>
        <v>#DIV/0!</v>
      </c>
      <c r="T88" s="152" t="e">
        <f t="shared" si="230"/>
        <v>#DIV/0!</v>
      </c>
      <c r="U88" s="152" t="e">
        <f t="shared" si="230"/>
        <v>#DIV/0!</v>
      </c>
      <c r="V88" s="152" t="e">
        <f t="shared" si="230"/>
        <v>#DIV/0!</v>
      </c>
      <c r="W88" s="152" t="e">
        <f t="shared" si="230"/>
        <v>#DIV/0!</v>
      </c>
      <c r="X88" s="152" t="e">
        <f t="shared" si="230"/>
        <v>#DIV/0!</v>
      </c>
      <c r="Y88" s="152" t="e">
        <f t="shared" si="230"/>
        <v>#DIV/0!</v>
      </c>
      <c r="Z88" s="152" t="e">
        <f t="shared" si="230"/>
        <v>#DIV/0!</v>
      </c>
      <c r="AA88" s="152" t="e">
        <f t="shared" si="230"/>
        <v>#DIV/0!</v>
      </c>
      <c r="AB88" s="152" t="e">
        <f t="shared" si="230"/>
        <v>#DIV/0!</v>
      </c>
      <c r="AC88" s="138" t="e">
        <f t="shared" si="218"/>
        <v>#DIV/0!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 t="e">
        <f>G29/G25</f>
        <v>#DIV/0!</v>
      </c>
      <c r="H90" s="152" t="e">
        <f t="shared" ref="H90:P90" si="231">H29/H25</f>
        <v>#DIV/0!</v>
      </c>
      <c r="I90" s="152" t="e">
        <f t="shared" si="231"/>
        <v>#DIV/0!</v>
      </c>
      <c r="J90" s="152" t="e">
        <f t="shared" si="231"/>
        <v>#DIV/0!</v>
      </c>
      <c r="K90" s="152" t="e">
        <f t="shared" si="231"/>
        <v>#DIV/0!</v>
      </c>
      <c r="L90" s="152" t="e">
        <f t="shared" si="231"/>
        <v>#DIV/0!</v>
      </c>
      <c r="M90" s="152" t="e">
        <f t="shared" si="231"/>
        <v>#DIV/0!</v>
      </c>
      <c r="N90" s="152" t="e">
        <f t="shared" si="231"/>
        <v>#DIV/0!</v>
      </c>
      <c r="O90" s="152" t="e">
        <f t="shared" si="231"/>
        <v>#DIV/0!</v>
      </c>
      <c r="P90" s="152" t="e">
        <f t="shared" si="231"/>
        <v>#DIV/0!</v>
      </c>
      <c r="Q90" s="118" t="e">
        <f t="shared" si="216"/>
        <v>#DIV/0!</v>
      </c>
      <c r="R90" s="20"/>
      <c r="S90" s="152" t="e">
        <f t="shared" ref="S90:AB90" si="232">S29/S25</f>
        <v>#DIV/0!</v>
      </c>
      <c r="T90" s="152" t="e">
        <f t="shared" si="232"/>
        <v>#DIV/0!</v>
      </c>
      <c r="U90" s="152" t="e">
        <f t="shared" si="232"/>
        <v>#DIV/0!</v>
      </c>
      <c r="V90" s="152" t="e">
        <f t="shared" si="232"/>
        <v>#DIV/0!</v>
      </c>
      <c r="W90" s="152" t="e">
        <f t="shared" si="232"/>
        <v>#DIV/0!</v>
      </c>
      <c r="X90" s="152" t="e">
        <f t="shared" si="232"/>
        <v>#DIV/0!</v>
      </c>
      <c r="Y90" s="152" t="e">
        <f t="shared" si="232"/>
        <v>#DIV/0!</v>
      </c>
      <c r="Z90" s="152" t="e">
        <f t="shared" si="232"/>
        <v>#DIV/0!</v>
      </c>
      <c r="AA90" s="152" t="e">
        <f t="shared" si="232"/>
        <v>#DIV/0!</v>
      </c>
      <c r="AB90" s="152" t="e">
        <f t="shared" si="232"/>
        <v>#DIV/0!</v>
      </c>
      <c r="AC90" s="138" t="e">
        <f t="shared" si="218"/>
        <v>#DIV/0!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 t="e">
        <f>G29/G36</f>
        <v>#DIV/0!</v>
      </c>
      <c r="H91" s="152" t="e">
        <f t="shared" ref="H91:P91" si="233">H29/H36</f>
        <v>#DIV/0!</v>
      </c>
      <c r="I91" s="152" t="e">
        <f t="shared" si="233"/>
        <v>#DIV/0!</v>
      </c>
      <c r="J91" s="152" t="e">
        <f t="shared" si="233"/>
        <v>#DIV/0!</v>
      </c>
      <c r="K91" s="152" t="e">
        <f t="shared" si="233"/>
        <v>#DIV/0!</v>
      </c>
      <c r="L91" s="152" t="e">
        <f t="shared" si="233"/>
        <v>#DIV/0!</v>
      </c>
      <c r="M91" s="152" t="e">
        <f t="shared" si="233"/>
        <v>#DIV/0!</v>
      </c>
      <c r="N91" s="152" t="e">
        <f t="shared" si="233"/>
        <v>#DIV/0!</v>
      </c>
      <c r="O91" s="152" t="e">
        <f t="shared" si="233"/>
        <v>#DIV/0!</v>
      </c>
      <c r="P91" s="152" t="e">
        <f t="shared" si="233"/>
        <v>#DIV/0!</v>
      </c>
      <c r="Q91" s="118" t="e">
        <f t="shared" ref="Q91" si="234">((P91/G91)^(1/($H$2-$H$1) ))-1</f>
        <v>#DIV/0!</v>
      </c>
      <c r="R91" s="20"/>
      <c r="S91" s="152" t="e">
        <f t="shared" ref="S91:AB91" si="235">S29/S36</f>
        <v>#DIV/0!</v>
      </c>
      <c r="T91" s="152" t="e">
        <f t="shared" si="235"/>
        <v>#DIV/0!</v>
      </c>
      <c r="U91" s="152" t="e">
        <f t="shared" si="235"/>
        <v>#DIV/0!</v>
      </c>
      <c r="V91" s="152" t="e">
        <f t="shared" si="235"/>
        <v>#DIV/0!</v>
      </c>
      <c r="W91" s="152" t="e">
        <f t="shared" si="235"/>
        <v>#DIV/0!</v>
      </c>
      <c r="X91" s="152" t="e">
        <f t="shared" si="235"/>
        <v>#DIV/0!</v>
      </c>
      <c r="Y91" s="152" t="e">
        <f t="shared" si="235"/>
        <v>#DIV/0!</v>
      </c>
      <c r="Z91" s="152" t="e">
        <f t="shared" si="235"/>
        <v>#DIV/0!</v>
      </c>
      <c r="AA91" s="152" t="e">
        <f t="shared" si="235"/>
        <v>#DIV/0!</v>
      </c>
      <c r="AB91" s="152" t="e">
        <f t="shared" si="235"/>
        <v>#DIV/0!</v>
      </c>
      <c r="AC91" s="138" t="e">
        <f t="shared" ref="AC91" si="236">((AB91/G91)^(1/($AB$3-$H$1) ))-1</f>
        <v>#DIV/0!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 t="e">
        <f t="shared" ref="G92:P92" si="237">G29/G40</f>
        <v>#DIV/0!</v>
      </c>
      <c r="H92" s="171" t="e">
        <f t="shared" si="237"/>
        <v>#DIV/0!</v>
      </c>
      <c r="I92" s="171" t="e">
        <f t="shared" si="237"/>
        <v>#DIV/0!</v>
      </c>
      <c r="J92" s="171" t="e">
        <f t="shared" si="237"/>
        <v>#DIV/0!</v>
      </c>
      <c r="K92" s="171" t="e">
        <f t="shared" si="237"/>
        <v>#DIV/0!</v>
      </c>
      <c r="L92" s="171" t="e">
        <f t="shared" si="237"/>
        <v>#DIV/0!</v>
      </c>
      <c r="M92" s="171" t="e">
        <f t="shared" si="237"/>
        <v>#DIV/0!</v>
      </c>
      <c r="N92" s="171" t="e">
        <f t="shared" si="237"/>
        <v>#DIV/0!</v>
      </c>
      <c r="O92" s="171" t="e">
        <f t="shared" si="237"/>
        <v>#DIV/0!</v>
      </c>
      <c r="P92" s="171" t="e">
        <f t="shared" si="237"/>
        <v>#DIV/0!</v>
      </c>
      <c r="Q92" s="118" t="e">
        <f t="shared" ref="Q92" si="238">((P92/G92)^(1/($H$2-$H$1) ))-1</f>
        <v>#DIV/0!</v>
      </c>
      <c r="R92" s="20"/>
      <c r="S92" s="171" t="e">
        <f t="shared" ref="S92:AB92" si="239">S29/S40</f>
        <v>#DIV/0!</v>
      </c>
      <c r="T92" s="171" t="e">
        <f t="shared" si="239"/>
        <v>#DIV/0!</v>
      </c>
      <c r="U92" s="171" t="e">
        <f t="shared" si="239"/>
        <v>#DIV/0!</v>
      </c>
      <c r="V92" s="171" t="e">
        <f t="shared" si="239"/>
        <v>#DIV/0!</v>
      </c>
      <c r="W92" s="171" t="e">
        <f t="shared" si="239"/>
        <v>#DIV/0!</v>
      </c>
      <c r="X92" s="171" t="e">
        <f t="shared" si="239"/>
        <v>#DIV/0!</v>
      </c>
      <c r="Y92" s="171" t="e">
        <f t="shared" si="239"/>
        <v>#DIV/0!</v>
      </c>
      <c r="Z92" s="171" t="e">
        <f t="shared" si="239"/>
        <v>#DIV/0!</v>
      </c>
      <c r="AA92" s="171" t="e">
        <f t="shared" si="239"/>
        <v>#DIV/0!</v>
      </c>
      <c r="AB92" s="171" t="e">
        <f t="shared" si="239"/>
        <v>#DIV/0!</v>
      </c>
      <c r="AC92" s="138" t="e">
        <f t="shared" ref="AC92" si="240">((AB92/G92)^(1/($AB$3-$H$1) ))-1</f>
        <v>#DIV/0!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 t="e">
        <f t="shared" ref="G93:P93" si="241">G29/G12</f>
        <v>#DIV/0!</v>
      </c>
      <c r="H93" s="171" t="e">
        <f t="shared" si="241"/>
        <v>#DIV/0!</v>
      </c>
      <c r="I93" s="171" t="e">
        <f t="shared" si="241"/>
        <v>#DIV/0!</v>
      </c>
      <c r="J93" s="171" t="e">
        <f t="shared" si="241"/>
        <v>#DIV/0!</v>
      </c>
      <c r="K93" s="171" t="e">
        <f t="shared" si="241"/>
        <v>#DIV/0!</v>
      </c>
      <c r="L93" s="171" t="e">
        <f t="shared" si="241"/>
        <v>#DIV/0!</v>
      </c>
      <c r="M93" s="171" t="e">
        <f t="shared" si="241"/>
        <v>#DIV/0!</v>
      </c>
      <c r="N93" s="171" t="e">
        <f t="shared" si="241"/>
        <v>#DIV/0!</v>
      </c>
      <c r="O93" s="171" t="e">
        <f t="shared" si="241"/>
        <v>#DIV/0!</v>
      </c>
      <c r="P93" s="171" t="e">
        <f t="shared" si="241"/>
        <v>#DIV/0!</v>
      </c>
      <c r="Q93" s="118" t="e">
        <f t="shared" si="216"/>
        <v>#DIV/0!</v>
      </c>
      <c r="R93" s="20"/>
      <c r="S93" s="152" t="e">
        <f t="shared" ref="S93:AB93" si="242">S29/S12</f>
        <v>#DIV/0!</v>
      </c>
      <c r="T93" s="152" t="e">
        <f t="shared" si="242"/>
        <v>#DIV/0!</v>
      </c>
      <c r="U93" s="152" t="e">
        <f t="shared" si="242"/>
        <v>#DIV/0!</v>
      </c>
      <c r="V93" s="152" t="e">
        <f t="shared" si="242"/>
        <v>#DIV/0!</v>
      </c>
      <c r="W93" s="152" t="e">
        <f t="shared" si="242"/>
        <v>#DIV/0!</v>
      </c>
      <c r="X93" s="152" t="e">
        <f t="shared" si="242"/>
        <v>#DIV/0!</v>
      </c>
      <c r="Y93" s="152" t="e">
        <f t="shared" si="242"/>
        <v>#DIV/0!</v>
      </c>
      <c r="Z93" s="152" t="e">
        <f t="shared" si="242"/>
        <v>#DIV/0!</v>
      </c>
      <c r="AA93" s="152" t="e">
        <f t="shared" si="242"/>
        <v>#DIV/0!</v>
      </c>
      <c r="AB93" s="152" t="e">
        <f t="shared" si="242"/>
        <v>#DIV/0!</v>
      </c>
      <c r="AC93" s="138" t="e">
        <f t="shared" si="218"/>
        <v>#DIV/0!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 t="e">
        <f>G29/G23</f>
        <v>#DIV/0!</v>
      </c>
      <c r="H94" s="171" t="e">
        <f t="shared" ref="H94:P94" si="243">H29/H23</f>
        <v>#DIV/0!</v>
      </c>
      <c r="I94" s="171" t="e">
        <f t="shared" si="243"/>
        <v>#DIV/0!</v>
      </c>
      <c r="J94" s="171" t="e">
        <f t="shared" si="243"/>
        <v>#DIV/0!</v>
      </c>
      <c r="K94" s="171" t="e">
        <f t="shared" si="243"/>
        <v>#DIV/0!</v>
      </c>
      <c r="L94" s="171" t="e">
        <f t="shared" si="243"/>
        <v>#DIV/0!</v>
      </c>
      <c r="M94" s="171" t="e">
        <f t="shared" si="243"/>
        <v>#DIV/0!</v>
      </c>
      <c r="N94" s="171" t="e">
        <f t="shared" si="243"/>
        <v>#DIV/0!</v>
      </c>
      <c r="O94" s="171" t="e">
        <f t="shared" si="243"/>
        <v>#DIV/0!</v>
      </c>
      <c r="P94" s="171" t="e">
        <f t="shared" si="243"/>
        <v>#DIV/0!</v>
      </c>
      <c r="Q94" s="118" t="e">
        <f t="shared" ref="Q94" si="244">((P94/G94)^(1/($H$2-$H$1) ))-1</f>
        <v>#DIV/0!</v>
      </c>
      <c r="R94" s="20"/>
      <c r="S94" s="171" t="e">
        <f t="shared" ref="S94:AB94" si="245">S29/S23</f>
        <v>#DIV/0!</v>
      </c>
      <c r="T94" s="171" t="e">
        <f t="shared" si="245"/>
        <v>#DIV/0!</v>
      </c>
      <c r="U94" s="171" t="e">
        <f t="shared" si="245"/>
        <v>#DIV/0!</v>
      </c>
      <c r="V94" s="171" t="e">
        <f t="shared" si="245"/>
        <v>#DIV/0!</v>
      </c>
      <c r="W94" s="171" t="e">
        <f t="shared" si="245"/>
        <v>#DIV/0!</v>
      </c>
      <c r="X94" s="171" t="e">
        <f t="shared" si="245"/>
        <v>#DIV/0!</v>
      </c>
      <c r="Y94" s="171" t="e">
        <f t="shared" si="245"/>
        <v>#DIV/0!</v>
      </c>
      <c r="Z94" s="171" t="e">
        <f t="shared" si="245"/>
        <v>#DIV/0!</v>
      </c>
      <c r="AA94" s="171" t="e">
        <f t="shared" si="245"/>
        <v>#DIV/0!</v>
      </c>
      <c r="AB94" s="171" t="e">
        <f t="shared" si="245"/>
        <v>#DIV/0!</v>
      </c>
      <c r="AC94" s="138" t="e">
        <f t="shared" ref="AC94" si="246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 t="e">
        <f>1/G90</f>
        <v>#DIV/0!</v>
      </c>
      <c r="H96" s="127" t="e">
        <f t="shared" ref="H96:P96" si="247">1/H90</f>
        <v>#DIV/0!</v>
      </c>
      <c r="I96" s="127" t="e">
        <f t="shared" si="247"/>
        <v>#DIV/0!</v>
      </c>
      <c r="J96" s="127" t="e">
        <f t="shared" si="247"/>
        <v>#DIV/0!</v>
      </c>
      <c r="K96" s="127" t="e">
        <f t="shared" si="247"/>
        <v>#DIV/0!</v>
      </c>
      <c r="L96" s="127" t="e">
        <f t="shared" si="247"/>
        <v>#DIV/0!</v>
      </c>
      <c r="M96" s="127" t="e">
        <f t="shared" si="247"/>
        <v>#DIV/0!</v>
      </c>
      <c r="N96" s="127" t="e">
        <f t="shared" si="247"/>
        <v>#DIV/0!</v>
      </c>
      <c r="O96" s="127" t="e">
        <f t="shared" si="247"/>
        <v>#DIV/0!</v>
      </c>
      <c r="P96" s="127" t="e">
        <f t="shared" si="247"/>
        <v>#DIV/0!</v>
      </c>
      <c r="Q96" s="118" t="e">
        <f t="shared" si="216"/>
        <v>#DIV/0!</v>
      </c>
      <c r="R96" s="20"/>
      <c r="S96" s="127" t="e">
        <f t="shared" ref="S96:AB96" si="248">1/S90</f>
        <v>#DIV/0!</v>
      </c>
      <c r="T96" s="127" t="e">
        <f t="shared" si="248"/>
        <v>#DIV/0!</v>
      </c>
      <c r="U96" s="127" t="e">
        <f t="shared" si="248"/>
        <v>#DIV/0!</v>
      </c>
      <c r="V96" s="127" t="e">
        <f t="shared" si="248"/>
        <v>#DIV/0!</v>
      </c>
      <c r="W96" s="127" t="e">
        <f t="shared" si="248"/>
        <v>#DIV/0!</v>
      </c>
      <c r="X96" s="127" t="e">
        <f t="shared" si="248"/>
        <v>#DIV/0!</v>
      </c>
      <c r="Y96" s="127" t="e">
        <f t="shared" si="248"/>
        <v>#DIV/0!</v>
      </c>
      <c r="Z96" s="127" t="e">
        <f t="shared" si="248"/>
        <v>#DIV/0!</v>
      </c>
      <c r="AA96" s="127" t="e">
        <f t="shared" si="248"/>
        <v>#DIV/0!</v>
      </c>
      <c r="AB96" s="127" t="e">
        <f t="shared" si="248"/>
        <v>#DIV/0!</v>
      </c>
      <c r="AC96" s="138" t="e">
        <f t="shared" si="218"/>
        <v>#DIV/0!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 t="e">
        <f t="shared" ref="G97:P100" si="249">1/G91</f>
        <v>#DIV/0!</v>
      </c>
      <c r="H97" s="127" t="e">
        <f t="shared" si="249"/>
        <v>#DIV/0!</v>
      </c>
      <c r="I97" s="127" t="e">
        <f t="shared" si="249"/>
        <v>#DIV/0!</v>
      </c>
      <c r="J97" s="127" t="e">
        <f t="shared" si="249"/>
        <v>#DIV/0!</v>
      </c>
      <c r="K97" s="127" t="e">
        <f t="shared" si="249"/>
        <v>#DIV/0!</v>
      </c>
      <c r="L97" s="127" t="e">
        <f t="shared" si="249"/>
        <v>#DIV/0!</v>
      </c>
      <c r="M97" s="127" t="e">
        <f t="shared" si="249"/>
        <v>#DIV/0!</v>
      </c>
      <c r="N97" s="127" t="e">
        <f t="shared" si="249"/>
        <v>#DIV/0!</v>
      </c>
      <c r="O97" s="127" t="e">
        <f t="shared" si="249"/>
        <v>#DIV/0!</v>
      </c>
      <c r="P97" s="127" t="e">
        <f t="shared" si="249"/>
        <v>#DIV/0!</v>
      </c>
      <c r="Q97" s="118" t="e">
        <f t="shared" si="216"/>
        <v>#DIV/0!</v>
      </c>
      <c r="R97" s="20"/>
      <c r="S97" s="127" t="e">
        <f t="shared" ref="S97:AB97" si="250">1/S91</f>
        <v>#DIV/0!</v>
      </c>
      <c r="T97" s="127" t="e">
        <f t="shared" si="250"/>
        <v>#DIV/0!</v>
      </c>
      <c r="U97" s="127" t="e">
        <f t="shared" si="250"/>
        <v>#DIV/0!</v>
      </c>
      <c r="V97" s="127" t="e">
        <f t="shared" si="250"/>
        <v>#DIV/0!</v>
      </c>
      <c r="W97" s="127" t="e">
        <f t="shared" si="250"/>
        <v>#DIV/0!</v>
      </c>
      <c r="X97" s="127" t="e">
        <f t="shared" si="250"/>
        <v>#DIV/0!</v>
      </c>
      <c r="Y97" s="127" t="e">
        <f t="shared" si="250"/>
        <v>#DIV/0!</v>
      </c>
      <c r="Z97" s="127" t="e">
        <f t="shared" si="250"/>
        <v>#DIV/0!</v>
      </c>
      <c r="AA97" s="127" t="e">
        <f t="shared" si="250"/>
        <v>#DIV/0!</v>
      </c>
      <c r="AB97" s="127" t="e">
        <f t="shared" si="250"/>
        <v>#DIV/0!</v>
      </c>
      <c r="AC97" s="138" t="e">
        <f t="shared" si="218"/>
        <v>#DIV/0!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 t="e">
        <f t="shared" si="249"/>
        <v>#DIV/0!</v>
      </c>
      <c r="H98" s="127" t="e">
        <f t="shared" si="249"/>
        <v>#DIV/0!</v>
      </c>
      <c r="I98" s="127" t="e">
        <f t="shared" si="249"/>
        <v>#DIV/0!</v>
      </c>
      <c r="J98" s="127" t="e">
        <f t="shared" si="249"/>
        <v>#DIV/0!</v>
      </c>
      <c r="K98" s="127" t="e">
        <f t="shared" si="249"/>
        <v>#DIV/0!</v>
      </c>
      <c r="L98" s="127" t="e">
        <f t="shared" si="249"/>
        <v>#DIV/0!</v>
      </c>
      <c r="M98" s="127" t="e">
        <f t="shared" si="249"/>
        <v>#DIV/0!</v>
      </c>
      <c r="N98" s="127" t="e">
        <f t="shared" si="249"/>
        <v>#DIV/0!</v>
      </c>
      <c r="O98" s="127" t="e">
        <f t="shared" si="249"/>
        <v>#DIV/0!</v>
      </c>
      <c r="P98" s="127" t="e">
        <f t="shared" si="249"/>
        <v>#DIV/0!</v>
      </c>
      <c r="Q98" s="118" t="e">
        <f t="shared" si="216"/>
        <v>#DIV/0!</v>
      </c>
      <c r="R98" s="20"/>
      <c r="S98" s="127" t="e">
        <f t="shared" ref="S98:AB98" si="251">1/S92</f>
        <v>#DIV/0!</v>
      </c>
      <c r="T98" s="127" t="e">
        <f t="shared" si="251"/>
        <v>#DIV/0!</v>
      </c>
      <c r="U98" s="127" t="e">
        <f t="shared" si="251"/>
        <v>#DIV/0!</v>
      </c>
      <c r="V98" s="127" t="e">
        <f t="shared" si="251"/>
        <v>#DIV/0!</v>
      </c>
      <c r="W98" s="127" t="e">
        <f t="shared" si="251"/>
        <v>#DIV/0!</v>
      </c>
      <c r="X98" s="127" t="e">
        <f t="shared" si="251"/>
        <v>#DIV/0!</v>
      </c>
      <c r="Y98" s="127" t="e">
        <f t="shared" si="251"/>
        <v>#DIV/0!</v>
      </c>
      <c r="Z98" s="127" t="e">
        <f t="shared" si="251"/>
        <v>#DIV/0!</v>
      </c>
      <c r="AA98" s="127" t="e">
        <f t="shared" si="251"/>
        <v>#DIV/0!</v>
      </c>
      <c r="AB98" s="127" t="e">
        <f t="shared" si="251"/>
        <v>#DIV/0!</v>
      </c>
      <c r="AC98" s="138" t="e">
        <f t="shared" si="218"/>
        <v>#DIV/0!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 t="e">
        <f t="shared" si="249"/>
        <v>#DIV/0!</v>
      </c>
      <c r="H99" s="127" t="e">
        <f t="shared" si="249"/>
        <v>#DIV/0!</v>
      </c>
      <c r="I99" s="127" t="e">
        <f t="shared" si="249"/>
        <v>#DIV/0!</v>
      </c>
      <c r="J99" s="127" t="e">
        <f t="shared" si="249"/>
        <v>#DIV/0!</v>
      </c>
      <c r="K99" s="127" t="e">
        <f t="shared" si="249"/>
        <v>#DIV/0!</v>
      </c>
      <c r="L99" s="127" t="e">
        <f t="shared" si="249"/>
        <v>#DIV/0!</v>
      </c>
      <c r="M99" s="127" t="e">
        <f t="shared" si="249"/>
        <v>#DIV/0!</v>
      </c>
      <c r="N99" s="127" t="e">
        <f t="shared" si="249"/>
        <v>#DIV/0!</v>
      </c>
      <c r="O99" s="127" t="e">
        <f t="shared" si="249"/>
        <v>#DIV/0!</v>
      </c>
      <c r="P99" s="127" t="e">
        <f t="shared" si="249"/>
        <v>#DIV/0!</v>
      </c>
      <c r="Q99" s="118" t="e">
        <f t="shared" si="216"/>
        <v>#DIV/0!</v>
      </c>
      <c r="R99" s="20"/>
      <c r="S99" s="127" t="e">
        <f t="shared" ref="S99:AB99" si="252">1/S93</f>
        <v>#DIV/0!</v>
      </c>
      <c r="T99" s="127" t="e">
        <f t="shared" si="252"/>
        <v>#DIV/0!</v>
      </c>
      <c r="U99" s="127" t="e">
        <f t="shared" si="252"/>
        <v>#DIV/0!</v>
      </c>
      <c r="V99" s="127" t="e">
        <f t="shared" si="252"/>
        <v>#DIV/0!</v>
      </c>
      <c r="W99" s="127" t="e">
        <f t="shared" si="252"/>
        <v>#DIV/0!</v>
      </c>
      <c r="X99" s="127" t="e">
        <f t="shared" si="252"/>
        <v>#DIV/0!</v>
      </c>
      <c r="Y99" s="127" t="e">
        <f t="shared" si="252"/>
        <v>#DIV/0!</v>
      </c>
      <c r="Z99" s="127" t="e">
        <f t="shared" si="252"/>
        <v>#DIV/0!</v>
      </c>
      <c r="AA99" s="127" t="e">
        <f t="shared" si="252"/>
        <v>#DIV/0!</v>
      </c>
      <c r="AB99" s="127" t="e">
        <f t="shared" si="252"/>
        <v>#DIV/0!</v>
      </c>
      <c r="AC99" s="138" t="e">
        <f t="shared" si="218"/>
        <v>#DIV/0!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 t="e">
        <f t="shared" si="249"/>
        <v>#DIV/0!</v>
      </c>
      <c r="H100" s="127" t="e">
        <f t="shared" si="249"/>
        <v>#DIV/0!</v>
      </c>
      <c r="I100" s="127" t="e">
        <f t="shared" si="249"/>
        <v>#DIV/0!</v>
      </c>
      <c r="J100" s="127" t="e">
        <f t="shared" si="249"/>
        <v>#DIV/0!</v>
      </c>
      <c r="K100" s="127" t="e">
        <f t="shared" si="249"/>
        <v>#DIV/0!</v>
      </c>
      <c r="L100" s="127" t="e">
        <f t="shared" si="249"/>
        <v>#DIV/0!</v>
      </c>
      <c r="M100" s="127" t="e">
        <f t="shared" si="249"/>
        <v>#DIV/0!</v>
      </c>
      <c r="N100" s="127" t="e">
        <f t="shared" si="249"/>
        <v>#DIV/0!</v>
      </c>
      <c r="O100" s="127" t="e">
        <f t="shared" si="249"/>
        <v>#DIV/0!</v>
      </c>
      <c r="P100" s="127" t="e">
        <f t="shared" si="249"/>
        <v>#DIV/0!</v>
      </c>
      <c r="Q100" s="118" t="e">
        <f t="shared" si="216"/>
        <v>#DIV/0!</v>
      </c>
      <c r="R100" s="20"/>
      <c r="S100" s="127" t="e">
        <f t="shared" ref="S100:AB100" si="253">1/S94</f>
        <v>#DIV/0!</v>
      </c>
      <c r="T100" s="127" t="e">
        <f t="shared" si="253"/>
        <v>#DIV/0!</v>
      </c>
      <c r="U100" s="127" t="e">
        <f t="shared" si="253"/>
        <v>#DIV/0!</v>
      </c>
      <c r="V100" s="127" t="e">
        <f t="shared" si="253"/>
        <v>#DIV/0!</v>
      </c>
      <c r="W100" s="127" t="e">
        <f t="shared" si="253"/>
        <v>#DIV/0!</v>
      </c>
      <c r="X100" s="127" t="e">
        <f t="shared" si="253"/>
        <v>#DIV/0!</v>
      </c>
      <c r="Y100" s="127" t="e">
        <f t="shared" si="253"/>
        <v>#DIV/0!</v>
      </c>
      <c r="Z100" s="127" t="e">
        <f t="shared" si="253"/>
        <v>#DIV/0!</v>
      </c>
      <c r="AA100" s="127" t="e">
        <f t="shared" si="253"/>
        <v>#DIV/0!</v>
      </c>
      <c r="AB100" s="127" t="e">
        <f t="shared" si="253"/>
        <v>#DIV/0!</v>
      </c>
      <c r="AC100" s="138" t="e">
        <f t="shared" si="218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54">F10-(F12+F13)</f>
        <v>0</v>
      </c>
      <c r="G103" s="163">
        <f t="shared" si="254"/>
        <v>0</v>
      </c>
      <c r="H103" s="163">
        <f t="shared" si="254"/>
        <v>0</v>
      </c>
      <c r="I103" s="163">
        <f t="shared" si="254"/>
        <v>0</v>
      </c>
      <c r="J103" s="163">
        <f t="shared" si="254"/>
        <v>0</v>
      </c>
      <c r="K103" s="163">
        <f t="shared" si="254"/>
        <v>0</v>
      </c>
      <c r="L103" s="163">
        <f t="shared" si="254"/>
        <v>0</v>
      </c>
      <c r="M103" s="163">
        <f t="shared" si="254"/>
        <v>0</v>
      </c>
      <c r="N103" s="163">
        <f t="shared" si="254"/>
        <v>0</v>
      </c>
      <c r="O103" s="163">
        <f t="shared" si="254"/>
        <v>0</v>
      </c>
      <c r="P103" s="163">
        <f>P10-(P12+P13)</f>
        <v>0</v>
      </c>
      <c r="Q103" s="118" t="e">
        <f t="shared" si="216"/>
        <v>#DIV/0!</v>
      </c>
      <c r="R103" s="20"/>
      <c r="S103" s="163">
        <f>S10-(S12+S13)</f>
        <v>0</v>
      </c>
      <c r="T103" s="163">
        <f t="shared" ref="T103:AB103" si="255">T10-(T12+T13)</f>
        <v>0</v>
      </c>
      <c r="U103" s="163">
        <f t="shared" si="255"/>
        <v>0</v>
      </c>
      <c r="V103" s="163">
        <f t="shared" si="255"/>
        <v>0</v>
      </c>
      <c r="W103" s="163">
        <f t="shared" si="255"/>
        <v>0</v>
      </c>
      <c r="X103" s="163">
        <f t="shared" si="255"/>
        <v>0</v>
      </c>
      <c r="Y103" s="163">
        <f t="shared" si="255"/>
        <v>0</v>
      </c>
      <c r="Z103" s="163">
        <f t="shared" si="255"/>
        <v>0</v>
      </c>
      <c r="AA103" s="163">
        <f t="shared" si="255"/>
        <v>0</v>
      </c>
      <c r="AB103" s="163">
        <f t="shared" si="255"/>
        <v>0</v>
      </c>
      <c r="AC103" s="138" t="e">
        <f t="shared" si="218"/>
        <v>#DIV/0!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 t="e">
        <f t="shared" ref="G104:P104" si="256">G40/G18</f>
        <v>#DIV/0!</v>
      </c>
      <c r="H104" s="152" t="e">
        <f t="shared" si="256"/>
        <v>#DIV/0!</v>
      </c>
      <c r="I104" s="152" t="e">
        <f t="shared" si="256"/>
        <v>#DIV/0!</v>
      </c>
      <c r="J104" s="152" t="e">
        <f t="shared" si="256"/>
        <v>#DIV/0!</v>
      </c>
      <c r="K104" s="152" t="e">
        <f t="shared" si="256"/>
        <v>#DIV/0!</v>
      </c>
      <c r="L104" s="152" t="e">
        <f t="shared" si="256"/>
        <v>#DIV/0!</v>
      </c>
      <c r="M104" s="152" t="e">
        <f t="shared" si="256"/>
        <v>#DIV/0!</v>
      </c>
      <c r="N104" s="152" t="e">
        <f t="shared" si="256"/>
        <v>#DIV/0!</v>
      </c>
      <c r="O104" s="152" t="e">
        <f t="shared" si="256"/>
        <v>#DIV/0!</v>
      </c>
      <c r="P104" s="152" t="e">
        <f t="shared" si="256"/>
        <v>#DIV/0!</v>
      </c>
      <c r="Q104" s="118" t="e">
        <f t="shared" si="216"/>
        <v>#DIV/0!</v>
      </c>
      <c r="R104" s="20"/>
      <c r="S104" s="152" t="e">
        <f t="shared" ref="S104:AB104" si="257">S40/S18</f>
        <v>#DIV/0!</v>
      </c>
      <c r="T104" s="152" t="e">
        <f t="shared" si="257"/>
        <v>#DIV/0!</v>
      </c>
      <c r="U104" s="152" t="e">
        <f t="shared" si="257"/>
        <v>#DIV/0!</v>
      </c>
      <c r="V104" s="152" t="e">
        <f t="shared" si="257"/>
        <v>#DIV/0!</v>
      </c>
      <c r="W104" s="152" t="e">
        <f t="shared" si="257"/>
        <v>#DIV/0!</v>
      </c>
      <c r="X104" s="152" t="e">
        <f t="shared" si="257"/>
        <v>#DIV/0!</v>
      </c>
      <c r="Y104" s="152" t="e">
        <f t="shared" si="257"/>
        <v>#DIV/0!</v>
      </c>
      <c r="Z104" s="152" t="e">
        <f t="shared" si="257"/>
        <v>#DIV/0!</v>
      </c>
      <c r="AA104" s="152" t="e">
        <f t="shared" si="257"/>
        <v>#DIV/0!</v>
      </c>
      <c r="AB104" s="152" t="e">
        <f t="shared" si="257"/>
        <v>#DIV/0!</v>
      </c>
      <c r="AC104" s="138" t="e">
        <f t="shared" si="218"/>
        <v>#DIV/0!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 t="e">
        <f t="shared" ref="G105:P105" si="258">G40/G25</f>
        <v>#DIV/0!</v>
      </c>
      <c r="H105" s="152" t="e">
        <f t="shared" si="258"/>
        <v>#DIV/0!</v>
      </c>
      <c r="I105" s="152" t="e">
        <f t="shared" si="258"/>
        <v>#DIV/0!</v>
      </c>
      <c r="J105" s="152" t="e">
        <f t="shared" si="258"/>
        <v>#DIV/0!</v>
      </c>
      <c r="K105" s="152" t="e">
        <f t="shared" si="258"/>
        <v>#DIV/0!</v>
      </c>
      <c r="L105" s="152" t="e">
        <f t="shared" si="258"/>
        <v>#DIV/0!</v>
      </c>
      <c r="M105" s="152" t="e">
        <f t="shared" si="258"/>
        <v>#DIV/0!</v>
      </c>
      <c r="N105" s="152" t="e">
        <f t="shared" si="258"/>
        <v>#DIV/0!</v>
      </c>
      <c r="O105" s="152" t="e">
        <f t="shared" si="258"/>
        <v>#DIV/0!</v>
      </c>
      <c r="P105" s="152" t="e">
        <f t="shared" si="258"/>
        <v>#DIV/0!</v>
      </c>
      <c r="Q105" s="118" t="e">
        <f t="shared" si="216"/>
        <v>#DIV/0!</v>
      </c>
      <c r="R105" s="20"/>
      <c r="S105" s="152" t="e">
        <f t="shared" ref="S105:AB105" si="259">S40/S25</f>
        <v>#DIV/0!</v>
      </c>
      <c r="T105" s="152" t="e">
        <f t="shared" si="259"/>
        <v>#DIV/0!</v>
      </c>
      <c r="U105" s="152" t="e">
        <f t="shared" si="259"/>
        <v>#DIV/0!</v>
      </c>
      <c r="V105" s="152" t="e">
        <f t="shared" si="259"/>
        <v>#DIV/0!</v>
      </c>
      <c r="W105" s="152" t="e">
        <f t="shared" si="259"/>
        <v>#DIV/0!</v>
      </c>
      <c r="X105" s="152" t="e">
        <f t="shared" si="259"/>
        <v>#DIV/0!</v>
      </c>
      <c r="Y105" s="152" t="e">
        <f t="shared" si="259"/>
        <v>#DIV/0!</v>
      </c>
      <c r="Z105" s="152" t="e">
        <f t="shared" si="259"/>
        <v>#DIV/0!</v>
      </c>
      <c r="AA105" s="152" t="e">
        <f t="shared" si="259"/>
        <v>#DIV/0!</v>
      </c>
      <c r="AB105" s="152" t="e">
        <f t="shared" si="259"/>
        <v>#DIV/0!</v>
      </c>
      <c r="AC105" s="138" t="e">
        <f t="shared" si="218"/>
        <v>#DIV/0!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 t="e">
        <f t="shared" ref="G106:O106" si="260">G25/G18</f>
        <v>#DIV/0!</v>
      </c>
      <c r="H106" s="152" t="e">
        <f t="shared" si="260"/>
        <v>#DIV/0!</v>
      </c>
      <c r="I106" s="152" t="e">
        <f t="shared" si="260"/>
        <v>#DIV/0!</v>
      </c>
      <c r="J106" s="152" t="e">
        <f t="shared" si="260"/>
        <v>#DIV/0!</v>
      </c>
      <c r="K106" s="152" t="e">
        <f t="shared" si="260"/>
        <v>#DIV/0!</v>
      </c>
      <c r="L106" s="152" t="e">
        <f t="shared" si="260"/>
        <v>#DIV/0!</v>
      </c>
      <c r="M106" s="152" t="e">
        <f t="shared" si="260"/>
        <v>#DIV/0!</v>
      </c>
      <c r="N106" s="152" t="e">
        <f t="shared" si="260"/>
        <v>#DIV/0!</v>
      </c>
      <c r="O106" s="152" t="e">
        <f t="shared" si="260"/>
        <v>#DIV/0!</v>
      </c>
      <c r="P106" s="152" t="e">
        <f>P25/P18</f>
        <v>#DIV/0!</v>
      </c>
      <c r="Q106" s="118" t="e">
        <f t="shared" si="216"/>
        <v>#DIV/0!</v>
      </c>
      <c r="R106" s="20"/>
      <c r="S106" s="152" t="e">
        <f>S25/S18</f>
        <v>#DIV/0!</v>
      </c>
      <c r="T106" s="152" t="e">
        <f t="shared" ref="T106:AB106" si="261">T25/T18</f>
        <v>#DIV/0!</v>
      </c>
      <c r="U106" s="152" t="e">
        <f t="shared" si="261"/>
        <v>#DIV/0!</v>
      </c>
      <c r="V106" s="152" t="e">
        <f t="shared" si="261"/>
        <v>#DIV/0!</v>
      </c>
      <c r="W106" s="152" t="e">
        <f t="shared" si="261"/>
        <v>#DIV/0!</v>
      </c>
      <c r="X106" s="152" t="e">
        <f t="shared" si="261"/>
        <v>#DIV/0!</v>
      </c>
      <c r="Y106" s="152" t="e">
        <f t="shared" si="261"/>
        <v>#DIV/0!</v>
      </c>
      <c r="Z106" s="152" t="e">
        <f t="shared" si="261"/>
        <v>#DIV/0!</v>
      </c>
      <c r="AA106" s="152" t="e">
        <f t="shared" si="261"/>
        <v>#DIV/0!</v>
      </c>
      <c r="AB106" s="152" t="e">
        <f t="shared" si="261"/>
        <v>#DIV/0!</v>
      </c>
      <c r="AC106" s="138" t="e">
        <f t="shared" si="218"/>
        <v>#DIV/0!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62">E68*E42</f>
        <v>0</v>
      </c>
      <c r="F108" s="165">
        <f t="shared" si="262"/>
        <v>0</v>
      </c>
      <c r="G108" s="165">
        <f>G68*G42</f>
        <v>0</v>
      </c>
      <c r="H108" s="165">
        <f t="shared" ref="H108:P108" si="263">H68*H42</f>
        <v>0</v>
      </c>
      <c r="I108" s="165">
        <f t="shared" si="263"/>
        <v>0</v>
      </c>
      <c r="J108" s="165">
        <f t="shared" si="263"/>
        <v>0</v>
      </c>
      <c r="K108" s="165">
        <f t="shared" si="263"/>
        <v>0</v>
      </c>
      <c r="L108" s="165">
        <f t="shared" si="263"/>
        <v>0</v>
      </c>
      <c r="M108" s="165">
        <f t="shared" si="263"/>
        <v>0</v>
      </c>
      <c r="N108" s="165">
        <f t="shared" si="263"/>
        <v>0</v>
      </c>
      <c r="O108" s="165">
        <f t="shared" si="263"/>
        <v>0</v>
      </c>
      <c r="P108" s="165">
        <f t="shared" si="263"/>
        <v>0</v>
      </c>
      <c r="Q108" s="118" t="e">
        <f t="shared" si="216"/>
        <v>#DIV/0!</v>
      </c>
      <c r="R108" s="20"/>
      <c r="S108" s="165">
        <f t="shared" ref="S108:AB108" si="264">S68*S42</f>
        <v>0</v>
      </c>
      <c r="T108" s="165">
        <f t="shared" si="264"/>
        <v>0</v>
      </c>
      <c r="U108" s="165">
        <f t="shared" si="264"/>
        <v>0</v>
      </c>
      <c r="V108" s="165">
        <f t="shared" si="264"/>
        <v>0</v>
      </c>
      <c r="W108" s="165">
        <f t="shared" si="264"/>
        <v>0</v>
      </c>
      <c r="X108" s="165">
        <f t="shared" si="264"/>
        <v>0</v>
      </c>
      <c r="Y108" s="165">
        <f t="shared" si="264"/>
        <v>0</v>
      </c>
      <c r="Z108" s="165">
        <f t="shared" si="264"/>
        <v>0</v>
      </c>
      <c r="AA108" s="165">
        <f t="shared" si="264"/>
        <v>0</v>
      </c>
      <c r="AB108" s="165">
        <f t="shared" si="264"/>
        <v>0</v>
      </c>
      <c r="AC108" s="138" t="e">
        <f t="shared" si="218"/>
        <v>#DIV/0!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65">(G108*0.17)+G108</f>
        <v>0</v>
      </c>
      <c r="H109" s="165">
        <f t="shared" si="265"/>
        <v>0</v>
      </c>
      <c r="I109" s="165">
        <f t="shared" si="265"/>
        <v>0</v>
      </c>
      <c r="J109" s="165">
        <f t="shared" si="265"/>
        <v>0</v>
      </c>
      <c r="K109" s="165">
        <f t="shared" si="265"/>
        <v>0</v>
      </c>
      <c r="L109" s="165">
        <f t="shared" si="265"/>
        <v>0</v>
      </c>
      <c r="M109" s="165">
        <f t="shared" si="265"/>
        <v>0</v>
      </c>
      <c r="N109" s="165">
        <f t="shared" si="265"/>
        <v>0</v>
      </c>
      <c r="O109" s="165">
        <f t="shared" si="265"/>
        <v>0</v>
      </c>
      <c r="P109" s="165">
        <f t="shared" si="265"/>
        <v>0</v>
      </c>
      <c r="Q109" s="118" t="e">
        <f t="shared" si="216"/>
        <v>#DIV/0!</v>
      </c>
      <c r="R109" s="20"/>
      <c r="S109" s="165">
        <f t="shared" ref="S109:AB109" si="266">(S108*0.17)+S108</f>
        <v>0</v>
      </c>
      <c r="T109" s="165">
        <f t="shared" si="266"/>
        <v>0</v>
      </c>
      <c r="U109" s="165">
        <f t="shared" si="266"/>
        <v>0</v>
      </c>
      <c r="V109" s="165">
        <f t="shared" si="266"/>
        <v>0</v>
      </c>
      <c r="W109" s="165">
        <f t="shared" si="266"/>
        <v>0</v>
      </c>
      <c r="X109" s="165">
        <f t="shared" si="266"/>
        <v>0</v>
      </c>
      <c r="Y109" s="165">
        <f t="shared" si="266"/>
        <v>0</v>
      </c>
      <c r="Z109" s="165">
        <f t="shared" si="266"/>
        <v>0</v>
      </c>
      <c r="AA109" s="165">
        <f t="shared" si="266"/>
        <v>0</v>
      </c>
      <c r="AB109" s="165">
        <f t="shared" si="266"/>
        <v>0</v>
      </c>
      <c r="AC109" s="138" t="e">
        <f t="shared" si="218"/>
        <v>#DIV/0!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67">F109/F40</f>
        <v>#DIV/0!</v>
      </c>
      <c r="G110" s="152" t="e">
        <f t="shared" si="267"/>
        <v>#DIV/0!</v>
      </c>
      <c r="H110" s="152" t="e">
        <f t="shared" si="267"/>
        <v>#DIV/0!</v>
      </c>
      <c r="I110" s="152" t="e">
        <f t="shared" si="267"/>
        <v>#DIV/0!</v>
      </c>
      <c r="J110" s="152" t="e">
        <f t="shared" si="267"/>
        <v>#DIV/0!</v>
      </c>
      <c r="K110" s="152" t="e">
        <f t="shared" si="267"/>
        <v>#DIV/0!</v>
      </c>
      <c r="L110" s="152" t="e">
        <f t="shared" si="267"/>
        <v>#DIV/0!</v>
      </c>
      <c r="M110" s="152" t="e">
        <f t="shared" si="267"/>
        <v>#DIV/0!</v>
      </c>
      <c r="N110" s="152" t="e">
        <f t="shared" si="267"/>
        <v>#DIV/0!</v>
      </c>
      <c r="O110" s="152" t="e">
        <f t="shared" si="267"/>
        <v>#DIV/0!</v>
      </c>
      <c r="P110" s="152" t="e">
        <f t="shared" si="267"/>
        <v>#DIV/0!</v>
      </c>
      <c r="Q110" s="118" t="e">
        <f t="shared" si="216"/>
        <v>#DIV/0!</v>
      </c>
      <c r="R110" s="20"/>
      <c r="S110" s="152" t="e">
        <f t="shared" ref="S110:AB110" si="268">S109/S40</f>
        <v>#DIV/0!</v>
      </c>
      <c r="T110" s="152" t="e">
        <f t="shared" si="268"/>
        <v>#DIV/0!</v>
      </c>
      <c r="U110" s="152" t="e">
        <f t="shared" si="268"/>
        <v>#DIV/0!</v>
      </c>
      <c r="V110" s="152" t="e">
        <f t="shared" si="268"/>
        <v>#DIV/0!</v>
      </c>
      <c r="W110" s="152" t="e">
        <f t="shared" si="268"/>
        <v>#DIV/0!</v>
      </c>
      <c r="X110" s="152" t="e">
        <f t="shared" si="268"/>
        <v>#DIV/0!</v>
      </c>
      <c r="Y110" s="152" t="e">
        <f t="shared" si="268"/>
        <v>#DIV/0!</v>
      </c>
      <c r="Z110" s="152" t="e">
        <f t="shared" si="268"/>
        <v>#DIV/0!</v>
      </c>
      <c r="AA110" s="152" t="e">
        <f t="shared" si="268"/>
        <v>#DIV/0!</v>
      </c>
      <c r="AB110" s="152" t="e">
        <f t="shared" si="268"/>
        <v>#DIV/0!</v>
      </c>
      <c r="AC110" s="138" t="e">
        <f t="shared" si="218"/>
        <v>#DIV/0!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 t="e">
        <f>1-G110</f>
        <v>#DIV/0!</v>
      </c>
      <c r="H111" s="152" t="e">
        <f t="shared" ref="H111:P111" si="269">1-H110</f>
        <v>#DIV/0!</v>
      </c>
      <c r="I111" s="152" t="e">
        <f t="shared" si="269"/>
        <v>#DIV/0!</v>
      </c>
      <c r="J111" s="152" t="e">
        <f t="shared" si="269"/>
        <v>#DIV/0!</v>
      </c>
      <c r="K111" s="152" t="e">
        <f t="shared" si="269"/>
        <v>#DIV/0!</v>
      </c>
      <c r="L111" s="152" t="e">
        <f t="shared" si="269"/>
        <v>#DIV/0!</v>
      </c>
      <c r="M111" s="152" t="e">
        <f t="shared" si="269"/>
        <v>#DIV/0!</v>
      </c>
      <c r="N111" s="152" t="e">
        <f t="shared" si="269"/>
        <v>#DIV/0!</v>
      </c>
      <c r="O111" s="152" t="e">
        <f t="shared" si="269"/>
        <v>#DIV/0!</v>
      </c>
      <c r="P111" s="152" t="e">
        <f t="shared" si="269"/>
        <v>#DIV/0!</v>
      </c>
      <c r="Q111" s="118" t="e">
        <f t="shared" si="216"/>
        <v>#DIV/0!</v>
      </c>
      <c r="R111" s="20"/>
      <c r="S111" s="152" t="e">
        <f t="shared" ref="S111:AB111" si="270">1-S110</f>
        <v>#DIV/0!</v>
      </c>
      <c r="T111" s="152" t="e">
        <f t="shared" si="270"/>
        <v>#DIV/0!</v>
      </c>
      <c r="U111" s="152" t="e">
        <f t="shared" si="270"/>
        <v>#DIV/0!</v>
      </c>
      <c r="V111" s="152" t="e">
        <f t="shared" si="270"/>
        <v>#DIV/0!</v>
      </c>
      <c r="W111" s="152" t="e">
        <f t="shared" si="270"/>
        <v>#DIV/0!</v>
      </c>
      <c r="X111" s="152" t="e">
        <f t="shared" si="270"/>
        <v>#DIV/0!</v>
      </c>
      <c r="Y111" s="152" t="e">
        <f t="shared" si="270"/>
        <v>#DIV/0!</v>
      </c>
      <c r="Z111" s="152" t="e">
        <f t="shared" si="270"/>
        <v>#DIV/0!</v>
      </c>
      <c r="AA111" s="152" t="e">
        <f t="shared" si="270"/>
        <v>#DIV/0!</v>
      </c>
      <c r="AB111" s="152" t="e">
        <f t="shared" si="270"/>
        <v>#DIV/0!</v>
      </c>
      <c r="AC111" s="138" t="e">
        <f t="shared" si="218"/>
        <v>#DIV/0!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 t="e">
        <f>G31/G25</f>
        <v>#DIV/0!</v>
      </c>
      <c r="H113" s="152" t="e">
        <f t="shared" ref="H113:P113" si="271">H31/H25</f>
        <v>#DIV/0!</v>
      </c>
      <c r="I113" s="152" t="e">
        <f t="shared" si="271"/>
        <v>#DIV/0!</v>
      </c>
      <c r="J113" s="152" t="e">
        <f t="shared" si="271"/>
        <v>#DIV/0!</v>
      </c>
      <c r="K113" s="152" t="e">
        <f t="shared" si="271"/>
        <v>#DIV/0!</v>
      </c>
      <c r="L113" s="152" t="e">
        <f t="shared" si="271"/>
        <v>#DIV/0!</v>
      </c>
      <c r="M113" s="152" t="e">
        <f t="shared" si="271"/>
        <v>#DIV/0!</v>
      </c>
      <c r="N113" s="152" t="e">
        <f t="shared" si="271"/>
        <v>#DIV/0!</v>
      </c>
      <c r="O113" s="152" t="e">
        <f t="shared" si="271"/>
        <v>#DIV/0!</v>
      </c>
      <c r="P113" s="152" t="e">
        <f t="shared" si="271"/>
        <v>#DIV/0!</v>
      </c>
      <c r="Q113" s="118" t="e">
        <f t="shared" si="216"/>
        <v>#DIV/0!</v>
      </c>
      <c r="R113" s="20"/>
      <c r="S113" s="152" t="e">
        <f t="shared" ref="S113:AB113" si="272">S31/S25</f>
        <v>#DIV/0!</v>
      </c>
      <c r="T113" s="152" t="e">
        <f t="shared" si="272"/>
        <v>#DIV/0!</v>
      </c>
      <c r="U113" s="152" t="e">
        <f t="shared" si="272"/>
        <v>#DIV/0!</v>
      </c>
      <c r="V113" s="152" t="e">
        <f t="shared" si="272"/>
        <v>#DIV/0!</v>
      </c>
      <c r="W113" s="152" t="e">
        <f t="shared" si="272"/>
        <v>#DIV/0!</v>
      </c>
      <c r="X113" s="152" t="e">
        <f t="shared" si="272"/>
        <v>#DIV/0!</v>
      </c>
      <c r="Y113" s="152" t="e">
        <f t="shared" si="272"/>
        <v>#DIV/0!</v>
      </c>
      <c r="Z113" s="152" t="e">
        <f t="shared" si="272"/>
        <v>#DIV/0!</v>
      </c>
      <c r="AA113" s="152" t="e">
        <f t="shared" si="272"/>
        <v>#DIV/0!</v>
      </c>
      <c r="AB113" s="152" t="e">
        <f t="shared" si="272"/>
        <v>#DIV/0!</v>
      </c>
      <c r="AC113" s="138" t="e">
        <f t="shared" si="218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 t="e">
        <f>G32/G25</f>
        <v>#DIV/0!</v>
      </c>
      <c r="H114" s="152" t="e">
        <f t="shared" ref="H114:P114" si="273">H32/H25</f>
        <v>#DIV/0!</v>
      </c>
      <c r="I114" s="152" t="e">
        <f t="shared" si="273"/>
        <v>#DIV/0!</v>
      </c>
      <c r="J114" s="152" t="e">
        <f t="shared" si="273"/>
        <v>#DIV/0!</v>
      </c>
      <c r="K114" s="152" t="e">
        <f t="shared" si="273"/>
        <v>#DIV/0!</v>
      </c>
      <c r="L114" s="152" t="e">
        <f t="shared" si="273"/>
        <v>#DIV/0!</v>
      </c>
      <c r="M114" s="152" t="e">
        <f t="shared" si="273"/>
        <v>#DIV/0!</v>
      </c>
      <c r="N114" s="152" t="e">
        <f t="shared" si="273"/>
        <v>#DIV/0!</v>
      </c>
      <c r="O114" s="152" t="e">
        <f t="shared" si="273"/>
        <v>#DIV/0!</v>
      </c>
      <c r="P114" s="152" t="e">
        <f t="shared" si="273"/>
        <v>#DIV/0!</v>
      </c>
      <c r="Q114" s="118" t="e">
        <f t="shared" si="216"/>
        <v>#DIV/0!</v>
      </c>
      <c r="R114" s="20"/>
      <c r="S114" s="152" t="e">
        <f t="shared" ref="S114:AB114" si="274">S32/S25</f>
        <v>#DIV/0!</v>
      </c>
      <c r="T114" s="152" t="e">
        <f t="shared" si="274"/>
        <v>#DIV/0!</v>
      </c>
      <c r="U114" s="152" t="e">
        <f t="shared" si="274"/>
        <v>#DIV/0!</v>
      </c>
      <c r="V114" s="152" t="e">
        <f t="shared" si="274"/>
        <v>#DIV/0!</v>
      </c>
      <c r="W114" s="152" t="e">
        <f t="shared" si="274"/>
        <v>#DIV/0!</v>
      </c>
      <c r="X114" s="152" t="e">
        <f t="shared" si="274"/>
        <v>#DIV/0!</v>
      </c>
      <c r="Y114" s="152" t="e">
        <f t="shared" si="274"/>
        <v>#DIV/0!</v>
      </c>
      <c r="Z114" s="152" t="e">
        <f t="shared" si="274"/>
        <v>#DIV/0!</v>
      </c>
      <c r="AA114" s="152" t="e">
        <f t="shared" si="274"/>
        <v>#DIV/0!</v>
      </c>
      <c r="AB114" s="152" t="e">
        <f t="shared" si="274"/>
        <v>#DIV/0!</v>
      </c>
      <c r="AC114" s="138" t="e">
        <f t="shared" si="21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 t="e">
        <f>G27/G25</f>
        <v>#DIV/0!</v>
      </c>
      <c r="H116" s="152" t="e">
        <f t="shared" ref="H116:P116" si="275">H27/H25</f>
        <v>#DIV/0!</v>
      </c>
      <c r="I116" s="152" t="e">
        <f t="shared" si="275"/>
        <v>#DIV/0!</v>
      </c>
      <c r="J116" s="152" t="e">
        <f t="shared" si="275"/>
        <v>#DIV/0!</v>
      </c>
      <c r="K116" s="152" t="e">
        <f t="shared" si="275"/>
        <v>#DIV/0!</v>
      </c>
      <c r="L116" s="152" t="e">
        <f t="shared" si="275"/>
        <v>#DIV/0!</v>
      </c>
      <c r="M116" s="152" t="e">
        <f t="shared" si="275"/>
        <v>#DIV/0!</v>
      </c>
      <c r="N116" s="152" t="e">
        <f t="shared" si="275"/>
        <v>#DIV/0!</v>
      </c>
      <c r="O116" s="152" t="e">
        <f t="shared" si="275"/>
        <v>#DIV/0!</v>
      </c>
      <c r="P116" s="152" t="e">
        <f t="shared" si="275"/>
        <v>#DIV/0!</v>
      </c>
      <c r="Q116" s="118" t="e">
        <f t="shared" si="216"/>
        <v>#DIV/0!</v>
      </c>
      <c r="R116" s="20"/>
      <c r="S116" s="152" t="e">
        <f t="shared" ref="S116:AB116" si="276">S27/S25</f>
        <v>#DIV/0!</v>
      </c>
      <c r="T116" s="152" t="e">
        <f t="shared" si="276"/>
        <v>#DIV/0!</v>
      </c>
      <c r="U116" s="152" t="e">
        <f t="shared" si="276"/>
        <v>#DIV/0!</v>
      </c>
      <c r="V116" s="152" t="e">
        <f t="shared" si="276"/>
        <v>#DIV/0!</v>
      </c>
      <c r="W116" s="152" t="e">
        <f t="shared" si="276"/>
        <v>#DIV/0!</v>
      </c>
      <c r="X116" s="152" t="e">
        <f t="shared" si="276"/>
        <v>#DIV/0!</v>
      </c>
      <c r="Y116" s="152" t="e">
        <f t="shared" si="276"/>
        <v>#DIV/0!</v>
      </c>
      <c r="Z116" s="152" t="e">
        <f t="shared" si="276"/>
        <v>#DIV/0!</v>
      </c>
      <c r="AA116" s="152" t="e">
        <f t="shared" si="276"/>
        <v>#DIV/0!</v>
      </c>
      <c r="AB116" s="152" t="e">
        <f t="shared" si="276"/>
        <v>#DIV/0!</v>
      </c>
      <c r="AC116" s="138" t="e">
        <f t="shared" si="218"/>
        <v>#DIV/0!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 t="e">
        <f>G33/G25</f>
        <v>#DIV/0!</v>
      </c>
      <c r="H117" s="152" t="e">
        <f t="shared" ref="H117:P117" si="277">H33/H25</f>
        <v>#DIV/0!</v>
      </c>
      <c r="I117" s="152" t="e">
        <f t="shared" si="277"/>
        <v>#DIV/0!</v>
      </c>
      <c r="J117" s="152" t="e">
        <f t="shared" si="277"/>
        <v>#DIV/0!</v>
      </c>
      <c r="K117" s="152" t="e">
        <f t="shared" si="277"/>
        <v>#DIV/0!</v>
      </c>
      <c r="L117" s="152" t="e">
        <f t="shared" si="277"/>
        <v>#DIV/0!</v>
      </c>
      <c r="M117" s="152" t="e">
        <f t="shared" si="277"/>
        <v>#DIV/0!</v>
      </c>
      <c r="N117" s="152" t="e">
        <f t="shared" si="277"/>
        <v>#DIV/0!</v>
      </c>
      <c r="O117" s="152" t="e">
        <f t="shared" si="277"/>
        <v>#DIV/0!</v>
      </c>
      <c r="P117" s="152" t="e">
        <f t="shared" si="277"/>
        <v>#DIV/0!</v>
      </c>
      <c r="Q117" s="118" t="e">
        <f t="shared" si="216"/>
        <v>#DIV/0!</v>
      </c>
      <c r="R117" s="20"/>
      <c r="S117" s="152" t="e">
        <f t="shared" ref="S117:AB117" si="278">S33/S25</f>
        <v>#DIV/0!</v>
      </c>
      <c r="T117" s="152" t="e">
        <f t="shared" si="278"/>
        <v>#DIV/0!</v>
      </c>
      <c r="U117" s="152" t="e">
        <f t="shared" si="278"/>
        <v>#DIV/0!</v>
      </c>
      <c r="V117" s="152" t="e">
        <f t="shared" si="278"/>
        <v>#DIV/0!</v>
      </c>
      <c r="W117" s="152" t="e">
        <f t="shared" si="278"/>
        <v>#DIV/0!</v>
      </c>
      <c r="X117" s="152" t="e">
        <f t="shared" si="278"/>
        <v>#DIV/0!</v>
      </c>
      <c r="Y117" s="152" t="e">
        <f t="shared" si="278"/>
        <v>#DIV/0!</v>
      </c>
      <c r="Z117" s="152" t="e">
        <f t="shared" si="278"/>
        <v>#DIV/0!</v>
      </c>
      <c r="AA117" s="152" t="e">
        <f t="shared" si="278"/>
        <v>#DIV/0!</v>
      </c>
      <c r="AB117" s="152" t="e">
        <f t="shared" si="278"/>
        <v>#DIV/0!</v>
      </c>
      <c r="AC117" s="138" t="e">
        <f t="shared" si="218"/>
        <v>#DIV/0!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 t="e">
        <f>G34/G25</f>
        <v>#DIV/0!</v>
      </c>
      <c r="H118" s="152" t="e">
        <f t="shared" ref="H118:P118" si="279">H34/H25</f>
        <v>#DIV/0!</v>
      </c>
      <c r="I118" s="152" t="e">
        <f t="shared" si="279"/>
        <v>#DIV/0!</v>
      </c>
      <c r="J118" s="152" t="e">
        <f t="shared" si="279"/>
        <v>#DIV/0!</v>
      </c>
      <c r="K118" s="152" t="e">
        <f t="shared" si="279"/>
        <v>#DIV/0!</v>
      </c>
      <c r="L118" s="152" t="e">
        <f t="shared" si="279"/>
        <v>#DIV/0!</v>
      </c>
      <c r="M118" s="152" t="e">
        <f t="shared" si="279"/>
        <v>#DIV/0!</v>
      </c>
      <c r="N118" s="152" t="e">
        <f t="shared" si="279"/>
        <v>#DIV/0!</v>
      </c>
      <c r="O118" s="152" t="e">
        <f t="shared" si="279"/>
        <v>#DIV/0!</v>
      </c>
      <c r="P118" s="152" t="e">
        <f t="shared" si="279"/>
        <v>#DIV/0!</v>
      </c>
      <c r="Q118" s="118" t="e">
        <f t="shared" si="216"/>
        <v>#DIV/0!</v>
      </c>
      <c r="R118" s="20"/>
      <c r="S118" s="152" t="e">
        <f t="shared" ref="S118:AB118" si="280">S34/S25</f>
        <v>#DIV/0!</v>
      </c>
      <c r="T118" s="152" t="e">
        <f t="shared" si="280"/>
        <v>#DIV/0!</v>
      </c>
      <c r="U118" s="152" t="e">
        <f t="shared" si="280"/>
        <v>#DIV/0!</v>
      </c>
      <c r="V118" s="152" t="e">
        <f t="shared" si="280"/>
        <v>#DIV/0!</v>
      </c>
      <c r="W118" s="152" t="e">
        <f t="shared" si="280"/>
        <v>#DIV/0!</v>
      </c>
      <c r="X118" s="152" t="e">
        <f t="shared" si="280"/>
        <v>#DIV/0!</v>
      </c>
      <c r="Y118" s="152" t="e">
        <f t="shared" si="280"/>
        <v>#DIV/0!</v>
      </c>
      <c r="Z118" s="152" t="e">
        <f t="shared" si="280"/>
        <v>#DIV/0!</v>
      </c>
      <c r="AA118" s="152" t="e">
        <f t="shared" si="280"/>
        <v>#DIV/0!</v>
      </c>
      <c r="AB118" s="152" t="e">
        <f t="shared" si="280"/>
        <v>#DIV/0!</v>
      </c>
      <c r="AC118" s="138" t="e">
        <f t="shared" si="218"/>
        <v>#DIV/0!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 t="e">
        <f>G15/G9</f>
        <v>#DIV/0!</v>
      </c>
      <c r="H121" s="25" t="e">
        <f t="shared" ref="H121:AB121" si="281">H15/H9</f>
        <v>#DIV/0!</v>
      </c>
      <c r="I121" s="25" t="e">
        <f t="shared" si="281"/>
        <v>#DIV/0!</v>
      </c>
      <c r="J121" s="25" t="e">
        <f t="shared" si="281"/>
        <v>#DIV/0!</v>
      </c>
      <c r="K121" s="25" t="e">
        <f t="shared" si="281"/>
        <v>#DIV/0!</v>
      </c>
      <c r="L121" s="25" t="e">
        <f t="shared" si="281"/>
        <v>#DIV/0!</v>
      </c>
      <c r="M121" s="25" t="e">
        <f t="shared" si="281"/>
        <v>#DIV/0!</v>
      </c>
      <c r="N121" s="25" t="e">
        <f t="shared" si="281"/>
        <v>#DIV/0!</v>
      </c>
      <c r="O121" s="25" t="e">
        <f t="shared" si="281"/>
        <v>#DIV/0!</v>
      </c>
      <c r="P121" s="25" t="e">
        <f t="shared" si="281"/>
        <v>#DIV/0!</v>
      </c>
      <c r="Q121" s="118" t="e">
        <f t="shared" si="216"/>
        <v>#DIV/0!</v>
      </c>
      <c r="R121" s="20"/>
      <c r="S121" s="20" t="e">
        <f t="shared" si="281"/>
        <v>#DIV/0!</v>
      </c>
      <c r="T121" s="20" t="e">
        <f t="shared" si="281"/>
        <v>#DIV/0!</v>
      </c>
      <c r="U121" s="20" t="e">
        <f t="shared" si="281"/>
        <v>#DIV/0!</v>
      </c>
      <c r="V121" s="20" t="e">
        <f t="shared" si="281"/>
        <v>#DIV/0!</v>
      </c>
      <c r="W121" s="20" t="e">
        <f t="shared" si="281"/>
        <v>#DIV/0!</v>
      </c>
      <c r="X121" s="20" t="e">
        <f t="shared" si="281"/>
        <v>#DIV/0!</v>
      </c>
      <c r="Y121" s="20" t="e">
        <f t="shared" si="281"/>
        <v>#DIV/0!</v>
      </c>
      <c r="Z121" s="20" t="e">
        <f t="shared" si="281"/>
        <v>#DIV/0!</v>
      </c>
      <c r="AA121" s="20" t="e">
        <f t="shared" si="281"/>
        <v>#DIV/0!</v>
      </c>
      <c r="AB121" s="20" t="e">
        <f t="shared" si="281"/>
        <v>#DIV/0!</v>
      </c>
      <c r="AC121" s="138" t="e">
        <f t="shared" si="218"/>
        <v>#DIV/0!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 t="e">
        <f>G12/G9</f>
        <v>#DIV/0!</v>
      </c>
      <c r="H122" s="25" t="e">
        <f t="shared" ref="H122:P122" si="282">H12/H9</f>
        <v>#DIV/0!</v>
      </c>
      <c r="I122" s="25" t="e">
        <f t="shared" si="282"/>
        <v>#DIV/0!</v>
      </c>
      <c r="J122" s="25" t="e">
        <f t="shared" si="282"/>
        <v>#DIV/0!</v>
      </c>
      <c r="K122" s="25" t="e">
        <f t="shared" si="282"/>
        <v>#DIV/0!</v>
      </c>
      <c r="L122" s="25" t="e">
        <f t="shared" si="282"/>
        <v>#DIV/0!</v>
      </c>
      <c r="M122" s="25" t="e">
        <f t="shared" si="282"/>
        <v>#DIV/0!</v>
      </c>
      <c r="N122" s="25" t="e">
        <f t="shared" si="282"/>
        <v>#DIV/0!</v>
      </c>
      <c r="O122" s="25" t="e">
        <f t="shared" si="282"/>
        <v>#DIV/0!</v>
      </c>
      <c r="P122" s="25" t="e">
        <f t="shared" si="282"/>
        <v>#DIV/0!</v>
      </c>
      <c r="Q122" s="118" t="e">
        <f t="shared" si="216"/>
        <v>#DIV/0!</v>
      </c>
      <c r="R122" s="128"/>
      <c r="S122" s="20" t="e">
        <f t="shared" ref="S122:AB122" si="283">S12/S9</f>
        <v>#DIV/0!</v>
      </c>
      <c r="T122" s="20" t="e">
        <f t="shared" si="283"/>
        <v>#DIV/0!</v>
      </c>
      <c r="U122" s="20" t="e">
        <f t="shared" si="283"/>
        <v>#DIV/0!</v>
      </c>
      <c r="V122" s="20" t="e">
        <f t="shared" si="283"/>
        <v>#DIV/0!</v>
      </c>
      <c r="W122" s="20" t="e">
        <f t="shared" si="283"/>
        <v>#DIV/0!</v>
      </c>
      <c r="X122" s="20" t="e">
        <f t="shared" si="283"/>
        <v>#DIV/0!</v>
      </c>
      <c r="Y122" s="20" t="e">
        <f t="shared" si="283"/>
        <v>#DIV/0!</v>
      </c>
      <c r="Z122" s="20" t="e">
        <f t="shared" si="283"/>
        <v>#DIV/0!</v>
      </c>
      <c r="AA122" s="20" t="e">
        <f t="shared" si="283"/>
        <v>#DIV/0!</v>
      </c>
      <c r="AB122" s="20" t="e">
        <f t="shared" si="283"/>
        <v>#DIV/0!</v>
      </c>
      <c r="AC122" s="118" t="e">
        <f t="shared" ref="AC122" si="284">((AB122/S122)^(1/($H$2-$H$1) ))-1</f>
        <v>#DIV/0!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0</v>
      </c>
      <c r="H123" s="25">
        <f t="shared" ref="H123:P123" si="285">H25/360</f>
        <v>0</v>
      </c>
      <c r="I123" s="25">
        <f t="shared" si="285"/>
        <v>0</v>
      </c>
      <c r="J123" s="25">
        <f t="shared" si="285"/>
        <v>0</v>
      </c>
      <c r="K123" s="25">
        <f t="shared" si="285"/>
        <v>0</v>
      </c>
      <c r="L123" s="25">
        <f t="shared" si="285"/>
        <v>0</v>
      </c>
      <c r="M123" s="25">
        <f t="shared" si="285"/>
        <v>0</v>
      </c>
      <c r="N123" s="25">
        <f t="shared" si="285"/>
        <v>0</v>
      </c>
      <c r="O123" s="25">
        <f t="shared" si="285"/>
        <v>0</v>
      </c>
      <c r="P123" s="25">
        <f t="shared" si="285"/>
        <v>0</v>
      </c>
      <c r="Q123" s="118" t="e">
        <f t="shared" si="216"/>
        <v>#DIV/0!</v>
      </c>
      <c r="R123" s="128"/>
      <c r="S123" s="25">
        <f t="shared" ref="S123:AB123" si="286">S25/360</f>
        <v>0</v>
      </c>
      <c r="T123" s="25">
        <f t="shared" si="286"/>
        <v>0</v>
      </c>
      <c r="U123" s="25">
        <f t="shared" si="286"/>
        <v>0</v>
      </c>
      <c r="V123" s="25">
        <f t="shared" si="286"/>
        <v>0</v>
      </c>
      <c r="W123" s="25">
        <f t="shared" si="286"/>
        <v>0</v>
      </c>
      <c r="X123" s="25">
        <f t="shared" si="286"/>
        <v>0</v>
      </c>
      <c r="Y123" s="25">
        <f t="shared" si="286"/>
        <v>0</v>
      </c>
      <c r="Z123" s="25">
        <f t="shared" si="286"/>
        <v>0</v>
      </c>
      <c r="AA123" s="25">
        <f t="shared" si="286"/>
        <v>0</v>
      </c>
      <c r="AB123" s="25">
        <f t="shared" si="286"/>
        <v>0</v>
      </c>
      <c r="AC123" s="118" t="e">
        <f t="shared" ref="AC123:AC134" si="287">((AB123/S123)^(1/($H$2-$H$1) ))-1</f>
        <v>#DIV/0!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0</v>
      </c>
      <c r="H124" s="25">
        <f t="shared" ref="H124:P124" si="288">H27/360</f>
        <v>0</v>
      </c>
      <c r="I124" s="25">
        <f t="shared" si="288"/>
        <v>0</v>
      </c>
      <c r="J124" s="25">
        <f t="shared" si="288"/>
        <v>0</v>
      </c>
      <c r="K124" s="25">
        <f t="shared" si="288"/>
        <v>0</v>
      </c>
      <c r="L124" s="25">
        <f t="shared" si="288"/>
        <v>0</v>
      </c>
      <c r="M124" s="25">
        <f t="shared" si="288"/>
        <v>0</v>
      </c>
      <c r="N124" s="25">
        <f t="shared" si="288"/>
        <v>0</v>
      </c>
      <c r="O124" s="25">
        <f t="shared" si="288"/>
        <v>0</v>
      </c>
      <c r="P124" s="25">
        <f t="shared" si="288"/>
        <v>0</v>
      </c>
      <c r="Q124" s="118" t="e">
        <f t="shared" si="216"/>
        <v>#DIV/0!</v>
      </c>
      <c r="R124" s="128"/>
      <c r="S124" s="25">
        <f t="shared" ref="S124:AB124" si="289">S27/360</f>
        <v>0</v>
      </c>
      <c r="T124" s="25">
        <f t="shared" si="289"/>
        <v>0</v>
      </c>
      <c r="U124" s="25">
        <f t="shared" si="289"/>
        <v>0</v>
      </c>
      <c r="V124" s="25">
        <f t="shared" si="289"/>
        <v>0</v>
      </c>
      <c r="W124" s="25">
        <f t="shared" si="289"/>
        <v>0</v>
      </c>
      <c r="X124" s="25">
        <f t="shared" si="289"/>
        <v>0</v>
      </c>
      <c r="Y124" s="25">
        <f t="shared" si="289"/>
        <v>0</v>
      </c>
      <c r="Z124" s="25">
        <f t="shared" si="289"/>
        <v>0</v>
      </c>
      <c r="AA124" s="25">
        <f t="shared" si="289"/>
        <v>0</v>
      </c>
      <c r="AB124" s="25">
        <f t="shared" si="289"/>
        <v>0</v>
      </c>
      <c r="AC124" s="118" t="e">
        <f t="shared" si="287"/>
        <v>#DIV/0!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 t="e">
        <f>G10/G7</f>
        <v>#DIV/0!</v>
      </c>
      <c r="H126" s="25" t="e">
        <f t="shared" ref="H126:P126" si="290">H10/H7</f>
        <v>#DIV/0!</v>
      </c>
      <c r="I126" s="25" t="e">
        <f t="shared" si="290"/>
        <v>#DIV/0!</v>
      </c>
      <c r="J126" s="25" t="e">
        <f t="shared" si="290"/>
        <v>#DIV/0!</v>
      </c>
      <c r="K126" s="25" t="e">
        <f t="shared" si="290"/>
        <v>#DIV/0!</v>
      </c>
      <c r="L126" s="25" t="e">
        <f t="shared" si="290"/>
        <v>#DIV/0!</v>
      </c>
      <c r="M126" s="25" t="e">
        <f t="shared" si="290"/>
        <v>#DIV/0!</v>
      </c>
      <c r="N126" s="25" t="e">
        <f t="shared" si="290"/>
        <v>#DIV/0!</v>
      </c>
      <c r="O126" s="25" t="e">
        <f t="shared" si="290"/>
        <v>#DIV/0!</v>
      </c>
      <c r="P126" s="25" t="e">
        <f t="shared" si="290"/>
        <v>#DIV/0!</v>
      </c>
      <c r="Q126" s="118" t="e">
        <f t="shared" si="216"/>
        <v>#DIV/0!</v>
      </c>
      <c r="R126" s="128"/>
      <c r="S126" s="25" t="e">
        <f t="shared" ref="S126:AB126" si="291">S10/S7</f>
        <v>#DIV/0!</v>
      </c>
      <c r="T126" s="25" t="e">
        <f t="shared" si="291"/>
        <v>#DIV/0!</v>
      </c>
      <c r="U126" s="25" t="e">
        <f t="shared" si="291"/>
        <v>#DIV/0!</v>
      </c>
      <c r="V126" s="25" t="e">
        <f t="shared" si="291"/>
        <v>#DIV/0!</v>
      </c>
      <c r="W126" s="25" t="e">
        <f t="shared" si="291"/>
        <v>#DIV/0!</v>
      </c>
      <c r="X126" s="25" t="e">
        <f t="shared" si="291"/>
        <v>#DIV/0!</v>
      </c>
      <c r="Y126" s="25" t="e">
        <f t="shared" si="291"/>
        <v>#DIV/0!</v>
      </c>
      <c r="Z126" s="25" t="e">
        <f t="shared" si="291"/>
        <v>#DIV/0!</v>
      </c>
      <c r="AA126" s="25" t="e">
        <f t="shared" si="291"/>
        <v>#DIV/0!</v>
      </c>
      <c r="AB126" s="25" t="e">
        <f t="shared" si="291"/>
        <v>#DIV/0!</v>
      </c>
      <c r="AC126" s="118" t="e">
        <f t="shared" si="287"/>
        <v>#DIV/0!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 t="e">
        <f>G10/(G10+G7)</f>
        <v>#DIV/0!</v>
      </c>
      <c r="H127" s="25" t="e">
        <f t="shared" ref="H127:P127" si="292">H10/(H10+H7)</f>
        <v>#DIV/0!</v>
      </c>
      <c r="I127" s="25" t="e">
        <f t="shared" si="292"/>
        <v>#DIV/0!</v>
      </c>
      <c r="J127" s="25" t="e">
        <f t="shared" si="292"/>
        <v>#DIV/0!</v>
      </c>
      <c r="K127" s="25" t="e">
        <f t="shared" si="292"/>
        <v>#DIV/0!</v>
      </c>
      <c r="L127" s="25" t="e">
        <f t="shared" si="292"/>
        <v>#DIV/0!</v>
      </c>
      <c r="M127" s="25" t="e">
        <f t="shared" si="292"/>
        <v>#DIV/0!</v>
      </c>
      <c r="N127" s="25" t="e">
        <f t="shared" si="292"/>
        <v>#DIV/0!</v>
      </c>
      <c r="O127" s="25" t="e">
        <f t="shared" si="292"/>
        <v>#DIV/0!</v>
      </c>
      <c r="P127" s="25" t="e">
        <f t="shared" si="292"/>
        <v>#DIV/0!</v>
      </c>
      <c r="Q127" s="118" t="e">
        <f t="shared" si="216"/>
        <v>#DIV/0!</v>
      </c>
      <c r="R127" s="128"/>
      <c r="S127" s="25" t="e">
        <f t="shared" ref="S127:AB127" si="293">S10/(S10+S7)</f>
        <v>#DIV/0!</v>
      </c>
      <c r="T127" s="25" t="e">
        <f t="shared" si="293"/>
        <v>#DIV/0!</v>
      </c>
      <c r="U127" s="25" t="e">
        <f t="shared" si="293"/>
        <v>#DIV/0!</v>
      </c>
      <c r="V127" s="25" t="e">
        <f t="shared" si="293"/>
        <v>#DIV/0!</v>
      </c>
      <c r="W127" s="25" t="e">
        <f t="shared" si="293"/>
        <v>#DIV/0!</v>
      </c>
      <c r="X127" s="25" t="e">
        <f t="shared" si="293"/>
        <v>#DIV/0!</v>
      </c>
      <c r="Y127" s="25" t="e">
        <f t="shared" si="293"/>
        <v>#DIV/0!</v>
      </c>
      <c r="Z127" s="25" t="e">
        <f t="shared" si="293"/>
        <v>#DIV/0!</v>
      </c>
      <c r="AA127" s="25" t="e">
        <f t="shared" si="293"/>
        <v>#DIV/0!</v>
      </c>
      <c r="AB127" s="25" t="e">
        <f t="shared" si="293"/>
        <v>#DIV/0!</v>
      </c>
      <c r="AC127" s="118" t="e">
        <f t="shared" si="287"/>
        <v>#DIV/0!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0</v>
      </c>
      <c r="H129" s="25">
        <f t="shared" ref="H129:P129" si="294">H16</f>
        <v>0</v>
      </c>
      <c r="I129" s="25">
        <f t="shared" si="294"/>
        <v>0</v>
      </c>
      <c r="J129" s="25">
        <f t="shared" si="294"/>
        <v>0</v>
      </c>
      <c r="K129" s="25">
        <f t="shared" si="294"/>
        <v>0</v>
      </c>
      <c r="L129" s="25">
        <f t="shared" si="294"/>
        <v>0</v>
      </c>
      <c r="M129" s="25">
        <f t="shared" si="294"/>
        <v>0</v>
      </c>
      <c r="N129" s="25">
        <f t="shared" si="294"/>
        <v>0</v>
      </c>
      <c r="O129" s="25">
        <f t="shared" si="294"/>
        <v>0</v>
      </c>
      <c r="P129" s="25">
        <f t="shared" si="294"/>
        <v>0</v>
      </c>
      <c r="Q129" s="118" t="e">
        <f t="shared" si="216"/>
        <v>#DIV/0!</v>
      </c>
      <c r="R129" s="128"/>
      <c r="S129" s="25">
        <f t="shared" ref="S129:AB129" si="295">S16</f>
        <v>0</v>
      </c>
      <c r="T129" s="25">
        <f t="shared" si="295"/>
        <v>0</v>
      </c>
      <c r="U129" s="25">
        <f t="shared" si="295"/>
        <v>0</v>
      </c>
      <c r="V129" s="25">
        <f t="shared" si="295"/>
        <v>0</v>
      </c>
      <c r="W129" s="25">
        <f t="shared" si="295"/>
        <v>0</v>
      </c>
      <c r="X129" s="25">
        <f t="shared" si="295"/>
        <v>0</v>
      </c>
      <c r="Y129" s="25">
        <f t="shared" si="295"/>
        <v>0</v>
      </c>
      <c r="Z129" s="25">
        <f t="shared" si="295"/>
        <v>0</v>
      </c>
      <c r="AA129" s="25">
        <f t="shared" si="295"/>
        <v>0</v>
      </c>
      <c r="AB129" s="25">
        <f t="shared" si="295"/>
        <v>0</v>
      </c>
      <c r="AC129" s="118" t="e">
        <f t="shared" si="287"/>
        <v>#DIV/0!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 t="e">
        <f t="shared" ref="G130:P130" si="296">G129*365/G25</f>
        <v>#DIV/0!</v>
      </c>
      <c r="H130" s="119" t="e">
        <f t="shared" si="296"/>
        <v>#DIV/0!</v>
      </c>
      <c r="I130" s="119" t="e">
        <f t="shared" si="296"/>
        <v>#DIV/0!</v>
      </c>
      <c r="J130" s="119" t="e">
        <f t="shared" si="296"/>
        <v>#DIV/0!</v>
      </c>
      <c r="K130" s="119" t="e">
        <f t="shared" si="296"/>
        <v>#DIV/0!</v>
      </c>
      <c r="L130" s="119" t="e">
        <f t="shared" si="296"/>
        <v>#DIV/0!</v>
      </c>
      <c r="M130" s="119" t="e">
        <f t="shared" si="296"/>
        <v>#DIV/0!</v>
      </c>
      <c r="N130" s="119" t="e">
        <f t="shared" si="296"/>
        <v>#DIV/0!</v>
      </c>
      <c r="O130" s="119" t="e">
        <f t="shared" si="296"/>
        <v>#DIV/0!</v>
      </c>
      <c r="P130" s="119" t="e">
        <f t="shared" si="296"/>
        <v>#DIV/0!</v>
      </c>
      <c r="Q130" s="118" t="e">
        <f t="shared" si="216"/>
        <v>#DIV/0!</v>
      </c>
      <c r="R130" s="128"/>
      <c r="S130" s="119" t="e">
        <f t="shared" ref="S130:AB130" si="297">S129*365/S25</f>
        <v>#DIV/0!</v>
      </c>
      <c r="T130" s="119" t="e">
        <f t="shared" si="297"/>
        <v>#DIV/0!</v>
      </c>
      <c r="U130" s="119" t="e">
        <f t="shared" si="297"/>
        <v>#DIV/0!</v>
      </c>
      <c r="V130" s="119" t="e">
        <f t="shared" si="297"/>
        <v>#DIV/0!</v>
      </c>
      <c r="W130" s="119" t="e">
        <f t="shared" si="297"/>
        <v>#DIV/0!</v>
      </c>
      <c r="X130" s="119" t="e">
        <f t="shared" si="297"/>
        <v>#DIV/0!</v>
      </c>
      <c r="Y130" s="119" t="e">
        <f t="shared" si="297"/>
        <v>#DIV/0!</v>
      </c>
      <c r="Z130" s="119" t="e">
        <f t="shared" si="297"/>
        <v>#DIV/0!</v>
      </c>
      <c r="AA130" s="119" t="e">
        <f t="shared" si="297"/>
        <v>#DIV/0!</v>
      </c>
      <c r="AB130" s="119" t="e">
        <f t="shared" si="297"/>
        <v>#DIV/0!</v>
      </c>
      <c r="AC130" s="118" t="e">
        <f t="shared" si="287"/>
        <v>#DIV/0!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 t="e">
        <f>G78/G29</f>
        <v>#DIV/0!</v>
      </c>
      <c r="H131" s="133" t="e">
        <f t="shared" ref="H131:P131" si="298">H78/H29</f>
        <v>#DIV/0!</v>
      </c>
      <c r="I131" s="133" t="e">
        <f t="shared" si="298"/>
        <v>#DIV/0!</v>
      </c>
      <c r="J131" s="133" t="e">
        <f t="shared" si="298"/>
        <v>#DIV/0!</v>
      </c>
      <c r="K131" s="133" t="e">
        <f t="shared" si="298"/>
        <v>#DIV/0!</v>
      </c>
      <c r="L131" s="133" t="e">
        <f t="shared" si="298"/>
        <v>#DIV/0!</v>
      </c>
      <c r="M131" s="133" t="e">
        <f t="shared" si="298"/>
        <v>#DIV/0!</v>
      </c>
      <c r="N131" s="133" t="e">
        <f t="shared" si="298"/>
        <v>#DIV/0!</v>
      </c>
      <c r="O131" s="133" t="e">
        <f t="shared" si="298"/>
        <v>#DIV/0!</v>
      </c>
      <c r="P131" s="133" t="e">
        <f t="shared" si="298"/>
        <v>#DIV/0!</v>
      </c>
      <c r="Q131" s="118" t="e">
        <f t="shared" si="216"/>
        <v>#DIV/0!</v>
      </c>
      <c r="R131" s="128"/>
      <c r="S131" s="133" t="e">
        <f t="shared" ref="S131:AB131" si="299">S78/S29</f>
        <v>#DIV/0!</v>
      </c>
      <c r="T131" s="133" t="e">
        <f t="shared" si="299"/>
        <v>#DIV/0!</v>
      </c>
      <c r="U131" s="133" t="e">
        <f t="shared" si="299"/>
        <v>#DIV/0!</v>
      </c>
      <c r="V131" s="133" t="e">
        <f t="shared" si="299"/>
        <v>#DIV/0!</v>
      </c>
      <c r="W131" s="133" t="e">
        <f t="shared" si="299"/>
        <v>#DIV/0!</v>
      </c>
      <c r="X131" s="133" t="e">
        <f t="shared" si="299"/>
        <v>#DIV/0!</v>
      </c>
      <c r="Y131" s="133" t="e">
        <f t="shared" si="299"/>
        <v>#DIV/0!</v>
      </c>
      <c r="Z131" s="133" t="e">
        <f t="shared" si="299"/>
        <v>#DIV/0!</v>
      </c>
      <c r="AA131" s="133" t="e">
        <f t="shared" si="299"/>
        <v>#DIV/0!</v>
      </c>
      <c r="AB131" s="133" t="e">
        <f t="shared" si="299"/>
        <v>#DIV/0!</v>
      </c>
      <c r="AC131" s="118" t="e">
        <f t="shared" si="287"/>
        <v>#DIV/0!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 t="e">
        <f>G25/G14</f>
        <v>#DIV/0!</v>
      </c>
      <c r="H133" s="180" t="e">
        <f t="shared" ref="H133:P133" si="300">H25/H14</f>
        <v>#DIV/0!</v>
      </c>
      <c r="I133" s="180" t="e">
        <f t="shared" si="300"/>
        <v>#DIV/0!</v>
      </c>
      <c r="J133" s="180" t="e">
        <f t="shared" si="300"/>
        <v>#DIV/0!</v>
      </c>
      <c r="K133" s="180" t="e">
        <f t="shared" si="300"/>
        <v>#DIV/0!</v>
      </c>
      <c r="L133" s="180" t="e">
        <f t="shared" si="300"/>
        <v>#DIV/0!</v>
      </c>
      <c r="M133" s="180" t="e">
        <f t="shared" si="300"/>
        <v>#DIV/0!</v>
      </c>
      <c r="N133" s="180" t="e">
        <f t="shared" si="300"/>
        <v>#DIV/0!</v>
      </c>
      <c r="O133" s="180" t="e">
        <f t="shared" si="300"/>
        <v>#DIV/0!</v>
      </c>
      <c r="P133" s="180" t="e">
        <f t="shared" si="300"/>
        <v>#DIV/0!</v>
      </c>
      <c r="Q133" s="118" t="e">
        <f t="shared" si="216"/>
        <v>#DIV/0!</v>
      </c>
      <c r="R133" s="128"/>
      <c r="S133" s="20" t="e">
        <f t="shared" ref="S133" si="301">S25/S14</f>
        <v>#DIV/0!</v>
      </c>
      <c r="T133" s="20" t="e">
        <f t="shared" ref="T133:AB133" si="302">T25/T14</f>
        <v>#DIV/0!</v>
      </c>
      <c r="U133" s="20" t="e">
        <f t="shared" si="302"/>
        <v>#DIV/0!</v>
      </c>
      <c r="V133" s="20" t="e">
        <f t="shared" si="302"/>
        <v>#DIV/0!</v>
      </c>
      <c r="W133" s="20" t="e">
        <f t="shared" si="302"/>
        <v>#DIV/0!</v>
      </c>
      <c r="X133" s="20" t="e">
        <f t="shared" si="302"/>
        <v>#DIV/0!</v>
      </c>
      <c r="Y133" s="20" t="e">
        <f t="shared" si="302"/>
        <v>#DIV/0!</v>
      </c>
      <c r="Z133" s="20" t="e">
        <f t="shared" si="302"/>
        <v>#DIV/0!</v>
      </c>
      <c r="AA133" s="20" t="e">
        <f t="shared" si="302"/>
        <v>#DIV/0!</v>
      </c>
      <c r="AB133" s="20" t="e">
        <f t="shared" si="302"/>
        <v>#DIV/0!</v>
      </c>
      <c r="AC133" s="118" t="e">
        <f t="shared" si="287"/>
        <v>#DIV/0!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 t="e">
        <f>G27/G14</f>
        <v>#DIV/0!</v>
      </c>
      <c r="H134" s="180" t="e">
        <f t="shared" ref="H134:P134" si="303">H27/H14</f>
        <v>#DIV/0!</v>
      </c>
      <c r="I134" s="180" t="e">
        <f t="shared" si="303"/>
        <v>#DIV/0!</v>
      </c>
      <c r="J134" s="180" t="e">
        <f t="shared" si="303"/>
        <v>#DIV/0!</v>
      </c>
      <c r="K134" s="180" t="e">
        <f t="shared" si="303"/>
        <v>#DIV/0!</v>
      </c>
      <c r="L134" s="180" t="e">
        <f t="shared" si="303"/>
        <v>#DIV/0!</v>
      </c>
      <c r="M134" s="180" t="e">
        <f t="shared" si="303"/>
        <v>#DIV/0!</v>
      </c>
      <c r="N134" s="180" t="e">
        <f t="shared" si="303"/>
        <v>#DIV/0!</v>
      </c>
      <c r="O134" s="180" t="e">
        <f t="shared" si="303"/>
        <v>#DIV/0!</v>
      </c>
      <c r="P134" s="180" t="e">
        <f t="shared" si="303"/>
        <v>#DIV/0!</v>
      </c>
      <c r="Q134" s="118" t="e">
        <f t="shared" si="216"/>
        <v>#DIV/0!</v>
      </c>
      <c r="R134" s="128"/>
      <c r="S134" s="20" t="e">
        <f t="shared" ref="S134:AB134" si="304">S27/S14</f>
        <v>#DIV/0!</v>
      </c>
      <c r="T134" s="20" t="e">
        <f t="shared" si="304"/>
        <v>#DIV/0!</v>
      </c>
      <c r="U134" s="20" t="e">
        <f t="shared" si="304"/>
        <v>#DIV/0!</v>
      </c>
      <c r="V134" s="20" t="e">
        <f t="shared" si="304"/>
        <v>#DIV/0!</v>
      </c>
      <c r="W134" s="20" t="e">
        <f t="shared" si="304"/>
        <v>#DIV/0!</v>
      </c>
      <c r="X134" s="20" t="e">
        <f t="shared" si="304"/>
        <v>#DIV/0!</v>
      </c>
      <c r="Y134" s="20" t="e">
        <f t="shared" si="304"/>
        <v>#DIV/0!</v>
      </c>
      <c r="Z134" s="20" t="e">
        <f t="shared" si="304"/>
        <v>#DIV/0!</v>
      </c>
      <c r="AA134" s="20" t="e">
        <f t="shared" si="304"/>
        <v>#DIV/0!</v>
      </c>
      <c r="AB134" s="20" t="e">
        <f t="shared" si="304"/>
        <v>#DIV/0!</v>
      </c>
      <c r="AC134" s="118" t="e">
        <f t="shared" si="287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 t="e">
        <f>AVERAGE(G52:P52)</f>
        <v>#DIV/0!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 t="e">
        <f>S138+T138</f>
        <v>#DIV/0!</v>
      </c>
      <c r="S138" s="133" t="e">
        <f>PV($C$1, ($AB$3-$S$3), 0, -AB52)</f>
        <v>#DIV/0!</v>
      </c>
      <c r="T138" s="133" t="e">
        <f>PV($C$1, ($AB$3-$S$3), 0, -AE52)</f>
        <v>#DIV/0!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 t="e">
        <f t="shared" ref="R139:R157" si="305">S139+T139</f>
        <v>#DIV/0!</v>
      </c>
      <c r="S139" s="133" t="e">
        <f>PV($C$1, ($AB$3-$S$3), 0, -AB54)</f>
        <v>#DIV/0!</v>
      </c>
      <c r="T139" s="133" t="e">
        <f>PV($C$1, ($AB$3-$S$3), 0, -AE54)</f>
        <v>#DIV/0!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 t="e">
        <f t="shared" si="305"/>
        <v>#DIV/0!</v>
      </c>
      <c r="S140" s="133" t="e">
        <f>PV($C$1, ($AB$3-$S$3), 0, -AB55)</f>
        <v>#DIV/0!</v>
      </c>
      <c r="T140" s="133" t="e">
        <f>PV($C$1, ($AB$3-$S$3), 0, -AE55)</f>
        <v>#DIV/0!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 t="e">
        <f t="shared" si="305"/>
        <v>#DIV/0!</v>
      </c>
      <c r="S141" s="133" t="e">
        <f>PV($C$1, ($AB$3-$S$3), 0, -AB56)</f>
        <v>#DIV/0!</v>
      </c>
      <c r="T141" s="133" t="e">
        <f>PV($C$1, ($AB$3-$S$3), 0, -AE56)</f>
        <v>#DIV/0!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 t="e">
        <f t="shared" si="305"/>
        <v>#DIV/0!</v>
      </c>
      <c r="S142" s="133" t="e">
        <f>PV($C$1, ($AB$3-$S$3), 0, -AB62)</f>
        <v>#DIV/0!</v>
      </c>
      <c r="T142" s="133" t="e">
        <f>PV($C$1, ($AB$3-$S$3), 0, -AE62)</f>
        <v>#DIV/0!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 t="e">
        <f t="shared" si="305"/>
        <v>#DIV/0!</v>
      </c>
      <c r="S144" s="133" t="e">
        <f>PV($C$1, ($AB$3-$S$3), 0, -AB58)</f>
        <v>#DIV/0!</v>
      </c>
      <c r="T144" s="133" t="e">
        <f>PV($C$1, ($AB$3-$S$3), 0, -$AE$58)</f>
        <v>#DIV/0!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 t="e">
        <f t="shared" si="305"/>
        <v>#DIV/0!</v>
      </c>
      <c r="S145" s="133" t="e">
        <f>PV($C$1, ($AB$3-$S$3), 0, -AB59)</f>
        <v>#DIV/0!</v>
      </c>
      <c r="T145" s="133" t="e">
        <f>PV($C$1, ($AB$3-$S$3), 0, -$AE$59)</f>
        <v>#DIV/0!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 t="e">
        <f t="shared" si="305"/>
        <v>#DIV/0!</v>
      </c>
      <c r="S146" s="133" t="e">
        <f>PV($C$1, ($AB$3-$S$3), 0, -AB60)</f>
        <v>#DIV/0!</v>
      </c>
      <c r="T146" s="133" t="e">
        <f>PV($C$1, ($AB$3-$S$3), 0, -$AE$60)</f>
        <v>#DIV/0!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 t="e">
        <f t="shared" si="305"/>
        <v>#DIV/0!</v>
      </c>
      <c r="S148" s="133" t="e">
        <f>PV($C$1, ($AB$3-$S$3), 0, -AB65)</f>
        <v>#DIV/0!</v>
      </c>
      <c r="T148" s="133" t="e">
        <f>PV($C$1, ($AB$3-$S$3), 0, -AE65)</f>
        <v>#DIV/0!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 t="e">
        <f t="shared" si="305"/>
        <v>#DIV/0!</v>
      </c>
      <c r="S149" s="133" t="e">
        <f>PV($C$1, ($AB$3-$S$3), 0, -AB66)</f>
        <v>#DIV/0!</v>
      </c>
      <c r="T149" s="133" t="e">
        <f>PV($C$1, ($AB$3-$S$3), 0, -AE66)</f>
        <v>#DIV/0!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6">S151+T151</f>
        <v>0</v>
      </c>
      <c r="S151" s="133">
        <f>PV($C$1, ($AB$3-$S$3), 0, -AB12)</f>
        <v>0</v>
      </c>
      <c r="T151" s="133">
        <f>PV($C$1, ($AB$3-$S$3), 0, -AE12)</f>
        <v>0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 t="e">
        <f>S152+T152</f>
        <v>#DIV/0!</v>
      </c>
      <c r="S152" s="140" t="e">
        <f>S151/P42</f>
        <v>#DIV/0!</v>
      </c>
      <c r="T152" s="140" t="e">
        <f>T151/P42</f>
        <v>#DIV/0!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7">S155+T155</f>
        <v>0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55" s="133">
        <f>PV($C$1, ($AB$3-$S$3), 0, -AE68)</f>
        <v>0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5"/>
        <v>0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7" s="133">
        <f>PV($C$1, ($AB$3-$S$3), 0, -AE70)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 t="e">
        <f t="shared" ref="R159:R162" si="308">S159+T159</f>
        <v>#DIV/0!</v>
      </c>
      <c r="S159" s="133" t="e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#DIV/0!</v>
      </c>
      <c r="T159" s="133" t="e">
        <f>PV($C$1, ($AB$3-$S$3), 0, -AE72)</f>
        <v>#DIV/0!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 t="e">
        <f t="shared" si="308"/>
        <v>#DIV/0!</v>
      </c>
      <c r="S160" s="133" t="e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#DIV/0!</v>
      </c>
      <c r="T160" s="133" t="e">
        <f>PV($C$1, ($AB$3-$S$3), 0, -AE73)</f>
        <v>#DIV/0!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 t="e">
        <f t="shared" si="308"/>
        <v>#DIV/0!</v>
      </c>
      <c r="S161" s="133" t="e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#DIV/0!</v>
      </c>
      <c r="T161" s="133" t="e">
        <f>PV($C$1, ($AB$3-$S$3), 0, -AE74)</f>
        <v>#DIV/0!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 t="e">
        <f t="shared" si="308"/>
        <v>#DIV/0!</v>
      </c>
      <c r="S162" s="133" t="e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#DIV/0!</v>
      </c>
      <c r="T162" s="133" t="e">
        <f>PV($C$1, ($AB$3-$S$3), 0, -AE75)</f>
        <v>#DIV/0!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 t="e">
        <f>S164+T164</f>
        <v>#DIV/0!</v>
      </c>
      <c r="S164" s="133" t="e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#DIV/0!</v>
      </c>
      <c r="T164" s="133" t="e">
        <f>PV($C$1, ($AB$3-$S$3), 0, -AE76)</f>
        <v>#DIV/0!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 t="s">
        <v>392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118" t="e">
        <f t="shared" ref="Q167:Q172" si="309">((P167/G167)^(1/($H$2-$H$1) ))-1</f>
        <v>#DIV/0!</v>
      </c>
      <c r="R167" s="31">
        <f>L2-3%</f>
        <v>0.09</v>
      </c>
      <c r="S167" s="119">
        <f t="shared" ref="S167" si="310">P167*(1+$R167)</f>
        <v>0</v>
      </c>
      <c r="T167" s="119">
        <f t="shared" ref="T167:AB167" si="311">S167*(1+$R167)</f>
        <v>0</v>
      </c>
      <c r="U167" s="119">
        <f t="shared" si="311"/>
        <v>0</v>
      </c>
      <c r="V167" s="119">
        <f t="shared" si="311"/>
        <v>0</v>
      </c>
      <c r="W167" s="119">
        <f t="shared" si="311"/>
        <v>0</v>
      </c>
      <c r="X167" s="119">
        <f t="shared" si="311"/>
        <v>0</v>
      </c>
      <c r="Y167" s="119">
        <f t="shared" si="311"/>
        <v>0</v>
      </c>
      <c r="Z167" s="119">
        <f t="shared" si="311"/>
        <v>0</v>
      </c>
      <c r="AA167" s="119">
        <f t="shared" si="311"/>
        <v>0</v>
      </c>
      <c r="AB167" s="119">
        <f t="shared" si="311"/>
        <v>0</v>
      </c>
      <c r="AC167" s="138" t="e">
        <f t="shared" ref="AC167:AC172" si="312">((AB167/G167)^(1/($AB$3-$H$1) ))-1</f>
        <v>#DIV/0!</v>
      </c>
      <c r="AD167" s="31">
        <v>0.08</v>
      </c>
      <c r="AE167" s="127" t="e">
        <f t="shared" ref="AE167:AE175" si="313">(AB167*(1+AC167))/($C$1-AD167)</f>
        <v>#DIV/0!</v>
      </c>
    </row>
    <row r="168" spans="2:31" x14ac:dyDescent="0.2">
      <c r="B168" s="20" t="s">
        <v>361</v>
      </c>
      <c r="C168" s="25" t="e">
        <f t="shared" ref="C168:P168" si="314">C167/C49</f>
        <v>#DIV/0!</v>
      </c>
      <c r="D168" s="25" t="e">
        <f t="shared" si="314"/>
        <v>#DIV/0!</v>
      </c>
      <c r="E168" s="25" t="e">
        <f t="shared" si="314"/>
        <v>#DIV/0!</v>
      </c>
      <c r="F168" s="25" t="e">
        <f t="shared" si="314"/>
        <v>#DIV/0!</v>
      </c>
      <c r="G168" s="25" t="e">
        <f t="shared" si="314"/>
        <v>#DIV/0!</v>
      </c>
      <c r="H168" s="25" t="e">
        <f t="shared" si="314"/>
        <v>#DIV/0!</v>
      </c>
      <c r="I168" s="25" t="e">
        <f t="shared" si="314"/>
        <v>#DIV/0!</v>
      </c>
      <c r="J168" s="25" t="e">
        <f t="shared" si="314"/>
        <v>#DIV/0!</v>
      </c>
      <c r="K168" s="25" t="e">
        <f t="shared" si="314"/>
        <v>#DIV/0!</v>
      </c>
      <c r="L168" s="25" t="e">
        <f t="shared" si="314"/>
        <v>#DIV/0!</v>
      </c>
      <c r="M168" s="25" t="e">
        <f t="shared" si="314"/>
        <v>#DIV/0!</v>
      </c>
      <c r="N168" s="25" t="e">
        <f t="shared" si="314"/>
        <v>#DIV/0!</v>
      </c>
      <c r="O168" s="25" t="e">
        <f t="shared" si="314"/>
        <v>#DIV/0!</v>
      </c>
      <c r="P168" s="25" t="e">
        <f t="shared" si="314"/>
        <v>#DIV/0!</v>
      </c>
      <c r="Q168" s="118" t="e">
        <f t="shared" ref="Q168" si="315">((P168/G168)^(1/($H$2-$H$1) ))-1</f>
        <v>#DIV/0!</v>
      </c>
      <c r="R168" s="128"/>
      <c r="S168" s="25" t="e">
        <f t="shared" ref="S168:AB168" si="316">S167/S49</f>
        <v>#DIV/0!</v>
      </c>
      <c r="T168" s="25" t="e">
        <f t="shared" si="316"/>
        <v>#DIV/0!</v>
      </c>
      <c r="U168" s="25" t="e">
        <f t="shared" si="316"/>
        <v>#DIV/0!</v>
      </c>
      <c r="V168" s="25" t="e">
        <f t="shared" si="316"/>
        <v>#DIV/0!</v>
      </c>
      <c r="W168" s="25" t="e">
        <f t="shared" si="316"/>
        <v>#DIV/0!</v>
      </c>
      <c r="X168" s="25" t="e">
        <f t="shared" si="316"/>
        <v>#DIV/0!</v>
      </c>
      <c r="Y168" s="25" t="e">
        <f t="shared" si="316"/>
        <v>#DIV/0!</v>
      </c>
      <c r="Z168" s="25" t="e">
        <f t="shared" si="316"/>
        <v>#DIV/0!</v>
      </c>
      <c r="AA168" s="25" t="e">
        <f t="shared" si="316"/>
        <v>#DIV/0!</v>
      </c>
      <c r="AB168" s="25" t="e">
        <f t="shared" si="316"/>
        <v>#DIV/0!</v>
      </c>
      <c r="AC168" s="138" t="e">
        <f t="shared" ref="AC168" si="317">((AB168/G168)^(1/($AB$3-$H$1) ))-1</f>
        <v>#DIV/0!</v>
      </c>
      <c r="AD168" s="31">
        <v>0.08</v>
      </c>
      <c r="AE168" s="127" t="e">
        <f t="shared" ref="AE168" si="318">(AB168*(1+AC168))/($C$1-AD168)</f>
        <v>#DIV/0!</v>
      </c>
    </row>
    <row r="169" spans="2:31" x14ac:dyDescent="0.2">
      <c r="B169" s="20" t="s">
        <v>389</v>
      </c>
      <c r="C169" s="25" t="e">
        <f t="shared" ref="C169:P169" si="319">C167/C52</f>
        <v>#DIV/0!</v>
      </c>
      <c r="D169" s="25" t="e">
        <f t="shared" si="319"/>
        <v>#DIV/0!</v>
      </c>
      <c r="E169" s="25" t="e">
        <f t="shared" si="319"/>
        <v>#DIV/0!</v>
      </c>
      <c r="F169" s="25" t="e">
        <f t="shared" si="319"/>
        <v>#DIV/0!</v>
      </c>
      <c r="G169" s="25" t="e">
        <f t="shared" si="319"/>
        <v>#DIV/0!</v>
      </c>
      <c r="H169" s="25" t="e">
        <f t="shared" si="319"/>
        <v>#DIV/0!</v>
      </c>
      <c r="I169" s="25" t="e">
        <f t="shared" si="319"/>
        <v>#DIV/0!</v>
      </c>
      <c r="J169" s="25" t="e">
        <f t="shared" si="319"/>
        <v>#DIV/0!</v>
      </c>
      <c r="K169" s="25" t="e">
        <f t="shared" si="319"/>
        <v>#DIV/0!</v>
      </c>
      <c r="L169" s="25" t="e">
        <f t="shared" si="319"/>
        <v>#DIV/0!</v>
      </c>
      <c r="M169" s="25" t="e">
        <f t="shared" si="319"/>
        <v>#DIV/0!</v>
      </c>
      <c r="N169" s="25" t="e">
        <f t="shared" si="319"/>
        <v>#DIV/0!</v>
      </c>
      <c r="O169" s="25" t="e">
        <f t="shared" si="319"/>
        <v>#DIV/0!</v>
      </c>
      <c r="P169" s="25" t="e">
        <f t="shared" si="319"/>
        <v>#DIV/0!</v>
      </c>
      <c r="Q169" s="118" t="e">
        <f t="shared" si="309"/>
        <v>#DIV/0!</v>
      </c>
      <c r="R169" s="128"/>
      <c r="S169" s="119" t="e">
        <f t="shared" ref="S169:AB169" si="320">S167/S52</f>
        <v>#DIV/0!</v>
      </c>
      <c r="T169" s="119" t="e">
        <f t="shared" si="320"/>
        <v>#DIV/0!</v>
      </c>
      <c r="U169" s="119" t="e">
        <f t="shared" si="320"/>
        <v>#DIV/0!</v>
      </c>
      <c r="V169" s="119" t="e">
        <f t="shared" si="320"/>
        <v>#DIV/0!</v>
      </c>
      <c r="W169" s="119" t="e">
        <f t="shared" si="320"/>
        <v>#DIV/0!</v>
      </c>
      <c r="X169" s="119" t="e">
        <f t="shared" si="320"/>
        <v>#DIV/0!</v>
      </c>
      <c r="Y169" s="119" t="e">
        <f t="shared" si="320"/>
        <v>#DIV/0!</v>
      </c>
      <c r="Z169" s="119" t="e">
        <f t="shared" si="320"/>
        <v>#DIV/0!</v>
      </c>
      <c r="AA169" s="119" t="e">
        <f t="shared" si="320"/>
        <v>#DIV/0!</v>
      </c>
      <c r="AB169" s="119" t="e">
        <f t="shared" si="320"/>
        <v>#DIV/0!</v>
      </c>
      <c r="AC169" s="138" t="e">
        <f t="shared" si="312"/>
        <v>#DIV/0!</v>
      </c>
      <c r="AD169" s="31">
        <v>0.08</v>
      </c>
      <c r="AE169" s="127" t="e">
        <f t="shared" si="313"/>
        <v>#DIV/0!</v>
      </c>
    </row>
    <row r="170" spans="2:31" x14ac:dyDescent="0.2">
      <c r="B170" s="20" t="s">
        <v>258</v>
      </c>
      <c r="C170" s="25" t="e">
        <f t="shared" ref="C170:P170" si="321">C167/C55</f>
        <v>#DIV/0!</v>
      </c>
      <c r="D170" s="25" t="e">
        <f t="shared" si="321"/>
        <v>#DIV/0!</v>
      </c>
      <c r="E170" s="25" t="e">
        <f t="shared" si="321"/>
        <v>#DIV/0!</v>
      </c>
      <c r="F170" s="25" t="e">
        <f t="shared" si="321"/>
        <v>#DIV/0!</v>
      </c>
      <c r="G170" s="25" t="e">
        <f t="shared" si="321"/>
        <v>#DIV/0!</v>
      </c>
      <c r="H170" s="25" t="e">
        <f t="shared" si="321"/>
        <v>#DIV/0!</v>
      </c>
      <c r="I170" s="25" t="e">
        <f t="shared" si="321"/>
        <v>#DIV/0!</v>
      </c>
      <c r="J170" s="25" t="e">
        <f t="shared" si="321"/>
        <v>#DIV/0!</v>
      </c>
      <c r="K170" s="25" t="e">
        <f t="shared" si="321"/>
        <v>#DIV/0!</v>
      </c>
      <c r="L170" s="25" t="e">
        <f t="shared" si="321"/>
        <v>#DIV/0!</v>
      </c>
      <c r="M170" s="25" t="e">
        <f t="shared" si="321"/>
        <v>#DIV/0!</v>
      </c>
      <c r="N170" s="25" t="e">
        <f t="shared" si="321"/>
        <v>#DIV/0!</v>
      </c>
      <c r="O170" s="25" t="e">
        <f t="shared" si="321"/>
        <v>#DIV/0!</v>
      </c>
      <c r="P170" s="25" t="e">
        <f t="shared" si="321"/>
        <v>#DIV/0!</v>
      </c>
      <c r="Q170" s="118" t="e">
        <f t="shared" si="309"/>
        <v>#DIV/0!</v>
      </c>
      <c r="R170" s="128"/>
      <c r="S170" s="119" t="e">
        <f t="shared" ref="S170:AB170" si="322">S167/S55</f>
        <v>#DIV/0!</v>
      </c>
      <c r="T170" s="119" t="e">
        <f t="shared" si="322"/>
        <v>#DIV/0!</v>
      </c>
      <c r="U170" s="119" t="e">
        <f t="shared" si="322"/>
        <v>#DIV/0!</v>
      </c>
      <c r="V170" s="119" t="e">
        <f t="shared" si="322"/>
        <v>#DIV/0!</v>
      </c>
      <c r="W170" s="119" t="e">
        <f t="shared" si="322"/>
        <v>#DIV/0!</v>
      </c>
      <c r="X170" s="119" t="e">
        <f t="shared" si="322"/>
        <v>#DIV/0!</v>
      </c>
      <c r="Y170" s="119" t="e">
        <f t="shared" si="322"/>
        <v>#DIV/0!</v>
      </c>
      <c r="Z170" s="119" t="e">
        <f t="shared" si="322"/>
        <v>#DIV/0!</v>
      </c>
      <c r="AA170" s="119" t="e">
        <f t="shared" si="322"/>
        <v>#DIV/0!</v>
      </c>
      <c r="AB170" s="119" t="e">
        <f t="shared" si="322"/>
        <v>#DIV/0!</v>
      </c>
      <c r="AC170" s="138" t="e">
        <f t="shared" si="312"/>
        <v>#DIV/0!</v>
      </c>
      <c r="AD170" s="31">
        <v>0.08</v>
      </c>
      <c r="AE170" s="127" t="e">
        <f t="shared" si="313"/>
        <v>#DIV/0!</v>
      </c>
    </row>
    <row r="171" spans="2:31" x14ac:dyDescent="0.2">
      <c r="B171" s="20" t="s">
        <v>259</v>
      </c>
      <c r="C171" s="25" t="e">
        <f t="shared" ref="C171:P171" si="323">C167/C64</f>
        <v>#DIV/0!</v>
      </c>
      <c r="D171" s="25" t="e">
        <f t="shared" si="323"/>
        <v>#DIV/0!</v>
      </c>
      <c r="E171" s="25" t="e">
        <f t="shared" si="323"/>
        <v>#DIV/0!</v>
      </c>
      <c r="F171" s="25" t="e">
        <f t="shared" si="323"/>
        <v>#DIV/0!</v>
      </c>
      <c r="G171" s="25" t="e">
        <f t="shared" si="323"/>
        <v>#DIV/0!</v>
      </c>
      <c r="H171" s="25" t="e">
        <f t="shared" si="323"/>
        <v>#DIV/0!</v>
      </c>
      <c r="I171" s="25" t="e">
        <f t="shared" si="323"/>
        <v>#DIV/0!</v>
      </c>
      <c r="J171" s="25" t="e">
        <f t="shared" si="323"/>
        <v>#DIV/0!</v>
      </c>
      <c r="K171" s="25" t="e">
        <f t="shared" si="323"/>
        <v>#DIV/0!</v>
      </c>
      <c r="L171" s="25" t="e">
        <f t="shared" si="323"/>
        <v>#DIV/0!</v>
      </c>
      <c r="M171" s="25" t="e">
        <f t="shared" si="323"/>
        <v>#DIV/0!</v>
      </c>
      <c r="N171" s="25" t="e">
        <f t="shared" si="323"/>
        <v>#DIV/0!</v>
      </c>
      <c r="O171" s="25" t="e">
        <f t="shared" si="323"/>
        <v>#DIV/0!</v>
      </c>
      <c r="P171" s="25" t="e">
        <f t="shared" si="323"/>
        <v>#DIV/0!</v>
      </c>
      <c r="Q171" s="118" t="e">
        <f t="shared" si="309"/>
        <v>#DIV/0!</v>
      </c>
      <c r="R171" s="128"/>
      <c r="S171" s="119" t="e">
        <f t="shared" ref="S171:AB171" si="324">S167/S64</f>
        <v>#DIV/0!</v>
      </c>
      <c r="T171" s="119" t="e">
        <f t="shared" si="324"/>
        <v>#DIV/0!</v>
      </c>
      <c r="U171" s="119" t="e">
        <f t="shared" si="324"/>
        <v>#DIV/0!</v>
      </c>
      <c r="V171" s="119" t="e">
        <f t="shared" si="324"/>
        <v>#DIV/0!</v>
      </c>
      <c r="W171" s="119" t="e">
        <f t="shared" si="324"/>
        <v>#DIV/0!</v>
      </c>
      <c r="X171" s="119" t="e">
        <f t="shared" si="324"/>
        <v>#DIV/0!</v>
      </c>
      <c r="Y171" s="119" t="e">
        <f t="shared" si="324"/>
        <v>#DIV/0!</v>
      </c>
      <c r="Z171" s="119" t="e">
        <f t="shared" si="324"/>
        <v>#DIV/0!</v>
      </c>
      <c r="AA171" s="119" t="e">
        <f t="shared" si="324"/>
        <v>#DIV/0!</v>
      </c>
      <c r="AB171" s="119" t="e">
        <f t="shared" si="324"/>
        <v>#DIV/0!</v>
      </c>
      <c r="AC171" s="138" t="e">
        <f t="shared" si="312"/>
        <v>#DIV/0!</v>
      </c>
      <c r="AD171" s="31">
        <v>0.08</v>
      </c>
      <c r="AE171" s="127" t="e">
        <f t="shared" si="313"/>
        <v>#DIV/0!</v>
      </c>
    </row>
    <row r="172" spans="2:31" x14ac:dyDescent="0.2">
      <c r="B172" s="20" t="s">
        <v>260</v>
      </c>
      <c r="C172" s="25" t="e">
        <f t="shared" ref="C172:P172" si="325">C167/C66</f>
        <v>#DIV/0!</v>
      </c>
      <c r="D172" s="25" t="e">
        <f t="shared" si="325"/>
        <v>#DIV/0!</v>
      </c>
      <c r="E172" s="25" t="e">
        <f t="shared" si="325"/>
        <v>#DIV/0!</v>
      </c>
      <c r="F172" s="25" t="e">
        <f t="shared" si="325"/>
        <v>#DIV/0!</v>
      </c>
      <c r="G172" s="25" t="e">
        <f t="shared" si="325"/>
        <v>#DIV/0!</v>
      </c>
      <c r="H172" s="25" t="e">
        <f t="shared" si="325"/>
        <v>#DIV/0!</v>
      </c>
      <c r="I172" s="25" t="e">
        <f t="shared" si="325"/>
        <v>#DIV/0!</v>
      </c>
      <c r="J172" s="25" t="e">
        <f t="shared" si="325"/>
        <v>#DIV/0!</v>
      </c>
      <c r="K172" s="25" t="e">
        <f t="shared" si="325"/>
        <v>#DIV/0!</v>
      </c>
      <c r="L172" s="25" t="e">
        <f t="shared" si="325"/>
        <v>#DIV/0!</v>
      </c>
      <c r="M172" s="25" t="e">
        <f t="shared" si="325"/>
        <v>#DIV/0!</v>
      </c>
      <c r="N172" s="25" t="e">
        <f t="shared" si="325"/>
        <v>#DIV/0!</v>
      </c>
      <c r="O172" s="25" t="e">
        <f t="shared" si="325"/>
        <v>#DIV/0!</v>
      </c>
      <c r="P172" s="25" t="e">
        <f t="shared" si="325"/>
        <v>#DIV/0!</v>
      </c>
      <c r="Q172" s="118" t="e">
        <f t="shared" si="309"/>
        <v>#DIV/0!</v>
      </c>
      <c r="R172" s="128"/>
      <c r="S172" s="119" t="e">
        <f t="shared" ref="S172:AB172" si="326">S167/S66</f>
        <v>#DIV/0!</v>
      </c>
      <c r="T172" s="119" t="e">
        <f t="shared" si="326"/>
        <v>#DIV/0!</v>
      </c>
      <c r="U172" s="119" t="e">
        <f t="shared" si="326"/>
        <v>#DIV/0!</v>
      </c>
      <c r="V172" s="119" t="e">
        <f t="shared" si="326"/>
        <v>#DIV/0!</v>
      </c>
      <c r="W172" s="119" t="e">
        <f t="shared" si="326"/>
        <v>#DIV/0!</v>
      </c>
      <c r="X172" s="119" t="e">
        <f t="shared" si="326"/>
        <v>#DIV/0!</v>
      </c>
      <c r="Y172" s="119" t="e">
        <f t="shared" si="326"/>
        <v>#DIV/0!</v>
      </c>
      <c r="Z172" s="119" t="e">
        <f t="shared" si="326"/>
        <v>#DIV/0!</v>
      </c>
      <c r="AA172" s="119" t="e">
        <f t="shared" si="326"/>
        <v>#DIV/0!</v>
      </c>
      <c r="AB172" s="119" t="e">
        <f t="shared" si="326"/>
        <v>#DIV/0!</v>
      </c>
      <c r="AC172" s="138" t="e">
        <f t="shared" si="312"/>
        <v>#DIV/0!</v>
      </c>
      <c r="AD172" s="31">
        <v>0.08</v>
      </c>
      <c r="AE172" s="127" t="e">
        <f t="shared" si="313"/>
        <v>#DIV/0!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 t="e">
        <f t="shared" ref="G173:P173" si="327">G167/G60</f>
        <v>#DIV/0!</v>
      </c>
      <c r="H173" s="182" t="e">
        <f t="shared" si="327"/>
        <v>#DIV/0!</v>
      </c>
      <c r="I173" s="182" t="e">
        <f t="shared" si="327"/>
        <v>#DIV/0!</v>
      </c>
      <c r="J173" s="182" t="e">
        <f t="shared" si="327"/>
        <v>#DIV/0!</v>
      </c>
      <c r="K173" s="182" t="e">
        <f t="shared" si="327"/>
        <v>#DIV/0!</v>
      </c>
      <c r="L173" s="182" t="e">
        <f t="shared" si="327"/>
        <v>#DIV/0!</v>
      </c>
      <c r="M173" s="182" t="e">
        <f t="shared" si="327"/>
        <v>#DIV/0!</v>
      </c>
      <c r="N173" s="182" t="e">
        <f t="shared" si="327"/>
        <v>#DIV/0!</v>
      </c>
      <c r="O173" s="182" t="e">
        <f t="shared" si="327"/>
        <v>#DIV/0!</v>
      </c>
      <c r="P173" s="182" t="e">
        <f t="shared" si="327"/>
        <v>#DIV/0!</v>
      </c>
      <c r="Q173" s="118" t="e">
        <f t="shared" ref="Q173:Q175" si="328">((P173/G173)^(1/($H$2-$H$1) ))-1</f>
        <v>#DIV/0!</v>
      </c>
      <c r="R173" s="128"/>
      <c r="S173" s="135" t="e">
        <f t="shared" ref="S173:AB173" si="329">S167/S60</f>
        <v>#DIV/0!</v>
      </c>
      <c r="T173" s="135" t="e">
        <f t="shared" si="329"/>
        <v>#DIV/0!</v>
      </c>
      <c r="U173" s="135" t="e">
        <f t="shared" si="329"/>
        <v>#DIV/0!</v>
      </c>
      <c r="V173" s="135" t="e">
        <f t="shared" si="329"/>
        <v>#DIV/0!</v>
      </c>
      <c r="W173" s="135" t="e">
        <f t="shared" si="329"/>
        <v>#DIV/0!</v>
      </c>
      <c r="X173" s="135" t="e">
        <f t="shared" si="329"/>
        <v>#DIV/0!</v>
      </c>
      <c r="Y173" s="135" t="e">
        <f t="shared" si="329"/>
        <v>#DIV/0!</v>
      </c>
      <c r="Z173" s="135" t="e">
        <f t="shared" si="329"/>
        <v>#DIV/0!</v>
      </c>
      <c r="AA173" s="135" t="e">
        <f t="shared" si="329"/>
        <v>#DIV/0!</v>
      </c>
      <c r="AB173" s="135" t="e">
        <f t="shared" si="329"/>
        <v>#DIV/0!</v>
      </c>
      <c r="AC173" s="138" t="e">
        <f t="shared" ref="AC173" si="330">((AB173/G173)^(1/($AB$3-$H$1) ))-1</f>
        <v>#DIV/0!</v>
      </c>
      <c r="AD173" s="31">
        <v>0.08</v>
      </c>
      <c r="AE173" s="127" t="e">
        <f t="shared" si="313"/>
        <v>#DIV/0!</v>
      </c>
    </row>
    <row r="174" spans="2:31" x14ac:dyDescent="0.2">
      <c r="B174" s="20" t="s">
        <v>371</v>
      </c>
      <c r="C174" s="161" t="e">
        <f t="shared" ref="C174:P174" si="331">C52/C167</f>
        <v>#DIV/0!</v>
      </c>
      <c r="D174" s="161" t="e">
        <f t="shared" si="331"/>
        <v>#DIV/0!</v>
      </c>
      <c r="E174" s="161" t="e">
        <f t="shared" si="331"/>
        <v>#DIV/0!</v>
      </c>
      <c r="F174" s="161" t="e">
        <f t="shared" si="331"/>
        <v>#DIV/0!</v>
      </c>
      <c r="G174" s="161" t="e">
        <f t="shared" si="331"/>
        <v>#DIV/0!</v>
      </c>
      <c r="H174" s="161" t="e">
        <f t="shared" si="331"/>
        <v>#DIV/0!</v>
      </c>
      <c r="I174" s="161" t="e">
        <f t="shared" si="331"/>
        <v>#DIV/0!</v>
      </c>
      <c r="J174" s="161" t="e">
        <f t="shared" si="331"/>
        <v>#DIV/0!</v>
      </c>
      <c r="K174" s="161" t="e">
        <f t="shared" si="331"/>
        <v>#DIV/0!</v>
      </c>
      <c r="L174" s="161" t="e">
        <f t="shared" si="331"/>
        <v>#DIV/0!</v>
      </c>
      <c r="M174" s="161" t="e">
        <f t="shared" si="331"/>
        <v>#DIV/0!</v>
      </c>
      <c r="N174" s="161" t="e">
        <f t="shared" si="331"/>
        <v>#DIV/0!</v>
      </c>
      <c r="O174" s="161" t="e">
        <f t="shared" si="331"/>
        <v>#DIV/0!</v>
      </c>
      <c r="P174" s="161" t="e">
        <f t="shared" si="331"/>
        <v>#DIV/0!</v>
      </c>
      <c r="Q174" s="118" t="e">
        <f t="shared" si="328"/>
        <v>#DIV/0!</v>
      </c>
      <c r="R174" s="128"/>
      <c r="S174" s="161" t="e">
        <f t="shared" ref="S174:AB174" si="332">S52/S167</f>
        <v>#DIV/0!</v>
      </c>
      <c r="T174" s="161" t="e">
        <f t="shared" si="332"/>
        <v>#DIV/0!</v>
      </c>
      <c r="U174" s="161" t="e">
        <f t="shared" si="332"/>
        <v>#DIV/0!</v>
      </c>
      <c r="V174" s="161" t="e">
        <f t="shared" si="332"/>
        <v>#DIV/0!</v>
      </c>
      <c r="W174" s="161" t="e">
        <f t="shared" si="332"/>
        <v>#DIV/0!</v>
      </c>
      <c r="X174" s="161" t="e">
        <f t="shared" si="332"/>
        <v>#DIV/0!</v>
      </c>
      <c r="Y174" s="161" t="e">
        <f t="shared" si="332"/>
        <v>#DIV/0!</v>
      </c>
      <c r="Z174" s="161" t="e">
        <f t="shared" si="332"/>
        <v>#DIV/0!</v>
      </c>
      <c r="AA174" s="161" t="e">
        <f t="shared" si="332"/>
        <v>#DIV/0!</v>
      </c>
      <c r="AB174" s="161" t="e">
        <f t="shared" si="332"/>
        <v>#DIV/0!</v>
      </c>
      <c r="AC174" s="138" t="e">
        <f t="shared" ref="AC174:AC175" si="333">((AB174/G174)^(1/($AB$3-$H$1) ))-1</f>
        <v>#DIV/0!</v>
      </c>
      <c r="AD174" s="31">
        <v>0.08</v>
      </c>
      <c r="AE174" s="127" t="e">
        <f t="shared" si="313"/>
        <v>#DIV/0!</v>
      </c>
    </row>
    <row r="175" spans="2:31" x14ac:dyDescent="0.2">
      <c r="B175" s="20" t="s">
        <v>320</v>
      </c>
      <c r="C175" s="152" t="e">
        <f t="shared" ref="C175:P175" si="334">C43/C167</f>
        <v>#DIV/0!</v>
      </c>
      <c r="D175" s="152" t="e">
        <f t="shared" si="334"/>
        <v>#DIV/0!</v>
      </c>
      <c r="E175" s="152" t="e">
        <f t="shared" si="334"/>
        <v>#DIV/0!</v>
      </c>
      <c r="F175" s="152" t="e">
        <f t="shared" si="334"/>
        <v>#DIV/0!</v>
      </c>
      <c r="G175" s="152" t="e">
        <f t="shared" si="334"/>
        <v>#DIV/0!</v>
      </c>
      <c r="H175" s="152" t="e">
        <f t="shared" si="334"/>
        <v>#DIV/0!</v>
      </c>
      <c r="I175" s="152" t="e">
        <f t="shared" si="334"/>
        <v>#DIV/0!</v>
      </c>
      <c r="J175" s="152" t="e">
        <f t="shared" si="334"/>
        <v>#DIV/0!</v>
      </c>
      <c r="K175" s="152" t="e">
        <f t="shared" si="334"/>
        <v>#DIV/0!</v>
      </c>
      <c r="L175" s="152" t="e">
        <f t="shared" si="334"/>
        <v>#DIV/0!</v>
      </c>
      <c r="M175" s="152" t="e">
        <f t="shared" si="334"/>
        <v>#DIV/0!</v>
      </c>
      <c r="N175" s="152" t="e">
        <f t="shared" si="334"/>
        <v>#DIV/0!</v>
      </c>
      <c r="O175" s="152" t="e">
        <f t="shared" si="334"/>
        <v>#DIV/0!</v>
      </c>
      <c r="P175" s="152" t="e">
        <f t="shared" si="334"/>
        <v>#DIV/0!</v>
      </c>
      <c r="Q175" s="118" t="e">
        <f t="shared" si="328"/>
        <v>#DIV/0!</v>
      </c>
      <c r="R175" s="128"/>
      <c r="S175" s="152" t="e">
        <f t="shared" ref="S175:AB175" si="335">S43/S167</f>
        <v>#DIV/0!</v>
      </c>
      <c r="T175" s="152" t="e">
        <f t="shared" si="335"/>
        <v>#DIV/0!</v>
      </c>
      <c r="U175" s="152" t="e">
        <f t="shared" si="335"/>
        <v>#DIV/0!</v>
      </c>
      <c r="V175" s="152" t="e">
        <f t="shared" si="335"/>
        <v>#DIV/0!</v>
      </c>
      <c r="W175" s="152" t="e">
        <f t="shared" si="335"/>
        <v>#DIV/0!</v>
      </c>
      <c r="X175" s="152" t="e">
        <f t="shared" si="335"/>
        <v>#DIV/0!</v>
      </c>
      <c r="Y175" s="152" t="e">
        <f t="shared" si="335"/>
        <v>#DIV/0!</v>
      </c>
      <c r="Z175" s="152" t="e">
        <f t="shared" si="335"/>
        <v>#DIV/0!</v>
      </c>
      <c r="AA175" s="152" t="e">
        <f t="shared" si="335"/>
        <v>#DIV/0!</v>
      </c>
      <c r="AB175" s="152" t="e">
        <f t="shared" si="335"/>
        <v>#DIV/0!</v>
      </c>
      <c r="AC175" s="138" t="e">
        <f t="shared" si="333"/>
        <v>#DIV/0!</v>
      </c>
      <c r="AD175" s="31">
        <v>0.08</v>
      </c>
      <c r="AE175" s="127" t="e">
        <f t="shared" si="313"/>
        <v>#DIV/0!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8" t="s">
        <v>351</v>
      </c>
      <c r="L178" s="199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 t="e">
        <f>(P167-R155)/P167</f>
        <v>#DIV/0!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 t="e">
        <f>(P167-(K180*R146))/P167</f>
        <v>#DIV/0!</v>
      </c>
      <c r="N180" s="20"/>
      <c r="O180" s="20"/>
      <c r="P180" s="128" t="e">
        <f>(P167-R146)/P167</f>
        <v>#DIV/0!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 t="e">
        <f>(P167-(K181*R139))/P167</f>
        <v>#DIV/0!</v>
      </c>
      <c r="N181" s="20"/>
      <c r="O181" s="20"/>
      <c r="P181" s="128" t="e">
        <f>(P167-R139)/P167</f>
        <v>#DIV/0!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 t="e">
        <f>(P167-(K182*R152))/P167</f>
        <v>#DIV/0!</v>
      </c>
      <c r="N182" s="20"/>
      <c r="O182" s="20"/>
      <c r="P182" s="128" t="e">
        <f>(P167-R152)/P167</f>
        <v>#DIV/0!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 t="e">
        <f>(P167-(K183*R164))/P167</f>
        <v>#DIV/0!</v>
      </c>
      <c r="N183" s="20"/>
      <c r="O183" s="20"/>
      <c r="P183" s="128" t="e">
        <f>(P167-R164)/P167</f>
        <v>#DIV/0!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 t="e">
        <f>P167/R138</f>
        <v>#DIV/0!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 t="e">
        <f>1/P184</f>
        <v>#DIV/0!</v>
      </c>
      <c r="Q185" s="20"/>
      <c r="R185" s="20"/>
      <c r="S185" s="185" t="e">
        <f>P167-S186</f>
        <v>#DIV/0!</v>
      </c>
      <c r="T185" s="185" t="e">
        <f>S185-T186</f>
        <v>#DIV/0!</v>
      </c>
      <c r="U185" s="185" t="e">
        <f t="shared" ref="U185:W185" si="336">T185-U186</f>
        <v>#DIV/0!</v>
      </c>
      <c r="V185" s="185" t="e">
        <f t="shared" si="336"/>
        <v>#DIV/0!</v>
      </c>
      <c r="W185" s="185" t="e">
        <f t="shared" si="336"/>
        <v>#DIV/0!</v>
      </c>
      <c r="X185" s="185" t="e">
        <f>W185-X186</f>
        <v>#DIV/0!</v>
      </c>
      <c r="Y185" s="185" t="e">
        <f t="shared" ref="Y185:AB185" si="337">X185-Y186</f>
        <v>#DIV/0!</v>
      </c>
      <c r="Z185" s="185" t="e">
        <f t="shared" si="337"/>
        <v>#DIV/0!</v>
      </c>
      <c r="AA185" s="185" t="e">
        <f t="shared" si="337"/>
        <v>#DIV/0!</v>
      </c>
      <c r="AB185" s="185" t="e">
        <f t="shared" si="337"/>
        <v>#DIV/0!</v>
      </c>
      <c r="AC185" s="185" t="e">
        <f t="shared" ref="AC185" si="338">AB185-AC186</f>
        <v>#DIV/0!</v>
      </c>
      <c r="AD185" s="185" t="e">
        <f t="shared" ref="AD185" si="339">AC185-AD186</f>
        <v>#DIV/0!</v>
      </c>
      <c r="AE185" s="185" t="e">
        <f t="shared" ref="AE185" si="340">AD185-AE186</f>
        <v>#DIV/0!</v>
      </c>
      <c r="AF185" s="185" t="e">
        <f t="shared" ref="AF185" si="341">AE185-AF186</f>
        <v>#DIV/0!</v>
      </c>
      <c r="AG185" s="185" t="e">
        <f t="shared" ref="AG185" si="342">AF185-AG186</f>
        <v>#DIV/0!</v>
      </c>
      <c r="AH185" s="185" t="e">
        <f t="shared" ref="AH185" si="343">AG185-AH186</f>
        <v>#DIV/0!</v>
      </c>
      <c r="AI185" s="185" t="e">
        <f t="shared" ref="AI185" si="344">AH185-AI186</f>
        <v>#DIV/0!</v>
      </c>
      <c r="AJ185" s="185" t="e">
        <f t="shared" ref="AJ185" si="345">AI185-AJ186</f>
        <v>#DIV/0!</v>
      </c>
      <c r="AK185" s="185" t="e">
        <f t="shared" ref="AK185" si="346">AJ185-AK186</f>
        <v>#DIV/0!</v>
      </c>
      <c r="AL185" s="185" t="e">
        <f t="shared" ref="AL185" si="347">AK185-AL186</f>
        <v>#DIV/0!</v>
      </c>
      <c r="AM185" s="185" t="e">
        <f t="shared" ref="AM185" si="348">AL185-AM186</f>
        <v>#DIV/0!</v>
      </c>
      <c r="AN185" s="185" t="e">
        <f t="shared" ref="AN185" si="349">AM185-AN186</f>
        <v>#DIV/0!</v>
      </c>
      <c r="AO185" s="185" t="e">
        <f t="shared" ref="AO185" si="350">AN185-AO186</f>
        <v>#DIV/0!</v>
      </c>
      <c r="AP185" s="185" t="e">
        <f t="shared" ref="AP185" si="351">AO185-AP186</f>
        <v>#DIV/0!</v>
      </c>
      <c r="AQ185" s="185" t="e">
        <f t="shared" ref="AQ185" si="352">AP185-AQ186</f>
        <v>#DIV/0!</v>
      </c>
      <c r="AR185" s="185" t="e">
        <f t="shared" ref="AR185" si="353">AQ185-AR186</f>
        <v>#DIV/0!</v>
      </c>
      <c r="AS185" s="185" t="e">
        <f t="shared" ref="AS185" si="354">AR185-AS186</f>
        <v>#DIV/0!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/>
      <c r="N186" s="20"/>
      <c r="O186" s="20"/>
      <c r="P186" s="181" t="e">
        <f>P167/Q137</f>
        <v>#DIV/0!</v>
      </c>
      <c r="Q186" s="20"/>
      <c r="R186" s="20"/>
      <c r="S186" s="186" t="e">
        <f>Q137*(1+$K$186)</f>
        <v>#DIV/0!</v>
      </c>
      <c r="T186" s="186" t="e">
        <f>S186*(1+$K$186)</f>
        <v>#DIV/0!</v>
      </c>
      <c r="U186" s="186" t="e">
        <f t="shared" ref="U186:AB186" si="355">T186*(1+$K$186)</f>
        <v>#DIV/0!</v>
      </c>
      <c r="V186" s="186" t="e">
        <f t="shared" si="355"/>
        <v>#DIV/0!</v>
      </c>
      <c r="W186" s="186" t="e">
        <f t="shared" si="355"/>
        <v>#DIV/0!</v>
      </c>
      <c r="X186" s="186" t="e">
        <f t="shared" si="355"/>
        <v>#DIV/0!</v>
      </c>
      <c r="Y186" s="186" t="e">
        <f t="shared" si="355"/>
        <v>#DIV/0!</v>
      </c>
      <c r="Z186" s="186" t="e">
        <f t="shared" si="355"/>
        <v>#DIV/0!</v>
      </c>
      <c r="AA186" s="186" t="e">
        <f t="shared" si="355"/>
        <v>#DIV/0!</v>
      </c>
      <c r="AB186" s="186" t="e">
        <f t="shared" si="355"/>
        <v>#DIV/0!</v>
      </c>
      <c r="AC186" s="186" t="e">
        <f t="shared" ref="AC186" si="356">AB186*(1+$K$186)</f>
        <v>#DIV/0!</v>
      </c>
      <c r="AD186" s="186" t="e">
        <f t="shared" ref="AD186" si="357">AC186*(1+$K$186)</f>
        <v>#DIV/0!</v>
      </c>
      <c r="AE186" s="186" t="e">
        <f t="shared" ref="AE186" si="358">AD186*(1+$K$186)</f>
        <v>#DIV/0!</v>
      </c>
      <c r="AF186" s="186" t="e">
        <f t="shared" ref="AF186" si="359">AE186*(1+$K$186)</f>
        <v>#DIV/0!</v>
      </c>
      <c r="AG186" s="186" t="e">
        <f t="shared" ref="AG186" si="360">AF186*(1+$K$186)</f>
        <v>#DIV/0!</v>
      </c>
      <c r="AH186" s="186" t="e">
        <f t="shared" ref="AH186" si="361">AG186*(1+$K$186)</f>
        <v>#DIV/0!</v>
      </c>
      <c r="AI186" s="186" t="e">
        <f t="shared" ref="AI186" si="362">AH186*(1+$K$186)</f>
        <v>#DIV/0!</v>
      </c>
      <c r="AJ186" s="186" t="e">
        <f t="shared" ref="AJ186" si="363">AI186*(1+$K$186)</f>
        <v>#DIV/0!</v>
      </c>
      <c r="AK186" s="186" t="e">
        <f t="shared" ref="AK186" si="364">AJ186*(1+$K$186)</f>
        <v>#DIV/0!</v>
      </c>
      <c r="AL186" s="186" t="e">
        <f t="shared" ref="AL186" si="365">AK186*(1+$K$186)</f>
        <v>#DIV/0!</v>
      </c>
      <c r="AM186" s="186" t="e">
        <f t="shared" ref="AM186" si="366">AL186*(1+$K$186)</f>
        <v>#DIV/0!</v>
      </c>
      <c r="AN186" s="186" t="e">
        <f t="shared" ref="AN186" si="367">AM186*(1+$K$186)</f>
        <v>#DIV/0!</v>
      </c>
      <c r="AO186" s="186" t="e">
        <f t="shared" ref="AO186" si="368">AN186*(1+$K$186)</f>
        <v>#DIV/0!</v>
      </c>
      <c r="AP186" s="186" t="e">
        <f t="shared" ref="AP186" si="369">AO186*(1+$K$186)</f>
        <v>#DIV/0!</v>
      </c>
      <c r="AQ186" s="186" t="e">
        <f t="shared" ref="AQ186" si="370">AP186*(1+$K$186)</f>
        <v>#DIV/0!</v>
      </c>
      <c r="AR186" s="186" t="e">
        <f t="shared" ref="AR186" si="371">AQ186*(1+$K$186)</f>
        <v>#DIV/0!</v>
      </c>
      <c r="AS186" s="186" t="e">
        <f t="shared" ref="AS186" si="372">AR186*(1+$K$186)</f>
        <v>#DIV/0!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7"/>
      <c r="N187" s="20"/>
      <c r="O187" s="20"/>
      <c r="P187" s="181" t="e">
        <f>P167/P52</f>
        <v>#DIV/0!</v>
      </c>
      <c r="Q187" s="20"/>
      <c r="R187" s="20"/>
      <c r="S187" s="186" t="e">
        <f>P52*(1+$K$187)</f>
        <v>#DIV/0!</v>
      </c>
      <c r="T187" s="186" t="e">
        <f>S187*(1+$K$187)</f>
        <v>#DIV/0!</v>
      </c>
      <c r="U187" s="186" t="e">
        <f t="shared" ref="U187:AB187" si="373">T187*(1+$K$187)</f>
        <v>#DIV/0!</v>
      </c>
      <c r="V187" s="186" t="e">
        <f t="shared" si="373"/>
        <v>#DIV/0!</v>
      </c>
      <c r="W187" s="186" t="e">
        <f t="shared" si="373"/>
        <v>#DIV/0!</v>
      </c>
      <c r="X187" s="186" t="e">
        <f t="shared" si="373"/>
        <v>#DIV/0!</v>
      </c>
      <c r="Y187" s="186" t="e">
        <f t="shared" si="373"/>
        <v>#DIV/0!</v>
      </c>
      <c r="Z187" s="186" t="e">
        <f t="shared" si="373"/>
        <v>#DIV/0!</v>
      </c>
      <c r="AA187" s="186" t="e">
        <f t="shared" si="373"/>
        <v>#DIV/0!</v>
      </c>
      <c r="AB187" s="186" t="e">
        <f t="shared" si="373"/>
        <v>#DIV/0!</v>
      </c>
      <c r="AC187" s="186" t="e">
        <f t="shared" ref="AC187" si="374">AB187*(1+$K$187)</f>
        <v>#DIV/0!</v>
      </c>
      <c r="AD187" s="186" t="e">
        <f t="shared" ref="AD187" si="375">AC187*(1+$K$187)</f>
        <v>#DIV/0!</v>
      </c>
      <c r="AE187" s="186" t="e">
        <f t="shared" ref="AE187" si="376">AD187*(1+$K$187)</f>
        <v>#DIV/0!</v>
      </c>
      <c r="AF187" s="186" t="e">
        <f t="shared" ref="AF187" si="377">AE187*(1+$K$187)</f>
        <v>#DIV/0!</v>
      </c>
      <c r="AG187" s="186" t="e">
        <f t="shared" ref="AG187" si="378">AF187*(1+$K$187)</f>
        <v>#DIV/0!</v>
      </c>
      <c r="AH187" s="186" t="e">
        <f t="shared" ref="AH187" si="379">AG187*(1+$K$187)</f>
        <v>#DIV/0!</v>
      </c>
      <c r="AI187" s="186" t="e">
        <f t="shared" ref="AI187" si="380">AH187*(1+$K$187)</f>
        <v>#DIV/0!</v>
      </c>
      <c r="AJ187" s="186" t="e">
        <f t="shared" ref="AJ187" si="381">AI187*(1+$K$187)</f>
        <v>#DIV/0!</v>
      </c>
      <c r="AK187" s="186" t="e">
        <f t="shared" ref="AK187" si="382">AJ187*(1+$K$187)</f>
        <v>#DIV/0!</v>
      </c>
      <c r="AL187" s="186" t="e">
        <f t="shared" ref="AL187" si="383">AK187*(1+$K$187)</f>
        <v>#DIV/0!</v>
      </c>
      <c r="AM187" s="186" t="e">
        <f t="shared" ref="AM187" si="384">AL187*(1+$K$187)</f>
        <v>#DIV/0!</v>
      </c>
      <c r="AN187" s="186" t="e">
        <f t="shared" ref="AN187" si="385">AM187*(1+$K$187)</f>
        <v>#DIV/0!</v>
      </c>
      <c r="AO187" s="186" t="e">
        <f t="shared" ref="AO187" si="386">AN187*(1+$K$187)</f>
        <v>#DIV/0!</v>
      </c>
      <c r="AP187" s="186" t="e">
        <f t="shared" ref="AP187" si="387">AO187*(1+$K$187)</f>
        <v>#DIV/0!</v>
      </c>
      <c r="AQ187" s="186" t="e">
        <f t="shared" ref="AQ187" si="388">AP187*(1+$K$187)</f>
        <v>#DIV/0!</v>
      </c>
      <c r="AR187" s="186" t="e">
        <f t="shared" ref="AR187" si="389">AQ187*(1+$K$187)</f>
        <v>#DIV/0!</v>
      </c>
      <c r="AS187" s="186" t="e">
        <f t="shared" ref="AS187" si="390">AR187*(1+$K$187)</f>
        <v>#DIV/0!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 t="e">
        <f>P167-S187</f>
        <v>#DIV/0!</v>
      </c>
      <c r="T188" s="185" t="e">
        <f>S188-T187</f>
        <v>#DIV/0!</v>
      </c>
      <c r="U188" s="185" t="e">
        <f t="shared" ref="U188:Z188" si="391">T188-U187</f>
        <v>#DIV/0!</v>
      </c>
      <c r="V188" s="185" t="e">
        <f t="shared" si="391"/>
        <v>#DIV/0!</v>
      </c>
      <c r="W188" s="185" t="e">
        <f t="shared" si="391"/>
        <v>#DIV/0!</v>
      </c>
      <c r="X188" s="185" t="e">
        <f t="shared" si="391"/>
        <v>#DIV/0!</v>
      </c>
      <c r="Y188" s="185" t="e">
        <f t="shared" si="391"/>
        <v>#DIV/0!</v>
      </c>
      <c r="Z188" s="185" t="e">
        <f t="shared" si="391"/>
        <v>#DIV/0!</v>
      </c>
      <c r="AA188" s="185" t="e">
        <f>Z188-AA187</f>
        <v>#DIV/0!</v>
      </c>
      <c r="AB188" s="185" t="e">
        <f t="shared" ref="AB188" si="392">AA188-AB187</f>
        <v>#DIV/0!</v>
      </c>
      <c r="AC188" s="185" t="e">
        <f t="shared" ref="AC188" si="393">AB188-AC187</f>
        <v>#DIV/0!</v>
      </c>
      <c r="AD188" s="185" t="e">
        <f t="shared" ref="AD188" si="394">AC188-AD187</f>
        <v>#DIV/0!</v>
      </c>
      <c r="AE188" s="185" t="e">
        <f t="shared" ref="AE188" si="395">AD188-AE187</f>
        <v>#DIV/0!</v>
      </c>
      <c r="AF188" s="185" t="e">
        <f t="shared" ref="AF188" si="396">AE188-AF187</f>
        <v>#DIV/0!</v>
      </c>
      <c r="AG188" s="185" t="e">
        <f t="shared" ref="AG188" si="397">AF188-AG187</f>
        <v>#DIV/0!</v>
      </c>
      <c r="AH188" s="185" t="e">
        <f t="shared" ref="AH188" si="398">AG188-AH187</f>
        <v>#DIV/0!</v>
      </c>
      <c r="AI188" s="185" t="e">
        <f t="shared" ref="AI188" si="399">AH188-AI187</f>
        <v>#DIV/0!</v>
      </c>
      <c r="AJ188" s="185" t="e">
        <f t="shared" ref="AJ188" si="400">AI188-AJ187</f>
        <v>#DIV/0!</v>
      </c>
      <c r="AK188" s="185" t="e">
        <f t="shared" ref="AK188" si="401">AJ188-AK187</f>
        <v>#DIV/0!</v>
      </c>
      <c r="AL188" s="185" t="e">
        <f t="shared" ref="AL188" si="402">AK188-AL187</f>
        <v>#DIV/0!</v>
      </c>
      <c r="AM188" s="185" t="e">
        <f t="shared" ref="AM188" si="403">AL188-AM187</f>
        <v>#DIV/0!</v>
      </c>
      <c r="AN188" s="185" t="e">
        <f t="shared" ref="AN188" si="404">AM188-AN187</f>
        <v>#DIV/0!</v>
      </c>
      <c r="AO188" s="185" t="e">
        <f t="shared" ref="AO188" si="405">AN188-AO187</f>
        <v>#DIV/0!</v>
      </c>
      <c r="AP188" s="185" t="e">
        <f t="shared" ref="AP188" si="406">AO188-AP187</f>
        <v>#DIV/0!</v>
      </c>
      <c r="AQ188" s="185" t="e">
        <f t="shared" ref="AQ188" si="407">AP188-AQ187</f>
        <v>#DIV/0!</v>
      </c>
      <c r="AR188" s="185" t="e">
        <f t="shared" ref="AR188" si="408">AQ188-AR187</f>
        <v>#DIV/0!</v>
      </c>
      <c r="AS188" s="185" t="e">
        <f t="shared" ref="AS188" si="409">AR188-AS187</f>
        <v>#DIV/0!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10">C10/C7</f>
        <v>#DIV/0!</v>
      </c>
      <c r="D190" s="25" t="e">
        <f t="shared" si="410"/>
        <v>#DIV/0!</v>
      </c>
      <c r="E190" s="25" t="e">
        <f t="shared" si="410"/>
        <v>#DIV/0!</v>
      </c>
      <c r="F190" s="25" t="e">
        <f t="shared" si="410"/>
        <v>#DIV/0!</v>
      </c>
      <c r="G190" s="25" t="e">
        <f t="shared" si="410"/>
        <v>#DIV/0!</v>
      </c>
      <c r="H190" s="25" t="e">
        <f t="shared" si="410"/>
        <v>#DIV/0!</v>
      </c>
      <c r="I190" s="25" t="e">
        <f t="shared" si="410"/>
        <v>#DIV/0!</v>
      </c>
      <c r="J190" s="25" t="e">
        <f t="shared" si="410"/>
        <v>#DIV/0!</v>
      </c>
      <c r="K190" s="25" t="e">
        <f t="shared" si="410"/>
        <v>#DIV/0!</v>
      </c>
      <c r="L190" s="25" t="e">
        <f t="shared" si="410"/>
        <v>#DIV/0!</v>
      </c>
      <c r="M190" s="25" t="e">
        <f t="shared" si="410"/>
        <v>#DIV/0!</v>
      </c>
      <c r="N190" s="25" t="e">
        <f t="shared" si="410"/>
        <v>#DIV/0!</v>
      </c>
      <c r="O190" s="25" t="e">
        <f t="shared" si="410"/>
        <v>#DIV/0!</v>
      </c>
      <c r="P190" s="25" t="e">
        <f t="shared" si="410"/>
        <v>#DIV/0!</v>
      </c>
      <c r="Q190" s="118" t="e">
        <f t="shared" ref="Q190:Q192" si="411">((P190/G190)^(1/($H$2-$H$1) ))-1</f>
        <v>#DIV/0!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 t="e">
        <f>G10/G12</f>
        <v>#DIV/0!</v>
      </c>
      <c r="H191" s="112" t="e">
        <f t="shared" ref="H191:P191" si="412">H10/H12</f>
        <v>#DIV/0!</v>
      </c>
      <c r="I191" s="112" t="e">
        <f t="shared" si="412"/>
        <v>#DIV/0!</v>
      </c>
      <c r="J191" s="112" t="e">
        <f t="shared" si="412"/>
        <v>#DIV/0!</v>
      </c>
      <c r="K191" s="112" t="e">
        <f t="shared" si="412"/>
        <v>#DIV/0!</v>
      </c>
      <c r="L191" s="112" t="e">
        <f t="shared" si="412"/>
        <v>#DIV/0!</v>
      </c>
      <c r="M191" s="112" t="e">
        <f t="shared" si="412"/>
        <v>#DIV/0!</v>
      </c>
      <c r="N191" s="112" t="e">
        <f t="shared" si="412"/>
        <v>#DIV/0!</v>
      </c>
      <c r="O191" s="112" t="e">
        <f t="shared" si="412"/>
        <v>#DIV/0!</v>
      </c>
      <c r="P191" s="112" t="e">
        <f t="shared" si="412"/>
        <v>#DIV/0!</v>
      </c>
      <c r="Q191" s="118" t="e">
        <f t="shared" si="411"/>
        <v>#DIV/0!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 t="e">
        <f>G10/(G12+G13)</f>
        <v>#DIV/0!</v>
      </c>
      <c r="H192" s="25" t="e">
        <f t="shared" ref="H192:P192" si="413">H10/(H12+H13)</f>
        <v>#DIV/0!</v>
      </c>
      <c r="I192" s="25" t="e">
        <f t="shared" si="413"/>
        <v>#DIV/0!</v>
      </c>
      <c r="J192" s="25" t="e">
        <f t="shared" si="413"/>
        <v>#DIV/0!</v>
      </c>
      <c r="K192" s="25" t="e">
        <f t="shared" si="413"/>
        <v>#DIV/0!</v>
      </c>
      <c r="L192" s="25" t="e">
        <f t="shared" si="413"/>
        <v>#DIV/0!</v>
      </c>
      <c r="M192" s="25" t="e">
        <f t="shared" si="413"/>
        <v>#DIV/0!</v>
      </c>
      <c r="N192" s="25" t="e">
        <f t="shared" si="413"/>
        <v>#DIV/0!</v>
      </c>
      <c r="O192" s="25" t="e">
        <f t="shared" si="413"/>
        <v>#DIV/0!</v>
      </c>
      <c r="P192" s="25" t="e">
        <f t="shared" si="413"/>
        <v>#DIV/0!</v>
      </c>
      <c r="Q192" s="118" t="e">
        <f t="shared" si="411"/>
        <v>#DIV/0!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5" t="s">
        <v>337</v>
      </c>
      <c r="M195" s="196"/>
      <c r="N195" s="197"/>
      <c r="O195" s="23" t="s">
        <v>340</v>
      </c>
      <c r="P195" s="20"/>
      <c r="Q195" s="195" t="s">
        <v>338</v>
      </c>
      <c r="R195" s="196"/>
      <c r="S195" s="197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1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1</v>
      </c>
      <c r="O197" s="173">
        <f>N197</f>
        <v>1</v>
      </c>
      <c r="P197" s="20"/>
      <c r="Q197" s="167" t="s">
        <v>341</v>
      </c>
      <c r="R197" s="167"/>
      <c r="S197" s="21">
        <v>1</v>
      </c>
      <c r="T197" s="173">
        <f>S197</f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2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1</v>
      </c>
      <c r="E199" s="176" t="s">
        <v>398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2</v>
      </c>
      <c r="K199" s="20"/>
      <c r="L199" s="167" t="s">
        <v>343</v>
      </c>
      <c r="M199" s="167"/>
      <c r="N199" s="168">
        <f>N197*N198</f>
        <v>1</v>
      </c>
      <c r="O199" s="173">
        <f>N199</f>
        <v>1</v>
      </c>
      <c r="P199" s="20"/>
      <c r="Q199" s="167" t="s">
        <v>344</v>
      </c>
      <c r="R199" s="167"/>
      <c r="S199" s="168">
        <f>S197*S198</f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1</v>
      </c>
      <c r="H200" s="167">
        <f>F200/G200</f>
        <v>10</v>
      </c>
      <c r="I200" s="167">
        <f>H200*J199</f>
        <v>20</v>
      </c>
      <c r="J200" s="167">
        <f>I200</f>
        <v>20</v>
      </c>
      <c r="K200" s="20"/>
      <c r="L200" s="167" t="s">
        <v>345</v>
      </c>
      <c r="M200" s="167"/>
      <c r="N200" s="21">
        <v>1</v>
      </c>
      <c r="O200" s="21">
        <v>1</v>
      </c>
      <c r="P200" s="20"/>
      <c r="Q200" s="167" t="s">
        <v>345</v>
      </c>
      <c r="R200" s="167"/>
      <c r="S200" s="21">
        <v>1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1</v>
      </c>
      <c r="E201" s="176"/>
      <c r="F201" s="167"/>
      <c r="G201" s="167"/>
      <c r="H201" s="169" t="s">
        <v>387</v>
      </c>
      <c r="I201" s="167"/>
      <c r="J201" s="167">
        <f>J200</f>
        <v>20</v>
      </c>
      <c r="K201" s="20"/>
      <c r="L201" s="167" t="s">
        <v>346</v>
      </c>
      <c r="M201" s="167"/>
      <c r="N201" s="168">
        <f>N200*N198</f>
        <v>1</v>
      </c>
      <c r="O201" s="168">
        <f>O200*O198</f>
        <v>1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1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1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1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1</v>
      </c>
      <c r="O204" s="170">
        <f>O201/O199</f>
        <v>1</v>
      </c>
      <c r="P204" s="20"/>
      <c r="Q204" s="169" t="s">
        <v>347</v>
      </c>
      <c r="R204" s="169"/>
      <c r="S204" s="170">
        <f>S202/S199</f>
        <v>1</v>
      </c>
      <c r="T204" s="170">
        <f>T202/T199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8" t="s">
        <v>27</v>
      </c>
      <c r="E208" s="189"/>
      <c r="F208" s="189"/>
      <c r="G208" s="190"/>
      <c r="H208" s="20"/>
      <c r="I208" s="188" t="s">
        <v>393</v>
      </c>
      <c r="J208" s="189"/>
      <c r="K208" s="19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1</v>
      </c>
      <c r="H209" s="20"/>
      <c r="I209" s="20" t="s">
        <v>28</v>
      </c>
      <c r="J209" s="127"/>
      <c r="K209" s="21">
        <f>G209</f>
        <v>1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1</v>
      </c>
      <c r="H210" s="20"/>
      <c r="I210" s="20" t="s">
        <v>29</v>
      </c>
      <c r="J210" s="20"/>
      <c r="K210" s="21">
        <f>G210</f>
        <v>1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</v>
      </c>
      <c r="H212" s="20"/>
      <c r="I212" s="23" t="s">
        <v>394</v>
      </c>
      <c r="J212" s="23"/>
      <c r="K212" s="23">
        <f>(K210-K209)/K209</f>
        <v>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395</v>
      </c>
      <c r="J213" s="23"/>
      <c r="K213" s="23">
        <f>K210/K209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2014-08-02T18:36:01Z</dcterms:modified>
</cp:coreProperties>
</file>
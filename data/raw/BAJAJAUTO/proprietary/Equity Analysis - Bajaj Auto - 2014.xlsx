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Q23" i="18" l="1"/>
  <c r="Q22" i="18"/>
  <c r="Q21" i="18"/>
  <c r="Q20" i="18"/>
  <c r="G23" i="18"/>
  <c r="G25" i="18"/>
  <c r="G22" i="18"/>
  <c r="G21" i="18"/>
  <c r="G20" i="18"/>
  <c r="Q25" i="18" l="1"/>
  <c r="Q38" i="18"/>
  <c r="Q36" i="18"/>
  <c r="Q29" i="18"/>
  <c r="G40" i="18"/>
  <c r="G38" i="18"/>
  <c r="G36" i="18"/>
  <c r="G29" i="18"/>
  <c r="G27" i="18"/>
  <c r="Q18" i="18"/>
  <c r="Q16" i="18"/>
  <c r="Q15" i="18"/>
  <c r="Q14" i="18"/>
  <c r="Q13" i="18"/>
  <c r="Q12" i="18"/>
  <c r="Q10" i="18"/>
  <c r="G6" i="18"/>
  <c r="Q9" i="18"/>
  <c r="G13" i="18"/>
  <c r="G14" i="18"/>
  <c r="G15" i="18"/>
  <c r="G16" i="18"/>
  <c r="G17" i="18"/>
  <c r="G18" i="18"/>
  <c r="G12" i="18"/>
  <c r="G10" i="18"/>
  <c r="G9" i="18"/>
  <c r="G7" i="18"/>
  <c r="K12" i="18"/>
  <c r="J12" i="18"/>
  <c r="I12" i="18"/>
  <c r="F181" i="18" l="1"/>
  <c r="E181" i="18"/>
  <c r="D181" i="18"/>
  <c r="C181" i="18"/>
  <c r="Q192" i="18" l="1"/>
  <c r="Q198" i="18"/>
  <c r="Q197" i="18"/>
  <c r="Q196" i="18"/>
  <c r="Q180" i="18"/>
  <c r="Q50" i="18"/>
  <c r="Q173" i="18" s="1"/>
  <c r="Q51" i="18"/>
  <c r="Q52" i="18"/>
  <c r="Q91" i="18" s="1"/>
  <c r="Q54" i="18"/>
  <c r="Q193" i="18" s="1"/>
  <c r="Q55" i="18"/>
  <c r="Q56" i="18"/>
  <c r="Q57" i="18"/>
  <c r="Q175" i="18" s="1"/>
  <c r="Q58" i="18"/>
  <c r="Q60" i="18"/>
  <c r="Q61" i="18"/>
  <c r="Q62" i="18"/>
  <c r="Q178" i="18" s="1"/>
  <c r="Q64" i="18"/>
  <c r="Q65" i="18"/>
  <c r="Q67" i="18"/>
  <c r="Q68" i="18"/>
  <c r="Q177" i="18" s="1"/>
  <c r="Q70" i="18"/>
  <c r="Q111" i="18" s="1"/>
  <c r="Q112" i="18" s="1"/>
  <c r="Q72" i="18"/>
  <c r="Q74" i="18" s="1"/>
  <c r="Q75" i="18"/>
  <c r="Q76" i="18"/>
  <c r="Q77" i="18"/>
  <c r="Q78" i="18"/>
  <c r="Q80" i="18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102" i="18" s="1"/>
  <c r="Q97" i="18"/>
  <c r="Q103" i="18" s="1"/>
  <c r="Q100" i="18"/>
  <c r="Q106" i="18"/>
  <c r="Q107" i="18"/>
  <c r="Q108" i="18"/>
  <c r="Q109" i="18"/>
  <c r="Q118" i="18"/>
  <c r="Q119" i="18"/>
  <c r="Q121" i="18"/>
  <c r="Q122" i="18"/>
  <c r="Q123" i="18"/>
  <c r="Q126" i="18"/>
  <c r="Q127" i="18"/>
  <c r="Q128" i="18"/>
  <c r="Q129" i="18"/>
  <c r="Q131" i="18"/>
  <c r="Q132" i="18"/>
  <c r="Q134" i="18"/>
  <c r="Q135" i="18" s="1"/>
  <c r="Q136" i="18"/>
  <c r="Q138" i="18"/>
  <c r="Q139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T193" i="18" l="1"/>
  <c r="T194" i="18" s="1"/>
  <c r="Q179" i="18"/>
  <c r="Q66" i="18"/>
  <c r="Q176" i="18" s="1"/>
  <c r="Q174" i="18"/>
  <c r="Q113" i="18"/>
  <c r="Q114" i="18" s="1"/>
  <c r="Q115" i="18"/>
  <c r="H91" i="18"/>
  <c r="AE52" i="18"/>
  <c r="H52" i="18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P91" i="18" s="1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R52" i="18" l="1"/>
  <c r="R91" i="18"/>
  <c r="H193" i="18"/>
  <c r="Q181" i="18"/>
  <c r="Q182" i="18" s="1"/>
  <c r="S44" i="18"/>
  <c r="S42" i="18"/>
  <c r="K189" i="18" l="1"/>
  <c r="K188" i="18"/>
  <c r="K187" i="18"/>
  <c r="K186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U38" i="18" l="1"/>
  <c r="V38" i="18" s="1"/>
  <c r="W38" i="18" s="1"/>
  <c r="K192" i="18"/>
  <c r="X38" i="18" l="1"/>
  <c r="U207" i="18"/>
  <c r="U208" i="18" s="1"/>
  <c r="D205" i="18"/>
  <c r="G215" i="18" s="1"/>
  <c r="K215" i="18" s="1"/>
  <c r="H205" i="18"/>
  <c r="L26" i="18"/>
  <c r="L106" i="18"/>
  <c r="J106" i="18"/>
  <c r="H106" i="18"/>
  <c r="F106" i="18"/>
  <c r="G106" i="18"/>
  <c r="I106" i="18"/>
  <c r="K106" i="18"/>
  <c r="M106" i="18"/>
  <c r="N106" i="18"/>
  <c r="O106" i="18"/>
  <c r="P106" i="18"/>
  <c r="H139" i="18"/>
  <c r="I139" i="18"/>
  <c r="J139" i="18"/>
  <c r="K139" i="18"/>
  <c r="L139" i="18"/>
  <c r="M139" i="18"/>
  <c r="N139" i="18"/>
  <c r="O139" i="18"/>
  <c r="P139" i="18"/>
  <c r="H138" i="18"/>
  <c r="I138" i="18"/>
  <c r="J138" i="18"/>
  <c r="K138" i="18"/>
  <c r="L138" i="18"/>
  <c r="M138" i="18"/>
  <c r="N138" i="18"/>
  <c r="O138" i="18"/>
  <c r="P138" i="18"/>
  <c r="G219" i="18"/>
  <c r="G220" i="18" s="1"/>
  <c r="G221" i="18" s="1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10" i="18"/>
  <c r="D209" i="18"/>
  <c r="G216" i="18" s="1"/>
  <c r="H208" i="18"/>
  <c r="I208" i="18" s="1"/>
  <c r="J208" i="18" s="1"/>
  <c r="J209" i="18" s="1"/>
  <c r="H206" i="18"/>
  <c r="H204" i="18"/>
  <c r="H203" i="18"/>
  <c r="I203" i="18" s="1"/>
  <c r="J203" i="18" s="1"/>
  <c r="G218" i="18" l="1"/>
  <c r="K216" i="18"/>
  <c r="K219" i="18" s="1"/>
  <c r="Y38" i="18"/>
  <c r="D211" i="18"/>
  <c r="R55" i="18"/>
  <c r="K218" i="18"/>
  <c r="I204" i="18"/>
  <c r="J204" i="18" s="1"/>
  <c r="I210" i="18"/>
  <c r="J210" i="18" s="1"/>
  <c r="J211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9" i="18"/>
  <c r="G138" i="18"/>
  <c r="AE14" i="18"/>
  <c r="S14" i="18"/>
  <c r="U204" i="18"/>
  <c r="U203" i="18"/>
  <c r="O204" i="18"/>
  <c r="O207" i="18" s="1"/>
  <c r="O203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4" i="18"/>
  <c r="H135" i="18" s="1"/>
  <c r="I134" i="18"/>
  <c r="I135" i="18" s="1"/>
  <c r="J134" i="18"/>
  <c r="J135" i="18" s="1"/>
  <c r="K134" i="18"/>
  <c r="K135" i="18" s="1"/>
  <c r="L134" i="18"/>
  <c r="L135" i="18" s="1"/>
  <c r="M134" i="18"/>
  <c r="M135" i="18" s="1"/>
  <c r="N134" i="18"/>
  <c r="N135" i="18" s="1"/>
  <c r="O134" i="18"/>
  <c r="O135" i="18" s="1"/>
  <c r="P134" i="18"/>
  <c r="P135" i="18" s="1"/>
  <c r="G134" i="18"/>
  <c r="G135" i="18" s="1"/>
  <c r="R100" i="18" l="1"/>
  <c r="R103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5" i="18"/>
  <c r="J205" i="18" s="1"/>
  <c r="I206" i="18" s="1"/>
  <c r="J206" i="18" s="1"/>
  <c r="J207" i="18" s="1"/>
  <c r="R138" i="18"/>
  <c r="R139" i="18"/>
  <c r="R90" i="18"/>
  <c r="R97" i="18"/>
  <c r="R94" i="18"/>
  <c r="R135" i="18"/>
  <c r="R134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2" i="18"/>
  <c r="I132" i="18"/>
  <c r="J132" i="18"/>
  <c r="K132" i="18"/>
  <c r="L132" i="18"/>
  <c r="M132" i="18"/>
  <c r="N132" i="18"/>
  <c r="O132" i="18"/>
  <c r="P132" i="18"/>
  <c r="G132" i="18"/>
  <c r="H131" i="18"/>
  <c r="I131" i="18"/>
  <c r="J131" i="18"/>
  <c r="K131" i="18"/>
  <c r="L131" i="18"/>
  <c r="M131" i="18"/>
  <c r="N131" i="18"/>
  <c r="O131" i="18"/>
  <c r="P131" i="18"/>
  <c r="G131" i="18"/>
  <c r="H128" i="18"/>
  <c r="I128" i="18"/>
  <c r="J128" i="18"/>
  <c r="K128" i="18"/>
  <c r="L128" i="18"/>
  <c r="M128" i="18"/>
  <c r="N128" i="18"/>
  <c r="O128" i="18"/>
  <c r="P128" i="18"/>
  <c r="G128" i="18"/>
  <c r="H129" i="18"/>
  <c r="I129" i="18"/>
  <c r="J129" i="18"/>
  <c r="K129" i="18"/>
  <c r="L129" i="18"/>
  <c r="M129" i="18"/>
  <c r="N129" i="18"/>
  <c r="O129" i="18"/>
  <c r="P129" i="18"/>
  <c r="G129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S172" i="18"/>
  <c r="H123" i="18"/>
  <c r="I123" i="18"/>
  <c r="J123" i="18"/>
  <c r="K123" i="18"/>
  <c r="L123" i="18"/>
  <c r="M123" i="18"/>
  <c r="N123" i="18"/>
  <c r="O123" i="18"/>
  <c r="P123" i="18"/>
  <c r="G123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B123" i="18"/>
  <c r="B122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8" i="18"/>
  <c r="N207" i="18"/>
  <c r="T205" i="18"/>
  <c r="U205" i="18" s="1"/>
  <c r="U210" i="18" s="1"/>
  <c r="N205" i="18"/>
  <c r="O205" i="18" s="1"/>
  <c r="O210" i="18" s="1"/>
  <c r="F119" i="18"/>
  <c r="H119" i="18"/>
  <c r="I119" i="18"/>
  <c r="J119" i="18"/>
  <c r="K119" i="18"/>
  <c r="L119" i="18"/>
  <c r="M119" i="18"/>
  <c r="N119" i="18"/>
  <c r="O119" i="18"/>
  <c r="P119" i="18"/>
  <c r="G119" i="18"/>
  <c r="F118" i="18"/>
  <c r="H118" i="18"/>
  <c r="I118" i="18"/>
  <c r="J118" i="18"/>
  <c r="K118" i="18"/>
  <c r="L118" i="18"/>
  <c r="M118" i="18"/>
  <c r="N118" i="18"/>
  <c r="O118" i="18"/>
  <c r="P118" i="18"/>
  <c r="G118" i="18"/>
  <c r="AD14" i="18" l="1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9" i="18"/>
  <c r="R89" i="18"/>
  <c r="R126" i="18"/>
  <c r="R132" i="18"/>
  <c r="R131" i="18"/>
  <c r="R127" i="18"/>
  <c r="R128" i="18"/>
  <c r="R121" i="18"/>
  <c r="R122" i="18"/>
  <c r="R123" i="18"/>
  <c r="R109" i="18"/>
  <c r="N210" i="18"/>
  <c r="T210" i="18"/>
  <c r="R119" i="18"/>
  <c r="R118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L30" i="18"/>
  <c r="K30" i="18"/>
  <c r="J30" i="18"/>
  <c r="I30" i="18"/>
  <c r="H30" i="18"/>
  <c r="G30" i="18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80" i="18"/>
  <c r="D180" i="18"/>
  <c r="E180" i="18"/>
  <c r="F180" i="18"/>
  <c r="G180" i="18"/>
  <c r="H180" i="18"/>
  <c r="I180" i="18"/>
  <c r="J180" i="18"/>
  <c r="K180" i="18"/>
  <c r="L180" i="18"/>
  <c r="M180" i="18"/>
  <c r="N180" i="18"/>
  <c r="O180" i="18"/>
  <c r="P180" i="18"/>
  <c r="C9" i="15"/>
  <c r="D70" i="18"/>
  <c r="E70" i="18"/>
  <c r="E111" i="18" s="1"/>
  <c r="E112" i="18" s="1"/>
  <c r="F70" i="18"/>
  <c r="F111" i="18" s="1"/>
  <c r="F112" i="18" s="1"/>
  <c r="F115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80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6" i="18" s="1"/>
  <c r="H80" i="18"/>
  <c r="H136" i="18" s="1"/>
  <c r="I80" i="18"/>
  <c r="I136" i="18" s="1"/>
  <c r="J80" i="18"/>
  <c r="J136" i="18" s="1"/>
  <c r="K80" i="18"/>
  <c r="K136" i="18" s="1"/>
  <c r="L80" i="18"/>
  <c r="L136" i="18" s="1"/>
  <c r="M80" i="18"/>
  <c r="M136" i="18" s="1"/>
  <c r="N80" i="18"/>
  <c r="N136" i="18" s="1"/>
  <c r="O80" i="18"/>
  <c r="O136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6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G28" i="18"/>
  <c r="G11" i="18"/>
  <c r="G8" i="18"/>
  <c r="G26" i="18"/>
  <c r="W44" i="18" l="1"/>
  <c r="V70" i="18"/>
  <c r="R136" i="18"/>
  <c r="Z29" i="18"/>
  <c r="R82" i="18"/>
  <c r="R80" i="18"/>
  <c r="R81" i="18"/>
  <c r="R87" i="18"/>
  <c r="R88" i="18"/>
  <c r="P86" i="18"/>
  <c r="R86" i="18" s="1"/>
  <c r="C196" i="18"/>
  <c r="D196" i="18"/>
  <c r="E196" i="18"/>
  <c r="F196" i="18"/>
  <c r="C197" i="18"/>
  <c r="D197" i="18"/>
  <c r="E197" i="18"/>
  <c r="F197" i="18"/>
  <c r="C198" i="18"/>
  <c r="D198" i="18"/>
  <c r="E198" i="18"/>
  <c r="F198" i="18"/>
  <c r="H198" i="18"/>
  <c r="I198" i="18"/>
  <c r="J198" i="18"/>
  <c r="K198" i="18"/>
  <c r="L198" i="18"/>
  <c r="M198" i="18"/>
  <c r="N198" i="18"/>
  <c r="O198" i="18"/>
  <c r="P198" i="18"/>
  <c r="G198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3" i="18" s="1"/>
  <c r="I50" i="18"/>
  <c r="I173" i="18" s="1"/>
  <c r="J50" i="18"/>
  <c r="J173" i="18" s="1"/>
  <c r="K50" i="18"/>
  <c r="K173" i="18" s="1"/>
  <c r="L50" i="18"/>
  <c r="L173" i="18" s="1"/>
  <c r="M50" i="18"/>
  <c r="M173" i="18" s="1"/>
  <c r="N50" i="18"/>
  <c r="N173" i="18" s="1"/>
  <c r="O50" i="18"/>
  <c r="O173" i="18" s="1"/>
  <c r="P50" i="18"/>
  <c r="P173" i="18" s="1"/>
  <c r="C50" i="18"/>
  <c r="C173" i="18" s="1"/>
  <c r="D50" i="18"/>
  <c r="D173" i="18" s="1"/>
  <c r="E50" i="18"/>
  <c r="E173" i="18" s="1"/>
  <c r="F50" i="18"/>
  <c r="F173" i="18" s="1"/>
  <c r="G50" i="18"/>
  <c r="G173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4" i="18"/>
  <c r="T100" i="18" s="1"/>
  <c r="G179" i="18" l="1"/>
  <c r="X44" i="18"/>
  <c r="W70" i="18"/>
  <c r="R173" i="18"/>
  <c r="AA29" i="18"/>
  <c r="U36" i="18"/>
  <c r="U94" i="18" s="1"/>
  <c r="U100" i="18" s="1"/>
  <c r="R198" i="18"/>
  <c r="R51" i="18"/>
  <c r="R50" i="18"/>
  <c r="R197" i="18"/>
  <c r="R196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2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7" i="18" s="1"/>
  <c r="O67" i="18"/>
  <c r="O65" i="18"/>
  <c r="O64" i="18"/>
  <c r="O62" i="18"/>
  <c r="O178" i="18" s="1"/>
  <c r="O61" i="18"/>
  <c r="O60" i="18"/>
  <c r="O58" i="18"/>
  <c r="O57" i="18"/>
  <c r="O175" i="18" s="1"/>
  <c r="O56" i="18"/>
  <c r="O54" i="18"/>
  <c r="AA70" i="18" l="1"/>
  <c r="AB44" i="18"/>
  <c r="U72" i="18"/>
  <c r="T128" i="18"/>
  <c r="T138" i="18"/>
  <c r="T129" i="18"/>
  <c r="T139" i="18"/>
  <c r="W23" i="18"/>
  <c r="V97" i="18"/>
  <c r="V103" i="18" s="1"/>
  <c r="T122" i="18"/>
  <c r="T123" i="18"/>
  <c r="T121" i="18"/>
  <c r="T109" i="18"/>
  <c r="P114" i="18"/>
  <c r="R114" i="18" s="1"/>
  <c r="R113" i="18"/>
  <c r="T93" i="18"/>
  <c r="T99" i="18" s="1"/>
  <c r="T119" i="18"/>
  <c r="T118" i="18"/>
  <c r="U18" i="18"/>
  <c r="O174" i="18"/>
  <c r="O181" i="18" s="1"/>
  <c r="O182" i="18" s="1"/>
  <c r="O179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6" i="18" s="1"/>
  <c r="D62" i="18"/>
  <c r="E62" i="18"/>
  <c r="F62" i="18"/>
  <c r="G62" i="18"/>
  <c r="G178" i="18" s="1"/>
  <c r="H62" i="18"/>
  <c r="H178" i="18" s="1"/>
  <c r="I62" i="18"/>
  <c r="I178" i="18" s="1"/>
  <c r="J62" i="18"/>
  <c r="J178" i="18" s="1"/>
  <c r="K62" i="18"/>
  <c r="K178" i="18" s="1"/>
  <c r="L62" i="18"/>
  <c r="L178" i="18" s="1"/>
  <c r="M62" i="18"/>
  <c r="M178" i="18" s="1"/>
  <c r="N62" i="18"/>
  <c r="N178" i="18" s="1"/>
  <c r="P62" i="18"/>
  <c r="C62" i="18"/>
  <c r="C61" i="18"/>
  <c r="AC44" i="18" l="1"/>
  <c r="AB70" i="18"/>
  <c r="U129" i="18"/>
  <c r="U139" i="18"/>
  <c r="U128" i="18"/>
  <c r="U138" i="18"/>
  <c r="X23" i="18"/>
  <c r="W97" i="18"/>
  <c r="W103" i="18" s="1"/>
  <c r="U121" i="18"/>
  <c r="U123" i="18"/>
  <c r="U122" i="18"/>
  <c r="U109" i="18"/>
  <c r="U93" i="18"/>
  <c r="U99" i="18" s="1"/>
  <c r="U119" i="18"/>
  <c r="U118" i="18"/>
  <c r="V18" i="18"/>
  <c r="W20" i="18"/>
  <c r="V72" i="18"/>
  <c r="V27" i="18"/>
  <c r="V25" i="18"/>
  <c r="U86" i="18"/>
  <c r="Z36" i="18"/>
  <c r="Z94" i="18" s="1"/>
  <c r="Z100" i="18" s="1"/>
  <c r="X21" i="18"/>
  <c r="P178" i="18"/>
  <c r="R178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8" i="18"/>
  <c r="V138" i="18"/>
  <c r="V129" i="18"/>
  <c r="V139" i="18"/>
  <c r="V90" i="18"/>
  <c r="Y23" i="18"/>
  <c r="X97" i="18"/>
  <c r="X103" i="18" s="1"/>
  <c r="V123" i="18"/>
  <c r="V122" i="18"/>
  <c r="V121" i="18"/>
  <c r="V109" i="18"/>
  <c r="V93" i="18"/>
  <c r="V99" i="18" s="1"/>
  <c r="V119" i="18"/>
  <c r="V118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60" i="18" l="1"/>
  <c r="Q185" i="18" s="1"/>
  <c r="AF70" i="18"/>
  <c r="U160" i="18" s="1"/>
  <c r="AD70" i="18"/>
  <c r="W129" i="18"/>
  <c r="W139" i="18"/>
  <c r="W128" i="18"/>
  <c r="W138" i="18"/>
  <c r="Z23" i="18"/>
  <c r="Y97" i="18"/>
  <c r="Y103" i="18" s="1"/>
  <c r="W109" i="18"/>
  <c r="W123" i="18"/>
  <c r="W122" i="18"/>
  <c r="W121" i="18"/>
  <c r="W93" i="18"/>
  <c r="W99" i="18" s="1"/>
  <c r="W119" i="18"/>
  <c r="W118" i="18"/>
  <c r="X18" i="18"/>
  <c r="Y20" i="18"/>
  <c r="X72" i="18"/>
  <c r="X27" i="18"/>
  <c r="X25" i="18"/>
  <c r="W86" i="18"/>
  <c r="AB36" i="18"/>
  <c r="AB94" i="18" s="1"/>
  <c r="AB100" i="18" s="1"/>
  <c r="Z21" i="18"/>
  <c r="T172" i="18"/>
  <c r="T180" i="18" s="1"/>
  <c r="C54" i="18"/>
  <c r="D54" i="18"/>
  <c r="E54" i="18"/>
  <c r="F54" i="18"/>
  <c r="H54" i="18"/>
  <c r="I54" i="18"/>
  <c r="J54" i="18"/>
  <c r="K54" i="18"/>
  <c r="L54" i="18"/>
  <c r="L179" i="18" s="1"/>
  <c r="M54" i="18"/>
  <c r="N54" i="18"/>
  <c r="N179" i="18" s="1"/>
  <c r="P54" i="18"/>
  <c r="P193" i="18" s="1"/>
  <c r="D68" i="18"/>
  <c r="D177" i="18" s="1"/>
  <c r="E68" i="18"/>
  <c r="E177" i="18" s="1"/>
  <c r="F68" i="18"/>
  <c r="F177" i="18" s="1"/>
  <c r="G68" i="18"/>
  <c r="H68" i="18"/>
  <c r="H177" i="18" s="1"/>
  <c r="I68" i="18"/>
  <c r="I177" i="18" s="1"/>
  <c r="J68" i="18"/>
  <c r="J177" i="18" s="1"/>
  <c r="K68" i="18"/>
  <c r="K177" i="18" s="1"/>
  <c r="L68" i="18"/>
  <c r="L177" i="18" s="1"/>
  <c r="M68" i="18"/>
  <c r="M177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6" i="18" s="1"/>
  <c r="E64" i="18"/>
  <c r="E66" i="18" s="1"/>
  <c r="E176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5" i="18" s="1"/>
  <c r="E57" i="18"/>
  <c r="E175" i="18" s="1"/>
  <c r="F57" i="18"/>
  <c r="F175" i="18" s="1"/>
  <c r="G57" i="18"/>
  <c r="H57" i="18"/>
  <c r="H175" i="18" s="1"/>
  <c r="I57" i="18"/>
  <c r="I175" i="18" s="1"/>
  <c r="J57" i="18"/>
  <c r="J175" i="18" s="1"/>
  <c r="K57" i="18"/>
  <c r="K175" i="18" s="1"/>
  <c r="L57" i="18"/>
  <c r="L175" i="18" s="1"/>
  <c r="M57" i="18"/>
  <c r="M175" i="18" s="1"/>
  <c r="N57" i="18"/>
  <c r="P57" i="18"/>
  <c r="C68" i="18"/>
  <c r="C177" i="18" s="1"/>
  <c r="C67" i="18"/>
  <c r="C65" i="18"/>
  <c r="C64" i="18"/>
  <c r="C58" i="18"/>
  <c r="C57" i="18"/>
  <c r="C175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6" i="18"/>
  <c r="T134" i="18"/>
  <c r="T135" i="18" s="1"/>
  <c r="T95" i="18"/>
  <c r="T101" i="18" s="1"/>
  <c r="R142" i="18" l="1"/>
  <c r="T192" i="18" s="1"/>
  <c r="T191" i="18" s="1"/>
  <c r="T106" i="18"/>
  <c r="S160" i="18"/>
  <c r="P185" i="18" s="1"/>
  <c r="X128" i="18"/>
  <c r="X138" i="18"/>
  <c r="X90" i="18"/>
  <c r="X129" i="18"/>
  <c r="X139" i="18"/>
  <c r="AA23" i="18"/>
  <c r="Z97" i="18"/>
  <c r="Z103" i="18" s="1"/>
  <c r="T88" i="18"/>
  <c r="T89" i="18"/>
  <c r="T132" i="18"/>
  <c r="T131" i="18"/>
  <c r="T96" i="18"/>
  <c r="T102" i="18" s="1"/>
  <c r="T127" i="18"/>
  <c r="H179" i="18"/>
  <c r="H174" i="18"/>
  <c r="H181" i="18" s="1"/>
  <c r="H182" i="18" s="1"/>
  <c r="X109" i="18"/>
  <c r="X122" i="18"/>
  <c r="X121" i="18"/>
  <c r="X123" i="18"/>
  <c r="T108" i="18"/>
  <c r="T113" i="18"/>
  <c r="T114" i="18" s="1"/>
  <c r="X93" i="18"/>
  <c r="X99" i="18" s="1"/>
  <c r="X119" i="18"/>
  <c r="X118" i="18"/>
  <c r="T107" i="18"/>
  <c r="Y18" i="18"/>
  <c r="D174" i="18"/>
  <c r="D178" i="18" s="1"/>
  <c r="D179" i="18"/>
  <c r="E174" i="18"/>
  <c r="E178" i="18" s="1"/>
  <c r="E179" i="18"/>
  <c r="C174" i="18"/>
  <c r="C178" i="18" s="1"/>
  <c r="C179" i="18"/>
  <c r="P174" i="18"/>
  <c r="P181" i="18" s="1"/>
  <c r="P179" i="18"/>
  <c r="R179" i="18" s="1"/>
  <c r="K174" i="18"/>
  <c r="K181" i="18" s="1"/>
  <c r="K182" i="18" s="1"/>
  <c r="K179" i="18"/>
  <c r="F174" i="18"/>
  <c r="F178" i="18" s="1"/>
  <c r="F179" i="18"/>
  <c r="J174" i="18"/>
  <c r="J181" i="18" s="1"/>
  <c r="J182" i="18" s="1"/>
  <c r="J179" i="18"/>
  <c r="M174" i="18"/>
  <c r="M181" i="18" s="1"/>
  <c r="M182" i="18" s="1"/>
  <c r="M179" i="18"/>
  <c r="I174" i="18"/>
  <c r="I181" i="18" s="1"/>
  <c r="I182" i="18" s="1"/>
  <c r="I179" i="18"/>
  <c r="Z20" i="18"/>
  <c r="Y72" i="18"/>
  <c r="H66" i="18"/>
  <c r="H176" i="18" s="1"/>
  <c r="Y27" i="18"/>
  <c r="U12" i="18"/>
  <c r="U15" i="18"/>
  <c r="U126" i="18" s="1"/>
  <c r="U13" i="18"/>
  <c r="U10" i="18"/>
  <c r="U16" i="18"/>
  <c r="U134" i="18" s="1"/>
  <c r="U135" i="18" s="1"/>
  <c r="U6" i="18"/>
  <c r="U7" i="18"/>
  <c r="Y25" i="18"/>
  <c r="Y90" i="18" s="1"/>
  <c r="X86" i="18"/>
  <c r="U40" i="18"/>
  <c r="T87" i="18"/>
  <c r="AC36" i="18"/>
  <c r="F66" i="18"/>
  <c r="F176" i="18" s="1"/>
  <c r="L66" i="18"/>
  <c r="L176" i="18" s="1"/>
  <c r="K66" i="18"/>
  <c r="K176" i="18" s="1"/>
  <c r="J66" i="18"/>
  <c r="J176" i="18" s="1"/>
  <c r="AA21" i="18"/>
  <c r="C66" i="18"/>
  <c r="C176" i="18" s="1"/>
  <c r="U172" i="18"/>
  <c r="U180" i="18" s="1"/>
  <c r="I66" i="18"/>
  <c r="I176" i="18" s="1"/>
  <c r="R56" i="18"/>
  <c r="G175" i="18"/>
  <c r="R57" i="18"/>
  <c r="R58" i="18"/>
  <c r="R65" i="18"/>
  <c r="R67" i="18"/>
  <c r="G174" i="18"/>
  <c r="G181" i="18" s="1"/>
  <c r="G182" i="18" s="1"/>
  <c r="R54" i="18"/>
  <c r="G177" i="18"/>
  <c r="R68" i="18"/>
  <c r="G66" i="18"/>
  <c r="R64" i="18"/>
  <c r="N175" i="18"/>
  <c r="N174" i="18"/>
  <c r="N181" i="18" s="1"/>
  <c r="N182" i="18" s="1"/>
  <c r="N177" i="18"/>
  <c r="P175" i="18"/>
  <c r="L174" i="18"/>
  <c r="L181" i="18" s="1"/>
  <c r="L182" i="18" s="1"/>
  <c r="N66" i="18"/>
  <c r="M66" i="18"/>
  <c r="M176" i="18" s="1"/>
  <c r="P177" i="18"/>
  <c r="P66" i="18"/>
  <c r="T65" i="18"/>
  <c r="C6" i="12"/>
  <c r="C26" i="15"/>
  <c r="C58" i="15"/>
  <c r="C57" i="15"/>
  <c r="C54" i="15"/>
  <c r="C53" i="15"/>
  <c r="C50" i="15"/>
  <c r="C49" i="15"/>
  <c r="C45" i="15"/>
  <c r="P192" i="18" l="1"/>
  <c r="P182" i="18"/>
  <c r="R181" i="18"/>
  <c r="U95" i="18"/>
  <c r="U101" i="18" s="1"/>
  <c r="U52" i="18"/>
  <c r="U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U106" i="18"/>
  <c r="Y128" i="18"/>
  <c r="Y138" i="18"/>
  <c r="Y129" i="18"/>
  <c r="Y139" i="18"/>
  <c r="AF36" i="18"/>
  <c r="AC94" i="18"/>
  <c r="AB23" i="18"/>
  <c r="AA97" i="18"/>
  <c r="AA103" i="18" s="1"/>
  <c r="U132" i="18"/>
  <c r="U131" i="18"/>
  <c r="U96" i="18"/>
  <c r="U102" i="18" s="1"/>
  <c r="U127" i="18"/>
  <c r="U89" i="18"/>
  <c r="Y121" i="18"/>
  <c r="Y122" i="18"/>
  <c r="Y123" i="18"/>
  <c r="Y109" i="18"/>
  <c r="Y93" i="18"/>
  <c r="Y99" i="18" s="1"/>
  <c r="Y119" i="18"/>
  <c r="Y118" i="18"/>
  <c r="U107" i="18"/>
  <c r="U108" i="18"/>
  <c r="Z18" i="18"/>
  <c r="AA20" i="18"/>
  <c r="Z72" i="18"/>
  <c r="T64" i="18"/>
  <c r="T81" i="18"/>
  <c r="T60" i="18"/>
  <c r="T62" i="18"/>
  <c r="T178" i="18" s="1"/>
  <c r="T68" i="18"/>
  <c r="T177" i="18" s="1"/>
  <c r="T78" i="18"/>
  <c r="T80" i="18"/>
  <c r="T136" i="18" s="1"/>
  <c r="T51" i="18"/>
  <c r="T50" i="18"/>
  <c r="T173" i="18" s="1"/>
  <c r="T61" i="18"/>
  <c r="T57" i="18"/>
  <c r="T58" i="18"/>
  <c r="T67" i="18"/>
  <c r="T56" i="18"/>
  <c r="T82" i="18"/>
  <c r="T54" i="18"/>
  <c r="T179" i="18" s="1"/>
  <c r="Z27" i="18"/>
  <c r="V15" i="18"/>
  <c r="V126" i="18" s="1"/>
  <c r="V13" i="18"/>
  <c r="V12" i="18"/>
  <c r="T66" i="18"/>
  <c r="V16" i="18"/>
  <c r="V134" i="18" s="1"/>
  <c r="V135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2" i="18"/>
  <c r="V180" i="18" s="1"/>
  <c r="R175" i="18"/>
  <c r="R174" i="18"/>
  <c r="R177" i="18"/>
  <c r="G176" i="18"/>
  <c r="R66" i="18"/>
  <c r="N176" i="18"/>
  <c r="P176" i="18"/>
  <c r="C16" i="15"/>
  <c r="C21" i="15"/>
  <c r="C10" i="15"/>
  <c r="V95" i="18" l="1"/>
  <c r="V101" i="18" s="1"/>
  <c r="V52" i="18"/>
  <c r="V91" i="18" s="1"/>
  <c r="U194" i="18"/>
  <c r="V194" i="18" s="1"/>
  <c r="W194" i="18" s="1"/>
  <c r="X194" i="18" s="1"/>
  <c r="Y194" i="18" s="1"/>
  <c r="Z194" i="18" s="1"/>
  <c r="AA194" i="18" s="1"/>
  <c r="AB194" i="18" s="1"/>
  <c r="AC194" i="18" s="1"/>
  <c r="AD194" i="18" s="1"/>
  <c r="AE194" i="18" s="1"/>
  <c r="AF194" i="18" s="1"/>
  <c r="AG194" i="18" s="1"/>
  <c r="AH194" i="18" s="1"/>
  <c r="AI194" i="18" s="1"/>
  <c r="AJ194" i="18" s="1"/>
  <c r="AK194" i="18" s="1"/>
  <c r="AL194" i="18" s="1"/>
  <c r="AM194" i="18" s="1"/>
  <c r="AN194" i="18" s="1"/>
  <c r="AO194" i="18" s="1"/>
  <c r="AP194" i="18" s="1"/>
  <c r="AQ194" i="18" s="1"/>
  <c r="AR194" i="18" s="1"/>
  <c r="AS194" i="18" s="1"/>
  <c r="AT194" i="18" s="1"/>
  <c r="AD94" i="18"/>
  <c r="AC100" i="18"/>
  <c r="AD100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V106" i="18"/>
  <c r="U111" i="18"/>
  <c r="U112" i="18" s="1"/>
  <c r="U55" i="18"/>
  <c r="Z128" i="18"/>
  <c r="Z138" i="18"/>
  <c r="Z129" i="18"/>
  <c r="Z139" i="18"/>
  <c r="AC23" i="18"/>
  <c r="AB97" i="18"/>
  <c r="AB103" i="18" s="1"/>
  <c r="V96" i="18"/>
  <c r="V102" i="18" s="1"/>
  <c r="V127" i="18"/>
  <c r="V132" i="18"/>
  <c r="V131" i="18"/>
  <c r="V89" i="18"/>
  <c r="Z123" i="18"/>
  <c r="Z122" i="18"/>
  <c r="Z121" i="18"/>
  <c r="Z109" i="18"/>
  <c r="U64" i="18"/>
  <c r="Z93" i="18"/>
  <c r="Z99" i="18" s="1"/>
  <c r="Z119" i="18"/>
  <c r="Z118" i="18"/>
  <c r="V107" i="18"/>
  <c r="V108" i="18"/>
  <c r="U60" i="18"/>
  <c r="AA18" i="18"/>
  <c r="AB20" i="18"/>
  <c r="AA72" i="18"/>
  <c r="U62" i="18"/>
  <c r="U178" i="18" s="1"/>
  <c r="U68" i="18"/>
  <c r="U177" i="18" s="1"/>
  <c r="U78" i="18"/>
  <c r="U80" i="18"/>
  <c r="U136" i="18" s="1"/>
  <c r="U50" i="18"/>
  <c r="U173" i="18" s="1"/>
  <c r="U51" i="18"/>
  <c r="U57" i="18"/>
  <c r="U56" i="18"/>
  <c r="U67" i="18"/>
  <c r="U82" i="18"/>
  <c r="U61" i="18"/>
  <c r="U58" i="18"/>
  <c r="U54" i="18"/>
  <c r="U179" i="18" s="1"/>
  <c r="U65" i="18"/>
  <c r="U81" i="18"/>
  <c r="AA27" i="18"/>
  <c r="W13" i="18"/>
  <c r="W12" i="18"/>
  <c r="W15" i="18"/>
  <c r="W126" i="18" s="1"/>
  <c r="W10" i="18"/>
  <c r="W16" i="18"/>
  <c r="W134" i="18" s="1"/>
  <c r="W135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6" i="18"/>
  <c r="W172" i="18"/>
  <c r="W180" i="18" s="1"/>
  <c r="T174" i="18"/>
  <c r="T181" i="18" s="1"/>
  <c r="T175" i="18"/>
  <c r="R176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AE192" i="18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W106" i="18"/>
  <c r="V111" i="18"/>
  <c r="V112" i="18" s="1"/>
  <c r="V55" i="18"/>
  <c r="AA128" i="18"/>
  <c r="AA138" i="18"/>
  <c r="AA129" i="18"/>
  <c r="AA139" i="18"/>
  <c r="AF23" i="18"/>
  <c r="AC97" i="18"/>
  <c r="AD23" i="18"/>
  <c r="W89" i="18"/>
  <c r="W131" i="18"/>
  <c r="W132" i="18"/>
  <c r="W96" i="18"/>
  <c r="W102" i="18" s="1"/>
  <c r="W127" i="18"/>
  <c r="AA123" i="18"/>
  <c r="AA122" i="18"/>
  <c r="AA121" i="18"/>
  <c r="AA109" i="18"/>
  <c r="V64" i="18"/>
  <c r="U66" i="18"/>
  <c r="U176" i="18" s="1"/>
  <c r="AA93" i="18"/>
  <c r="AA99" i="18" s="1"/>
  <c r="AA119" i="18"/>
  <c r="AA118" i="18"/>
  <c r="W108" i="18"/>
  <c r="W107" i="18"/>
  <c r="AB18" i="18"/>
  <c r="AC20" i="18"/>
  <c r="AB72" i="18"/>
  <c r="V82" i="18"/>
  <c r="V81" i="18"/>
  <c r="V60" i="18"/>
  <c r="V68" i="18"/>
  <c r="V177" i="18" s="1"/>
  <c r="V67" i="18"/>
  <c r="V62" i="18"/>
  <c r="V178" i="18" s="1"/>
  <c r="V65" i="18"/>
  <c r="V56" i="18"/>
  <c r="V78" i="18"/>
  <c r="V80" i="18"/>
  <c r="V136" i="18" s="1"/>
  <c r="V51" i="18"/>
  <c r="V50" i="18"/>
  <c r="V173" i="18" s="1"/>
  <c r="V61" i="18"/>
  <c r="V57" i="18"/>
  <c r="V58" i="18"/>
  <c r="V54" i="18"/>
  <c r="V179" i="18" s="1"/>
  <c r="AB27" i="18"/>
  <c r="X12" i="18"/>
  <c r="X15" i="18"/>
  <c r="X126" i="18" s="1"/>
  <c r="X13" i="18"/>
  <c r="X16" i="18"/>
  <c r="X134" i="18" s="1"/>
  <c r="X135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2" i="18"/>
  <c r="X180" i="18" s="1"/>
  <c r="U174" i="18"/>
  <c r="U181" i="18" s="1"/>
  <c r="U17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AD97" i="18"/>
  <c r="AC103" i="18"/>
  <c r="AD103" i="18" s="1"/>
  <c r="X106" i="18"/>
  <c r="W111" i="18"/>
  <c r="W112" i="18" s="1"/>
  <c r="W55" i="18"/>
  <c r="AB128" i="18"/>
  <c r="AB138" i="18"/>
  <c r="AB129" i="18"/>
  <c r="AB139" i="18"/>
  <c r="AF20" i="18"/>
  <c r="AB90" i="18"/>
  <c r="X132" i="18"/>
  <c r="X131" i="18"/>
  <c r="X96" i="18"/>
  <c r="X102" i="18" s="1"/>
  <c r="X127" i="18"/>
  <c r="X89" i="18"/>
  <c r="AB122" i="18"/>
  <c r="AB121" i="18"/>
  <c r="AB123" i="18"/>
  <c r="AB109" i="18"/>
  <c r="V66" i="18"/>
  <c r="V176" i="18" s="1"/>
  <c r="AB93" i="18"/>
  <c r="AB99" i="18" s="1"/>
  <c r="AB119" i="18"/>
  <c r="AB118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8" i="18" s="1"/>
  <c r="W78" i="18"/>
  <c r="W80" i="18"/>
  <c r="W136" i="18" s="1"/>
  <c r="W50" i="18"/>
  <c r="W173" i="18" s="1"/>
  <c r="W51" i="18"/>
  <c r="W60" i="18"/>
  <c r="W68" i="18"/>
  <c r="W177" i="18" s="1"/>
  <c r="W54" i="18"/>
  <c r="W179" i="18" s="1"/>
  <c r="AC27" i="18"/>
  <c r="AC139" i="18" s="1"/>
  <c r="AD139" i="18" s="1"/>
  <c r="Y15" i="18"/>
  <c r="Y126" i="18" s="1"/>
  <c r="Y13" i="18"/>
  <c r="Y12" i="18"/>
  <c r="Y10" i="18"/>
  <c r="Y16" i="18"/>
  <c r="Y134" i="18" s="1"/>
  <c r="Y135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2" i="18"/>
  <c r="Y180" i="18" s="1"/>
  <c r="V174" i="18"/>
  <c r="V181" i="18" s="1"/>
  <c r="V17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8" i="18"/>
  <c r="AD128" i="18" s="1"/>
  <c r="AC138" i="18"/>
  <c r="AD138" i="18" s="1"/>
  <c r="Y96" i="18"/>
  <c r="Y102" i="18" s="1"/>
  <c r="Y127" i="18"/>
  <c r="Y132" i="18"/>
  <c r="Y131" i="18"/>
  <c r="AF27" i="18"/>
  <c r="AC129" i="18"/>
  <c r="AD129" i="18" s="1"/>
  <c r="Y89" i="18"/>
  <c r="AC121" i="18"/>
  <c r="AD121" i="18" s="1"/>
  <c r="AC123" i="18"/>
  <c r="AD123" i="18" s="1"/>
  <c r="AC122" i="18"/>
  <c r="AD122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6" i="18" s="1"/>
  <c r="X65" i="18"/>
  <c r="AC93" i="18"/>
  <c r="AC119" i="18"/>
  <c r="AD119" i="18" s="1"/>
  <c r="AC118" i="18"/>
  <c r="AD118" i="18" s="1"/>
  <c r="Y108" i="18"/>
  <c r="Y107" i="18"/>
  <c r="AF25" i="18"/>
  <c r="AF18" i="18"/>
  <c r="AD18" i="18"/>
  <c r="T162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7" i="18" s="1"/>
  <c r="X67" i="18"/>
  <c r="X62" i="18"/>
  <c r="X178" i="18" s="1"/>
  <c r="X64" i="18"/>
  <c r="X61" i="18"/>
  <c r="X81" i="18"/>
  <c r="X60" i="18"/>
  <c r="X82" i="18"/>
  <c r="X78" i="18"/>
  <c r="X80" i="18"/>
  <c r="X136" i="18" s="1"/>
  <c r="X51" i="18"/>
  <c r="X50" i="18"/>
  <c r="X173" i="18" s="1"/>
  <c r="X56" i="18"/>
  <c r="X57" i="18"/>
  <c r="X58" i="18"/>
  <c r="X54" i="18"/>
  <c r="X179" i="18" s="1"/>
  <c r="AD27" i="18"/>
  <c r="Z12" i="18"/>
  <c r="Z15" i="18"/>
  <c r="Z126" i="18" s="1"/>
  <c r="Z13" i="18"/>
  <c r="Z10" i="18"/>
  <c r="Z16" i="18"/>
  <c r="Z134" i="18" s="1"/>
  <c r="Z135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2" i="18"/>
  <c r="Z180" i="18" s="1"/>
  <c r="W174" i="18"/>
  <c r="W181" i="18" s="1"/>
  <c r="W175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2" i="18"/>
  <c r="Z131" i="18"/>
  <c r="Z96" i="18"/>
  <c r="Z102" i="18" s="1"/>
  <c r="Z127" i="18"/>
  <c r="Z89" i="18"/>
  <c r="X66" i="18"/>
  <c r="X176" i="18" s="1"/>
  <c r="Y58" i="18"/>
  <c r="Z107" i="18"/>
  <c r="Z108" i="18"/>
  <c r="U162" i="18"/>
  <c r="S162" i="18" s="1"/>
  <c r="Y60" i="18"/>
  <c r="Y67" i="18"/>
  <c r="Y54" i="18"/>
  <c r="Y179" i="18" s="1"/>
  <c r="Y62" i="18"/>
  <c r="Y178" i="18" s="1"/>
  <c r="Y57" i="18"/>
  <c r="Y56" i="18"/>
  <c r="Y78" i="18"/>
  <c r="Y80" i="18"/>
  <c r="Y136" i="18" s="1"/>
  <c r="Y51" i="18"/>
  <c r="Y50" i="18"/>
  <c r="Y173" i="18" s="1"/>
  <c r="Y82" i="18"/>
  <c r="Y61" i="18"/>
  <c r="Y68" i="18"/>
  <c r="Y177" i="18" s="1"/>
  <c r="Y65" i="18"/>
  <c r="Y64" i="18"/>
  <c r="Y81" i="18"/>
  <c r="AA13" i="18"/>
  <c r="AA12" i="18"/>
  <c r="AA15" i="18"/>
  <c r="AA126" i="18" s="1"/>
  <c r="AA10" i="18"/>
  <c r="AA16" i="18"/>
  <c r="AA134" i="18" s="1"/>
  <c r="AA135" i="18" s="1"/>
  <c r="AA6" i="18"/>
  <c r="AA7" i="18"/>
  <c r="AA40" i="18"/>
  <c r="Z88" i="18"/>
  <c r="Z87" i="18"/>
  <c r="Z42" i="18"/>
  <c r="Y77" i="18"/>
  <c r="Y75" i="18"/>
  <c r="Y76" i="18"/>
  <c r="Y74" i="18"/>
  <c r="AA172" i="18"/>
  <c r="AA180" i="18" s="1"/>
  <c r="X174" i="18"/>
  <c r="X181" i="18" s="1"/>
  <c r="X17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7" i="18"/>
  <c r="AA131" i="18"/>
  <c r="AA132" i="18"/>
  <c r="AA89" i="18"/>
  <c r="AA107" i="18"/>
  <c r="AA108" i="18"/>
  <c r="Y66" i="18"/>
  <c r="Y176" i="18" s="1"/>
  <c r="Z78" i="18"/>
  <c r="Z80" i="18"/>
  <c r="Z136" i="18" s="1"/>
  <c r="Z50" i="18"/>
  <c r="Z173" i="18" s="1"/>
  <c r="Z51" i="18"/>
  <c r="Z62" i="18"/>
  <c r="Z178" i="18" s="1"/>
  <c r="Z68" i="18"/>
  <c r="Z177" i="18" s="1"/>
  <c r="Z67" i="18"/>
  <c r="Z65" i="18"/>
  <c r="Z56" i="18"/>
  <c r="Z54" i="18"/>
  <c r="Z179" i="18" s="1"/>
  <c r="Z61" i="18"/>
  <c r="Z57" i="18"/>
  <c r="Z58" i="18"/>
  <c r="Z64" i="18"/>
  <c r="Z81" i="18"/>
  <c r="Z60" i="18"/>
  <c r="Z82" i="18"/>
  <c r="AB12" i="18"/>
  <c r="AB15" i="18"/>
  <c r="AB126" i="18" s="1"/>
  <c r="AB13" i="18"/>
  <c r="AB10" i="18"/>
  <c r="AB16" i="18"/>
  <c r="AB134" i="18" s="1"/>
  <c r="AB135" i="18" s="1"/>
  <c r="AB7" i="18"/>
  <c r="AB6" i="18"/>
  <c r="AB40" i="18"/>
  <c r="AA87" i="18"/>
  <c r="AA88" i="18"/>
  <c r="AA42" i="18"/>
  <c r="Z77" i="18"/>
  <c r="Z75" i="18"/>
  <c r="Z76" i="18"/>
  <c r="Z74" i="18"/>
  <c r="AB172" i="18"/>
  <c r="AB180" i="18" s="1"/>
  <c r="Y174" i="18"/>
  <c r="Y181" i="18" s="1"/>
  <c r="Y175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1" i="18"/>
  <c r="AB132" i="18"/>
  <c r="AB96" i="18"/>
  <c r="AB102" i="18" s="1"/>
  <c r="AB127" i="18"/>
  <c r="AB107" i="18"/>
  <c r="AB108" i="18"/>
  <c r="Z66" i="18"/>
  <c r="Z176" i="18" s="1"/>
  <c r="AA78" i="18"/>
  <c r="AA80" i="18"/>
  <c r="AA136" i="18" s="1"/>
  <c r="AA51" i="18"/>
  <c r="AA50" i="18"/>
  <c r="AA173" i="18" s="1"/>
  <c r="AA56" i="18"/>
  <c r="AA67" i="18"/>
  <c r="AA57" i="18"/>
  <c r="AA62" i="18"/>
  <c r="AA178" i="18" s="1"/>
  <c r="AA65" i="18"/>
  <c r="AA64" i="18"/>
  <c r="AA82" i="18"/>
  <c r="AA68" i="18"/>
  <c r="AA177" i="18" s="1"/>
  <c r="AA54" i="18"/>
  <c r="AA179" i="18" s="1"/>
  <c r="AA61" i="18"/>
  <c r="AA81" i="18"/>
  <c r="AA60" i="18"/>
  <c r="AA58" i="18"/>
  <c r="AC15" i="18"/>
  <c r="AC13" i="18"/>
  <c r="AF13" i="18" s="1"/>
  <c r="AC12" i="18"/>
  <c r="AC127" i="18" s="1"/>
  <c r="AD127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2" i="18"/>
  <c r="AC180" i="18" s="1"/>
  <c r="Z174" i="18"/>
  <c r="Z181" i="18" s="1"/>
  <c r="Z175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80" i="18"/>
  <c r="AF180" i="18" s="1"/>
  <c r="AB111" i="18"/>
  <c r="AB112" i="18" s="1"/>
  <c r="AB55" i="18"/>
  <c r="AF16" i="18"/>
  <c r="AC134" i="18"/>
  <c r="AC132" i="18"/>
  <c r="AD132" i="18" s="1"/>
  <c r="AC131" i="18"/>
  <c r="AD131" i="18" s="1"/>
  <c r="AF15" i="18"/>
  <c r="AC126" i="18"/>
  <c r="AD126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6" i="18" s="1"/>
  <c r="AB78" i="18"/>
  <c r="AB80" i="18"/>
  <c r="AB136" i="18" s="1"/>
  <c r="AB50" i="18"/>
  <c r="AB173" i="18" s="1"/>
  <c r="AB51" i="18"/>
  <c r="AB60" i="18"/>
  <c r="AB68" i="18"/>
  <c r="AB177" i="18" s="1"/>
  <c r="AB54" i="18"/>
  <c r="AB179" i="18" s="1"/>
  <c r="AB62" i="18"/>
  <c r="AB178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6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2" i="18"/>
  <c r="AF172" i="18" s="1"/>
  <c r="AA174" i="18"/>
  <c r="AA181" i="18" s="1"/>
  <c r="AA175" i="18"/>
  <c r="N36" i="11"/>
  <c r="O35" i="11"/>
  <c r="F5" i="8"/>
  <c r="G5" i="8" s="1"/>
  <c r="H5" i="8" s="1"/>
  <c r="I5" i="8" s="1"/>
  <c r="AB113" i="18" l="1"/>
  <c r="AB114" i="18" s="1"/>
  <c r="AB115" i="18"/>
  <c r="AD95" i="18"/>
  <c r="AC91" i="18"/>
  <c r="AD91" i="18" s="1"/>
  <c r="AD52" i="18"/>
  <c r="AF52" i="18"/>
  <c r="AD96" i="18"/>
  <c r="AC102" i="18"/>
  <c r="AD102" i="18" s="1"/>
  <c r="AC111" i="18"/>
  <c r="AC112" i="18" s="1"/>
  <c r="AC55" i="18"/>
  <c r="AD134" i="18"/>
  <c r="AC135" i="18"/>
  <c r="AD135" i="18" s="1"/>
  <c r="AF42" i="18"/>
  <c r="U156" i="18"/>
  <c r="U157" i="18" s="1"/>
  <c r="AB66" i="18"/>
  <c r="AB176" i="18" s="1"/>
  <c r="AC78" i="18"/>
  <c r="AC80" i="18"/>
  <c r="AC50" i="18"/>
  <c r="AC173" i="18" s="1"/>
  <c r="AD173" i="18" s="1"/>
  <c r="AF173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7" i="18"/>
  <c r="Q188" i="18" s="1"/>
  <c r="AC77" i="18"/>
  <c r="AC75" i="18"/>
  <c r="AD42" i="18"/>
  <c r="AC76" i="18"/>
  <c r="AC74" i="18"/>
  <c r="AB174" i="18"/>
  <c r="AB181" i="18" s="1"/>
  <c r="AB175" i="18"/>
  <c r="N37" i="11"/>
  <c r="O36" i="11"/>
  <c r="F18" i="8"/>
  <c r="G18" i="8"/>
  <c r="AC113" i="18" l="1"/>
  <c r="AC114" i="18" s="1"/>
  <c r="AC115" i="18"/>
  <c r="AF54" i="18"/>
  <c r="AC179" i="18"/>
  <c r="AF55" i="18"/>
  <c r="AD55" i="18"/>
  <c r="AF80" i="18"/>
  <c r="AC136" i="18"/>
  <c r="AD136" i="18" s="1"/>
  <c r="AD111" i="18"/>
  <c r="S156" i="18"/>
  <c r="S157" i="18"/>
  <c r="AD81" i="18"/>
  <c r="AF81" i="18"/>
  <c r="AD51" i="18"/>
  <c r="AF51" i="18"/>
  <c r="T153" i="18"/>
  <c r="AF67" i="18"/>
  <c r="AC177" i="18"/>
  <c r="AD177" i="18" s="1"/>
  <c r="AF177" i="18" s="1"/>
  <c r="AF68" i="18"/>
  <c r="AD50" i="18"/>
  <c r="AF50" i="18"/>
  <c r="AD65" i="18"/>
  <c r="AF65" i="18"/>
  <c r="T147" i="18"/>
  <c r="AF64" i="18"/>
  <c r="T146" i="18"/>
  <c r="AF58" i="18"/>
  <c r="AC178" i="18"/>
  <c r="AD178" i="18" s="1"/>
  <c r="AF178" i="18" s="1"/>
  <c r="AF62" i="18"/>
  <c r="AD61" i="18"/>
  <c r="AF61" i="18"/>
  <c r="T144" i="18"/>
  <c r="Q187" i="18" s="1"/>
  <c r="AF56" i="18"/>
  <c r="T149" i="18"/>
  <c r="AF60" i="18"/>
  <c r="AD82" i="18"/>
  <c r="AF82" i="18"/>
  <c r="T169" i="18"/>
  <c r="Q189" i="18" s="1"/>
  <c r="AF78" i="18"/>
  <c r="T167" i="18"/>
  <c r="AF77" i="18"/>
  <c r="T166" i="18"/>
  <c r="AF76" i="18"/>
  <c r="T164" i="18"/>
  <c r="AF74" i="18"/>
  <c r="T165" i="18"/>
  <c r="AF75" i="18"/>
  <c r="AD67" i="18"/>
  <c r="T150" i="18"/>
  <c r="AD56" i="18"/>
  <c r="AD58" i="18"/>
  <c r="U146" i="18" s="1"/>
  <c r="AD60" i="18"/>
  <c r="T151" i="18"/>
  <c r="Q186" i="18" s="1"/>
  <c r="AD78" i="18"/>
  <c r="AD64" i="18"/>
  <c r="T154" i="18"/>
  <c r="AC66" i="18"/>
  <c r="AD62" i="18"/>
  <c r="AD68" i="18"/>
  <c r="AD80" i="18"/>
  <c r="AD76" i="18"/>
  <c r="AD75" i="18"/>
  <c r="AD74" i="18"/>
  <c r="AD77" i="18"/>
  <c r="T143" i="18"/>
  <c r="Q190" i="18" s="1"/>
  <c r="Q191" i="18" s="1"/>
  <c r="AD54" i="18"/>
  <c r="AC174" i="18"/>
  <c r="AC181" i="18" s="1"/>
  <c r="AD181" i="18" s="1"/>
  <c r="AD57" i="18"/>
  <c r="U145" i="18" s="1"/>
  <c r="AC175" i="18"/>
  <c r="T145" i="18"/>
  <c r="N38" i="11"/>
  <c r="O37" i="11"/>
  <c r="H18" i="8"/>
  <c r="M188" i="18" l="1"/>
  <c r="P188" i="18"/>
  <c r="AD179" i="18"/>
  <c r="AF179" i="18" s="1"/>
  <c r="U143" i="18"/>
  <c r="S143" i="18" s="1"/>
  <c r="AD112" i="18"/>
  <c r="U154" i="18"/>
  <c r="S154" i="18" s="1"/>
  <c r="U144" i="18"/>
  <c r="S144" i="18" s="1"/>
  <c r="U153" i="18"/>
  <c r="S153" i="18" s="1"/>
  <c r="U149" i="18"/>
  <c r="S149" i="18" s="1"/>
  <c r="U151" i="18"/>
  <c r="S151" i="18" s="1"/>
  <c r="P186" i="18" s="1"/>
  <c r="U169" i="18"/>
  <c r="S169" i="18" s="1"/>
  <c r="P189" i="18" s="1"/>
  <c r="U166" i="18"/>
  <c r="S166" i="18" s="1"/>
  <c r="AD66" i="18"/>
  <c r="AF66" i="18"/>
  <c r="U147" i="18"/>
  <c r="S147" i="18" s="1"/>
  <c r="S146" i="18"/>
  <c r="U150" i="18"/>
  <c r="S150" i="18" s="1"/>
  <c r="U164" i="18"/>
  <c r="S164" i="18" s="1"/>
  <c r="AC176" i="18"/>
  <c r="AD176" i="18" s="1"/>
  <c r="AF176" i="18" s="1"/>
  <c r="U167" i="18"/>
  <c r="S167" i="18" s="1"/>
  <c r="U165" i="18"/>
  <c r="S165" i="18" s="1"/>
  <c r="AD175" i="18"/>
  <c r="AF175" i="18" s="1"/>
  <c r="AD174" i="18"/>
  <c r="AF174" i="18" s="1"/>
  <c r="AF181" i="18" s="1"/>
  <c r="S145" i="18"/>
  <c r="N39" i="11"/>
  <c r="O38" i="11"/>
  <c r="I18" i="8"/>
  <c r="M187" i="18" l="1"/>
  <c r="P187" i="18"/>
  <c r="P190" i="18"/>
  <c r="P191" i="18" s="1"/>
  <c r="M189" i="18"/>
  <c r="M186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<sst xmlns="http://schemas.openxmlformats.org/spreadsheetml/2006/main" count="646" uniqueCount="455">
  <si>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</si>
  <si>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</si>
  <si>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</si>
  <si>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</si>
  <si>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</si>
  <si>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</si>
  <si>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</si>
  <si>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</si>
  <si>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</si>
  <si>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</si>
  <si>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</si>
  <si>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</si>
  <si>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</si>
  <si>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</si>
  <si>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</si>
  <si>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</si>
  <si>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</si>
  <si>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</si>
  <si>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</si>
  <si>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</si>
  <si>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</si>
  <si>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</si>
  <si>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</si>
  <si>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</si>
  <si>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</si>
  <si>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</si>
  <si>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</si>
  <si>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</si>
  <si>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</si>
  <si>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</si>
  <si>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</si>
  <si>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</si>
  <si>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</si>
  <si>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</si>
  <si>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</si>
  <si>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</si>
  <si>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</si>
  <si>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</si>
  <si>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</si>
  <si>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</si>
  <si>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</si>
  <si>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</si>
  <si>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</si>
  <si>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</si>
  <si>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</si>
  <si>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</si>
  <si>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</si>
  <si>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</si>
  <si>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</si>
  <si>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</si>
  <si>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</si>
  <si>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</si>
  <si>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</si>
  <si>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</si>
  <si>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</si>
  <si>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</si>
  <si>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</si>
  <si>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</si>
  <si>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</si>
  <si>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</si>
  <si>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</si>
  <si>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</si>
  <si>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</si>
  <si>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</si>
  <si>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</si>
  <si>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</si>
  <si>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</si>
  <si>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</si>
  <si>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</si>
  <si>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</si>
  <si>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</si>
  <si>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</si>
  <si>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</si>
  <si>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</si>
  <si>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</si>
  <si>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</si>
  <si>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</si>
  <si>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</si>
  <si>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</si>
  <si>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</si>
  <si>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</si>
  <si>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</si>
  <si>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</si>
  <si>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</si>
  <si>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</si>
  <si>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</si>
  <si>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</si>
  <si>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</si>
  <si>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</si>
  <si>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</si>
  <si>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</si>
  <si>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</si>
  <si>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</si>
  <si>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</si>
  <si>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</si>
  <si>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</si>
  <si>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</si>
  <si>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</si>
  <si>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</si>
  <si>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</si>
  <si>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</si>
  <si>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</si>
  <si>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</si>
  <si>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</si>
  <si>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</si>
  <si>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</si>
  <si>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</si>
  <si>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</si>
  <si>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</si>
  <si>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</si>
  <si>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</si>
  <si>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</si>
  <si>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</si>
  <si>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</si>
  <si>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</si>
  <si>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</si>
  <si>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</si>
  <si>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</si>
  <si>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</si>
  <si>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</si>
  <si>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</si>
  <si>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</si>
  <si>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</si>
  <si>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</si>
  <si>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</si>
  <si>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</si>
  <si>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</si>
  <si>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</si>
  <si>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</si>
  <si>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</si>
  <si>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</si>
  <si>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</si>
  <si>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</si>
  <si>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</si>
  <si>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</si>
  <si>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</si>
  <si>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</si>
  <si>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</si>
  <si>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</si>
  <si>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</si>
  <si>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</si>
  <si>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</si>
  <si>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</si>
  <si>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</si>
  <si>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</si>
  <si>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</si>
  <si>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</si>
  <si>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</si>
  <si>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</si>
  <si>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</si>
  <si>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</si>
  <si>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</si>
  <si>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</si>
  <si>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</si>
  <si>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</si>
  <si>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</si>
  <si>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</si>
  <si>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</si>
  <si>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</si>
  <si>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</si>
  <si>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</si>
  <si>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</si>
  <si>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</si>
  <si>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</si>
  <si>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</si>
  <si>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</si>
  <si>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</si>
  <si>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</si>
  <si>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</si>
  <si>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</si>
  <si>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</si>
  <si>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</si>
  <si>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</si>
  <si>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</si>
  <si>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</si>
  <si>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</si>
  <si>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</si>
  <si>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</si>
  <si>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</si>
  <si>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</si>
  <si>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</si>
  <si>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</si>
  <si>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</si>
  <si>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</si>
  <si>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</si>
  <si>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</si>
  <si>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</si>
  <si>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</si>
  <si>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</si>
  <si>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</si>
  <si>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</si>
  <si>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</si>
  <si>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</si>
  <si>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</si>
  <si>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</si>
  <si>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</si>
  <si>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</si>
  <si>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</si>
  <si>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</si>
  <si>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</si>
  <si>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</si>
  <si>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</si>
  <si>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</si>
  <si>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</si>
  <si>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</si>
  <si>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</si>
  <si>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</si>
  <si>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</si>
  <si>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</si>
  <si>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</si>
  <si>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</si>
  <si>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</si>
  <si>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</si>
  <si>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</si>
  <si>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</si>
  <si>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</si>
  <si>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</si>
  <si>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</si>
  <si>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</si>
  <si>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</si>
  <si>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</si>
  <si>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</si>
  <si>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</si>
  <si>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</si>
  <si>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</si>
  <si>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</si>
  <si>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</si>
  <si>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</si>
  <si>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</si>
  <si>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</si>
  <si>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</si>
  <si>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</si>
  <si>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</si>
  <si>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</si>
  <si>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</si>
  <si>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</si>
  <si>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</si>
  <si>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</si>
  <si>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</si>
  <si>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</si>
  <si>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</si>
  <si>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</si>
  <si>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</si>
  <si>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</si>
  <si>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</si>
  <si>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</si>
  <si>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</si>
  <si>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</si>
  <si>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</si>
  <si>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</si>
  <si>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</si>
  <si>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</si>
  <si>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</si>
  <si>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</si>
  <si>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</si>
  <si>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</si>
  <si>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</si>
  <si>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</si>
  <si>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</si>
  <si>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</si>
  <si>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</si>
  <si>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</si>
  <si>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</si>
  <si>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</si>
  <si>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</si>
  <si>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</si>
  <si>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</si>
  <si>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</si>
  <si>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</si>
  <si>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</si>
  <si>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</si>
  <si>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</si>
  <si>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</si>
  <si>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</si>
  <si>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</si>
  <si>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</si>
  <si>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</si>
  <si>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</si>
  <si>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</si>
  <si>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</si>
  <si>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</si>
  <si>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</si>
  <si>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</si>
  <si>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</si>
  <si>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</si>
  <si>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</si>
  <si>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</si>
  <si>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</si>
  <si>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</si>
  <si>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</si>
  <si>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</si>
  <si>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</si>
  <si>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</si>
  <si>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</si>
  <si>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</si>
  <si>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</si>
  <si>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</si>
  <si>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</si>
  <si>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</si>
  <si>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</si>
  <si>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</si>
  <si>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</si>
  <si>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</si>
  <si>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</si>
  <si>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</si>
  <si>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</si>
  <si>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</si>
  <si>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</si>
  <si>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</si>
  <si>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</si>
  <si>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</si>
  <si>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</si>
  <si>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</si>
  <si>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</si>
  <si>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</si>
  <si>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</si>
  <si>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</si>
  <si>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</si>
  <si>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</si>
  <si>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</si>
  <si>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</si>
  <si>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</si>
  <si>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</si>
  <si>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</si>
  <si>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</si>
  <si>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</si>
  <si>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</si>
  <si>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</si>
  <si>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</si>
  <si>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</si>
  <si>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</si>
  <si>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</si>
  <si>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</si>
  <si>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</si>
  <si>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</si>
  <si>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</si>
  <si>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</si>
  <si>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</si>
  <si>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</si>
  <si>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</si>
  <si>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</si>
  <si>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</si>
  <si>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</si>
  <si>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</si>
  <si>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</si>
  <si>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</si>
  <si>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</si>
  <si>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</si>
  <si>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</si>
  <si>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</si>
  <si>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</si>
  <si>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</si>
  <si>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</si>
  <si>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</si>
  <si>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</si>
  <si>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</si>
  <si>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</si>
  <si>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</si>
  <si>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</si>
  <si>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</si>
  <si>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</si>
  <si>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</si>
  <si>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</si>
  <si>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</si>
  <si>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</si>
  <si>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</si>
  <si>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</si>
  <si>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</si>
  <si>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</si>
  <si>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</si>
  <si>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</si>
  <si>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</si>
  <si>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</si>
  <si>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</si>
  <si>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</si>
  <si>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</si>
  <si>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</si>
  <si>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</si>
  <si>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</si>
  <si>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</si>
  <si>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</si>
  <si>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</si>
  <si>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</si>
  <si>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</si>
  <si>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</si>
  <si>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</si>
  <si>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</si>
  <si>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</si>
  <si>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</si>
  <si>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</si>
  <si>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</si>
  <si>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</si>
  <si>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</si>
  <si>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</si>
  <si>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</si>
  <si>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</si>
  <si>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</si>
  <si>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</si>
  <si>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</si>
  <si>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</si>
  <si>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</si>
  <si>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</si>
  <si>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</si>
  <si>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</si>
  <si>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</si>
  <si>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</si>
  <si>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</si>
  <si>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</si>
  <si>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</si>
  <si>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</si>
  <si>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</si>
  <si>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</si>
  <si>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</si>
  <si>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</si>
  <si>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</si>
  <si>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</si>
  <si>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</si>
  <si>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</si>
  <si>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</si>
  <si>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</si>
  <si>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</si>
  <si>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</si>
  <si>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</si>
  <si>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</si>
  <si>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</si>
  <si>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</si>
  <si>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</si>
  <si>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</si>
  <si>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</si>
  <si>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</si>
  <si>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</si>
  <si>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</si>
  <si>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</si>
  <si>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</si>
  <si>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</si>
  <si>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</si>
  <si>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</si>
  <si>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</si>
  <si>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</si>
  <si>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</si>
  <si>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</si>
  <si>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</si>
  <si>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</si>
  <si>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</si>
  <si>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</si>
  <si>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</si>
  <si>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</si>
  <si>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</si>
  <si>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</si>
  <si>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</si>
  <si>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</si>
  <si>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</si>
  <si>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b</t>
  </si>
  <si>
    <t>1x1</t>
  </si>
  <si>
    <t>Dividend Paid from Operational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</si>
</sst>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5" tint="0.39997558519241921"/>
      <name val="Cambria"/>
      <family val="1"/>
      <scheme val="major"/>
    </font>
    <font>
      <b/>
      <sz val="10"/>
      <color theme="5" tint="0.3999755851924192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8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0" fontId="16" fillId="5" borderId="1" xfId="0" applyFont="1" applyFill="1" applyBorder="1"/>
    <xf numFmtId="175" fontId="16" fillId="5" borderId="1" xfId="2" applyNumberFormat="1" applyFont="1" applyFill="1" applyBorder="1"/>
    <xf numFmtId="9" fontId="17" fillId="5" borderId="1" xfId="1" applyNumberFormat="1" applyFont="1" applyFill="1" applyBorder="1"/>
    <xf numFmtId="9" fontId="17" fillId="5" borderId="1" xfId="1" applyFont="1" applyFill="1" applyBorder="1"/>
    <xf numFmtId="43" fontId="16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876608"/>
        <c:axId val="98595200"/>
      </c:lineChart>
      <c:catAx>
        <c:axId val="97876608"/>
        <c:scaling>
          <c:orientation val="minMax"/>
        </c:scaling>
        <c:delete val="0"/>
        <c:axPos val="b"/>
        <c:majorTickMark val="out"/>
        <c:minorTickMark val="none"/>
        <c:tickLblPos val="nextTo"/>
        <c:crossAx val="98595200"/>
        <c:crosses val="autoZero"/>
        <c:auto val="1"/>
        <c:lblAlgn val="ctr"/>
        <c:lblOffset val="100"/>
        <c:noMultiLvlLbl val="0"/>
      </c:catAx>
      <c:valAx>
        <c:axId val="98595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787660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3"/>
  <sheetViews>
    <sheetView tabSelected="1" zoomScale="80" zoomScaleNormal="80" workbookViewId="0">
      <pane xSplit="2" ySplit="3" topLeftCell="D161" activePane="bottomRight" state="frozen"/>
      <selection pane="topRight" activeCell="C1" sqref="C1"/>
      <selection pane="bottomLeft" activeCell="A5" sqref="A5"/>
      <selection pane="bottomRight" activeCell="B184" sqref="B184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398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0.08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6" t="s">
        <v>291</v>
      </c>
      <c r="AF2" s="197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8" t="s">
        <v>292</v>
      </c>
      <c r="AF3" s="199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3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14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f>I6</f>
        <v>5099</v>
      </c>
      <c r="H6" s="147"/>
      <c r="I6" s="147">
        <v>5099</v>
      </c>
      <c r="J6" s="147">
        <v>6049</v>
      </c>
      <c r="K6" s="147">
        <v>1478</v>
      </c>
      <c r="L6" s="147">
        <v>1668</v>
      </c>
      <c r="M6" s="147">
        <v>2572</v>
      </c>
      <c r="N6" s="147">
        <v>4517</v>
      </c>
      <c r="O6" s="147">
        <v>5792</v>
      </c>
      <c r="P6" s="147">
        <v>7775</v>
      </c>
      <c r="Q6" s="214">
        <v>9875</v>
      </c>
      <c r="R6" s="118">
        <f>((Q6/G6)^(1/($H$2-$H$1) ))-1</f>
        <v>7.6204185954469539E-2</v>
      </c>
      <c r="S6" s="31">
        <f>$L$2</f>
        <v>0.08</v>
      </c>
      <c r="T6" s="154">
        <f>Q6*(1+$S6)</f>
        <v>10665</v>
      </c>
      <c r="U6" s="154">
        <f>T6*(1+$S6)</f>
        <v>11518.2</v>
      </c>
      <c r="V6" s="154">
        <f t="shared" ref="V6:AC6" si="0">U6*(1+$S6)</f>
        <v>12439.656000000001</v>
      </c>
      <c r="W6" s="154">
        <f t="shared" si="0"/>
        <v>13434.828480000002</v>
      </c>
      <c r="X6" s="154">
        <f t="shared" si="0"/>
        <v>14509.614758400003</v>
      </c>
      <c r="Y6" s="154">
        <f t="shared" si="0"/>
        <v>15670.383939072004</v>
      </c>
      <c r="Z6" s="154">
        <f t="shared" si="0"/>
        <v>16924.014654197767</v>
      </c>
      <c r="AA6" s="154">
        <f t="shared" si="0"/>
        <v>18277.93582653359</v>
      </c>
      <c r="AB6" s="154">
        <f t="shared" si="0"/>
        <v>19740.17069265628</v>
      </c>
      <c r="AC6" s="154">
        <f t="shared" si="0"/>
        <v>21319.384348068783</v>
      </c>
      <c r="AD6" s="138">
        <f>((AC6/G6)^(1/($AC$3-$H$1) ))-1</f>
        <v>7.4148885961857536E-2</v>
      </c>
      <c r="AE6" s="31">
        <f>$L$1</f>
        <v>0.05</v>
      </c>
      <c r="AF6" s="146">
        <f t="shared" ref="AF6:AF44" si="1">(AC6*(1+AE6))/($C$1-AE6)</f>
        <v>131678.55038513071</v>
      </c>
    </row>
    <row r="7" spans="2:32" x14ac:dyDescent="0.2">
      <c r="B7" s="20" t="s">
        <v>240</v>
      </c>
      <c r="C7" s="141"/>
      <c r="D7" s="141"/>
      <c r="E7" s="147"/>
      <c r="F7" s="147"/>
      <c r="G7" s="147">
        <f>I7</f>
        <v>5201</v>
      </c>
      <c r="H7" s="147"/>
      <c r="I7" s="147">
        <v>5201</v>
      </c>
      <c r="J7" s="147">
        <v>6150</v>
      </c>
      <c r="K7" s="147">
        <v>1623</v>
      </c>
      <c r="L7" s="147">
        <v>1812</v>
      </c>
      <c r="M7" s="147">
        <v>2716</v>
      </c>
      <c r="N7" s="147">
        <v>4807</v>
      </c>
      <c r="O7" s="147">
        <v>6081</v>
      </c>
      <c r="P7" s="147">
        <v>8065</v>
      </c>
      <c r="Q7" s="214">
        <v>10167</v>
      </c>
      <c r="R7" s="118">
        <f>((Q7/G7)^(1/($H$2-$H$1) ))-1</f>
        <v>7.7320955872144381E-2</v>
      </c>
      <c r="S7" s="31">
        <f>$L$2</f>
        <v>0.08</v>
      </c>
      <c r="T7" s="154">
        <f t="shared" ref="T7:T44" si="2">Q7*(1+$S7)</f>
        <v>10980.36</v>
      </c>
      <c r="U7" s="154">
        <f t="shared" ref="U7:AC7" si="3">T7*(1+$S7)</f>
        <v>11858.788800000002</v>
      </c>
      <c r="V7" s="154">
        <f t="shared" si="3"/>
        <v>12807.491904000002</v>
      </c>
      <c r="W7" s="154">
        <f t="shared" si="3"/>
        <v>13832.091256320004</v>
      </c>
      <c r="X7" s="154">
        <f t="shared" si="3"/>
        <v>14938.658556825605</v>
      </c>
      <c r="Y7" s="154">
        <f t="shared" si="3"/>
        <v>16133.751241371654</v>
      </c>
      <c r="Z7" s="154">
        <f t="shared" si="3"/>
        <v>17424.451340681386</v>
      </c>
      <c r="AA7" s="154">
        <f t="shared" si="3"/>
        <v>18818.407447935897</v>
      </c>
      <c r="AB7" s="154">
        <f t="shared" si="3"/>
        <v>20323.880043770769</v>
      </c>
      <c r="AC7" s="154">
        <f t="shared" si="3"/>
        <v>21949.790447272433</v>
      </c>
      <c r="AD7" s="138">
        <f>((AC7/G7)^(1/($AC$3-$H$1) ))-1</f>
        <v>7.4650329618870304E-2</v>
      </c>
      <c r="AE7" s="31">
        <f>$L$1</f>
        <v>0.05</v>
      </c>
      <c r="AF7" s="146">
        <f t="shared" si="1"/>
        <v>135572.23511550622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 t="e">
        <f>(H7-G7)/H7</f>
        <v>#DIV/0!</v>
      </c>
      <c r="I8" s="151">
        <f t="shared" ref="I8:Q8" si="4">(I7-H7)/I7</f>
        <v>1</v>
      </c>
      <c r="J8" s="151">
        <f t="shared" si="4"/>
        <v>0.15430894308943088</v>
      </c>
      <c r="K8" s="151">
        <f t="shared" si="4"/>
        <v>-2.789279112754159</v>
      </c>
      <c r="L8" s="151">
        <f t="shared" si="4"/>
        <v>0.10430463576158941</v>
      </c>
      <c r="M8" s="151">
        <f t="shared" si="4"/>
        <v>0.3328424153166421</v>
      </c>
      <c r="N8" s="151">
        <f t="shared" si="4"/>
        <v>0.43499063865196591</v>
      </c>
      <c r="O8" s="151">
        <f t="shared" si="4"/>
        <v>0.20950501562243051</v>
      </c>
      <c r="P8" s="151">
        <f t="shared" si="4"/>
        <v>0.24600123992560446</v>
      </c>
      <c r="Q8" s="215">
        <f t="shared" si="4"/>
        <v>0.20674731976000787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f>I9</f>
        <v>2123</v>
      </c>
      <c r="H9" s="147"/>
      <c r="I9" s="147">
        <v>2123</v>
      </c>
      <c r="J9" s="147">
        <v>3091</v>
      </c>
      <c r="K9" s="147">
        <v>1060</v>
      </c>
      <c r="L9" s="147">
        <v>1238</v>
      </c>
      <c r="M9" s="147">
        <v>2033</v>
      </c>
      <c r="N9" s="147">
        <v>2467</v>
      </c>
      <c r="O9" s="147">
        <v>2219</v>
      </c>
      <c r="P9" s="147">
        <v>2768</v>
      </c>
      <c r="Q9" s="214">
        <f>P9</f>
        <v>2768</v>
      </c>
      <c r="R9" s="118">
        <f>((Q9/G9)^(1/($H$2-$H$1) ))-1</f>
        <v>2.9915959418319149E-2</v>
      </c>
      <c r="S9" s="31">
        <f t="shared" ref="S9:S40" si="5">$L$2</f>
        <v>0.08</v>
      </c>
      <c r="T9" s="154">
        <f t="shared" si="2"/>
        <v>2989.44</v>
      </c>
      <c r="U9" s="154">
        <f t="shared" ref="U9" si="6">T9*(1+$S9)</f>
        <v>3228.5952000000002</v>
      </c>
      <c r="V9" s="154">
        <f t="shared" ref="V9" si="7">U9*(1+$S9)</f>
        <v>3486.8828160000003</v>
      </c>
      <c r="W9" s="154">
        <f t="shared" ref="W9" si="8">V9*(1+$S9)</f>
        <v>3765.8334412800004</v>
      </c>
      <c r="X9" s="154">
        <f t="shared" ref="X9" si="9">W9*(1+$S9)</f>
        <v>4067.1001165824009</v>
      </c>
      <c r="Y9" s="154">
        <f t="shared" ref="Y9" si="10">X9*(1+$S9)</f>
        <v>4392.468125908993</v>
      </c>
      <c r="Z9" s="154">
        <f t="shared" ref="Z9" si="11">Y9*(1+$S9)</f>
        <v>4743.8655759817129</v>
      </c>
      <c r="AA9" s="154">
        <f t="shared" ref="AA9" si="12">Z9*(1+$S9)</f>
        <v>5123.3748220602502</v>
      </c>
      <c r="AB9" s="154">
        <f t="shared" ref="AB9" si="13">AA9*(1+$S9)</f>
        <v>5533.2448078250709</v>
      </c>
      <c r="AC9" s="154">
        <f t="shared" ref="AC9" si="14">AB9*(1+$S9)</f>
        <v>5975.904392451077</v>
      </c>
      <c r="AD9" s="138">
        <f>((AC9/G9)^(1/($AC$3-$H$1) ))-1</f>
        <v>5.3107443247975006E-2</v>
      </c>
      <c r="AE9" s="31">
        <f t="shared" ref="AE9:AE81" si="15">$L$1</f>
        <v>0.05</v>
      </c>
      <c r="AF9" s="146">
        <f t="shared" si="1"/>
        <v>36909.997718080187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f>I10</f>
        <v>1469</v>
      </c>
      <c r="H10" s="147"/>
      <c r="I10" s="147">
        <v>1469</v>
      </c>
      <c r="J10" s="147">
        <v>1625</v>
      </c>
      <c r="K10" s="147">
        <v>1346</v>
      </c>
      <c r="L10" s="147">
        <v>1595</v>
      </c>
      <c r="M10" s="147">
        <v>1361</v>
      </c>
      <c r="N10" s="147">
        <v>347</v>
      </c>
      <c r="O10" s="147">
        <v>123</v>
      </c>
      <c r="P10" s="147">
        <v>98</v>
      </c>
      <c r="Q10" s="214">
        <f>P10</f>
        <v>98</v>
      </c>
      <c r="R10" s="118">
        <f>((Q10/G10)^(1/($H$2-$H$1) ))-1</f>
        <v>-0.25978815392802612</v>
      </c>
      <c r="S10" s="31">
        <f t="shared" si="5"/>
        <v>0.08</v>
      </c>
      <c r="T10" s="154">
        <f t="shared" si="2"/>
        <v>105.84</v>
      </c>
      <c r="U10" s="154">
        <f t="shared" ref="U10:AC10" si="16">T10*(1+$S10)</f>
        <v>114.30720000000001</v>
      </c>
      <c r="V10" s="154">
        <f t="shared" si="16"/>
        <v>123.45177600000002</v>
      </c>
      <c r="W10" s="154">
        <f t="shared" si="16"/>
        <v>133.32791808000005</v>
      </c>
      <c r="X10" s="154">
        <f t="shared" si="16"/>
        <v>143.99415152640006</v>
      </c>
      <c r="Y10" s="154">
        <f t="shared" si="16"/>
        <v>155.51368364851209</v>
      </c>
      <c r="Z10" s="154">
        <f t="shared" si="16"/>
        <v>167.95477834039306</v>
      </c>
      <c r="AA10" s="154">
        <f t="shared" si="16"/>
        <v>181.39116060762453</v>
      </c>
      <c r="AB10" s="154">
        <f t="shared" si="16"/>
        <v>195.9024534562345</v>
      </c>
      <c r="AC10" s="154">
        <f t="shared" si="16"/>
        <v>211.57464973273326</v>
      </c>
      <c r="AD10" s="138">
        <f t="shared" ref="AD10:AD42" si="17">((AC10/G10)^(1/($AC$3-$H$1) ))-1</f>
        <v>-9.2342309504703013E-2</v>
      </c>
      <c r="AE10" s="31">
        <f t="shared" si="15"/>
        <v>0.05</v>
      </c>
      <c r="AF10" s="146">
        <f t="shared" si="1"/>
        <v>1306.7846012904115</v>
      </c>
    </row>
    <row r="11" spans="2:32" x14ac:dyDescent="0.2">
      <c r="B11" s="20"/>
      <c r="C11" s="141"/>
      <c r="D11" s="141"/>
      <c r="E11" s="147"/>
      <c r="F11" s="147"/>
      <c r="G11" s="148">
        <f>(G10-F10)/G10</f>
        <v>1</v>
      </c>
      <c r="H11" s="148" t="e">
        <f t="shared" ref="H11:Q11" si="18">(H10-G10)/H10</f>
        <v>#DIV/0!</v>
      </c>
      <c r="I11" s="148">
        <f t="shared" si="18"/>
        <v>1</v>
      </c>
      <c r="J11" s="148">
        <f t="shared" si="18"/>
        <v>9.6000000000000002E-2</v>
      </c>
      <c r="K11" s="148">
        <f t="shared" si="18"/>
        <v>-0.2072808320950966</v>
      </c>
      <c r="L11" s="148">
        <f t="shared" si="18"/>
        <v>0.15611285266457681</v>
      </c>
      <c r="M11" s="148">
        <f t="shared" si="18"/>
        <v>-0.17193240264511389</v>
      </c>
      <c r="N11" s="148">
        <f t="shared" si="18"/>
        <v>-2.9221902017291068</v>
      </c>
      <c r="O11" s="148">
        <f t="shared" si="18"/>
        <v>-1.8211382113821137</v>
      </c>
      <c r="P11" s="148">
        <f t="shared" si="18"/>
        <v>-0.25510204081632654</v>
      </c>
      <c r="Q11" s="216">
        <f t="shared" si="18"/>
        <v>0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f>I12</f>
        <v>477</v>
      </c>
      <c r="H12" s="147"/>
      <c r="I12" s="147">
        <f>408+69</f>
        <v>477</v>
      </c>
      <c r="J12" s="147">
        <f>579+177</f>
        <v>756</v>
      </c>
      <c r="K12" s="147">
        <f>71</f>
        <v>71</v>
      </c>
      <c r="L12" s="147">
        <v>142</v>
      </c>
      <c r="M12" s="147">
        <v>106</v>
      </c>
      <c r="N12" s="147">
        <v>174</v>
      </c>
      <c r="O12" s="147">
        <v>1659</v>
      </c>
      <c r="P12" s="147">
        <v>566</v>
      </c>
      <c r="Q12" s="214">
        <f>P12</f>
        <v>566</v>
      </c>
      <c r="R12" s="118">
        <f>((Q12/G12)^(1/($H$2-$H$1) ))-1</f>
        <v>1.9190434829441383E-2</v>
      </c>
      <c r="S12" s="31">
        <f t="shared" si="5"/>
        <v>0.08</v>
      </c>
      <c r="T12" s="154">
        <f t="shared" si="2"/>
        <v>611.28000000000009</v>
      </c>
      <c r="U12" s="154">
        <f t="shared" ref="U12:AC12" si="19">T12*(1+$S12)</f>
        <v>660.18240000000014</v>
      </c>
      <c r="V12" s="154">
        <f t="shared" si="19"/>
        <v>712.9969920000002</v>
      </c>
      <c r="W12" s="154">
        <f t="shared" si="19"/>
        <v>770.03675136000027</v>
      </c>
      <c r="X12" s="154">
        <f t="shared" si="19"/>
        <v>831.63969146880038</v>
      </c>
      <c r="Y12" s="154">
        <f t="shared" si="19"/>
        <v>898.17086678630449</v>
      </c>
      <c r="Z12" s="154">
        <f t="shared" si="19"/>
        <v>970.02453612920885</v>
      </c>
      <c r="AA12" s="154">
        <f t="shared" si="19"/>
        <v>1047.6264990195457</v>
      </c>
      <c r="AB12" s="154">
        <f t="shared" si="19"/>
        <v>1131.4366189411094</v>
      </c>
      <c r="AC12" s="154">
        <f t="shared" si="19"/>
        <v>1221.9515484563983</v>
      </c>
      <c r="AD12" s="138">
        <f t="shared" si="17"/>
        <v>4.8158065027546382E-2</v>
      </c>
      <c r="AE12" s="31">
        <f t="shared" si="15"/>
        <v>0.05</v>
      </c>
      <c r="AF12" s="146">
        <f t="shared" si="1"/>
        <v>7547.3477992895205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f t="shared" ref="G13:G22" si="20">I13</f>
        <v>7342</v>
      </c>
      <c r="H13" s="147"/>
      <c r="I13" s="147">
        <v>7342</v>
      </c>
      <c r="J13" s="147">
        <v>9157</v>
      </c>
      <c r="K13" s="147">
        <v>1563</v>
      </c>
      <c r="L13" s="147">
        <v>1423</v>
      </c>
      <c r="M13" s="147">
        <v>3445</v>
      </c>
      <c r="N13" s="147">
        <v>4284</v>
      </c>
      <c r="O13" s="147">
        <v>4472</v>
      </c>
      <c r="P13" s="147">
        <v>6058</v>
      </c>
      <c r="Q13" s="214">
        <f>P13</f>
        <v>6058</v>
      </c>
      <c r="R13" s="118">
        <f>((Q13/G13)^(1/($H$2-$H$1) ))-1</f>
        <v>-2.1132574208551413E-2</v>
      </c>
      <c r="S13" s="31">
        <f t="shared" si="5"/>
        <v>0.08</v>
      </c>
      <c r="T13" s="154">
        <f t="shared" si="2"/>
        <v>6542.64</v>
      </c>
      <c r="U13" s="154">
        <f t="shared" ref="U13:AC13" si="21">T13*(1+$S13)</f>
        <v>7066.0512000000008</v>
      </c>
      <c r="V13" s="154">
        <f t="shared" si="21"/>
        <v>7631.3352960000011</v>
      </c>
      <c r="W13" s="154">
        <f t="shared" si="21"/>
        <v>8241.8421196800009</v>
      </c>
      <c r="X13" s="154">
        <f t="shared" si="21"/>
        <v>8901.1894892544024</v>
      </c>
      <c r="Y13" s="154">
        <f t="shared" si="21"/>
        <v>9613.284648394756</v>
      </c>
      <c r="Z13" s="154">
        <f t="shared" si="21"/>
        <v>10382.347420266336</v>
      </c>
      <c r="AA13" s="154">
        <f t="shared" si="21"/>
        <v>11212.935213887644</v>
      </c>
      <c r="AB13" s="154">
        <f t="shared" si="21"/>
        <v>12109.970030998657</v>
      </c>
      <c r="AC13" s="154">
        <f t="shared" si="21"/>
        <v>13078.76763347855</v>
      </c>
      <c r="AD13" s="138">
        <f t="shared" si="17"/>
        <v>2.9289688930004276E-2</v>
      </c>
      <c r="AE13" s="31">
        <f t="shared" si="15"/>
        <v>0.05</v>
      </c>
      <c r="AF13" s="146">
        <f t="shared" si="1"/>
        <v>80780.623618543992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f t="shared" si="20"/>
        <v>275</v>
      </c>
      <c r="H14" s="147"/>
      <c r="I14" s="147">
        <v>275</v>
      </c>
      <c r="J14" s="147">
        <v>317</v>
      </c>
      <c r="K14" s="147">
        <v>366</v>
      </c>
      <c r="L14" s="147">
        <v>372</v>
      </c>
      <c r="M14" s="147">
        <v>458</v>
      </c>
      <c r="N14" s="147">
        <v>576</v>
      </c>
      <c r="O14" s="147">
        <v>703</v>
      </c>
      <c r="P14" s="147">
        <v>644</v>
      </c>
      <c r="Q14" s="214">
        <f>P14</f>
        <v>644</v>
      </c>
      <c r="R14" s="118">
        <f>((Q14/G14)^(1/($H$2-$H$1) ))-1</f>
        <v>9.9161387744174379E-2</v>
      </c>
      <c r="S14" s="31">
        <f t="shared" si="5"/>
        <v>0.08</v>
      </c>
      <c r="T14" s="154">
        <f t="shared" si="2"/>
        <v>695.5200000000001</v>
      </c>
      <c r="U14" s="154">
        <f t="shared" ref="U14" si="22">T14*(1+$S14)</f>
        <v>751.16160000000013</v>
      </c>
      <c r="V14" s="154">
        <f t="shared" ref="V14" si="23">U14*(1+$S14)</f>
        <v>811.25452800000016</v>
      </c>
      <c r="W14" s="154">
        <f t="shared" ref="W14" si="24">V14*(1+$S14)</f>
        <v>876.15489024000021</v>
      </c>
      <c r="X14" s="154">
        <f t="shared" ref="X14" si="25">W14*(1+$S14)</f>
        <v>946.24728145920028</v>
      </c>
      <c r="Y14" s="154">
        <f t="shared" ref="Y14" si="26">X14*(1+$S14)</f>
        <v>1021.9470639759363</v>
      </c>
      <c r="Z14" s="154">
        <f t="shared" ref="Z14" si="27">Y14*(1+$S14)</f>
        <v>1103.7028290940113</v>
      </c>
      <c r="AA14" s="154">
        <f t="shared" ref="AA14" si="28">Z14*(1+$S14)</f>
        <v>1191.9990554215324</v>
      </c>
      <c r="AB14" s="154">
        <f t="shared" ref="AB14" si="29">AA14*(1+$S14)</f>
        <v>1287.358979855255</v>
      </c>
      <c r="AC14" s="154">
        <f t="shared" ref="AC14" si="30">AB14*(1+$S14)</f>
        <v>1390.3476982436755</v>
      </c>
      <c r="AD14" s="138">
        <f t="shared" ref="AD14" si="31">((AC14/G14)^(1/($AC$3-$H$1) ))-1</f>
        <v>8.4400068694117758E-2</v>
      </c>
      <c r="AE14" s="31">
        <f t="shared" si="15"/>
        <v>0.05</v>
      </c>
      <c r="AF14" s="146">
        <f t="shared" ref="AF14" si="32">(AC14*(1+AE14))/($C$1-AE14)</f>
        <v>8587.4416656227022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f t="shared" si="20"/>
        <v>985</v>
      </c>
      <c r="H15" s="147"/>
      <c r="I15" s="147">
        <v>985</v>
      </c>
      <c r="J15" s="147">
        <v>1423</v>
      </c>
      <c r="K15" s="147">
        <v>690</v>
      </c>
      <c r="L15" s="147">
        <v>795</v>
      </c>
      <c r="M15" s="147">
        <v>836</v>
      </c>
      <c r="N15" s="147">
        <v>1092</v>
      </c>
      <c r="O15" s="147">
        <v>2765</v>
      </c>
      <c r="P15" s="147">
        <v>1945</v>
      </c>
      <c r="Q15" s="214">
        <f>P15</f>
        <v>1945</v>
      </c>
      <c r="R15" s="118">
        <f>((Q15/G15)^(1/($H$2-$H$1) ))-1</f>
        <v>7.8528153202721995E-2</v>
      </c>
      <c r="S15" s="31">
        <f t="shared" si="5"/>
        <v>0.08</v>
      </c>
      <c r="T15" s="154">
        <f t="shared" si="2"/>
        <v>2100.6000000000004</v>
      </c>
      <c r="U15" s="154">
        <f t="shared" ref="U15:AC15" si="33">T15*(1+$S15)</f>
        <v>2268.6480000000006</v>
      </c>
      <c r="V15" s="154">
        <f t="shared" si="33"/>
        <v>2450.1398400000007</v>
      </c>
      <c r="W15" s="154">
        <f t="shared" si="33"/>
        <v>2646.151027200001</v>
      </c>
      <c r="X15" s="154">
        <f t="shared" si="33"/>
        <v>2857.8431093760014</v>
      </c>
      <c r="Y15" s="154">
        <f t="shared" si="33"/>
        <v>3086.4705581260819</v>
      </c>
      <c r="Z15" s="154">
        <f t="shared" si="33"/>
        <v>3333.3882027761688</v>
      </c>
      <c r="AA15" s="154">
        <f t="shared" si="33"/>
        <v>3600.0592589982625</v>
      </c>
      <c r="AB15" s="154">
        <f t="shared" si="33"/>
        <v>3888.0639997181238</v>
      </c>
      <c r="AC15" s="154">
        <f t="shared" si="33"/>
        <v>4199.109119695574</v>
      </c>
      <c r="AD15" s="138">
        <f t="shared" si="17"/>
        <v>7.5192054866199731E-2</v>
      </c>
      <c r="AE15" s="31">
        <f t="shared" si="15"/>
        <v>0.05</v>
      </c>
      <c r="AF15" s="146">
        <f t="shared" si="1"/>
        <v>25935.673974590314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f t="shared" si="20"/>
        <v>1262</v>
      </c>
      <c r="H16" s="147"/>
      <c r="I16" s="147">
        <v>1262</v>
      </c>
      <c r="J16" s="147">
        <v>3392</v>
      </c>
      <c r="K16" s="147">
        <v>-212</v>
      </c>
      <c r="L16" s="147">
        <v>-218</v>
      </c>
      <c r="M16" s="147">
        <v>-1300</v>
      </c>
      <c r="N16" s="147">
        <v>-1133</v>
      </c>
      <c r="O16" s="147">
        <v>-229</v>
      </c>
      <c r="P16" s="147">
        <v>-544</v>
      </c>
      <c r="Q16" s="214">
        <f>P16</f>
        <v>-544</v>
      </c>
      <c r="R16" s="118">
        <f>((Q16/G16)^(1/($H$2-$H$1) ))-1</f>
        <v>-1.9107376332724089</v>
      </c>
      <c r="S16" s="31">
        <f t="shared" si="5"/>
        <v>0.08</v>
      </c>
      <c r="T16" s="154">
        <f t="shared" si="2"/>
        <v>-587.52</v>
      </c>
      <c r="U16" s="154">
        <f t="shared" ref="U16:AC16" si="34">T16*(1+$S16)</f>
        <v>-634.52160000000003</v>
      </c>
      <c r="V16" s="154">
        <f t="shared" si="34"/>
        <v>-685.2833280000001</v>
      </c>
      <c r="W16" s="154">
        <f t="shared" si="34"/>
        <v>-740.1059942400002</v>
      </c>
      <c r="X16" s="154">
        <f t="shared" si="34"/>
        <v>-799.31447377920028</v>
      </c>
      <c r="Y16" s="154">
        <f t="shared" si="34"/>
        <v>-863.25963168153635</v>
      </c>
      <c r="Z16" s="154">
        <f t="shared" si="34"/>
        <v>-932.32040221605928</v>
      </c>
      <c r="AA16" s="154">
        <f t="shared" si="34"/>
        <v>-1006.906034393344</v>
      </c>
      <c r="AB16" s="154">
        <f t="shared" si="34"/>
        <v>-1087.4585171448116</v>
      </c>
      <c r="AC16" s="154">
        <f t="shared" si="34"/>
        <v>-1174.4551985163966</v>
      </c>
      <c r="AD16" s="138" t="e">
        <f t="shared" si="17"/>
        <v>#NUM!</v>
      </c>
      <c r="AE16" s="31">
        <f t="shared" si="15"/>
        <v>0.05</v>
      </c>
      <c r="AF16" s="146">
        <f t="shared" si="1"/>
        <v>-7253.9879908365683</v>
      </c>
    </row>
    <row r="17" spans="2:32" x14ac:dyDescent="0.2">
      <c r="B17" s="20"/>
      <c r="C17" s="141"/>
      <c r="D17" s="141"/>
      <c r="E17" s="147"/>
      <c r="F17" s="147"/>
      <c r="G17" s="147">
        <f t="shared" si="20"/>
        <v>0</v>
      </c>
      <c r="H17" s="147"/>
      <c r="I17" s="147"/>
      <c r="J17" s="147"/>
      <c r="K17" s="147"/>
      <c r="L17" s="147"/>
      <c r="M17" s="147"/>
      <c r="N17" s="147"/>
      <c r="O17" s="147"/>
      <c r="P17" s="147"/>
      <c r="Q17" s="214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f t="shared" si="20"/>
        <v>1232</v>
      </c>
      <c r="H18" s="147"/>
      <c r="I18" s="147">
        <v>1232</v>
      </c>
      <c r="J18" s="147">
        <v>1470</v>
      </c>
      <c r="K18" s="147">
        <v>1585</v>
      </c>
      <c r="L18" s="147">
        <v>1913</v>
      </c>
      <c r="M18" s="147">
        <v>1812</v>
      </c>
      <c r="N18" s="147">
        <v>1855</v>
      </c>
      <c r="O18" s="147">
        <v>1949</v>
      </c>
      <c r="P18" s="147">
        <v>2355</v>
      </c>
      <c r="Q18" s="214">
        <f>P18</f>
        <v>2355</v>
      </c>
      <c r="R18" s="118">
        <f>((Q18/G18)^(1/($H$2-$H$1) ))-1</f>
        <v>7.4643625889652565E-2</v>
      </c>
      <c r="S18" s="31">
        <f t="shared" si="5"/>
        <v>0.08</v>
      </c>
      <c r="T18" s="154">
        <f t="shared" si="2"/>
        <v>2543.4</v>
      </c>
      <c r="U18" s="154">
        <f t="shared" ref="U18:U34" si="35">T18*(1+$S18)</f>
        <v>2746.8720000000003</v>
      </c>
      <c r="V18" s="154">
        <f t="shared" ref="V18:V34" si="36">U18*(1+$S18)</f>
        <v>2966.6217600000004</v>
      </c>
      <c r="W18" s="154">
        <f t="shared" ref="W18:W34" si="37">V18*(1+$S18)</f>
        <v>3203.9515008000008</v>
      </c>
      <c r="X18" s="154">
        <f t="shared" ref="X18:X36" si="38">W18*(1+$S18)</f>
        <v>3460.2676208640009</v>
      </c>
      <c r="Y18" s="154">
        <f t="shared" ref="Y18:Y36" si="39">X18*(1+$S18)</f>
        <v>3737.0890305331213</v>
      </c>
      <c r="Z18" s="154">
        <f t="shared" ref="Z18:Z36" si="40">Y18*(1+$S18)</f>
        <v>4036.0561529757715</v>
      </c>
      <c r="AA18" s="154">
        <f t="shared" ref="AA18:AA36" si="41">Z18*(1+$S18)</f>
        <v>4358.9406452138337</v>
      </c>
      <c r="AB18" s="154">
        <f t="shared" ref="AB18:AB36" si="42">AA18*(1+$S18)</f>
        <v>4707.6558968309409</v>
      </c>
      <c r="AC18" s="154">
        <f t="shared" ref="AC18:AC36" si="43">AB18*(1+$S18)</f>
        <v>5084.2683685774164</v>
      </c>
      <c r="AD18" s="138">
        <f t="shared" si="17"/>
        <v>7.3447695361658738E-2</v>
      </c>
      <c r="AE18" s="31">
        <f t="shared" si="15"/>
        <v>0.05</v>
      </c>
      <c r="AF18" s="146">
        <f t="shared" si="1"/>
        <v>31402.834041213457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214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>
        <f t="shared" si="20"/>
        <v>1072</v>
      </c>
      <c r="H20" s="147"/>
      <c r="I20" s="147">
        <v>1072</v>
      </c>
      <c r="J20" s="147">
        <v>682</v>
      </c>
      <c r="K20" s="147"/>
      <c r="L20" s="147">
        <v>411</v>
      </c>
      <c r="M20" s="147">
        <v>2737</v>
      </c>
      <c r="N20" s="147">
        <v>2013</v>
      </c>
      <c r="O20" s="147">
        <v>2959</v>
      </c>
      <c r="P20" s="147">
        <v>2134</v>
      </c>
      <c r="Q20" s="214">
        <f>P20</f>
        <v>2134</v>
      </c>
      <c r="R20" s="118">
        <f>((Q20/G20)^(1/($H$2-$H$1) ))-1</f>
        <v>7.9498842713820572E-2</v>
      </c>
      <c r="S20" s="31">
        <f t="shared" si="5"/>
        <v>0.08</v>
      </c>
      <c r="T20" s="154">
        <f t="shared" si="2"/>
        <v>2304.7200000000003</v>
      </c>
      <c r="U20" s="154">
        <f t="shared" ref="U20:U22" si="44">T20*(1+$S20)</f>
        <v>2489.0976000000005</v>
      </c>
      <c r="V20" s="154">
        <f t="shared" ref="V20:V22" si="45">U20*(1+$S20)</f>
        <v>2688.2254080000007</v>
      </c>
      <c r="W20" s="154">
        <f t="shared" ref="W20:W22" si="46">V20*(1+$S20)</f>
        <v>2903.2834406400011</v>
      </c>
      <c r="X20" s="154">
        <f t="shared" ref="X20:X22" si="47">W20*(1+$S20)</f>
        <v>3135.5461158912012</v>
      </c>
      <c r="Y20" s="154">
        <f t="shared" ref="Y20:Y22" si="48">X20*(1+$S20)</f>
        <v>3386.3898051624974</v>
      </c>
      <c r="Z20" s="154">
        <f t="shared" ref="Z20:Z22" si="49">Y20*(1+$S20)</f>
        <v>3657.3009895754976</v>
      </c>
      <c r="AA20" s="154">
        <f t="shared" ref="AA20:AA22" si="50">Z20*(1+$S20)</f>
        <v>3949.8850687415379</v>
      </c>
      <c r="AB20" s="154">
        <f t="shared" ref="AB20:AB22" si="51">AA20*(1+$S20)</f>
        <v>4265.8758742408609</v>
      </c>
      <c r="AC20" s="154">
        <f t="shared" ref="AC20:AC22" si="52">AB20*(1+$S20)</f>
        <v>4607.1459441801298</v>
      </c>
      <c r="AD20" s="138">
        <f t="shared" ref="AD20:AD22" si="53">((AC20/G20)^(1/($AC$3-$H$1) ))-1</f>
        <v>7.5627406279017428E-2</v>
      </c>
      <c r="AE20" s="31">
        <f t="shared" si="15"/>
        <v>0.05</v>
      </c>
      <c r="AF20" s="146">
        <f t="shared" si="1"/>
        <v>28455.901419936101</v>
      </c>
    </row>
    <row r="21" spans="2:32" x14ac:dyDescent="0.2">
      <c r="B21" s="20" t="s">
        <v>284</v>
      </c>
      <c r="C21" s="141"/>
      <c r="D21" s="141"/>
      <c r="E21" s="147"/>
      <c r="F21" s="147"/>
      <c r="G21" s="147">
        <f t="shared" si="20"/>
        <v>-1087</v>
      </c>
      <c r="H21" s="147"/>
      <c r="I21" s="147">
        <v>-1087</v>
      </c>
      <c r="J21" s="147">
        <v>-430</v>
      </c>
      <c r="K21" s="147"/>
      <c r="L21" s="147">
        <v>-207</v>
      </c>
      <c r="M21" s="147">
        <v>-2163</v>
      </c>
      <c r="N21" s="147">
        <v>-1096</v>
      </c>
      <c r="O21" s="147">
        <v>-445</v>
      </c>
      <c r="P21" s="147">
        <v>-1277</v>
      </c>
      <c r="Q21" s="214">
        <f>P21</f>
        <v>-1277</v>
      </c>
      <c r="R21" s="118">
        <f>((Q21/G21)^(1/($H$2-$H$1) ))-1</f>
        <v>1.8060256723261947E-2</v>
      </c>
      <c r="S21" s="31">
        <f t="shared" si="5"/>
        <v>0.08</v>
      </c>
      <c r="T21" s="154">
        <f t="shared" si="2"/>
        <v>-1379.16</v>
      </c>
      <c r="U21" s="154">
        <f t="shared" si="44"/>
        <v>-1489.4928000000002</v>
      </c>
      <c r="V21" s="154">
        <f t="shared" si="45"/>
        <v>-1608.6522240000004</v>
      </c>
      <c r="W21" s="154">
        <f t="shared" si="46"/>
        <v>-1737.3444019200006</v>
      </c>
      <c r="X21" s="154">
        <f t="shared" si="47"/>
        <v>-1876.3319540736006</v>
      </c>
      <c r="Y21" s="154">
        <f t="shared" si="48"/>
        <v>-2026.4385103994889</v>
      </c>
      <c r="Z21" s="154">
        <f t="shared" si="49"/>
        <v>-2188.5535912314481</v>
      </c>
      <c r="AA21" s="154">
        <f t="shared" si="50"/>
        <v>-2363.6378785299639</v>
      </c>
      <c r="AB21" s="154">
        <f t="shared" si="51"/>
        <v>-2552.7289088123612</v>
      </c>
      <c r="AC21" s="154">
        <f t="shared" si="52"/>
        <v>-2756.94722151735</v>
      </c>
      <c r="AD21" s="138">
        <f t="shared" si="53"/>
        <v>4.7634870325784728E-2</v>
      </c>
      <c r="AE21" s="31">
        <f t="shared" si="15"/>
        <v>0.05</v>
      </c>
      <c r="AF21" s="146">
        <f t="shared" si="1"/>
        <v>-17028.203427018929</v>
      </c>
    </row>
    <row r="22" spans="2:32" x14ac:dyDescent="0.2">
      <c r="B22" s="20" t="s">
        <v>285</v>
      </c>
      <c r="C22" s="141"/>
      <c r="D22" s="141"/>
      <c r="E22" s="147"/>
      <c r="F22" s="147"/>
      <c r="G22" s="147">
        <f t="shared" si="20"/>
        <v>-12</v>
      </c>
      <c r="H22" s="147"/>
      <c r="I22" s="147">
        <v>-12</v>
      </c>
      <c r="J22" s="147">
        <v>-250</v>
      </c>
      <c r="K22" s="147"/>
      <c r="L22" s="147">
        <v>-123</v>
      </c>
      <c r="M22" s="147">
        <v>-609</v>
      </c>
      <c r="N22" s="147">
        <v>-862</v>
      </c>
      <c r="O22" s="147">
        <v>-1564</v>
      </c>
      <c r="P22" s="147">
        <v>-1479</v>
      </c>
      <c r="Q22" s="214">
        <f>P22</f>
        <v>-1479</v>
      </c>
      <c r="R22" s="118">
        <f>((Q22/G22)^(1/($H$2-$H$1) ))-1</f>
        <v>0.70729928583036394</v>
      </c>
      <c r="S22" s="31">
        <f t="shared" si="5"/>
        <v>0.08</v>
      </c>
      <c r="T22" s="154">
        <f t="shared" si="2"/>
        <v>-1597.3200000000002</v>
      </c>
      <c r="U22" s="154">
        <f t="shared" si="44"/>
        <v>-1725.1056000000003</v>
      </c>
      <c r="V22" s="154">
        <f t="shared" si="45"/>
        <v>-1863.1140480000004</v>
      </c>
      <c r="W22" s="154">
        <f t="shared" si="46"/>
        <v>-2012.1631718400006</v>
      </c>
      <c r="X22" s="154">
        <f t="shared" si="47"/>
        <v>-2173.1362255872009</v>
      </c>
      <c r="Y22" s="154">
        <f t="shared" si="48"/>
        <v>-2346.9871236341769</v>
      </c>
      <c r="Z22" s="154">
        <f t="shared" si="49"/>
        <v>-2534.7460935249114</v>
      </c>
      <c r="AA22" s="154">
        <f t="shared" si="50"/>
        <v>-2737.5257810069047</v>
      </c>
      <c r="AB22" s="154">
        <f t="shared" si="51"/>
        <v>-2956.5278434874572</v>
      </c>
      <c r="AC22" s="154">
        <f t="shared" si="52"/>
        <v>-3193.0500709664539</v>
      </c>
      <c r="AD22" s="138">
        <f t="shared" si="53"/>
        <v>0.32206017852503255</v>
      </c>
      <c r="AE22" s="31">
        <f t="shared" si="15"/>
        <v>0.05</v>
      </c>
      <c r="AF22" s="146">
        <f t="shared" si="1"/>
        <v>-19721.779850086925</v>
      </c>
    </row>
    <row r="23" spans="2:32" x14ac:dyDescent="0.2">
      <c r="B23" s="20" t="s">
        <v>295</v>
      </c>
      <c r="C23" s="141"/>
      <c r="D23" s="141"/>
      <c r="E23" s="147"/>
      <c r="F23" s="147"/>
      <c r="G23" s="147">
        <f t="shared" ref="G23:G25" si="54">I23</f>
        <v>82</v>
      </c>
      <c r="H23" s="147"/>
      <c r="I23" s="147">
        <v>82</v>
      </c>
      <c r="J23" s="147">
        <v>83</v>
      </c>
      <c r="K23" s="147"/>
      <c r="L23" s="147">
        <v>136</v>
      </c>
      <c r="M23" s="147">
        <v>101</v>
      </c>
      <c r="N23" s="147">
        <v>156</v>
      </c>
      <c r="O23" s="147">
        <v>1178</v>
      </c>
      <c r="P23" s="147">
        <v>550</v>
      </c>
      <c r="Q23" s="214">
        <f>P23</f>
        <v>550</v>
      </c>
      <c r="R23" s="118">
        <f>((Q23/G23)^(1/($H$2-$H$1) ))-1</f>
        <v>0.23548864895677823</v>
      </c>
      <c r="S23" s="31">
        <f t="shared" si="5"/>
        <v>0.08</v>
      </c>
      <c r="T23" s="154">
        <f t="shared" si="2"/>
        <v>594</v>
      </c>
      <c r="U23" s="154">
        <f t="shared" ref="U23" si="55">T23*(1+$S23)</f>
        <v>641.5200000000001</v>
      </c>
      <c r="V23" s="154">
        <f t="shared" ref="V23" si="56">U23*(1+$S23)</f>
        <v>692.8416000000002</v>
      </c>
      <c r="W23" s="154">
        <f t="shared" ref="W23" si="57">V23*(1+$S23)</f>
        <v>748.2689280000003</v>
      </c>
      <c r="X23" s="154">
        <f t="shared" ref="X23" si="58">W23*(1+$S23)</f>
        <v>808.13044224000043</v>
      </c>
      <c r="Y23" s="154">
        <f t="shared" ref="Y23" si="59">X23*(1+$S23)</f>
        <v>872.78087761920051</v>
      </c>
      <c r="Z23" s="154">
        <f t="shared" ref="Z23" si="60">Y23*(1+$S23)</f>
        <v>942.60334782873656</v>
      </c>
      <c r="AA23" s="154">
        <f t="shared" ref="AA23" si="61">Z23*(1+$S23)</f>
        <v>1018.0116156550356</v>
      </c>
      <c r="AB23" s="154">
        <f t="shared" ref="AB23" si="62">AA23*(1+$S23)</f>
        <v>1099.4525449074386</v>
      </c>
      <c r="AC23" s="154">
        <f t="shared" ref="AC23" si="63">AB23*(1+$S23)</f>
        <v>1187.4087485000337</v>
      </c>
      <c r="AD23" s="138">
        <f t="shared" ref="AD23" si="64">((AC23/G23)^(1/($AC$3-$H$1) ))-1</f>
        <v>0.14298181193261583</v>
      </c>
      <c r="AE23" s="31">
        <f t="shared" si="15"/>
        <v>0.05</v>
      </c>
      <c r="AF23" s="146">
        <f t="shared" si="1"/>
        <v>7333.9952113237377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214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f t="shared" si="54"/>
        <v>8074</v>
      </c>
      <c r="H25" s="147"/>
      <c r="I25" s="147">
        <v>8074</v>
      </c>
      <c r="J25" s="147">
        <v>10023</v>
      </c>
      <c r="K25" s="147">
        <v>9057</v>
      </c>
      <c r="L25" s="147">
        <v>8674</v>
      </c>
      <c r="M25" s="147">
        <v>11942</v>
      </c>
      <c r="N25" s="147">
        <v>17860</v>
      </c>
      <c r="O25" s="147">
        <v>20140</v>
      </c>
      <c r="P25" s="147">
        <v>20806</v>
      </c>
      <c r="Q25" s="214">
        <f>20158+681</f>
        <v>20839</v>
      </c>
      <c r="R25" s="118">
        <f>((Q25/G25)^(1/($H$2-$H$1) ))-1</f>
        <v>0.11110278617165226</v>
      </c>
      <c r="S25" s="31">
        <f t="shared" si="5"/>
        <v>0.08</v>
      </c>
      <c r="T25" s="154">
        <f t="shared" si="2"/>
        <v>22506.120000000003</v>
      </c>
      <c r="U25" s="154">
        <f t="shared" si="35"/>
        <v>24306.609600000003</v>
      </c>
      <c r="V25" s="154">
        <f t="shared" si="36"/>
        <v>26251.138368000007</v>
      </c>
      <c r="W25" s="154">
        <f t="shared" si="37"/>
        <v>28351.229437440008</v>
      </c>
      <c r="X25" s="154">
        <f t="shared" si="38"/>
        <v>30619.327792435211</v>
      </c>
      <c r="Y25" s="154">
        <f t="shared" si="39"/>
        <v>33068.874015830028</v>
      </c>
      <c r="Z25" s="154">
        <f t="shared" si="40"/>
        <v>35714.383937096434</v>
      </c>
      <c r="AA25" s="154">
        <f t="shared" si="41"/>
        <v>38571.534652064154</v>
      </c>
      <c r="AB25" s="154">
        <f t="shared" si="42"/>
        <v>41657.25742422929</v>
      </c>
      <c r="AC25" s="154">
        <f t="shared" si="43"/>
        <v>44989.838018167633</v>
      </c>
      <c r="AD25" s="138">
        <f t="shared" si="17"/>
        <v>8.9685781687455668E-2</v>
      </c>
      <c r="AE25" s="31">
        <f t="shared" si="15"/>
        <v>0.05</v>
      </c>
      <c r="AF25" s="146">
        <f t="shared" si="1"/>
        <v>277878.41128868249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 t="e">
        <f>(H25-G25)/H25</f>
        <v>#DIV/0!</v>
      </c>
      <c r="I26" s="148">
        <f t="shared" ref="I26" si="65">(I25-H25)/I25</f>
        <v>1</v>
      </c>
      <c r="J26" s="148">
        <f t="shared" ref="J26" si="66">(J25-I25)/J25</f>
        <v>0.19445275865509329</v>
      </c>
      <c r="K26" s="148">
        <f t="shared" ref="K26" si="67">(K25-J25)/K25</f>
        <v>-0.10665783371977476</v>
      </c>
      <c r="L26" s="148">
        <f t="shared" ref="L26" si="68">(L25-K25)/L25</f>
        <v>-4.4154945815079547E-2</v>
      </c>
      <c r="M26" s="148">
        <f t="shared" ref="M26" si="69">(M25-L25)/M25</f>
        <v>0.27365600401942725</v>
      </c>
      <c r="N26" s="148">
        <f t="shared" ref="N26" si="70">(N25-M25)/N25</f>
        <v>0.33135498320268758</v>
      </c>
      <c r="O26" s="148">
        <f t="shared" ref="O26" si="71">(O25-N25)/O25</f>
        <v>0.11320754716981132</v>
      </c>
      <c r="P26" s="148">
        <f t="shared" ref="P26:Q26" si="72">(P25-O25)/P25</f>
        <v>3.2009997116216479E-2</v>
      </c>
      <c r="Q26" s="216">
        <f t="shared" si="72"/>
        <v>1.5835692691587887E-3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f>I27</f>
        <v>6342</v>
      </c>
      <c r="H27" s="147"/>
      <c r="I27" s="147">
        <v>6342</v>
      </c>
      <c r="J27" s="147">
        <v>8097</v>
      </c>
      <c r="K27" s="147">
        <v>7840</v>
      </c>
      <c r="L27" s="147">
        <v>7653</v>
      </c>
      <c r="M27" s="147">
        <v>9419</v>
      </c>
      <c r="N27" s="147">
        <v>13338</v>
      </c>
      <c r="O27" s="147">
        <v>15958</v>
      </c>
      <c r="P27" s="147">
        <v>16363</v>
      </c>
      <c r="Q27" s="214">
        <v>16184</v>
      </c>
      <c r="R27" s="118">
        <f>((Q27/G27)^(1/($H$2-$H$1) ))-1</f>
        <v>0.10970265675196211</v>
      </c>
      <c r="S27" s="31">
        <f t="shared" si="5"/>
        <v>0.08</v>
      </c>
      <c r="T27" s="154">
        <f t="shared" si="2"/>
        <v>17478.72</v>
      </c>
      <c r="U27" s="154">
        <f t="shared" si="35"/>
        <v>18877.017600000003</v>
      </c>
      <c r="V27" s="154">
        <f t="shared" si="36"/>
        <v>20387.179008000003</v>
      </c>
      <c r="W27" s="154">
        <f t="shared" si="37"/>
        <v>22018.153328640004</v>
      </c>
      <c r="X27" s="154">
        <f t="shared" si="38"/>
        <v>23779.605594931207</v>
      </c>
      <c r="Y27" s="154">
        <f t="shared" si="39"/>
        <v>25681.974042525704</v>
      </c>
      <c r="Z27" s="154">
        <f t="shared" si="40"/>
        <v>27736.531965927763</v>
      </c>
      <c r="AA27" s="154">
        <f t="shared" si="41"/>
        <v>29955.454523201985</v>
      </c>
      <c r="AB27" s="154">
        <f t="shared" si="42"/>
        <v>32351.890885058147</v>
      </c>
      <c r="AC27" s="154">
        <f t="shared" si="43"/>
        <v>34940.0421558628</v>
      </c>
      <c r="AD27" s="138">
        <f t="shared" si="17"/>
        <v>8.9067653835725347E-2</v>
      </c>
      <c r="AE27" s="31">
        <f t="shared" si="15"/>
        <v>0.05</v>
      </c>
      <c r="AF27" s="146">
        <f t="shared" si="1"/>
        <v>215806.14272738792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M28" si="73">(G27-F27)/G27</f>
        <v>1</v>
      </c>
      <c r="H28" s="148" t="e">
        <f t="shared" si="73"/>
        <v>#DIV/0!</v>
      </c>
      <c r="I28" s="148">
        <f t="shared" si="73"/>
        <v>1</v>
      </c>
      <c r="J28" s="148">
        <f t="shared" si="73"/>
        <v>0.2167469433123379</v>
      </c>
      <c r="K28" s="148">
        <f t="shared" si="73"/>
        <v>-3.2780612244897957E-2</v>
      </c>
      <c r="L28" s="148">
        <f t="shared" si="73"/>
        <v>-2.443486214556383E-2</v>
      </c>
      <c r="M28" s="148">
        <f t="shared" si="73"/>
        <v>0.18749336447605902</v>
      </c>
      <c r="N28" s="148">
        <f t="shared" ref="N28" si="74">(N27-M27)/N27</f>
        <v>0.29382216224321489</v>
      </c>
      <c r="O28" s="148">
        <f t="shared" ref="O28" si="75">(O27-N27)/O27</f>
        <v>0.16418097505953128</v>
      </c>
      <c r="P28" s="148">
        <f t="shared" ref="P28:Q28" si="76">(P27-O27)/P27</f>
        <v>2.475096253743201E-2</v>
      </c>
      <c r="Q28" s="216">
        <f t="shared" si="76"/>
        <v>-1.1060306475531389E-2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f>I29</f>
        <v>0.34</v>
      </c>
      <c r="H29" s="147"/>
      <c r="I29" s="147">
        <v>0.34</v>
      </c>
      <c r="J29" s="147">
        <v>5</v>
      </c>
      <c r="K29" s="147">
        <v>5.16</v>
      </c>
      <c r="L29" s="147">
        <v>22</v>
      </c>
      <c r="M29" s="147">
        <v>7</v>
      </c>
      <c r="N29" s="147">
        <v>2</v>
      </c>
      <c r="O29" s="147">
        <v>23</v>
      </c>
      <c r="P29" s="147">
        <v>2</v>
      </c>
      <c r="Q29" s="214">
        <f>P29</f>
        <v>2</v>
      </c>
      <c r="R29" s="118">
        <f>((Q29/G29)^(1/($H$2-$H$1) ))-1</f>
        <v>0.21760290449414588</v>
      </c>
      <c r="S29" s="31">
        <f t="shared" si="5"/>
        <v>0.08</v>
      </c>
      <c r="T29" s="154">
        <f t="shared" si="2"/>
        <v>2.16</v>
      </c>
      <c r="U29" s="154">
        <f t="shared" ref="U29" si="77">T29*(1+$S29)</f>
        <v>2.3328000000000002</v>
      </c>
      <c r="V29" s="154">
        <f t="shared" ref="V29" si="78">U29*(1+$S29)</f>
        <v>2.5194240000000003</v>
      </c>
      <c r="W29" s="154">
        <f t="shared" ref="W29" si="79">V29*(1+$S29)</f>
        <v>2.7209779200000006</v>
      </c>
      <c r="X29" s="154">
        <f t="shared" ref="X29" si="80">W29*(1+$S29)</f>
        <v>2.9386561536000007</v>
      </c>
      <c r="Y29" s="154">
        <f t="shared" ref="Y29" si="81">X29*(1+$S29)</f>
        <v>3.1737486458880011</v>
      </c>
      <c r="Z29" s="154">
        <f t="shared" ref="Z29" si="82">Y29*(1+$S29)</f>
        <v>3.4276485375590413</v>
      </c>
      <c r="AA29" s="154">
        <f t="shared" ref="AA29" si="83">Z29*(1+$S29)</f>
        <v>3.7018604205637651</v>
      </c>
      <c r="AB29" s="154">
        <f t="shared" ref="AB29" si="84">AA29*(1+$S29)</f>
        <v>3.9980092542088665</v>
      </c>
      <c r="AC29" s="154">
        <f t="shared" ref="AC29" si="85">AB29*(1+$S29)</f>
        <v>4.3178499945455764</v>
      </c>
      <c r="AD29" s="138">
        <f t="shared" ref="AD29" si="86">((AC29/G29)^(1/($AC$3-$H$1) ))-1</f>
        <v>0.13550599557072052</v>
      </c>
      <c r="AE29" s="31">
        <f t="shared" si="15"/>
        <v>0.05</v>
      </c>
      <c r="AF29" s="146">
        <f t="shared" ref="AF29" si="87">(AC29*(1+AE29))/($C$1-AE29)</f>
        <v>26.669073495722682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L30" si="88">(G29-F29)/G29</f>
        <v>1</v>
      </c>
      <c r="H30" s="148" t="e">
        <f t="shared" si="88"/>
        <v>#DIV/0!</v>
      </c>
      <c r="I30" s="148">
        <f t="shared" si="88"/>
        <v>1</v>
      </c>
      <c r="J30" s="148">
        <f t="shared" si="88"/>
        <v>0.93200000000000005</v>
      </c>
      <c r="K30" s="148">
        <f t="shared" si="88"/>
        <v>3.1007751937984523E-2</v>
      </c>
      <c r="L30" s="148">
        <f t="shared" si="88"/>
        <v>0.7654545454545455</v>
      </c>
      <c r="M30" s="148">
        <f t="shared" ref="M30" si="89">(M29-L29)/M29</f>
        <v>-2.1428571428571428</v>
      </c>
      <c r="N30" s="148">
        <f t="shared" ref="N30" si="90">(N29-M29)/N29</f>
        <v>-2.5</v>
      </c>
      <c r="O30" s="148">
        <f t="shared" ref="O30" si="91">(O29-N29)/O29</f>
        <v>0.91304347826086951</v>
      </c>
      <c r="P30" s="148">
        <f t="shared" ref="P30:Q30" si="92">(P29-O29)/P29</f>
        <v>-10.5</v>
      </c>
      <c r="Q30" s="216">
        <f t="shared" si="92"/>
        <v>0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214"/>
      <c r="R31" s="118" t="e">
        <f>((Q31/G31)^(1/($H$2-$H$1) ))-1</f>
        <v>#DIV/0!</v>
      </c>
      <c r="S31" s="31">
        <f t="shared" si="5"/>
        <v>0.08</v>
      </c>
      <c r="T31" s="154">
        <f t="shared" si="2"/>
        <v>0</v>
      </c>
      <c r="U31" s="154">
        <f>T31*(1+$S31)</f>
        <v>0</v>
      </c>
      <c r="V31" s="154">
        <f t="shared" ref="V31:AC32" si="93">U31*(1+$S31)</f>
        <v>0</v>
      </c>
      <c r="W31" s="154">
        <f t="shared" si="93"/>
        <v>0</v>
      </c>
      <c r="X31" s="154">
        <f t="shared" si="93"/>
        <v>0</v>
      </c>
      <c r="Y31" s="154">
        <f t="shared" si="93"/>
        <v>0</v>
      </c>
      <c r="Z31" s="154">
        <f t="shared" si="93"/>
        <v>0</v>
      </c>
      <c r="AA31" s="154">
        <f t="shared" si="93"/>
        <v>0</v>
      </c>
      <c r="AB31" s="154">
        <f t="shared" si="93"/>
        <v>0</v>
      </c>
      <c r="AC31" s="154">
        <f t="shared" si="93"/>
        <v>0</v>
      </c>
      <c r="AD31" s="138" t="e">
        <f t="shared" ref="AD31" si="94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214"/>
      <c r="R32" s="118" t="e">
        <f>((Q32/G32)^(1/($H$2-$H$1) ))-1</f>
        <v>#DIV/0!</v>
      </c>
      <c r="S32" s="31">
        <f t="shared" si="5"/>
        <v>0.08</v>
      </c>
      <c r="T32" s="154">
        <f t="shared" si="2"/>
        <v>0</v>
      </c>
      <c r="U32" s="154">
        <f>T32*(1+$S32)</f>
        <v>0</v>
      </c>
      <c r="V32" s="154">
        <f t="shared" si="93"/>
        <v>0</v>
      </c>
      <c r="W32" s="154">
        <f t="shared" si="93"/>
        <v>0</v>
      </c>
      <c r="X32" s="154">
        <f t="shared" si="93"/>
        <v>0</v>
      </c>
      <c r="Y32" s="154">
        <f t="shared" si="93"/>
        <v>0</v>
      </c>
      <c r="Z32" s="154">
        <f t="shared" si="93"/>
        <v>0</v>
      </c>
      <c r="AA32" s="154">
        <f t="shared" si="93"/>
        <v>0</v>
      </c>
      <c r="AB32" s="154">
        <f t="shared" si="93"/>
        <v>0</v>
      </c>
      <c r="AC32" s="154">
        <f t="shared" si="93"/>
        <v>0</v>
      </c>
      <c r="AD32" s="138" t="e">
        <f t="shared" ref="AD32" si="95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214"/>
      <c r="R33" s="118" t="e">
        <f>((Q33/G33)^(1/($H$2-$H$1) ))-1</f>
        <v>#DIV/0!</v>
      </c>
      <c r="S33" s="31">
        <f t="shared" si="5"/>
        <v>0.08</v>
      </c>
      <c r="T33" s="154">
        <f t="shared" si="2"/>
        <v>0</v>
      </c>
      <c r="U33" s="154">
        <f t="shared" si="35"/>
        <v>0</v>
      </c>
      <c r="V33" s="154">
        <f t="shared" si="36"/>
        <v>0</v>
      </c>
      <c r="W33" s="154">
        <f t="shared" si="37"/>
        <v>0</v>
      </c>
      <c r="X33" s="154">
        <f t="shared" si="38"/>
        <v>0</v>
      </c>
      <c r="Y33" s="154">
        <f t="shared" si="39"/>
        <v>0</v>
      </c>
      <c r="Z33" s="154">
        <f t="shared" si="40"/>
        <v>0</v>
      </c>
      <c r="AA33" s="154">
        <f t="shared" si="41"/>
        <v>0</v>
      </c>
      <c r="AB33" s="154">
        <f t="shared" si="42"/>
        <v>0</v>
      </c>
      <c r="AC33" s="154">
        <f t="shared" si="43"/>
        <v>0</v>
      </c>
      <c r="AD33" s="138" t="e">
        <f t="shared" si="17"/>
        <v>#DIV/0!</v>
      </c>
      <c r="AE33" s="31">
        <f t="shared" si="15"/>
        <v>0.05</v>
      </c>
      <c r="AF33" s="146">
        <f t="shared" si="1"/>
        <v>0</v>
      </c>
    </row>
    <row r="34" spans="2:32" x14ac:dyDescent="0.2">
      <c r="B34" s="20" t="s">
        <v>308</v>
      </c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214"/>
      <c r="R34" s="118" t="e">
        <f>((Q34/G34)^(1/($H$2-$H$1) ))-1</f>
        <v>#DIV/0!</v>
      </c>
      <c r="S34" s="31">
        <f t="shared" si="5"/>
        <v>0.08</v>
      </c>
      <c r="T34" s="154">
        <f t="shared" si="2"/>
        <v>0</v>
      </c>
      <c r="U34" s="154">
        <f t="shared" si="35"/>
        <v>0</v>
      </c>
      <c r="V34" s="154">
        <f t="shared" si="36"/>
        <v>0</v>
      </c>
      <c r="W34" s="154">
        <f t="shared" si="37"/>
        <v>0</v>
      </c>
      <c r="X34" s="154">
        <f t="shared" si="38"/>
        <v>0</v>
      </c>
      <c r="Y34" s="154">
        <f t="shared" si="39"/>
        <v>0</v>
      </c>
      <c r="Z34" s="154">
        <f t="shared" si="40"/>
        <v>0</v>
      </c>
      <c r="AA34" s="154">
        <f t="shared" si="41"/>
        <v>0</v>
      </c>
      <c r="AB34" s="154">
        <f t="shared" si="42"/>
        <v>0</v>
      </c>
      <c r="AC34" s="154">
        <f t="shared" si="43"/>
        <v>0</v>
      </c>
      <c r="AD34" s="138" t="e">
        <f t="shared" si="17"/>
        <v>#DIV/0!</v>
      </c>
      <c r="AE34" s="31">
        <f t="shared" si="15"/>
        <v>0.05</v>
      </c>
      <c r="AF34" s="146">
        <f t="shared" si="1"/>
        <v>0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214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f>I36</f>
        <v>1264</v>
      </c>
      <c r="H36" s="147"/>
      <c r="I36" s="147">
        <v>1264</v>
      </c>
      <c r="J36" s="147">
        <v>1293</v>
      </c>
      <c r="K36" s="147">
        <v>1055</v>
      </c>
      <c r="L36" s="147">
        <v>1030</v>
      </c>
      <c r="M36" s="147">
        <v>2465</v>
      </c>
      <c r="N36" s="147">
        <v>3242</v>
      </c>
      <c r="O36" s="147">
        <v>3709</v>
      </c>
      <c r="P36" s="147">
        <v>3645</v>
      </c>
      <c r="Q36" s="214">
        <f>P36</f>
        <v>3645</v>
      </c>
      <c r="R36" s="118">
        <f>((Q36/G36)^(1/($H$2-$H$1) ))-1</f>
        <v>0.12487847516771788</v>
      </c>
      <c r="S36" s="31">
        <f t="shared" si="5"/>
        <v>0.08</v>
      </c>
      <c r="T36" s="154">
        <f t="shared" si="2"/>
        <v>3936.6000000000004</v>
      </c>
      <c r="U36" s="154">
        <f t="shared" ref="U36" si="96">T36*(1+$S36)</f>
        <v>4251.5280000000002</v>
      </c>
      <c r="V36" s="154">
        <f t="shared" ref="V36" si="97">U36*(1+$S36)</f>
        <v>4591.6502400000008</v>
      </c>
      <c r="W36" s="154">
        <f t="shared" ref="W36" si="98">V36*(1+$S36)</f>
        <v>4958.982259200001</v>
      </c>
      <c r="X36" s="154">
        <f t="shared" si="38"/>
        <v>5355.7008399360011</v>
      </c>
      <c r="Y36" s="154">
        <f t="shared" si="39"/>
        <v>5784.1569071308813</v>
      </c>
      <c r="Z36" s="154">
        <f t="shared" si="40"/>
        <v>6246.8894597013523</v>
      </c>
      <c r="AA36" s="154">
        <f t="shared" si="41"/>
        <v>6746.6406164774608</v>
      </c>
      <c r="AB36" s="154">
        <f t="shared" si="42"/>
        <v>7286.3718657956579</v>
      </c>
      <c r="AC36" s="154">
        <f t="shared" si="43"/>
        <v>7869.2816150593108</v>
      </c>
      <c r="AD36" s="138">
        <f t="shared" si="17"/>
        <v>9.5744755466052656E-2</v>
      </c>
      <c r="AE36" s="31">
        <f t="shared" si="15"/>
        <v>0.05</v>
      </c>
      <c r="AF36" s="146">
        <f t="shared" si="1"/>
        <v>48604.386445954573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" si="99">(G36-F36)/G36</f>
        <v>1</v>
      </c>
      <c r="H37" s="148" t="e">
        <f t="shared" ref="H37" si="100">(H36-G36)/H36</f>
        <v>#DIV/0!</v>
      </c>
      <c r="I37" s="148">
        <f t="shared" ref="I37" si="101">(I36-H36)/I36</f>
        <v>1</v>
      </c>
      <c r="J37" s="148">
        <f t="shared" ref="J37" si="102">(J36-I36)/J36</f>
        <v>2.2428460943542151E-2</v>
      </c>
      <c r="K37" s="148">
        <f t="shared" ref="K37" si="103">(K36-J36)/K36</f>
        <v>-0.22559241706161137</v>
      </c>
      <c r="L37" s="148">
        <f t="shared" ref="L37" si="104">(L36-K36)/L36</f>
        <v>-2.4271844660194174E-2</v>
      </c>
      <c r="M37" s="148">
        <f t="shared" ref="M37" si="105">(M36-L36)/M36</f>
        <v>0.58215010141987833</v>
      </c>
      <c r="N37" s="148">
        <f t="shared" ref="N37" si="106">(N36-M36)/N36</f>
        <v>0.23966687230104874</v>
      </c>
      <c r="O37" s="148">
        <f t="shared" ref="O37" si="107">(O36-N36)/O36</f>
        <v>0.12590994877325426</v>
      </c>
      <c r="P37" s="148">
        <f t="shared" ref="P37:Q37" si="108">(P36-O36)/P36</f>
        <v>-1.7558299039780522E-2</v>
      </c>
      <c r="Q37" s="216">
        <f t="shared" si="108"/>
        <v>0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400</v>
      </c>
      <c r="C38" s="149"/>
      <c r="D38" s="149"/>
      <c r="E38" s="150"/>
      <c r="F38" s="150"/>
      <c r="G38" s="147">
        <f>I38</f>
        <v>1539</v>
      </c>
      <c r="H38" s="147"/>
      <c r="I38" s="147">
        <v>1539</v>
      </c>
      <c r="J38" s="147">
        <v>1730</v>
      </c>
      <c r="K38" s="147">
        <v>1036</v>
      </c>
      <c r="L38" s="147">
        <v>868</v>
      </c>
      <c r="M38" s="147">
        <v>2378</v>
      </c>
      <c r="N38" s="147">
        <v>4395</v>
      </c>
      <c r="O38" s="147">
        <v>4013</v>
      </c>
      <c r="P38" s="147">
        <v>4276</v>
      </c>
      <c r="Q38" s="214">
        <f>P38</f>
        <v>4276</v>
      </c>
      <c r="R38" s="118">
        <f>((Q38/G38)^(1/($H$2-$H$1) ))-1</f>
        <v>0.12023982645213338</v>
      </c>
      <c r="S38" s="31">
        <f t="shared" si="5"/>
        <v>0.08</v>
      </c>
      <c r="T38" s="154">
        <f t="shared" si="2"/>
        <v>4618.08</v>
      </c>
      <c r="U38" s="154">
        <f t="shared" ref="U38" si="109">T38*(1+$S38)</f>
        <v>4987.5264000000006</v>
      </c>
      <c r="V38" s="154">
        <f t="shared" ref="V38" si="110">U38*(1+$S38)</f>
        <v>5386.5285120000008</v>
      </c>
      <c r="W38" s="154">
        <f t="shared" ref="W38" si="111">V38*(1+$S38)</f>
        <v>5817.4507929600013</v>
      </c>
      <c r="X38" s="154">
        <f t="shared" ref="X38" si="112">W38*(1+$S38)</f>
        <v>6282.8468563968017</v>
      </c>
      <c r="Y38" s="154">
        <f t="shared" ref="Y38" si="113">X38*(1+$S38)</f>
        <v>6785.4746049085461</v>
      </c>
      <c r="Z38" s="154">
        <f t="shared" ref="Z38" si="114">Y38*(1+$S38)</f>
        <v>7328.3125733012303</v>
      </c>
      <c r="AA38" s="154">
        <f t="shared" ref="AA38" si="115">Z38*(1+$S38)</f>
        <v>7914.5775791653296</v>
      </c>
      <c r="AB38" s="154">
        <f t="shared" ref="AB38" si="116">AA38*(1+$S38)</f>
        <v>8547.7437854985565</v>
      </c>
      <c r="AC38" s="154">
        <f t="shared" ref="AC38" si="117">AB38*(1+$S38)</f>
        <v>9231.5632883384424</v>
      </c>
      <c r="AD38" s="138">
        <f t="shared" ref="AD38" si="118">((AC38/G38)^(1/($AC$3-$H$1) ))-1</f>
        <v>9.370911506975621E-2</v>
      </c>
      <c r="AE38" s="31">
        <f t="shared" si="15"/>
        <v>0.05</v>
      </c>
      <c r="AF38" s="146">
        <f t="shared" ref="AF38" si="119">(AC38*(1+AE38))/($C$1-AE38)</f>
        <v>57018.479133855086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" si="120">(G38-F38)/G38</f>
        <v>1</v>
      </c>
      <c r="H39" s="148" t="e">
        <f t="shared" ref="H39" si="121">(H38-G38)/H38</f>
        <v>#DIV/0!</v>
      </c>
      <c r="I39" s="148">
        <f t="shared" ref="I39" si="122">(I38-H38)/I38</f>
        <v>1</v>
      </c>
      <c r="J39" s="148">
        <f t="shared" ref="J39" si="123">(J38-I38)/J38</f>
        <v>0.11040462427745665</v>
      </c>
      <c r="K39" s="148">
        <f t="shared" ref="K39" si="124">(K38-J38)/K38</f>
        <v>-0.66988416988416988</v>
      </c>
      <c r="L39" s="148">
        <f t="shared" ref="L39" si="125">(L38-K38)/L38</f>
        <v>-0.19354838709677419</v>
      </c>
      <c r="M39" s="148">
        <f t="shared" ref="M39" si="126">(M38-L38)/M38</f>
        <v>0.63498738435660218</v>
      </c>
      <c r="N39" s="148">
        <f t="shared" ref="N39" si="127">(N38-M38)/N38</f>
        <v>0.45893060295790672</v>
      </c>
      <c r="O39" s="148">
        <f t="shared" ref="O39" si="128">(O38-N38)/O38</f>
        <v>-9.5190630451034139E-2</v>
      </c>
      <c r="P39" s="148">
        <f t="shared" ref="P39:Q39" si="129">(P38-O38)/P38</f>
        <v>6.1506080449017772E-2</v>
      </c>
      <c r="Q39" s="216">
        <f t="shared" si="129"/>
        <v>0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401</v>
      </c>
      <c r="C40" s="141"/>
      <c r="D40" s="141"/>
      <c r="E40" s="147"/>
      <c r="F40" s="147"/>
      <c r="G40" s="147">
        <f>I40</f>
        <v>1083</v>
      </c>
      <c r="H40" s="147"/>
      <c r="I40" s="147">
        <v>1083</v>
      </c>
      <c r="J40" s="147">
        <v>1229</v>
      </c>
      <c r="K40" s="147">
        <v>725</v>
      </c>
      <c r="L40" s="147">
        <v>598</v>
      </c>
      <c r="M40" s="147">
        <v>1697</v>
      </c>
      <c r="N40" s="147">
        <v>3431</v>
      </c>
      <c r="O40" s="147">
        <v>2990</v>
      </c>
      <c r="P40" s="147">
        <v>3048</v>
      </c>
      <c r="Q40" s="214">
        <v>3264</v>
      </c>
      <c r="R40" s="118">
        <f>((Q40/G40)^(1/($H$2-$H$1) ))-1</f>
        <v>0.13040935693595235</v>
      </c>
      <c r="S40" s="31">
        <f t="shared" si="5"/>
        <v>0.08</v>
      </c>
      <c r="T40" s="154">
        <f t="shared" si="2"/>
        <v>3525.1200000000003</v>
      </c>
      <c r="U40" s="154">
        <f t="shared" ref="U40:AC40" si="130">T40*(1+$S40)</f>
        <v>3807.1296000000007</v>
      </c>
      <c r="V40" s="154">
        <f t="shared" si="130"/>
        <v>4111.6999680000008</v>
      </c>
      <c r="W40" s="154">
        <f t="shared" si="130"/>
        <v>4440.6359654400012</v>
      </c>
      <c r="X40" s="154">
        <f t="shared" si="130"/>
        <v>4795.8868426752015</v>
      </c>
      <c r="Y40" s="154">
        <f t="shared" si="130"/>
        <v>5179.5577900892176</v>
      </c>
      <c r="Z40" s="154">
        <f t="shared" si="130"/>
        <v>5593.9224132963554</v>
      </c>
      <c r="AA40" s="154">
        <f t="shared" si="130"/>
        <v>6041.4362063600647</v>
      </c>
      <c r="AB40" s="154">
        <f t="shared" si="130"/>
        <v>6524.7511028688705</v>
      </c>
      <c r="AC40" s="154">
        <f t="shared" si="130"/>
        <v>7046.7311910983808</v>
      </c>
      <c r="AD40" s="138">
        <f t="shared" si="17"/>
        <v>9.8165921361614172E-2</v>
      </c>
      <c r="AE40" s="31">
        <f t="shared" si="15"/>
        <v>0.05</v>
      </c>
      <c r="AF40" s="146">
        <f t="shared" si="1"/>
        <v>43523.927945019415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 t="e">
        <f t="shared" ref="H41:Q41" si="131">(H40-G40)/H40</f>
        <v>#DIV/0!</v>
      </c>
      <c r="I41" s="148">
        <f t="shared" si="131"/>
        <v>1</v>
      </c>
      <c r="J41" s="148">
        <f t="shared" si="131"/>
        <v>0.11879576891781937</v>
      </c>
      <c r="K41" s="148">
        <f t="shared" si="131"/>
        <v>-0.69517241379310346</v>
      </c>
      <c r="L41" s="148">
        <f t="shared" si="131"/>
        <v>-0.21237458193979933</v>
      </c>
      <c r="M41" s="148">
        <f t="shared" si="131"/>
        <v>0.64761343547436656</v>
      </c>
      <c r="N41" s="148">
        <f t="shared" si="131"/>
        <v>0.50539201399009037</v>
      </c>
      <c r="O41" s="148">
        <f t="shared" si="131"/>
        <v>-0.14749163879598662</v>
      </c>
      <c r="P41" s="148">
        <f t="shared" si="131"/>
        <v>1.9028871391076115E-2</v>
      </c>
      <c r="Q41" s="216">
        <f t="shared" si="131"/>
        <v>6.6176470588235295E-2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5">
        <v>10.11</v>
      </c>
      <c r="H42" s="145">
        <v>10.11</v>
      </c>
      <c r="I42" s="145">
        <v>10.11</v>
      </c>
      <c r="J42" s="145">
        <v>10.11</v>
      </c>
      <c r="K42" s="145">
        <v>14.46</v>
      </c>
      <c r="L42" s="145">
        <v>14.46</v>
      </c>
      <c r="M42" s="145">
        <v>14.46</v>
      </c>
      <c r="N42" s="145">
        <v>28.93</v>
      </c>
      <c r="O42" s="145">
        <v>28.93</v>
      </c>
      <c r="P42" s="145">
        <v>28.93</v>
      </c>
      <c r="Q42" s="217">
        <v>28.93</v>
      </c>
      <c r="R42" s="118">
        <f>((Q42/G42)^(1/($H$2-$H$1) ))-1</f>
        <v>0.12391387026996847</v>
      </c>
      <c r="S42" s="31">
        <f>P1</f>
        <v>0.05</v>
      </c>
      <c r="T42" s="154">
        <f t="shared" si="2"/>
        <v>30.3765</v>
      </c>
      <c r="U42" s="154">
        <f t="shared" ref="U42:AC42" si="132">T42*(1+$S42)</f>
        <v>31.895325</v>
      </c>
      <c r="V42" s="154">
        <f t="shared" si="132"/>
        <v>33.490091249999999</v>
      </c>
      <c r="W42" s="154">
        <f t="shared" si="132"/>
        <v>35.164595812500004</v>
      </c>
      <c r="X42" s="154">
        <f t="shared" si="132"/>
        <v>36.922825603125006</v>
      </c>
      <c r="Y42" s="154">
        <f t="shared" si="132"/>
        <v>38.768966883281259</v>
      </c>
      <c r="Z42" s="154">
        <f t="shared" si="132"/>
        <v>40.707415227445324</v>
      </c>
      <c r="AA42" s="154">
        <f t="shared" si="132"/>
        <v>42.742785988817595</v>
      </c>
      <c r="AB42" s="154">
        <f t="shared" si="132"/>
        <v>44.879925288258477</v>
      </c>
      <c r="AC42" s="154">
        <f t="shared" si="132"/>
        <v>47.123921552671405</v>
      </c>
      <c r="AD42" s="138">
        <f t="shared" si="17"/>
        <v>8.0001884867725304E-2</v>
      </c>
      <c r="AE42" s="31">
        <f t="shared" si="15"/>
        <v>0.05</v>
      </c>
      <c r="AF42" s="146">
        <f t="shared" si="1"/>
        <v>291.0595154723822</v>
      </c>
    </row>
    <row r="43" spans="2:32" x14ac:dyDescent="0.2">
      <c r="B43" s="20"/>
      <c r="C43" s="142"/>
      <c r="D43" s="142"/>
      <c r="E43" s="143"/>
      <c r="F43" s="147"/>
      <c r="G43" s="148">
        <f>(G42-F42)/G42</f>
        <v>0.90108803165182982</v>
      </c>
      <c r="H43" s="148">
        <f t="shared" ref="H43" si="133">(H42-G42)/H42</f>
        <v>0</v>
      </c>
      <c r="I43" s="148">
        <f t="shared" ref="I43" si="134">(I42-H42)/I42</f>
        <v>0</v>
      </c>
      <c r="J43" s="148">
        <f t="shared" ref="J43" si="135">(J42-I42)/J42</f>
        <v>0</v>
      </c>
      <c r="K43" s="148">
        <f t="shared" ref="K43" si="136">(K42-J42)/K42</f>
        <v>0.3008298755186723</v>
      </c>
      <c r="L43" s="148">
        <f t="shared" ref="L43" si="137">(L42-K42)/L42</f>
        <v>0</v>
      </c>
      <c r="M43" s="148">
        <f t="shared" ref="M43" si="138">(M42-L42)/M42</f>
        <v>0</v>
      </c>
      <c r="N43" s="148">
        <f t="shared" ref="N43" si="139">(N42-M42)/N42</f>
        <v>0.50017283097131005</v>
      </c>
      <c r="O43" s="148">
        <f t="shared" ref="O43" si="140">(O42-N42)/O42</f>
        <v>0</v>
      </c>
      <c r="P43" s="148">
        <f t="shared" ref="P43:Q43" si="141">(P42-O42)/P42</f>
        <v>0</v>
      </c>
      <c r="Q43" s="216">
        <f t="shared" si="141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>
        <v>0</v>
      </c>
      <c r="G44" s="145">
        <v>0</v>
      </c>
      <c r="H44" s="145">
        <v>0</v>
      </c>
      <c r="I44" s="145">
        <v>40</v>
      </c>
      <c r="J44" s="145">
        <v>40</v>
      </c>
      <c r="K44" s="145">
        <v>20</v>
      </c>
      <c r="L44" s="145">
        <v>22</v>
      </c>
      <c r="M44" s="145">
        <v>40</v>
      </c>
      <c r="N44" s="145">
        <v>40</v>
      </c>
      <c r="O44" s="145">
        <v>45</v>
      </c>
      <c r="P44" s="145">
        <v>45</v>
      </c>
      <c r="Q44" s="217">
        <v>50</v>
      </c>
      <c r="R44" s="118" t="e">
        <f>((Q44/G44)^(1/($H$2-$H$1) ))-1</f>
        <v>#DIV/0!</v>
      </c>
      <c r="S44" s="31">
        <f>P1</f>
        <v>0.05</v>
      </c>
      <c r="T44" s="154">
        <f t="shared" si="2"/>
        <v>52.5</v>
      </c>
      <c r="U44" s="154">
        <f t="shared" ref="U44" si="142">T44*(1+$S44)</f>
        <v>55.125</v>
      </c>
      <c r="V44" s="154">
        <f t="shared" ref="V44" si="143">U44*(1+$S44)</f>
        <v>57.881250000000001</v>
      </c>
      <c r="W44" s="154">
        <f t="shared" ref="W44" si="144">V44*(1+$S44)</f>
        <v>60.775312500000005</v>
      </c>
      <c r="X44" s="154">
        <f t="shared" ref="X44" si="145">W44*(1+$S44)</f>
        <v>63.814078125000009</v>
      </c>
      <c r="Y44" s="154">
        <f t="shared" ref="Y44" si="146">X44*(1+$S44)</f>
        <v>67.004782031250016</v>
      </c>
      <c r="Z44" s="154">
        <f t="shared" ref="Z44" si="147">Y44*(1+$S44)</f>
        <v>70.355021132812524</v>
      </c>
      <c r="AA44" s="154">
        <f t="shared" ref="AA44" si="148">Z44*(1+$S44)</f>
        <v>73.872772189453158</v>
      </c>
      <c r="AB44" s="154">
        <f t="shared" ref="AB44" si="149">AA44*(1+$S44)</f>
        <v>77.566410798925816</v>
      </c>
      <c r="AC44" s="154">
        <f t="shared" ref="AC44" si="150">AB44*(1+$S44)</f>
        <v>81.444731338872103</v>
      </c>
      <c r="AD44" s="138" t="e">
        <f t="shared" ref="AD44" si="151">((AC44/G44)^(1/($AC$3-$H$1) ))-1</f>
        <v>#DIV/0!</v>
      </c>
      <c r="AE44" s="31">
        <f t="shared" si="15"/>
        <v>0.05</v>
      </c>
      <c r="AF44" s="146">
        <f t="shared" si="1"/>
        <v>503.04098768126897</v>
      </c>
    </row>
    <row r="45" spans="2:32" x14ac:dyDescent="0.2">
      <c r="B45" s="20" t="s">
        <v>426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/>
      <c r="O45" s="147">
        <v>0</v>
      </c>
      <c r="P45" s="147">
        <v>0</v>
      </c>
      <c r="Q45" s="214">
        <v>0</v>
      </c>
      <c r="R45" s="147">
        <v>0</v>
      </c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424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 t="s">
        <v>453</v>
      </c>
      <c r="O46" s="147">
        <v>0</v>
      </c>
      <c r="P46" s="147">
        <v>0</v>
      </c>
      <c r="Q46" s="214">
        <v>0</v>
      </c>
      <c r="R46" s="147">
        <v>0</v>
      </c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425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/>
      <c r="O47" s="147">
        <v>0</v>
      </c>
      <c r="P47" s="147">
        <v>0</v>
      </c>
      <c r="Q47" s="214">
        <v>0</v>
      </c>
      <c r="R47" s="147">
        <v>0</v>
      </c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13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13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52">C25/C42</f>
        <v>0</v>
      </c>
      <c r="D50" s="133">
        <f t="shared" si="152"/>
        <v>0</v>
      </c>
      <c r="E50" s="133">
        <f t="shared" si="152"/>
        <v>0</v>
      </c>
      <c r="F50" s="133">
        <f t="shared" si="152"/>
        <v>0</v>
      </c>
      <c r="G50" s="133">
        <f t="shared" si="152"/>
        <v>798.61523244312571</v>
      </c>
      <c r="H50" s="133">
        <f t="shared" si="152"/>
        <v>0</v>
      </c>
      <c r="I50" s="133">
        <f t="shared" si="152"/>
        <v>798.61523244312571</v>
      </c>
      <c r="J50" s="133">
        <f t="shared" si="152"/>
        <v>991.39465875370922</v>
      </c>
      <c r="K50" s="133">
        <f t="shared" si="152"/>
        <v>626.34854771784228</v>
      </c>
      <c r="L50" s="133">
        <f t="shared" si="152"/>
        <v>599.86168741355459</v>
      </c>
      <c r="M50" s="133">
        <f t="shared" si="152"/>
        <v>825.86445366528346</v>
      </c>
      <c r="N50" s="133">
        <f t="shared" si="152"/>
        <v>617.35222951952994</v>
      </c>
      <c r="O50" s="133">
        <f t="shared" si="152"/>
        <v>696.16315243691668</v>
      </c>
      <c r="P50" s="133">
        <f t="shared" si="152"/>
        <v>719.18423781541651</v>
      </c>
      <c r="Q50" s="133">
        <f t="shared" ref="Q50" si="153">Q25/Q42</f>
        <v>720.32492222606288</v>
      </c>
      <c r="R50" s="118">
        <f>((P50/G50)^(1/($H$2-$H$1) ))-1</f>
        <v>-1.1572704180503934E-2</v>
      </c>
      <c r="S50" s="128"/>
      <c r="T50" s="158">
        <f t="shared" ref="T50:AC50" si="154">T25/T42</f>
        <v>740.90563428966482</v>
      </c>
      <c r="U50" s="158">
        <f t="shared" si="154"/>
        <v>762.07436669794095</v>
      </c>
      <c r="V50" s="158">
        <f t="shared" si="154"/>
        <v>783.84792003216796</v>
      </c>
      <c r="W50" s="158">
        <f t="shared" si="154"/>
        <v>806.24357489022975</v>
      </c>
      <c r="X50" s="158">
        <f t="shared" si="154"/>
        <v>829.27910560137923</v>
      </c>
      <c r="Y50" s="158">
        <f t="shared" si="154"/>
        <v>852.97279433284712</v>
      </c>
      <c r="Z50" s="158">
        <f t="shared" si="154"/>
        <v>877.3434455995</v>
      </c>
      <c r="AA50" s="158">
        <f t="shared" si="154"/>
        <v>902.41040118805722</v>
      </c>
      <c r="AB50" s="158">
        <f t="shared" si="154"/>
        <v>928.19355550771593</v>
      </c>
      <c r="AC50" s="158">
        <f t="shared" si="154"/>
        <v>954.71337137936496</v>
      </c>
      <c r="AD50" s="138">
        <f t="shared" ref="AD50" si="155">((AC50/G50)^(1/($AC$3-$H$1) ))-1</f>
        <v>8.966555480518057E-3</v>
      </c>
      <c r="AE50" s="31">
        <f t="shared" si="15"/>
        <v>0.05</v>
      </c>
      <c r="AF50" s="146">
        <f t="shared" ref="AF50:AF51" si="156">(AC50*(1+AE50))/($C$1-AE50)</f>
        <v>5896.7590585196085</v>
      </c>
    </row>
    <row r="51" spans="2:32" x14ac:dyDescent="0.2">
      <c r="B51" s="20" t="s">
        <v>304</v>
      </c>
      <c r="C51" s="133">
        <f t="shared" ref="C51:P51" si="157">C27/C42</f>
        <v>0</v>
      </c>
      <c r="D51" s="133">
        <f t="shared" si="157"/>
        <v>0</v>
      </c>
      <c r="E51" s="133">
        <f t="shared" si="157"/>
        <v>0</v>
      </c>
      <c r="F51" s="133">
        <f t="shared" si="157"/>
        <v>0</v>
      </c>
      <c r="G51" s="133">
        <f t="shared" si="157"/>
        <v>627.299703264095</v>
      </c>
      <c r="H51" s="133">
        <f t="shared" si="157"/>
        <v>0</v>
      </c>
      <c r="I51" s="133">
        <f t="shared" si="157"/>
        <v>627.299703264095</v>
      </c>
      <c r="J51" s="133">
        <f t="shared" si="157"/>
        <v>800.89020771513356</v>
      </c>
      <c r="K51" s="133">
        <f t="shared" si="157"/>
        <v>542.1853388658368</v>
      </c>
      <c r="L51" s="133">
        <f t="shared" si="157"/>
        <v>529.25311203319495</v>
      </c>
      <c r="M51" s="133">
        <f t="shared" si="157"/>
        <v>651.38312586445363</v>
      </c>
      <c r="N51" s="133">
        <f t="shared" si="157"/>
        <v>461.04389906671275</v>
      </c>
      <c r="O51" s="133">
        <f t="shared" si="157"/>
        <v>551.60732803318353</v>
      </c>
      <c r="P51" s="133">
        <f t="shared" si="157"/>
        <v>565.6066367092983</v>
      </c>
      <c r="Q51" s="133">
        <f t="shared" ref="Q51" si="158">Q27/Q42</f>
        <v>559.41928793639818</v>
      </c>
      <c r="R51" s="118">
        <f>((P51/G51)^(1/($H$2-$H$1) ))-1</f>
        <v>-1.1436936771758832E-2</v>
      </c>
      <c r="S51" s="128"/>
      <c r="T51" s="158">
        <f t="shared" ref="T51:AC51" si="159">T27/T42</f>
        <v>575.40269616315243</v>
      </c>
      <c r="U51" s="158">
        <f t="shared" si="159"/>
        <v>591.84277319638545</v>
      </c>
      <c r="V51" s="158">
        <f t="shared" si="159"/>
        <v>608.75256671628222</v>
      </c>
      <c r="W51" s="158">
        <f t="shared" si="159"/>
        <v>626.14549719389026</v>
      </c>
      <c r="X51" s="158">
        <f t="shared" si="159"/>
        <v>644.03536854228707</v>
      </c>
      <c r="Y51" s="158">
        <f t="shared" si="159"/>
        <v>662.43637907206676</v>
      </c>
      <c r="Z51" s="158">
        <f t="shared" si="159"/>
        <v>681.36313275984003</v>
      </c>
      <c r="AA51" s="158">
        <f t="shared" si="159"/>
        <v>700.83065083869258</v>
      </c>
      <c r="AB51" s="158">
        <f t="shared" si="159"/>
        <v>720.85438371979808</v>
      </c>
      <c r="AC51" s="158">
        <f t="shared" si="159"/>
        <v>741.45022325464947</v>
      </c>
      <c r="AD51" s="138">
        <f t="shared" ref="AD51" si="160">((AC51/G51)^(1/($AC$3-$H$1) ))-1</f>
        <v>8.394215875938249E-3</v>
      </c>
      <c r="AE51" s="31">
        <f t="shared" si="15"/>
        <v>0.05</v>
      </c>
      <c r="AF51" s="146">
        <f t="shared" si="156"/>
        <v>4579.5454965728359</v>
      </c>
    </row>
    <row r="52" spans="2:32" x14ac:dyDescent="0.2">
      <c r="B52" s="20" t="s">
        <v>427</v>
      </c>
      <c r="C52" s="133"/>
      <c r="D52" s="133"/>
      <c r="E52" s="133"/>
      <c r="F52" s="133"/>
      <c r="G52" s="133">
        <f>G38-G40</f>
        <v>456</v>
      </c>
      <c r="H52" s="133">
        <f t="shared" ref="H52:P52" si="161">H38-H40</f>
        <v>0</v>
      </c>
      <c r="I52" s="133">
        <f t="shared" si="161"/>
        <v>456</v>
      </c>
      <c r="J52" s="133">
        <f t="shared" si="161"/>
        <v>501</v>
      </c>
      <c r="K52" s="133">
        <f t="shared" si="161"/>
        <v>311</v>
      </c>
      <c r="L52" s="133">
        <f t="shared" si="161"/>
        <v>270</v>
      </c>
      <c r="M52" s="133">
        <f t="shared" si="161"/>
        <v>681</v>
      </c>
      <c r="N52" s="133">
        <f t="shared" si="161"/>
        <v>964</v>
      </c>
      <c r="O52" s="133">
        <f t="shared" si="161"/>
        <v>1023</v>
      </c>
      <c r="P52" s="133">
        <f t="shared" si="161"/>
        <v>1228</v>
      </c>
      <c r="Q52" s="133">
        <f t="shared" ref="Q52" si="162">Q38-Q40</f>
        <v>1012</v>
      </c>
      <c r="R52" s="118">
        <f>((P52/G52)^(1/($H$2-$H$1) ))-1</f>
        <v>0.11635860652505636</v>
      </c>
      <c r="S52" s="128"/>
      <c r="T52" s="133">
        <f t="shared" ref="T52:AC52" si="163">T38-T40</f>
        <v>1092.9599999999996</v>
      </c>
      <c r="U52" s="133">
        <f t="shared" si="163"/>
        <v>1180.3968</v>
      </c>
      <c r="V52" s="133">
        <f t="shared" si="163"/>
        <v>1274.828544</v>
      </c>
      <c r="W52" s="133">
        <f t="shared" si="163"/>
        <v>1376.8148275200001</v>
      </c>
      <c r="X52" s="133">
        <f t="shared" si="163"/>
        <v>1486.9600137216003</v>
      </c>
      <c r="Y52" s="133">
        <f t="shared" si="163"/>
        <v>1605.9168148193285</v>
      </c>
      <c r="Z52" s="133">
        <f t="shared" si="163"/>
        <v>1734.3901600048748</v>
      </c>
      <c r="AA52" s="133">
        <f t="shared" si="163"/>
        <v>1873.1413728052648</v>
      </c>
      <c r="AB52" s="133">
        <f t="shared" si="163"/>
        <v>2022.992682629686</v>
      </c>
      <c r="AC52" s="133">
        <f t="shared" si="163"/>
        <v>2184.8320972400616</v>
      </c>
      <c r="AD52" s="138">
        <f t="shared" ref="AD52" si="164">((AC52/G52)^(1/($AC$3-$H$1) ))-1</f>
        <v>8.1490381369672127E-2</v>
      </c>
      <c r="AE52" s="31">
        <f t="shared" si="15"/>
        <v>0.05</v>
      </c>
      <c r="AF52" s="146">
        <f t="shared" ref="AF52" si="165">(AC52*(1+AE52))/($C$1-AE52)</f>
        <v>13494.551188835676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66">C40/C42</f>
        <v>0</v>
      </c>
      <c r="D54" s="25">
        <f t="shared" si="166"/>
        <v>0</v>
      </c>
      <c r="E54" s="25">
        <f t="shared" si="166"/>
        <v>0</v>
      </c>
      <c r="F54" s="133">
        <f t="shared" si="166"/>
        <v>0</v>
      </c>
      <c r="G54" s="133">
        <f t="shared" si="166"/>
        <v>107.12166172106825</v>
      </c>
      <c r="H54" s="133">
        <f t="shared" si="166"/>
        <v>0</v>
      </c>
      <c r="I54" s="133">
        <f t="shared" si="166"/>
        <v>107.12166172106825</v>
      </c>
      <c r="J54" s="133">
        <f t="shared" si="166"/>
        <v>121.56280909990109</v>
      </c>
      <c r="K54" s="133">
        <f t="shared" si="166"/>
        <v>50.138312586445366</v>
      </c>
      <c r="L54" s="133">
        <f t="shared" si="166"/>
        <v>41.355463347164587</v>
      </c>
      <c r="M54" s="133">
        <f t="shared" si="166"/>
        <v>117.35822959889349</v>
      </c>
      <c r="N54" s="133">
        <f t="shared" si="166"/>
        <v>118.59661251296232</v>
      </c>
      <c r="O54" s="133">
        <f t="shared" si="166"/>
        <v>103.35292084341513</v>
      </c>
      <c r="P54" s="133">
        <f t="shared" si="166"/>
        <v>105.35776011061182</v>
      </c>
      <c r="Q54" s="133">
        <f t="shared" ref="Q54" si="167">Q40/Q42</f>
        <v>112.82405807120637</v>
      </c>
      <c r="R54" s="118">
        <f>((P54/G54)^(1/($H$2-$H$1) ))-1</f>
        <v>-1.8431233748091858E-3</v>
      </c>
      <c r="S54" s="128"/>
      <c r="T54" s="158">
        <f t="shared" ref="T54:AC54" si="168">T40/T42</f>
        <v>116.04760258752655</v>
      </c>
      <c r="U54" s="158">
        <f t="shared" si="168"/>
        <v>119.36324837574161</v>
      </c>
      <c r="V54" s="158">
        <f t="shared" si="168"/>
        <v>122.77362690076281</v>
      </c>
      <c r="W54" s="158">
        <f t="shared" si="168"/>
        <v>126.28144481221317</v>
      </c>
      <c r="X54" s="158">
        <f t="shared" si="168"/>
        <v>129.88948609256209</v>
      </c>
      <c r="Y54" s="158">
        <f t="shared" si="168"/>
        <v>133.60061426663529</v>
      </c>
      <c r="Z54" s="158">
        <f t="shared" si="168"/>
        <v>137.41777467425345</v>
      </c>
      <c r="AA54" s="158">
        <f t="shared" si="168"/>
        <v>141.34399680780356</v>
      </c>
      <c r="AB54" s="158">
        <f t="shared" si="168"/>
        <v>145.38239671659795</v>
      </c>
      <c r="AC54" s="158">
        <f t="shared" si="168"/>
        <v>149.53617947992933</v>
      </c>
      <c r="AD54" s="138">
        <f t="shared" ref="AD54:AD68" si="169">((AC54/G54)^(1/($AC$3-$H$1) ))-1</f>
        <v>1.6818522956664639E-2</v>
      </c>
      <c r="AE54" s="31">
        <f t="shared" si="15"/>
        <v>0.05</v>
      </c>
      <c r="AF54" s="146">
        <f t="shared" ref="AF54:AF82" si="170">(AC54*(1+AE54))/($C$1-AE54)</f>
        <v>923.60581443485773</v>
      </c>
    </row>
    <row r="55" spans="2:32" x14ac:dyDescent="0.2">
      <c r="B55" s="20" t="s">
        <v>388</v>
      </c>
      <c r="C55" s="133">
        <f t="shared" ref="C55:F55" si="171">C20/C42</f>
        <v>0</v>
      </c>
      <c r="D55" s="133">
        <f t="shared" si="171"/>
        <v>0</v>
      </c>
      <c r="E55" s="133">
        <f t="shared" si="171"/>
        <v>0</v>
      </c>
      <c r="F55" s="133">
        <f t="shared" si="171"/>
        <v>0</v>
      </c>
      <c r="G55" s="133">
        <f>G20/G42</f>
        <v>106.03363006923838</v>
      </c>
      <c r="H55" s="133">
        <f t="shared" ref="H55:P55" si="172">H20/H42</f>
        <v>0</v>
      </c>
      <c r="I55" s="133">
        <f t="shared" si="172"/>
        <v>106.03363006923838</v>
      </c>
      <c r="J55" s="133">
        <f t="shared" si="172"/>
        <v>67.457962413452037</v>
      </c>
      <c r="K55" s="133">
        <f t="shared" si="172"/>
        <v>0</v>
      </c>
      <c r="L55" s="133">
        <f t="shared" si="172"/>
        <v>28.42323651452282</v>
      </c>
      <c r="M55" s="133">
        <f t="shared" si="172"/>
        <v>189.2807745504841</v>
      </c>
      <c r="N55" s="133">
        <f t="shared" si="172"/>
        <v>69.581749049429661</v>
      </c>
      <c r="O55" s="133">
        <f t="shared" si="172"/>
        <v>102.28136882129277</v>
      </c>
      <c r="P55" s="133">
        <f t="shared" si="172"/>
        <v>73.764258555133082</v>
      </c>
      <c r="Q55" s="133">
        <f t="shared" ref="Q55" si="173">Q20/Q42</f>
        <v>73.764258555133082</v>
      </c>
      <c r="R55" s="118">
        <f>((P55/G55)^(1/($H$2-$H$1) ))-1</f>
        <v>-3.9518177265202126E-2</v>
      </c>
      <c r="S55" s="128"/>
      <c r="T55" s="133">
        <f t="shared" ref="T55:AC55" si="174">T20/T42</f>
        <v>75.871808799565457</v>
      </c>
      <c r="U55" s="133">
        <f t="shared" si="174"/>
        <v>78.039574765267346</v>
      </c>
      <c r="V55" s="133">
        <f t="shared" si="174"/>
        <v>80.26927690141784</v>
      </c>
      <c r="W55" s="133">
        <f t="shared" si="174"/>
        <v>82.562684812886928</v>
      </c>
      <c r="X55" s="133">
        <f t="shared" si="174"/>
        <v>84.921618664683692</v>
      </c>
      <c r="Y55" s="133">
        <f t="shared" si="174"/>
        <v>87.347950626531784</v>
      </c>
      <c r="Z55" s="133">
        <f t="shared" si="174"/>
        <v>89.843606358718418</v>
      </c>
      <c r="AA55" s="133">
        <f t="shared" si="174"/>
        <v>92.41056654039609</v>
      </c>
      <c r="AB55" s="133">
        <f t="shared" si="174"/>
        <v>95.05086844155025</v>
      </c>
      <c r="AC55" s="133">
        <f t="shared" si="174"/>
        <v>97.766607539880255</v>
      </c>
      <c r="AD55" s="138">
        <f t="shared" ref="AD55" si="175">((AC55/G55)^(1/($AC$3-$H$1) ))-1</f>
        <v>-4.0504360686776097E-3</v>
      </c>
      <c r="AE55" s="31">
        <f t="shared" si="15"/>
        <v>0.05</v>
      </c>
      <c r="AF55" s="146">
        <f t="shared" si="170"/>
        <v>603.85257598161343</v>
      </c>
    </row>
    <row r="56" spans="2:32" x14ac:dyDescent="0.2">
      <c r="B56" s="20" t="s">
        <v>245</v>
      </c>
      <c r="C56" s="25">
        <f t="shared" ref="C56:P56" si="176">C7/C42</f>
        <v>0</v>
      </c>
      <c r="D56" s="25">
        <f t="shared" si="176"/>
        <v>0</v>
      </c>
      <c r="E56" s="25">
        <f t="shared" si="176"/>
        <v>0</v>
      </c>
      <c r="F56" s="133">
        <f t="shared" si="176"/>
        <v>0</v>
      </c>
      <c r="G56" s="133">
        <f t="shared" si="176"/>
        <v>514.44114737883285</v>
      </c>
      <c r="H56" s="133">
        <f t="shared" si="176"/>
        <v>0</v>
      </c>
      <c r="I56" s="133">
        <f t="shared" si="176"/>
        <v>514.44114737883285</v>
      </c>
      <c r="J56" s="133">
        <f t="shared" si="176"/>
        <v>608.30860534124633</v>
      </c>
      <c r="K56" s="133">
        <f t="shared" si="176"/>
        <v>112.24066390041493</v>
      </c>
      <c r="L56" s="133">
        <f t="shared" si="176"/>
        <v>125.31120331950207</v>
      </c>
      <c r="M56" s="133">
        <f t="shared" si="176"/>
        <v>187.82849239280773</v>
      </c>
      <c r="N56" s="133">
        <f t="shared" si="176"/>
        <v>166.1596958174905</v>
      </c>
      <c r="O56" s="133">
        <f t="shared" si="176"/>
        <v>210.19702730729347</v>
      </c>
      <c r="P56" s="133">
        <f t="shared" si="176"/>
        <v>278.77635672312476</v>
      </c>
      <c r="Q56" s="133">
        <f t="shared" ref="Q56" si="177">Q7/Q42</f>
        <v>351.43449706187351</v>
      </c>
      <c r="R56" s="118">
        <f>((P56/G56)^(1/($H$2-$H$1) ))-1</f>
        <v>-6.5809208150425458E-2</v>
      </c>
      <c r="S56" s="128"/>
      <c r="T56" s="158">
        <f t="shared" ref="T56:AC56" si="178">T7/T42</f>
        <v>361.47548269221272</v>
      </c>
      <c r="U56" s="158">
        <f t="shared" si="178"/>
        <v>371.80335362627602</v>
      </c>
      <c r="V56" s="158">
        <f t="shared" si="178"/>
        <v>382.42630658702677</v>
      </c>
      <c r="W56" s="158">
        <f t="shared" si="178"/>
        <v>393.35277248951326</v>
      </c>
      <c r="X56" s="158">
        <f t="shared" si="178"/>
        <v>404.59142313207076</v>
      </c>
      <c r="Y56" s="158">
        <f t="shared" si="178"/>
        <v>416.15117807870132</v>
      </c>
      <c r="Z56" s="158">
        <f t="shared" si="178"/>
        <v>428.04121173809278</v>
      </c>
      <c r="AA56" s="158">
        <f t="shared" si="178"/>
        <v>440.27096064489541</v>
      </c>
      <c r="AB56" s="158">
        <f t="shared" si="178"/>
        <v>452.85013094903525</v>
      </c>
      <c r="AC56" s="158">
        <f t="shared" si="178"/>
        <v>465.78870611900766</v>
      </c>
      <c r="AD56" s="138">
        <f t="shared" si="169"/>
        <v>-4.9551351010007627E-3</v>
      </c>
      <c r="AE56" s="31">
        <f t="shared" si="15"/>
        <v>0.05</v>
      </c>
      <c r="AF56" s="146">
        <f t="shared" si="170"/>
        <v>2876.9302436762241</v>
      </c>
    </row>
    <row r="57" spans="2:32" x14ac:dyDescent="0.2">
      <c r="B57" s="20" t="s">
        <v>246</v>
      </c>
      <c r="C57" s="127">
        <f t="shared" ref="C57:P57" si="179">C6/C42</f>
        <v>0</v>
      </c>
      <c r="D57" s="127">
        <f t="shared" si="179"/>
        <v>0</v>
      </c>
      <c r="E57" s="127">
        <f t="shared" si="179"/>
        <v>0</v>
      </c>
      <c r="F57" s="144">
        <f t="shared" si="179"/>
        <v>0</v>
      </c>
      <c r="G57" s="144">
        <f t="shared" si="179"/>
        <v>504.35212660731952</v>
      </c>
      <c r="H57" s="144">
        <f t="shared" si="179"/>
        <v>0</v>
      </c>
      <c r="I57" s="144">
        <f t="shared" si="179"/>
        <v>504.35212660731952</v>
      </c>
      <c r="J57" s="144">
        <f t="shared" si="179"/>
        <v>598.31849653808115</v>
      </c>
      <c r="K57" s="144">
        <f t="shared" si="179"/>
        <v>102.21300138312586</v>
      </c>
      <c r="L57" s="144">
        <f t="shared" si="179"/>
        <v>115.35269709543567</v>
      </c>
      <c r="M57" s="144">
        <f t="shared" si="179"/>
        <v>177.86998616874135</v>
      </c>
      <c r="N57" s="144">
        <f t="shared" si="179"/>
        <v>156.13549948150708</v>
      </c>
      <c r="O57" s="144">
        <f t="shared" si="179"/>
        <v>200.20739716557208</v>
      </c>
      <c r="P57" s="144">
        <f t="shared" si="179"/>
        <v>268.75216038714137</v>
      </c>
      <c r="Q57" s="144">
        <f t="shared" ref="Q57" si="180">Q6/Q42</f>
        <v>341.34116833736607</v>
      </c>
      <c r="R57" s="118">
        <f>((P57/G57)^(1/($H$2-$H$1) ))-1</f>
        <v>-6.7552832169727628E-2</v>
      </c>
      <c r="S57" s="128"/>
      <c r="T57" s="157">
        <f t="shared" ref="T57:AC57" si="181">T6/T42</f>
        <v>351.09377314700509</v>
      </c>
      <c r="U57" s="157">
        <f t="shared" si="181"/>
        <v>361.12502380834809</v>
      </c>
      <c r="V57" s="157">
        <f t="shared" si="181"/>
        <v>371.44288163144381</v>
      </c>
      <c r="W57" s="157">
        <f t="shared" si="181"/>
        <v>382.05553539234216</v>
      </c>
      <c r="X57" s="157">
        <f t="shared" si="181"/>
        <v>392.97140783212336</v>
      </c>
      <c r="Y57" s="157">
        <f t="shared" si="181"/>
        <v>404.19916234161258</v>
      </c>
      <c r="Z57" s="157">
        <f t="shared" si="181"/>
        <v>415.74770983708726</v>
      </c>
      <c r="AA57" s="157">
        <f t="shared" si="181"/>
        <v>427.62621583243265</v>
      </c>
      <c r="AB57" s="157">
        <f t="shared" si="181"/>
        <v>439.84410771335934</v>
      </c>
      <c r="AC57" s="157">
        <f t="shared" si="181"/>
        <v>452.41108221945524</v>
      </c>
      <c r="AD57" s="138">
        <f t="shared" si="169"/>
        <v>-5.4194339731034047E-3</v>
      </c>
      <c r="AE57" s="31">
        <f t="shared" si="15"/>
        <v>0.05</v>
      </c>
      <c r="AF57" s="146">
        <f t="shared" si="170"/>
        <v>2794.3037431201651</v>
      </c>
    </row>
    <row r="58" spans="2:32" x14ac:dyDescent="0.2">
      <c r="B58" s="20" t="s">
        <v>247</v>
      </c>
      <c r="C58" s="127">
        <f t="shared" ref="C58:P58" si="182">C10/C42</f>
        <v>0</v>
      </c>
      <c r="D58" s="127">
        <f t="shared" si="182"/>
        <v>0</v>
      </c>
      <c r="E58" s="127">
        <f t="shared" si="182"/>
        <v>0</v>
      </c>
      <c r="F58" s="144">
        <f t="shared" si="182"/>
        <v>0</v>
      </c>
      <c r="G58" s="144">
        <f t="shared" si="182"/>
        <v>145.30168150346194</v>
      </c>
      <c r="H58" s="144">
        <f t="shared" si="182"/>
        <v>0</v>
      </c>
      <c r="I58" s="144">
        <f t="shared" si="182"/>
        <v>145.30168150346194</v>
      </c>
      <c r="J58" s="144">
        <f t="shared" si="182"/>
        <v>160.73194856577646</v>
      </c>
      <c r="K58" s="144">
        <f t="shared" si="182"/>
        <v>93.08437067773167</v>
      </c>
      <c r="L58" s="144">
        <f t="shared" si="182"/>
        <v>110.30428769017981</v>
      </c>
      <c r="M58" s="144">
        <f t="shared" si="182"/>
        <v>94.121715076071922</v>
      </c>
      <c r="N58" s="144">
        <f t="shared" si="182"/>
        <v>11.994469408918079</v>
      </c>
      <c r="O58" s="144">
        <f t="shared" si="182"/>
        <v>4.2516418942274452</v>
      </c>
      <c r="P58" s="144">
        <f t="shared" si="182"/>
        <v>3.3874870376771518</v>
      </c>
      <c r="Q58" s="144">
        <f t="shared" ref="Q58" si="183">Q10/Q42</f>
        <v>3.3874870376771518</v>
      </c>
      <c r="R58" s="118">
        <f>((P58/G58)^(1/($H$2-$H$1) ))-1</f>
        <v>-0.34139806825751506</v>
      </c>
      <c r="S58" s="128"/>
      <c r="T58" s="157">
        <f t="shared" ref="T58:AC58" si="184">T10/T42</f>
        <v>3.4842723816107846</v>
      </c>
      <c r="U58" s="157">
        <f t="shared" si="184"/>
        <v>3.583823021085379</v>
      </c>
      <c r="V58" s="157">
        <f t="shared" si="184"/>
        <v>3.6862179645449618</v>
      </c>
      <c r="W58" s="157">
        <f t="shared" si="184"/>
        <v>3.7915384778176748</v>
      </c>
      <c r="X58" s="157">
        <f t="shared" si="184"/>
        <v>3.8998681486124656</v>
      </c>
      <c r="Y58" s="157">
        <f t="shared" si="184"/>
        <v>4.0112929528585362</v>
      </c>
      <c r="Z58" s="157">
        <f t="shared" si="184"/>
        <v>4.1259013229402086</v>
      </c>
      <c r="AA58" s="157">
        <f t="shared" si="184"/>
        <v>4.2437842178813581</v>
      </c>
      <c r="AB58" s="157">
        <f t="shared" si="184"/>
        <v>4.3650351955351105</v>
      </c>
      <c r="AC58" s="157">
        <f t="shared" si="184"/>
        <v>4.4897504868361136</v>
      </c>
      <c r="AD58" s="138">
        <f t="shared" si="169"/>
        <v>-0.15957767924963984</v>
      </c>
      <c r="AE58" s="31">
        <f t="shared" si="15"/>
        <v>0.05</v>
      </c>
      <c r="AF58" s="146">
        <f t="shared" si="170"/>
        <v>27.730811830458354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85">(C7-C10)/C42</f>
        <v>0</v>
      </c>
      <c r="D60" s="127">
        <f t="shared" si="185"/>
        <v>0</v>
      </c>
      <c r="E60" s="127">
        <f t="shared" si="185"/>
        <v>0</v>
      </c>
      <c r="F60" s="144">
        <f t="shared" si="185"/>
        <v>0</v>
      </c>
      <c r="G60" s="144">
        <f t="shared" si="185"/>
        <v>369.13946587537095</v>
      </c>
      <c r="H60" s="144">
        <f t="shared" si="185"/>
        <v>0</v>
      </c>
      <c r="I60" s="144">
        <f t="shared" si="185"/>
        <v>369.13946587537095</v>
      </c>
      <c r="J60" s="144">
        <f t="shared" si="185"/>
        <v>447.57665677546987</v>
      </c>
      <c r="K60" s="144">
        <f t="shared" si="185"/>
        <v>19.156293222683264</v>
      </c>
      <c r="L60" s="144">
        <f t="shared" si="185"/>
        <v>15.006915629322268</v>
      </c>
      <c r="M60" s="144">
        <f t="shared" si="185"/>
        <v>93.706777316735824</v>
      </c>
      <c r="N60" s="144">
        <f t="shared" si="185"/>
        <v>154.16522640857241</v>
      </c>
      <c r="O60" s="144">
        <f t="shared" si="185"/>
        <v>205.94538541306602</v>
      </c>
      <c r="P60" s="144">
        <f t="shared" si="185"/>
        <v>275.38886968544762</v>
      </c>
      <c r="Q60" s="144">
        <f t="shared" ref="Q60" si="186">(Q7-Q10)/Q42</f>
        <v>348.04701002419637</v>
      </c>
      <c r="R60" s="118">
        <f>((P60/G60)^(1/($H$2-$H$1) ))-1</f>
        <v>-3.2030290740541201E-2</v>
      </c>
      <c r="S60" s="128"/>
      <c r="T60" s="157">
        <f t="shared" ref="T60:AC60" si="187">(T7-T10)/T42</f>
        <v>357.99121031060196</v>
      </c>
      <c r="U60" s="157">
        <f t="shared" si="187"/>
        <v>368.21953060519064</v>
      </c>
      <c r="V60" s="157">
        <f t="shared" si="187"/>
        <v>378.74008862248184</v>
      </c>
      <c r="W60" s="157">
        <f t="shared" si="187"/>
        <v>389.56123401169555</v>
      </c>
      <c r="X60" s="157">
        <f t="shared" si="187"/>
        <v>400.69155498345827</v>
      </c>
      <c r="Y60" s="157">
        <f t="shared" si="187"/>
        <v>412.1398851258428</v>
      </c>
      <c r="Z60" s="157">
        <f t="shared" si="187"/>
        <v>423.91531041515253</v>
      </c>
      <c r="AA60" s="157">
        <f t="shared" si="187"/>
        <v>436.02717642701401</v>
      </c>
      <c r="AB60" s="157">
        <f t="shared" si="187"/>
        <v>448.4850957535001</v>
      </c>
      <c r="AC60" s="157">
        <f t="shared" si="187"/>
        <v>461.29895563217156</v>
      </c>
      <c r="AD60" s="138">
        <f t="shared" si="169"/>
        <v>1.120591095909651E-2</v>
      </c>
      <c r="AE60" s="31">
        <f t="shared" si="15"/>
        <v>0.05</v>
      </c>
      <c r="AF60" s="146">
        <f t="shared" si="170"/>
        <v>2849.199431845766</v>
      </c>
    </row>
    <row r="61" spans="2:32" x14ac:dyDescent="0.2">
      <c r="B61" s="20" t="s">
        <v>271</v>
      </c>
      <c r="C61" s="127">
        <f t="shared" ref="C61:P61" si="188">(C7-C10-C9)/C42</f>
        <v>0</v>
      </c>
      <c r="D61" s="127">
        <f t="shared" si="188"/>
        <v>0</v>
      </c>
      <c r="E61" s="127">
        <f t="shared" si="188"/>
        <v>0</v>
      </c>
      <c r="F61" s="144">
        <f t="shared" si="188"/>
        <v>0</v>
      </c>
      <c r="G61" s="144">
        <f t="shared" si="188"/>
        <v>159.14935707220576</v>
      </c>
      <c r="H61" s="144">
        <f t="shared" si="188"/>
        <v>0</v>
      </c>
      <c r="I61" s="144">
        <f t="shared" si="188"/>
        <v>159.14935707220576</v>
      </c>
      <c r="J61" s="144">
        <f t="shared" si="188"/>
        <v>141.83976261127597</v>
      </c>
      <c r="K61" s="144">
        <f t="shared" si="188"/>
        <v>-54.149377593360995</v>
      </c>
      <c r="L61" s="144">
        <f t="shared" si="188"/>
        <v>-70.608575380359611</v>
      </c>
      <c r="M61" s="144">
        <f t="shared" si="188"/>
        <v>-46.88796680497925</v>
      </c>
      <c r="N61" s="144">
        <f t="shared" si="188"/>
        <v>68.890425164189423</v>
      </c>
      <c r="O61" s="144">
        <f t="shared" si="188"/>
        <v>129.24300034566195</v>
      </c>
      <c r="P61" s="144">
        <f t="shared" si="188"/>
        <v>179.70964396819912</v>
      </c>
      <c r="Q61" s="144">
        <f t="shared" ref="Q61" si="189">(Q7-Q10-Q9)/Q42</f>
        <v>252.36778430694781</v>
      </c>
      <c r="R61" s="118">
        <f>((P61/G61)^(1/($H$2-$H$1) ))-1</f>
        <v>1.3591462732334803E-2</v>
      </c>
      <c r="S61" s="128"/>
      <c r="T61" s="157">
        <f t="shared" ref="T61:AC61" si="190">(T7-T10-T9)/T42</f>
        <v>259.57829243000344</v>
      </c>
      <c r="U61" s="157">
        <f t="shared" si="190"/>
        <v>266.9948150708608</v>
      </c>
      <c r="V61" s="157">
        <f t="shared" si="190"/>
        <v>274.62323835859968</v>
      </c>
      <c r="W61" s="157">
        <f t="shared" si="190"/>
        <v>282.46961659741675</v>
      </c>
      <c r="X61" s="157">
        <f t="shared" si="190"/>
        <v>290.54017707162865</v>
      </c>
      <c r="Y61" s="157">
        <f t="shared" si="190"/>
        <v>298.84132498796089</v>
      </c>
      <c r="Z61" s="157">
        <f t="shared" si="190"/>
        <v>307.37964855904545</v>
      </c>
      <c r="AA61" s="157">
        <f t="shared" si="190"/>
        <v>316.16192423216103</v>
      </c>
      <c r="AB61" s="157">
        <f t="shared" si="190"/>
        <v>325.19512206736562</v>
      </c>
      <c r="AC61" s="157">
        <f t="shared" si="190"/>
        <v>334.48641126929033</v>
      </c>
      <c r="AD61" s="138">
        <f t="shared" si="169"/>
        <v>3.7835876418849779E-2</v>
      </c>
      <c r="AE61" s="31">
        <f t="shared" si="15"/>
        <v>0.05</v>
      </c>
      <c r="AF61" s="146">
        <f t="shared" si="170"/>
        <v>2065.9454813691464</v>
      </c>
    </row>
    <row r="62" spans="2:32" x14ac:dyDescent="0.2">
      <c r="B62" s="20" t="s">
        <v>276</v>
      </c>
      <c r="C62" s="127">
        <f t="shared" ref="C62:P62" si="191">(C7+C15-C10-C9)/C42</f>
        <v>0</v>
      </c>
      <c r="D62" s="127">
        <f t="shared" si="191"/>
        <v>0</v>
      </c>
      <c r="E62" s="127">
        <f t="shared" si="191"/>
        <v>0</v>
      </c>
      <c r="F62" s="144">
        <f t="shared" si="191"/>
        <v>0</v>
      </c>
      <c r="G62" s="144">
        <f t="shared" si="191"/>
        <v>256.57764589515335</v>
      </c>
      <c r="H62" s="144">
        <f t="shared" si="191"/>
        <v>0</v>
      </c>
      <c r="I62" s="144">
        <f t="shared" si="191"/>
        <v>256.57764589515335</v>
      </c>
      <c r="J62" s="144">
        <f t="shared" si="191"/>
        <v>282.59149357072209</v>
      </c>
      <c r="K62" s="144">
        <f t="shared" si="191"/>
        <v>-6.4315352697095429</v>
      </c>
      <c r="L62" s="144">
        <f t="shared" si="191"/>
        <v>-15.629322268326417</v>
      </c>
      <c r="M62" s="144">
        <f t="shared" si="191"/>
        <v>10.926694329183954</v>
      </c>
      <c r="N62" s="144">
        <f t="shared" si="191"/>
        <v>106.63670929830626</v>
      </c>
      <c r="O62" s="144">
        <f t="shared" si="191"/>
        <v>224.81852748012443</v>
      </c>
      <c r="P62" s="144">
        <f t="shared" si="191"/>
        <v>246.94089180781197</v>
      </c>
      <c r="Q62" s="144">
        <f t="shared" ref="Q62" si="192">(Q7+Q15-Q10-Q9)/Q42</f>
        <v>319.59903214656066</v>
      </c>
      <c r="R62" s="118">
        <f>((P62/G62)^(1/($H$2-$H$1) ))-1</f>
        <v>-4.2445583211642157E-3</v>
      </c>
      <c r="S62" s="128"/>
      <c r="T62" s="157">
        <f t="shared" ref="T62:AC62" si="193">(T7+T15-T10-T9)/T42</f>
        <v>328.73043306503382</v>
      </c>
      <c r="U62" s="157">
        <f t="shared" si="193"/>
        <v>338.12273115260638</v>
      </c>
      <c r="V62" s="157">
        <f t="shared" si="193"/>
        <v>347.78338061410938</v>
      </c>
      <c r="W62" s="157">
        <f t="shared" si="193"/>
        <v>357.72004863165529</v>
      </c>
      <c r="X62" s="157">
        <f t="shared" si="193"/>
        <v>367.94062144970258</v>
      </c>
      <c r="Y62" s="157">
        <f t="shared" si="193"/>
        <v>378.45321063397989</v>
      </c>
      <c r="Z62" s="157">
        <f t="shared" si="193"/>
        <v>389.26615950923633</v>
      </c>
      <c r="AA62" s="157">
        <f t="shared" si="193"/>
        <v>400.38804978092878</v>
      </c>
      <c r="AB62" s="157">
        <f t="shared" si="193"/>
        <v>411.82770834609818</v>
      </c>
      <c r="AC62" s="157">
        <f t="shared" si="193"/>
        <v>423.59421429884384</v>
      </c>
      <c r="AD62" s="138">
        <f t="shared" si="169"/>
        <v>2.5384055976012565E-2</v>
      </c>
      <c r="AE62" s="31">
        <f t="shared" si="15"/>
        <v>0.05</v>
      </c>
      <c r="AF62" s="146">
        <f t="shared" si="170"/>
        <v>2616.3172059634476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94">C12/C42</f>
        <v>0</v>
      </c>
      <c r="D64" s="127">
        <f t="shared" si="194"/>
        <v>0</v>
      </c>
      <c r="E64" s="127">
        <f t="shared" si="194"/>
        <v>0</v>
      </c>
      <c r="F64" s="144">
        <f t="shared" si="194"/>
        <v>0</v>
      </c>
      <c r="G64" s="144">
        <f t="shared" si="194"/>
        <v>47.181008902077153</v>
      </c>
      <c r="H64" s="144">
        <f t="shared" si="194"/>
        <v>0</v>
      </c>
      <c r="I64" s="144">
        <f t="shared" si="194"/>
        <v>47.181008902077153</v>
      </c>
      <c r="J64" s="144">
        <f t="shared" si="194"/>
        <v>74.777448071216625</v>
      </c>
      <c r="K64" s="144">
        <f t="shared" si="194"/>
        <v>4.9100968188105112</v>
      </c>
      <c r="L64" s="144">
        <f t="shared" si="194"/>
        <v>9.8201936376210224</v>
      </c>
      <c r="M64" s="144">
        <f t="shared" si="194"/>
        <v>7.3305670816044257</v>
      </c>
      <c r="N64" s="144">
        <f t="shared" si="194"/>
        <v>6.0145178015900447</v>
      </c>
      <c r="O64" s="144">
        <f t="shared" si="194"/>
        <v>57.345316280677501</v>
      </c>
      <c r="P64" s="144">
        <f t="shared" si="194"/>
        <v>19.564465952298651</v>
      </c>
      <c r="Q64" s="144">
        <f t="shared" ref="Q64" si="195">Q12/Q42</f>
        <v>19.564465952298651</v>
      </c>
      <c r="R64" s="118">
        <f>((P64/G64)^(1/($H$2-$H$1) ))-1</f>
        <v>-9.3177456218573207E-2</v>
      </c>
      <c r="S64" s="128"/>
      <c r="T64" s="157">
        <f t="shared" ref="T64:AC64" si="196">T12/T42</f>
        <v>20.123450693792901</v>
      </c>
      <c r="U64" s="157">
        <f t="shared" si="196"/>
        <v>20.698406427901272</v>
      </c>
      <c r="V64" s="157">
        <f t="shared" si="196"/>
        <v>21.289789468698455</v>
      </c>
      <c r="W64" s="157">
        <f t="shared" si="196"/>
        <v>21.89806916780412</v>
      </c>
      <c r="X64" s="157">
        <f t="shared" si="196"/>
        <v>22.523728286884243</v>
      </c>
      <c r="Y64" s="157">
        <f t="shared" si="196"/>
        <v>23.16726338079522</v>
      </c>
      <c r="Z64" s="157">
        <f t="shared" si="196"/>
        <v>23.829185191675084</v>
      </c>
      <c r="AA64" s="157">
        <f t="shared" si="196"/>
        <v>24.510019054294371</v>
      </c>
      <c r="AB64" s="157">
        <f t="shared" si="196"/>
        <v>25.210305312988496</v>
      </c>
      <c r="AC64" s="157">
        <f t="shared" si="196"/>
        <v>25.930599750502452</v>
      </c>
      <c r="AD64" s="138">
        <f t="shared" si="169"/>
        <v>-2.9484966911959565E-2</v>
      </c>
      <c r="AE64" s="31">
        <f t="shared" si="15"/>
        <v>0.05</v>
      </c>
      <c r="AF64" s="146">
        <f t="shared" si="170"/>
        <v>160.15958669427985</v>
      </c>
    </row>
    <row r="65" spans="2:32" x14ac:dyDescent="0.2">
      <c r="B65" s="20" t="s">
        <v>255</v>
      </c>
      <c r="C65" s="127">
        <f t="shared" ref="C65:P65" si="197">C13/C42</f>
        <v>0</v>
      </c>
      <c r="D65" s="127">
        <f t="shared" si="197"/>
        <v>0</v>
      </c>
      <c r="E65" s="127">
        <f t="shared" si="197"/>
        <v>0</v>
      </c>
      <c r="F65" s="144">
        <f t="shared" si="197"/>
        <v>0</v>
      </c>
      <c r="G65" s="144">
        <f t="shared" si="197"/>
        <v>726.21167161226515</v>
      </c>
      <c r="H65" s="144">
        <f t="shared" si="197"/>
        <v>0</v>
      </c>
      <c r="I65" s="144">
        <f t="shared" si="197"/>
        <v>726.21167161226515</v>
      </c>
      <c r="J65" s="144">
        <f t="shared" si="197"/>
        <v>905.73689416419393</v>
      </c>
      <c r="K65" s="144">
        <f t="shared" si="197"/>
        <v>108.09128630705393</v>
      </c>
      <c r="L65" s="144">
        <f t="shared" si="197"/>
        <v>98.409405255878283</v>
      </c>
      <c r="M65" s="144">
        <f t="shared" si="197"/>
        <v>238.24343015214384</v>
      </c>
      <c r="N65" s="144">
        <f t="shared" si="197"/>
        <v>148.08157621845834</v>
      </c>
      <c r="O65" s="144">
        <f t="shared" si="197"/>
        <v>154.58002073971656</v>
      </c>
      <c r="P65" s="144">
        <f t="shared" si="197"/>
        <v>209.40200483926719</v>
      </c>
      <c r="Q65" s="144">
        <f t="shared" ref="Q65" si="198">Q13/Q42</f>
        <v>209.40200483926719</v>
      </c>
      <c r="R65" s="118">
        <f>((P65/G65)^(1/($H$2-$H$1) ))-1</f>
        <v>-0.12905476862179777</v>
      </c>
      <c r="S65" s="128"/>
      <c r="T65" s="157">
        <f t="shared" ref="T65:AC65" si="199">T13/T42</f>
        <v>215.38491926324627</v>
      </c>
      <c r="U65" s="157">
        <f t="shared" si="199"/>
        <v>221.53877409933904</v>
      </c>
      <c r="V65" s="157">
        <f t="shared" si="199"/>
        <v>227.86845335932017</v>
      </c>
      <c r="W65" s="157">
        <f t="shared" si="199"/>
        <v>234.37898059815785</v>
      </c>
      <c r="X65" s="157">
        <f t="shared" si="199"/>
        <v>241.07552290096237</v>
      </c>
      <c r="Y65" s="157">
        <f t="shared" si="199"/>
        <v>247.96339498384705</v>
      </c>
      <c r="Z65" s="157">
        <f t="shared" si="199"/>
        <v>255.04806341195695</v>
      </c>
      <c r="AA65" s="157">
        <f t="shared" si="199"/>
        <v>262.33515093801282</v>
      </c>
      <c r="AB65" s="157">
        <f t="shared" si="199"/>
        <v>269.83044096481319</v>
      </c>
      <c r="AC65" s="157">
        <f t="shared" si="199"/>
        <v>277.53988213523644</v>
      </c>
      <c r="AD65" s="138">
        <f t="shared" si="169"/>
        <v>-4.6955655030113452E-2</v>
      </c>
      <c r="AE65" s="31">
        <f t="shared" si="15"/>
        <v>0.05</v>
      </c>
      <c r="AF65" s="146">
        <f t="shared" si="170"/>
        <v>1714.2169190705783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200">(D64+D65)</f>
        <v>0</v>
      </c>
      <c r="E66" s="127">
        <f t="shared" si="200"/>
        <v>0</v>
      </c>
      <c r="F66" s="144">
        <f t="shared" si="200"/>
        <v>0</v>
      </c>
      <c r="G66" s="144">
        <f t="shared" si="200"/>
        <v>773.39268051434226</v>
      </c>
      <c r="H66" s="144">
        <f t="shared" si="200"/>
        <v>0</v>
      </c>
      <c r="I66" s="144">
        <f t="shared" si="200"/>
        <v>773.39268051434226</v>
      </c>
      <c r="J66" s="144">
        <f t="shared" si="200"/>
        <v>980.5143422354106</v>
      </c>
      <c r="K66" s="144">
        <f t="shared" si="200"/>
        <v>113.00138312586445</v>
      </c>
      <c r="L66" s="144">
        <f t="shared" si="200"/>
        <v>108.2295988934993</v>
      </c>
      <c r="M66" s="144">
        <f t="shared" si="200"/>
        <v>245.57399723374826</v>
      </c>
      <c r="N66" s="144">
        <f t="shared" si="200"/>
        <v>154.09609402004838</v>
      </c>
      <c r="O66" s="144">
        <f t="shared" ref="O66" si="201">(O64+O65)</f>
        <v>211.92533702039407</v>
      </c>
      <c r="P66" s="144">
        <f t="shared" si="200"/>
        <v>228.96647079156585</v>
      </c>
      <c r="Q66" s="144">
        <f t="shared" ref="Q66" si="202">(Q64+Q65)</f>
        <v>228.96647079156585</v>
      </c>
      <c r="R66" s="118">
        <f>((P66/G66)^(1/($H$2-$H$1) ))-1</f>
        <v>-0.12649873763075214</v>
      </c>
      <c r="S66" s="128"/>
      <c r="T66" s="157">
        <f t="shared" ref="T66:AC66" si="203">(T64+T65)</f>
        <v>235.50836995703918</v>
      </c>
      <c r="U66" s="157">
        <f t="shared" si="203"/>
        <v>242.2371805272403</v>
      </c>
      <c r="V66" s="157">
        <f t="shared" si="203"/>
        <v>249.15824282801862</v>
      </c>
      <c r="W66" s="157">
        <f t="shared" si="203"/>
        <v>256.27704976596198</v>
      </c>
      <c r="X66" s="157">
        <f t="shared" si="203"/>
        <v>263.59925118784662</v>
      </c>
      <c r="Y66" s="157">
        <f t="shared" si="203"/>
        <v>271.13065836464227</v>
      </c>
      <c r="Z66" s="157">
        <f t="shared" si="203"/>
        <v>278.87724860363204</v>
      </c>
      <c r="AA66" s="157">
        <f t="shared" si="203"/>
        <v>286.84516999230721</v>
      </c>
      <c r="AB66" s="157">
        <f t="shared" si="203"/>
        <v>295.0407462778017</v>
      </c>
      <c r="AC66" s="157">
        <f t="shared" si="203"/>
        <v>303.47048188573888</v>
      </c>
      <c r="AD66" s="138">
        <f t="shared" si="169"/>
        <v>-4.569803114201354E-2</v>
      </c>
      <c r="AE66" s="31">
        <f t="shared" si="15"/>
        <v>0.05</v>
      </c>
      <c r="AF66" s="146">
        <f t="shared" si="170"/>
        <v>1874.3765057648579</v>
      </c>
    </row>
    <row r="67" spans="2:32" x14ac:dyDescent="0.2">
      <c r="B67" s="20" t="s">
        <v>249</v>
      </c>
      <c r="C67" s="127">
        <f t="shared" ref="C67:P67" si="204">C15/C42</f>
        <v>0</v>
      </c>
      <c r="D67" s="127">
        <f t="shared" si="204"/>
        <v>0</v>
      </c>
      <c r="E67" s="127">
        <f t="shared" si="204"/>
        <v>0</v>
      </c>
      <c r="F67" s="144">
        <f t="shared" si="204"/>
        <v>0</v>
      </c>
      <c r="G67" s="144">
        <f t="shared" si="204"/>
        <v>97.428288822947579</v>
      </c>
      <c r="H67" s="144">
        <f t="shared" si="204"/>
        <v>0</v>
      </c>
      <c r="I67" s="144">
        <f t="shared" si="204"/>
        <v>97.428288822947579</v>
      </c>
      <c r="J67" s="144">
        <f t="shared" si="204"/>
        <v>140.75173095944609</v>
      </c>
      <c r="K67" s="144">
        <f t="shared" si="204"/>
        <v>47.717842323651446</v>
      </c>
      <c r="L67" s="144">
        <f t="shared" si="204"/>
        <v>54.979253112033192</v>
      </c>
      <c r="M67" s="144">
        <f t="shared" si="204"/>
        <v>57.814661134163202</v>
      </c>
      <c r="N67" s="144">
        <f t="shared" si="204"/>
        <v>37.746284134116834</v>
      </c>
      <c r="O67" s="144">
        <f t="shared" si="204"/>
        <v>95.57552713446249</v>
      </c>
      <c r="P67" s="144">
        <f t="shared" si="204"/>
        <v>67.231247839612863</v>
      </c>
      <c r="Q67" s="144">
        <f t="shared" ref="Q67" si="205">Q15/Q42</f>
        <v>67.231247839612863</v>
      </c>
      <c r="R67" s="118">
        <f>((P67/G67)^(1/($H$2-$H$1) ))-1</f>
        <v>-4.0381846214198602E-2</v>
      </c>
      <c r="S67" s="128"/>
      <c r="T67" s="157">
        <f t="shared" ref="T67:AC67" si="206">T15/T42</f>
        <v>69.152140635030378</v>
      </c>
      <c r="U67" s="157">
        <f t="shared" si="206"/>
        <v>71.127916081745539</v>
      </c>
      <c r="V67" s="157">
        <f t="shared" si="206"/>
        <v>73.160142255509697</v>
      </c>
      <c r="W67" s="157">
        <f t="shared" si="206"/>
        <v>75.250432034238543</v>
      </c>
      <c r="X67" s="157">
        <f t="shared" si="206"/>
        <v>77.400444378073942</v>
      </c>
      <c r="Y67" s="157">
        <f t="shared" si="206"/>
        <v>79.611885646018919</v>
      </c>
      <c r="Z67" s="157">
        <f t="shared" si="206"/>
        <v>81.886510950190882</v>
      </c>
      <c r="AA67" s="157">
        <f t="shared" si="206"/>
        <v>84.226125548767769</v>
      </c>
      <c r="AB67" s="157">
        <f t="shared" si="206"/>
        <v>86.63258627873256</v>
      </c>
      <c r="AC67" s="157">
        <f t="shared" si="206"/>
        <v>89.107803029553494</v>
      </c>
      <c r="AD67" s="138">
        <f t="shared" si="169"/>
        <v>-4.4535385251801562E-3</v>
      </c>
      <c r="AE67" s="31">
        <f t="shared" si="15"/>
        <v>0.05</v>
      </c>
      <c r="AF67" s="146">
        <f t="shared" si="170"/>
        <v>550.37172459430099</v>
      </c>
    </row>
    <row r="68" spans="2:32" x14ac:dyDescent="0.2">
      <c r="B68" s="20" t="s">
        <v>250</v>
      </c>
      <c r="C68" s="127">
        <f t="shared" ref="C68:P68" si="207">C16/C42</f>
        <v>0</v>
      </c>
      <c r="D68" s="127">
        <f t="shared" si="207"/>
        <v>0</v>
      </c>
      <c r="E68" s="127">
        <f t="shared" si="207"/>
        <v>0</v>
      </c>
      <c r="F68" s="144">
        <f t="shared" si="207"/>
        <v>0</v>
      </c>
      <c r="G68" s="144">
        <f t="shared" si="207"/>
        <v>124.82690405539071</v>
      </c>
      <c r="H68" s="144">
        <f t="shared" si="207"/>
        <v>0</v>
      </c>
      <c r="I68" s="144">
        <f t="shared" si="207"/>
        <v>124.82690405539071</v>
      </c>
      <c r="J68" s="144">
        <f t="shared" si="207"/>
        <v>335.50939663699307</v>
      </c>
      <c r="K68" s="144">
        <f t="shared" si="207"/>
        <v>-14.661134163208851</v>
      </c>
      <c r="L68" s="144">
        <f t="shared" si="207"/>
        <v>-15.076071922544951</v>
      </c>
      <c r="M68" s="144">
        <f t="shared" si="207"/>
        <v>-89.903181189488237</v>
      </c>
      <c r="N68" s="144">
        <f t="shared" si="207"/>
        <v>-39.163498098859314</v>
      </c>
      <c r="O68" s="144">
        <f t="shared" si="207"/>
        <v>-7.9156584860006918</v>
      </c>
      <c r="P68" s="144">
        <f t="shared" si="207"/>
        <v>-18.804009678534392</v>
      </c>
      <c r="Q68" s="144">
        <f t="shared" ref="Q68" si="208">Q16/Q42</f>
        <v>-18.804009678534392</v>
      </c>
      <c r="R68" s="118">
        <f>((P68/G68)^(1/($H$2-$H$1) ))-1</f>
        <v>-1.8103268919117852</v>
      </c>
      <c r="S68" s="128"/>
      <c r="T68" s="157">
        <f t="shared" ref="T68:AC68" si="209">T16/T42</f>
        <v>-19.34126709792109</v>
      </c>
      <c r="U68" s="157">
        <f t="shared" si="209"/>
        <v>-19.893874729290264</v>
      </c>
      <c r="V68" s="157">
        <f t="shared" si="209"/>
        <v>-20.462271150127133</v>
      </c>
      <c r="W68" s="157">
        <f t="shared" si="209"/>
        <v>-21.046907468702194</v>
      </c>
      <c r="X68" s="157">
        <f t="shared" si="209"/>
        <v>-21.648247682093686</v>
      </c>
      <c r="Y68" s="157">
        <f t="shared" si="209"/>
        <v>-22.266769044439219</v>
      </c>
      <c r="Z68" s="157">
        <f t="shared" si="209"/>
        <v>-22.902962445708908</v>
      </c>
      <c r="AA68" s="157">
        <f t="shared" si="209"/>
        <v>-23.557332801300593</v>
      </c>
      <c r="AB68" s="157">
        <f t="shared" si="209"/>
        <v>-24.230399452766321</v>
      </c>
      <c r="AC68" s="157">
        <f t="shared" si="209"/>
        <v>-24.922696579988216</v>
      </c>
      <c r="AD68" s="138" t="e">
        <f t="shared" si="169"/>
        <v>#NUM!</v>
      </c>
      <c r="AE68" s="137"/>
      <c r="AF68" s="146">
        <f t="shared" si="170"/>
        <v>-113.28498445449189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0.05</v>
      </c>
      <c r="AF69" s="146">
        <f t="shared" si="170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210">D44</f>
        <v>0</v>
      </c>
      <c r="E70" s="159">
        <f t="shared" si="210"/>
        <v>0</v>
      </c>
      <c r="F70" s="159">
        <f t="shared" si="210"/>
        <v>0</v>
      </c>
      <c r="G70" s="159">
        <f t="shared" si="210"/>
        <v>0</v>
      </c>
      <c r="H70" s="159">
        <f t="shared" si="210"/>
        <v>0</v>
      </c>
      <c r="I70" s="159">
        <f t="shared" si="210"/>
        <v>40</v>
      </c>
      <c r="J70" s="159">
        <f t="shared" si="210"/>
        <v>40</v>
      </c>
      <c r="K70" s="159">
        <f t="shared" si="210"/>
        <v>20</v>
      </c>
      <c r="L70" s="159">
        <f t="shared" si="210"/>
        <v>22</v>
      </c>
      <c r="M70" s="159">
        <f t="shared" si="210"/>
        <v>40</v>
      </c>
      <c r="N70" s="159">
        <f t="shared" si="210"/>
        <v>40</v>
      </c>
      <c r="O70" s="159">
        <f t="shared" si="210"/>
        <v>45</v>
      </c>
      <c r="P70" s="159">
        <f t="shared" si="210"/>
        <v>45</v>
      </c>
      <c r="Q70" s="159">
        <f t="shared" ref="Q70" si="211">Q44</f>
        <v>50</v>
      </c>
      <c r="R70" s="118" t="e">
        <f>((P70/G70)^(1/($H$2-$H$1) ))-1</f>
        <v>#DIV/0!</v>
      </c>
      <c r="S70" s="128"/>
      <c r="T70" s="159">
        <f t="shared" ref="T70:AC70" si="212">T44</f>
        <v>52.5</v>
      </c>
      <c r="U70" s="159">
        <f t="shared" si="212"/>
        <v>55.125</v>
      </c>
      <c r="V70" s="159">
        <f t="shared" si="212"/>
        <v>57.881250000000001</v>
      </c>
      <c r="W70" s="159">
        <f t="shared" si="212"/>
        <v>60.775312500000005</v>
      </c>
      <c r="X70" s="159">
        <f t="shared" si="212"/>
        <v>63.814078125000009</v>
      </c>
      <c r="Y70" s="159">
        <f t="shared" si="212"/>
        <v>67.004782031250016</v>
      </c>
      <c r="Z70" s="159">
        <f t="shared" si="212"/>
        <v>70.355021132812524</v>
      </c>
      <c r="AA70" s="159">
        <f t="shared" si="212"/>
        <v>73.872772189453158</v>
      </c>
      <c r="AB70" s="159">
        <f t="shared" si="212"/>
        <v>77.566410798925816</v>
      </c>
      <c r="AC70" s="159">
        <f t="shared" si="212"/>
        <v>81.444731338872103</v>
      </c>
      <c r="AD70" s="138" t="e">
        <f t="shared" ref="AD70" si="213">((AC70/G70)^(1/($AC$3-$H$1) ))-1</f>
        <v>#DIV/0!</v>
      </c>
      <c r="AE70" s="31">
        <f t="shared" si="15"/>
        <v>0.05</v>
      </c>
      <c r="AF70" s="146">
        <f t="shared" si="170"/>
        <v>503.04098768126897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214">C20+C21</f>
        <v>0</v>
      </c>
      <c r="D72" s="127">
        <f t="shared" si="214"/>
        <v>0</v>
      </c>
      <c r="E72" s="127">
        <f t="shared" si="214"/>
        <v>0</v>
      </c>
      <c r="F72" s="144">
        <f t="shared" si="214"/>
        <v>0</v>
      </c>
      <c r="G72" s="144">
        <f t="shared" si="214"/>
        <v>-15</v>
      </c>
      <c r="H72" s="144">
        <f t="shared" si="214"/>
        <v>0</v>
      </c>
      <c r="I72" s="144">
        <f t="shared" si="214"/>
        <v>-15</v>
      </c>
      <c r="J72" s="144">
        <f t="shared" si="214"/>
        <v>252</v>
      </c>
      <c r="K72" s="144">
        <f t="shared" si="214"/>
        <v>0</v>
      </c>
      <c r="L72" s="144">
        <f t="shared" si="214"/>
        <v>204</v>
      </c>
      <c r="M72" s="144">
        <f t="shared" si="214"/>
        <v>574</v>
      </c>
      <c r="N72" s="144">
        <f t="shared" si="214"/>
        <v>917</v>
      </c>
      <c r="O72" s="144">
        <f t="shared" si="214"/>
        <v>2514</v>
      </c>
      <c r="P72" s="144">
        <f t="shared" si="214"/>
        <v>857</v>
      </c>
      <c r="Q72" s="144">
        <f t="shared" ref="Q72" si="215">Q20+Q21</f>
        <v>857</v>
      </c>
      <c r="R72" s="118">
        <f>((P72/G72)^(1/($H$2-$H$1) ))-1</f>
        <v>-2.56750866930411</v>
      </c>
      <c r="S72" s="128"/>
      <c r="T72" s="144">
        <f t="shared" ref="T72:AC72" si="216">T20+T21</f>
        <v>925.56000000000017</v>
      </c>
      <c r="U72" s="144">
        <f t="shared" si="216"/>
        <v>999.6048000000003</v>
      </c>
      <c r="V72" s="144">
        <f t="shared" si="216"/>
        <v>1079.5731840000003</v>
      </c>
      <c r="W72" s="144">
        <f t="shared" si="216"/>
        <v>1165.9390387200006</v>
      </c>
      <c r="X72" s="144">
        <f t="shared" si="216"/>
        <v>1259.2141618176006</v>
      </c>
      <c r="Y72" s="144">
        <f t="shared" si="216"/>
        <v>1359.9512947630085</v>
      </c>
      <c r="Z72" s="144">
        <f t="shared" si="216"/>
        <v>1468.7473983440495</v>
      </c>
      <c r="AA72" s="144">
        <f t="shared" si="216"/>
        <v>1586.247190211574</v>
      </c>
      <c r="AB72" s="144">
        <f t="shared" si="216"/>
        <v>1713.1469654284997</v>
      </c>
      <c r="AC72" s="144">
        <f t="shared" si="216"/>
        <v>1850.1987226627798</v>
      </c>
      <c r="AD72" s="138" t="e">
        <f t="shared" ref="AD72:AD77" si="217">((AC72/G72)^(1/($AC$3-$H$1) ))-1</f>
        <v>#NUM!</v>
      </c>
      <c r="AE72" s="31">
        <f t="shared" si="15"/>
        <v>0.05</v>
      </c>
      <c r="AF72" s="146">
        <f t="shared" si="170"/>
        <v>11427.69799291717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218">C72/C42</f>
        <v>0</v>
      </c>
      <c r="D74" s="127">
        <f t="shared" si="218"/>
        <v>0</v>
      </c>
      <c r="E74" s="127">
        <f t="shared" si="218"/>
        <v>0</v>
      </c>
      <c r="F74" s="144">
        <f t="shared" si="218"/>
        <v>0</v>
      </c>
      <c r="G74" s="144">
        <f t="shared" si="218"/>
        <v>-1.4836795252225521</v>
      </c>
      <c r="H74" s="144">
        <f t="shared" si="218"/>
        <v>0</v>
      </c>
      <c r="I74" s="144">
        <f t="shared" si="218"/>
        <v>-1.4836795252225521</v>
      </c>
      <c r="J74" s="144">
        <f t="shared" si="218"/>
        <v>24.925816023738875</v>
      </c>
      <c r="K74" s="144">
        <f t="shared" si="218"/>
        <v>0</v>
      </c>
      <c r="L74" s="144">
        <f t="shared" si="218"/>
        <v>14.107883817427386</v>
      </c>
      <c r="M74" s="144">
        <f t="shared" si="218"/>
        <v>39.695712309820195</v>
      </c>
      <c r="N74" s="144">
        <f t="shared" si="218"/>
        <v>31.697200138264776</v>
      </c>
      <c r="O74" s="144">
        <f t="shared" si="218"/>
        <v>86.899412374697548</v>
      </c>
      <c r="P74" s="144">
        <f t="shared" si="218"/>
        <v>29.623228482544071</v>
      </c>
      <c r="Q74" s="144">
        <f t="shared" ref="Q74" si="219">Q72/Q42</f>
        <v>29.623228482544071</v>
      </c>
      <c r="R74" s="118">
        <f>((P74/G74)^(1/($H$2-$H$1) ))-1</f>
        <v>-2.3946875385812154</v>
      </c>
      <c r="S74" s="128"/>
      <c r="T74" s="146">
        <f t="shared" ref="T74:AC74" si="220">T72/T42</f>
        <v>30.469606439188194</v>
      </c>
      <c r="U74" s="146">
        <f t="shared" si="220"/>
        <v>31.340166623165004</v>
      </c>
      <c r="V74" s="146">
        <f t="shared" si="220"/>
        <v>32.235599955255431</v>
      </c>
      <c r="W74" s="146">
        <f t="shared" si="220"/>
        <v>33.156617096834161</v>
      </c>
      <c r="X74" s="146">
        <f t="shared" si="220"/>
        <v>34.103949013886563</v>
      </c>
      <c r="Y74" s="146">
        <f t="shared" si="220"/>
        <v>35.078347557140461</v>
      </c>
      <c r="Z74" s="146">
        <f t="shared" si="220"/>
        <v>36.080586058773051</v>
      </c>
      <c r="AA74" s="146">
        <f t="shared" si="220"/>
        <v>37.111459946166576</v>
      </c>
      <c r="AB74" s="146">
        <f t="shared" si="220"/>
        <v>38.171787373199898</v>
      </c>
      <c r="AC74" s="146">
        <f t="shared" si="220"/>
        <v>39.262409869577034</v>
      </c>
      <c r="AD74" s="138" t="e">
        <f t="shared" si="217"/>
        <v>#NUM!</v>
      </c>
      <c r="AE74" s="31">
        <f t="shared" si="15"/>
        <v>0.05</v>
      </c>
      <c r="AF74" s="146">
        <f t="shared" si="170"/>
        <v>242.50311978268172</v>
      </c>
    </row>
    <row r="75" spans="2:32" x14ac:dyDescent="0.2">
      <c r="B75" s="20" t="s">
        <v>287</v>
      </c>
      <c r="C75" s="127">
        <f t="shared" ref="C75:P75" si="221">C20/C42</f>
        <v>0</v>
      </c>
      <c r="D75" s="127">
        <f t="shared" si="221"/>
        <v>0</v>
      </c>
      <c r="E75" s="127">
        <f t="shared" si="221"/>
        <v>0</v>
      </c>
      <c r="F75" s="144">
        <f t="shared" si="221"/>
        <v>0</v>
      </c>
      <c r="G75" s="144">
        <f t="shared" si="221"/>
        <v>106.03363006923838</v>
      </c>
      <c r="H75" s="144">
        <f t="shared" si="221"/>
        <v>0</v>
      </c>
      <c r="I75" s="144">
        <f t="shared" si="221"/>
        <v>106.03363006923838</v>
      </c>
      <c r="J75" s="144">
        <f t="shared" si="221"/>
        <v>67.457962413452037</v>
      </c>
      <c r="K75" s="144">
        <f t="shared" si="221"/>
        <v>0</v>
      </c>
      <c r="L75" s="144">
        <f t="shared" si="221"/>
        <v>28.42323651452282</v>
      </c>
      <c r="M75" s="144">
        <f t="shared" si="221"/>
        <v>189.2807745504841</v>
      </c>
      <c r="N75" s="144">
        <f t="shared" si="221"/>
        <v>69.581749049429661</v>
      </c>
      <c r="O75" s="144">
        <f t="shared" si="221"/>
        <v>102.28136882129277</v>
      </c>
      <c r="P75" s="144">
        <f t="shared" si="221"/>
        <v>73.764258555133082</v>
      </c>
      <c r="Q75" s="144">
        <f t="shared" ref="Q75" si="222">Q20/Q42</f>
        <v>73.764258555133082</v>
      </c>
      <c r="R75" s="118">
        <f>((P75/G75)^(1/($H$2-$H$1) ))-1</f>
        <v>-3.9518177265202126E-2</v>
      </c>
      <c r="S75" s="128"/>
      <c r="T75" s="146">
        <f t="shared" ref="T75:AC75" si="223">T20/T42</f>
        <v>75.871808799565457</v>
      </c>
      <c r="U75" s="146">
        <f t="shared" si="223"/>
        <v>78.039574765267346</v>
      </c>
      <c r="V75" s="146">
        <f t="shared" si="223"/>
        <v>80.26927690141784</v>
      </c>
      <c r="W75" s="146">
        <f t="shared" si="223"/>
        <v>82.562684812886928</v>
      </c>
      <c r="X75" s="146">
        <f t="shared" si="223"/>
        <v>84.921618664683692</v>
      </c>
      <c r="Y75" s="146">
        <f t="shared" si="223"/>
        <v>87.347950626531784</v>
      </c>
      <c r="Z75" s="146">
        <f t="shared" si="223"/>
        <v>89.843606358718418</v>
      </c>
      <c r="AA75" s="146">
        <f t="shared" si="223"/>
        <v>92.41056654039609</v>
      </c>
      <c r="AB75" s="146">
        <f t="shared" si="223"/>
        <v>95.05086844155025</v>
      </c>
      <c r="AC75" s="146">
        <f t="shared" si="223"/>
        <v>97.766607539880255</v>
      </c>
      <c r="AD75" s="138">
        <f t="shared" si="217"/>
        <v>-4.0504360686776097E-3</v>
      </c>
      <c r="AE75" s="31">
        <f t="shared" si="15"/>
        <v>0.05</v>
      </c>
      <c r="AF75" s="146">
        <f t="shared" si="170"/>
        <v>603.85257598161343</v>
      </c>
    </row>
    <row r="76" spans="2:32" x14ac:dyDescent="0.2">
      <c r="B76" s="20" t="s">
        <v>288</v>
      </c>
      <c r="C76" s="127">
        <f t="shared" ref="C76:P76" si="224">C21/C42</f>
        <v>0</v>
      </c>
      <c r="D76" s="127">
        <f t="shared" si="224"/>
        <v>0</v>
      </c>
      <c r="E76" s="127">
        <f t="shared" si="224"/>
        <v>0</v>
      </c>
      <c r="F76" s="144">
        <f t="shared" si="224"/>
        <v>0</v>
      </c>
      <c r="G76" s="144">
        <f t="shared" si="224"/>
        <v>-107.51730959446094</v>
      </c>
      <c r="H76" s="144">
        <f t="shared" si="224"/>
        <v>0</v>
      </c>
      <c r="I76" s="144">
        <f t="shared" si="224"/>
        <v>-107.51730959446094</v>
      </c>
      <c r="J76" s="144">
        <f t="shared" si="224"/>
        <v>-42.532146389713155</v>
      </c>
      <c r="K76" s="144">
        <f t="shared" si="224"/>
        <v>0</v>
      </c>
      <c r="L76" s="144">
        <f t="shared" si="224"/>
        <v>-14.315352697095435</v>
      </c>
      <c r="M76" s="144">
        <f t="shared" si="224"/>
        <v>-149.58506224066389</v>
      </c>
      <c r="N76" s="144">
        <f t="shared" si="224"/>
        <v>-37.884548911164885</v>
      </c>
      <c r="O76" s="144">
        <f t="shared" si="224"/>
        <v>-15.381956446595231</v>
      </c>
      <c r="P76" s="144">
        <f t="shared" si="224"/>
        <v>-44.141030072589011</v>
      </c>
      <c r="Q76" s="144">
        <f t="shared" ref="Q76" si="225">Q21/Q42</f>
        <v>-44.141030072589011</v>
      </c>
      <c r="R76" s="118">
        <f>((P76/G76)^(1/($H$2-$H$1) ))-1</f>
        <v>-9.4183029809286056E-2</v>
      </c>
      <c r="S76" s="128"/>
      <c r="T76" s="146">
        <f t="shared" ref="T76:AC76" si="226">T21/T42</f>
        <v>-45.402202360377267</v>
      </c>
      <c r="U76" s="146">
        <f t="shared" si="226"/>
        <v>-46.699408142102335</v>
      </c>
      <c r="V76" s="146">
        <f t="shared" si="226"/>
        <v>-48.033676946162409</v>
      </c>
      <c r="W76" s="146">
        <f t="shared" si="226"/>
        <v>-49.40606771605276</v>
      </c>
      <c r="X76" s="146">
        <f t="shared" si="226"/>
        <v>-50.817669650797122</v>
      </c>
      <c r="Y76" s="146">
        <f t="shared" si="226"/>
        <v>-52.26960306939133</v>
      </c>
      <c r="Z76" s="146">
        <f t="shared" si="226"/>
        <v>-53.763020299945367</v>
      </c>
      <c r="AA76" s="146">
        <f t="shared" si="226"/>
        <v>-55.299106594229514</v>
      </c>
      <c r="AB76" s="146">
        <f t="shared" si="226"/>
        <v>-56.879081068350359</v>
      </c>
      <c r="AC76" s="146">
        <f t="shared" si="226"/>
        <v>-58.50419767030322</v>
      </c>
      <c r="AD76" s="138">
        <f t="shared" si="217"/>
        <v>-2.9969405605162369E-2</v>
      </c>
      <c r="AE76" s="31">
        <f t="shared" si="15"/>
        <v>0.05</v>
      </c>
      <c r="AF76" s="146">
        <f t="shared" si="170"/>
        <v>-361.3494561989317</v>
      </c>
    </row>
    <row r="77" spans="2:32" x14ac:dyDescent="0.2">
      <c r="B77" s="20" t="s">
        <v>289</v>
      </c>
      <c r="C77" s="127">
        <f t="shared" ref="C77:P77" si="227">C22/C42</f>
        <v>0</v>
      </c>
      <c r="D77" s="127">
        <f t="shared" si="227"/>
        <v>0</v>
      </c>
      <c r="E77" s="127">
        <f t="shared" si="227"/>
        <v>0</v>
      </c>
      <c r="F77" s="144">
        <f t="shared" si="227"/>
        <v>0</v>
      </c>
      <c r="G77" s="144">
        <f t="shared" si="227"/>
        <v>-1.1869436201780417</v>
      </c>
      <c r="H77" s="144">
        <f t="shared" si="227"/>
        <v>0</v>
      </c>
      <c r="I77" s="144">
        <f t="shared" si="227"/>
        <v>-1.1869436201780417</v>
      </c>
      <c r="J77" s="144">
        <f t="shared" si="227"/>
        <v>-24.727992087042534</v>
      </c>
      <c r="K77" s="144">
        <f t="shared" si="227"/>
        <v>0</v>
      </c>
      <c r="L77" s="144">
        <f t="shared" si="227"/>
        <v>-8.5062240663900415</v>
      </c>
      <c r="M77" s="144">
        <f t="shared" si="227"/>
        <v>-42.116182572614107</v>
      </c>
      <c r="N77" s="144">
        <f t="shared" si="227"/>
        <v>-29.796059453854131</v>
      </c>
      <c r="O77" s="144">
        <f t="shared" si="227"/>
        <v>-54.061527825786385</v>
      </c>
      <c r="P77" s="144">
        <f t="shared" si="227"/>
        <v>-51.12340131351538</v>
      </c>
      <c r="Q77" s="144">
        <f t="shared" ref="Q77" si="228">Q22/Q42</f>
        <v>-51.12340131351538</v>
      </c>
      <c r="R77" s="118">
        <f>((P77/G77)^(1/($H$2-$H$1) ))-1</f>
        <v>0.51906594534709671</v>
      </c>
      <c r="S77" s="128"/>
      <c r="T77" s="146">
        <f t="shared" ref="T77:AC77" si="229">T22/T42</f>
        <v>-52.58406992247297</v>
      </c>
      <c r="U77" s="146">
        <f t="shared" si="229"/>
        <v>-54.086471920257914</v>
      </c>
      <c r="V77" s="146">
        <f t="shared" si="229"/>
        <v>-55.631799689408147</v>
      </c>
      <c r="W77" s="146">
        <f t="shared" si="229"/>
        <v>-57.221279680534089</v>
      </c>
      <c r="X77" s="146">
        <f t="shared" si="229"/>
        <v>-58.856173385692209</v>
      </c>
      <c r="Y77" s="146">
        <f t="shared" si="229"/>
        <v>-60.537778339569122</v>
      </c>
      <c r="Z77" s="146">
        <f t="shared" si="229"/>
        <v>-62.267429149271102</v>
      </c>
      <c r="AA77" s="146">
        <f t="shared" si="229"/>
        <v>-64.046498553535997</v>
      </c>
      <c r="AB77" s="146">
        <f t="shared" si="229"/>
        <v>-65.876398512208453</v>
      </c>
      <c r="AC77" s="146">
        <f t="shared" si="229"/>
        <v>-67.758581326842972</v>
      </c>
      <c r="AD77" s="138">
        <f t="shared" si="217"/>
        <v>0.22412765852436789</v>
      </c>
      <c r="AE77" s="31">
        <f t="shared" si="15"/>
        <v>0.05</v>
      </c>
      <c r="AF77" s="146">
        <f t="shared" si="170"/>
        <v>-418.50888466579488</v>
      </c>
    </row>
    <row r="78" spans="2:32" x14ac:dyDescent="0.2">
      <c r="B78" s="20" t="s">
        <v>296</v>
      </c>
      <c r="C78" s="127">
        <f t="shared" ref="C78:P78" si="230">C23/C42</f>
        <v>0</v>
      </c>
      <c r="D78" s="127">
        <f t="shared" si="230"/>
        <v>0</v>
      </c>
      <c r="E78" s="127">
        <f t="shared" si="230"/>
        <v>0</v>
      </c>
      <c r="F78" s="144">
        <f t="shared" si="230"/>
        <v>0</v>
      </c>
      <c r="G78" s="144">
        <f t="shared" si="230"/>
        <v>8.1107814045499502</v>
      </c>
      <c r="H78" s="144">
        <f t="shared" si="230"/>
        <v>0</v>
      </c>
      <c r="I78" s="144">
        <f t="shared" si="230"/>
        <v>8.1107814045499502</v>
      </c>
      <c r="J78" s="144">
        <f t="shared" si="230"/>
        <v>8.209693372898121</v>
      </c>
      <c r="K78" s="144">
        <f t="shared" si="230"/>
        <v>0</v>
      </c>
      <c r="L78" s="144">
        <f t="shared" si="230"/>
        <v>9.4052558782849225</v>
      </c>
      <c r="M78" s="144">
        <f t="shared" si="230"/>
        <v>6.9847856154910088</v>
      </c>
      <c r="N78" s="144">
        <f t="shared" si="230"/>
        <v>5.3923263048738335</v>
      </c>
      <c r="O78" s="144">
        <f t="shared" si="230"/>
        <v>40.718976840649844</v>
      </c>
      <c r="P78" s="144">
        <f t="shared" si="230"/>
        <v>19.011406844106464</v>
      </c>
      <c r="Q78" s="144">
        <f t="shared" ref="Q78" si="231">Q23/Q42</f>
        <v>19.011406844106464</v>
      </c>
      <c r="R78" s="118">
        <f>((P78/G78)^(1/($H$2-$H$1) ))-1</f>
        <v>9.9273424448448999E-2</v>
      </c>
      <c r="S78" s="128"/>
      <c r="T78" s="146">
        <f t="shared" ref="T78:AC78" si="232">T23/T42</f>
        <v>19.554589896795221</v>
      </c>
      <c r="U78" s="146">
        <f t="shared" si="232"/>
        <v>20.113292465275087</v>
      </c>
      <c r="V78" s="146">
        <f t="shared" si="232"/>
        <v>20.687957964282951</v>
      </c>
      <c r="W78" s="146">
        <f t="shared" si="232"/>
        <v>21.279042477548177</v>
      </c>
      <c r="X78" s="146">
        <f t="shared" si="232"/>
        <v>21.887015119763841</v>
      </c>
      <c r="Y78" s="146">
        <f t="shared" si="232"/>
        <v>22.512358408899949</v>
      </c>
      <c r="Z78" s="146">
        <f t="shared" si="232"/>
        <v>23.155568649154233</v>
      </c>
      <c r="AA78" s="146">
        <f t="shared" si="232"/>
        <v>23.817156324844355</v>
      </c>
      <c r="AB78" s="146">
        <f t="shared" si="232"/>
        <v>24.497646505554194</v>
      </c>
      <c r="AC78" s="146">
        <f t="shared" si="232"/>
        <v>25.19757926285574</v>
      </c>
      <c r="AD78" s="138">
        <f t="shared" ref="AD78" si="233">((AC78/G78)^(1/($AC$3-$H$1) ))-1</f>
        <v>5.8314645508793728E-2</v>
      </c>
      <c r="AE78" s="31">
        <f t="shared" si="15"/>
        <v>0.05</v>
      </c>
      <c r="AF78" s="146">
        <f t="shared" si="170"/>
        <v>155.63210721175608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34">C36/C42</f>
        <v>0</v>
      </c>
      <c r="D80" s="144">
        <f t="shared" si="234"/>
        <v>0</v>
      </c>
      <c r="E80" s="144">
        <f t="shared" si="234"/>
        <v>0</v>
      </c>
      <c r="F80" s="144">
        <f t="shared" si="234"/>
        <v>0</v>
      </c>
      <c r="G80" s="144">
        <f t="shared" si="234"/>
        <v>125.02472799208705</v>
      </c>
      <c r="H80" s="144">
        <f t="shared" si="234"/>
        <v>0</v>
      </c>
      <c r="I80" s="144">
        <f t="shared" si="234"/>
        <v>125.02472799208705</v>
      </c>
      <c r="J80" s="144">
        <f t="shared" si="234"/>
        <v>127.89317507418399</v>
      </c>
      <c r="K80" s="144">
        <f t="shared" si="234"/>
        <v>72.959889349930833</v>
      </c>
      <c r="L80" s="144">
        <f t="shared" si="234"/>
        <v>71.230982019363765</v>
      </c>
      <c r="M80" s="144">
        <f t="shared" si="234"/>
        <v>170.47026279391423</v>
      </c>
      <c r="N80" s="144">
        <f t="shared" si="234"/>
        <v>112.0636017974421</v>
      </c>
      <c r="O80" s="144">
        <f t="shared" si="234"/>
        <v>128.20601451780158</v>
      </c>
      <c r="P80" s="144">
        <f t="shared" si="234"/>
        <v>125.99377808503284</v>
      </c>
      <c r="Q80" s="144">
        <f t="shared" ref="Q80" si="235">Q36/Q42</f>
        <v>125.99377808503284</v>
      </c>
      <c r="R80" s="118">
        <f>((P80/G80)^(1/($H$2-$H$1) ))-1</f>
        <v>8.5825517707838195E-4</v>
      </c>
      <c r="S80" s="128"/>
      <c r="T80" s="144">
        <f t="shared" ref="T80:AC80" si="236">T36/T42</f>
        <v>129.59360031603379</v>
      </c>
      <c r="U80" s="144">
        <f t="shared" si="236"/>
        <v>133.2962746107776</v>
      </c>
      <c r="V80" s="144">
        <f t="shared" si="236"/>
        <v>137.10473959965699</v>
      </c>
      <c r="W80" s="144">
        <f t="shared" si="236"/>
        <v>141.0220178739329</v>
      </c>
      <c r="X80" s="144">
        <f t="shared" si="236"/>
        <v>145.05121838461667</v>
      </c>
      <c r="Y80" s="144">
        <f t="shared" si="236"/>
        <v>149.19553890989144</v>
      </c>
      <c r="Z80" s="144">
        <f t="shared" si="236"/>
        <v>153.45826859303119</v>
      </c>
      <c r="AA80" s="144">
        <f t="shared" si="236"/>
        <v>157.84279055283207</v>
      </c>
      <c r="AB80" s="144">
        <f t="shared" si="236"/>
        <v>162.35258456862726</v>
      </c>
      <c r="AC80" s="144">
        <f t="shared" si="236"/>
        <v>166.99122984201662</v>
      </c>
      <c r="AD80" s="138">
        <f t="shared" ref="AD80:AD82" si="237">((AC80/G80)^(1/($AC$3-$H$1) ))-1</f>
        <v>1.4576706595521571E-2</v>
      </c>
      <c r="AE80" s="31">
        <f t="shared" si="15"/>
        <v>0.05</v>
      </c>
      <c r="AF80" s="146">
        <f t="shared" si="170"/>
        <v>1031.4164196124557</v>
      </c>
    </row>
    <row r="81" spans="2:32" x14ac:dyDescent="0.2">
      <c r="B81" s="20" t="s">
        <v>312</v>
      </c>
      <c r="C81" s="144">
        <f t="shared" ref="C81:P81" si="238">C40/C42</f>
        <v>0</v>
      </c>
      <c r="D81" s="144">
        <f t="shared" si="238"/>
        <v>0</v>
      </c>
      <c r="E81" s="144">
        <f t="shared" si="238"/>
        <v>0</v>
      </c>
      <c r="F81" s="144">
        <f t="shared" si="238"/>
        <v>0</v>
      </c>
      <c r="G81" s="144">
        <f t="shared" si="238"/>
        <v>107.12166172106825</v>
      </c>
      <c r="H81" s="144">
        <f t="shared" si="238"/>
        <v>0</v>
      </c>
      <c r="I81" s="144">
        <f t="shared" si="238"/>
        <v>107.12166172106825</v>
      </c>
      <c r="J81" s="144">
        <f t="shared" si="238"/>
        <v>121.56280909990109</v>
      </c>
      <c r="K81" s="144">
        <f t="shared" si="238"/>
        <v>50.138312586445366</v>
      </c>
      <c r="L81" s="144">
        <f t="shared" si="238"/>
        <v>41.355463347164587</v>
      </c>
      <c r="M81" s="144">
        <f t="shared" si="238"/>
        <v>117.35822959889349</v>
      </c>
      <c r="N81" s="144">
        <f t="shared" si="238"/>
        <v>118.59661251296232</v>
      </c>
      <c r="O81" s="144">
        <f t="shared" si="238"/>
        <v>103.35292084341513</v>
      </c>
      <c r="P81" s="144">
        <f t="shared" si="238"/>
        <v>105.35776011061182</v>
      </c>
      <c r="Q81" s="144">
        <f t="shared" ref="Q81" si="239">Q40/Q42</f>
        <v>112.82405807120637</v>
      </c>
      <c r="R81" s="118">
        <f>((P81/G81)^(1/($H$2-$H$1) ))-1</f>
        <v>-1.8431233748091858E-3</v>
      </c>
      <c r="S81" s="128"/>
      <c r="T81" s="144">
        <f t="shared" ref="T81:AC81" si="240">T40/T42</f>
        <v>116.04760258752655</v>
      </c>
      <c r="U81" s="144">
        <f t="shared" si="240"/>
        <v>119.36324837574161</v>
      </c>
      <c r="V81" s="144">
        <f t="shared" si="240"/>
        <v>122.77362690076281</v>
      </c>
      <c r="W81" s="144">
        <f t="shared" si="240"/>
        <v>126.28144481221317</v>
      </c>
      <c r="X81" s="144">
        <f t="shared" si="240"/>
        <v>129.88948609256209</v>
      </c>
      <c r="Y81" s="144">
        <f t="shared" si="240"/>
        <v>133.60061426663529</v>
      </c>
      <c r="Z81" s="144">
        <f t="shared" si="240"/>
        <v>137.41777467425345</v>
      </c>
      <c r="AA81" s="144">
        <f t="shared" si="240"/>
        <v>141.34399680780356</v>
      </c>
      <c r="AB81" s="144">
        <f t="shared" si="240"/>
        <v>145.38239671659795</v>
      </c>
      <c r="AC81" s="144">
        <f t="shared" si="240"/>
        <v>149.53617947992933</v>
      </c>
      <c r="AD81" s="138">
        <f t="shared" si="237"/>
        <v>1.6818522956664639E-2</v>
      </c>
      <c r="AE81" s="31">
        <f t="shared" si="15"/>
        <v>0.05</v>
      </c>
      <c r="AF81" s="146">
        <f t="shared" si="170"/>
        <v>923.60581443485773</v>
      </c>
    </row>
    <row r="82" spans="2:32" x14ac:dyDescent="0.2">
      <c r="B82" s="20" t="s">
        <v>313</v>
      </c>
      <c r="C82" s="144">
        <f t="shared" ref="C82:P82" si="241">C6/C42</f>
        <v>0</v>
      </c>
      <c r="D82" s="144">
        <f t="shared" si="241"/>
        <v>0</v>
      </c>
      <c r="E82" s="144">
        <f t="shared" si="241"/>
        <v>0</v>
      </c>
      <c r="F82" s="144">
        <f t="shared" si="241"/>
        <v>0</v>
      </c>
      <c r="G82" s="144">
        <f t="shared" si="241"/>
        <v>504.35212660731952</v>
      </c>
      <c r="H82" s="144">
        <f t="shared" si="241"/>
        <v>0</v>
      </c>
      <c r="I82" s="144">
        <f t="shared" si="241"/>
        <v>504.35212660731952</v>
      </c>
      <c r="J82" s="144">
        <f t="shared" si="241"/>
        <v>598.31849653808115</v>
      </c>
      <c r="K82" s="144">
        <f t="shared" si="241"/>
        <v>102.21300138312586</v>
      </c>
      <c r="L82" s="144">
        <f t="shared" si="241"/>
        <v>115.35269709543567</v>
      </c>
      <c r="M82" s="144">
        <f t="shared" si="241"/>
        <v>177.86998616874135</v>
      </c>
      <c r="N82" s="144">
        <f t="shared" si="241"/>
        <v>156.13549948150708</v>
      </c>
      <c r="O82" s="144">
        <f t="shared" si="241"/>
        <v>200.20739716557208</v>
      </c>
      <c r="P82" s="144">
        <f t="shared" si="241"/>
        <v>268.75216038714137</v>
      </c>
      <c r="Q82" s="144">
        <f t="shared" ref="Q82" si="242">Q6/Q42</f>
        <v>341.34116833736607</v>
      </c>
      <c r="R82" s="118">
        <f>((P82/G82)^(1/($H$2-$H$1) ))-1</f>
        <v>-6.7552832169727628E-2</v>
      </c>
      <c r="S82" s="128"/>
      <c r="T82" s="144">
        <f t="shared" ref="T82:AC82" si="243">T6/T42</f>
        <v>351.09377314700509</v>
      </c>
      <c r="U82" s="144">
        <f t="shared" si="243"/>
        <v>361.12502380834809</v>
      </c>
      <c r="V82" s="144">
        <f t="shared" si="243"/>
        <v>371.44288163144381</v>
      </c>
      <c r="W82" s="144">
        <f t="shared" si="243"/>
        <v>382.05553539234216</v>
      </c>
      <c r="X82" s="144">
        <f t="shared" si="243"/>
        <v>392.97140783212336</v>
      </c>
      <c r="Y82" s="144">
        <f t="shared" si="243"/>
        <v>404.19916234161258</v>
      </c>
      <c r="Z82" s="144">
        <f t="shared" si="243"/>
        <v>415.74770983708726</v>
      </c>
      <c r="AA82" s="144">
        <f t="shared" si="243"/>
        <v>427.62621583243265</v>
      </c>
      <c r="AB82" s="144">
        <f t="shared" si="243"/>
        <v>439.84410771335934</v>
      </c>
      <c r="AC82" s="144">
        <f t="shared" si="243"/>
        <v>452.41108221945524</v>
      </c>
      <c r="AD82" s="138">
        <f t="shared" si="237"/>
        <v>-5.4194339731034047E-3</v>
      </c>
      <c r="AE82" s="31">
        <f t="shared" ref="AE82" si="244">$L$1</f>
        <v>0.05</v>
      </c>
      <c r="AF82" s="146">
        <f t="shared" si="170"/>
        <v>2794.3037431201651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45">E36/E25</f>
        <v>#DIV/0!</v>
      </c>
      <c r="F86" s="152" t="e">
        <f t="shared" si="245"/>
        <v>#DIV/0!</v>
      </c>
      <c r="G86" s="152">
        <f t="shared" si="245"/>
        <v>0.15655189497151351</v>
      </c>
      <c r="H86" s="152" t="e">
        <f t="shared" si="245"/>
        <v>#DIV/0!</v>
      </c>
      <c r="I86" s="152">
        <f t="shared" si="245"/>
        <v>0.15655189497151351</v>
      </c>
      <c r="J86" s="152">
        <f t="shared" si="245"/>
        <v>0.12900329242741695</v>
      </c>
      <c r="K86" s="152">
        <f t="shared" si="245"/>
        <v>0.11648448713702109</v>
      </c>
      <c r="L86" s="152">
        <f t="shared" si="245"/>
        <v>0.11874567673507032</v>
      </c>
      <c r="M86" s="152">
        <f t="shared" si="245"/>
        <v>0.2064143359571261</v>
      </c>
      <c r="N86" s="152">
        <f t="shared" si="245"/>
        <v>0.18152295632698767</v>
      </c>
      <c r="O86" s="152">
        <f t="shared" si="245"/>
        <v>0.18416087388282026</v>
      </c>
      <c r="P86" s="152">
        <f t="shared" si="245"/>
        <v>0.17518984908199559</v>
      </c>
      <c r="Q86" s="152">
        <f t="shared" ref="Q86" si="246">Q36/Q25</f>
        <v>0.17491242382072075</v>
      </c>
      <c r="R86" s="118">
        <f t="shared" ref="R86:R139" si="247">((P86/G86)^(1/($H$2-$H$1) ))-1</f>
        <v>1.2576503512355952E-2</v>
      </c>
      <c r="S86" s="152"/>
      <c r="T86" s="152">
        <f t="shared" ref="T86:AC86" si="248">T36/T25</f>
        <v>0.17491242382072075</v>
      </c>
      <c r="U86" s="152">
        <f t="shared" si="248"/>
        <v>0.17491242382072075</v>
      </c>
      <c r="V86" s="152">
        <f t="shared" si="248"/>
        <v>0.17491242382072075</v>
      </c>
      <c r="W86" s="152">
        <f t="shared" si="248"/>
        <v>0.17491242382072075</v>
      </c>
      <c r="X86" s="152">
        <f t="shared" si="248"/>
        <v>0.17491242382072072</v>
      </c>
      <c r="Y86" s="152">
        <f t="shared" si="248"/>
        <v>0.17491242382072075</v>
      </c>
      <c r="Z86" s="152">
        <f t="shared" si="248"/>
        <v>0.17491242382072072</v>
      </c>
      <c r="AA86" s="152">
        <f t="shared" si="248"/>
        <v>0.17491242382072072</v>
      </c>
      <c r="AB86" s="152">
        <f t="shared" si="248"/>
        <v>0.1749124238207207</v>
      </c>
      <c r="AC86" s="152">
        <f t="shared" si="248"/>
        <v>0.17491242382072072</v>
      </c>
      <c r="AD86" s="138">
        <f t="shared" ref="AD86:AD126" si="249">((AC86/G86)^(1/($AC$3-$H$1) ))-1</f>
        <v>5.5602944265400467E-3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50">E40/E25</f>
        <v>#DIV/0!</v>
      </c>
      <c r="F87" s="152" t="e">
        <f t="shared" si="250"/>
        <v>#DIV/0!</v>
      </c>
      <c r="G87" s="152">
        <f t="shared" si="250"/>
        <v>0.13413425811245974</v>
      </c>
      <c r="H87" s="152" t="e">
        <f t="shared" si="250"/>
        <v>#DIV/0!</v>
      </c>
      <c r="I87" s="152">
        <f t="shared" si="250"/>
        <v>0.13413425811245974</v>
      </c>
      <c r="J87" s="152">
        <f t="shared" si="250"/>
        <v>0.12261797864910705</v>
      </c>
      <c r="K87" s="152">
        <f t="shared" si="250"/>
        <v>8.0048581207905492E-2</v>
      </c>
      <c r="L87" s="152">
        <f t="shared" si="250"/>
        <v>6.8941664745215583E-2</v>
      </c>
      <c r="M87" s="152">
        <f t="shared" si="250"/>
        <v>0.14210350025121421</v>
      </c>
      <c r="N87" s="152">
        <f t="shared" si="250"/>
        <v>0.19210526315789472</v>
      </c>
      <c r="O87" s="152">
        <f t="shared" si="250"/>
        <v>0.14846077457795431</v>
      </c>
      <c r="P87" s="152">
        <f t="shared" si="250"/>
        <v>0.14649620301836008</v>
      </c>
      <c r="Q87" s="152">
        <f t="shared" ref="Q87" si="251">Q40/Q25</f>
        <v>0.15662939680406929</v>
      </c>
      <c r="R87" s="118">
        <f t="shared" si="247"/>
        <v>9.8434966808844671E-3</v>
      </c>
      <c r="S87" s="152"/>
      <c r="T87" s="152">
        <f t="shared" ref="T87:AC87" si="252">T40/T25</f>
        <v>0.15662939680406929</v>
      </c>
      <c r="U87" s="152">
        <f t="shared" si="252"/>
        <v>0.15662939680406929</v>
      </c>
      <c r="V87" s="152">
        <f t="shared" si="252"/>
        <v>0.15662939680406929</v>
      </c>
      <c r="W87" s="152">
        <f t="shared" si="252"/>
        <v>0.15662939680406929</v>
      </c>
      <c r="X87" s="152">
        <f t="shared" si="252"/>
        <v>0.15662939680406929</v>
      </c>
      <c r="Y87" s="152">
        <f t="shared" si="252"/>
        <v>0.15662939680406929</v>
      </c>
      <c r="Z87" s="152">
        <f t="shared" si="252"/>
        <v>0.15662939680406929</v>
      </c>
      <c r="AA87" s="152">
        <f t="shared" si="252"/>
        <v>0.15662939680406929</v>
      </c>
      <c r="AB87" s="152">
        <f t="shared" si="252"/>
        <v>0.15662939680406929</v>
      </c>
      <c r="AC87" s="152">
        <f t="shared" si="252"/>
        <v>0.15662939680406929</v>
      </c>
      <c r="AD87" s="138">
        <f t="shared" si="249"/>
        <v>7.7821880551900424E-3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53">E40/E7</f>
        <v>#DIV/0!</v>
      </c>
      <c r="F88" s="152" t="e">
        <f t="shared" si="253"/>
        <v>#DIV/0!</v>
      </c>
      <c r="G88" s="152">
        <f>G40/G7</f>
        <v>0.20822918669486637</v>
      </c>
      <c r="H88" s="152" t="e">
        <f t="shared" si="253"/>
        <v>#DIV/0!</v>
      </c>
      <c r="I88" s="152">
        <f t="shared" si="253"/>
        <v>0.20822918669486637</v>
      </c>
      <c r="J88" s="152">
        <f t="shared" si="253"/>
        <v>0.19983739837398373</v>
      </c>
      <c r="K88" s="152">
        <f t="shared" si="253"/>
        <v>0.44670363524337647</v>
      </c>
      <c r="L88" s="152">
        <f t="shared" si="253"/>
        <v>0.33002207505518766</v>
      </c>
      <c r="M88" s="152">
        <f t="shared" si="253"/>
        <v>0.6248159057437408</v>
      </c>
      <c r="N88" s="152">
        <f t="shared" si="253"/>
        <v>0.71375078011233617</v>
      </c>
      <c r="O88" s="152">
        <f t="shared" si="253"/>
        <v>0.49169544482815325</v>
      </c>
      <c r="P88" s="152">
        <f t="shared" ref="P88:Q88" si="254">P40/P7</f>
        <v>0.37792932424054559</v>
      </c>
      <c r="Q88" s="152">
        <f t="shared" si="254"/>
        <v>0.32103865447034524</v>
      </c>
      <c r="R88" s="118">
        <f t="shared" si="247"/>
        <v>6.8472185054373913E-2</v>
      </c>
      <c r="S88" s="20"/>
      <c r="T88" s="152">
        <f t="shared" ref="T88" si="255">T40/T7</f>
        <v>0.32103865447034524</v>
      </c>
      <c r="U88" s="152">
        <f t="shared" ref="U88:AC88" si="256">U40/U7</f>
        <v>0.32103865447034524</v>
      </c>
      <c r="V88" s="152">
        <f t="shared" si="256"/>
        <v>0.32103865447034524</v>
      </c>
      <c r="W88" s="152">
        <f t="shared" si="256"/>
        <v>0.32103865447034524</v>
      </c>
      <c r="X88" s="152">
        <f t="shared" si="256"/>
        <v>0.32103865447034524</v>
      </c>
      <c r="Y88" s="152">
        <f t="shared" si="256"/>
        <v>0.32103865447034524</v>
      </c>
      <c r="Z88" s="152">
        <f t="shared" si="256"/>
        <v>0.32103865447034524</v>
      </c>
      <c r="AA88" s="152">
        <f t="shared" si="256"/>
        <v>0.3210386544703453</v>
      </c>
      <c r="AB88" s="152">
        <f t="shared" si="256"/>
        <v>0.3210386544703453</v>
      </c>
      <c r="AC88" s="152">
        <f t="shared" si="256"/>
        <v>0.3210386544703453</v>
      </c>
      <c r="AD88" s="138">
        <f t="shared" si="249"/>
        <v>2.1882086753822305E-2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57">(E40)/(E7+E10)</f>
        <v>#DIV/0!</v>
      </c>
      <c r="F89" s="152" t="e">
        <f t="shared" si="257"/>
        <v>#DIV/0!</v>
      </c>
      <c r="G89" s="152">
        <f>(G40)/(G7+G10)</f>
        <v>0.1623688155922039</v>
      </c>
      <c r="H89" s="152" t="e">
        <f t="shared" ref="H89:O89" si="258">(H40)/(H7+H10)</f>
        <v>#DIV/0!</v>
      </c>
      <c r="I89" s="152">
        <f t="shared" si="258"/>
        <v>0.1623688155922039</v>
      </c>
      <c r="J89" s="152">
        <f t="shared" si="258"/>
        <v>0.15807073954983922</v>
      </c>
      <c r="K89" s="152">
        <f t="shared" si="258"/>
        <v>0.24418996295048839</v>
      </c>
      <c r="L89" s="152">
        <f t="shared" si="258"/>
        <v>0.17552098620487233</v>
      </c>
      <c r="M89" s="152">
        <f t="shared" si="258"/>
        <v>0.41623742948246262</v>
      </c>
      <c r="N89" s="152">
        <f t="shared" si="258"/>
        <v>0.66569654637175013</v>
      </c>
      <c r="O89" s="152">
        <f t="shared" si="258"/>
        <v>0.4819471308833011</v>
      </c>
      <c r="P89" s="152">
        <f t="shared" ref="P89:Q89" si="259">(P40)/(P7+P10)</f>
        <v>0.37339213524439546</v>
      </c>
      <c r="Q89" s="152">
        <f t="shared" si="259"/>
        <v>0.31797369702873846</v>
      </c>
      <c r="R89" s="118">
        <f t="shared" si="247"/>
        <v>9.694468207698681E-2</v>
      </c>
      <c r="S89" s="20"/>
      <c r="T89" s="152">
        <f t="shared" ref="T89:AC89" si="260">(T40)/(T7+T10)</f>
        <v>0.31797369702873846</v>
      </c>
      <c r="U89" s="152">
        <f t="shared" si="260"/>
        <v>0.31797369702873846</v>
      </c>
      <c r="V89" s="152">
        <f t="shared" si="260"/>
        <v>0.31797369702873846</v>
      </c>
      <c r="W89" s="152">
        <f t="shared" si="260"/>
        <v>0.31797369702873846</v>
      </c>
      <c r="X89" s="152">
        <f t="shared" si="260"/>
        <v>0.3179736970287384</v>
      </c>
      <c r="Y89" s="152">
        <f t="shared" si="260"/>
        <v>0.3179736970287384</v>
      </c>
      <c r="Z89" s="152">
        <f t="shared" si="260"/>
        <v>0.3179736970287384</v>
      </c>
      <c r="AA89" s="152">
        <f t="shared" si="260"/>
        <v>0.31797369702873846</v>
      </c>
      <c r="AB89" s="152">
        <f t="shared" si="260"/>
        <v>0.31797369702873851</v>
      </c>
      <c r="AC89" s="152">
        <f t="shared" si="260"/>
        <v>0.31797369702873851</v>
      </c>
      <c r="AD89" s="138">
        <f t="shared" si="249"/>
        <v>3.4175937493718278E-2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0.13277186029229626</v>
      </c>
      <c r="H90" s="152" t="e">
        <f t="shared" ref="H90:P90" si="261">H20/H25</f>
        <v>#DIV/0!</v>
      </c>
      <c r="I90" s="152">
        <f t="shared" si="261"/>
        <v>0.13277186029229626</v>
      </c>
      <c r="J90" s="152">
        <f t="shared" si="261"/>
        <v>6.804349995011473E-2</v>
      </c>
      <c r="K90" s="152">
        <f t="shared" si="261"/>
        <v>0</v>
      </c>
      <c r="L90" s="152">
        <f t="shared" si="261"/>
        <v>4.7382983629236798E-2</v>
      </c>
      <c r="M90" s="152">
        <f t="shared" si="261"/>
        <v>0.22919109026963658</v>
      </c>
      <c r="N90" s="152">
        <f t="shared" si="261"/>
        <v>0.11270996640537514</v>
      </c>
      <c r="O90" s="152">
        <f t="shared" si="261"/>
        <v>0.14692154915590863</v>
      </c>
      <c r="P90" s="152">
        <f t="shared" si="261"/>
        <v>0.10256656733634528</v>
      </c>
      <c r="Q90" s="152">
        <f t="shared" ref="Q90" si="262">Q20/Q25</f>
        <v>0.10240414607226835</v>
      </c>
      <c r="R90" s="118">
        <f t="shared" si="247"/>
        <v>-2.8272664264627489E-2</v>
      </c>
      <c r="S90" s="20"/>
      <c r="T90" s="152">
        <f t="shared" ref="T90:AC90" si="263">T20/T25</f>
        <v>0.10240414607226835</v>
      </c>
      <c r="U90" s="152">
        <f t="shared" si="263"/>
        <v>0.10240414607226835</v>
      </c>
      <c r="V90" s="152">
        <f t="shared" si="263"/>
        <v>0.10240414607226835</v>
      </c>
      <c r="W90" s="152">
        <f t="shared" si="263"/>
        <v>0.10240414607226836</v>
      </c>
      <c r="X90" s="152">
        <f t="shared" si="263"/>
        <v>0.10240414607226835</v>
      </c>
      <c r="Y90" s="152">
        <f t="shared" si="263"/>
        <v>0.10240414607226835</v>
      </c>
      <c r="Z90" s="152">
        <f t="shared" si="263"/>
        <v>0.10240414607226835</v>
      </c>
      <c r="AA90" s="152">
        <f t="shared" si="263"/>
        <v>0.10240414607226835</v>
      </c>
      <c r="AB90" s="152">
        <f t="shared" si="263"/>
        <v>0.10240414607226833</v>
      </c>
      <c r="AC90" s="152">
        <f t="shared" si="263"/>
        <v>0.10240414607226835</v>
      </c>
      <c r="AD90" s="138">
        <f t="shared" si="249"/>
        <v>-1.2901311226313328E-2</v>
      </c>
      <c r="AE90" s="146"/>
      <c r="AF90" s="146"/>
    </row>
    <row r="91" spans="2:32" x14ac:dyDescent="0.2">
      <c r="B91" s="20" t="s">
        <v>428</v>
      </c>
      <c r="C91" s="152"/>
      <c r="D91" s="152"/>
      <c r="E91" s="152"/>
      <c r="F91" s="152"/>
      <c r="G91" s="152">
        <f>G52/G25</f>
        <v>5.6477582363140946E-2</v>
      </c>
      <c r="H91" s="152" t="e">
        <f t="shared" ref="H91:P91" si="264">H52/H25</f>
        <v>#DIV/0!</v>
      </c>
      <c r="I91" s="152">
        <f t="shared" si="264"/>
        <v>5.6477582363140946E-2</v>
      </c>
      <c r="J91" s="152">
        <f t="shared" si="264"/>
        <v>4.9985034420832089E-2</v>
      </c>
      <c r="K91" s="152">
        <f t="shared" si="264"/>
        <v>3.4338081042287735E-2</v>
      </c>
      <c r="L91" s="152">
        <f t="shared" si="264"/>
        <v>3.1127507493659213E-2</v>
      </c>
      <c r="M91" s="152">
        <f t="shared" si="264"/>
        <v>5.7025623848601575E-2</v>
      </c>
      <c r="N91" s="152">
        <f t="shared" si="264"/>
        <v>5.3975363941769314E-2</v>
      </c>
      <c r="O91" s="152">
        <f t="shared" si="264"/>
        <v>5.079443892750745E-2</v>
      </c>
      <c r="P91" s="152">
        <f t="shared" si="264"/>
        <v>5.9021436124194943E-2</v>
      </c>
      <c r="Q91" s="152">
        <f t="shared" ref="Q91" si="265">Q52/Q25</f>
        <v>4.8562790920869521E-2</v>
      </c>
      <c r="R91" s="118">
        <f t="shared" si="247"/>
        <v>4.9072139037298346E-3</v>
      </c>
      <c r="S91" s="20"/>
      <c r="T91" s="152">
        <f t="shared" ref="T91:AC91" si="266">T52/T25</f>
        <v>4.85627909208695E-2</v>
      </c>
      <c r="U91" s="152">
        <f t="shared" si="266"/>
        <v>4.8562790920869514E-2</v>
      </c>
      <c r="V91" s="152">
        <f t="shared" si="266"/>
        <v>4.8562790920869507E-2</v>
      </c>
      <c r="W91" s="152">
        <f t="shared" si="266"/>
        <v>4.8562790920869514E-2</v>
      </c>
      <c r="X91" s="152">
        <f t="shared" si="266"/>
        <v>4.8562790920869514E-2</v>
      </c>
      <c r="Y91" s="152">
        <f t="shared" si="266"/>
        <v>4.8562790920869521E-2</v>
      </c>
      <c r="Z91" s="152">
        <f t="shared" si="266"/>
        <v>4.8562790920869514E-2</v>
      </c>
      <c r="AA91" s="152">
        <f t="shared" si="266"/>
        <v>4.8562790920869514E-2</v>
      </c>
      <c r="AB91" s="152">
        <f t="shared" si="266"/>
        <v>4.8562790920869507E-2</v>
      </c>
      <c r="AC91" s="152">
        <f t="shared" si="266"/>
        <v>4.8562790920869521E-2</v>
      </c>
      <c r="AD91" s="138">
        <f t="shared" si="249"/>
        <v>-7.5208839607804334E-3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4.2110478077780531E-5</v>
      </c>
      <c r="H93" s="152" t="e">
        <f t="shared" ref="H93:P93" si="267">H29/H25</f>
        <v>#DIV/0!</v>
      </c>
      <c r="I93" s="152">
        <f t="shared" si="267"/>
        <v>4.2110478077780531E-5</v>
      </c>
      <c r="J93" s="152">
        <f t="shared" si="267"/>
        <v>4.988526389304599E-4</v>
      </c>
      <c r="K93" s="152">
        <f t="shared" si="267"/>
        <v>5.6972507452798945E-4</v>
      </c>
      <c r="L93" s="152">
        <f t="shared" si="267"/>
        <v>2.5363154254092689E-3</v>
      </c>
      <c r="M93" s="152">
        <f t="shared" si="267"/>
        <v>5.8616647127784287E-4</v>
      </c>
      <c r="N93" s="152">
        <f t="shared" si="267"/>
        <v>1.1198208286674133E-4</v>
      </c>
      <c r="O93" s="152">
        <f t="shared" si="267"/>
        <v>1.1420059582919564E-3</v>
      </c>
      <c r="P93" s="152">
        <f t="shared" si="267"/>
        <v>9.6126117466115537E-5</v>
      </c>
      <c r="Q93" s="152">
        <f t="shared" ref="Q93" si="268">Q29/Q25</f>
        <v>9.5973895100532659E-5</v>
      </c>
      <c r="R93" s="118">
        <f t="shared" si="247"/>
        <v>9.6043811768506737E-2</v>
      </c>
      <c r="S93" s="20"/>
      <c r="T93" s="152">
        <f t="shared" ref="T93:AC93" si="269">T29/T25</f>
        <v>9.5973895100532646E-5</v>
      </c>
      <c r="U93" s="152">
        <f t="shared" si="269"/>
        <v>9.5973895100532646E-5</v>
      </c>
      <c r="V93" s="152">
        <f t="shared" si="269"/>
        <v>9.5973895100532646E-5</v>
      </c>
      <c r="W93" s="152">
        <f t="shared" si="269"/>
        <v>9.5973895100532646E-5</v>
      </c>
      <c r="X93" s="152">
        <f t="shared" si="269"/>
        <v>9.5973895100532646E-5</v>
      </c>
      <c r="Y93" s="152">
        <f t="shared" si="269"/>
        <v>9.5973895100532659E-5</v>
      </c>
      <c r="Z93" s="152">
        <f t="shared" si="269"/>
        <v>9.5973895100532646E-5</v>
      </c>
      <c r="AA93" s="152">
        <f t="shared" si="269"/>
        <v>9.5973895100532646E-5</v>
      </c>
      <c r="AB93" s="152">
        <f t="shared" si="269"/>
        <v>9.5973895100532646E-5</v>
      </c>
      <c r="AC93" s="152">
        <f t="shared" si="269"/>
        <v>9.5973895100532659E-5</v>
      </c>
      <c r="AD93" s="138">
        <f t="shared" si="249"/>
        <v>4.2049015095258824E-2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2.6898734177215191E-4</v>
      </c>
      <c r="H94" s="152" t="e">
        <f t="shared" ref="H94:P94" si="270">H29/H36</f>
        <v>#DIV/0!</v>
      </c>
      <c r="I94" s="152">
        <f t="shared" si="270"/>
        <v>2.6898734177215191E-4</v>
      </c>
      <c r="J94" s="152">
        <f t="shared" si="270"/>
        <v>3.8669760247486465E-3</v>
      </c>
      <c r="K94" s="152">
        <f t="shared" si="270"/>
        <v>4.8909952606635068E-3</v>
      </c>
      <c r="L94" s="152">
        <f t="shared" si="270"/>
        <v>2.1359223300970873E-2</v>
      </c>
      <c r="M94" s="152">
        <f t="shared" si="270"/>
        <v>2.8397565922920892E-3</v>
      </c>
      <c r="N94" s="152">
        <f t="shared" si="270"/>
        <v>6.1690314620604567E-4</v>
      </c>
      <c r="O94" s="152">
        <f t="shared" si="270"/>
        <v>6.2011323806956051E-3</v>
      </c>
      <c r="P94" s="152">
        <f t="shared" si="270"/>
        <v>5.4869684499314131E-4</v>
      </c>
      <c r="Q94" s="152">
        <f t="shared" ref="Q94" si="271">Q29/Q36</f>
        <v>5.4869684499314131E-4</v>
      </c>
      <c r="R94" s="118">
        <f t="shared" ref="R94" si="272">((P94/G94)^(1/($H$2-$H$1) ))-1</f>
        <v>8.2430619283210049E-2</v>
      </c>
      <c r="S94" s="20"/>
      <c r="T94" s="152">
        <f t="shared" ref="T94:AC94" si="273">T29/T36</f>
        <v>5.4869684499314131E-4</v>
      </c>
      <c r="U94" s="152">
        <f t="shared" si="273"/>
        <v>5.4869684499314131E-4</v>
      </c>
      <c r="V94" s="152">
        <f t="shared" si="273"/>
        <v>5.4869684499314121E-4</v>
      </c>
      <c r="W94" s="152">
        <f t="shared" si="273"/>
        <v>5.4869684499314131E-4</v>
      </c>
      <c r="X94" s="152">
        <f t="shared" si="273"/>
        <v>5.4869684499314131E-4</v>
      </c>
      <c r="Y94" s="152">
        <f t="shared" si="273"/>
        <v>5.4869684499314131E-4</v>
      </c>
      <c r="Z94" s="152">
        <f t="shared" si="273"/>
        <v>5.4869684499314131E-4</v>
      </c>
      <c r="AA94" s="152">
        <f t="shared" si="273"/>
        <v>5.4869684499314142E-4</v>
      </c>
      <c r="AB94" s="152">
        <f t="shared" si="273"/>
        <v>5.4869684499314142E-4</v>
      </c>
      <c r="AC94" s="152">
        <f t="shared" si="273"/>
        <v>5.4869684499314142E-4</v>
      </c>
      <c r="AD94" s="138">
        <f t="shared" ref="AD94" si="274">((AC94/G94)^(1/($AC$3-$H$1) ))-1</f>
        <v>3.6286954517757541E-2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75">G29/G40</f>
        <v>3.1394275161588184E-4</v>
      </c>
      <c r="H95" s="171" t="e">
        <f t="shared" si="275"/>
        <v>#DIV/0!</v>
      </c>
      <c r="I95" s="171">
        <f t="shared" si="275"/>
        <v>3.1394275161588184E-4</v>
      </c>
      <c r="J95" s="171">
        <f t="shared" si="275"/>
        <v>4.0683482506102524E-3</v>
      </c>
      <c r="K95" s="171">
        <f t="shared" si="275"/>
        <v>7.1172413793103451E-3</v>
      </c>
      <c r="L95" s="171">
        <f t="shared" si="275"/>
        <v>3.678929765886288E-2</v>
      </c>
      <c r="M95" s="171">
        <f t="shared" si="275"/>
        <v>4.1249263406010605E-3</v>
      </c>
      <c r="N95" s="171">
        <f t="shared" si="275"/>
        <v>5.8292043136111925E-4</v>
      </c>
      <c r="O95" s="171">
        <f t="shared" si="275"/>
        <v>7.6923076923076927E-3</v>
      </c>
      <c r="P95" s="171">
        <f t="shared" si="275"/>
        <v>6.5616797900262466E-4</v>
      </c>
      <c r="Q95" s="171">
        <f t="shared" ref="Q95" si="276">Q29/Q40</f>
        <v>6.1274509803921568E-4</v>
      </c>
      <c r="R95" s="118">
        <f t="shared" ref="R95" si="277">((P95/G95)^(1/($H$2-$H$1) ))-1</f>
        <v>8.5360073487567467E-2</v>
      </c>
      <c r="S95" s="20"/>
      <c r="T95" s="171">
        <f t="shared" ref="T95:AC95" si="278">T29/T40</f>
        <v>6.1274509803921568E-4</v>
      </c>
      <c r="U95" s="171">
        <f t="shared" si="278"/>
        <v>6.1274509803921568E-4</v>
      </c>
      <c r="V95" s="171">
        <f t="shared" si="278"/>
        <v>6.1274509803921568E-4</v>
      </c>
      <c r="W95" s="171">
        <f t="shared" si="278"/>
        <v>6.1274509803921568E-4</v>
      </c>
      <c r="X95" s="171">
        <f t="shared" si="278"/>
        <v>6.1274509803921568E-4</v>
      </c>
      <c r="Y95" s="171">
        <f t="shared" si="278"/>
        <v>6.1274509803921568E-4</v>
      </c>
      <c r="Z95" s="171">
        <f t="shared" si="278"/>
        <v>6.1274509803921568E-4</v>
      </c>
      <c r="AA95" s="171">
        <f t="shared" si="278"/>
        <v>6.1274509803921568E-4</v>
      </c>
      <c r="AB95" s="171">
        <f t="shared" si="278"/>
        <v>6.1274509803921568E-4</v>
      </c>
      <c r="AC95" s="171">
        <f t="shared" si="278"/>
        <v>6.1274509803921568E-4</v>
      </c>
      <c r="AD95" s="138">
        <f t="shared" ref="AD95" si="279">((AC95/G95)^(1/($AC$3-$H$1) ))-1</f>
        <v>3.4002215405490421E-2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80">G29/G12</f>
        <v>7.1278825995807135E-4</v>
      </c>
      <c r="H96" s="171" t="e">
        <f t="shared" si="280"/>
        <v>#DIV/0!</v>
      </c>
      <c r="I96" s="171">
        <f t="shared" si="280"/>
        <v>7.1278825995807135E-4</v>
      </c>
      <c r="J96" s="171">
        <f t="shared" si="280"/>
        <v>6.6137566137566134E-3</v>
      </c>
      <c r="K96" s="171">
        <f t="shared" si="280"/>
        <v>7.2676056338028178E-2</v>
      </c>
      <c r="L96" s="171">
        <f t="shared" si="280"/>
        <v>0.15492957746478872</v>
      </c>
      <c r="M96" s="171">
        <f t="shared" si="280"/>
        <v>6.6037735849056603E-2</v>
      </c>
      <c r="N96" s="171">
        <f t="shared" si="280"/>
        <v>1.1494252873563218E-2</v>
      </c>
      <c r="O96" s="171">
        <f t="shared" si="280"/>
        <v>1.3863773357444244E-2</v>
      </c>
      <c r="P96" s="171">
        <f t="shared" si="280"/>
        <v>3.5335689045936395E-3</v>
      </c>
      <c r="Q96" s="171">
        <f t="shared" ref="Q96" si="281">Q29/Q12</f>
        <v>3.5335689045936395E-3</v>
      </c>
      <c r="R96" s="118">
        <f t="shared" si="247"/>
        <v>0.19467654216938191</v>
      </c>
      <c r="S96" s="20"/>
      <c r="T96" s="152">
        <f t="shared" ref="T96:AC96" si="282">T29/T12</f>
        <v>3.5335689045936391E-3</v>
      </c>
      <c r="U96" s="152">
        <f t="shared" si="282"/>
        <v>3.5335689045936391E-3</v>
      </c>
      <c r="V96" s="152">
        <f t="shared" si="282"/>
        <v>3.5335689045936391E-3</v>
      </c>
      <c r="W96" s="152">
        <f t="shared" si="282"/>
        <v>3.5335689045936391E-3</v>
      </c>
      <c r="X96" s="152">
        <f t="shared" si="282"/>
        <v>3.5335689045936387E-3</v>
      </c>
      <c r="Y96" s="152">
        <f t="shared" si="282"/>
        <v>3.5335689045936391E-3</v>
      </c>
      <c r="Z96" s="152">
        <f t="shared" si="282"/>
        <v>3.5335689045936391E-3</v>
      </c>
      <c r="AA96" s="152">
        <f t="shared" si="282"/>
        <v>3.5335689045936391E-3</v>
      </c>
      <c r="AB96" s="152">
        <f t="shared" si="282"/>
        <v>3.5335689045936391E-3</v>
      </c>
      <c r="AC96" s="152">
        <f t="shared" si="282"/>
        <v>3.5335689045936391E-3</v>
      </c>
      <c r="AD96" s="138">
        <f t="shared" si="249"/>
        <v>8.3334692979611491E-2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>
        <f>G29/G23</f>
        <v>4.1463414634146344E-3</v>
      </c>
      <c r="H97" s="171" t="e">
        <f t="shared" ref="H97:P97" si="283">H29/H23</f>
        <v>#DIV/0!</v>
      </c>
      <c r="I97" s="171">
        <f t="shared" si="283"/>
        <v>4.1463414634146344E-3</v>
      </c>
      <c r="J97" s="171">
        <f t="shared" si="283"/>
        <v>6.0240963855421686E-2</v>
      </c>
      <c r="K97" s="171" t="e">
        <f t="shared" si="283"/>
        <v>#DIV/0!</v>
      </c>
      <c r="L97" s="171">
        <f t="shared" si="283"/>
        <v>0.16176470588235295</v>
      </c>
      <c r="M97" s="171">
        <f t="shared" si="283"/>
        <v>6.9306930693069313E-2</v>
      </c>
      <c r="N97" s="171">
        <f t="shared" si="283"/>
        <v>1.282051282051282E-2</v>
      </c>
      <c r="O97" s="171">
        <f t="shared" si="283"/>
        <v>1.9524617996604415E-2</v>
      </c>
      <c r="P97" s="171">
        <f t="shared" si="283"/>
        <v>3.6363636363636364E-3</v>
      </c>
      <c r="Q97" s="171">
        <f t="shared" ref="Q97" si="284">Q29/Q23</f>
        <v>3.6363636363636364E-3</v>
      </c>
      <c r="R97" s="118">
        <f t="shared" ref="R97" si="285">((P97/G97)^(1/($H$2-$H$1) ))-1</f>
        <v>-1.4476656242641051E-2</v>
      </c>
      <c r="S97" s="20"/>
      <c r="T97" s="171">
        <f t="shared" ref="T97:AC97" si="286">T29/T23</f>
        <v>3.6363636363636368E-3</v>
      </c>
      <c r="U97" s="171">
        <f t="shared" si="286"/>
        <v>3.6363636363636364E-3</v>
      </c>
      <c r="V97" s="171">
        <f t="shared" si="286"/>
        <v>3.6363636363636359E-3</v>
      </c>
      <c r="W97" s="171">
        <f t="shared" si="286"/>
        <v>3.6363636363636355E-3</v>
      </c>
      <c r="X97" s="171">
        <f t="shared" si="286"/>
        <v>3.6363636363636351E-3</v>
      </c>
      <c r="Y97" s="171">
        <f t="shared" si="286"/>
        <v>3.6363636363636355E-3</v>
      </c>
      <c r="Z97" s="171">
        <f t="shared" si="286"/>
        <v>3.6363636363636355E-3</v>
      </c>
      <c r="AA97" s="171">
        <f t="shared" si="286"/>
        <v>3.6363636363636355E-3</v>
      </c>
      <c r="AB97" s="171">
        <f t="shared" si="286"/>
        <v>3.6363636363636355E-3</v>
      </c>
      <c r="AC97" s="171">
        <f t="shared" si="286"/>
        <v>3.6363636363636359E-3</v>
      </c>
      <c r="AD97" s="138">
        <f t="shared" ref="AD97" si="287">((AC97/G97)^(1/($AC$3-$H$1) ))-1</f>
        <v>-6.5406258296050179E-3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402</v>
      </c>
      <c r="C99" s="152"/>
      <c r="D99" s="152"/>
      <c r="E99" s="152"/>
      <c r="F99" s="152"/>
      <c r="G99" s="127">
        <f>1/G93</f>
        <v>23747.058823529413</v>
      </c>
      <c r="H99" s="127" t="e">
        <f t="shared" ref="H99:P99" si="288">1/H93</f>
        <v>#DIV/0!</v>
      </c>
      <c r="I99" s="127">
        <f t="shared" si="288"/>
        <v>23747.058823529413</v>
      </c>
      <c r="J99" s="127">
        <f t="shared" si="288"/>
        <v>2004.6000000000001</v>
      </c>
      <c r="K99" s="127">
        <f t="shared" si="288"/>
        <v>1755.2325581395348</v>
      </c>
      <c r="L99" s="127">
        <f t="shared" si="288"/>
        <v>394.27272727272731</v>
      </c>
      <c r="M99" s="127">
        <f t="shared" si="288"/>
        <v>1706.0000000000002</v>
      </c>
      <c r="N99" s="127">
        <f t="shared" si="288"/>
        <v>8930</v>
      </c>
      <c r="O99" s="127">
        <f t="shared" si="288"/>
        <v>875.65217391304338</v>
      </c>
      <c r="P99" s="127">
        <f t="shared" si="288"/>
        <v>10403</v>
      </c>
      <c r="Q99" s="127">
        <f t="shared" ref="Q99" si="289">1/Q93</f>
        <v>10419.5</v>
      </c>
      <c r="R99" s="118">
        <f t="shared" si="247"/>
        <v>-8.7627712265932689E-2</v>
      </c>
      <c r="S99" s="20"/>
      <c r="T99" s="127">
        <f t="shared" ref="T99:AC99" si="290">1/T93</f>
        <v>10419.500000000002</v>
      </c>
      <c r="U99" s="127">
        <f t="shared" si="290"/>
        <v>10419.500000000002</v>
      </c>
      <c r="V99" s="127">
        <f t="shared" si="290"/>
        <v>10419.500000000002</v>
      </c>
      <c r="W99" s="127">
        <f t="shared" si="290"/>
        <v>10419.500000000002</v>
      </c>
      <c r="X99" s="127">
        <f t="shared" si="290"/>
        <v>10419.500000000002</v>
      </c>
      <c r="Y99" s="127">
        <f t="shared" si="290"/>
        <v>10419.5</v>
      </c>
      <c r="Z99" s="127">
        <f t="shared" si="290"/>
        <v>10419.500000000002</v>
      </c>
      <c r="AA99" s="127">
        <f t="shared" si="290"/>
        <v>10419.500000000002</v>
      </c>
      <c r="AB99" s="127">
        <f t="shared" si="290"/>
        <v>10419.500000000002</v>
      </c>
      <c r="AC99" s="127">
        <f t="shared" si="290"/>
        <v>10419.5</v>
      </c>
      <c r="AD99" s="138">
        <f t="shared" si="249"/>
        <v>-4.0352243019408207E-2</v>
      </c>
      <c r="AE99" s="146"/>
      <c r="AF99" s="146"/>
    </row>
    <row r="100" spans="2:32" ht="12" customHeight="1" x14ac:dyDescent="0.2">
      <c r="B100" s="20" t="s">
        <v>403</v>
      </c>
      <c r="C100" s="152"/>
      <c r="D100" s="152"/>
      <c r="E100" s="152"/>
      <c r="F100" s="152"/>
      <c r="G100" s="127">
        <f t="shared" ref="G100:P103" si="291">1/G94</f>
        <v>3717.6470588235293</v>
      </c>
      <c r="H100" s="127" t="e">
        <f t="shared" si="291"/>
        <v>#DIV/0!</v>
      </c>
      <c r="I100" s="127">
        <f t="shared" si="291"/>
        <v>3717.6470588235293</v>
      </c>
      <c r="J100" s="127">
        <f t="shared" si="291"/>
        <v>258.60000000000002</v>
      </c>
      <c r="K100" s="127">
        <f t="shared" si="291"/>
        <v>204.45736434108528</v>
      </c>
      <c r="L100" s="127">
        <f t="shared" si="291"/>
        <v>46.81818181818182</v>
      </c>
      <c r="M100" s="127">
        <f t="shared" si="291"/>
        <v>352.14285714285717</v>
      </c>
      <c r="N100" s="127">
        <f t="shared" si="291"/>
        <v>1621</v>
      </c>
      <c r="O100" s="127">
        <f t="shared" si="291"/>
        <v>161.2608695652174</v>
      </c>
      <c r="P100" s="127">
        <f t="shared" si="291"/>
        <v>1822.5</v>
      </c>
      <c r="Q100" s="127">
        <f t="shared" ref="Q100" si="292">1/Q94</f>
        <v>1822.5</v>
      </c>
      <c r="R100" s="118">
        <f t="shared" si="247"/>
        <v>-7.615325898466907E-2</v>
      </c>
      <c r="S100" s="20"/>
      <c r="T100" s="127">
        <f t="shared" ref="T100:AC100" si="293">1/T94</f>
        <v>1822.5</v>
      </c>
      <c r="U100" s="127">
        <f t="shared" si="293"/>
        <v>1822.5</v>
      </c>
      <c r="V100" s="127">
        <f t="shared" si="293"/>
        <v>1822.5000000000002</v>
      </c>
      <c r="W100" s="127">
        <f t="shared" si="293"/>
        <v>1822.5</v>
      </c>
      <c r="X100" s="127">
        <f t="shared" si="293"/>
        <v>1822.5</v>
      </c>
      <c r="Y100" s="127">
        <f t="shared" si="293"/>
        <v>1822.5</v>
      </c>
      <c r="Z100" s="127">
        <f t="shared" si="293"/>
        <v>1822.5</v>
      </c>
      <c r="AA100" s="127">
        <f t="shared" si="293"/>
        <v>1822.4999999999995</v>
      </c>
      <c r="AB100" s="127">
        <f t="shared" si="293"/>
        <v>1822.4999999999995</v>
      </c>
      <c r="AC100" s="127">
        <f t="shared" si="293"/>
        <v>1822.4999999999995</v>
      </c>
      <c r="AD100" s="138">
        <f t="shared" si="249"/>
        <v>-3.5016318944827374E-2</v>
      </c>
      <c r="AE100" s="146"/>
      <c r="AF100" s="146"/>
    </row>
    <row r="101" spans="2:32" ht="12" customHeight="1" x14ac:dyDescent="0.2">
      <c r="B101" s="20" t="s">
        <v>404</v>
      </c>
      <c r="C101" s="152"/>
      <c r="D101" s="152"/>
      <c r="E101" s="152"/>
      <c r="F101" s="152"/>
      <c r="G101" s="127">
        <f t="shared" si="291"/>
        <v>3185.2941176470586</v>
      </c>
      <c r="H101" s="127" t="e">
        <f t="shared" si="291"/>
        <v>#DIV/0!</v>
      </c>
      <c r="I101" s="127">
        <f t="shared" si="291"/>
        <v>3185.2941176470586</v>
      </c>
      <c r="J101" s="127">
        <f t="shared" si="291"/>
        <v>245.79999999999998</v>
      </c>
      <c r="K101" s="127">
        <f t="shared" si="291"/>
        <v>140.50387596899225</v>
      </c>
      <c r="L101" s="127">
        <f t="shared" si="291"/>
        <v>27.18181818181818</v>
      </c>
      <c r="M101" s="127">
        <f t="shared" si="291"/>
        <v>242.42857142857144</v>
      </c>
      <c r="N101" s="127">
        <f t="shared" si="291"/>
        <v>1715.4999999999998</v>
      </c>
      <c r="O101" s="127">
        <f t="shared" si="291"/>
        <v>130</v>
      </c>
      <c r="P101" s="127">
        <f t="shared" si="291"/>
        <v>1524</v>
      </c>
      <c r="Q101" s="127">
        <f t="shared" ref="Q101" si="294">1/Q95</f>
        <v>1632</v>
      </c>
      <c r="R101" s="118">
        <f t="shared" si="247"/>
        <v>-7.864677867989156E-2</v>
      </c>
      <c r="S101" s="20"/>
      <c r="T101" s="127">
        <f t="shared" ref="T101:AC101" si="295">1/T95</f>
        <v>1632</v>
      </c>
      <c r="U101" s="127">
        <f t="shared" si="295"/>
        <v>1632</v>
      </c>
      <c r="V101" s="127">
        <f t="shared" si="295"/>
        <v>1632</v>
      </c>
      <c r="W101" s="127">
        <f t="shared" si="295"/>
        <v>1632</v>
      </c>
      <c r="X101" s="127">
        <f t="shared" si="295"/>
        <v>1632</v>
      </c>
      <c r="Y101" s="127">
        <f t="shared" si="295"/>
        <v>1632</v>
      </c>
      <c r="Z101" s="127">
        <f t="shared" si="295"/>
        <v>1632</v>
      </c>
      <c r="AA101" s="127">
        <f t="shared" si="295"/>
        <v>1632</v>
      </c>
      <c r="AB101" s="127">
        <f t="shared" si="295"/>
        <v>1632</v>
      </c>
      <c r="AC101" s="127">
        <f t="shared" si="295"/>
        <v>1632</v>
      </c>
      <c r="AD101" s="138">
        <f t="shared" si="249"/>
        <v>-3.2884083707844014E-2</v>
      </c>
      <c r="AE101" s="146"/>
      <c r="AF101" s="146"/>
    </row>
    <row r="102" spans="2:32" ht="12" customHeight="1" x14ac:dyDescent="0.2">
      <c r="B102" s="20" t="s">
        <v>405</v>
      </c>
      <c r="C102" s="152"/>
      <c r="D102" s="152"/>
      <c r="E102" s="152"/>
      <c r="F102" s="152"/>
      <c r="G102" s="127">
        <f t="shared" si="291"/>
        <v>1402.9411764705881</v>
      </c>
      <c r="H102" s="127" t="e">
        <f t="shared" si="291"/>
        <v>#DIV/0!</v>
      </c>
      <c r="I102" s="127">
        <f t="shared" si="291"/>
        <v>1402.9411764705881</v>
      </c>
      <c r="J102" s="127">
        <f t="shared" si="291"/>
        <v>151.20000000000002</v>
      </c>
      <c r="K102" s="127">
        <f t="shared" si="291"/>
        <v>13.759689922480618</v>
      </c>
      <c r="L102" s="127">
        <f t="shared" si="291"/>
        <v>6.454545454545455</v>
      </c>
      <c r="M102" s="127">
        <f t="shared" si="291"/>
        <v>15.142857142857142</v>
      </c>
      <c r="N102" s="127">
        <f t="shared" si="291"/>
        <v>87</v>
      </c>
      <c r="O102" s="127">
        <f t="shared" si="291"/>
        <v>72.130434782608688</v>
      </c>
      <c r="P102" s="127">
        <f t="shared" si="291"/>
        <v>283</v>
      </c>
      <c r="Q102" s="127">
        <f t="shared" ref="Q102" si="296">1/Q96</f>
        <v>283</v>
      </c>
      <c r="R102" s="118">
        <f t="shared" si="247"/>
        <v>-0.1629533478709424</v>
      </c>
      <c r="S102" s="20"/>
      <c r="T102" s="127">
        <f t="shared" ref="T102:AC102" si="297">1/T96</f>
        <v>283.00000000000006</v>
      </c>
      <c r="U102" s="127">
        <f t="shared" si="297"/>
        <v>283.00000000000006</v>
      </c>
      <c r="V102" s="127">
        <f t="shared" si="297"/>
        <v>283.00000000000006</v>
      </c>
      <c r="W102" s="127">
        <f t="shared" si="297"/>
        <v>283.00000000000006</v>
      </c>
      <c r="X102" s="127">
        <f t="shared" si="297"/>
        <v>283.00000000000006</v>
      </c>
      <c r="Y102" s="127">
        <f t="shared" si="297"/>
        <v>283.00000000000006</v>
      </c>
      <c r="Z102" s="127">
        <f t="shared" si="297"/>
        <v>283.00000000000006</v>
      </c>
      <c r="AA102" s="127">
        <f t="shared" si="297"/>
        <v>283.00000000000006</v>
      </c>
      <c r="AB102" s="127">
        <f t="shared" si="297"/>
        <v>283.00000000000006</v>
      </c>
      <c r="AC102" s="127">
        <f t="shared" si="297"/>
        <v>283.00000000000006</v>
      </c>
      <c r="AD102" s="138">
        <f t="shared" si="249"/>
        <v>-7.6924235436794719E-2</v>
      </c>
      <c r="AE102" s="146"/>
      <c r="AF102" s="146"/>
    </row>
    <row r="103" spans="2:32" ht="12" customHeight="1" x14ac:dyDescent="0.2">
      <c r="B103" s="20" t="s">
        <v>406</v>
      </c>
      <c r="C103" s="152"/>
      <c r="D103" s="152"/>
      <c r="E103" s="152"/>
      <c r="F103" s="152"/>
      <c r="G103" s="127">
        <f t="shared" si="291"/>
        <v>241.17647058823528</v>
      </c>
      <c r="H103" s="127" t="e">
        <f t="shared" si="291"/>
        <v>#DIV/0!</v>
      </c>
      <c r="I103" s="127">
        <f t="shared" si="291"/>
        <v>241.17647058823528</v>
      </c>
      <c r="J103" s="127">
        <f t="shared" si="291"/>
        <v>16.600000000000001</v>
      </c>
      <c r="K103" s="127" t="e">
        <f t="shared" si="291"/>
        <v>#DIV/0!</v>
      </c>
      <c r="L103" s="127">
        <f t="shared" si="291"/>
        <v>6.1818181818181817</v>
      </c>
      <c r="M103" s="127">
        <f t="shared" si="291"/>
        <v>14.428571428571427</v>
      </c>
      <c r="N103" s="127">
        <f t="shared" si="291"/>
        <v>78</v>
      </c>
      <c r="O103" s="127">
        <f t="shared" si="291"/>
        <v>51.217391304347828</v>
      </c>
      <c r="P103" s="127">
        <f t="shared" si="291"/>
        <v>275</v>
      </c>
      <c r="Q103" s="127">
        <f t="shared" ref="Q103" si="298">1/Q97</f>
        <v>275</v>
      </c>
      <c r="R103" s="118">
        <f t="shared" si="247"/>
        <v>1.4689308309479676E-2</v>
      </c>
      <c r="S103" s="20"/>
      <c r="T103" s="127">
        <f t="shared" ref="T103:AC103" si="299">1/T97</f>
        <v>274.99999999999994</v>
      </c>
      <c r="U103" s="127">
        <f t="shared" si="299"/>
        <v>275</v>
      </c>
      <c r="V103" s="127">
        <f t="shared" si="299"/>
        <v>275.00000000000006</v>
      </c>
      <c r="W103" s="127">
        <f t="shared" si="299"/>
        <v>275.00000000000006</v>
      </c>
      <c r="X103" s="127">
        <f t="shared" si="299"/>
        <v>275.00000000000011</v>
      </c>
      <c r="Y103" s="127">
        <f t="shared" si="299"/>
        <v>275.00000000000006</v>
      </c>
      <c r="Z103" s="127">
        <f t="shared" si="299"/>
        <v>275.00000000000006</v>
      </c>
      <c r="AA103" s="127">
        <f t="shared" si="299"/>
        <v>275.00000000000006</v>
      </c>
      <c r="AB103" s="127">
        <f t="shared" si="299"/>
        <v>275.00000000000006</v>
      </c>
      <c r="AC103" s="127">
        <f t="shared" si="299"/>
        <v>275.00000000000006</v>
      </c>
      <c r="AD103" s="138">
        <f t="shared" si="249"/>
        <v>6.5836872645816946E-3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300">F10-(F12+F13)</f>
        <v>0</v>
      </c>
      <c r="G106" s="163">
        <f t="shared" si="300"/>
        <v>-6350</v>
      </c>
      <c r="H106" s="163">
        <f t="shared" si="300"/>
        <v>0</v>
      </c>
      <c r="I106" s="163">
        <f t="shared" si="300"/>
        <v>-6350</v>
      </c>
      <c r="J106" s="163">
        <f t="shared" si="300"/>
        <v>-8288</v>
      </c>
      <c r="K106" s="163">
        <f t="shared" si="300"/>
        <v>-288</v>
      </c>
      <c r="L106" s="163">
        <f t="shared" si="300"/>
        <v>30</v>
      </c>
      <c r="M106" s="163">
        <f t="shared" si="300"/>
        <v>-2190</v>
      </c>
      <c r="N106" s="163">
        <f t="shared" si="300"/>
        <v>-4111</v>
      </c>
      <c r="O106" s="163">
        <f t="shared" si="300"/>
        <v>-6008</v>
      </c>
      <c r="P106" s="163">
        <f>P10-(P12+P13)</f>
        <v>-6526</v>
      </c>
      <c r="Q106" s="163">
        <f>Q10-(Q12+Q13)</f>
        <v>-6526</v>
      </c>
      <c r="R106" s="118">
        <f t="shared" si="247"/>
        <v>3.0423279888678323E-3</v>
      </c>
      <c r="S106" s="20"/>
      <c r="T106" s="163">
        <f>T10-(T12+T13)</f>
        <v>-7048.08</v>
      </c>
      <c r="U106" s="163">
        <f t="shared" ref="U106:AC106" si="301">U10-(U12+U13)</f>
        <v>-7611.9264000000012</v>
      </c>
      <c r="V106" s="163">
        <f t="shared" si="301"/>
        <v>-8220.8805120000015</v>
      </c>
      <c r="W106" s="163">
        <f t="shared" si="301"/>
        <v>-8878.5509529600004</v>
      </c>
      <c r="X106" s="163">
        <f t="shared" si="301"/>
        <v>-9588.8350291968036</v>
      </c>
      <c r="Y106" s="163">
        <f t="shared" si="301"/>
        <v>-10355.941831532547</v>
      </c>
      <c r="Z106" s="163">
        <f t="shared" si="301"/>
        <v>-11184.417178055153</v>
      </c>
      <c r="AA106" s="163">
        <f t="shared" si="301"/>
        <v>-12079.170552299563</v>
      </c>
      <c r="AB106" s="163">
        <f t="shared" si="301"/>
        <v>-13045.504196483533</v>
      </c>
      <c r="AC106" s="163">
        <f t="shared" si="301"/>
        <v>-14089.144532202215</v>
      </c>
      <c r="AD106" s="138">
        <f t="shared" si="249"/>
        <v>4.0652052069402256E-2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302">G40/G18</f>
        <v>0.87905844155844159</v>
      </c>
      <c r="H107" s="152" t="e">
        <f t="shared" si="302"/>
        <v>#DIV/0!</v>
      </c>
      <c r="I107" s="152">
        <f t="shared" si="302"/>
        <v>0.87905844155844159</v>
      </c>
      <c r="J107" s="152">
        <f t="shared" si="302"/>
        <v>0.83605442176870748</v>
      </c>
      <c r="K107" s="152">
        <f t="shared" si="302"/>
        <v>0.45741324921135645</v>
      </c>
      <c r="L107" s="152">
        <f t="shared" si="302"/>
        <v>0.31259801359121797</v>
      </c>
      <c r="M107" s="152">
        <f t="shared" si="302"/>
        <v>0.93653421633554079</v>
      </c>
      <c r="N107" s="152">
        <f t="shared" si="302"/>
        <v>1.8495956873315365</v>
      </c>
      <c r="O107" s="152">
        <f t="shared" si="302"/>
        <v>1.5341200615700359</v>
      </c>
      <c r="P107" s="152">
        <f t="shared" si="302"/>
        <v>1.2942675159235668</v>
      </c>
      <c r="Q107" s="152">
        <f t="shared" ref="Q107" si="303">Q40/Q18</f>
        <v>1.3859872611464967</v>
      </c>
      <c r="R107" s="118">
        <f t="shared" si="247"/>
        <v>4.392035770525804E-2</v>
      </c>
      <c r="S107" s="20"/>
      <c r="T107" s="152">
        <f t="shared" ref="T107:AC107" si="304">T40/T18</f>
        <v>1.385987261146497</v>
      </c>
      <c r="U107" s="152">
        <f t="shared" si="304"/>
        <v>1.385987261146497</v>
      </c>
      <c r="V107" s="152">
        <f t="shared" si="304"/>
        <v>1.385987261146497</v>
      </c>
      <c r="W107" s="152">
        <f t="shared" si="304"/>
        <v>1.385987261146497</v>
      </c>
      <c r="X107" s="152">
        <f t="shared" si="304"/>
        <v>1.385987261146497</v>
      </c>
      <c r="Y107" s="152">
        <f t="shared" si="304"/>
        <v>1.3859872611464967</v>
      </c>
      <c r="Z107" s="152">
        <f t="shared" si="304"/>
        <v>1.3859872611464967</v>
      </c>
      <c r="AA107" s="152">
        <f t="shared" si="304"/>
        <v>1.3859872611464967</v>
      </c>
      <c r="AB107" s="152">
        <f t="shared" si="304"/>
        <v>1.3859872611464967</v>
      </c>
      <c r="AC107" s="152">
        <f t="shared" si="304"/>
        <v>1.3859872611464967</v>
      </c>
      <c r="AD107" s="138">
        <f t="shared" si="249"/>
        <v>2.3026949619215253E-2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305">G40/G25</f>
        <v>0.13413425811245974</v>
      </c>
      <c r="H108" s="152" t="e">
        <f t="shared" si="305"/>
        <v>#DIV/0!</v>
      </c>
      <c r="I108" s="152">
        <f t="shared" si="305"/>
        <v>0.13413425811245974</v>
      </c>
      <c r="J108" s="152">
        <f t="shared" si="305"/>
        <v>0.12261797864910705</v>
      </c>
      <c r="K108" s="152">
        <f t="shared" si="305"/>
        <v>8.0048581207905492E-2</v>
      </c>
      <c r="L108" s="152">
        <f t="shared" si="305"/>
        <v>6.8941664745215583E-2</v>
      </c>
      <c r="M108" s="152">
        <f t="shared" si="305"/>
        <v>0.14210350025121421</v>
      </c>
      <c r="N108" s="152">
        <f t="shared" si="305"/>
        <v>0.19210526315789472</v>
      </c>
      <c r="O108" s="152">
        <f t="shared" si="305"/>
        <v>0.14846077457795431</v>
      </c>
      <c r="P108" s="152">
        <f t="shared" si="305"/>
        <v>0.14649620301836008</v>
      </c>
      <c r="Q108" s="152">
        <f t="shared" ref="Q108" si="306">Q40/Q25</f>
        <v>0.15662939680406929</v>
      </c>
      <c r="R108" s="118">
        <f t="shared" si="247"/>
        <v>9.8434966808844671E-3</v>
      </c>
      <c r="S108" s="20"/>
      <c r="T108" s="152">
        <f t="shared" ref="T108:AC108" si="307">T40/T25</f>
        <v>0.15662939680406929</v>
      </c>
      <c r="U108" s="152">
        <f t="shared" si="307"/>
        <v>0.15662939680406929</v>
      </c>
      <c r="V108" s="152">
        <f t="shared" si="307"/>
        <v>0.15662939680406929</v>
      </c>
      <c r="W108" s="152">
        <f t="shared" si="307"/>
        <v>0.15662939680406929</v>
      </c>
      <c r="X108" s="152">
        <f t="shared" si="307"/>
        <v>0.15662939680406929</v>
      </c>
      <c r="Y108" s="152">
        <f t="shared" si="307"/>
        <v>0.15662939680406929</v>
      </c>
      <c r="Z108" s="152">
        <f t="shared" si="307"/>
        <v>0.15662939680406929</v>
      </c>
      <c r="AA108" s="152">
        <f t="shared" si="307"/>
        <v>0.15662939680406929</v>
      </c>
      <c r="AB108" s="152">
        <f t="shared" si="307"/>
        <v>0.15662939680406929</v>
      </c>
      <c r="AC108" s="152">
        <f t="shared" si="307"/>
        <v>0.15662939680406929</v>
      </c>
      <c r="AD108" s="138">
        <f t="shared" si="249"/>
        <v>7.7821880551900424E-3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308">G25/G18</f>
        <v>6.5535714285714288</v>
      </c>
      <c r="H109" s="152" t="e">
        <f t="shared" si="308"/>
        <v>#DIV/0!</v>
      </c>
      <c r="I109" s="152">
        <f t="shared" si="308"/>
        <v>6.5535714285714288</v>
      </c>
      <c r="J109" s="152">
        <f t="shared" si="308"/>
        <v>6.8183673469387758</v>
      </c>
      <c r="K109" s="152">
        <f t="shared" si="308"/>
        <v>5.7141955835962142</v>
      </c>
      <c r="L109" s="152">
        <f t="shared" si="308"/>
        <v>4.5342394145321485</v>
      </c>
      <c r="M109" s="152">
        <f t="shared" si="308"/>
        <v>6.5905077262693155</v>
      </c>
      <c r="N109" s="152">
        <f t="shared" si="308"/>
        <v>9.6280323450134766</v>
      </c>
      <c r="O109" s="152">
        <f t="shared" si="308"/>
        <v>10.333504361210878</v>
      </c>
      <c r="P109" s="152">
        <f>P25/P18</f>
        <v>8.8348195329087051</v>
      </c>
      <c r="Q109" s="152">
        <f>Q25/Q18</f>
        <v>8.8488322717622072</v>
      </c>
      <c r="R109" s="118">
        <f t="shared" si="247"/>
        <v>3.3744695228890675E-2</v>
      </c>
      <c r="S109" s="20"/>
      <c r="T109" s="152">
        <f>T25/T18</f>
        <v>8.848832271762209</v>
      </c>
      <c r="U109" s="152">
        <f t="shared" ref="U109:AC109" si="309">U25/U18</f>
        <v>8.848832271762209</v>
      </c>
      <c r="V109" s="152">
        <f t="shared" si="309"/>
        <v>8.848832271762209</v>
      </c>
      <c r="W109" s="152">
        <f t="shared" si="309"/>
        <v>8.848832271762209</v>
      </c>
      <c r="X109" s="152">
        <f t="shared" si="309"/>
        <v>8.848832271762209</v>
      </c>
      <c r="Y109" s="152">
        <f t="shared" si="309"/>
        <v>8.848832271762209</v>
      </c>
      <c r="Z109" s="152">
        <f t="shared" si="309"/>
        <v>8.8488322717622072</v>
      </c>
      <c r="AA109" s="152">
        <f t="shared" si="309"/>
        <v>8.848832271762209</v>
      </c>
      <c r="AB109" s="152">
        <f t="shared" si="309"/>
        <v>8.8488322717622072</v>
      </c>
      <c r="AC109" s="152">
        <f t="shared" si="309"/>
        <v>8.8488322717622072</v>
      </c>
      <c r="AD109" s="138">
        <f t="shared" si="249"/>
        <v>1.5127040093300792E-2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310">E70*E42</f>
        <v>0</v>
      </c>
      <c r="F111" s="165">
        <f t="shared" si="310"/>
        <v>0</v>
      </c>
      <c r="G111" s="165">
        <f>G70*G42</f>
        <v>0</v>
      </c>
      <c r="H111" s="165">
        <f t="shared" ref="H111:P111" si="311">H70*H42</f>
        <v>0</v>
      </c>
      <c r="I111" s="165">
        <f t="shared" si="311"/>
        <v>404.4</v>
      </c>
      <c r="J111" s="165">
        <f t="shared" si="311"/>
        <v>404.4</v>
      </c>
      <c r="K111" s="165">
        <f t="shared" si="311"/>
        <v>289.20000000000005</v>
      </c>
      <c r="L111" s="165">
        <f t="shared" si="311"/>
        <v>318.12</v>
      </c>
      <c r="M111" s="165">
        <f t="shared" si="311"/>
        <v>578.40000000000009</v>
      </c>
      <c r="N111" s="165">
        <f t="shared" si="311"/>
        <v>1157.2</v>
      </c>
      <c r="O111" s="165">
        <f t="shared" si="311"/>
        <v>1301.8499999999999</v>
      </c>
      <c r="P111" s="165">
        <f t="shared" si="311"/>
        <v>1301.8499999999999</v>
      </c>
      <c r="Q111" s="165">
        <f t="shared" ref="Q111" si="312">Q70*Q42</f>
        <v>1446.5</v>
      </c>
      <c r="R111" s="118" t="e">
        <f t="shared" si="247"/>
        <v>#DIV/0!</v>
      </c>
      <c r="S111" s="20"/>
      <c r="T111" s="165">
        <f t="shared" ref="T111:AC111" si="313">T70*T42</f>
        <v>1594.7662499999999</v>
      </c>
      <c r="U111" s="165">
        <f t="shared" si="313"/>
        <v>1758.2297906250001</v>
      </c>
      <c r="V111" s="165">
        <f t="shared" si="313"/>
        <v>1938.4483441640625</v>
      </c>
      <c r="W111" s="165">
        <f t="shared" si="313"/>
        <v>2137.1392994408793</v>
      </c>
      <c r="X111" s="165">
        <f t="shared" si="313"/>
        <v>2356.1960776335695</v>
      </c>
      <c r="Y111" s="165">
        <f t="shared" si="313"/>
        <v>2597.7061755910108</v>
      </c>
      <c r="Z111" s="165">
        <f t="shared" si="313"/>
        <v>2863.9710585890903</v>
      </c>
      <c r="AA111" s="165">
        <f t="shared" si="313"/>
        <v>3157.5280920944724</v>
      </c>
      <c r="AB111" s="165">
        <f t="shared" si="313"/>
        <v>3481.1747215341561</v>
      </c>
      <c r="AC111" s="165">
        <f t="shared" si="313"/>
        <v>3837.9951304914075</v>
      </c>
      <c r="AD111" s="138" t="e">
        <f t="shared" si="249"/>
        <v>#DIV/0!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314">(G111*0.17)+G111</f>
        <v>0</v>
      </c>
      <c r="H112" s="165">
        <f t="shared" si="314"/>
        <v>0</v>
      </c>
      <c r="I112" s="165">
        <f t="shared" si="314"/>
        <v>473.14799999999997</v>
      </c>
      <c r="J112" s="165">
        <f t="shared" si="314"/>
        <v>473.14799999999997</v>
      </c>
      <c r="K112" s="165">
        <f t="shared" si="314"/>
        <v>338.36400000000003</v>
      </c>
      <c r="L112" s="165">
        <f t="shared" si="314"/>
        <v>372.2004</v>
      </c>
      <c r="M112" s="165">
        <f t="shared" si="314"/>
        <v>676.72800000000007</v>
      </c>
      <c r="N112" s="165">
        <f t="shared" si="314"/>
        <v>1353.924</v>
      </c>
      <c r="O112" s="165">
        <f t="shared" si="314"/>
        <v>1523.1644999999999</v>
      </c>
      <c r="P112" s="165">
        <f t="shared" si="314"/>
        <v>1523.1644999999999</v>
      </c>
      <c r="Q112" s="165">
        <f t="shared" ref="Q112" si="315">(Q111*0.17)+Q111</f>
        <v>1692.405</v>
      </c>
      <c r="R112" s="118" t="e">
        <f t="shared" si="247"/>
        <v>#DIV/0!</v>
      </c>
      <c r="S112" s="20"/>
      <c r="T112" s="165">
        <f t="shared" ref="T112:AC112" si="316">(T111*0.17)+T111</f>
        <v>1865.8765125</v>
      </c>
      <c r="U112" s="165">
        <f t="shared" si="316"/>
        <v>2057.1288550312502</v>
      </c>
      <c r="V112" s="165">
        <f t="shared" si="316"/>
        <v>2267.984562671953</v>
      </c>
      <c r="W112" s="165">
        <f t="shared" si="316"/>
        <v>2500.452980345829</v>
      </c>
      <c r="X112" s="165">
        <f t="shared" si="316"/>
        <v>2756.7494108312762</v>
      </c>
      <c r="Y112" s="165">
        <f t="shared" si="316"/>
        <v>3039.3162254414829</v>
      </c>
      <c r="Z112" s="165">
        <f t="shared" si="316"/>
        <v>3350.8461385492355</v>
      </c>
      <c r="AA112" s="165">
        <f t="shared" si="316"/>
        <v>3694.3078677505328</v>
      </c>
      <c r="AB112" s="165">
        <f t="shared" si="316"/>
        <v>4072.9744241949629</v>
      </c>
      <c r="AC112" s="165">
        <f t="shared" si="316"/>
        <v>4490.454302674947</v>
      </c>
      <c r="AD112" s="138" t="e">
        <f t="shared" si="249"/>
        <v>#DIV/0!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317">F112/F40</f>
        <v>#DIV/0!</v>
      </c>
      <c r="G113" s="152">
        <f t="shared" si="317"/>
        <v>0</v>
      </c>
      <c r="H113" s="152" t="e">
        <f t="shared" si="317"/>
        <v>#DIV/0!</v>
      </c>
      <c r="I113" s="152">
        <f t="shared" si="317"/>
        <v>0.43688642659279775</v>
      </c>
      <c r="J113" s="152">
        <f t="shared" si="317"/>
        <v>0.38498616761594789</v>
      </c>
      <c r="K113" s="152">
        <f t="shared" si="317"/>
        <v>0.46670896551724145</v>
      </c>
      <c r="L113" s="152">
        <f t="shared" si="317"/>
        <v>0.62240869565217394</v>
      </c>
      <c r="M113" s="152">
        <f t="shared" si="317"/>
        <v>0.39877902180318214</v>
      </c>
      <c r="N113" s="152">
        <f t="shared" si="317"/>
        <v>0.39461498105508597</v>
      </c>
      <c r="O113" s="152">
        <f t="shared" si="317"/>
        <v>0.50941956521739129</v>
      </c>
      <c r="P113" s="152">
        <f t="shared" si="317"/>
        <v>0.49972588582677163</v>
      </c>
      <c r="Q113" s="152">
        <f t="shared" ref="Q113" si="318">Q112/Q40</f>
        <v>0.51850643382352946</v>
      </c>
      <c r="R113" s="118" t="e">
        <f t="shared" si="247"/>
        <v>#DIV/0!</v>
      </c>
      <c r="S113" s="20"/>
      <c r="T113" s="152">
        <f t="shared" ref="T113:AC113" si="319">T112/T40</f>
        <v>0.52930865119485293</v>
      </c>
      <c r="U113" s="152">
        <f t="shared" si="319"/>
        <v>0.54033591476141229</v>
      </c>
      <c r="V113" s="152">
        <f t="shared" si="319"/>
        <v>0.55159291298560831</v>
      </c>
      <c r="W113" s="152">
        <f t="shared" si="319"/>
        <v>0.563084432006142</v>
      </c>
      <c r="X113" s="152">
        <f t="shared" si="319"/>
        <v>0.57481535767293657</v>
      </c>
      <c r="Y113" s="152">
        <f t="shared" si="319"/>
        <v>0.58679067762445625</v>
      </c>
      <c r="Z113" s="152">
        <f t="shared" si="319"/>
        <v>0.59901548340829913</v>
      </c>
      <c r="AA113" s="152">
        <f t="shared" si="319"/>
        <v>0.61149497264597197</v>
      </c>
      <c r="AB113" s="152">
        <f t="shared" si="319"/>
        <v>0.62423445124276311</v>
      </c>
      <c r="AC113" s="152">
        <f t="shared" si="319"/>
        <v>0.63723933564365398</v>
      </c>
      <c r="AD113" s="138" t="e">
        <f t="shared" si="249"/>
        <v>#DIV/0!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1</v>
      </c>
      <c r="H114" s="152" t="e">
        <f t="shared" ref="H114:P114" si="320">1-H113</f>
        <v>#DIV/0!</v>
      </c>
      <c r="I114" s="152">
        <f t="shared" si="320"/>
        <v>0.56311357340720225</v>
      </c>
      <c r="J114" s="152">
        <f t="shared" si="320"/>
        <v>0.61501383238405216</v>
      </c>
      <c r="K114" s="152">
        <f t="shared" si="320"/>
        <v>0.53329103448275861</v>
      </c>
      <c r="L114" s="152">
        <f t="shared" si="320"/>
        <v>0.37759130434782606</v>
      </c>
      <c r="M114" s="152">
        <f t="shared" si="320"/>
        <v>0.60122097819681786</v>
      </c>
      <c r="N114" s="152">
        <f t="shared" si="320"/>
        <v>0.60538501894491403</v>
      </c>
      <c r="O114" s="152">
        <f t="shared" si="320"/>
        <v>0.49058043478260871</v>
      </c>
      <c r="P114" s="152">
        <f t="shared" si="320"/>
        <v>0.50027411417322831</v>
      </c>
      <c r="Q114" s="152">
        <f t="shared" ref="Q114" si="321">1-Q113</f>
        <v>0.48149356617647054</v>
      </c>
      <c r="R114" s="118">
        <f t="shared" si="247"/>
        <v>-7.4068902476359222E-2</v>
      </c>
      <c r="S114" s="20"/>
      <c r="T114" s="152">
        <f t="shared" ref="T114:AC114" si="322">1-T113</f>
        <v>0.47069134880514707</v>
      </c>
      <c r="U114" s="152">
        <f t="shared" si="322"/>
        <v>0.45966408523858771</v>
      </c>
      <c r="V114" s="152">
        <f t="shared" si="322"/>
        <v>0.44840708701439169</v>
      </c>
      <c r="W114" s="152">
        <f t="shared" si="322"/>
        <v>0.436915567993858</v>
      </c>
      <c r="X114" s="152">
        <f t="shared" si="322"/>
        <v>0.42518464232706343</v>
      </c>
      <c r="Y114" s="152">
        <f t="shared" si="322"/>
        <v>0.41320932237554375</v>
      </c>
      <c r="Z114" s="152">
        <f t="shared" si="322"/>
        <v>0.40098451659170087</v>
      </c>
      <c r="AA114" s="152">
        <f t="shared" si="322"/>
        <v>0.38850502735402803</v>
      </c>
      <c r="AB114" s="152">
        <f t="shared" si="322"/>
        <v>0.37576554875723689</v>
      </c>
      <c r="AC114" s="152">
        <f t="shared" si="322"/>
        <v>0.36276066435634602</v>
      </c>
      <c r="AD114" s="138">
        <f t="shared" si="249"/>
        <v>-4.9436772915408933E-2</v>
      </c>
      <c r="AE114" s="20"/>
      <c r="AF114" s="20"/>
    </row>
    <row r="115" spans="2:32" x14ac:dyDescent="0.2">
      <c r="B115" s="20" t="s">
        <v>454</v>
      </c>
      <c r="C115" s="20"/>
      <c r="D115" s="20"/>
      <c r="E115" s="20"/>
      <c r="F115" s="152" t="e">
        <f t="shared" ref="F115:P115" si="323">F112/F20</f>
        <v>#DIV/0!</v>
      </c>
      <c r="G115" s="152">
        <f t="shared" si="323"/>
        <v>0</v>
      </c>
      <c r="H115" s="152" t="e">
        <f t="shared" si="323"/>
        <v>#DIV/0!</v>
      </c>
      <c r="I115" s="152">
        <f t="shared" si="323"/>
        <v>0.4413694029850746</v>
      </c>
      <c r="J115" s="152">
        <f t="shared" si="323"/>
        <v>0.69376539589442809</v>
      </c>
      <c r="K115" s="152" t="e">
        <f t="shared" si="323"/>
        <v>#DIV/0!</v>
      </c>
      <c r="L115" s="152">
        <f t="shared" si="323"/>
        <v>0.90559708029197084</v>
      </c>
      <c r="M115" s="152">
        <f t="shared" si="323"/>
        <v>0.24725173547679943</v>
      </c>
      <c r="N115" s="152">
        <f t="shared" si="323"/>
        <v>0.67259016393442617</v>
      </c>
      <c r="O115" s="152">
        <f t="shared" si="323"/>
        <v>0.51475650557620811</v>
      </c>
      <c r="P115" s="152">
        <f t="shared" si="323"/>
        <v>0.71376030927835044</v>
      </c>
      <c r="Q115" s="152">
        <f>Q112/Q20</f>
        <v>0.79306701030927829</v>
      </c>
      <c r="R115" s="118" t="e">
        <f t="shared" si="247"/>
        <v>#DIV/0!</v>
      </c>
      <c r="S115" s="20"/>
      <c r="T115" s="152">
        <f>T112/T20</f>
        <v>0.80958923969072161</v>
      </c>
      <c r="U115" s="152">
        <f t="shared" ref="U115:AC115" si="324">U112/U20</f>
        <v>0.82645568218427823</v>
      </c>
      <c r="V115" s="152">
        <f t="shared" si="324"/>
        <v>0.84367350889645054</v>
      </c>
      <c r="W115" s="152">
        <f t="shared" si="324"/>
        <v>0.86125004033179342</v>
      </c>
      <c r="X115" s="152">
        <f t="shared" si="324"/>
        <v>0.87919274950537241</v>
      </c>
      <c r="Y115" s="152">
        <f t="shared" si="324"/>
        <v>0.8975092651200679</v>
      </c>
      <c r="Z115" s="152">
        <f t="shared" si="324"/>
        <v>0.91620737481006942</v>
      </c>
      <c r="AA115" s="152">
        <f t="shared" si="324"/>
        <v>0.93529502845194579</v>
      </c>
      <c r="AB115" s="152">
        <f t="shared" si="324"/>
        <v>0.95478034154469482</v>
      </c>
      <c r="AC115" s="152">
        <f t="shared" si="324"/>
        <v>0.97467159866020936</v>
      </c>
      <c r="AD115" s="138" t="s">
        <v>452</v>
      </c>
      <c r="AE115" s="20"/>
      <c r="AF115" s="20"/>
    </row>
    <row r="116" spans="2:32" x14ac:dyDescent="0.2">
      <c r="B116" s="20"/>
      <c r="C116" s="20"/>
      <c r="D116" s="20"/>
      <c r="E116" s="20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1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38"/>
      <c r="AE116" s="20"/>
      <c r="AF116" s="20"/>
    </row>
    <row r="117" spans="2:32" x14ac:dyDescent="0.2">
      <c r="B117" s="20"/>
      <c r="C117" s="20"/>
      <c r="D117" s="20"/>
      <c r="E117" s="20"/>
      <c r="F117" s="20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28"/>
      <c r="S117" s="20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28"/>
      <c r="AE117" s="20"/>
      <c r="AF117" s="20"/>
    </row>
    <row r="118" spans="2:32" x14ac:dyDescent="0.2">
      <c r="B118" s="20" t="s">
        <v>333</v>
      </c>
      <c r="C118" s="152"/>
      <c r="D118" s="152"/>
      <c r="E118" s="152"/>
      <c r="F118" s="152" t="e">
        <f>F31/F25</f>
        <v>#DIV/0!</v>
      </c>
      <c r="G118" s="152">
        <f>G31/G25</f>
        <v>0</v>
      </c>
      <c r="H118" s="152" t="e">
        <f t="shared" ref="H118:P118" si="325">H31/H25</f>
        <v>#DIV/0!</v>
      </c>
      <c r="I118" s="152">
        <f t="shared" si="325"/>
        <v>0</v>
      </c>
      <c r="J118" s="152">
        <f t="shared" si="325"/>
        <v>0</v>
      </c>
      <c r="K118" s="152">
        <f t="shared" si="325"/>
        <v>0</v>
      </c>
      <c r="L118" s="152">
        <f t="shared" si="325"/>
        <v>0</v>
      </c>
      <c r="M118" s="152">
        <f t="shared" si="325"/>
        <v>0</v>
      </c>
      <c r="N118" s="152">
        <f t="shared" si="325"/>
        <v>0</v>
      </c>
      <c r="O118" s="152">
        <f t="shared" si="325"/>
        <v>0</v>
      </c>
      <c r="P118" s="152">
        <f t="shared" si="325"/>
        <v>0</v>
      </c>
      <c r="Q118" s="152">
        <f t="shared" ref="Q118" si="326">Q31/Q25</f>
        <v>0</v>
      </c>
      <c r="R118" s="118" t="e">
        <f t="shared" si="247"/>
        <v>#DIV/0!</v>
      </c>
      <c r="S118" s="20"/>
      <c r="T118" s="152">
        <f t="shared" ref="T118:AC118" si="327">T31/T25</f>
        <v>0</v>
      </c>
      <c r="U118" s="152">
        <f t="shared" si="327"/>
        <v>0</v>
      </c>
      <c r="V118" s="152">
        <f t="shared" si="327"/>
        <v>0</v>
      </c>
      <c r="W118" s="152">
        <f t="shared" si="327"/>
        <v>0</v>
      </c>
      <c r="X118" s="152">
        <f t="shared" si="327"/>
        <v>0</v>
      </c>
      <c r="Y118" s="152">
        <f t="shared" si="327"/>
        <v>0</v>
      </c>
      <c r="Z118" s="152">
        <f t="shared" si="327"/>
        <v>0</v>
      </c>
      <c r="AA118" s="152">
        <f t="shared" si="327"/>
        <v>0</v>
      </c>
      <c r="AB118" s="152">
        <f t="shared" si="327"/>
        <v>0</v>
      </c>
      <c r="AC118" s="152">
        <f t="shared" si="327"/>
        <v>0</v>
      </c>
      <c r="AD118" s="138" t="e">
        <f t="shared" si="249"/>
        <v>#DIV/0!</v>
      </c>
      <c r="AE118" s="20"/>
      <c r="AF118" s="20"/>
    </row>
    <row r="119" spans="2:32" x14ac:dyDescent="0.2">
      <c r="B119" s="20" t="s">
        <v>330</v>
      </c>
      <c r="C119" s="152"/>
      <c r="D119" s="152"/>
      <c r="E119" s="152"/>
      <c r="F119" s="152" t="e">
        <f>F32/F25</f>
        <v>#DIV/0!</v>
      </c>
      <c r="G119" s="152">
        <f>G32/G25</f>
        <v>0</v>
      </c>
      <c r="H119" s="152" t="e">
        <f t="shared" ref="H119:P119" si="328">H32/H25</f>
        <v>#DIV/0!</v>
      </c>
      <c r="I119" s="152">
        <f t="shared" si="328"/>
        <v>0</v>
      </c>
      <c r="J119" s="152">
        <f t="shared" si="328"/>
        <v>0</v>
      </c>
      <c r="K119" s="152">
        <f t="shared" si="328"/>
        <v>0</v>
      </c>
      <c r="L119" s="152">
        <f t="shared" si="328"/>
        <v>0</v>
      </c>
      <c r="M119" s="152">
        <f t="shared" si="328"/>
        <v>0</v>
      </c>
      <c r="N119" s="152">
        <f t="shared" si="328"/>
        <v>0</v>
      </c>
      <c r="O119" s="152">
        <f t="shared" si="328"/>
        <v>0</v>
      </c>
      <c r="P119" s="152">
        <f t="shared" si="328"/>
        <v>0</v>
      </c>
      <c r="Q119" s="152">
        <f t="shared" ref="Q119" si="329">Q32/Q25</f>
        <v>0</v>
      </c>
      <c r="R119" s="118" t="e">
        <f t="shared" si="247"/>
        <v>#DIV/0!</v>
      </c>
      <c r="S119" s="20"/>
      <c r="T119" s="152">
        <f t="shared" ref="T119:AC119" si="330">T32/T25</f>
        <v>0</v>
      </c>
      <c r="U119" s="152">
        <f t="shared" si="330"/>
        <v>0</v>
      </c>
      <c r="V119" s="152">
        <f t="shared" si="330"/>
        <v>0</v>
      </c>
      <c r="W119" s="152">
        <f t="shared" si="330"/>
        <v>0</v>
      </c>
      <c r="X119" s="152">
        <f t="shared" si="330"/>
        <v>0</v>
      </c>
      <c r="Y119" s="152">
        <f t="shared" si="330"/>
        <v>0</v>
      </c>
      <c r="Z119" s="152">
        <f t="shared" si="330"/>
        <v>0</v>
      </c>
      <c r="AA119" s="152">
        <f t="shared" si="330"/>
        <v>0</v>
      </c>
      <c r="AB119" s="152">
        <f t="shared" si="330"/>
        <v>0</v>
      </c>
      <c r="AC119" s="152">
        <f t="shared" si="330"/>
        <v>0</v>
      </c>
      <c r="AD119" s="138" t="e">
        <f t="shared" si="249"/>
        <v>#DIV/0!</v>
      </c>
      <c r="AE119" s="20"/>
      <c r="AF119" s="20"/>
    </row>
    <row r="120" spans="2:32" x14ac:dyDescent="0.2">
      <c r="B120" s="20"/>
      <c r="C120" s="20"/>
      <c r="D120" s="20"/>
      <c r="E120" s="20"/>
      <c r="F120" s="20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28"/>
      <c r="S120" s="20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28"/>
      <c r="AE120" s="20"/>
      <c r="AF120" s="20"/>
    </row>
    <row r="121" spans="2:32" x14ac:dyDescent="0.2">
      <c r="B121" s="20" t="s">
        <v>354</v>
      </c>
      <c r="C121" s="20"/>
      <c r="D121" s="20"/>
      <c r="E121" s="20"/>
      <c r="F121" s="20"/>
      <c r="G121" s="152">
        <f>G27/G25</f>
        <v>0.78548427049789449</v>
      </c>
      <c r="H121" s="152" t="e">
        <f t="shared" ref="H121:P121" si="331">H27/H25</f>
        <v>#DIV/0!</v>
      </c>
      <c r="I121" s="152">
        <f t="shared" si="331"/>
        <v>0.78548427049789449</v>
      </c>
      <c r="J121" s="152">
        <f t="shared" si="331"/>
        <v>0.80784196348398685</v>
      </c>
      <c r="K121" s="152">
        <f t="shared" si="331"/>
        <v>0.86562879540686766</v>
      </c>
      <c r="L121" s="152">
        <f t="shared" si="331"/>
        <v>0.8822919068480517</v>
      </c>
      <c r="M121" s="152">
        <f t="shared" si="331"/>
        <v>0.78872885613800037</v>
      </c>
      <c r="N121" s="152">
        <f t="shared" si="331"/>
        <v>0.7468085106382979</v>
      </c>
      <c r="O121" s="152">
        <f t="shared" si="331"/>
        <v>0.79235352532274084</v>
      </c>
      <c r="P121" s="152">
        <f t="shared" si="331"/>
        <v>0.78645583004902431</v>
      </c>
      <c r="Q121" s="152">
        <f t="shared" ref="Q121" si="332">Q27/Q25</f>
        <v>0.77662075915351025</v>
      </c>
      <c r="R121" s="118">
        <f t="shared" si="247"/>
        <v>1.3735700068107093E-4</v>
      </c>
      <c r="S121" s="20"/>
      <c r="T121" s="152">
        <f t="shared" ref="T121:AC121" si="333">T27/T25</f>
        <v>0.77662075915351025</v>
      </c>
      <c r="U121" s="152">
        <f t="shared" si="333"/>
        <v>0.77662075915351025</v>
      </c>
      <c r="V121" s="152">
        <f t="shared" si="333"/>
        <v>0.77662075915351014</v>
      </c>
      <c r="W121" s="152">
        <f t="shared" si="333"/>
        <v>0.77662075915351014</v>
      </c>
      <c r="X121" s="152">
        <f t="shared" si="333"/>
        <v>0.77662075915351014</v>
      </c>
      <c r="Y121" s="152">
        <f t="shared" si="333"/>
        <v>0.77662075915351025</v>
      </c>
      <c r="Z121" s="152">
        <f t="shared" si="333"/>
        <v>0.77662075915351014</v>
      </c>
      <c r="AA121" s="152">
        <f t="shared" si="333"/>
        <v>0.77662075915351014</v>
      </c>
      <c r="AB121" s="152">
        <f t="shared" si="333"/>
        <v>0.77662075915351014</v>
      </c>
      <c r="AC121" s="152">
        <f t="shared" si="333"/>
        <v>0.77662075915351014</v>
      </c>
      <c r="AD121" s="138">
        <f t="shared" si="249"/>
        <v>-5.6725329642581812E-4</v>
      </c>
      <c r="AE121" s="20"/>
      <c r="AF121" s="20"/>
    </row>
    <row r="122" spans="2:32" x14ac:dyDescent="0.2">
      <c r="B122" s="20" t="str">
        <f>B33</f>
        <v>Top Expenses ( Raw material )</v>
      </c>
      <c r="C122" s="20"/>
      <c r="D122" s="20"/>
      <c r="E122" s="20"/>
      <c r="F122" s="20"/>
      <c r="G122" s="152">
        <f>G33/G25</f>
        <v>0</v>
      </c>
      <c r="H122" s="152" t="e">
        <f t="shared" ref="H122:P122" si="334">H33/H25</f>
        <v>#DIV/0!</v>
      </c>
      <c r="I122" s="152">
        <f t="shared" si="334"/>
        <v>0</v>
      </c>
      <c r="J122" s="152">
        <f t="shared" si="334"/>
        <v>0</v>
      </c>
      <c r="K122" s="152">
        <f t="shared" si="334"/>
        <v>0</v>
      </c>
      <c r="L122" s="152">
        <f t="shared" si="334"/>
        <v>0</v>
      </c>
      <c r="M122" s="152">
        <f t="shared" si="334"/>
        <v>0</v>
      </c>
      <c r="N122" s="152">
        <f t="shared" si="334"/>
        <v>0</v>
      </c>
      <c r="O122" s="152">
        <f t="shared" si="334"/>
        <v>0</v>
      </c>
      <c r="P122" s="152">
        <f t="shared" si="334"/>
        <v>0</v>
      </c>
      <c r="Q122" s="152">
        <f t="shared" ref="Q122" si="335">Q33/Q25</f>
        <v>0</v>
      </c>
      <c r="R122" s="118" t="e">
        <f t="shared" si="247"/>
        <v>#DIV/0!</v>
      </c>
      <c r="S122" s="20"/>
      <c r="T122" s="152">
        <f t="shared" ref="T122:AC122" si="336">T33/T25</f>
        <v>0</v>
      </c>
      <c r="U122" s="152">
        <f t="shared" si="336"/>
        <v>0</v>
      </c>
      <c r="V122" s="152">
        <f t="shared" si="336"/>
        <v>0</v>
      </c>
      <c r="W122" s="152">
        <f t="shared" si="336"/>
        <v>0</v>
      </c>
      <c r="X122" s="152">
        <f t="shared" si="336"/>
        <v>0</v>
      </c>
      <c r="Y122" s="152">
        <f t="shared" si="336"/>
        <v>0</v>
      </c>
      <c r="Z122" s="152">
        <f t="shared" si="336"/>
        <v>0</v>
      </c>
      <c r="AA122" s="152">
        <f t="shared" si="336"/>
        <v>0</v>
      </c>
      <c r="AB122" s="152">
        <f t="shared" si="336"/>
        <v>0</v>
      </c>
      <c r="AC122" s="152">
        <f t="shared" si="336"/>
        <v>0</v>
      </c>
      <c r="AD122" s="138" t="e">
        <f t="shared" si="249"/>
        <v>#DIV/0!</v>
      </c>
      <c r="AE122" s="20"/>
      <c r="AF122" s="20"/>
    </row>
    <row r="123" spans="2:32" x14ac:dyDescent="0.2">
      <c r="B123" s="20" t="str">
        <f>B34</f>
        <v>2nd highest Expenses Comp. ( Empl )</v>
      </c>
      <c r="C123" s="20"/>
      <c r="D123" s="20"/>
      <c r="E123" s="20"/>
      <c r="F123" s="20"/>
      <c r="G123" s="152">
        <f>G34/G25</f>
        <v>0</v>
      </c>
      <c r="H123" s="152" t="e">
        <f t="shared" ref="H123:P123" si="337">H34/H25</f>
        <v>#DIV/0!</v>
      </c>
      <c r="I123" s="152">
        <f t="shared" si="337"/>
        <v>0</v>
      </c>
      <c r="J123" s="152">
        <f t="shared" si="337"/>
        <v>0</v>
      </c>
      <c r="K123" s="152">
        <f t="shared" si="337"/>
        <v>0</v>
      </c>
      <c r="L123" s="152">
        <f t="shared" si="337"/>
        <v>0</v>
      </c>
      <c r="M123" s="152">
        <f t="shared" si="337"/>
        <v>0</v>
      </c>
      <c r="N123" s="152">
        <f t="shared" si="337"/>
        <v>0</v>
      </c>
      <c r="O123" s="152">
        <f t="shared" si="337"/>
        <v>0</v>
      </c>
      <c r="P123" s="152">
        <f t="shared" si="337"/>
        <v>0</v>
      </c>
      <c r="Q123" s="152">
        <f t="shared" ref="Q123" si="338">Q34/Q25</f>
        <v>0</v>
      </c>
      <c r="R123" s="118" t="e">
        <f t="shared" si="247"/>
        <v>#DIV/0!</v>
      </c>
      <c r="S123" s="20"/>
      <c r="T123" s="152">
        <f t="shared" ref="T123:AC123" si="339">T34/T25</f>
        <v>0</v>
      </c>
      <c r="U123" s="152">
        <f t="shared" si="339"/>
        <v>0</v>
      </c>
      <c r="V123" s="152">
        <f t="shared" si="339"/>
        <v>0</v>
      </c>
      <c r="W123" s="152">
        <f t="shared" si="339"/>
        <v>0</v>
      </c>
      <c r="X123" s="152">
        <f t="shared" si="339"/>
        <v>0</v>
      </c>
      <c r="Y123" s="152">
        <f t="shared" si="339"/>
        <v>0</v>
      </c>
      <c r="Z123" s="152">
        <f t="shared" si="339"/>
        <v>0</v>
      </c>
      <c r="AA123" s="152">
        <f t="shared" si="339"/>
        <v>0</v>
      </c>
      <c r="AB123" s="152">
        <f t="shared" si="339"/>
        <v>0</v>
      </c>
      <c r="AC123" s="152">
        <f t="shared" si="339"/>
        <v>0</v>
      </c>
      <c r="AD123" s="138" t="e">
        <f t="shared" si="249"/>
        <v>#DIV/0!</v>
      </c>
      <c r="AE123" s="20"/>
      <c r="AF123" s="20"/>
    </row>
    <row r="124" spans="2:32" x14ac:dyDescent="0.2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128"/>
      <c r="S124" s="128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39"/>
      <c r="AE124" s="20"/>
      <c r="AF124" s="20"/>
    </row>
    <row r="125" spans="2:32" x14ac:dyDescent="0.2">
      <c r="B125" s="108" t="s">
        <v>362</v>
      </c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18"/>
      <c r="S125" s="128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138"/>
      <c r="AE125" s="20"/>
      <c r="AF125" s="20"/>
    </row>
    <row r="126" spans="2:32" x14ac:dyDescent="0.2">
      <c r="B126" s="20" t="s">
        <v>365</v>
      </c>
      <c r="C126" s="20"/>
      <c r="D126" s="20"/>
      <c r="E126" s="20"/>
      <c r="F126" s="20"/>
      <c r="G126" s="25">
        <f>G15/G9</f>
        <v>0.46396608572774378</v>
      </c>
      <c r="H126" s="25" t="e">
        <f t="shared" ref="H126:AC126" si="340">H15/H9</f>
        <v>#DIV/0!</v>
      </c>
      <c r="I126" s="25">
        <f t="shared" si="340"/>
        <v>0.46396608572774378</v>
      </c>
      <c r="J126" s="25">
        <f t="shared" si="340"/>
        <v>0.46036881268197993</v>
      </c>
      <c r="K126" s="25">
        <f t="shared" si="340"/>
        <v>0.65094339622641506</v>
      </c>
      <c r="L126" s="25">
        <f t="shared" si="340"/>
        <v>0.64216478190630044</v>
      </c>
      <c r="M126" s="25">
        <f t="shared" si="340"/>
        <v>0.41121495327102803</v>
      </c>
      <c r="N126" s="25">
        <f t="shared" si="340"/>
        <v>0.44264288609647345</v>
      </c>
      <c r="O126" s="25">
        <f t="shared" si="340"/>
        <v>1.2460567823343849</v>
      </c>
      <c r="P126" s="25">
        <f t="shared" si="340"/>
        <v>0.70267341040462428</v>
      </c>
      <c r="Q126" s="25">
        <f t="shared" ref="Q126" si="341">Q15/Q9</f>
        <v>0.70267341040462428</v>
      </c>
      <c r="R126" s="118">
        <f t="shared" si="247"/>
        <v>4.7200155837820112E-2</v>
      </c>
      <c r="S126" s="20"/>
      <c r="T126" s="20">
        <f t="shared" si="340"/>
        <v>0.70267341040462439</v>
      </c>
      <c r="U126" s="20">
        <f t="shared" si="340"/>
        <v>0.70267341040462439</v>
      </c>
      <c r="V126" s="20">
        <f t="shared" si="340"/>
        <v>0.70267341040462439</v>
      </c>
      <c r="W126" s="20">
        <f t="shared" si="340"/>
        <v>0.7026734104046245</v>
      </c>
      <c r="X126" s="20">
        <f t="shared" si="340"/>
        <v>0.7026734104046245</v>
      </c>
      <c r="Y126" s="20">
        <f t="shared" si="340"/>
        <v>0.7026734104046245</v>
      </c>
      <c r="Z126" s="20">
        <f t="shared" si="340"/>
        <v>0.7026734104046245</v>
      </c>
      <c r="AA126" s="20">
        <f t="shared" si="340"/>
        <v>0.70267341040462461</v>
      </c>
      <c r="AB126" s="20">
        <f t="shared" si="340"/>
        <v>0.7026734104046245</v>
      </c>
      <c r="AC126" s="20">
        <f t="shared" si="340"/>
        <v>0.7026734104046245</v>
      </c>
      <c r="AD126" s="138">
        <f t="shared" si="249"/>
        <v>2.0970900699468942E-2</v>
      </c>
      <c r="AE126" s="20"/>
      <c r="AF126" s="20"/>
    </row>
    <row r="127" spans="2:32" x14ac:dyDescent="0.2">
      <c r="B127" s="20" t="s">
        <v>355</v>
      </c>
      <c r="C127" s="20"/>
      <c r="D127" s="20"/>
      <c r="E127" s="20"/>
      <c r="F127" s="20"/>
      <c r="G127" s="25">
        <f>G12/G9</f>
        <v>0.22468205369759775</v>
      </c>
      <c r="H127" s="25" t="e">
        <f t="shared" ref="H127:P127" si="342">H12/H9</f>
        <v>#DIV/0!</v>
      </c>
      <c r="I127" s="25">
        <f t="shared" si="342"/>
        <v>0.22468205369759775</v>
      </c>
      <c r="J127" s="25">
        <f t="shared" si="342"/>
        <v>0.24458104173406664</v>
      </c>
      <c r="K127" s="25">
        <f t="shared" si="342"/>
        <v>6.6981132075471697E-2</v>
      </c>
      <c r="L127" s="25">
        <f t="shared" si="342"/>
        <v>0.1147011308562197</v>
      </c>
      <c r="M127" s="25">
        <f t="shared" si="342"/>
        <v>5.2139695031972452E-2</v>
      </c>
      <c r="N127" s="25">
        <f t="shared" si="342"/>
        <v>7.0531009323064456E-2</v>
      </c>
      <c r="O127" s="25">
        <f t="shared" si="342"/>
        <v>0.74763406940063093</v>
      </c>
      <c r="P127" s="25">
        <f t="shared" si="342"/>
        <v>0.20447976878612717</v>
      </c>
      <c r="Q127" s="25">
        <f t="shared" ref="Q127" si="343">Q12/Q9</f>
        <v>0.20447976878612717</v>
      </c>
      <c r="R127" s="118">
        <f t="shared" si="247"/>
        <v>-1.0413980374607834E-2</v>
      </c>
      <c r="S127" s="128"/>
      <c r="T127" s="20">
        <f t="shared" ref="T127:AC127" si="344">T12/T9</f>
        <v>0.2044797687861272</v>
      </c>
      <c r="U127" s="20">
        <f t="shared" si="344"/>
        <v>0.2044797687861272</v>
      </c>
      <c r="V127" s="20">
        <f t="shared" si="344"/>
        <v>0.2044797687861272</v>
      </c>
      <c r="W127" s="20">
        <f t="shared" si="344"/>
        <v>0.20447976878612723</v>
      </c>
      <c r="X127" s="20">
        <f t="shared" si="344"/>
        <v>0.20447976878612723</v>
      </c>
      <c r="Y127" s="20">
        <f t="shared" si="344"/>
        <v>0.20447976878612723</v>
      </c>
      <c r="Z127" s="20">
        <f t="shared" si="344"/>
        <v>0.20447976878612723</v>
      </c>
      <c r="AA127" s="20">
        <f t="shared" si="344"/>
        <v>0.20447976878612723</v>
      </c>
      <c r="AB127" s="20">
        <f t="shared" si="344"/>
        <v>0.2044797687861272</v>
      </c>
      <c r="AC127" s="20">
        <f t="shared" si="344"/>
        <v>0.20447976878612723</v>
      </c>
      <c r="AD127" s="118">
        <f t="shared" ref="AD127" si="345">((AC127/T127)^(1/($H$2-$H$1) ))-1</f>
        <v>0</v>
      </c>
      <c r="AE127" s="20"/>
      <c r="AF127" s="20"/>
    </row>
    <row r="128" spans="2:32" x14ac:dyDescent="0.2">
      <c r="B128" s="20" t="s">
        <v>357</v>
      </c>
      <c r="C128" s="20"/>
      <c r="D128" s="20"/>
      <c r="E128" s="20"/>
      <c r="F128" s="20"/>
      <c r="G128" s="25">
        <f>G25/360</f>
        <v>22.427777777777777</v>
      </c>
      <c r="H128" s="25">
        <f t="shared" ref="H128:P128" si="346">H25/360</f>
        <v>0</v>
      </c>
      <c r="I128" s="25">
        <f t="shared" si="346"/>
        <v>22.427777777777777</v>
      </c>
      <c r="J128" s="25">
        <f t="shared" si="346"/>
        <v>27.841666666666665</v>
      </c>
      <c r="K128" s="25">
        <f t="shared" si="346"/>
        <v>25.158333333333335</v>
      </c>
      <c r="L128" s="25">
        <f t="shared" si="346"/>
        <v>24.094444444444445</v>
      </c>
      <c r="M128" s="25">
        <f t="shared" si="346"/>
        <v>33.172222222222224</v>
      </c>
      <c r="N128" s="25">
        <f t="shared" si="346"/>
        <v>49.611111111111114</v>
      </c>
      <c r="O128" s="25">
        <f t="shared" si="346"/>
        <v>55.944444444444443</v>
      </c>
      <c r="P128" s="25">
        <f t="shared" si="346"/>
        <v>57.794444444444444</v>
      </c>
      <c r="Q128" s="25">
        <f t="shared" ref="Q128" si="347">Q25/360</f>
        <v>57.886111111111113</v>
      </c>
      <c r="R128" s="118">
        <f t="shared" si="247"/>
        <v>0.110907147524969</v>
      </c>
      <c r="S128" s="128"/>
      <c r="T128" s="25">
        <f t="shared" ref="T128:AC128" si="348">T25/360</f>
        <v>62.51700000000001</v>
      </c>
      <c r="U128" s="25">
        <f t="shared" si="348"/>
        <v>67.518360000000015</v>
      </c>
      <c r="V128" s="25">
        <f t="shared" si="348"/>
        <v>72.919828800000019</v>
      </c>
      <c r="W128" s="25">
        <f t="shared" si="348"/>
        <v>78.753415104000027</v>
      </c>
      <c r="X128" s="25">
        <f t="shared" si="348"/>
        <v>85.053688312320034</v>
      </c>
      <c r="Y128" s="25">
        <f t="shared" si="348"/>
        <v>91.857983377305629</v>
      </c>
      <c r="Z128" s="25">
        <f t="shared" si="348"/>
        <v>99.2066220474901</v>
      </c>
      <c r="AA128" s="25">
        <f t="shared" si="348"/>
        <v>107.14315181128931</v>
      </c>
      <c r="AB128" s="25">
        <f t="shared" si="348"/>
        <v>115.71460395619248</v>
      </c>
      <c r="AC128" s="25">
        <f t="shared" si="348"/>
        <v>124.97177227268787</v>
      </c>
      <c r="AD128" s="118">
        <f t="shared" ref="AD128:AD139" si="349">((AC128/T128)^(1/($H$2-$H$1) ))-1</f>
        <v>8.0000000000000071E-2</v>
      </c>
      <c r="AE128" s="20"/>
      <c r="AF128" s="20"/>
    </row>
    <row r="129" spans="2:32" x14ac:dyDescent="0.2">
      <c r="B129" s="20" t="s">
        <v>356</v>
      </c>
      <c r="C129" s="20"/>
      <c r="D129" s="20"/>
      <c r="E129" s="20"/>
      <c r="F129" s="20"/>
      <c r="G129" s="25">
        <f>G27/360</f>
        <v>17.616666666666667</v>
      </c>
      <c r="H129" s="25">
        <f t="shared" ref="H129:P129" si="350">H27/360</f>
        <v>0</v>
      </c>
      <c r="I129" s="25">
        <f t="shared" si="350"/>
        <v>17.616666666666667</v>
      </c>
      <c r="J129" s="25">
        <f t="shared" si="350"/>
        <v>22.491666666666667</v>
      </c>
      <c r="K129" s="25">
        <f t="shared" si="350"/>
        <v>21.777777777777779</v>
      </c>
      <c r="L129" s="25">
        <f t="shared" si="350"/>
        <v>21.258333333333333</v>
      </c>
      <c r="M129" s="25">
        <f t="shared" si="350"/>
        <v>26.163888888888888</v>
      </c>
      <c r="N129" s="25">
        <f t="shared" si="350"/>
        <v>37.049999999999997</v>
      </c>
      <c r="O129" s="25">
        <f t="shared" si="350"/>
        <v>44.327777777777776</v>
      </c>
      <c r="P129" s="25">
        <f t="shared" si="350"/>
        <v>45.452777777777776</v>
      </c>
      <c r="Q129" s="25">
        <f t="shared" ref="Q129" si="351">Q27/360</f>
        <v>44.955555555555556</v>
      </c>
      <c r="R129" s="118">
        <f t="shared" si="247"/>
        <v>0.11105973839878813</v>
      </c>
      <c r="S129" s="128"/>
      <c r="T129" s="25">
        <f t="shared" ref="T129:AC129" si="352">T27/360</f>
        <v>48.552000000000007</v>
      </c>
      <c r="U129" s="25">
        <f t="shared" si="352"/>
        <v>52.436160000000008</v>
      </c>
      <c r="V129" s="25">
        <f t="shared" si="352"/>
        <v>56.631052800000006</v>
      </c>
      <c r="W129" s="25">
        <f t="shared" si="352"/>
        <v>61.161537024000012</v>
      </c>
      <c r="X129" s="25">
        <f t="shared" si="352"/>
        <v>66.054459985920019</v>
      </c>
      <c r="Y129" s="25">
        <f t="shared" si="352"/>
        <v>71.338816784793622</v>
      </c>
      <c r="Z129" s="25">
        <f t="shared" si="352"/>
        <v>77.045922127577114</v>
      </c>
      <c r="AA129" s="25">
        <f t="shared" si="352"/>
        <v>83.209595897783288</v>
      </c>
      <c r="AB129" s="25">
        <f t="shared" si="352"/>
        <v>89.866363569605966</v>
      </c>
      <c r="AC129" s="25">
        <f t="shared" si="352"/>
        <v>97.055672655174448</v>
      </c>
      <c r="AD129" s="118">
        <f t="shared" si="349"/>
        <v>8.0000000000000071E-2</v>
      </c>
      <c r="AE129" s="20"/>
      <c r="AF129" s="20"/>
    </row>
    <row r="130" spans="2:32" x14ac:dyDescent="0.2">
      <c r="B130" s="20"/>
      <c r="C130" s="20"/>
      <c r="D130" s="20"/>
      <c r="E130" s="20"/>
      <c r="F130" s="20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128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128"/>
      <c r="AE130" s="20"/>
      <c r="AF130" s="20"/>
    </row>
    <row r="131" spans="2:32" x14ac:dyDescent="0.2">
      <c r="B131" s="20" t="s">
        <v>366</v>
      </c>
      <c r="C131" s="20"/>
      <c r="D131" s="20"/>
      <c r="E131" s="20"/>
      <c r="F131" s="20"/>
      <c r="G131" s="25">
        <f>G10/G7</f>
        <v>0.28244568352239952</v>
      </c>
      <c r="H131" s="25" t="e">
        <f t="shared" ref="H131:P131" si="353">H10/H7</f>
        <v>#DIV/0!</v>
      </c>
      <c r="I131" s="25">
        <f t="shared" si="353"/>
        <v>0.28244568352239952</v>
      </c>
      <c r="J131" s="25">
        <f t="shared" si="353"/>
        <v>0.26422764227642276</v>
      </c>
      <c r="K131" s="25">
        <f t="shared" si="353"/>
        <v>0.82932840418977205</v>
      </c>
      <c r="L131" s="25">
        <f t="shared" si="353"/>
        <v>0.88024282560706402</v>
      </c>
      <c r="M131" s="25">
        <f t="shared" si="353"/>
        <v>0.50110456553755522</v>
      </c>
      <c r="N131" s="25">
        <f t="shared" si="353"/>
        <v>7.2186394840857079E-2</v>
      </c>
      <c r="O131" s="25">
        <f t="shared" si="353"/>
        <v>2.0226936359151456E-2</v>
      </c>
      <c r="P131" s="25">
        <f t="shared" si="353"/>
        <v>1.2151270923744576E-2</v>
      </c>
      <c r="Q131" s="25">
        <f t="shared" ref="Q131" si="354">Q10/Q7</f>
        <v>9.6390282285826693E-3</v>
      </c>
      <c r="R131" s="118">
        <f t="shared" si="247"/>
        <v>-0.2950027580141954</v>
      </c>
      <c r="S131" s="128"/>
      <c r="T131" s="25">
        <f t="shared" ref="T131:AC131" si="355">T10/T7</f>
        <v>9.6390282285826693E-3</v>
      </c>
      <c r="U131" s="25">
        <f t="shared" si="355"/>
        <v>9.6390282285826693E-3</v>
      </c>
      <c r="V131" s="25">
        <f t="shared" si="355"/>
        <v>9.6390282285826693E-3</v>
      </c>
      <c r="W131" s="25">
        <f t="shared" si="355"/>
        <v>9.639028228582671E-3</v>
      </c>
      <c r="X131" s="25">
        <f t="shared" si="355"/>
        <v>9.639028228582671E-3</v>
      </c>
      <c r="Y131" s="25">
        <f t="shared" si="355"/>
        <v>9.639028228582671E-3</v>
      </c>
      <c r="Z131" s="25">
        <f t="shared" si="355"/>
        <v>9.6390282285826728E-3</v>
      </c>
      <c r="AA131" s="25">
        <f t="shared" si="355"/>
        <v>9.6390282285826728E-3</v>
      </c>
      <c r="AB131" s="25">
        <f t="shared" si="355"/>
        <v>9.6390282285826728E-3</v>
      </c>
      <c r="AC131" s="25">
        <f t="shared" si="355"/>
        <v>9.6390282285826728E-3</v>
      </c>
      <c r="AD131" s="118">
        <f t="shared" si="349"/>
        <v>0</v>
      </c>
      <c r="AE131" s="20"/>
      <c r="AF131" s="20"/>
    </row>
    <row r="132" spans="2:32" x14ac:dyDescent="0.2">
      <c r="B132" s="20" t="s">
        <v>358</v>
      </c>
      <c r="C132" s="20"/>
      <c r="D132" s="20"/>
      <c r="E132" s="20"/>
      <c r="F132" s="20"/>
      <c r="G132" s="25">
        <f>G10/(G10+G7)</f>
        <v>0.22023988005997003</v>
      </c>
      <c r="H132" s="25" t="e">
        <f t="shared" ref="H132:P132" si="356">H10/(H10+H7)</f>
        <v>#DIV/0!</v>
      </c>
      <c r="I132" s="25">
        <f t="shared" si="356"/>
        <v>0.22023988005997003</v>
      </c>
      <c r="J132" s="25">
        <f t="shared" si="356"/>
        <v>0.20900321543408359</v>
      </c>
      <c r="K132" s="25">
        <f t="shared" si="356"/>
        <v>0.45335129673290669</v>
      </c>
      <c r="L132" s="25">
        <f t="shared" si="356"/>
        <v>0.4681538009979454</v>
      </c>
      <c r="M132" s="25">
        <f t="shared" si="356"/>
        <v>0.33382389011528085</v>
      </c>
      <c r="N132" s="25">
        <f t="shared" si="356"/>
        <v>6.7326348467209932E-2</v>
      </c>
      <c r="O132" s="25">
        <f t="shared" si="356"/>
        <v>1.9825918762088973E-2</v>
      </c>
      <c r="P132" s="25">
        <f t="shared" si="356"/>
        <v>1.2005390175180694E-2</v>
      </c>
      <c r="Q132" s="25">
        <f t="shared" ref="Q132" si="357">Q10/(Q10+Q7)</f>
        <v>9.5470043838285432E-3</v>
      </c>
      <c r="R132" s="118">
        <f t="shared" si="247"/>
        <v>-0.27621609032722194</v>
      </c>
      <c r="S132" s="128"/>
      <c r="T132" s="25">
        <f t="shared" ref="T132:AC132" si="358">T10/(T10+T7)</f>
        <v>9.5470043838285432E-3</v>
      </c>
      <c r="U132" s="25">
        <f t="shared" si="358"/>
        <v>9.5470043838285432E-3</v>
      </c>
      <c r="V132" s="25">
        <f t="shared" si="358"/>
        <v>9.5470043838285432E-3</v>
      </c>
      <c r="W132" s="25">
        <f t="shared" si="358"/>
        <v>9.5470043838285449E-3</v>
      </c>
      <c r="X132" s="25">
        <f t="shared" si="358"/>
        <v>9.5470043838285449E-3</v>
      </c>
      <c r="Y132" s="25">
        <f t="shared" si="358"/>
        <v>9.5470043838285449E-3</v>
      </c>
      <c r="Z132" s="25">
        <f t="shared" si="358"/>
        <v>9.5470043838285449E-3</v>
      </c>
      <c r="AA132" s="25">
        <f t="shared" si="358"/>
        <v>9.5470043838285466E-3</v>
      </c>
      <c r="AB132" s="25">
        <f t="shared" si="358"/>
        <v>9.5470043838285484E-3</v>
      </c>
      <c r="AC132" s="25">
        <f t="shared" si="358"/>
        <v>9.5470043838285466E-3</v>
      </c>
      <c r="AD132" s="118">
        <f t="shared" si="349"/>
        <v>0</v>
      </c>
      <c r="AE132" s="20"/>
      <c r="AF132" s="20"/>
    </row>
    <row r="133" spans="2:32" x14ac:dyDescent="0.2">
      <c r="B133" s="20"/>
      <c r="C133" s="20"/>
      <c r="D133" s="20"/>
      <c r="E133" s="20"/>
      <c r="F133" s="20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128"/>
      <c r="S133" s="128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137"/>
      <c r="AE133" s="20"/>
      <c r="AF133" s="20"/>
    </row>
    <row r="134" spans="2:32" x14ac:dyDescent="0.2">
      <c r="B134" s="20" t="s">
        <v>363</v>
      </c>
      <c r="C134" s="20"/>
      <c r="D134" s="20"/>
      <c r="E134" s="20"/>
      <c r="F134" s="20"/>
      <c r="G134" s="25">
        <f>G16</f>
        <v>1262</v>
      </c>
      <c r="H134" s="25">
        <f t="shared" ref="H134:P134" si="359">H16</f>
        <v>0</v>
      </c>
      <c r="I134" s="25">
        <f t="shared" si="359"/>
        <v>1262</v>
      </c>
      <c r="J134" s="25">
        <f t="shared" si="359"/>
        <v>3392</v>
      </c>
      <c r="K134" s="25">
        <f t="shared" si="359"/>
        <v>-212</v>
      </c>
      <c r="L134" s="25">
        <f t="shared" si="359"/>
        <v>-218</v>
      </c>
      <c r="M134" s="25">
        <f t="shared" si="359"/>
        <v>-1300</v>
      </c>
      <c r="N134" s="25">
        <f t="shared" si="359"/>
        <v>-1133</v>
      </c>
      <c r="O134" s="25">
        <f t="shared" si="359"/>
        <v>-229</v>
      </c>
      <c r="P134" s="25">
        <f t="shared" si="359"/>
        <v>-544</v>
      </c>
      <c r="Q134" s="25">
        <f t="shared" ref="Q134" si="360">Q16</f>
        <v>-544</v>
      </c>
      <c r="R134" s="118">
        <f t="shared" si="247"/>
        <v>-1.9107376332724089</v>
      </c>
      <c r="S134" s="128"/>
      <c r="T134" s="25">
        <f t="shared" ref="T134:AC134" si="361">T16</f>
        <v>-587.52</v>
      </c>
      <c r="U134" s="25">
        <f t="shared" si="361"/>
        <v>-634.52160000000003</v>
      </c>
      <c r="V134" s="25">
        <f t="shared" si="361"/>
        <v>-685.2833280000001</v>
      </c>
      <c r="W134" s="25">
        <f t="shared" si="361"/>
        <v>-740.1059942400002</v>
      </c>
      <c r="X134" s="25">
        <f t="shared" si="361"/>
        <v>-799.31447377920028</v>
      </c>
      <c r="Y134" s="25">
        <f t="shared" si="361"/>
        <v>-863.25963168153635</v>
      </c>
      <c r="Z134" s="25">
        <f t="shared" si="361"/>
        <v>-932.32040221605928</v>
      </c>
      <c r="AA134" s="25">
        <f t="shared" si="361"/>
        <v>-1006.906034393344</v>
      </c>
      <c r="AB134" s="25">
        <f t="shared" si="361"/>
        <v>-1087.4585171448116</v>
      </c>
      <c r="AC134" s="25">
        <f t="shared" si="361"/>
        <v>-1174.4551985163966</v>
      </c>
      <c r="AD134" s="118">
        <f t="shared" si="349"/>
        <v>8.0000000000000071E-2</v>
      </c>
      <c r="AE134" s="20"/>
      <c r="AF134" s="20"/>
    </row>
    <row r="135" spans="2:32" x14ac:dyDescent="0.2">
      <c r="B135" s="20" t="s">
        <v>364</v>
      </c>
      <c r="C135" s="20"/>
      <c r="D135" s="20"/>
      <c r="E135" s="20"/>
      <c r="F135" s="20"/>
      <c r="G135" s="119">
        <f t="shared" ref="G135:P135" si="362">G134*365/G25</f>
        <v>57.051027991082485</v>
      </c>
      <c r="H135" s="119" t="e">
        <f t="shared" si="362"/>
        <v>#DIV/0!</v>
      </c>
      <c r="I135" s="119">
        <f t="shared" si="362"/>
        <v>57.051027991082485</v>
      </c>
      <c r="J135" s="119">
        <f t="shared" si="362"/>
        <v>123.52389504140477</v>
      </c>
      <c r="K135" s="119">
        <f t="shared" si="362"/>
        <v>-8.543667881196864</v>
      </c>
      <c r="L135" s="119">
        <f t="shared" si="362"/>
        <v>-9.1733917454461604</v>
      </c>
      <c r="M135" s="119">
        <f t="shared" si="362"/>
        <v>-39.733712945905211</v>
      </c>
      <c r="N135" s="119">
        <f t="shared" si="362"/>
        <v>-23.154815229563269</v>
      </c>
      <c r="O135" s="119">
        <f t="shared" si="362"/>
        <v>-4.150198609731877</v>
      </c>
      <c r="P135" s="119">
        <f t="shared" si="362"/>
        <v>-9.5434009420359516</v>
      </c>
      <c r="Q135" s="119">
        <f t="shared" ref="Q135" si="363">Q134*365/Q25</f>
        <v>-9.5282883055808814</v>
      </c>
      <c r="R135" s="118">
        <f t="shared" si="247"/>
        <v>-1.8198143609945034</v>
      </c>
      <c r="S135" s="128"/>
      <c r="T135" s="119">
        <f t="shared" ref="T135:AC135" si="364">T134*365/T25</f>
        <v>-9.5282883055808796</v>
      </c>
      <c r="U135" s="119">
        <f t="shared" si="364"/>
        <v>-9.5282883055808814</v>
      </c>
      <c r="V135" s="119">
        <f t="shared" si="364"/>
        <v>-9.5282883055808814</v>
      </c>
      <c r="W135" s="119">
        <f t="shared" si="364"/>
        <v>-9.5282883055808814</v>
      </c>
      <c r="X135" s="119">
        <f t="shared" si="364"/>
        <v>-9.5282883055808831</v>
      </c>
      <c r="Y135" s="119">
        <f t="shared" si="364"/>
        <v>-9.5282883055808831</v>
      </c>
      <c r="Z135" s="119">
        <f t="shared" si="364"/>
        <v>-9.5282883055808814</v>
      </c>
      <c r="AA135" s="119">
        <f t="shared" si="364"/>
        <v>-9.5282883055808796</v>
      </c>
      <c r="AB135" s="119">
        <f t="shared" si="364"/>
        <v>-9.5282883055808796</v>
      </c>
      <c r="AC135" s="119">
        <f t="shared" si="364"/>
        <v>-9.5282883055808814</v>
      </c>
      <c r="AD135" s="118">
        <f t="shared" si="349"/>
        <v>0</v>
      </c>
      <c r="AE135" s="20"/>
      <c r="AF135" s="20"/>
    </row>
    <row r="136" spans="2:32" x14ac:dyDescent="0.2">
      <c r="B136" s="20" t="s">
        <v>367</v>
      </c>
      <c r="C136" s="20"/>
      <c r="D136" s="20"/>
      <c r="E136" s="20"/>
      <c r="F136" s="20"/>
      <c r="G136" s="133">
        <f>G80/G29</f>
        <v>367.71978821202072</v>
      </c>
      <c r="H136" s="133" t="e">
        <f t="shared" ref="H136:P136" si="365">H80/H29</f>
        <v>#DIV/0!</v>
      </c>
      <c r="I136" s="133">
        <f t="shared" si="365"/>
        <v>367.71978821202072</v>
      </c>
      <c r="J136" s="133">
        <f t="shared" si="365"/>
        <v>25.578635014836799</v>
      </c>
      <c r="K136" s="133">
        <f t="shared" si="365"/>
        <v>14.139513439909075</v>
      </c>
      <c r="L136" s="133">
        <f t="shared" si="365"/>
        <v>3.2377719099710802</v>
      </c>
      <c r="M136" s="133">
        <f t="shared" si="365"/>
        <v>24.352894684844891</v>
      </c>
      <c r="N136" s="133">
        <f t="shared" si="365"/>
        <v>56.031800898721052</v>
      </c>
      <c r="O136" s="133">
        <f t="shared" si="365"/>
        <v>5.5741745442522426</v>
      </c>
      <c r="P136" s="133">
        <f t="shared" si="365"/>
        <v>62.996889042516422</v>
      </c>
      <c r="Q136" s="133">
        <f t="shared" ref="Q136" si="366">Q80/Q29</f>
        <v>62.996889042516422</v>
      </c>
      <c r="R136" s="118">
        <f t="shared" si="247"/>
        <v>-0.17800930707135121</v>
      </c>
      <c r="S136" s="128"/>
      <c r="T136" s="133">
        <f t="shared" ref="T136:AC136" si="367">T80/T29</f>
        <v>59.997037183348972</v>
      </c>
      <c r="U136" s="133">
        <f t="shared" si="367"/>
        <v>57.140035412713303</v>
      </c>
      <c r="V136" s="133">
        <f t="shared" si="367"/>
        <v>54.419081345441249</v>
      </c>
      <c r="W136" s="133">
        <f t="shared" si="367"/>
        <v>51.82769651946785</v>
      </c>
      <c r="X136" s="133">
        <f t="shared" si="367"/>
        <v>49.359710970921753</v>
      </c>
      <c r="Y136" s="133">
        <f t="shared" si="367"/>
        <v>47.009248543734998</v>
      </c>
      <c r="Z136" s="133">
        <f t="shared" si="367"/>
        <v>44.770712898795232</v>
      </c>
      <c r="AA136" s="133">
        <f t="shared" si="367"/>
        <v>42.638774189328785</v>
      </c>
      <c r="AB136" s="133">
        <f t="shared" si="367"/>
        <v>40.608356370789316</v>
      </c>
      <c r="AC136" s="133">
        <f t="shared" si="367"/>
        <v>38.674625115037443</v>
      </c>
      <c r="AD136" s="118">
        <f t="shared" si="349"/>
        <v>-4.7619047619047672E-2</v>
      </c>
      <c r="AE136" s="20"/>
      <c r="AF136" s="20"/>
    </row>
    <row r="137" spans="2:32" x14ac:dyDescent="0.2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28"/>
      <c r="S137" s="128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137"/>
      <c r="AE137" s="20"/>
      <c r="AF137" s="20"/>
    </row>
    <row r="138" spans="2:32" x14ac:dyDescent="0.2">
      <c r="B138" s="20" t="s">
        <v>374</v>
      </c>
      <c r="C138" s="20"/>
      <c r="D138" s="20"/>
      <c r="E138" s="20"/>
      <c r="F138" s="20"/>
      <c r="G138" s="180">
        <f>G25/G14</f>
        <v>29.36</v>
      </c>
      <c r="H138" s="180" t="e">
        <f t="shared" ref="H138:P138" si="368">H25/H14</f>
        <v>#DIV/0!</v>
      </c>
      <c r="I138" s="180">
        <f t="shared" si="368"/>
        <v>29.36</v>
      </c>
      <c r="J138" s="180">
        <f t="shared" si="368"/>
        <v>31.618296529968454</v>
      </c>
      <c r="K138" s="180">
        <f t="shared" si="368"/>
        <v>24.745901639344261</v>
      </c>
      <c r="L138" s="180">
        <f t="shared" si="368"/>
        <v>23.317204301075268</v>
      </c>
      <c r="M138" s="180">
        <f t="shared" si="368"/>
        <v>26.074235807860262</v>
      </c>
      <c r="N138" s="180">
        <f t="shared" si="368"/>
        <v>31.006944444444443</v>
      </c>
      <c r="O138" s="180">
        <f t="shared" si="368"/>
        <v>28.648648648648649</v>
      </c>
      <c r="P138" s="180">
        <f t="shared" si="368"/>
        <v>32.307453416149066</v>
      </c>
      <c r="Q138" s="180">
        <f t="shared" ref="Q138" si="369">Q25/Q14</f>
        <v>32.358695652173914</v>
      </c>
      <c r="R138" s="118">
        <f t="shared" si="247"/>
        <v>1.0686110258021797E-2</v>
      </c>
      <c r="S138" s="128"/>
      <c r="T138" s="20">
        <f t="shared" ref="T138" si="370">T25/T14</f>
        <v>32.358695652173914</v>
      </c>
      <c r="U138" s="20">
        <f t="shared" ref="U138:AC138" si="371">U25/U14</f>
        <v>32.358695652173914</v>
      </c>
      <c r="V138" s="20">
        <f t="shared" si="371"/>
        <v>32.358695652173914</v>
      </c>
      <c r="W138" s="20">
        <f t="shared" si="371"/>
        <v>32.358695652173914</v>
      </c>
      <c r="X138" s="20">
        <f t="shared" si="371"/>
        <v>32.358695652173914</v>
      </c>
      <c r="Y138" s="20">
        <f t="shared" si="371"/>
        <v>32.358695652173914</v>
      </c>
      <c r="Z138" s="20">
        <f t="shared" si="371"/>
        <v>32.358695652173914</v>
      </c>
      <c r="AA138" s="20">
        <f t="shared" si="371"/>
        <v>32.358695652173914</v>
      </c>
      <c r="AB138" s="20">
        <f t="shared" si="371"/>
        <v>32.358695652173914</v>
      </c>
      <c r="AC138" s="20">
        <f t="shared" si="371"/>
        <v>32.358695652173914</v>
      </c>
      <c r="AD138" s="118">
        <f t="shared" si="349"/>
        <v>0</v>
      </c>
      <c r="AE138" s="20"/>
      <c r="AF138" s="20"/>
    </row>
    <row r="139" spans="2:32" x14ac:dyDescent="0.2">
      <c r="B139" s="20" t="s">
        <v>375</v>
      </c>
      <c r="C139" s="20"/>
      <c r="D139" s="20"/>
      <c r="E139" s="20"/>
      <c r="F139" s="20"/>
      <c r="G139" s="180">
        <f>G27/G14</f>
        <v>23.061818181818182</v>
      </c>
      <c r="H139" s="180" t="e">
        <f t="shared" ref="H139:P139" si="372">H27/H14</f>
        <v>#DIV/0!</v>
      </c>
      <c r="I139" s="180">
        <f t="shared" si="372"/>
        <v>23.061818181818182</v>
      </c>
      <c r="J139" s="180">
        <f t="shared" si="372"/>
        <v>25.542586750788644</v>
      </c>
      <c r="K139" s="180">
        <f t="shared" si="372"/>
        <v>21.420765027322403</v>
      </c>
      <c r="L139" s="180">
        <f t="shared" si="372"/>
        <v>20.572580645161292</v>
      </c>
      <c r="M139" s="180">
        <f t="shared" si="372"/>
        <v>20.565502183406114</v>
      </c>
      <c r="N139" s="180">
        <f t="shared" si="372"/>
        <v>23.15625</v>
      </c>
      <c r="O139" s="180">
        <f t="shared" si="372"/>
        <v>22.699857752489333</v>
      </c>
      <c r="P139" s="180">
        <f t="shared" si="372"/>
        <v>25.408385093167702</v>
      </c>
      <c r="Q139" s="180">
        <f t="shared" ref="Q139" si="373">Q27/Q14</f>
        <v>25.130434782608695</v>
      </c>
      <c r="R139" s="118">
        <f t="shared" si="247"/>
        <v>1.0824935070756991E-2</v>
      </c>
      <c r="S139" s="128"/>
      <c r="T139" s="20">
        <f t="shared" ref="T139:AC139" si="374">T27/T14</f>
        <v>25.130434782608695</v>
      </c>
      <c r="U139" s="20">
        <f t="shared" si="374"/>
        <v>25.130434782608695</v>
      </c>
      <c r="V139" s="20">
        <f t="shared" si="374"/>
        <v>25.130434782608695</v>
      </c>
      <c r="W139" s="20">
        <f t="shared" si="374"/>
        <v>25.130434782608695</v>
      </c>
      <c r="X139" s="20">
        <f t="shared" si="374"/>
        <v>25.130434782608695</v>
      </c>
      <c r="Y139" s="20">
        <f t="shared" si="374"/>
        <v>25.130434782608695</v>
      </c>
      <c r="Z139" s="20">
        <f t="shared" si="374"/>
        <v>25.130434782608695</v>
      </c>
      <c r="AA139" s="20">
        <f t="shared" si="374"/>
        <v>25.130434782608692</v>
      </c>
      <c r="AB139" s="20">
        <f t="shared" si="374"/>
        <v>25.130434782608695</v>
      </c>
      <c r="AC139" s="20">
        <f t="shared" si="374"/>
        <v>25.130434782608695</v>
      </c>
      <c r="AD139" s="118">
        <f t="shared" si="349"/>
        <v>0</v>
      </c>
      <c r="AE139" s="20"/>
      <c r="AF139" s="20"/>
    </row>
    <row r="140" spans="2:32" x14ac:dyDescent="0.2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28"/>
      <c r="S140" s="128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37"/>
      <c r="AE140" s="20"/>
      <c r="AF140" s="20"/>
    </row>
    <row r="141" spans="2:32" x14ac:dyDescent="0.2">
      <c r="B141" s="108" t="s">
        <v>244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3"/>
      <c r="S141" s="23"/>
      <c r="T141" s="122" t="s">
        <v>66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3" t="s">
        <v>280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5"/>
      <c r="Q142" s="25"/>
      <c r="R142" s="160">
        <f>AVERAGE(G54:Q54)</f>
        <v>89.526317237521511</v>
      </c>
      <c r="S142" s="23"/>
      <c r="T142" s="134"/>
      <c r="U142" s="20"/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25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>T143+U143</f>
        <v>179.23330529872376</v>
      </c>
      <c r="T143" s="133">
        <f>PV($C$1, ($AC$3-$T$3), 0, -AC54)</f>
        <v>24.975132705559865</v>
      </c>
      <c r="U143" s="133">
        <f>PV($C$1, ($AC$3-$T$3), 0, -AF54)</f>
        <v>154.25817259316389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272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ref="S144:S162" si="375">T144+U144</f>
        <v>558.29197762626347</v>
      </c>
      <c r="T144" s="133">
        <f>PV($C$1, ($AC$3-$T$3), 0, -AC56)</f>
        <v>77.794783767594083</v>
      </c>
      <c r="U144" s="133">
        <f>PV($C$1, ($AC$3-$T$3), 0, -AF56)</f>
        <v>480.49719385866939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273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75"/>
        <v>542.2576255590983</v>
      </c>
      <c r="T145" s="133">
        <f>PV($C$1, ($AC$3-$T$3), 0, -AC57)</f>
        <v>75.560488807415325</v>
      </c>
      <c r="U145" s="133">
        <f>PV($C$1, ($AC$3-$T$3), 0, -AF57)</f>
        <v>466.69713675168299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274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75"/>
        <v>5.3813921321307996</v>
      </c>
      <c r="T146" s="133">
        <f>PV($C$1, ($AC$3-$T$3), 0, -AC58)</f>
        <v>0.7498661167723244</v>
      </c>
      <c r="U146" s="133">
        <f>PV($C$1, ($AC$3-$T$3), 0, -AF58)</f>
        <v>4.6315260153584754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 t="s">
        <v>275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>
        <f t="shared" si="375"/>
        <v>31.080285171286043</v>
      </c>
      <c r="T147" s="133">
        <f>PV($C$1, ($AC$3-$T$3), 0, -AC64)</f>
        <v>4.3308594091136285</v>
      </c>
      <c r="U147" s="133">
        <f>PV($C$1, ($AC$3-$T$3), 0, -AF64)</f>
        <v>26.749425762172415</v>
      </c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/>
      <c r="T148" s="133"/>
      <c r="U148" s="20"/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75"/>
        <v>552.91058549413265</v>
      </c>
      <c r="T149" s="133">
        <f>PV($C$1, ($AC$3-$T$3), 0, -AC60)</f>
        <v>77.044917650821759</v>
      </c>
      <c r="U149" s="133">
        <f>PV($C$1, ($AC$3-$T$3), 0, -$AF$60)</f>
        <v>475.86566784331092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271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75"/>
        <v>400.9137138437444</v>
      </c>
      <c r="T150" s="133">
        <f>PV($C$1, ($AC$3-$T$3), 0, -AC61)</f>
        <v>55.865025699538144</v>
      </c>
      <c r="U150" s="133">
        <f>PV($C$1, ($AC$3-$T$3), 0, -$AF$61)</f>
        <v>345.04868814420627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 t="s">
        <v>276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>
        <f t="shared" si="375"/>
        <v>507.71787401715676</v>
      </c>
      <c r="T151" s="133">
        <f>PV($C$1, ($AC$3-$T$3), 0, -AC62)</f>
        <v>70.747572608948062</v>
      </c>
      <c r="U151" s="133">
        <f>PV($C$1, ($AC$3-$T$3), 0, -$AF$62)</f>
        <v>436.97030140820868</v>
      </c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/>
      <c r="T152" s="133"/>
      <c r="U152" s="20"/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249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75"/>
        <v>106.8041601734123</v>
      </c>
      <c r="T153" s="133">
        <f>PV($C$1, ($AC$3-$T$3), 0, -AC67)</f>
        <v>14.882546909409911</v>
      </c>
      <c r="U153" s="133">
        <f>PV($C$1, ($AC$3-$T$3), 0, -AF67)</f>
        <v>91.921613264002389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 t="s">
        <v>250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>
        <f t="shared" si="375"/>
        <v>-23.083077197562901</v>
      </c>
      <c r="T154" s="133">
        <f>PV($C$1, ($AC$3-$T$3), 0, -AC68)</f>
        <v>-4.1625221175933103</v>
      </c>
      <c r="U154" s="133">
        <f>PV($C$1, ($AC$3-$T$3), 0, -AF68)</f>
        <v>-18.920555079969592</v>
      </c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/>
      <c r="T155" s="133"/>
      <c r="U155" s="133"/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293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 t="shared" ref="S156" si="376">T156+U156</f>
        <v>1464.62492024634</v>
      </c>
      <c r="T156" s="133">
        <f>PV($C$1, ($AC$3-$T$3), 0, -AC12)</f>
        <v>204.0870790507195</v>
      </c>
      <c r="U156" s="133">
        <f>PV($C$1, ($AC$3-$T$3), 0, -AF12)</f>
        <v>1260.5378411956206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 t="s">
        <v>294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>
        <f>T157+U157</f>
        <v>50.626509514218455</v>
      </c>
      <c r="T157" s="140">
        <f>T156/P42</f>
        <v>7.0545136208337196</v>
      </c>
      <c r="U157" s="140">
        <f>U156/P42</f>
        <v>43.571995893384738</v>
      </c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40"/>
      <c r="U158" s="140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108" t="s">
        <v>297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/>
      <c r="T159" s="133"/>
      <c r="U159" s="133"/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0" t="s">
        <v>282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>
        <f t="shared" ref="S160" si="377">T160+U160</f>
        <v>473.83424682515465</v>
      </c>
      <c r="T160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389.81768663637524</v>
      </c>
      <c r="U160" s="133">
        <f>PV($C$1, ($AC$3-$T$3), 0, -AF70)</f>
        <v>84.01656018877938</v>
      </c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3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/>
      <c r="T161" s="133"/>
      <c r="U161" s="133"/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 t="s">
        <v>290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>
        <f t="shared" si="375"/>
        <v>10764.201733100372</v>
      </c>
      <c r="T162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8855.5781820320917</v>
      </c>
      <c r="U162" s="133">
        <f>PV($C$1, ($AC$3-$T$3), 0, -AF72)</f>
        <v>1908.6235510682804</v>
      </c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/>
      <c r="T163" s="133"/>
      <c r="U163" s="133"/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286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ref="S164:S167" si="378">T164+U164</f>
        <v>228.42330133898122</v>
      </c>
      <c r="T164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187.92107893936679</v>
      </c>
      <c r="U164" s="133">
        <f>PV($C$1, ($AC$3-$T$3), 0, -AF74)</f>
        <v>40.502222399614418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287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78"/>
        <v>568.79267801328581</v>
      </c>
      <c r="T165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467.93883600537777</v>
      </c>
      <c r="U165" s="133">
        <f>PV($C$1, ($AC$3-$T$3), 0, -AF75)</f>
        <v>100.853842007908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288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78"/>
        <v>-340.36937667430448</v>
      </c>
      <c r="T166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-280.01775706601092</v>
      </c>
      <c r="U166" s="133">
        <f>PV($C$1, ($AC$3-$T$3), 0, -AF76)</f>
        <v>-60.351619608293582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 t="s">
        <v>289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>
        <f t="shared" si="378"/>
        <v>-394.21010814510294</v>
      </c>
      <c r="T167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-324.31187368882559</v>
      </c>
      <c r="U167" s="133">
        <f>PV($C$1, ($AC$3-$T$3), 0, -AF77)</f>
        <v>-69.898234456277379</v>
      </c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/>
      <c r="T168" s="133"/>
      <c r="U168" s="133"/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 t="s">
        <v>298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140">
        <f>T169+U169</f>
        <v>146.59605103435203</v>
      </c>
      <c r="T169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120.60279278489121</v>
      </c>
      <c r="U169" s="133">
        <f>PV($C$1, ($AC$3-$T$3), 0, -AF78)</f>
        <v>25.993258249460833</v>
      </c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183">
        <v>41729</v>
      </c>
      <c r="P170" s="20">
        <v>1950</v>
      </c>
      <c r="Q170" s="20"/>
      <c r="R170" s="20"/>
      <c r="S170" s="20"/>
      <c r="T170" s="121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108" t="s">
        <v>251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3" t="s">
        <v>390</v>
      </c>
      <c r="P171" s="20">
        <v>2150</v>
      </c>
      <c r="Q171" s="20"/>
      <c r="R171" s="20">
        <v>850</v>
      </c>
      <c r="S171" s="23" t="s">
        <v>391</v>
      </c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137"/>
      <c r="AE171" s="20"/>
      <c r="AF171" s="20"/>
    </row>
    <row r="172" spans="2:32" x14ac:dyDescent="0.2">
      <c r="B172" s="20" t="s">
        <v>204</v>
      </c>
      <c r="C172" s="22">
        <v>0</v>
      </c>
      <c r="D172" s="22">
        <v>0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490</v>
      </c>
      <c r="M172" s="22">
        <v>1800</v>
      </c>
      <c r="N172" s="22">
        <v>1340</v>
      </c>
      <c r="O172" s="22">
        <v>1612</v>
      </c>
      <c r="P172" s="22">
        <v>1656</v>
      </c>
      <c r="Q172" s="22">
        <v>850</v>
      </c>
      <c r="R172" s="118" t="e">
        <f t="shared" ref="R172:R177" si="379">((P172/G172)^(1/($H$2-$H$1) ))-1</f>
        <v>#DIV/0!</v>
      </c>
      <c r="S172" s="31">
        <f>L2-3%</f>
        <v>0.05</v>
      </c>
      <c r="T172" s="119">
        <f t="shared" ref="T172" si="380">P172*(1+$S172)</f>
        <v>1738.8000000000002</v>
      </c>
      <c r="U172" s="119">
        <f t="shared" ref="U172:AC172" si="381">T172*(1+$S172)</f>
        <v>1825.7400000000002</v>
      </c>
      <c r="V172" s="119">
        <f t="shared" si="381"/>
        <v>1917.0270000000003</v>
      </c>
      <c r="W172" s="119">
        <f t="shared" si="381"/>
        <v>2012.8783500000004</v>
      </c>
      <c r="X172" s="119">
        <f t="shared" si="381"/>
        <v>2113.5222675000005</v>
      </c>
      <c r="Y172" s="119">
        <f t="shared" si="381"/>
        <v>2219.1983808750006</v>
      </c>
      <c r="Z172" s="119">
        <f t="shared" si="381"/>
        <v>2330.1582999187508</v>
      </c>
      <c r="AA172" s="119">
        <f t="shared" si="381"/>
        <v>2446.6662149146882</v>
      </c>
      <c r="AB172" s="119">
        <f t="shared" si="381"/>
        <v>2568.9995256604229</v>
      </c>
      <c r="AC172" s="119">
        <f t="shared" si="381"/>
        <v>2697.4495019434444</v>
      </c>
      <c r="AD172" s="138" t="e">
        <f t="shared" ref="AD172:AD177" si="382">((AC172/G172)^(1/($AC$3-$H$1) ))-1</f>
        <v>#DIV/0!</v>
      </c>
      <c r="AE172" s="31">
        <v>0.08</v>
      </c>
      <c r="AF172" s="127" t="e">
        <f t="shared" ref="AF172:AF180" si="383">(AC172*(1+AD172))/($C$1-AE172)</f>
        <v>#DIV/0!</v>
      </c>
    </row>
    <row r="173" spans="2:32" x14ac:dyDescent="0.2">
      <c r="B173" s="20" t="s">
        <v>361</v>
      </c>
      <c r="C173" s="25" t="e">
        <f t="shared" ref="C173:P173" si="384">C172/C50</f>
        <v>#DIV/0!</v>
      </c>
      <c r="D173" s="25" t="e">
        <f t="shared" si="384"/>
        <v>#DIV/0!</v>
      </c>
      <c r="E173" s="25" t="e">
        <f t="shared" si="384"/>
        <v>#DIV/0!</v>
      </c>
      <c r="F173" s="25" t="e">
        <f t="shared" si="384"/>
        <v>#DIV/0!</v>
      </c>
      <c r="G173" s="25">
        <f t="shared" si="384"/>
        <v>0</v>
      </c>
      <c r="H173" s="25" t="e">
        <f t="shared" si="384"/>
        <v>#DIV/0!</v>
      </c>
      <c r="I173" s="25">
        <f t="shared" si="384"/>
        <v>0</v>
      </c>
      <c r="J173" s="25">
        <f t="shared" si="384"/>
        <v>0</v>
      </c>
      <c r="K173" s="25">
        <f t="shared" si="384"/>
        <v>0</v>
      </c>
      <c r="L173" s="25">
        <f t="shared" si="384"/>
        <v>0.81685496887249254</v>
      </c>
      <c r="M173" s="25">
        <f t="shared" si="384"/>
        <v>2.1795344163456711</v>
      </c>
      <c r="N173" s="25">
        <f t="shared" si="384"/>
        <v>2.1705599104143336</v>
      </c>
      <c r="O173" s="25">
        <f t="shared" si="384"/>
        <v>2.3155491559086396</v>
      </c>
      <c r="P173" s="25">
        <f t="shared" si="384"/>
        <v>2.3026088628280306</v>
      </c>
      <c r="Q173" s="25">
        <f t="shared" ref="Q173" si="385">Q172/Q50</f>
        <v>1.1800230337348241</v>
      </c>
      <c r="R173" s="118" t="e">
        <f t="shared" ref="R173" si="386">((P173/G173)^(1/($H$2-$H$1) ))-1</f>
        <v>#DIV/0!</v>
      </c>
      <c r="S173" s="128"/>
      <c r="T173" s="25">
        <f t="shared" ref="T173:AC173" si="387">T172/T50</f>
        <v>2.3468575747396705</v>
      </c>
      <c r="U173" s="25">
        <f t="shared" si="387"/>
        <v>2.3957504408800805</v>
      </c>
      <c r="V173" s="25">
        <f t="shared" si="387"/>
        <v>2.445661908398415</v>
      </c>
      <c r="W173" s="25">
        <f t="shared" si="387"/>
        <v>2.4966131981567163</v>
      </c>
      <c r="X173" s="25">
        <f t="shared" si="387"/>
        <v>2.5486259731183143</v>
      </c>
      <c r="Y173" s="25">
        <f t="shared" si="387"/>
        <v>2.6017223475582796</v>
      </c>
      <c r="Z173" s="25">
        <f t="shared" si="387"/>
        <v>2.6559248964657436</v>
      </c>
      <c r="AA173" s="25">
        <f t="shared" si="387"/>
        <v>2.7112566651421131</v>
      </c>
      <c r="AB173" s="25">
        <f t="shared" si="387"/>
        <v>2.7677411789992408</v>
      </c>
      <c r="AC173" s="25">
        <f t="shared" si="387"/>
        <v>2.8254024535617255</v>
      </c>
      <c r="AD173" s="138" t="e">
        <f t="shared" ref="AD173" si="388">((AC173/G173)^(1/($AC$3-$H$1) ))-1</f>
        <v>#DIV/0!</v>
      </c>
      <c r="AE173" s="31">
        <v>0.08</v>
      </c>
      <c r="AF173" s="127" t="e">
        <f t="shared" ref="AF173" si="389">(AC173*(1+AD173))/($C$1-AE173)</f>
        <v>#DIV/0!</v>
      </c>
    </row>
    <row r="174" spans="2:32" x14ac:dyDescent="0.2">
      <c r="B174" s="20" t="s">
        <v>389</v>
      </c>
      <c r="C174" s="25" t="e">
        <f t="shared" ref="C174:P174" si="390">C172/C54</f>
        <v>#DIV/0!</v>
      </c>
      <c r="D174" s="25" t="e">
        <f t="shared" si="390"/>
        <v>#DIV/0!</v>
      </c>
      <c r="E174" s="25" t="e">
        <f t="shared" si="390"/>
        <v>#DIV/0!</v>
      </c>
      <c r="F174" s="25" t="e">
        <f t="shared" si="390"/>
        <v>#DIV/0!</v>
      </c>
      <c r="G174" s="25">
        <f t="shared" si="390"/>
        <v>0</v>
      </c>
      <c r="H174" s="25" t="e">
        <f t="shared" si="390"/>
        <v>#DIV/0!</v>
      </c>
      <c r="I174" s="25">
        <f t="shared" si="390"/>
        <v>0</v>
      </c>
      <c r="J174" s="25">
        <f t="shared" si="390"/>
        <v>0</v>
      </c>
      <c r="K174" s="25">
        <f t="shared" si="390"/>
        <v>0</v>
      </c>
      <c r="L174" s="25">
        <f t="shared" si="390"/>
        <v>11.848494983277593</v>
      </c>
      <c r="M174" s="25">
        <f t="shared" si="390"/>
        <v>15.337654684737775</v>
      </c>
      <c r="N174" s="25">
        <f t="shared" si="390"/>
        <v>11.298805013115709</v>
      </c>
      <c r="O174" s="25">
        <f t="shared" si="390"/>
        <v>15.59704347826087</v>
      </c>
      <c r="P174" s="25">
        <f t="shared" si="390"/>
        <v>15.717874015748032</v>
      </c>
      <c r="Q174" s="25">
        <f t="shared" ref="Q174" si="391">Q172/Q54</f>
        <v>7.5338541666666661</v>
      </c>
      <c r="R174" s="118" t="e">
        <f t="shared" si="379"/>
        <v>#DIV/0!</v>
      </c>
      <c r="S174" s="128"/>
      <c r="T174" s="119">
        <f t="shared" ref="T174:AC174" si="392">T172/T54</f>
        <v>14.983506433823528</v>
      </c>
      <c r="U174" s="119">
        <f t="shared" si="392"/>
        <v>15.295662817861519</v>
      </c>
      <c r="V174" s="119">
        <f t="shared" si="392"/>
        <v>15.614322459900299</v>
      </c>
      <c r="W174" s="119">
        <f t="shared" si="392"/>
        <v>15.939620844481558</v>
      </c>
      <c r="X174" s="119">
        <f t="shared" si="392"/>
        <v>16.271696278741594</v>
      </c>
      <c r="Y174" s="119">
        <f t="shared" si="392"/>
        <v>16.610689951215377</v>
      </c>
      <c r="Z174" s="119">
        <f t="shared" si="392"/>
        <v>16.956745991865699</v>
      </c>
      <c r="AA174" s="119">
        <f t="shared" si="392"/>
        <v>17.310011533362896</v>
      </c>
      <c r="AB174" s="119">
        <f t="shared" si="392"/>
        <v>17.670636773641291</v>
      </c>
      <c r="AC174" s="119">
        <f t="shared" si="392"/>
        <v>18.038775039758821</v>
      </c>
      <c r="AD174" s="138" t="e">
        <f t="shared" si="382"/>
        <v>#DIV/0!</v>
      </c>
      <c r="AE174" s="31">
        <v>0.08</v>
      </c>
      <c r="AF174" s="127" t="e">
        <f t="shared" si="383"/>
        <v>#DIV/0!</v>
      </c>
    </row>
    <row r="175" spans="2:32" x14ac:dyDescent="0.2">
      <c r="B175" s="20" t="s">
        <v>258</v>
      </c>
      <c r="C175" s="25" t="e">
        <f t="shared" ref="C175:P175" si="393">C172/C57</f>
        <v>#DIV/0!</v>
      </c>
      <c r="D175" s="25" t="e">
        <f t="shared" si="393"/>
        <v>#DIV/0!</v>
      </c>
      <c r="E175" s="25" t="e">
        <f t="shared" si="393"/>
        <v>#DIV/0!</v>
      </c>
      <c r="F175" s="25" t="e">
        <f t="shared" si="393"/>
        <v>#DIV/0!</v>
      </c>
      <c r="G175" s="25">
        <f t="shared" si="393"/>
        <v>0</v>
      </c>
      <c r="H175" s="25" t="e">
        <f t="shared" si="393"/>
        <v>#DIV/0!</v>
      </c>
      <c r="I175" s="25">
        <f t="shared" si="393"/>
        <v>0</v>
      </c>
      <c r="J175" s="25">
        <f t="shared" si="393"/>
        <v>0</v>
      </c>
      <c r="K175" s="25">
        <f t="shared" si="393"/>
        <v>0</v>
      </c>
      <c r="L175" s="25">
        <f t="shared" si="393"/>
        <v>4.2478417266187058</v>
      </c>
      <c r="M175" s="25">
        <f t="shared" si="393"/>
        <v>10.119751166407465</v>
      </c>
      <c r="N175" s="25">
        <f t="shared" si="393"/>
        <v>8.5822891299535087</v>
      </c>
      <c r="O175" s="25">
        <f t="shared" si="393"/>
        <v>8.051650552486187</v>
      </c>
      <c r="P175" s="25">
        <f t="shared" si="393"/>
        <v>6.1618109324758841</v>
      </c>
      <c r="Q175" s="25">
        <f t="shared" ref="Q175" si="394">Q172/Q57</f>
        <v>2.4901772151898731</v>
      </c>
      <c r="R175" s="118" t="e">
        <f t="shared" si="379"/>
        <v>#DIV/0!</v>
      </c>
      <c r="S175" s="128"/>
      <c r="T175" s="119">
        <f t="shared" ref="T175:AC175" si="395">T172/T57</f>
        <v>4.9525230379746841</v>
      </c>
      <c r="U175" s="119">
        <f t="shared" si="395"/>
        <v>5.0557006012658237</v>
      </c>
      <c r="V175" s="119">
        <f t="shared" si="395"/>
        <v>5.1610276971255269</v>
      </c>
      <c r="W175" s="119">
        <f t="shared" si="395"/>
        <v>5.2685491074823103</v>
      </c>
      <c r="X175" s="119">
        <f t="shared" si="395"/>
        <v>5.3783105472215249</v>
      </c>
      <c r="Y175" s="119">
        <f t="shared" si="395"/>
        <v>5.4903586836219738</v>
      </c>
      <c r="Z175" s="119">
        <f t="shared" si="395"/>
        <v>5.6047411561974316</v>
      </c>
      <c r="AA175" s="119">
        <f t="shared" si="395"/>
        <v>5.721506596951544</v>
      </c>
      <c r="AB175" s="119">
        <f t="shared" si="395"/>
        <v>5.8407046510547014</v>
      </c>
      <c r="AC175" s="119">
        <f t="shared" si="395"/>
        <v>5.9623859979516762</v>
      </c>
      <c r="AD175" s="138" t="e">
        <f t="shared" si="382"/>
        <v>#DIV/0!</v>
      </c>
      <c r="AE175" s="31">
        <v>0.08</v>
      </c>
      <c r="AF175" s="127" t="e">
        <f t="shared" si="383"/>
        <v>#DIV/0!</v>
      </c>
    </row>
    <row r="176" spans="2:32" x14ac:dyDescent="0.2">
      <c r="B176" s="20" t="s">
        <v>259</v>
      </c>
      <c r="C176" s="25" t="e">
        <f t="shared" ref="C176:P176" si="396">C172/C66</f>
        <v>#DIV/0!</v>
      </c>
      <c r="D176" s="25" t="e">
        <f t="shared" si="396"/>
        <v>#DIV/0!</v>
      </c>
      <c r="E176" s="25" t="e">
        <f t="shared" si="396"/>
        <v>#DIV/0!</v>
      </c>
      <c r="F176" s="25" t="e">
        <f t="shared" si="396"/>
        <v>#DIV/0!</v>
      </c>
      <c r="G176" s="25">
        <f t="shared" si="396"/>
        <v>0</v>
      </c>
      <c r="H176" s="25" t="e">
        <f t="shared" si="396"/>
        <v>#DIV/0!</v>
      </c>
      <c r="I176" s="25">
        <f t="shared" si="396"/>
        <v>0</v>
      </c>
      <c r="J176" s="25">
        <f t="shared" si="396"/>
        <v>0</v>
      </c>
      <c r="K176" s="25">
        <f t="shared" si="396"/>
        <v>0</v>
      </c>
      <c r="L176" s="25">
        <f t="shared" si="396"/>
        <v>4.5274121405750805</v>
      </c>
      <c r="M176" s="25">
        <f t="shared" si="396"/>
        <v>7.3297662630245002</v>
      </c>
      <c r="N176" s="25">
        <f t="shared" si="396"/>
        <v>8.6958725886047556</v>
      </c>
      <c r="O176" s="25">
        <f t="shared" si="396"/>
        <v>7.6064524547382151</v>
      </c>
      <c r="P176" s="25">
        <f t="shared" si="396"/>
        <v>7.2324999999999999</v>
      </c>
      <c r="Q176" s="25">
        <f t="shared" ref="Q176" si="397">Q172/Q66</f>
        <v>3.7123339371980677</v>
      </c>
      <c r="R176" s="118" t="e">
        <f t="shared" si="379"/>
        <v>#DIV/0!</v>
      </c>
      <c r="S176" s="128"/>
      <c r="T176" s="119">
        <f t="shared" ref="T176:AC176" si="398">T172/T66</f>
        <v>7.3831770833333339</v>
      </c>
      <c r="U176" s="119">
        <f t="shared" si="398"/>
        <v>7.5369932725694451</v>
      </c>
      <c r="V176" s="119">
        <f t="shared" si="398"/>
        <v>7.694013965747974</v>
      </c>
      <c r="W176" s="119">
        <f t="shared" si="398"/>
        <v>7.8543059233677255</v>
      </c>
      <c r="X176" s="119">
        <f t="shared" si="398"/>
        <v>8.017937296771219</v>
      </c>
      <c r="Y176" s="119">
        <f t="shared" si="398"/>
        <v>8.1849776571206192</v>
      </c>
      <c r="Z176" s="119">
        <f t="shared" si="398"/>
        <v>8.3554980249772992</v>
      </c>
      <c r="AA176" s="119">
        <f t="shared" si="398"/>
        <v>8.5295709004976601</v>
      </c>
      <c r="AB176" s="119">
        <f t="shared" si="398"/>
        <v>8.7072702942580289</v>
      </c>
      <c r="AC176" s="119">
        <f t="shared" si="398"/>
        <v>8.8886717587217401</v>
      </c>
      <c r="AD176" s="138" t="e">
        <f t="shared" si="382"/>
        <v>#DIV/0!</v>
      </c>
      <c r="AE176" s="31">
        <v>0.08</v>
      </c>
      <c r="AF176" s="127" t="e">
        <f t="shared" si="383"/>
        <v>#DIV/0!</v>
      </c>
    </row>
    <row r="177" spans="2:46" x14ac:dyDescent="0.2">
      <c r="B177" s="20" t="s">
        <v>260</v>
      </c>
      <c r="C177" s="25" t="e">
        <f t="shared" ref="C177:P177" si="399">C172/C68</f>
        <v>#DIV/0!</v>
      </c>
      <c r="D177" s="25" t="e">
        <f t="shared" si="399"/>
        <v>#DIV/0!</v>
      </c>
      <c r="E177" s="25" t="e">
        <f t="shared" si="399"/>
        <v>#DIV/0!</v>
      </c>
      <c r="F177" s="25" t="e">
        <f t="shared" si="399"/>
        <v>#DIV/0!</v>
      </c>
      <c r="G177" s="25">
        <f t="shared" si="399"/>
        <v>0</v>
      </c>
      <c r="H177" s="25" t="e">
        <f t="shared" si="399"/>
        <v>#DIV/0!</v>
      </c>
      <c r="I177" s="25">
        <f t="shared" si="399"/>
        <v>0</v>
      </c>
      <c r="J177" s="25">
        <f t="shared" si="399"/>
        <v>0</v>
      </c>
      <c r="K177" s="25">
        <f t="shared" si="399"/>
        <v>0</v>
      </c>
      <c r="L177" s="25">
        <f t="shared" si="399"/>
        <v>-32.501834862385323</v>
      </c>
      <c r="M177" s="25">
        <f t="shared" si="399"/>
        <v>-20.021538461538462</v>
      </c>
      <c r="N177" s="25">
        <f t="shared" si="399"/>
        <v>-34.215533980582528</v>
      </c>
      <c r="O177" s="25">
        <f t="shared" si="399"/>
        <v>-203.6469868995633</v>
      </c>
      <c r="P177" s="25">
        <f t="shared" si="399"/>
        <v>-88.066323529411775</v>
      </c>
      <c r="Q177" s="25">
        <f t="shared" ref="Q177" si="400">Q172/Q68</f>
        <v>-45.203125</v>
      </c>
      <c r="R177" s="118" t="e">
        <f t="shared" si="379"/>
        <v>#DIV/0!</v>
      </c>
      <c r="S177" s="128"/>
      <c r="T177" s="119">
        <f t="shared" ref="T177:AC177" si="401">T172/T68</f>
        <v>-89.901038602941185</v>
      </c>
      <c r="U177" s="119">
        <f t="shared" si="401"/>
        <v>-91.773976907169128</v>
      </c>
      <c r="V177" s="119">
        <f t="shared" si="401"/>
        <v>-93.685934759401803</v>
      </c>
      <c r="W177" s="119">
        <f t="shared" si="401"/>
        <v>-95.637725066889345</v>
      </c>
      <c r="X177" s="119">
        <f t="shared" si="401"/>
        <v>-97.630177672449534</v>
      </c>
      <c r="Y177" s="119">
        <f t="shared" si="401"/>
        <v>-99.66413970729225</v>
      </c>
      <c r="Z177" s="119">
        <f t="shared" si="401"/>
        <v>-101.74047595119418</v>
      </c>
      <c r="AA177" s="119">
        <f t="shared" si="401"/>
        <v>-103.86006920017739</v>
      </c>
      <c r="AB177" s="119">
        <f t="shared" si="401"/>
        <v>-106.02382064184778</v>
      </c>
      <c r="AC177" s="119">
        <f t="shared" si="401"/>
        <v>-108.23265023855295</v>
      </c>
      <c r="AD177" s="138" t="e">
        <f t="shared" si="382"/>
        <v>#DIV/0!</v>
      </c>
      <c r="AE177" s="31">
        <v>0.08</v>
      </c>
      <c r="AF177" s="127" t="e">
        <f t="shared" si="383"/>
        <v>#DIV/0!</v>
      </c>
    </row>
    <row r="178" spans="2:46" x14ac:dyDescent="0.2">
      <c r="B178" s="20" t="s">
        <v>281</v>
      </c>
      <c r="C178" s="25" t="e">
        <f>C174/C124</f>
        <v>#DIV/0!</v>
      </c>
      <c r="D178" s="25" t="e">
        <f>D174/D124</f>
        <v>#DIV/0!</v>
      </c>
      <c r="E178" s="25" t="e">
        <f>E174/E124</f>
        <v>#DIV/0!</v>
      </c>
      <c r="F178" s="25" t="e">
        <f>F174/F124</f>
        <v>#DIV/0!</v>
      </c>
      <c r="G178" s="182">
        <f t="shared" ref="G178:P178" si="402">G172/G62</f>
        <v>0</v>
      </c>
      <c r="H178" s="182" t="e">
        <f t="shared" si="402"/>
        <v>#DIV/0!</v>
      </c>
      <c r="I178" s="182">
        <f t="shared" si="402"/>
        <v>0</v>
      </c>
      <c r="J178" s="182">
        <f t="shared" si="402"/>
        <v>0</v>
      </c>
      <c r="K178" s="182">
        <f t="shared" si="402"/>
        <v>0</v>
      </c>
      <c r="L178" s="182">
        <f t="shared" si="402"/>
        <v>-31.35132743362832</v>
      </c>
      <c r="M178" s="182">
        <f t="shared" si="402"/>
        <v>164.7341772151899</v>
      </c>
      <c r="N178" s="182">
        <f t="shared" si="402"/>
        <v>12.566029173419773</v>
      </c>
      <c r="O178" s="182">
        <f t="shared" si="402"/>
        <v>7.1702275522755228</v>
      </c>
      <c r="P178" s="182">
        <f t="shared" si="402"/>
        <v>6.7060582306830909</v>
      </c>
      <c r="Q178" s="182">
        <f t="shared" ref="Q178" si="403">Q172/Q62</f>
        <v>2.6595825221717502</v>
      </c>
      <c r="R178" s="118" t="e">
        <f t="shared" ref="R178:R181" si="404">((P178/G178)^(1/($H$2-$H$1) ))-1</f>
        <v>#DIV/0!</v>
      </c>
      <c r="S178" s="128"/>
      <c r="T178" s="135">
        <f t="shared" ref="T178:AC178" si="405">T172/T62</f>
        <v>5.2894402985074631</v>
      </c>
      <c r="U178" s="135">
        <f t="shared" si="405"/>
        <v>5.3996369713930328</v>
      </c>
      <c r="V178" s="135">
        <f t="shared" si="405"/>
        <v>5.5121294082970556</v>
      </c>
      <c r="W178" s="135">
        <f t="shared" si="405"/>
        <v>5.6269654376365787</v>
      </c>
      <c r="X178" s="135">
        <f t="shared" si="405"/>
        <v>5.7441938842540079</v>
      </c>
      <c r="Y178" s="135">
        <f t="shared" si="405"/>
        <v>5.8638645901759645</v>
      </c>
      <c r="Z178" s="135">
        <f t="shared" si="405"/>
        <v>5.9860284358046334</v>
      </c>
      <c r="AA178" s="135">
        <f t="shared" si="405"/>
        <v>6.1107373615505631</v>
      </c>
      <c r="AB178" s="135">
        <f t="shared" si="405"/>
        <v>6.2380443899162001</v>
      </c>
      <c r="AC178" s="135">
        <f t="shared" si="405"/>
        <v>6.3680036480394557</v>
      </c>
      <c r="AD178" s="138" t="e">
        <f t="shared" ref="AD178" si="406">((AC178/G178)^(1/($AC$3-$H$1) ))-1</f>
        <v>#DIV/0!</v>
      </c>
      <c r="AE178" s="31">
        <v>0.08</v>
      </c>
      <c r="AF178" s="127" t="e">
        <f t="shared" si="383"/>
        <v>#DIV/0!</v>
      </c>
    </row>
    <row r="179" spans="2:46" x14ac:dyDescent="0.2">
      <c r="B179" s="20" t="s">
        <v>371</v>
      </c>
      <c r="C179" s="161" t="e">
        <f t="shared" ref="C179:P179" si="407">C54/C172</f>
        <v>#DIV/0!</v>
      </c>
      <c r="D179" s="161" t="e">
        <f t="shared" si="407"/>
        <v>#DIV/0!</v>
      </c>
      <c r="E179" s="161" t="e">
        <f t="shared" si="407"/>
        <v>#DIV/0!</v>
      </c>
      <c r="F179" s="161" t="e">
        <f t="shared" si="407"/>
        <v>#DIV/0!</v>
      </c>
      <c r="G179" s="161" t="e">
        <f t="shared" si="407"/>
        <v>#DIV/0!</v>
      </c>
      <c r="H179" s="161" t="e">
        <f t="shared" si="407"/>
        <v>#DIV/0!</v>
      </c>
      <c r="I179" s="161" t="e">
        <f t="shared" si="407"/>
        <v>#DIV/0!</v>
      </c>
      <c r="J179" s="161" t="e">
        <f t="shared" si="407"/>
        <v>#DIV/0!</v>
      </c>
      <c r="K179" s="161" t="e">
        <f t="shared" si="407"/>
        <v>#DIV/0!</v>
      </c>
      <c r="L179" s="161">
        <f t="shared" si="407"/>
        <v>8.4398904790131804E-2</v>
      </c>
      <c r="M179" s="161">
        <f t="shared" si="407"/>
        <v>6.5199016443829722E-2</v>
      </c>
      <c r="N179" s="161">
        <f t="shared" si="407"/>
        <v>8.8504934711165911E-2</v>
      </c>
      <c r="O179" s="161">
        <f t="shared" si="407"/>
        <v>6.4114715163408886E-2</v>
      </c>
      <c r="P179" s="161">
        <f t="shared" si="407"/>
        <v>6.362183581558685E-2</v>
      </c>
      <c r="Q179" s="161">
        <f t="shared" ref="Q179" si="408">Q54/Q172</f>
        <v>0.13273418596612513</v>
      </c>
      <c r="R179" s="118" t="e">
        <f t="shared" si="404"/>
        <v>#DIV/0!</v>
      </c>
      <c r="S179" s="128"/>
      <c r="T179" s="161">
        <f t="shared" ref="T179:AC179" si="409">T54/T172</f>
        <v>6.6740052097726335E-2</v>
      </c>
      <c r="U179" s="161">
        <f t="shared" si="409"/>
        <v>6.537801021818089E-2</v>
      </c>
      <c r="V179" s="161">
        <f t="shared" si="409"/>
        <v>6.4043765111687412E-2</v>
      </c>
      <c r="W179" s="161">
        <f t="shared" si="409"/>
        <v>6.273674949716318E-2</v>
      </c>
      <c r="X179" s="161">
        <f t="shared" si="409"/>
        <v>6.1456407670690445E-2</v>
      </c>
      <c r="Y179" s="161">
        <f t="shared" si="409"/>
        <v>6.0202195269247777E-2</v>
      </c>
      <c r="Z179" s="161">
        <f t="shared" si="409"/>
        <v>5.8973579039263133E-2</v>
      </c>
      <c r="AA179" s="161">
        <f t="shared" si="409"/>
        <v>5.777003660989042E-2</v>
      </c>
      <c r="AB179" s="161">
        <f t="shared" si="409"/>
        <v>5.6591056270913057E-2</v>
      </c>
      <c r="AC179" s="161">
        <f t="shared" si="409"/>
        <v>5.5436136755180138E-2</v>
      </c>
      <c r="AD179" s="138" t="e">
        <f t="shared" ref="AD179:AD181" si="410">((AC179/G179)^(1/($AC$3-$H$1) ))-1</f>
        <v>#DIV/0!</v>
      </c>
      <c r="AE179" s="31">
        <v>0.08</v>
      </c>
      <c r="AF179" s="127" t="e">
        <f t="shared" si="383"/>
        <v>#DIV/0!</v>
      </c>
    </row>
    <row r="180" spans="2:46" x14ac:dyDescent="0.2">
      <c r="B180" s="20" t="s">
        <v>320</v>
      </c>
      <c r="C180" s="152" t="e">
        <f t="shared" ref="C180:P180" si="411">C44/C172</f>
        <v>#DIV/0!</v>
      </c>
      <c r="D180" s="152" t="e">
        <f t="shared" si="411"/>
        <v>#DIV/0!</v>
      </c>
      <c r="E180" s="152" t="e">
        <f t="shared" si="411"/>
        <v>#DIV/0!</v>
      </c>
      <c r="F180" s="152" t="e">
        <f t="shared" si="411"/>
        <v>#DIV/0!</v>
      </c>
      <c r="G180" s="152" t="e">
        <f t="shared" si="411"/>
        <v>#DIV/0!</v>
      </c>
      <c r="H180" s="152" t="e">
        <f t="shared" si="411"/>
        <v>#DIV/0!</v>
      </c>
      <c r="I180" s="152" t="e">
        <f t="shared" si="411"/>
        <v>#DIV/0!</v>
      </c>
      <c r="J180" s="152" t="e">
        <f t="shared" si="411"/>
        <v>#DIV/0!</v>
      </c>
      <c r="K180" s="152" t="e">
        <f t="shared" si="411"/>
        <v>#DIV/0!</v>
      </c>
      <c r="L180" s="152">
        <f t="shared" si="411"/>
        <v>4.4897959183673466E-2</v>
      </c>
      <c r="M180" s="152">
        <f t="shared" si="411"/>
        <v>2.2222222222222223E-2</v>
      </c>
      <c r="N180" s="152">
        <f t="shared" si="411"/>
        <v>2.9850746268656716E-2</v>
      </c>
      <c r="O180" s="152">
        <f t="shared" si="411"/>
        <v>2.7915632754342432E-2</v>
      </c>
      <c r="P180" s="152">
        <f t="shared" si="411"/>
        <v>2.717391304347826E-2</v>
      </c>
      <c r="Q180" s="152">
        <f t="shared" ref="Q180" si="412">Q44/Q172</f>
        <v>5.8823529411764705E-2</v>
      </c>
      <c r="R180" s="118" t="e">
        <f t="shared" si="404"/>
        <v>#DIV/0!</v>
      </c>
      <c r="S180" s="128"/>
      <c r="T180" s="152">
        <f t="shared" ref="T180:AC180" si="413">T44/T172</f>
        <v>3.0193236714975841E-2</v>
      </c>
      <c r="U180" s="152">
        <f t="shared" si="413"/>
        <v>3.0193236714975841E-2</v>
      </c>
      <c r="V180" s="152">
        <f t="shared" si="413"/>
        <v>3.0193236714975841E-2</v>
      </c>
      <c r="W180" s="152">
        <f t="shared" si="413"/>
        <v>3.0193236714975841E-2</v>
      </c>
      <c r="X180" s="152">
        <f t="shared" si="413"/>
        <v>3.0193236714975844E-2</v>
      </c>
      <c r="Y180" s="152">
        <f t="shared" si="413"/>
        <v>3.0193236714975844E-2</v>
      </c>
      <c r="Z180" s="152">
        <f t="shared" si="413"/>
        <v>3.0193236714975844E-2</v>
      </c>
      <c r="AA180" s="152">
        <f t="shared" si="413"/>
        <v>3.0193236714975851E-2</v>
      </c>
      <c r="AB180" s="152">
        <f t="shared" si="413"/>
        <v>3.0193236714975848E-2</v>
      </c>
      <c r="AC180" s="152">
        <f t="shared" si="413"/>
        <v>3.0193236714975841E-2</v>
      </c>
      <c r="AD180" s="138" t="e">
        <f t="shared" si="410"/>
        <v>#DIV/0!</v>
      </c>
      <c r="AE180" s="31">
        <v>0.08</v>
      </c>
      <c r="AF180" s="127" t="e">
        <f t="shared" si="383"/>
        <v>#DIV/0!</v>
      </c>
    </row>
    <row r="181" spans="2:46" x14ac:dyDescent="0.2">
      <c r="B181" s="20" t="s">
        <v>446</v>
      </c>
      <c r="C181" s="181" t="e">
        <f t="shared" ref="C181:O181" si="414">(C174)/($L$2*100)</f>
        <v>#DIV/0!</v>
      </c>
      <c r="D181" s="181" t="e">
        <f t="shared" si="414"/>
        <v>#DIV/0!</v>
      </c>
      <c r="E181" s="181" t="e">
        <f t="shared" si="414"/>
        <v>#DIV/0!</v>
      </c>
      <c r="F181" s="181" t="e">
        <f t="shared" si="414"/>
        <v>#DIV/0!</v>
      </c>
      <c r="G181" s="181">
        <f t="shared" si="414"/>
        <v>0</v>
      </c>
      <c r="H181" s="181" t="e">
        <f t="shared" si="414"/>
        <v>#DIV/0!</v>
      </c>
      <c r="I181" s="181">
        <f t="shared" si="414"/>
        <v>0</v>
      </c>
      <c r="J181" s="181">
        <f t="shared" si="414"/>
        <v>0</v>
      </c>
      <c r="K181" s="181">
        <f t="shared" si="414"/>
        <v>0</v>
      </c>
      <c r="L181" s="181">
        <f t="shared" si="414"/>
        <v>1.4810618729096992</v>
      </c>
      <c r="M181" s="181">
        <f t="shared" si="414"/>
        <v>1.9172068355922218</v>
      </c>
      <c r="N181" s="181">
        <f t="shared" si="414"/>
        <v>1.4123506266394636</v>
      </c>
      <c r="O181" s="181">
        <f t="shared" si="414"/>
        <v>1.9496304347826088</v>
      </c>
      <c r="P181" s="181">
        <f>(P174)/($L$2*100)</f>
        <v>1.964734251968504</v>
      </c>
      <c r="Q181" s="181">
        <f>(Q174)/($L$2*100)</f>
        <v>0.94173177083333326</v>
      </c>
      <c r="R181" s="118" t="e">
        <f t="shared" si="404"/>
        <v>#DIV/0!</v>
      </c>
      <c r="S181" s="128"/>
      <c r="T181" s="181">
        <f>(T174)/($L$2*100)</f>
        <v>1.8729383042279411</v>
      </c>
      <c r="U181" s="181">
        <f t="shared" ref="U181:AC181" si="415">(U174)/($L$2*100)</f>
        <v>1.9119578522326899</v>
      </c>
      <c r="V181" s="181">
        <f t="shared" si="415"/>
        <v>1.9517903074875373</v>
      </c>
      <c r="W181" s="181">
        <f t="shared" si="415"/>
        <v>1.9924526055601948</v>
      </c>
      <c r="X181" s="181">
        <f t="shared" si="415"/>
        <v>2.0339620348426992</v>
      </c>
      <c r="Y181" s="181">
        <f t="shared" si="415"/>
        <v>2.0763362439019222</v>
      </c>
      <c r="Z181" s="181">
        <f t="shared" si="415"/>
        <v>2.1195932489832123</v>
      </c>
      <c r="AA181" s="181">
        <f t="shared" si="415"/>
        <v>2.163751441670362</v>
      </c>
      <c r="AB181" s="181">
        <f t="shared" si="415"/>
        <v>2.2088295967051614</v>
      </c>
      <c r="AC181" s="181">
        <f t="shared" si="415"/>
        <v>2.2548468799698527</v>
      </c>
      <c r="AD181" s="138" t="e">
        <f t="shared" si="410"/>
        <v>#DIV/0!</v>
      </c>
      <c r="AE181" s="31">
        <v>0.08</v>
      </c>
      <c r="AF181" s="181" t="e">
        <f>(AF174)/($L$2*100)</f>
        <v>#DIV/0!</v>
      </c>
    </row>
    <row r="182" spans="2:46" x14ac:dyDescent="0.2">
      <c r="B182" s="20" t="s">
        <v>447</v>
      </c>
      <c r="C182" s="152"/>
      <c r="D182" s="152"/>
      <c r="E182" s="152"/>
      <c r="F182" s="152"/>
      <c r="G182" s="152">
        <f t="shared" ref="G182:P182" si="416">G181-1</f>
        <v>-1</v>
      </c>
      <c r="H182" s="152" t="e">
        <f t="shared" si="416"/>
        <v>#DIV/0!</v>
      </c>
      <c r="I182" s="152">
        <f t="shared" si="416"/>
        <v>-1</v>
      </c>
      <c r="J182" s="152">
        <f t="shared" si="416"/>
        <v>-1</v>
      </c>
      <c r="K182" s="152">
        <f t="shared" si="416"/>
        <v>-1</v>
      </c>
      <c r="L182" s="152">
        <f t="shared" si="416"/>
        <v>0.48106187290969915</v>
      </c>
      <c r="M182" s="152">
        <f t="shared" si="416"/>
        <v>0.91720683559222183</v>
      </c>
      <c r="N182" s="152">
        <f t="shared" si="416"/>
        <v>0.41235062663946365</v>
      </c>
      <c r="O182" s="152">
        <f t="shared" si="416"/>
        <v>0.94963043478260878</v>
      </c>
      <c r="P182" s="152">
        <f t="shared" si="416"/>
        <v>0.96473425196850404</v>
      </c>
      <c r="Q182" s="152">
        <f>Q181-1</f>
        <v>-5.8268229166666741E-2</v>
      </c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127"/>
    </row>
    <row r="183" spans="2:46" x14ac:dyDescent="0.2">
      <c r="B183" s="20"/>
      <c r="C183" s="129"/>
      <c r="D183" s="129"/>
      <c r="E183" s="129"/>
      <c r="F183" s="129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28"/>
      <c r="S183" s="128"/>
      <c r="T183" s="135"/>
      <c r="U183" s="135"/>
      <c r="V183" s="135"/>
      <c r="W183" s="135"/>
      <c r="X183" s="135"/>
      <c r="Y183" s="135"/>
      <c r="Z183" s="135"/>
      <c r="AA183" s="135"/>
      <c r="AB183" s="135"/>
      <c r="AC183" s="135"/>
      <c r="AD183" s="137"/>
      <c r="AE183" s="20"/>
      <c r="AF183" s="20"/>
    </row>
    <row r="184" spans="2:46" x14ac:dyDescent="0.2">
      <c r="B184" s="108" t="s">
        <v>301</v>
      </c>
      <c r="C184" s="20"/>
      <c r="D184" s="20"/>
      <c r="E184" s="20"/>
      <c r="F184" s="20"/>
      <c r="G184" s="20"/>
      <c r="H184" s="20"/>
      <c r="I184" s="20"/>
      <c r="J184" s="20"/>
      <c r="K184" s="203" t="s">
        <v>351</v>
      </c>
      <c r="L184" s="204"/>
      <c r="M184" s="20"/>
      <c r="N184" s="20"/>
      <c r="O184" s="20"/>
      <c r="P184" s="108" t="s">
        <v>430</v>
      </c>
      <c r="Q184" s="108" t="s">
        <v>429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299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20" t="s">
        <v>352</v>
      </c>
      <c r="L185" s="22">
        <v>1</v>
      </c>
      <c r="M185" s="20"/>
      <c r="N185" s="20"/>
      <c r="O185" s="20"/>
      <c r="P185" s="128">
        <f>(Q172-S160)/Q172</f>
        <v>0.44254794491158278</v>
      </c>
      <c r="Q185" s="128">
        <f>(Q172-T160)/Q172</f>
        <v>0.54139095689838201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349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$L$185</f>
        <v>1</v>
      </c>
      <c r="L186" s="20"/>
      <c r="M186" s="128">
        <f>(P172-(K186*S151))/P172</f>
        <v>0.69340708090751413</v>
      </c>
      <c r="N186" s="20"/>
      <c r="O186" s="20"/>
      <c r="P186" s="128">
        <f>(Q172-S151)/Q172</f>
        <v>0.40268485409746263</v>
      </c>
      <c r="Q186" s="128">
        <f>(Q172-T151)/Q172</f>
        <v>0.91676756163653172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350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$L$185</f>
        <v>1</v>
      </c>
      <c r="L187" s="20"/>
      <c r="M187" s="128">
        <f>(P172-(K187*S144))/P172</f>
        <v>0.66286716326916462</v>
      </c>
      <c r="N187" s="20"/>
      <c r="O187" s="20"/>
      <c r="P187" s="128">
        <f>(Q172-S144)/Q172</f>
        <v>0.34318590867498416</v>
      </c>
      <c r="Q187" s="128">
        <f>(Q172-T144)/Q172</f>
        <v>0.9084767249793011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353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$L$185</f>
        <v>1</v>
      </c>
      <c r="L188" s="20"/>
      <c r="M188" s="128">
        <f>(P172-(K188*S157))/P172</f>
        <v>0.96942843628368447</v>
      </c>
      <c r="N188" s="20"/>
      <c r="O188" s="20"/>
      <c r="P188" s="128">
        <f>(Q172-S157)/Q172</f>
        <v>0.94043940057150766</v>
      </c>
      <c r="Q188" s="128">
        <f>(Q172-T157)/Q172</f>
        <v>0.99170057221078378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399</v>
      </c>
      <c r="C189" s="20" t="s">
        <v>314</v>
      </c>
      <c r="D189" s="20"/>
      <c r="E189" s="20"/>
      <c r="F189" s="20"/>
      <c r="G189" s="20"/>
      <c r="H189" s="20"/>
      <c r="I189" s="20"/>
      <c r="J189" s="20"/>
      <c r="K189" s="172">
        <f>$L$185</f>
        <v>1</v>
      </c>
      <c r="L189" s="20"/>
      <c r="M189" s="128">
        <f>(P172-(K189*S169))/P172</f>
        <v>0.9114758145927826</v>
      </c>
      <c r="N189" s="20"/>
      <c r="O189" s="20"/>
      <c r="P189" s="128">
        <f>(Q172-S169)/Q172</f>
        <v>0.82753405760664467</v>
      </c>
      <c r="Q189" s="128">
        <f>(Q172-T169)/Q172</f>
        <v>0.85811436142953978</v>
      </c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137"/>
      <c r="AE189" s="20"/>
      <c r="AF189" s="20"/>
    </row>
    <row r="190" spans="2:46" x14ac:dyDescent="0.2">
      <c r="B190" s="20" t="s">
        <v>300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5">
        <f>Q172/S143</f>
        <v>4.7424221663676054</v>
      </c>
      <c r="Q190" s="25">
        <f>Q172/T143</f>
        <v>34.033853193932231</v>
      </c>
      <c r="R190" s="20"/>
      <c r="S190" s="20"/>
      <c r="T190" s="115" t="s">
        <v>11</v>
      </c>
      <c r="U190" s="115" t="s">
        <v>12</v>
      </c>
      <c r="V190" s="115" t="s">
        <v>13</v>
      </c>
      <c r="W190" s="115" t="s">
        <v>14</v>
      </c>
      <c r="X190" s="115" t="s">
        <v>15</v>
      </c>
      <c r="Y190" s="115" t="s">
        <v>234</v>
      </c>
      <c r="Z190" s="115" t="s">
        <v>235</v>
      </c>
      <c r="AA190" s="115" t="s">
        <v>236</v>
      </c>
      <c r="AB190" s="115" t="s">
        <v>237</v>
      </c>
      <c r="AC190" s="115" t="s">
        <v>238</v>
      </c>
      <c r="AD190" s="115" t="s">
        <v>407</v>
      </c>
      <c r="AE190" s="115" t="s">
        <v>408</v>
      </c>
      <c r="AF190" s="115" t="s">
        <v>409</v>
      </c>
      <c r="AG190" s="115" t="s">
        <v>410</v>
      </c>
      <c r="AH190" s="115" t="s">
        <v>411</v>
      </c>
      <c r="AI190" s="115" t="s">
        <v>412</v>
      </c>
      <c r="AJ190" s="115" t="s">
        <v>413</v>
      </c>
      <c r="AK190" s="115" t="s">
        <v>414</v>
      </c>
      <c r="AL190" s="115" t="s">
        <v>415</v>
      </c>
      <c r="AM190" s="115" t="s">
        <v>416</v>
      </c>
      <c r="AN190" s="115" t="s">
        <v>417</v>
      </c>
      <c r="AO190" s="115" t="s">
        <v>418</v>
      </c>
      <c r="AP190" s="115" t="s">
        <v>419</v>
      </c>
      <c r="AQ190" s="115" t="s">
        <v>420</v>
      </c>
      <c r="AR190" s="115" t="s">
        <v>421</v>
      </c>
      <c r="AS190" s="115" t="s">
        <v>422</v>
      </c>
      <c r="AT190" s="115" t="s">
        <v>423</v>
      </c>
    </row>
    <row r="191" spans="2:46" x14ac:dyDescent="0.2">
      <c r="B191" s="20" t="s">
        <v>371</v>
      </c>
      <c r="C191" s="20"/>
      <c r="D191" s="20"/>
      <c r="E191" s="20"/>
      <c r="F191" s="20"/>
      <c r="G191" s="189" t="s">
        <v>448</v>
      </c>
      <c r="H191" s="190"/>
      <c r="I191" s="189" t="s">
        <v>449</v>
      </c>
      <c r="J191" s="190"/>
      <c r="K191" s="20"/>
      <c r="L191" s="189" t="s">
        <v>450</v>
      </c>
      <c r="M191" s="190"/>
      <c r="N191" s="189" t="s">
        <v>451</v>
      </c>
      <c r="O191" s="190"/>
      <c r="P191" s="152">
        <f>1/P190</f>
        <v>0.21086271211614563</v>
      </c>
      <c r="Q191" s="152">
        <f>1/Q190</f>
        <v>2.9382509065364548E-2</v>
      </c>
      <c r="R191" s="20"/>
      <c r="S191" s="20"/>
      <c r="T191" s="129">
        <f>Q172-T192</f>
        <v>755.9973669006024</v>
      </c>
      <c r="U191" s="185">
        <f>T191-U192</f>
        <v>657.29460214623498</v>
      </c>
      <c r="V191" s="185">
        <f t="shared" ref="V191:X191" si="417">U191-V192</f>
        <v>553.65669915414912</v>
      </c>
      <c r="W191" s="185">
        <f t="shared" si="417"/>
        <v>444.83690101245895</v>
      </c>
      <c r="X191" s="185">
        <f t="shared" si="417"/>
        <v>330.5761129636843</v>
      </c>
      <c r="Y191" s="185">
        <f>X191-Y192</f>
        <v>210.6022855124709</v>
      </c>
      <c r="Z191" s="185">
        <f t="shared" ref="Z191:AC191" si="418">Y191-Z192</f>
        <v>84.629766688696833</v>
      </c>
      <c r="AA191" s="185">
        <f t="shared" si="418"/>
        <v>-47.641378076265937</v>
      </c>
      <c r="AB191" s="185">
        <f t="shared" si="418"/>
        <v>-186.52608007947686</v>
      </c>
      <c r="AC191" s="185">
        <f t="shared" si="418"/>
        <v>-332.35501718284831</v>
      </c>
      <c r="AD191" s="185">
        <f t="shared" ref="AD191" si="419">AC191-AD192</f>
        <v>-485.47540114138837</v>
      </c>
      <c r="AE191" s="185">
        <f t="shared" ref="AE191" si="420">AD191-AE192</f>
        <v>-646.25180429785541</v>
      </c>
      <c r="AF191" s="185">
        <f t="shared" ref="AF191" si="421">AE191-AF192</f>
        <v>-815.06702761214581</v>
      </c>
      <c r="AG191" s="185">
        <f t="shared" ref="AG191" si="422">AF191-AG192</f>
        <v>-992.32301209215075</v>
      </c>
      <c r="AH191" s="185">
        <f t="shared" ref="AH191" si="423">AG191-AH192</f>
        <v>-1178.4417957961559</v>
      </c>
      <c r="AI191" s="185">
        <f t="shared" ref="AI191" si="424">AH191-AI192</f>
        <v>-1373.8665186853614</v>
      </c>
      <c r="AJ191" s="185">
        <f t="shared" ref="AJ191" si="425">AI191-AJ192</f>
        <v>-1579.0624777190271</v>
      </c>
      <c r="AK191" s="185">
        <f t="shared" ref="AK191" si="426">AJ191-AK192</f>
        <v>-1794.518234704376</v>
      </c>
      <c r="AL191" s="185">
        <f t="shared" ref="AL191" si="427">AK191-AL192</f>
        <v>-2020.7467795389925</v>
      </c>
      <c r="AM191" s="185">
        <f t="shared" ref="AM191" si="428">AL191-AM192</f>
        <v>-2258.2867516153397</v>
      </c>
      <c r="AN191" s="185">
        <f t="shared" ref="AN191" si="429">AM191-AN192</f>
        <v>-2507.7037222955041</v>
      </c>
      <c r="AO191" s="185">
        <f t="shared" ref="AO191" si="430">AN191-AO192</f>
        <v>-2769.591541509677</v>
      </c>
      <c r="AP191" s="185">
        <f t="shared" ref="AP191" si="431">AO191-AP192</f>
        <v>-3044.5737516845584</v>
      </c>
      <c r="AQ191" s="185">
        <f t="shared" ref="AQ191" si="432">AP191-AQ192</f>
        <v>-3333.305072368184</v>
      </c>
      <c r="AR191" s="185">
        <f t="shared" ref="AR191" si="433">AQ191-AR192</f>
        <v>-3636.4729590859911</v>
      </c>
      <c r="AS191" s="185">
        <f t="shared" ref="AS191" si="434">AR191-AS192</f>
        <v>-3954.7992401396882</v>
      </c>
      <c r="AT191" s="185">
        <f t="shared" ref="AT191" si="435">AS191-AT192</f>
        <v>-4289.0418352460701</v>
      </c>
    </row>
    <row r="192" spans="2:46" x14ac:dyDescent="0.2">
      <c r="B192" s="20" t="s">
        <v>396</v>
      </c>
      <c r="C192" s="20"/>
      <c r="D192" s="20"/>
      <c r="E192" s="20"/>
      <c r="F192" s="20"/>
      <c r="G192" s="191">
        <v>0</v>
      </c>
      <c r="H192" s="190"/>
      <c r="I192" s="191">
        <v>0.05</v>
      </c>
      <c r="J192" s="190"/>
      <c r="K192" s="184">
        <f>P1</f>
        <v>0.05</v>
      </c>
      <c r="L192" s="191">
        <v>0.12</v>
      </c>
      <c r="M192" s="190"/>
      <c r="N192" s="191">
        <v>0.2</v>
      </c>
      <c r="O192" s="190"/>
      <c r="P192" s="181">
        <f>Q172/R142</f>
        <v>9.4944148964027217</v>
      </c>
      <c r="Q192" s="181" t="e">
        <f>Q172/S142</f>
        <v>#DIV/0!</v>
      </c>
      <c r="R192" s="20"/>
      <c r="S192" s="20"/>
      <c r="T192" s="186">
        <f>R142*(1+$K$192)</f>
        <v>94.002633099397585</v>
      </c>
      <c r="U192" s="186">
        <f>T192*(1+$K$192)</f>
        <v>98.702764754367465</v>
      </c>
      <c r="V192" s="186">
        <f t="shared" ref="V192:AC192" si="436">U192*(1+$K$192)</f>
        <v>103.63790299208584</v>
      </c>
      <c r="W192" s="186">
        <f t="shared" si="436"/>
        <v>108.81979814169014</v>
      </c>
      <c r="X192" s="186">
        <f t="shared" si="436"/>
        <v>114.26078804877466</v>
      </c>
      <c r="Y192" s="186">
        <f t="shared" si="436"/>
        <v>119.9738274512134</v>
      </c>
      <c r="Z192" s="186">
        <f t="shared" si="436"/>
        <v>125.97251882377407</v>
      </c>
      <c r="AA192" s="186">
        <f t="shared" si="436"/>
        <v>132.27114476496277</v>
      </c>
      <c r="AB192" s="186">
        <f t="shared" si="436"/>
        <v>138.88470200321092</v>
      </c>
      <c r="AC192" s="186">
        <f t="shared" si="436"/>
        <v>145.82893710337146</v>
      </c>
      <c r="AD192" s="186">
        <f t="shared" ref="AD192" si="437">AC192*(1+$K$192)</f>
        <v>153.12038395854003</v>
      </c>
      <c r="AE192" s="186">
        <f t="shared" ref="AE192" si="438">AD192*(1+$K$192)</f>
        <v>160.77640315646704</v>
      </c>
      <c r="AF192" s="186">
        <f t="shared" ref="AF192" si="439">AE192*(1+$K$192)</f>
        <v>168.81522331429039</v>
      </c>
      <c r="AG192" s="186">
        <f t="shared" ref="AG192" si="440">AF192*(1+$K$192)</f>
        <v>177.25598448000491</v>
      </c>
      <c r="AH192" s="186">
        <f t="shared" ref="AH192" si="441">AG192*(1+$K$192)</f>
        <v>186.11878370400515</v>
      </c>
      <c r="AI192" s="186">
        <f t="shared" ref="AI192" si="442">AH192*(1+$K$192)</f>
        <v>195.42472288920541</v>
      </c>
      <c r="AJ192" s="186">
        <f t="shared" ref="AJ192" si="443">AI192*(1+$K$192)</f>
        <v>205.1959590336657</v>
      </c>
      <c r="AK192" s="186">
        <f t="shared" ref="AK192" si="444">AJ192*(1+$K$192)</f>
        <v>215.45575698534898</v>
      </c>
      <c r="AL192" s="186">
        <f t="shared" ref="AL192" si="445">AK192*(1+$K$192)</f>
        <v>226.22854483461643</v>
      </c>
      <c r="AM192" s="186">
        <f t="shared" ref="AM192" si="446">AL192*(1+$K$192)</f>
        <v>237.53997207634725</v>
      </c>
      <c r="AN192" s="186">
        <f t="shared" ref="AN192" si="447">AM192*(1+$K$192)</f>
        <v>249.41697068016464</v>
      </c>
      <c r="AO192" s="186">
        <f t="shared" ref="AO192" si="448">AN192*(1+$K$192)</f>
        <v>261.88781921417291</v>
      </c>
      <c r="AP192" s="186">
        <f t="shared" ref="AP192" si="449">AO192*(1+$K$192)</f>
        <v>274.98221017488157</v>
      </c>
      <c r="AQ192" s="186">
        <f t="shared" ref="AQ192" si="450">AP192*(1+$K$192)</f>
        <v>288.73132068362565</v>
      </c>
      <c r="AR192" s="186">
        <f t="shared" ref="AR192" si="451">AQ192*(1+$K$192)</f>
        <v>303.16788671780694</v>
      </c>
      <c r="AS192" s="186">
        <f t="shared" ref="AS192" si="452">AR192*(1+$K$192)</f>
        <v>318.3262810536973</v>
      </c>
      <c r="AT192" s="186">
        <f t="shared" ref="AT192" si="453">AS192*(1+$K$192)</f>
        <v>334.24259510638217</v>
      </c>
    </row>
    <row r="193" spans="2:46" x14ac:dyDescent="0.2">
      <c r="B193" s="20" t="s">
        <v>395</v>
      </c>
      <c r="C193" s="20"/>
      <c r="D193" s="20"/>
      <c r="E193" s="20"/>
      <c r="F193" s="172">
        <v>2000</v>
      </c>
      <c r="G193" s="191">
        <v>0</v>
      </c>
      <c r="H193" s="192">
        <f>Q174</f>
        <v>7.5338541666666661</v>
      </c>
      <c r="I193" s="191">
        <v>0.02</v>
      </c>
      <c r="J193" s="190">
        <v>15</v>
      </c>
      <c r="K193" s="184">
        <v>0</v>
      </c>
      <c r="L193" s="191">
        <v>0.05</v>
      </c>
      <c r="M193" s="190">
        <v>12</v>
      </c>
      <c r="N193" s="191">
        <v>0.12</v>
      </c>
      <c r="O193" s="190">
        <v>9</v>
      </c>
      <c r="P193" s="181">
        <f>Q172/P54</f>
        <v>8.0677493438320216</v>
      </c>
      <c r="Q193" s="181">
        <f>Q172/Q54</f>
        <v>7.5338541666666661</v>
      </c>
      <c r="R193" s="20"/>
      <c r="S193" s="20"/>
      <c r="T193" s="186">
        <f>Q54*(1+$K$193)</f>
        <v>112.82405807120637</v>
      </c>
      <c r="U193" s="186">
        <f>T193*(1+$K$193)</f>
        <v>112.82405807120637</v>
      </c>
      <c r="V193" s="186">
        <f t="shared" ref="V193:AC193" si="454">U193*(1+$K$193)</f>
        <v>112.82405807120637</v>
      </c>
      <c r="W193" s="186">
        <f t="shared" si="454"/>
        <v>112.82405807120637</v>
      </c>
      <c r="X193" s="186">
        <f t="shared" si="454"/>
        <v>112.82405807120637</v>
      </c>
      <c r="Y193" s="186">
        <f t="shared" si="454"/>
        <v>112.82405807120637</v>
      </c>
      <c r="Z193" s="186">
        <f t="shared" si="454"/>
        <v>112.82405807120637</v>
      </c>
      <c r="AA193" s="186">
        <f t="shared" si="454"/>
        <v>112.82405807120637</v>
      </c>
      <c r="AB193" s="186">
        <f t="shared" si="454"/>
        <v>112.82405807120637</v>
      </c>
      <c r="AC193" s="186">
        <f t="shared" si="454"/>
        <v>112.82405807120637</v>
      </c>
      <c r="AD193" s="186">
        <f t="shared" ref="AD193" si="455">AC193*(1+$K$193)</f>
        <v>112.82405807120637</v>
      </c>
      <c r="AE193" s="186">
        <f t="shared" ref="AE193" si="456">AD193*(1+$K$193)</f>
        <v>112.82405807120637</v>
      </c>
      <c r="AF193" s="186">
        <f t="shared" ref="AF193" si="457">AE193*(1+$K$193)</f>
        <v>112.82405807120637</v>
      </c>
      <c r="AG193" s="186">
        <f t="shared" ref="AG193" si="458">AF193*(1+$K$193)</f>
        <v>112.82405807120637</v>
      </c>
      <c r="AH193" s="186">
        <f t="shared" ref="AH193" si="459">AG193*(1+$K$193)</f>
        <v>112.82405807120637</v>
      </c>
      <c r="AI193" s="186">
        <f t="shared" ref="AI193" si="460">AH193*(1+$K$193)</f>
        <v>112.82405807120637</v>
      </c>
      <c r="AJ193" s="186">
        <f t="shared" ref="AJ193" si="461">AI193*(1+$K$193)</f>
        <v>112.82405807120637</v>
      </c>
      <c r="AK193" s="186">
        <f t="shared" ref="AK193" si="462">AJ193*(1+$K$193)</f>
        <v>112.82405807120637</v>
      </c>
      <c r="AL193" s="186">
        <f t="shared" ref="AL193" si="463">AK193*(1+$K$193)</f>
        <v>112.82405807120637</v>
      </c>
      <c r="AM193" s="186">
        <f t="shared" ref="AM193" si="464">AL193*(1+$K$193)</f>
        <v>112.82405807120637</v>
      </c>
      <c r="AN193" s="186">
        <f t="shared" ref="AN193" si="465">AM193*(1+$K$193)</f>
        <v>112.82405807120637</v>
      </c>
      <c r="AO193" s="186">
        <f t="shared" ref="AO193" si="466">AN193*(1+$K$193)</f>
        <v>112.82405807120637</v>
      </c>
      <c r="AP193" s="186">
        <f t="shared" ref="AP193" si="467">AO193*(1+$K$193)</f>
        <v>112.82405807120637</v>
      </c>
      <c r="AQ193" s="186">
        <f t="shared" ref="AQ193" si="468">AP193*(1+$K$193)</f>
        <v>112.82405807120637</v>
      </c>
      <c r="AR193" s="186">
        <f t="shared" ref="AR193" si="469">AQ193*(1+$K$193)</f>
        <v>112.82405807120637</v>
      </c>
      <c r="AS193" s="186">
        <f t="shared" ref="AS193" si="470">AR193*(1+$K$193)</f>
        <v>112.82405807120637</v>
      </c>
      <c r="AT193" s="186">
        <f t="shared" ref="AT193" si="471">AS193*(1+$K$193)</f>
        <v>112.82405807120637</v>
      </c>
    </row>
    <row r="194" spans="2:46" x14ac:dyDescent="0.2">
      <c r="B194" s="20"/>
      <c r="C194" s="20"/>
      <c r="D194" s="20"/>
      <c r="E194" s="20"/>
      <c r="F194" s="172">
        <v>850</v>
      </c>
      <c r="G194" s="191">
        <v>0</v>
      </c>
      <c r="H194" s="192">
        <v>7</v>
      </c>
      <c r="I194" s="191">
        <v>0.02</v>
      </c>
      <c r="J194" s="190">
        <v>6</v>
      </c>
      <c r="K194" s="190"/>
      <c r="L194" s="191">
        <v>0.05</v>
      </c>
      <c r="M194" s="190">
        <v>6</v>
      </c>
      <c r="N194" s="191">
        <v>0.12</v>
      </c>
      <c r="O194" s="190">
        <v>5</v>
      </c>
      <c r="P194" s="20"/>
      <c r="Q194" s="20"/>
      <c r="R194" s="20"/>
      <c r="S194" s="20"/>
      <c r="T194" s="129">
        <f>Q172-T193</f>
        <v>737.17594192879369</v>
      </c>
      <c r="U194" s="185">
        <f>T194-U193</f>
        <v>624.35188385758738</v>
      </c>
      <c r="V194" s="185">
        <f t="shared" ref="V194:AA194" si="472">U194-V193</f>
        <v>511.52782578638102</v>
      </c>
      <c r="W194" s="185">
        <f t="shared" si="472"/>
        <v>398.70376771517465</v>
      </c>
      <c r="X194" s="185">
        <f t="shared" si="472"/>
        <v>285.87970964396828</v>
      </c>
      <c r="Y194" s="185">
        <f t="shared" si="472"/>
        <v>173.05565157276192</v>
      </c>
      <c r="Z194" s="185">
        <f t="shared" si="472"/>
        <v>60.231593501555551</v>
      </c>
      <c r="AA194" s="185">
        <f t="shared" si="472"/>
        <v>-52.592464569650815</v>
      </c>
      <c r="AB194" s="185">
        <f>AA194-AB193</f>
        <v>-165.41652264085718</v>
      </c>
      <c r="AC194" s="185">
        <f t="shared" ref="AC194" si="473">AB194-AC193</f>
        <v>-278.24058071206355</v>
      </c>
      <c r="AD194" s="185">
        <f t="shared" ref="AD194" si="474">AC194-AD193</f>
        <v>-391.06463878326991</v>
      </c>
      <c r="AE194" s="185">
        <f t="shared" ref="AE194" si="475">AD194-AE193</f>
        <v>-503.88869685447628</v>
      </c>
      <c r="AF194" s="185">
        <f t="shared" ref="AF194" si="476">AE194-AF193</f>
        <v>-616.7127549256827</v>
      </c>
      <c r="AG194" s="185">
        <f t="shared" ref="AG194" si="477">AF194-AG193</f>
        <v>-729.53681299688901</v>
      </c>
      <c r="AH194" s="185">
        <f t="shared" ref="AH194" si="478">AG194-AH193</f>
        <v>-842.36087106809532</v>
      </c>
      <c r="AI194" s="185">
        <f t="shared" ref="AI194" si="479">AH194-AI193</f>
        <v>-955.18492913930163</v>
      </c>
      <c r="AJ194" s="185">
        <f t="shared" ref="AJ194" si="480">AI194-AJ193</f>
        <v>-1068.0089872105079</v>
      </c>
      <c r="AK194" s="185">
        <f t="shared" ref="AK194" si="481">AJ194-AK193</f>
        <v>-1180.8330452817142</v>
      </c>
      <c r="AL194" s="185">
        <f t="shared" ref="AL194" si="482">AK194-AL193</f>
        <v>-1293.6571033529206</v>
      </c>
      <c r="AM194" s="185">
        <f t="shared" ref="AM194" si="483">AL194-AM193</f>
        <v>-1406.4811614241269</v>
      </c>
      <c r="AN194" s="185">
        <f t="shared" ref="AN194" si="484">AM194-AN193</f>
        <v>-1519.3052194953332</v>
      </c>
      <c r="AO194" s="185">
        <f t="shared" ref="AO194" si="485">AN194-AO193</f>
        <v>-1632.1292775665395</v>
      </c>
      <c r="AP194" s="185">
        <f t="shared" ref="AP194" si="486">AO194-AP193</f>
        <v>-1744.9533356377458</v>
      </c>
      <c r="AQ194" s="185">
        <f t="shared" ref="AQ194" si="487">AP194-AQ193</f>
        <v>-1857.7773937089521</v>
      </c>
      <c r="AR194" s="185">
        <f t="shared" ref="AR194" si="488">AQ194-AR193</f>
        <v>-1970.6014517801584</v>
      </c>
      <c r="AS194" s="185">
        <f t="shared" ref="AS194" si="489">AR194-AS193</f>
        <v>-2083.425509851365</v>
      </c>
      <c r="AT194" s="185">
        <f t="shared" ref="AT194" si="490">AS194-AT193</f>
        <v>-2196.2495679225713</v>
      </c>
    </row>
    <row r="195" spans="2:46" x14ac:dyDescent="0.2">
      <c r="B195" s="108" t="s">
        <v>302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305</v>
      </c>
      <c r="C196" s="25" t="e">
        <f t="shared" ref="C196:P196" si="491">C10/C7</f>
        <v>#DIV/0!</v>
      </c>
      <c r="D196" s="25" t="e">
        <f t="shared" si="491"/>
        <v>#DIV/0!</v>
      </c>
      <c r="E196" s="25" t="e">
        <f t="shared" si="491"/>
        <v>#DIV/0!</v>
      </c>
      <c r="F196" s="25" t="e">
        <f t="shared" si="491"/>
        <v>#DIV/0!</v>
      </c>
      <c r="G196" s="25">
        <f t="shared" si="491"/>
        <v>0.28244568352239952</v>
      </c>
      <c r="H196" s="25" t="e">
        <f t="shared" si="491"/>
        <v>#DIV/0!</v>
      </c>
      <c r="I196" s="25">
        <f t="shared" si="491"/>
        <v>0.28244568352239952</v>
      </c>
      <c r="J196" s="25">
        <f t="shared" si="491"/>
        <v>0.26422764227642276</v>
      </c>
      <c r="K196" s="25">
        <f t="shared" si="491"/>
        <v>0.82932840418977205</v>
      </c>
      <c r="L196" s="25">
        <f t="shared" si="491"/>
        <v>0.88024282560706402</v>
      </c>
      <c r="M196" s="25">
        <f t="shared" si="491"/>
        <v>0.50110456553755522</v>
      </c>
      <c r="N196" s="25">
        <f t="shared" si="491"/>
        <v>7.2186394840857079E-2</v>
      </c>
      <c r="O196" s="25">
        <f t="shared" si="491"/>
        <v>2.0226936359151456E-2</v>
      </c>
      <c r="P196" s="25">
        <f t="shared" si="491"/>
        <v>1.2151270923744576E-2</v>
      </c>
      <c r="Q196" s="25">
        <f t="shared" ref="Q196" si="492">Q10/Q7</f>
        <v>9.6390282285826693E-3</v>
      </c>
      <c r="R196" s="118">
        <f t="shared" ref="R196:R198" si="493">((P196/G196)^(1/($H$2-$H$1) ))-1</f>
        <v>-0.2950027580141954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306</v>
      </c>
      <c r="C197" s="112" t="e">
        <f>C10/C12</f>
        <v>#DIV/0!</v>
      </c>
      <c r="D197" s="112" t="e">
        <f>D10/D12</f>
        <v>#DIV/0!</v>
      </c>
      <c r="E197" s="112" t="e">
        <f>E10/E12</f>
        <v>#DIV/0!</v>
      </c>
      <c r="F197" s="112" t="e">
        <f>F10/F12</f>
        <v>#DIV/0!</v>
      </c>
      <c r="G197" s="112">
        <f>G10/G12</f>
        <v>3.0796645702306078</v>
      </c>
      <c r="H197" s="112" t="e">
        <f t="shared" ref="H197:P197" si="494">H10/H12</f>
        <v>#DIV/0!</v>
      </c>
      <c r="I197" s="112">
        <f t="shared" si="494"/>
        <v>3.0796645702306078</v>
      </c>
      <c r="J197" s="112">
        <f t="shared" si="494"/>
        <v>2.1494708994708995</v>
      </c>
      <c r="K197" s="112">
        <f t="shared" si="494"/>
        <v>18.95774647887324</v>
      </c>
      <c r="L197" s="112">
        <f t="shared" si="494"/>
        <v>11.232394366197184</v>
      </c>
      <c r="M197" s="112">
        <f t="shared" si="494"/>
        <v>12.839622641509434</v>
      </c>
      <c r="N197" s="112">
        <f t="shared" si="494"/>
        <v>1.9942528735632183</v>
      </c>
      <c r="O197" s="112">
        <f t="shared" si="494"/>
        <v>7.4141048824593131E-2</v>
      </c>
      <c r="P197" s="112">
        <f t="shared" si="494"/>
        <v>0.17314487632508835</v>
      </c>
      <c r="Q197" s="112">
        <f t="shared" ref="Q197" si="495">Q10/Q12</f>
        <v>0.17314487632508835</v>
      </c>
      <c r="R197" s="118">
        <f t="shared" si="493"/>
        <v>-0.2737256740484949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 t="s">
        <v>307</v>
      </c>
      <c r="C198" s="25" t="e">
        <f>C10/(C12+C13)</f>
        <v>#DIV/0!</v>
      </c>
      <c r="D198" s="25" t="e">
        <f>D10/(D12+D13)</f>
        <v>#DIV/0!</v>
      </c>
      <c r="E198" s="25" t="e">
        <f>E10/(E12+E13)</f>
        <v>#DIV/0!</v>
      </c>
      <c r="F198" s="25" t="e">
        <f>F10/(F12+F13)</f>
        <v>#DIV/0!</v>
      </c>
      <c r="G198" s="25">
        <f>G10/(G12+G13)</f>
        <v>0.18787568742805985</v>
      </c>
      <c r="H198" s="25" t="e">
        <f t="shared" ref="H198:P198" si="496">H10/(H12+H13)</f>
        <v>#DIV/0!</v>
      </c>
      <c r="I198" s="25">
        <f t="shared" si="496"/>
        <v>0.18787568742805985</v>
      </c>
      <c r="J198" s="25">
        <f t="shared" si="496"/>
        <v>0.16392615757086654</v>
      </c>
      <c r="K198" s="25">
        <f t="shared" si="496"/>
        <v>0.82374541003671975</v>
      </c>
      <c r="L198" s="25">
        <f t="shared" si="496"/>
        <v>1.0191693290734825</v>
      </c>
      <c r="M198" s="25">
        <f t="shared" si="496"/>
        <v>0.38327231765699804</v>
      </c>
      <c r="N198" s="25">
        <f t="shared" si="496"/>
        <v>7.7837595334230597E-2</v>
      </c>
      <c r="O198" s="25">
        <f t="shared" si="496"/>
        <v>2.0061980101125428E-2</v>
      </c>
      <c r="P198" s="25">
        <f t="shared" si="496"/>
        <v>1.4794685990338164E-2</v>
      </c>
      <c r="Q198" s="25">
        <f t="shared" ref="Q198" si="497">Q10/(Q12+Q13)</f>
        <v>1.4794685990338164E-2</v>
      </c>
      <c r="R198" s="118">
        <f t="shared" si="493"/>
        <v>-0.24602062971709859</v>
      </c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74" t="s">
        <v>377</v>
      </c>
      <c r="D201" s="175"/>
      <c r="E201" s="175"/>
      <c r="F201" s="175"/>
      <c r="G201" s="175"/>
      <c r="H201" s="175"/>
      <c r="I201" s="175"/>
      <c r="J201" s="175"/>
      <c r="K201" s="20"/>
      <c r="L201" s="200" t="s">
        <v>337</v>
      </c>
      <c r="M201" s="201"/>
      <c r="N201" s="202"/>
      <c r="O201" s="23" t="s">
        <v>340</v>
      </c>
      <c r="P201" s="20"/>
      <c r="Q201" s="137"/>
      <c r="R201" s="200" t="s">
        <v>338</v>
      </c>
      <c r="S201" s="201"/>
      <c r="T201" s="202"/>
      <c r="U201" s="23" t="s">
        <v>340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6" t="s">
        <v>339</v>
      </c>
      <c r="D202" s="166" t="s">
        <v>0</v>
      </c>
      <c r="E202" s="166" t="s">
        <v>378</v>
      </c>
      <c r="F202" s="166" t="s">
        <v>379</v>
      </c>
      <c r="G202" s="166" t="s">
        <v>380</v>
      </c>
      <c r="H202" s="166" t="s">
        <v>381</v>
      </c>
      <c r="I202" s="166" t="s">
        <v>382</v>
      </c>
      <c r="J202" s="166" t="s">
        <v>383</v>
      </c>
      <c r="K202" s="20"/>
      <c r="L202" s="166" t="s">
        <v>339</v>
      </c>
      <c r="M202" s="166"/>
      <c r="N202" s="166" t="s">
        <v>0</v>
      </c>
      <c r="O202" s="166" t="s">
        <v>372</v>
      </c>
      <c r="P202" s="20"/>
      <c r="Q202" s="20"/>
      <c r="R202" s="166" t="s">
        <v>339</v>
      </c>
      <c r="S202" s="166"/>
      <c r="T202" s="166" t="s">
        <v>0</v>
      </c>
      <c r="U202" s="166" t="s">
        <v>372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341</v>
      </c>
      <c r="D203" s="21">
        <v>1</v>
      </c>
      <c r="E203" s="176" t="s">
        <v>384</v>
      </c>
      <c r="F203" s="22">
        <v>1</v>
      </c>
      <c r="G203" s="22">
        <v>1</v>
      </c>
      <c r="H203" s="167">
        <f>F203/G203</f>
        <v>1</v>
      </c>
      <c r="I203" s="167">
        <f>H203*D204</f>
        <v>1</v>
      </c>
      <c r="J203" s="177">
        <f>I203+D204</f>
        <v>2</v>
      </c>
      <c r="K203" s="20"/>
      <c r="L203" s="167" t="s">
        <v>341</v>
      </c>
      <c r="M203" s="167"/>
      <c r="N203" s="21">
        <v>1</v>
      </c>
      <c r="O203" s="173">
        <f>N203</f>
        <v>1</v>
      </c>
      <c r="P203" s="20"/>
      <c r="Q203" s="20"/>
      <c r="R203" s="167" t="s">
        <v>341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342</v>
      </c>
      <c r="D204" s="21">
        <v>1</v>
      </c>
      <c r="E204" s="176" t="s">
        <v>385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2</v>
      </c>
      <c r="K204" s="20"/>
      <c r="L204" s="167" t="s">
        <v>342</v>
      </c>
      <c r="M204" s="167"/>
      <c r="N204" s="21">
        <v>1</v>
      </c>
      <c r="O204" s="173">
        <f>N204</f>
        <v>1</v>
      </c>
      <c r="P204" s="20"/>
      <c r="Q204" s="20"/>
      <c r="R204" s="167" t="s">
        <v>342</v>
      </c>
      <c r="S204" s="167"/>
      <c r="T204" s="21"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 t="s">
        <v>344</v>
      </c>
      <c r="D205" s="168">
        <f>D203*D204</f>
        <v>1</v>
      </c>
      <c r="E205" s="176" t="s">
        <v>397</v>
      </c>
      <c r="F205" s="22">
        <v>0</v>
      </c>
      <c r="G205" s="22">
        <v>1</v>
      </c>
      <c r="H205" s="167">
        <f>F205/G205</f>
        <v>0</v>
      </c>
      <c r="I205" s="167">
        <f>H205*J204</f>
        <v>0</v>
      </c>
      <c r="J205" s="167">
        <f>I205+J204</f>
        <v>2</v>
      </c>
      <c r="K205" s="20"/>
      <c r="L205" s="167" t="s">
        <v>343</v>
      </c>
      <c r="M205" s="167"/>
      <c r="N205" s="168">
        <f>N203*N204</f>
        <v>1</v>
      </c>
      <c r="O205" s="173">
        <f>N205</f>
        <v>1</v>
      </c>
      <c r="P205" s="20"/>
      <c r="Q205" s="20"/>
      <c r="R205" s="167" t="s">
        <v>344</v>
      </c>
      <c r="S205" s="167"/>
      <c r="T205" s="168">
        <f>T203*T204</f>
        <v>1</v>
      </c>
      <c r="U205" s="173">
        <f>T205</f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/>
      <c r="D206" s="168"/>
      <c r="E206" s="176" t="s">
        <v>386</v>
      </c>
      <c r="F206" s="22">
        <v>10</v>
      </c>
      <c r="G206" s="22">
        <v>1</v>
      </c>
      <c r="H206" s="167">
        <f>F206/G206</f>
        <v>10</v>
      </c>
      <c r="I206" s="167">
        <f>H206*J205</f>
        <v>20</v>
      </c>
      <c r="J206" s="167">
        <f>I206</f>
        <v>20</v>
      </c>
      <c r="K206" s="20"/>
      <c r="L206" s="167" t="s">
        <v>345</v>
      </c>
      <c r="M206" s="167"/>
      <c r="N206" s="21">
        <v>1</v>
      </c>
      <c r="O206" s="21">
        <v>1</v>
      </c>
      <c r="P206" s="20"/>
      <c r="Q206" s="20"/>
      <c r="R206" s="167" t="s">
        <v>345</v>
      </c>
      <c r="S206" s="167"/>
      <c r="T206" s="21">
        <v>1</v>
      </c>
      <c r="U206" s="21"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345</v>
      </c>
      <c r="D207" s="21">
        <v>1</v>
      </c>
      <c r="E207" s="176"/>
      <c r="F207" s="167"/>
      <c r="G207" s="167"/>
      <c r="H207" s="169" t="s">
        <v>387</v>
      </c>
      <c r="I207" s="167"/>
      <c r="J207" s="167">
        <f>J206</f>
        <v>20</v>
      </c>
      <c r="K207" s="20"/>
      <c r="L207" s="167" t="s">
        <v>346</v>
      </c>
      <c r="M207" s="167"/>
      <c r="N207" s="168">
        <f>N206*N204</f>
        <v>1</v>
      </c>
      <c r="O207" s="168">
        <f>O206*O204</f>
        <v>1</v>
      </c>
      <c r="P207" s="20"/>
      <c r="Q207" s="20"/>
      <c r="R207" s="167" t="s">
        <v>342</v>
      </c>
      <c r="S207" s="167"/>
      <c r="T207" s="21">
        <v>1</v>
      </c>
      <c r="U207" s="127">
        <f>T207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342</v>
      </c>
      <c r="D208" s="21">
        <v>1</v>
      </c>
      <c r="E208" s="176" t="s">
        <v>386</v>
      </c>
      <c r="F208" s="22">
        <v>10</v>
      </c>
      <c r="G208" s="22">
        <v>2</v>
      </c>
      <c r="H208" s="167">
        <f>F208/G208</f>
        <v>5</v>
      </c>
      <c r="I208" s="177">
        <f>H208*D204</f>
        <v>5</v>
      </c>
      <c r="J208" s="177">
        <f>I208</f>
        <v>5</v>
      </c>
      <c r="K208" s="20"/>
      <c r="L208" s="167"/>
      <c r="M208" s="167"/>
      <c r="N208" s="168"/>
      <c r="O208" s="168"/>
      <c r="P208" s="20"/>
      <c r="Q208" s="20"/>
      <c r="R208" s="167" t="s">
        <v>344</v>
      </c>
      <c r="S208" s="167"/>
      <c r="T208" s="168">
        <f>T207*T206</f>
        <v>1</v>
      </c>
      <c r="U208" s="168">
        <f>U207*U206</f>
        <v>1</v>
      </c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 t="s">
        <v>344</v>
      </c>
      <c r="D209" s="168">
        <f>D208*D207</f>
        <v>1</v>
      </c>
      <c r="E209" s="167"/>
      <c r="F209" s="167"/>
      <c r="G209" s="167"/>
      <c r="H209" s="169" t="s">
        <v>387</v>
      </c>
      <c r="I209" s="167"/>
      <c r="J209" s="167">
        <f>J208</f>
        <v>5</v>
      </c>
      <c r="K209" s="20"/>
      <c r="L209" s="167"/>
      <c r="M209" s="167"/>
      <c r="N209" s="168"/>
      <c r="O209" s="168"/>
      <c r="P209" s="20"/>
      <c r="Q209" s="20"/>
      <c r="R209" s="167"/>
      <c r="S209" s="167"/>
      <c r="T209" s="168"/>
      <c r="U209" s="168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7"/>
      <c r="D210" s="168"/>
      <c r="E210" s="176" t="s">
        <v>386</v>
      </c>
      <c r="F210" s="22">
        <v>10</v>
      </c>
      <c r="G210" s="22">
        <v>2</v>
      </c>
      <c r="H210" s="167">
        <f>F210/G210</f>
        <v>5</v>
      </c>
      <c r="I210" s="167">
        <f>H210*J209</f>
        <v>25</v>
      </c>
      <c r="J210" s="167">
        <f>I210</f>
        <v>25</v>
      </c>
      <c r="K210" s="20"/>
      <c r="L210" s="169" t="s">
        <v>347</v>
      </c>
      <c r="M210" s="169"/>
      <c r="N210" s="170">
        <f>N207/N205</f>
        <v>1</v>
      </c>
      <c r="O210" s="170">
        <f>O207/O205</f>
        <v>1</v>
      </c>
      <c r="P210" s="20"/>
      <c r="Q210" s="20"/>
      <c r="R210" s="169" t="s">
        <v>347</v>
      </c>
      <c r="S210" s="169"/>
      <c r="T210" s="170">
        <f>T208/T205</f>
        <v>1</v>
      </c>
      <c r="U210" s="170">
        <f>U208/U205</f>
        <v>1</v>
      </c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169" t="s">
        <v>347</v>
      </c>
      <c r="D211" s="170">
        <f>D209/D205</f>
        <v>1</v>
      </c>
      <c r="E211" s="176"/>
      <c r="F211" s="167"/>
      <c r="G211" s="167"/>
      <c r="H211" s="169" t="s">
        <v>387</v>
      </c>
      <c r="I211" s="167"/>
      <c r="J211" s="167">
        <f>J210</f>
        <v>25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x14ac:dyDescent="0.2">
      <c r="B213" s="20"/>
      <c r="C213" s="20"/>
      <c r="D213" s="137"/>
      <c r="E213" s="178"/>
      <c r="F213" s="178"/>
      <c r="G213" s="179"/>
      <c r="H213" s="20"/>
      <c r="I213" s="137"/>
      <c r="J213" s="178"/>
      <c r="K213" s="179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ht="14.25" x14ac:dyDescent="0.2">
      <c r="B214" s="20"/>
      <c r="C214" s="20"/>
      <c r="D214" s="193" t="s">
        <v>27</v>
      </c>
      <c r="E214" s="194"/>
      <c r="F214" s="194"/>
      <c r="G214" s="195"/>
      <c r="H214" s="20"/>
      <c r="I214" s="193" t="s">
        <v>392</v>
      </c>
      <c r="J214" s="194"/>
      <c r="K214" s="195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28</v>
      </c>
      <c r="E215" s="127"/>
      <c r="F215" s="127"/>
      <c r="G215" s="21">
        <f>D205</f>
        <v>1</v>
      </c>
      <c r="H215" s="20"/>
      <c r="I215" s="20" t="s">
        <v>28</v>
      </c>
      <c r="J215" s="127"/>
      <c r="K215" s="21">
        <f>G215</f>
        <v>1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29</v>
      </c>
      <c r="E216" s="127"/>
      <c r="F216" s="127"/>
      <c r="G216" s="21">
        <f>D209</f>
        <v>1</v>
      </c>
      <c r="H216" s="20"/>
      <c r="I216" s="20" t="s">
        <v>29</v>
      </c>
      <c r="J216" s="20"/>
      <c r="K216" s="21">
        <f>G216</f>
        <v>1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0" t="s">
        <v>30</v>
      </c>
      <c r="E217" s="20"/>
      <c r="F217" s="20"/>
      <c r="G217" s="22">
        <v>1</v>
      </c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31</v>
      </c>
      <c r="E218" s="3"/>
      <c r="F218" s="3"/>
      <c r="G218" s="3">
        <f>((G216/G215)^(1/G217))-1</f>
        <v>0</v>
      </c>
      <c r="H218" s="20"/>
      <c r="I218" s="23" t="s">
        <v>393</v>
      </c>
      <c r="J218" s="23"/>
      <c r="K218" s="23">
        <f>(K216-K215)/K215</f>
        <v>0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3" t="s">
        <v>32</v>
      </c>
      <c r="E219" s="165"/>
      <c r="F219" s="165"/>
      <c r="G219" s="24">
        <f>G217*12</f>
        <v>12</v>
      </c>
      <c r="H219" s="20"/>
      <c r="I219" s="23" t="s">
        <v>394</v>
      </c>
      <c r="J219" s="23"/>
      <c r="K219" s="23">
        <f>K216/K215</f>
        <v>1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0" t="s">
        <v>30</v>
      </c>
      <c r="E220" s="25"/>
      <c r="F220" s="25"/>
      <c r="G220" s="25">
        <f>G219/12</f>
        <v>1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3" t="s">
        <v>33</v>
      </c>
      <c r="E221" s="3"/>
      <c r="F221" s="3"/>
      <c r="G221" s="3">
        <f>((G216/G215)^(1/G220))-1</f>
        <v>0</v>
      </c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spans="2:32" x14ac:dyDescent="0.2">
      <c r="C223" s="20"/>
      <c r="D223" s="20"/>
      <c r="E223" s="20"/>
      <c r="F223" s="20"/>
      <c r="G223" s="20"/>
      <c r="H223" s="20"/>
      <c r="I223" s="20"/>
      <c r="J223" s="20"/>
      <c r="K223" s="20"/>
    </row>
  </sheetData>
  <mergeCells count="7">
    <mergeCell ref="D214:G214"/>
    <mergeCell ref="I214:K214"/>
    <mergeCell ref="AE2:AF2"/>
    <mergeCell ref="AE3:AF3"/>
    <mergeCell ref="L201:N201"/>
    <mergeCell ref="R201:T201"/>
    <mergeCell ref="K184:L184"/>
  </mergeCells>
  <pageMargins left="0.7" right="0.7" top="0.75" bottom="0.75" header="0.3" footer="0.3"/>
  <pageSetup orientation="portrait" r:id="rId1"/>
  <ignoredErrors>
    <ignoredError sqref="C174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5" t="s">
        <v>27</v>
      </c>
      <c r="K5" s="205"/>
      <c r="M5" s="205" t="s">
        <v>65</v>
      </c>
      <c r="N5" s="205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5" t="s">
        <v>36</v>
      </c>
      <c r="K14" s="205"/>
      <c r="L14" s="205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5" t="s">
        <v>27</v>
      </c>
      <c r="S5" s="205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5" t="s">
        <v>36</v>
      </c>
      <c r="S14" s="205"/>
      <c r="T14" s="205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5" t="s">
        <v>27</v>
      </c>
      <c r="C2" s="205"/>
      <c r="E2" s="205" t="s">
        <v>65</v>
      </c>
      <c r="F2" s="205"/>
      <c r="H2" s="209" t="s">
        <v>36</v>
      </c>
      <c r="I2" s="210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6" t="s">
        <v>68</v>
      </c>
      <c r="E10" s="207"/>
      <c r="F10" s="207"/>
      <c r="G10" s="207"/>
      <c r="H10" s="208"/>
      <c r="I10" s="206" t="s">
        <v>72</v>
      </c>
      <c r="J10" s="207"/>
      <c r="K10" s="207"/>
      <c r="L10" s="208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1" t="s">
        <v>431</v>
      </c>
      <c r="C3" s="212"/>
      <c r="F3" s="211" t="s">
        <v>432</v>
      </c>
      <c r="G3" s="212"/>
    </row>
    <row r="4" spans="2:7" x14ac:dyDescent="0.2">
      <c r="B4" s="188" t="s">
        <v>433</v>
      </c>
      <c r="C4" s="188"/>
      <c r="F4" s="188" t="s">
        <v>434</v>
      </c>
      <c r="G4" s="188"/>
    </row>
    <row r="5" spans="2:7" x14ac:dyDescent="0.2">
      <c r="B5" s="188" t="s">
        <v>435</v>
      </c>
      <c r="C5" s="188"/>
      <c r="F5" s="188" t="s">
        <v>292</v>
      </c>
      <c r="G5" s="188"/>
    </row>
    <row r="6" spans="2:7" x14ac:dyDescent="0.2">
      <c r="B6" s="188" t="s">
        <v>436</v>
      </c>
      <c r="C6" s="188"/>
      <c r="F6" s="188" t="s">
        <v>437</v>
      </c>
      <c r="G6" s="188"/>
    </row>
    <row r="7" spans="2:7" x14ac:dyDescent="0.2">
      <c r="B7" s="188" t="s">
        <v>438</v>
      </c>
      <c r="C7" s="188"/>
      <c r="F7" s="188" t="s">
        <v>439</v>
      </c>
      <c r="G7" s="188"/>
    </row>
    <row r="8" spans="2:7" x14ac:dyDescent="0.2">
      <c r="B8" s="188" t="s">
        <v>440</v>
      </c>
      <c r="C8" s="188"/>
      <c r="F8" s="188" t="s">
        <v>441</v>
      </c>
      <c r="G8" s="188"/>
    </row>
    <row r="9" spans="2:7" x14ac:dyDescent="0.2">
      <c r="B9" s="188" t="s">
        <v>442</v>
      </c>
      <c r="C9" s="188"/>
      <c r="F9" s="188" t="s">
        <v>443</v>
      </c>
      <c r="G9" s="188"/>
    </row>
    <row r="10" spans="2:7" x14ac:dyDescent="0.2">
      <c r="B10" s="188" t="s">
        <v>441</v>
      </c>
      <c r="C10" s="188"/>
      <c r="F10" s="188"/>
      <c r="G10" s="188"/>
    </row>
    <row r="11" spans="2:7" x14ac:dyDescent="0.2">
      <c r="B11" s="188" t="s">
        <v>444</v>
      </c>
      <c r="C11" s="188"/>
      <c r="F11" s="188"/>
      <c r="G11" s="188"/>
    </row>
    <row r="12" spans="2:7" x14ac:dyDescent="0.2">
      <c r="B12" s="188" t="s">
        <v>445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2014-06-17T09:16:50Z</dcterms:modified>
</cp:coreProperties>
</file>
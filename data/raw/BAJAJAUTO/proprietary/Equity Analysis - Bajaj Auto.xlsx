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H98" i="18" l="1"/>
  <c r="I98" i="18"/>
  <c r="J98" i="18"/>
  <c r="K98" i="18"/>
  <c r="L98" i="18"/>
  <c r="M98" i="18"/>
  <c r="N98" i="18"/>
  <c r="O98" i="18"/>
  <c r="P98" i="18"/>
  <c r="G98" i="18"/>
  <c r="H97" i="18"/>
  <c r="I97" i="18"/>
  <c r="J97" i="18"/>
  <c r="K97" i="18"/>
  <c r="L97" i="18"/>
  <c r="M97" i="18"/>
  <c r="N97" i="18"/>
  <c r="O97" i="18"/>
  <c r="P97" i="18"/>
  <c r="G97" i="18"/>
  <c r="H96" i="18"/>
  <c r="I96" i="18"/>
  <c r="J96" i="18"/>
  <c r="K96" i="18"/>
  <c r="L96" i="18"/>
  <c r="M96" i="18"/>
  <c r="N96" i="18"/>
  <c r="O96" i="18"/>
  <c r="P96" i="18"/>
  <c r="G96" i="18"/>
  <c r="B98" i="18"/>
  <c r="B97" i="18"/>
  <c r="K145" i="18"/>
  <c r="K144" i="18"/>
  <c r="K143" i="18"/>
  <c r="S39" i="18"/>
  <c r="AD31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Q31" i="18"/>
  <c r="G86" i="18"/>
  <c r="H86" i="18"/>
  <c r="I86" i="18"/>
  <c r="J86" i="18"/>
  <c r="K86" i="18"/>
  <c r="L86" i="18"/>
  <c r="M86" i="18"/>
  <c r="N86" i="18"/>
  <c r="O86" i="18"/>
  <c r="P86" i="18"/>
  <c r="Q161" i="18"/>
  <c r="K160" i="18"/>
  <c r="Q158" i="18"/>
  <c r="K158" i="18"/>
  <c r="F94" i="18"/>
  <c r="H94" i="18"/>
  <c r="I94" i="18"/>
  <c r="J94" i="18"/>
  <c r="K94" i="18"/>
  <c r="L94" i="18"/>
  <c r="M94" i="18"/>
  <c r="N94" i="18"/>
  <c r="O94" i="18"/>
  <c r="P94" i="18"/>
  <c r="G94" i="18"/>
  <c r="F93" i="18"/>
  <c r="H93" i="18"/>
  <c r="I93" i="18"/>
  <c r="J93" i="18"/>
  <c r="K93" i="18"/>
  <c r="L93" i="18"/>
  <c r="M93" i="18"/>
  <c r="N93" i="18"/>
  <c r="O93" i="18"/>
  <c r="P93" i="18"/>
  <c r="G93" i="18"/>
  <c r="Q96" i="18" l="1"/>
  <c r="Q97" i="18"/>
  <c r="Q98" i="18"/>
  <c r="Q86" i="18"/>
  <c r="AC31" i="18"/>
  <c r="AE31" i="18"/>
  <c r="K163" i="18"/>
  <c r="Q163" i="18"/>
  <c r="Q94" i="18"/>
  <c r="Q93" i="18"/>
  <c r="R9" i="18"/>
  <c r="R10" i="18"/>
  <c r="R12" i="18"/>
  <c r="R13" i="18"/>
  <c r="R14" i="18"/>
  <c r="R15" i="18"/>
  <c r="R17" i="18"/>
  <c r="R19" i="18"/>
  <c r="R20" i="18"/>
  <c r="R21" i="18"/>
  <c r="R22" i="18"/>
  <c r="R24" i="18"/>
  <c r="R26" i="18"/>
  <c r="R28" i="18"/>
  <c r="R30" i="18"/>
  <c r="S30" i="18" s="1"/>
  <c r="T30" i="18" s="1"/>
  <c r="U30" i="18" s="1"/>
  <c r="V30" i="18" s="1"/>
  <c r="W30" i="18" s="1"/>
  <c r="X30" i="18" s="1"/>
  <c r="Y30" i="18" s="1"/>
  <c r="Z30" i="18" s="1"/>
  <c r="AA30" i="18" s="1"/>
  <c r="AB30" i="18" s="1"/>
  <c r="R32" i="18"/>
  <c r="R33" i="18"/>
  <c r="R35" i="18"/>
  <c r="R37" i="18"/>
  <c r="R7" i="18"/>
  <c r="R6" i="18"/>
  <c r="AD9" i="18"/>
  <c r="AD10" i="18"/>
  <c r="AD11" i="18"/>
  <c r="AD12" i="18"/>
  <c r="AD13" i="18"/>
  <c r="AD14" i="18"/>
  <c r="AD15" i="18"/>
  <c r="AD17" i="18"/>
  <c r="AD19" i="18"/>
  <c r="AD20" i="18"/>
  <c r="AD21" i="18"/>
  <c r="AD22" i="18"/>
  <c r="AD24" i="18"/>
  <c r="AD26" i="18"/>
  <c r="AD28" i="18"/>
  <c r="AD30" i="18"/>
  <c r="AD32" i="18"/>
  <c r="AD33" i="18"/>
  <c r="AD35" i="18"/>
  <c r="AD37" i="18"/>
  <c r="AD39" i="18"/>
  <c r="AD40" i="18"/>
  <c r="AD43" i="18"/>
  <c r="AD44" i="18"/>
  <c r="AD46" i="18"/>
  <c r="AD47" i="18"/>
  <c r="AD48" i="18"/>
  <c r="AD49" i="18"/>
  <c r="AD51" i="18"/>
  <c r="AD52" i="18"/>
  <c r="AD53" i="18"/>
  <c r="AD55" i="18"/>
  <c r="AD56" i="18"/>
  <c r="AD57" i="18"/>
  <c r="AD58" i="18"/>
  <c r="AD60" i="18"/>
  <c r="AD61" i="18"/>
  <c r="AD63" i="18"/>
  <c r="AD65" i="18"/>
  <c r="AD66" i="18"/>
  <c r="AD67" i="18"/>
  <c r="AD68" i="18"/>
  <c r="AD69" i="18"/>
  <c r="AD71" i="18"/>
  <c r="AD72" i="18"/>
  <c r="AD73" i="18"/>
  <c r="AD7" i="18"/>
  <c r="AD6" i="18"/>
  <c r="G83" i="18" l="1"/>
  <c r="F83" i="18"/>
  <c r="H83" i="18"/>
  <c r="I83" i="18"/>
  <c r="J83" i="18"/>
  <c r="K83" i="18"/>
  <c r="L83" i="18"/>
  <c r="M83" i="18"/>
  <c r="N83" i="18"/>
  <c r="O83" i="18"/>
  <c r="P83" i="18"/>
  <c r="Q83" i="18" l="1"/>
  <c r="H81" i="18"/>
  <c r="I81" i="18"/>
  <c r="J81" i="18"/>
  <c r="K81" i="18"/>
  <c r="L81" i="18"/>
  <c r="M81" i="18"/>
  <c r="N81" i="18"/>
  <c r="O81" i="18"/>
  <c r="P81" i="18"/>
  <c r="H82" i="18"/>
  <c r="I82" i="18"/>
  <c r="J82" i="18"/>
  <c r="K82" i="18"/>
  <c r="L82" i="18"/>
  <c r="M82" i="18"/>
  <c r="N82" i="18"/>
  <c r="O82" i="18"/>
  <c r="P82" i="18"/>
  <c r="G82" i="18"/>
  <c r="G81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Q28" i="18"/>
  <c r="P29" i="18"/>
  <c r="O29" i="18"/>
  <c r="N29" i="18"/>
  <c r="M29" i="18"/>
  <c r="L29" i="18"/>
  <c r="K29" i="18"/>
  <c r="J29" i="18"/>
  <c r="I29" i="18"/>
  <c r="H29" i="18"/>
  <c r="G29" i="18"/>
  <c r="Q80" i="18"/>
  <c r="Q82" i="18" l="1"/>
  <c r="Q81" i="18"/>
  <c r="AE28" i="18"/>
  <c r="AC28" i="18"/>
  <c r="H85" i="18"/>
  <c r="I85" i="18"/>
  <c r="J85" i="18"/>
  <c r="K85" i="18"/>
  <c r="L85" i="18"/>
  <c r="M85" i="18"/>
  <c r="N85" i="18"/>
  <c r="O85" i="18"/>
  <c r="P85" i="18"/>
  <c r="G85" i="18"/>
  <c r="H84" i="18"/>
  <c r="I84" i="18"/>
  <c r="J84" i="18"/>
  <c r="K84" i="18"/>
  <c r="L84" i="18"/>
  <c r="M84" i="18"/>
  <c r="N84" i="18"/>
  <c r="O84" i="18"/>
  <c r="P84" i="18"/>
  <c r="G84" i="18"/>
  <c r="Q84" i="18" l="1"/>
  <c r="Q85" i="18"/>
  <c r="AE60" i="18"/>
  <c r="C138" i="18" l="1"/>
  <c r="D138" i="18"/>
  <c r="E138" i="18"/>
  <c r="F138" i="18"/>
  <c r="G138" i="18"/>
  <c r="H138" i="18"/>
  <c r="I138" i="18"/>
  <c r="J138" i="18"/>
  <c r="K138" i="18"/>
  <c r="L138" i="18"/>
  <c r="M138" i="18"/>
  <c r="N138" i="18"/>
  <c r="O138" i="18"/>
  <c r="P138" i="18"/>
  <c r="C9" i="15"/>
  <c r="D61" i="18"/>
  <c r="E61" i="18"/>
  <c r="E88" i="18" s="1"/>
  <c r="E89" i="18" s="1"/>
  <c r="F61" i="18"/>
  <c r="F88" i="18" s="1"/>
  <c r="F89" i="18" s="1"/>
  <c r="G61" i="18"/>
  <c r="G88" i="18" s="1"/>
  <c r="G89" i="18" s="1"/>
  <c r="H61" i="18"/>
  <c r="H88" i="18" s="1"/>
  <c r="H89" i="18" s="1"/>
  <c r="I61" i="18"/>
  <c r="I88" i="18" s="1"/>
  <c r="I89" i="18" s="1"/>
  <c r="J61" i="18"/>
  <c r="J88" i="18" s="1"/>
  <c r="J89" i="18" s="1"/>
  <c r="K61" i="18"/>
  <c r="K88" i="18" s="1"/>
  <c r="K89" i="18" s="1"/>
  <c r="L61" i="18"/>
  <c r="L88" i="18" s="1"/>
  <c r="L89" i="18" s="1"/>
  <c r="M61" i="18"/>
  <c r="M88" i="18" s="1"/>
  <c r="M89" i="18" s="1"/>
  <c r="N61" i="18"/>
  <c r="N88" i="18" s="1"/>
  <c r="N89" i="18" s="1"/>
  <c r="O61" i="18"/>
  <c r="O88" i="18" s="1"/>
  <c r="O89" i="18" s="1"/>
  <c r="P61" i="18"/>
  <c r="P88" i="18" s="1"/>
  <c r="C61" i="18"/>
  <c r="S40" i="18"/>
  <c r="S61" i="18" s="1"/>
  <c r="S88" i="18" s="1"/>
  <c r="S89" i="18" s="1"/>
  <c r="Q40" i="18"/>
  <c r="N90" i="18" l="1"/>
  <c r="N91" i="18" s="1"/>
  <c r="J90" i="18"/>
  <c r="J91" i="18" s="1"/>
  <c r="L90" i="18"/>
  <c r="L91" i="18" s="1"/>
  <c r="H90" i="18"/>
  <c r="H91" i="18" s="1"/>
  <c r="M90" i="18"/>
  <c r="M91" i="18" s="1"/>
  <c r="I90" i="18"/>
  <c r="I91" i="18" s="1"/>
  <c r="F90" i="18"/>
  <c r="F91" i="18" s="1"/>
  <c r="O90" i="18"/>
  <c r="O91" i="18" s="1"/>
  <c r="K90" i="18"/>
  <c r="K91" i="18" s="1"/>
  <c r="G90" i="18"/>
  <c r="G91" i="18" s="1"/>
  <c r="P89" i="18"/>
  <c r="Q88" i="18"/>
  <c r="T40" i="18"/>
  <c r="U40" i="18" s="1"/>
  <c r="V40" i="18" s="1"/>
  <c r="W40" i="18" s="1"/>
  <c r="P90" i="18" l="1"/>
  <c r="Q89" i="18"/>
  <c r="U61" i="18"/>
  <c r="X40" i="18"/>
  <c r="W61" i="18"/>
  <c r="V61" i="18"/>
  <c r="T61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P72" i="18"/>
  <c r="P71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C77" i="18"/>
  <c r="D77" i="18"/>
  <c r="E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F77" i="18"/>
  <c r="G77" i="18"/>
  <c r="H77" i="18"/>
  <c r="I77" i="18"/>
  <c r="J77" i="18"/>
  <c r="K77" i="18"/>
  <c r="L77" i="18"/>
  <c r="M77" i="18"/>
  <c r="N77" i="18"/>
  <c r="O77" i="18"/>
  <c r="P78" i="18"/>
  <c r="G38" i="18"/>
  <c r="G36" i="18"/>
  <c r="G27" i="18"/>
  <c r="G11" i="18"/>
  <c r="G8" i="18"/>
  <c r="G25" i="18"/>
  <c r="Q73" i="18" l="1"/>
  <c r="Y40" i="18"/>
  <c r="X61" i="18"/>
  <c r="Q71" i="18"/>
  <c r="Q72" i="18"/>
  <c r="Q78" i="18"/>
  <c r="Q79" i="18"/>
  <c r="P77" i="18"/>
  <c r="Q77" i="18" s="1"/>
  <c r="C149" i="18"/>
  <c r="D149" i="18"/>
  <c r="E149" i="18"/>
  <c r="F149" i="18"/>
  <c r="C150" i="18"/>
  <c r="D150" i="18"/>
  <c r="E150" i="18"/>
  <c r="F150" i="18"/>
  <c r="C151" i="18"/>
  <c r="D151" i="18"/>
  <c r="E151" i="18"/>
  <c r="F151" i="18"/>
  <c r="H151" i="18"/>
  <c r="I151" i="18"/>
  <c r="J151" i="18"/>
  <c r="K151" i="18"/>
  <c r="L151" i="18"/>
  <c r="M151" i="18"/>
  <c r="N151" i="18"/>
  <c r="O151" i="18"/>
  <c r="P151" i="18"/>
  <c r="G151" i="18"/>
  <c r="H150" i="18"/>
  <c r="I150" i="18"/>
  <c r="J150" i="18"/>
  <c r="K150" i="18"/>
  <c r="L150" i="18"/>
  <c r="M150" i="18"/>
  <c r="N150" i="18"/>
  <c r="O150" i="18"/>
  <c r="P150" i="18"/>
  <c r="G150" i="18"/>
  <c r="H149" i="18"/>
  <c r="I149" i="18"/>
  <c r="J149" i="18"/>
  <c r="K149" i="18"/>
  <c r="L149" i="18"/>
  <c r="M149" i="18"/>
  <c r="N149" i="18"/>
  <c r="O149" i="18"/>
  <c r="P149" i="18"/>
  <c r="G149" i="18"/>
  <c r="H44" i="18"/>
  <c r="I44" i="18"/>
  <c r="J44" i="18"/>
  <c r="K44" i="18"/>
  <c r="L44" i="18"/>
  <c r="M44" i="18"/>
  <c r="N44" i="18"/>
  <c r="O44" i="18"/>
  <c r="P44" i="18"/>
  <c r="C44" i="18"/>
  <c r="D44" i="18"/>
  <c r="E44" i="18"/>
  <c r="F44" i="18"/>
  <c r="G44" i="18"/>
  <c r="G46" i="18"/>
  <c r="G137" i="18" s="1"/>
  <c r="H43" i="18"/>
  <c r="I43" i="18"/>
  <c r="J43" i="18"/>
  <c r="K43" i="18"/>
  <c r="L43" i="18"/>
  <c r="M43" i="18"/>
  <c r="N43" i="18"/>
  <c r="O43" i="18"/>
  <c r="P43" i="18"/>
  <c r="C43" i="18"/>
  <c r="D43" i="18"/>
  <c r="E43" i="18"/>
  <c r="F43" i="18"/>
  <c r="G43" i="18"/>
  <c r="P38" i="18"/>
  <c r="O38" i="18"/>
  <c r="N38" i="18"/>
  <c r="M38" i="18"/>
  <c r="L38" i="18"/>
  <c r="K38" i="18"/>
  <c r="J38" i="18"/>
  <c r="I38" i="18"/>
  <c r="H38" i="18"/>
  <c r="P36" i="18"/>
  <c r="O36" i="18"/>
  <c r="N36" i="18"/>
  <c r="M36" i="18"/>
  <c r="L36" i="18"/>
  <c r="K36" i="18"/>
  <c r="J36" i="18"/>
  <c r="I36" i="18"/>
  <c r="H36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9" i="18"/>
  <c r="S35" i="18"/>
  <c r="Q35" i="18"/>
  <c r="Z40" i="18" l="1"/>
  <c r="Y61" i="18"/>
  <c r="T35" i="18"/>
  <c r="Q151" i="18"/>
  <c r="Q44" i="18"/>
  <c r="Q43" i="18"/>
  <c r="Q150" i="18"/>
  <c r="Q149" i="18"/>
  <c r="Q30" i="18"/>
  <c r="Q33" i="18"/>
  <c r="AA40" i="18" l="1"/>
  <c r="Z61" i="18"/>
  <c r="U35" i="18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I63" i="18"/>
  <c r="I65" i="18" s="1"/>
  <c r="J63" i="18"/>
  <c r="J65" i="18" s="1"/>
  <c r="K63" i="18"/>
  <c r="K65" i="18" s="1"/>
  <c r="L63" i="18"/>
  <c r="L65" i="18" s="1"/>
  <c r="M63" i="18"/>
  <c r="M65" i="18" s="1"/>
  <c r="N63" i="18"/>
  <c r="N65" i="18" s="1"/>
  <c r="O63" i="18"/>
  <c r="O65" i="18" s="1"/>
  <c r="P63" i="18"/>
  <c r="P65" i="18" s="1"/>
  <c r="I66" i="18"/>
  <c r="J66" i="18"/>
  <c r="K66" i="18"/>
  <c r="L66" i="18"/>
  <c r="M66" i="18"/>
  <c r="N66" i="18"/>
  <c r="O66" i="18"/>
  <c r="P66" i="18"/>
  <c r="I67" i="18"/>
  <c r="J67" i="18"/>
  <c r="K67" i="18"/>
  <c r="L67" i="18"/>
  <c r="M67" i="18"/>
  <c r="N67" i="18"/>
  <c r="O67" i="18"/>
  <c r="P67" i="18"/>
  <c r="C66" i="18"/>
  <c r="D66" i="18"/>
  <c r="E66" i="18"/>
  <c r="F66" i="18"/>
  <c r="G66" i="18"/>
  <c r="C67" i="18"/>
  <c r="D67" i="18"/>
  <c r="E67" i="18"/>
  <c r="F67" i="18"/>
  <c r="G67" i="18"/>
  <c r="C68" i="18"/>
  <c r="D68" i="18"/>
  <c r="E68" i="18"/>
  <c r="F68" i="18"/>
  <c r="G68" i="18"/>
  <c r="C69" i="18"/>
  <c r="D69" i="18"/>
  <c r="E69" i="18"/>
  <c r="F69" i="18"/>
  <c r="G69" i="18"/>
  <c r="H69" i="18"/>
  <c r="H68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AE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S20" i="18"/>
  <c r="Q19" i="18"/>
  <c r="C63" i="18"/>
  <c r="C65" i="18" s="1"/>
  <c r="D63" i="18"/>
  <c r="D65" i="18" s="1"/>
  <c r="E63" i="18"/>
  <c r="E65" i="18" s="1"/>
  <c r="F63" i="18"/>
  <c r="F65" i="18" s="1"/>
  <c r="G63" i="18"/>
  <c r="G65" i="18" s="1"/>
  <c r="H63" i="18"/>
  <c r="H65" i="18" s="1"/>
  <c r="H67" i="18"/>
  <c r="H66" i="18"/>
  <c r="AE30" i="18" l="1"/>
  <c r="AC30" i="18"/>
  <c r="AC21" i="18"/>
  <c r="AE21" i="18"/>
  <c r="AB40" i="18"/>
  <c r="AE40" i="18" s="1"/>
  <c r="AA61" i="18"/>
  <c r="V35" i="18"/>
  <c r="Q68" i="18"/>
  <c r="Q69" i="18"/>
  <c r="Q67" i="18"/>
  <c r="Q65" i="18"/>
  <c r="Q66" i="18"/>
  <c r="AC22" i="18"/>
  <c r="Q21" i="18"/>
  <c r="Q20" i="18"/>
  <c r="Q63" i="18"/>
  <c r="S19" i="18"/>
  <c r="T20" i="18"/>
  <c r="Q61" i="18"/>
  <c r="Q131" i="18"/>
  <c r="T19" i="18" l="1"/>
  <c r="T63" i="18" s="1"/>
  <c r="S63" i="18"/>
  <c r="AB61" i="18"/>
  <c r="AC40" i="18"/>
  <c r="U20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7" i="18"/>
  <c r="Q32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S24" i="18"/>
  <c r="S26" i="18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E32" i="18" s="1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W35" i="18"/>
  <c r="O59" i="18"/>
  <c r="O135" i="18" s="1"/>
  <c r="O58" i="18"/>
  <c r="O56" i="18"/>
  <c r="O55" i="18"/>
  <c r="O53" i="18"/>
  <c r="O136" i="18" s="1"/>
  <c r="O52" i="18"/>
  <c r="O51" i="18"/>
  <c r="O49" i="18"/>
  <c r="O48" i="18"/>
  <c r="O133" i="18" s="1"/>
  <c r="O47" i="18"/>
  <c r="O46" i="18"/>
  <c r="S97" i="18" l="1"/>
  <c r="S98" i="18"/>
  <c r="S96" i="18"/>
  <c r="S86" i="18"/>
  <c r="P91" i="18"/>
  <c r="Q91" i="18" s="1"/>
  <c r="Q90" i="18"/>
  <c r="S81" i="18"/>
  <c r="S94" i="18"/>
  <c r="S93" i="18"/>
  <c r="T17" i="18"/>
  <c r="S119" i="18"/>
  <c r="AE61" i="18"/>
  <c r="O132" i="18"/>
  <c r="O137" i="18"/>
  <c r="U19" i="18"/>
  <c r="AC61" i="18"/>
  <c r="T119" i="18" s="1"/>
  <c r="T26" i="18"/>
  <c r="X35" i="18"/>
  <c r="T24" i="18"/>
  <c r="S77" i="18"/>
  <c r="V20" i="18"/>
  <c r="AC32" i="18"/>
  <c r="AC33" i="18"/>
  <c r="AC9" i="18"/>
  <c r="O57" i="18"/>
  <c r="O134" i="18" s="1"/>
  <c r="D53" i="18"/>
  <c r="E53" i="18"/>
  <c r="F53" i="18"/>
  <c r="G53" i="18"/>
  <c r="G136" i="18" s="1"/>
  <c r="H53" i="18"/>
  <c r="H136" i="18" s="1"/>
  <c r="I53" i="18"/>
  <c r="I136" i="18" s="1"/>
  <c r="J53" i="18"/>
  <c r="J136" i="18" s="1"/>
  <c r="K53" i="18"/>
  <c r="K136" i="18" s="1"/>
  <c r="L53" i="18"/>
  <c r="L136" i="18" s="1"/>
  <c r="M53" i="18"/>
  <c r="M136" i="18" s="1"/>
  <c r="N53" i="18"/>
  <c r="N136" i="18" s="1"/>
  <c r="P53" i="18"/>
  <c r="C53" i="18"/>
  <c r="C52" i="18"/>
  <c r="T96" i="18" l="1"/>
  <c r="T98" i="18"/>
  <c r="T97" i="18"/>
  <c r="T86" i="18"/>
  <c r="T81" i="18"/>
  <c r="T94" i="18"/>
  <c r="T93" i="18"/>
  <c r="U17" i="18"/>
  <c r="R119" i="18"/>
  <c r="P142" i="18" s="1"/>
  <c r="V19" i="18"/>
  <c r="U63" i="18"/>
  <c r="U26" i="18"/>
  <c r="U24" i="18"/>
  <c r="T77" i="18"/>
  <c r="Y35" i="18"/>
  <c r="W20" i="18"/>
  <c r="P136" i="18"/>
  <c r="Q136" i="18" s="1"/>
  <c r="Q53" i="18"/>
  <c r="D52" i="18"/>
  <c r="E52" i="18"/>
  <c r="F52" i="18"/>
  <c r="G52" i="18"/>
  <c r="H52" i="18"/>
  <c r="I52" i="18"/>
  <c r="J52" i="18"/>
  <c r="K52" i="18"/>
  <c r="L52" i="18"/>
  <c r="M52" i="18"/>
  <c r="N52" i="18"/>
  <c r="P52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C51" i="18"/>
  <c r="U98" i="18" l="1"/>
  <c r="U97" i="18"/>
  <c r="U96" i="18"/>
  <c r="U86" i="18"/>
  <c r="U81" i="18"/>
  <c r="U94" i="18"/>
  <c r="U93" i="18"/>
  <c r="V17" i="18"/>
  <c r="W19" i="18"/>
  <c r="V63" i="18"/>
  <c r="V26" i="18"/>
  <c r="V24" i="18"/>
  <c r="U77" i="18"/>
  <c r="Z35" i="18"/>
  <c r="X20" i="18"/>
  <c r="Q51" i="18"/>
  <c r="Q52" i="18"/>
  <c r="C46" i="15"/>
  <c r="V86" i="18" l="1"/>
  <c r="V98" i="18"/>
  <c r="V97" i="18"/>
  <c r="V96" i="18"/>
  <c r="V81" i="18"/>
  <c r="V94" i="18"/>
  <c r="V93" i="18"/>
  <c r="W17" i="18"/>
  <c r="X19" i="18"/>
  <c r="W63" i="18"/>
  <c r="W26" i="18"/>
  <c r="W24" i="18"/>
  <c r="V77" i="18"/>
  <c r="AA35" i="18"/>
  <c r="Y20" i="18"/>
  <c r="S131" i="18"/>
  <c r="C46" i="18"/>
  <c r="D46" i="18"/>
  <c r="E46" i="18"/>
  <c r="F46" i="18"/>
  <c r="H46" i="18"/>
  <c r="I46" i="18"/>
  <c r="J46" i="18"/>
  <c r="K46" i="18"/>
  <c r="L46" i="18"/>
  <c r="L137" i="18" s="1"/>
  <c r="M46" i="18"/>
  <c r="N46" i="18"/>
  <c r="N137" i="18" s="1"/>
  <c r="P46" i="18"/>
  <c r="D59" i="18"/>
  <c r="D135" i="18" s="1"/>
  <c r="E59" i="18"/>
  <c r="E135" i="18" s="1"/>
  <c r="F59" i="18"/>
  <c r="F135" i="18" s="1"/>
  <c r="G59" i="18"/>
  <c r="H59" i="18"/>
  <c r="H135" i="18" s="1"/>
  <c r="I59" i="18"/>
  <c r="I135" i="18" s="1"/>
  <c r="J59" i="18"/>
  <c r="J135" i="18" s="1"/>
  <c r="K59" i="18"/>
  <c r="K135" i="18" s="1"/>
  <c r="L59" i="18"/>
  <c r="L135" i="18" s="1"/>
  <c r="M59" i="18"/>
  <c r="M135" i="18" s="1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57" i="18" s="1"/>
  <c r="D134" i="18" s="1"/>
  <c r="E55" i="18"/>
  <c r="E57" i="18" s="1"/>
  <c r="E134" i="18" s="1"/>
  <c r="F55" i="18"/>
  <c r="G55" i="18"/>
  <c r="H55" i="18"/>
  <c r="I55" i="18"/>
  <c r="J55" i="18"/>
  <c r="K55" i="18"/>
  <c r="L55" i="18"/>
  <c r="M55" i="18"/>
  <c r="N55" i="18"/>
  <c r="P55" i="18"/>
  <c r="D49" i="18"/>
  <c r="E49" i="18"/>
  <c r="F49" i="18"/>
  <c r="G49" i="18"/>
  <c r="H49" i="18"/>
  <c r="I49" i="18"/>
  <c r="J49" i="18"/>
  <c r="K49" i="18"/>
  <c r="L49" i="18"/>
  <c r="M49" i="18"/>
  <c r="N49" i="18"/>
  <c r="P49" i="18"/>
  <c r="D48" i="18"/>
  <c r="D133" i="18" s="1"/>
  <c r="E48" i="18"/>
  <c r="E133" i="18" s="1"/>
  <c r="F48" i="18"/>
  <c r="F133" i="18" s="1"/>
  <c r="G48" i="18"/>
  <c r="H48" i="18"/>
  <c r="H133" i="18" s="1"/>
  <c r="I48" i="18"/>
  <c r="I133" i="18" s="1"/>
  <c r="J48" i="18"/>
  <c r="J133" i="18" s="1"/>
  <c r="K48" i="18"/>
  <c r="K133" i="18" s="1"/>
  <c r="L48" i="18"/>
  <c r="L133" i="18" s="1"/>
  <c r="M48" i="18"/>
  <c r="M133" i="18" s="1"/>
  <c r="N48" i="18"/>
  <c r="P48" i="18"/>
  <c r="C59" i="18"/>
  <c r="C135" i="18" s="1"/>
  <c r="C58" i="18"/>
  <c r="C56" i="18"/>
  <c r="C55" i="18"/>
  <c r="C49" i="18"/>
  <c r="C48" i="18"/>
  <c r="C133" i="18" s="1"/>
  <c r="D47" i="18"/>
  <c r="E47" i="18"/>
  <c r="F47" i="18"/>
  <c r="G47" i="18"/>
  <c r="H47" i="18"/>
  <c r="I47" i="18"/>
  <c r="J47" i="18"/>
  <c r="K47" i="18"/>
  <c r="L47" i="18"/>
  <c r="M47" i="18"/>
  <c r="N47" i="18"/>
  <c r="P47" i="18"/>
  <c r="C47" i="18"/>
  <c r="S14" i="18"/>
  <c r="S15" i="18"/>
  <c r="S37" i="18"/>
  <c r="S10" i="18"/>
  <c r="S12" i="18"/>
  <c r="S82" i="18" s="1"/>
  <c r="S13" i="18"/>
  <c r="S7" i="18"/>
  <c r="S6" i="18"/>
  <c r="H137" i="18" l="1"/>
  <c r="H132" i="18"/>
  <c r="W86" i="18"/>
  <c r="W97" i="18"/>
  <c r="W96" i="18"/>
  <c r="W98" i="18"/>
  <c r="S85" i="18"/>
  <c r="S90" i="18"/>
  <c r="S91" i="18" s="1"/>
  <c r="W81" i="18"/>
  <c r="W94" i="18"/>
  <c r="W93" i="18"/>
  <c r="S83" i="18"/>
  <c r="S84" i="18"/>
  <c r="X17" i="18"/>
  <c r="D132" i="18"/>
  <c r="D136" i="18" s="1"/>
  <c r="D137" i="18"/>
  <c r="E132" i="18"/>
  <c r="E136" i="18" s="1"/>
  <c r="E137" i="18"/>
  <c r="C132" i="18"/>
  <c r="C136" i="18" s="1"/>
  <c r="C137" i="18"/>
  <c r="P132" i="18"/>
  <c r="P137" i="18"/>
  <c r="K132" i="18"/>
  <c r="K137" i="18"/>
  <c r="F132" i="18"/>
  <c r="F136" i="18" s="1"/>
  <c r="F137" i="18"/>
  <c r="J132" i="18"/>
  <c r="J137" i="18"/>
  <c r="M132" i="18"/>
  <c r="M137" i="18"/>
  <c r="I132" i="18"/>
  <c r="I137" i="18"/>
  <c r="Q101" i="18"/>
  <c r="Y19" i="18"/>
  <c r="X63" i="18"/>
  <c r="H57" i="18"/>
  <c r="H134" i="18" s="1"/>
  <c r="X26" i="18"/>
  <c r="T12" i="18"/>
  <c r="T82" i="18" s="1"/>
  <c r="T14" i="18"/>
  <c r="T13" i="18"/>
  <c r="T10" i="18"/>
  <c r="T15" i="18"/>
  <c r="T6" i="18"/>
  <c r="T7" i="18"/>
  <c r="X24" i="18"/>
  <c r="W77" i="18"/>
  <c r="T37" i="18"/>
  <c r="S79" i="18"/>
  <c r="S78" i="18"/>
  <c r="AB35" i="18"/>
  <c r="AE35" i="18" s="1"/>
  <c r="F57" i="18"/>
  <c r="F134" i="18" s="1"/>
  <c r="L57" i="18"/>
  <c r="L134" i="18" s="1"/>
  <c r="K57" i="18"/>
  <c r="K134" i="18" s="1"/>
  <c r="J57" i="18"/>
  <c r="J134" i="18" s="1"/>
  <c r="Z20" i="18"/>
  <c r="C57" i="18"/>
  <c r="C134" i="18" s="1"/>
  <c r="T131" i="18"/>
  <c r="I57" i="18"/>
  <c r="I134" i="18" s="1"/>
  <c r="Q47" i="18"/>
  <c r="G133" i="18"/>
  <c r="Q48" i="18"/>
  <c r="Q49" i="18"/>
  <c r="Q56" i="18"/>
  <c r="Q58" i="18"/>
  <c r="G132" i="18"/>
  <c r="Q46" i="18"/>
  <c r="G135" i="18"/>
  <c r="Q59" i="18"/>
  <c r="G57" i="18"/>
  <c r="Q55" i="18"/>
  <c r="N133" i="18"/>
  <c r="N132" i="18"/>
  <c r="N135" i="18"/>
  <c r="P133" i="18"/>
  <c r="L132" i="18"/>
  <c r="N57" i="18"/>
  <c r="M57" i="18"/>
  <c r="M134" i="18" s="1"/>
  <c r="P135" i="18"/>
  <c r="P57" i="18"/>
  <c r="S56" i="18"/>
  <c r="C6" i="12"/>
  <c r="C26" i="15"/>
  <c r="C58" i="15"/>
  <c r="C57" i="15"/>
  <c r="C54" i="15"/>
  <c r="C53" i="15"/>
  <c r="C50" i="15"/>
  <c r="C49" i="15"/>
  <c r="C45" i="15"/>
  <c r="X96" i="18" l="1"/>
  <c r="X97" i="18"/>
  <c r="X98" i="18"/>
  <c r="X86" i="18"/>
  <c r="X81" i="18"/>
  <c r="X94" i="18"/>
  <c r="X93" i="18"/>
  <c r="T83" i="18"/>
  <c r="T84" i="18"/>
  <c r="T85" i="18"/>
  <c r="Y17" i="18"/>
  <c r="Z19" i="18"/>
  <c r="Y63" i="18"/>
  <c r="S55" i="18"/>
  <c r="S72" i="18"/>
  <c r="S51" i="18"/>
  <c r="S53" i="18"/>
  <c r="S136" i="18" s="1"/>
  <c r="S59" i="18"/>
  <c r="S135" i="18" s="1"/>
  <c r="S69" i="18"/>
  <c r="S71" i="18"/>
  <c r="S44" i="18"/>
  <c r="S43" i="18"/>
  <c r="S52" i="18"/>
  <c r="S48" i="18"/>
  <c r="S49" i="18"/>
  <c r="S58" i="18"/>
  <c r="S47" i="18"/>
  <c r="S73" i="18"/>
  <c r="S46" i="18"/>
  <c r="Y26" i="18"/>
  <c r="U14" i="18"/>
  <c r="U13" i="18"/>
  <c r="U12" i="18"/>
  <c r="U82" i="18" s="1"/>
  <c r="S57" i="18"/>
  <c r="U15" i="18"/>
  <c r="U10" i="18"/>
  <c r="U7" i="18"/>
  <c r="U6" i="18"/>
  <c r="AC35" i="18"/>
  <c r="Y24" i="18"/>
  <c r="X77" i="18"/>
  <c r="U37" i="18"/>
  <c r="T79" i="18"/>
  <c r="T78" i="18"/>
  <c r="T39" i="18"/>
  <c r="T88" i="18" s="1"/>
  <c r="T89" i="18" s="1"/>
  <c r="T90" i="18" s="1"/>
  <c r="T91" i="18" s="1"/>
  <c r="S66" i="18"/>
  <c r="S67" i="18"/>
  <c r="S68" i="18"/>
  <c r="S65" i="18"/>
  <c r="AA20" i="18"/>
  <c r="U131" i="18"/>
  <c r="Q133" i="18"/>
  <c r="Q132" i="18"/>
  <c r="Q135" i="18"/>
  <c r="G134" i="18"/>
  <c r="Q57" i="18"/>
  <c r="N134" i="18"/>
  <c r="P134" i="18"/>
  <c r="C16" i="15"/>
  <c r="C21" i="15"/>
  <c r="C10" i="15"/>
  <c r="Y98" i="18" l="1"/>
  <c r="Y97" i="18"/>
  <c r="Y96" i="18"/>
  <c r="Y86" i="18"/>
  <c r="T55" i="18"/>
  <c r="Y81" i="18"/>
  <c r="Y94" i="18"/>
  <c r="Y93" i="18"/>
  <c r="U83" i="18"/>
  <c r="U84" i="18"/>
  <c r="U85" i="18"/>
  <c r="T51" i="18"/>
  <c r="Z17" i="18"/>
  <c r="AA19" i="18"/>
  <c r="Z63" i="18"/>
  <c r="T53" i="18"/>
  <c r="T136" i="18" s="1"/>
  <c r="T59" i="18"/>
  <c r="T135" i="18" s="1"/>
  <c r="T69" i="18"/>
  <c r="T71" i="18"/>
  <c r="T43" i="18"/>
  <c r="T44" i="18"/>
  <c r="T48" i="18"/>
  <c r="T47" i="18"/>
  <c r="T58" i="18"/>
  <c r="T73" i="18"/>
  <c r="T52" i="18"/>
  <c r="T49" i="18"/>
  <c r="T46" i="18"/>
  <c r="T56" i="18"/>
  <c r="T72" i="18"/>
  <c r="Z26" i="18"/>
  <c r="V13" i="18"/>
  <c r="V12" i="18"/>
  <c r="V82" i="18" s="1"/>
  <c r="V14" i="18"/>
  <c r="V10" i="18"/>
  <c r="V15" i="18"/>
  <c r="V6" i="18"/>
  <c r="V7" i="18"/>
  <c r="V37" i="18"/>
  <c r="U79" i="18"/>
  <c r="U78" i="18"/>
  <c r="Z24" i="18"/>
  <c r="Y77" i="18"/>
  <c r="U39" i="18"/>
  <c r="U88" i="18" s="1"/>
  <c r="U89" i="18" s="1"/>
  <c r="U90" i="18" s="1"/>
  <c r="U91" i="18" s="1"/>
  <c r="T68" i="18"/>
  <c r="T67" i="18"/>
  <c r="T66" i="18"/>
  <c r="T65" i="18"/>
  <c r="AB20" i="18"/>
  <c r="AE20" i="18" s="1"/>
  <c r="S134" i="18"/>
  <c r="V131" i="18"/>
  <c r="S132" i="18"/>
  <c r="S133" i="18"/>
  <c r="Q134" i="18"/>
  <c r="D31" i="8"/>
  <c r="D29" i="8"/>
  <c r="D28" i="8"/>
  <c r="D13" i="8"/>
  <c r="D30" i="8" s="1"/>
  <c r="E14" i="8"/>
  <c r="F14" i="8" s="1"/>
  <c r="G14" i="8" s="1"/>
  <c r="H14" i="8" s="1"/>
  <c r="I14" i="8" s="1"/>
  <c r="Z98" i="18" l="1"/>
  <c r="Z97" i="18"/>
  <c r="Z96" i="18"/>
  <c r="Z86" i="18"/>
  <c r="U55" i="18"/>
  <c r="T57" i="18"/>
  <c r="T134" i="18" s="1"/>
  <c r="Z81" i="18"/>
  <c r="Z94" i="18"/>
  <c r="Z93" i="18"/>
  <c r="V83" i="18"/>
  <c r="V85" i="18"/>
  <c r="V84" i="18"/>
  <c r="AA17" i="18"/>
  <c r="AB19" i="18"/>
  <c r="AE19" i="18" s="1"/>
  <c r="AA63" i="18"/>
  <c r="U73" i="18"/>
  <c r="U72" i="18"/>
  <c r="U51" i="18"/>
  <c r="U59" i="18"/>
  <c r="U135" i="18" s="1"/>
  <c r="U58" i="18"/>
  <c r="U53" i="18"/>
  <c r="U136" i="18" s="1"/>
  <c r="U56" i="18"/>
  <c r="U47" i="18"/>
  <c r="U69" i="18"/>
  <c r="U71" i="18"/>
  <c r="U44" i="18"/>
  <c r="U43" i="18"/>
  <c r="U52" i="18"/>
  <c r="U48" i="18"/>
  <c r="U49" i="18"/>
  <c r="U46" i="18"/>
  <c r="AA26" i="18"/>
  <c r="W12" i="18"/>
  <c r="W82" i="18" s="1"/>
  <c r="W14" i="18"/>
  <c r="W13" i="18"/>
  <c r="W15" i="18"/>
  <c r="W10" i="18"/>
  <c r="W7" i="18"/>
  <c r="W6" i="18"/>
  <c r="AA24" i="18"/>
  <c r="Z77" i="18"/>
  <c r="W37" i="18"/>
  <c r="V78" i="18"/>
  <c r="V79" i="18"/>
  <c r="V39" i="18"/>
  <c r="V88" i="18" s="1"/>
  <c r="V89" i="18" s="1"/>
  <c r="V90" i="18" s="1"/>
  <c r="V91" i="18" s="1"/>
  <c r="U68" i="18"/>
  <c r="U66" i="18"/>
  <c r="U67" i="18"/>
  <c r="U65" i="18"/>
  <c r="AC20" i="18"/>
  <c r="W131" i="18"/>
  <c r="T132" i="18"/>
  <c r="T13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A97" i="18" l="1"/>
  <c r="AA96" i="18"/>
  <c r="AA98" i="18"/>
  <c r="AA86" i="18"/>
  <c r="U57" i="18"/>
  <c r="U134" i="18" s="1"/>
  <c r="AA81" i="18"/>
  <c r="AA94" i="18"/>
  <c r="AA93" i="18"/>
  <c r="V58" i="18"/>
  <c r="W83" i="18"/>
  <c r="W85" i="18"/>
  <c r="W84" i="18"/>
  <c r="AB17" i="18"/>
  <c r="V73" i="18"/>
  <c r="V49" i="18"/>
  <c r="V56" i="18"/>
  <c r="AC19" i="18"/>
  <c r="AB63" i="18"/>
  <c r="V47" i="18"/>
  <c r="V55" i="18"/>
  <c r="V52" i="18"/>
  <c r="V72" i="18"/>
  <c r="V48" i="18"/>
  <c r="V53" i="18"/>
  <c r="V136" i="18" s="1"/>
  <c r="V69" i="18"/>
  <c r="V71" i="18"/>
  <c r="V43" i="18"/>
  <c r="V44" i="18"/>
  <c r="V51" i="18"/>
  <c r="V59" i="18"/>
  <c r="V135" i="18" s="1"/>
  <c r="V46" i="18"/>
  <c r="AB26" i="18"/>
  <c r="AE26" i="18" s="1"/>
  <c r="X14" i="18"/>
  <c r="X13" i="18"/>
  <c r="X12" i="18"/>
  <c r="X82" i="18" s="1"/>
  <c r="X10" i="18"/>
  <c r="X15" i="18"/>
  <c r="X6" i="18"/>
  <c r="X7" i="18"/>
  <c r="X37" i="18"/>
  <c r="W79" i="18"/>
  <c r="W78" i="18"/>
  <c r="AB24" i="18"/>
  <c r="AA77" i="18"/>
  <c r="W39" i="18"/>
  <c r="W88" i="18" s="1"/>
  <c r="W89" i="18" s="1"/>
  <c r="W90" i="18" s="1"/>
  <c r="W91" i="18" s="1"/>
  <c r="V68" i="18"/>
  <c r="V66" i="18"/>
  <c r="V67" i="18"/>
  <c r="V65" i="18"/>
  <c r="X131" i="18"/>
  <c r="U132" i="18"/>
  <c r="U13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B96" i="18" l="1"/>
  <c r="AC96" i="18" s="1"/>
  <c r="AB98" i="18"/>
  <c r="AC98" i="18" s="1"/>
  <c r="AB97" i="18"/>
  <c r="AC9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86" i="18"/>
  <c r="AC86" i="18" s="1"/>
  <c r="V57" i="18"/>
  <c r="V134" i="18" s="1"/>
  <c r="W56" i="18"/>
  <c r="AB81" i="18"/>
  <c r="AC81" i="18" s="1"/>
  <c r="AB94" i="18"/>
  <c r="AC94" i="18" s="1"/>
  <c r="AB93" i="18"/>
  <c r="AC93" i="18" s="1"/>
  <c r="X83" i="18"/>
  <c r="X85" i="18"/>
  <c r="X84" i="18"/>
  <c r="AE24" i="18"/>
  <c r="AE17" i="18"/>
  <c r="AC17" i="18"/>
  <c r="S121" i="18"/>
  <c r="AE63" i="18"/>
  <c r="AC63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59" i="18"/>
  <c r="W135" i="18" s="1"/>
  <c r="W58" i="18"/>
  <c r="W53" i="18"/>
  <c r="W136" i="18" s="1"/>
  <c r="W55" i="18"/>
  <c r="W52" i="18"/>
  <c r="W72" i="18"/>
  <c r="W51" i="18"/>
  <c r="W73" i="18"/>
  <c r="W69" i="18"/>
  <c r="W71" i="18"/>
  <c r="W44" i="18"/>
  <c r="W43" i="18"/>
  <c r="W47" i="18"/>
  <c r="W48" i="18"/>
  <c r="W49" i="18"/>
  <c r="W46" i="18"/>
  <c r="AC26" i="18"/>
  <c r="Y12" i="18"/>
  <c r="Y82" i="18" s="1"/>
  <c r="Y14" i="18"/>
  <c r="Y13" i="18"/>
  <c r="Y10" i="18"/>
  <c r="Y15" i="18"/>
  <c r="Y7" i="18"/>
  <c r="Y6" i="18"/>
  <c r="AC24" i="18"/>
  <c r="AB77" i="18"/>
  <c r="AC77" i="18" s="1"/>
  <c r="Y37" i="18"/>
  <c r="X79" i="18"/>
  <c r="X78" i="18"/>
  <c r="O31" i="9"/>
  <c r="O32" i="9" s="1"/>
  <c r="X39" i="18"/>
  <c r="X88" i="18" s="1"/>
  <c r="X89" i="18" s="1"/>
  <c r="X90" i="18" s="1"/>
  <c r="X91" i="18" s="1"/>
  <c r="W68" i="18"/>
  <c r="W66" i="18"/>
  <c r="W67" i="18"/>
  <c r="W65" i="18"/>
  <c r="Y131" i="18"/>
  <c r="V132" i="18"/>
  <c r="V133" i="18"/>
  <c r="P31" i="11"/>
  <c r="N32" i="11"/>
  <c r="T19" i="9"/>
  <c r="D22" i="9"/>
  <c r="W57" i="18" l="1"/>
  <c r="W134" i="18" s="1"/>
  <c r="X49" i="18"/>
  <c r="Y83" i="18"/>
  <c r="Y84" i="18"/>
  <c r="Y85" i="18"/>
  <c r="T121" i="18"/>
  <c r="R121" i="18" s="1"/>
  <c r="X51" i="18"/>
  <c r="X58" i="18"/>
  <c r="X46" i="18"/>
  <c r="X53" i="18"/>
  <c r="X136" i="18" s="1"/>
  <c r="X48" i="18"/>
  <c r="X47" i="18"/>
  <c r="X69" i="18"/>
  <c r="X71" i="18"/>
  <c r="X44" i="18"/>
  <c r="X43" i="18"/>
  <c r="X73" i="18"/>
  <c r="X52" i="18"/>
  <c r="X59" i="18"/>
  <c r="X135" i="18" s="1"/>
  <c r="X56" i="18"/>
  <c r="X55" i="18"/>
  <c r="X72" i="18"/>
  <c r="Z13" i="18"/>
  <c r="Z12" i="18"/>
  <c r="Z82" i="18" s="1"/>
  <c r="Z14" i="18"/>
  <c r="Z10" i="18"/>
  <c r="Z15" i="18"/>
  <c r="Z6" i="18"/>
  <c r="Z7" i="18"/>
  <c r="Z37" i="18"/>
  <c r="Y79" i="18"/>
  <c r="Y78" i="18"/>
  <c r="Y39" i="18"/>
  <c r="Y88" i="18" s="1"/>
  <c r="Y89" i="18" s="1"/>
  <c r="Y90" i="18" s="1"/>
  <c r="Y91" i="18" s="1"/>
  <c r="X68" i="18"/>
  <c r="X66" i="18"/>
  <c r="X67" i="18"/>
  <c r="X65" i="18"/>
  <c r="Z131" i="18"/>
  <c r="W132" i="18"/>
  <c r="W13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83" i="18" l="1"/>
  <c r="Z84" i="18"/>
  <c r="Z85" i="18"/>
  <c r="X57" i="18"/>
  <c r="X134" i="18" s="1"/>
  <c r="Y69" i="18"/>
  <c r="Y71" i="18"/>
  <c r="Y43" i="18"/>
  <c r="Y44" i="18"/>
  <c r="Y53" i="18"/>
  <c r="Y136" i="18" s="1"/>
  <c r="Y59" i="18"/>
  <c r="Y135" i="18" s="1"/>
  <c r="Y58" i="18"/>
  <c r="Y56" i="18"/>
  <c r="Y47" i="18"/>
  <c r="Y46" i="18"/>
  <c r="Y52" i="18"/>
  <c r="Y48" i="18"/>
  <c r="Y49" i="18"/>
  <c r="Y55" i="18"/>
  <c r="Y72" i="18"/>
  <c r="Y51" i="18"/>
  <c r="Y73" i="18"/>
  <c r="AA12" i="18"/>
  <c r="AA82" i="18" s="1"/>
  <c r="AA14" i="18"/>
  <c r="AA13" i="18"/>
  <c r="AA10" i="18"/>
  <c r="AA15" i="18"/>
  <c r="AA7" i="18"/>
  <c r="AA6" i="18"/>
  <c r="AA37" i="18"/>
  <c r="Z78" i="18"/>
  <c r="Z79" i="18"/>
  <c r="Z39" i="18"/>
  <c r="Z88" i="18" s="1"/>
  <c r="Z89" i="18" s="1"/>
  <c r="Z90" i="18" s="1"/>
  <c r="Z91" i="18" s="1"/>
  <c r="Y68" i="18"/>
  <c r="Y66" i="18"/>
  <c r="Y67" i="18"/>
  <c r="Y65" i="18"/>
  <c r="AA131" i="18"/>
  <c r="X132" i="18"/>
  <c r="X133" i="18"/>
  <c r="N34" i="11"/>
  <c r="O33" i="11"/>
  <c r="D25" i="8"/>
  <c r="D23" i="8"/>
  <c r="AA83" i="18" l="1"/>
  <c r="AA84" i="18"/>
  <c r="AA85" i="18"/>
  <c r="Y57" i="18"/>
  <c r="Y134" i="18" s="1"/>
  <c r="Z69" i="18"/>
  <c r="Z71" i="18"/>
  <c r="Z44" i="18"/>
  <c r="Z43" i="18"/>
  <c r="Z47" i="18"/>
  <c r="Z58" i="18"/>
  <c r="Z48" i="18"/>
  <c r="Z53" i="18"/>
  <c r="Z136" i="18" s="1"/>
  <c r="Z56" i="18"/>
  <c r="Z55" i="18"/>
  <c r="Z73" i="18"/>
  <c r="Z59" i="18"/>
  <c r="Z135" i="18" s="1"/>
  <c r="Z46" i="18"/>
  <c r="Z52" i="18"/>
  <c r="Z72" i="18"/>
  <c r="Z51" i="18"/>
  <c r="Z49" i="18"/>
  <c r="AB14" i="18"/>
  <c r="AE14" i="18" s="1"/>
  <c r="AB13" i="18"/>
  <c r="AE13" i="18" s="1"/>
  <c r="AB12" i="18"/>
  <c r="AB10" i="18"/>
  <c r="AB15" i="18"/>
  <c r="AE15" i="18" s="1"/>
  <c r="AB6" i="18"/>
  <c r="AE6" i="18" s="1"/>
  <c r="AB7" i="18"/>
  <c r="AE7" i="18" s="1"/>
  <c r="AB37" i="18"/>
  <c r="AA79" i="18"/>
  <c r="AA78" i="18"/>
  <c r="AA39" i="18"/>
  <c r="AA88" i="18" s="1"/>
  <c r="AA89" i="18" s="1"/>
  <c r="AA90" i="18" s="1"/>
  <c r="AA91" i="18" s="1"/>
  <c r="Z68" i="18"/>
  <c r="Z66" i="18"/>
  <c r="Z67" i="18"/>
  <c r="Z65" i="18"/>
  <c r="AB131" i="18"/>
  <c r="Y132" i="18"/>
  <c r="Y133" i="18"/>
  <c r="N35" i="11"/>
  <c r="O34" i="11"/>
  <c r="D35" i="8"/>
  <c r="E5" i="8"/>
  <c r="E18" i="8" s="1"/>
  <c r="D18" i="8"/>
  <c r="D19" i="8"/>
  <c r="D21" i="8"/>
  <c r="D20" i="8"/>
  <c r="AE10" i="18" l="1"/>
  <c r="AB83" i="18"/>
  <c r="AC83" i="18" s="1"/>
  <c r="AE12" i="18"/>
  <c r="AB82" i="18"/>
  <c r="AC82" i="18" s="1"/>
  <c r="AE37" i="18"/>
  <c r="AB84" i="18"/>
  <c r="AC84" i="18" s="1"/>
  <c r="AB85" i="18"/>
  <c r="AC85" i="18" s="1"/>
  <c r="Z57" i="18"/>
  <c r="Z134" i="18" s="1"/>
  <c r="AA69" i="18"/>
  <c r="AA71" i="18"/>
  <c r="AA43" i="18"/>
  <c r="AA44" i="18"/>
  <c r="AA51" i="18"/>
  <c r="AA59" i="18"/>
  <c r="AA135" i="18" s="1"/>
  <c r="AA46" i="18"/>
  <c r="AA53" i="18"/>
  <c r="AA136" i="18" s="1"/>
  <c r="AA56" i="18"/>
  <c r="AA72" i="18"/>
  <c r="AA47" i="18"/>
  <c r="AA48" i="18"/>
  <c r="AA49" i="18"/>
  <c r="AA52" i="18"/>
  <c r="AA73" i="18"/>
  <c r="AA55" i="18"/>
  <c r="AA58" i="18"/>
  <c r="AC14" i="18"/>
  <c r="AC13" i="18"/>
  <c r="S115" i="18"/>
  <c r="AC12" i="18"/>
  <c r="AC10" i="18"/>
  <c r="AC15" i="18"/>
  <c r="AC7" i="18"/>
  <c r="AC6" i="18"/>
  <c r="AB79" i="18"/>
  <c r="AC79" i="18" s="1"/>
  <c r="AB78" i="18"/>
  <c r="AC78" i="18" s="1"/>
  <c r="AC37" i="18"/>
  <c r="AB39" i="18"/>
  <c r="AB88" i="18" s="1"/>
  <c r="AB89" i="18" s="1"/>
  <c r="AB90" i="18" s="1"/>
  <c r="AB91" i="18" s="1"/>
  <c r="AA68" i="18"/>
  <c r="AA66" i="18"/>
  <c r="AA67" i="18"/>
  <c r="AA65" i="18"/>
  <c r="AC131" i="18"/>
  <c r="AE131" i="18" s="1"/>
  <c r="Z132" i="18"/>
  <c r="Z133" i="18"/>
  <c r="N36" i="11"/>
  <c r="O35" i="11"/>
  <c r="F5" i="8"/>
  <c r="G5" i="8" s="1"/>
  <c r="H5" i="8" s="1"/>
  <c r="I5" i="8" s="1"/>
  <c r="AE39" i="18" l="1"/>
  <c r="T115" i="18"/>
  <c r="T116" i="18" s="1"/>
  <c r="AA57" i="18"/>
  <c r="AA134" i="18" s="1"/>
  <c r="AB69" i="18"/>
  <c r="AB71" i="18"/>
  <c r="AE71" i="18" s="1"/>
  <c r="AB43" i="18"/>
  <c r="AB44" i="18"/>
  <c r="AB51" i="18"/>
  <c r="AB56" i="18"/>
  <c r="AB46" i="18"/>
  <c r="AE46" i="18" s="1"/>
  <c r="AB53" i="18"/>
  <c r="AB49" i="18"/>
  <c r="AB72" i="18"/>
  <c r="AB48" i="18"/>
  <c r="AE48" i="18" s="1"/>
  <c r="AB47" i="18"/>
  <c r="AB58" i="18"/>
  <c r="AB73" i="18"/>
  <c r="AB52" i="18"/>
  <c r="AB59" i="18"/>
  <c r="AB55" i="18"/>
  <c r="S116" i="18"/>
  <c r="AB68" i="18"/>
  <c r="AB66" i="18"/>
  <c r="AC39" i="18"/>
  <c r="AB67" i="18"/>
  <c r="AB65" i="18"/>
  <c r="AA132" i="18"/>
  <c r="AA133" i="18"/>
  <c r="N37" i="11"/>
  <c r="O36" i="11"/>
  <c r="F18" i="8"/>
  <c r="G18" i="8"/>
  <c r="AC88" i="18" l="1"/>
  <c r="R115" i="18"/>
  <c r="R116" i="18"/>
  <c r="AC72" i="18"/>
  <c r="AE72" i="18"/>
  <c r="AC44" i="18"/>
  <c r="AE44" i="18"/>
  <c r="S112" i="18"/>
  <c r="AE58" i="18"/>
  <c r="AB135" i="18"/>
  <c r="AC135" i="18" s="1"/>
  <c r="AE135" i="18" s="1"/>
  <c r="AE59" i="18"/>
  <c r="AC43" i="18"/>
  <c r="AE43" i="18"/>
  <c r="AC56" i="18"/>
  <c r="AE56" i="18"/>
  <c r="S106" i="18"/>
  <c r="AE55" i="18"/>
  <c r="S105" i="18"/>
  <c r="AE49" i="18"/>
  <c r="AB136" i="18"/>
  <c r="AC136" i="18" s="1"/>
  <c r="AE136" i="18" s="1"/>
  <c r="AE53" i="18"/>
  <c r="AC52" i="18"/>
  <c r="AE52" i="18"/>
  <c r="S103" i="18"/>
  <c r="AE47" i="18"/>
  <c r="S108" i="18"/>
  <c r="AE51" i="18"/>
  <c r="AC73" i="18"/>
  <c r="AE73" i="18"/>
  <c r="S128" i="18"/>
  <c r="AE69" i="18"/>
  <c r="S126" i="18"/>
  <c r="AE68" i="18"/>
  <c r="S125" i="18"/>
  <c r="AE67" i="18"/>
  <c r="S123" i="18"/>
  <c r="AE65" i="18"/>
  <c r="S124" i="18"/>
  <c r="AE66" i="18"/>
  <c r="AC58" i="18"/>
  <c r="S109" i="18"/>
  <c r="AC47" i="18"/>
  <c r="AC49" i="18"/>
  <c r="T105" i="18" s="1"/>
  <c r="AC51" i="18"/>
  <c r="S110" i="18"/>
  <c r="AC69" i="18"/>
  <c r="AC55" i="18"/>
  <c r="S113" i="18"/>
  <c r="AB57" i="18"/>
  <c r="AC53" i="18"/>
  <c r="AC59" i="18"/>
  <c r="AC71" i="18"/>
  <c r="AC67" i="18"/>
  <c r="AC66" i="18"/>
  <c r="AC65" i="18"/>
  <c r="AC68" i="18"/>
  <c r="S102" i="18"/>
  <c r="AC46" i="18"/>
  <c r="T102" i="18" s="1"/>
  <c r="AB132" i="18"/>
  <c r="AC48" i="18"/>
  <c r="T104" i="18" s="1"/>
  <c r="AB133" i="18"/>
  <c r="S104" i="18"/>
  <c r="N38" i="11"/>
  <c r="O37" i="11"/>
  <c r="H18" i="8"/>
  <c r="P145" i="18" l="1"/>
  <c r="M145" i="18"/>
  <c r="AC89" i="18"/>
  <c r="T113" i="18"/>
  <c r="R113" i="18" s="1"/>
  <c r="T103" i="18"/>
  <c r="R103" i="18" s="1"/>
  <c r="T112" i="18"/>
  <c r="R112" i="18" s="1"/>
  <c r="T108" i="18"/>
  <c r="R108" i="18" s="1"/>
  <c r="T110" i="18"/>
  <c r="R110" i="18" s="1"/>
  <c r="T128" i="18"/>
  <c r="R128" i="18" s="1"/>
  <c r="T125" i="18"/>
  <c r="R125" i="18" s="1"/>
  <c r="AC57" i="18"/>
  <c r="AE57" i="18"/>
  <c r="T106" i="18"/>
  <c r="R106" i="18" s="1"/>
  <c r="R105" i="18"/>
  <c r="T109" i="18"/>
  <c r="R109" i="18" s="1"/>
  <c r="T123" i="18"/>
  <c r="R123" i="18" s="1"/>
  <c r="AB134" i="18"/>
  <c r="AC134" i="18" s="1"/>
  <c r="AE134" i="18" s="1"/>
  <c r="T126" i="18"/>
  <c r="R126" i="18" s="1"/>
  <c r="T124" i="18"/>
  <c r="R124" i="18" s="1"/>
  <c r="R102" i="18"/>
  <c r="P146" i="18" s="1"/>
  <c r="AC133" i="18"/>
  <c r="AE133" i="18" s="1"/>
  <c r="AC132" i="18"/>
  <c r="AE132" i="18" s="1"/>
  <c r="R104" i="18"/>
  <c r="N39" i="11"/>
  <c r="O38" i="11"/>
  <c r="I18" i="8"/>
  <c r="P144" i="18" l="1"/>
  <c r="M144" i="18"/>
  <c r="P143" i="18"/>
  <c r="M143" i="18"/>
  <c r="AC91" i="18"/>
  <c r="AC90" i="18"/>
  <c r="N40" i="1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<sst xmlns="http://schemas.openxmlformats.org/spreadsheetml/2006/main" count="512" uniqueCount="359">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</sst>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78368"/>
        <c:axId val="100779904"/>
      </c:lineChart>
      <c:catAx>
        <c:axId val="100778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00779904"/>
        <c:crosses val="autoZero"/>
        <c:auto val="1"/>
        <c:lblAlgn val="ctr"/>
        <c:lblOffset val="100"/>
        <c:noMultiLvlLbl val="0"/>
      </c:catAx>
      <c:valAx>
        <c:axId val="10077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7783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321</v>
      </c>
      <c r="C9" s="153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64"/>
  <sheetViews>
    <sheetView tabSelected="1" zoomScale="80" zoomScaleNormal="80" workbookViewId="0">
      <pane xSplit="2" ySplit="3" topLeftCell="C106" activePane="bottomRight" state="frozen"/>
      <selection pane="topRight" activeCell="C1" sqref="C1"/>
      <selection pane="bottomLeft" activeCell="A5" sqref="A5"/>
      <selection pane="bottomRight" activeCell="P132" sqref="P132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0.12</v>
      </c>
      <c r="F1" s="104" t="s">
        <v>252</v>
      </c>
      <c r="H1" s="126">
        <v>2004</v>
      </c>
      <c r="J1" s="104" t="s">
        <v>331</v>
      </c>
      <c r="L1" s="165">
        <v>0.08</v>
      </c>
    </row>
    <row r="2" spans="2:31" x14ac:dyDescent="0.2">
      <c r="B2" s="154" t="s">
        <v>317</v>
      </c>
      <c r="C2" s="120"/>
      <c r="F2" s="104" t="s">
        <v>253</v>
      </c>
      <c r="H2" s="126">
        <v>2013</v>
      </c>
      <c r="J2" s="104" t="s">
        <v>332</v>
      </c>
      <c r="L2" s="165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8" t="s">
        <v>292</v>
      </c>
      <c r="AE2" s="179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0" t="s">
        <v>293</v>
      </c>
      <c r="AE3" s="181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/>
      <c r="G6" s="175">
        <v>6204</v>
      </c>
      <c r="H6" s="175">
        <v>7597</v>
      </c>
      <c r="I6" s="175">
        <v>8688</v>
      </c>
      <c r="J6" s="175">
        <v>10118</v>
      </c>
      <c r="K6" s="175">
        <v>11822</v>
      </c>
      <c r="L6" s="175">
        <v>13570</v>
      </c>
      <c r="M6" s="175">
        <v>14000</v>
      </c>
      <c r="N6" s="175">
        <v>15567</v>
      </c>
      <c r="O6" s="175">
        <v>18676.740000000002</v>
      </c>
      <c r="P6" s="175">
        <v>22367</v>
      </c>
      <c r="Q6" s="118">
        <f>((P6/G6)^(1/($H$2-$H$1) ))-1</f>
        <v>0.15313929612147792</v>
      </c>
      <c r="R6" s="31">
        <f>$L$2</f>
        <v>0.15</v>
      </c>
      <c r="S6" s="155">
        <f>P6*(1+$R6)</f>
        <v>25722.05</v>
      </c>
      <c r="T6" s="155">
        <f>S6*(1+$R6)</f>
        <v>29580.357499999998</v>
      </c>
      <c r="U6" s="155">
        <f t="shared" ref="U6:AB6" si="0">T6*(1+$R6)</f>
        <v>34017.411124999999</v>
      </c>
      <c r="V6" s="155">
        <f t="shared" si="0"/>
        <v>39120.022793749995</v>
      </c>
      <c r="W6" s="155">
        <f t="shared" si="0"/>
        <v>44988.026212812489</v>
      </c>
      <c r="X6" s="155">
        <f t="shared" si="0"/>
        <v>51736.230144734356</v>
      </c>
      <c r="Y6" s="155">
        <f t="shared" si="0"/>
        <v>59496.664666444507</v>
      </c>
      <c r="Z6" s="155">
        <f t="shared" si="0"/>
        <v>68421.164366411176</v>
      </c>
      <c r="AA6" s="155">
        <f t="shared" si="0"/>
        <v>78684.339021372842</v>
      </c>
      <c r="AB6" s="155">
        <f t="shared" si="0"/>
        <v>90486.989874578765</v>
      </c>
      <c r="AC6" s="138">
        <f>((AB6/G6)^(1/($AB$3-$H$1) ))-1</f>
        <v>0.15148596823812399</v>
      </c>
      <c r="AD6" s="31">
        <f>$L$1</f>
        <v>0.08</v>
      </c>
      <c r="AE6" s="146">
        <f t="shared" ref="AE6:AE40" si="1">(AB6*(1+AD6))/($C$1-AD6)</f>
        <v>2443148.7266136273</v>
      </c>
    </row>
    <row r="7" spans="2:31" x14ac:dyDescent="0.2">
      <c r="B7" s="20" t="s">
        <v>240</v>
      </c>
      <c r="C7" s="141"/>
      <c r="D7" s="141"/>
      <c r="E7" s="147"/>
      <c r="F7" s="147"/>
      <c r="G7" s="175">
        <v>6452</v>
      </c>
      <c r="H7" s="175">
        <v>7912</v>
      </c>
      <c r="I7" s="175">
        <v>9199</v>
      </c>
      <c r="J7" s="175">
        <v>10629</v>
      </c>
      <c r="K7" s="175">
        <v>11260</v>
      </c>
      <c r="L7" s="175">
        <v>14000</v>
      </c>
      <c r="M7" s="175">
        <v>14440</v>
      </c>
      <c r="N7" s="175">
        <v>16440</v>
      </c>
      <c r="O7" s="175">
        <v>19458</v>
      </c>
      <c r="P7" s="175">
        <v>23157</v>
      </c>
      <c r="Q7" s="118">
        <f>((P7/G7)^(1/($H$2-$H$1) ))-1</f>
        <v>0.15256473228445055</v>
      </c>
      <c r="R7" s="31">
        <f>$L$2</f>
        <v>0.15</v>
      </c>
      <c r="S7" s="155">
        <f t="shared" ref="S7:S15" si="2">P7*(1+$R7)</f>
        <v>26630.55</v>
      </c>
      <c r="T7" s="155">
        <f t="shared" ref="T7:AB7" si="3">S7*(1+$R7)</f>
        <v>30625.132499999996</v>
      </c>
      <c r="U7" s="155">
        <f t="shared" si="3"/>
        <v>35218.902374999991</v>
      </c>
      <c r="V7" s="155">
        <f t="shared" si="3"/>
        <v>40501.737731249988</v>
      </c>
      <c r="W7" s="155">
        <f t="shared" si="3"/>
        <v>46576.998390937486</v>
      </c>
      <c r="X7" s="155">
        <f t="shared" si="3"/>
        <v>53563.548149578106</v>
      </c>
      <c r="Y7" s="155">
        <f t="shared" si="3"/>
        <v>61598.080372014818</v>
      </c>
      <c r="Z7" s="155">
        <f t="shared" si="3"/>
        <v>70837.792427817039</v>
      </c>
      <c r="AA7" s="155">
        <f t="shared" si="3"/>
        <v>81463.461291989588</v>
      </c>
      <c r="AB7" s="155">
        <f t="shared" si="3"/>
        <v>93682.980485788023</v>
      </c>
      <c r="AC7" s="138">
        <f>((AB7/G7)^(1/($AB$3-$H$1) ))-1</f>
        <v>0.15121416099193818</v>
      </c>
      <c r="AD7" s="31">
        <f>$L$1</f>
        <v>0.08</v>
      </c>
      <c r="AE7" s="146">
        <f t="shared" si="1"/>
        <v>2529440.4731162773</v>
      </c>
    </row>
    <row r="8" spans="2:31" x14ac:dyDescent="0.2">
      <c r="B8" s="20"/>
      <c r="C8" s="141"/>
      <c r="D8" s="141"/>
      <c r="E8" s="147"/>
      <c r="F8" s="147"/>
      <c r="G8" s="149">
        <f>(G7-F7)/G7</f>
        <v>1</v>
      </c>
      <c r="H8" s="152">
        <f>(H7-G7)/H7</f>
        <v>0.18452982810920121</v>
      </c>
      <c r="I8" s="152">
        <f t="shared" ref="I8:P8" si="4">(I7-H7)/I7</f>
        <v>0.13990651157734538</v>
      </c>
      <c r="J8" s="152">
        <f t="shared" si="4"/>
        <v>0.13453758585003292</v>
      </c>
      <c r="K8" s="152">
        <f t="shared" si="4"/>
        <v>5.6039076376554177E-2</v>
      </c>
      <c r="L8" s="152">
        <f t="shared" si="4"/>
        <v>0.1957142857142857</v>
      </c>
      <c r="M8" s="152">
        <f t="shared" si="4"/>
        <v>3.0470914127423823E-2</v>
      </c>
      <c r="N8" s="152">
        <f t="shared" si="4"/>
        <v>0.12165450121654502</v>
      </c>
      <c r="O8" s="152">
        <f t="shared" si="4"/>
        <v>0.15510329941412274</v>
      </c>
      <c r="P8" s="152">
        <f t="shared" si="4"/>
        <v>0.15973571706179557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75">
        <v>3079</v>
      </c>
      <c r="H9" s="175">
        <v>3673</v>
      </c>
      <c r="I9" s="175">
        <v>4170</v>
      </c>
      <c r="J9" s="175">
        <v>4713</v>
      </c>
      <c r="K9" s="175">
        <v>5422</v>
      </c>
      <c r="L9" s="175">
        <v>5786</v>
      </c>
      <c r="M9" s="175">
        <v>9094</v>
      </c>
      <c r="N9" s="175">
        <v>9614</v>
      </c>
      <c r="O9" s="175">
        <v>10356</v>
      </c>
      <c r="P9" s="175">
        <v>10525</v>
      </c>
      <c r="Q9" s="118">
        <f t="shared" ref="Q9:Q15" si="5">((P9/G9)^(1/($H$2-$H$1) ))-1</f>
        <v>0.14633747613699755</v>
      </c>
      <c r="R9" s="31">
        <f t="shared" ref="R9:R37" si="6">$L$2</f>
        <v>0.15</v>
      </c>
      <c r="S9" s="155">
        <f t="shared" ref="S9" si="7">P9*(1+$R9)</f>
        <v>12103.749999999998</v>
      </c>
      <c r="T9" s="155">
        <f t="shared" ref="T9" si="8">S9*(1+$R9)</f>
        <v>13919.312499999996</v>
      </c>
      <c r="U9" s="155">
        <f t="shared" ref="U9" si="9">T9*(1+$R9)</f>
        <v>16007.209374999995</v>
      </c>
      <c r="V9" s="155">
        <f t="shared" ref="V9" si="10">U9*(1+$R9)</f>
        <v>18408.290781249994</v>
      </c>
      <c r="W9" s="155">
        <f t="shared" ref="W9" si="11">V9*(1+$R9)</f>
        <v>21169.534398437492</v>
      </c>
      <c r="X9" s="155">
        <f t="shared" ref="X9" si="12">W9*(1+$R9)</f>
        <v>24344.964558203115</v>
      </c>
      <c r="Y9" s="155">
        <f t="shared" ref="Y9" si="13">X9*(1+$R9)</f>
        <v>27996.709241933582</v>
      </c>
      <c r="Z9" s="155">
        <f t="shared" ref="Z9" si="14">Y9*(1+$R9)</f>
        <v>32196.215628223617</v>
      </c>
      <c r="AA9" s="155">
        <f t="shared" ref="AA9" si="15">Z9*(1+$R9)</f>
        <v>37025.647972457155</v>
      </c>
      <c r="AB9" s="155">
        <f t="shared" ref="AB9" si="16">AA9*(1+$R9)</f>
        <v>42579.495168325724</v>
      </c>
      <c r="AC9" s="138">
        <f>((AB9/G9)^(1/($AB$3-$H$1) ))-1</f>
        <v>0.14826366390131462</v>
      </c>
      <c r="AD9" s="31">
        <f t="shared" ref="AD9:AD72" si="17">$L$1</f>
        <v>0.08</v>
      </c>
      <c r="AE9" s="146">
        <f t="shared" si="1"/>
        <v>1149646.3695447948</v>
      </c>
    </row>
    <row r="10" spans="2:31" x14ac:dyDescent="0.2">
      <c r="B10" s="20" t="s">
        <v>4</v>
      </c>
      <c r="C10" s="141"/>
      <c r="D10" s="141"/>
      <c r="E10" s="147"/>
      <c r="F10" s="147"/>
      <c r="G10" s="175">
        <v>151</v>
      </c>
      <c r="H10" s="175">
        <v>246</v>
      </c>
      <c r="I10" s="175">
        <v>146</v>
      </c>
      <c r="J10" s="175">
        <v>208</v>
      </c>
      <c r="K10" s="175">
        <v>224</v>
      </c>
      <c r="L10" s="175">
        <v>187</v>
      </c>
      <c r="M10" s="175">
        <v>110</v>
      </c>
      <c r="N10" s="175">
        <v>125</v>
      </c>
      <c r="O10" s="175">
        <v>81</v>
      </c>
      <c r="P10" s="175">
        <v>90</v>
      </c>
      <c r="Q10" s="118">
        <f t="shared" si="5"/>
        <v>-5.5874980000068519E-2</v>
      </c>
      <c r="R10" s="31">
        <f t="shared" si="6"/>
        <v>0.15</v>
      </c>
      <c r="S10" s="155">
        <f t="shared" si="2"/>
        <v>103.49999999999999</v>
      </c>
      <c r="T10" s="155">
        <f t="shared" ref="T10:AB10" si="18">S10*(1+$R10)</f>
        <v>119.02499999999998</v>
      </c>
      <c r="U10" s="155">
        <f t="shared" si="18"/>
        <v>136.87874999999997</v>
      </c>
      <c r="V10" s="155">
        <f t="shared" si="18"/>
        <v>157.41056249999994</v>
      </c>
      <c r="W10" s="155">
        <f t="shared" si="18"/>
        <v>181.02214687499992</v>
      </c>
      <c r="X10" s="155">
        <f t="shared" si="18"/>
        <v>208.1754689062499</v>
      </c>
      <c r="Y10" s="155">
        <f t="shared" si="18"/>
        <v>239.40178924218736</v>
      </c>
      <c r="Z10" s="155">
        <f t="shared" si="18"/>
        <v>275.31205762851545</v>
      </c>
      <c r="AA10" s="155">
        <f t="shared" si="18"/>
        <v>316.60886627279274</v>
      </c>
      <c r="AB10" s="155">
        <f t="shared" si="18"/>
        <v>364.10019621371163</v>
      </c>
      <c r="AC10" s="138">
        <f t="shared" ref="AC10:AC39" si="19">((AB10/G10)^(1/($AB$3-$H$1) ))-1</f>
        <v>4.7413346324030048E-2</v>
      </c>
      <c r="AD10" s="31">
        <f t="shared" si="17"/>
        <v>0.08</v>
      </c>
      <c r="AE10" s="146">
        <f t="shared" si="1"/>
        <v>9830.7052977702151</v>
      </c>
    </row>
    <row r="11" spans="2:31" x14ac:dyDescent="0.2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0.38617886178861788</v>
      </c>
      <c r="I11" s="148">
        <f t="shared" ref="I11" si="20">(I10-H10)/I10</f>
        <v>-0.68493150684931503</v>
      </c>
      <c r="J11" s="148">
        <f t="shared" ref="J11" si="21">(J10-I10)/J10</f>
        <v>0.29807692307692307</v>
      </c>
      <c r="K11" s="148">
        <f t="shared" ref="K11" si="22">(K10-J10)/K10</f>
        <v>7.1428571428571425E-2</v>
      </c>
      <c r="L11" s="148">
        <f t="shared" ref="L11" si="23">(L10-K10)/L10</f>
        <v>-0.19786096256684493</v>
      </c>
      <c r="M11" s="148">
        <f t="shared" ref="M11" si="24">(M10-L10)/M10</f>
        <v>-0.7</v>
      </c>
      <c r="N11" s="148">
        <f t="shared" ref="N11" si="25">(N10-M10)/N10</f>
        <v>0.12</v>
      </c>
      <c r="O11" s="148">
        <f t="shared" ref="O11" si="26">(O10-N10)/O10</f>
        <v>-0.54320987654320985</v>
      </c>
      <c r="P11" s="148">
        <f t="shared" ref="P11" si="27">(P10-O10)/P10</f>
        <v>0.1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 x14ac:dyDescent="0.2">
      <c r="B12" s="20" t="s">
        <v>2</v>
      </c>
      <c r="C12" s="141"/>
      <c r="D12" s="141"/>
      <c r="E12" s="147"/>
      <c r="F12" s="147"/>
      <c r="G12" s="175">
        <v>100</v>
      </c>
      <c r="H12" s="175">
        <v>76</v>
      </c>
      <c r="I12" s="175">
        <v>110</v>
      </c>
      <c r="J12" s="175">
        <v>196</v>
      </c>
      <c r="K12" s="175">
        <v>255</v>
      </c>
      <c r="L12" s="175">
        <v>288</v>
      </c>
      <c r="M12" s="175">
        <v>265</v>
      </c>
      <c r="N12" s="175">
        <v>197</v>
      </c>
      <c r="O12" s="175">
        <v>3130</v>
      </c>
      <c r="P12" s="175">
        <v>3828</v>
      </c>
      <c r="Q12" s="118">
        <f t="shared" si="5"/>
        <v>0.49929043348303859</v>
      </c>
      <c r="R12" s="31">
        <f t="shared" si="6"/>
        <v>0.15</v>
      </c>
      <c r="S12" s="155">
        <f t="shared" si="2"/>
        <v>4402.2</v>
      </c>
      <c r="T12" s="155">
        <f t="shared" ref="T12:AB12" si="28">S12*(1+$R12)</f>
        <v>5062.53</v>
      </c>
      <c r="U12" s="155">
        <f t="shared" si="28"/>
        <v>5821.9094999999988</v>
      </c>
      <c r="V12" s="155">
        <f t="shared" si="28"/>
        <v>6695.1959249999982</v>
      </c>
      <c r="W12" s="155">
        <f t="shared" si="28"/>
        <v>7699.4753137499974</v>
      </c>
      <c r="X12" s="155">
        <f t="shared" si="28"/>
        <v>8854.3966108124969</v>
      </c>
      <c r="Y12" s="155">
        <f t="shared" si="28"/>
        <v>10182.556102434371</v>
      </c>
      <c r="Z12" s="155">
        <f t="shared" si="28"/>
        <v>11709.939517799527</v>
      </c>
      <c r="AA12" s="155">
        <f t="shared" si="28"/>
        <v>13466.430445469454</v>
      </c>
      <c r="AB12" s="155">
        <f t="shared" si="28"/>
        <v>15486.395012289871</v>
      </c>
      <c r="AC12" s="138">
        <f t="shared" si="19"/>
        <v>0.30394881445787814</v>
      </c>
      <c r="AD12" s="31">
        <f t="shared" si="17"/>
        <v>0.08</v>
      </c>
      <c r="AE12" s="146">
        <f t="shared" si="1"/>
        <v>418132.66533182666</v>
      </c>
    </row>
    <row r="13" spans="2:31" x14ac:dyDescent="0.2">
      <c r="B13" s="20" t="s">
        <v>218</v>
      </c>
      <c r="C13" s="141"/>
      <c r="D13" s="141"/>
      <c r="E13" s="147"/>
      <c r="F13" s="147"/>
      <c r="G13" s="175">
        <v>2812</v>
      </c>
      <c r="H13" s="175">
        <v>3324</v>
      </c>
      <c r="I13" s="175">
        <v>2988</v>
      </c>
      <c r="J13" s="175">
        <v>2501</v>
      </c>
      <c r="K13" s="175">
        <v>2585</v>
      </c>
      <c r="L13" s="175">
        <v>2507</v>
      </c>
      <c r="M13" s="175">
        <v>4997</v>
      </c>
      <c r="N13" s="175">
        <v>4867</v>
      </c>
      <c r="O13" s="175">
        <v>5206</v>
      </c>
      <c r="P13" s="175">
        <v>814</v>
      </c>
      <c r="Q13" s="118">
        <f t="shared" si="5"/>
        <v>-0.12867778342785574</v>
      </c>
      <c r="R13" s="31">
        <f t="shared" si="6"/>
        <v>0.15</v>
      </c>
      <c r="S13" s="155">
        <f t="shared" si="2"/>
        <v>936.09999999999991</v>
      </c>
      <c r="T13" s="155">
        <f t="shared" ref="T13:AB13" si="29">S13*(1+$R13)</f>
        <v>1076.5149999999999</v>
      </c>
      <c r="U13" s="155">
        <f t="shared" si="29"/>
        <v>1237.9922499999998</v>
      </c>
      <c r="V13" s="155">
        <f t="shared" si="29"/>
        <v>1423.6910874999996</v>
      </c>
      <c r="W13" s="155">
        <f t="shared" si="29"/>
        <v>1637.2447506249994</v>
      </c>
      <c r="X13" s="155">
        <f t="shared" si="29"/>
        <v>1882.8314632187491</v>
      </c>
      <c r="Y13" s="155">
        <f t="shared" si="29"/>
        <v>2165.2561827015616</v>
      </c>
      <c r="Z13" s="155">
        <f t="shared" si="29"/>
        <v>2490.0446101067955</v>
      </c>
      <c r="AA13" s="155">
        <f t="shared" si="29"/>
        <v>2863.5513016228147</v>
      </c>
      <c r="AB13" s="155">
        <f t="shared" si="29"/>
        <v>3293.0839968662367</v>
      </c>
      <c r="AC13" s="138">
        <f t="shared" si="19"/>
        <v>8.3466690726887727E-3</v>
      </c>
      <c r="AD13" s="31">
        <f t="shared" si="17"/>
        <v>0.08</v>
      </c>
      <c r="AE13" s="146">
        <f t="shared" si="1"/>
        <v>88913.267915388409</v>
      </c>
    </row>
    <row r="14" spans="2:31" x14ac:dyDescent="0.2">
      <c r="B14" s="20" t="s">
        <v>19</v>
      </c>
      <c r="C14" s="141"/>
      <c r="D14" s="141"/>
      <c r="E14" s="147"/>
      <c r="F14" s="147"/>
      <c r="G14" s="175">
        <v>2109</v>
      </c>
      <c r="H14" s="175">
        <v>3213</v>
      </c>
      <c r="I14" s="175">
        <v>3834</v>
      </c>
      <c r="J14" s="175">
        <v>4843</v>
      </c>
      <c r="K14" s="175">
        <v>7192</v>
      </c>
      <c r="L14" s="175">
        <v>8489</v>
      </c>
      <c r="M14" s="175">
        <v>8983</v>
      </c>
      <c r="N14" s="175">
        <v>10947</v>
      </c>
      <c r="O14" s="175">
        <v>12469</v>
      </c>
      <c r="P14" s="175">
        <v>19065</v>
      </c>
      <c r="Q14" s="118">
        <f t="shared" si="5"/>
        <v>0.27714446501591095</v>
      </c>
      <c r="R14" s="31">
        <f t="shared" si="6"/>
        <v>0.15</v>
      </c>
      <c r="S14" s="155">
        <f t="shared" si="2"/>
        <v>21924.75</v>
      </c>
      <c r="T14" s="155">
        <f t="shared" ref="T14:AB14" si="30">S14*(1+$R14)</f>
        <v>25213.462499999998</v>
      </c>
      <c r="U14" s="155">
        <f t="shared" si="30"/>
        <v>28995.481874999994</v>
      </c>
      <c r="V14" s="155">
        <f t="shared" si="30"/>
        <v>33344.804156249993</v>
      </c>
      <c r="W14" s="155">
        <f t="shared" si="30"/>
        <v>38346.52477968749</v>
      </c>
      <c r="X14" s="155">
        <f t="shared" si="30"/>
        <v>44098.503496640609</v>
      </c>
      <c r="Y14" s="155">
        <f t="shared" si="30"/>
        <v>50713.279021136696</v>
      </c>
      <c r="Z14" s="155">
        <f t="shared" si="30"/>
        <v>58320.270874307193</v>
      </c>
      <c r="AA14" s="155">
        <f t="shared" si="30"/>
        <v>67068.311505453268</v>
      </c>
      <c r="AB14" s="155">
        <f t="shared" si="30"/>
        <v>77128.55823127125</v>
      </c>
      <c r="AC14" s="138">
        <f t="shared" si="19"/>
        <v>0.20856622847320216</v>
      </c>
      <c r="AD14" s="31">
        <f t="shared" si="17"/>
        <v>0.08</v>
      </c>
      <c r="AE14" s="146">
        <f t="shared" si="1"/>
        <v>2082471.0722443243</v>
      </c>
    </row>
    <row r="15" spans="2:31" x14ac:dyDescent="0.2">
      <c r="B15" s="20" t="s">
        <v>23</v>
      </c>
      <c r="C15" s="141"/>
      <c r="D15" s="141"/>
      <c r="E15" s="147"/>
      <c r="F15" s="147"/>
      <c r="G15" s="175">
        <v>558</v>
      </c>
      <c r="H15" s="175">
        <v>431</v>
      </c>
      <c r="I15" s="175">
        <v>1511</v>
      </c>
      <c r="J15" s="175">
        <v>2193</v>
      </c>
      <c r="K15" s="175">
        <v>1770</v>
      </c>
      <c r="L15" s="175">
        <v>2703</v>
      </c>
      <c r="M15" s="175">
        <v>-111</v>
      </c>
      <c r="N15" s="175">
        <v>1332</v>
      </c>
      <c r="O15" s="175">
        <v>2112</v>
      </c>
      <c r="P15" s="175">
        <v>9065</v>
      </c>
      <c r="Q15" s="118">
        <f t="shared" si="5"/>
        <v>0.36309447225535951</v>
      </c>
      <c r="R15" s="31">
        <f t="shared" si="6"/>
        <v>0.15</v>
      </c>
      <c r="S15" s="155">
        <f t="shared" si="2"/>
        <v>10424.75</v>
      </c>
      <c r="T15" s="155">
        <f t="shared" ref="T15:AB15" si="31">S15*(1+$R15)</f>
        <v>11988.4625</v>
      </c>
      <c r="U15" s="155">
        <f t="shared" si="31"/>
        <v>13786.731874999998</v>
      </c>
      <c r="V15" s="155">
        <f t="shared" si="31"/>
        <v>15854.741656249997</v>
      </c>
      <c r="W15" s="155">
        <f t="shared" si="31"/>
        <v>18232.952904687496</v>
      </c>
      <c r="X15" s="155">
        <f t="shared" si="31"/>
        <v>20967.895840390618</v>
      </c>
      <c r="Y15" s="155">
        <f t="shared" si="31"/>
        <v>24113.080216449209</v>
      </c>
      <c r="Z15" s="155">
        <f t="shared" si="31"/>
        <v>27730.042248916587</v>
      </c>
      <c r="AA15" s="155">
        <f t="shared" si="31"/>
        <v>31889.548586254074</v>
      </c>
      <c r="AB15" s="155">
        <f t="shared" si="31"/>
        <v>36672.980874192181</v>
      </c>
      <c r="AC15" s="138">
        <f t="shared" si="19"/>
        <v>0.24643332905084114</v>
      </c>
      <c r="AD15" s="31">
        <f t="shared" si="17"/>
        <v>0.08</v>
      </c>
      <c r="AE15" s="146">
        <f t="shared" si="1"/>
        <v>990170.48360318912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 x14ac:dyDescent="0.2">
      <c r="B17" s="20" t="s">
        <v>278</v>
      </c>
      <c r="C17" s="141"/>
      <c r="D17" s="141"/>
      <c r="E17" s="147"/>
      <c r="F17" s="147"/>
      <c r="G17" s="175">
        <v>3667</v>
      </c>
      <c r="H17" s="175">
        <v>4159</v>
      </c>
      <c r="I17" s="175">
        <v>4481</v>
      </c>
      <c r="J17" s="175">
        <v>5064</v>
      </c>
      <c r="K17" s="175">
        <v>6627</v>
      </c>
      <c r="L17" s="175">
        <v>7845</v>
      </c>
      <c r="M17" s="175">
        <v>8756</v>
      </c>
      <c r="N17" s="175">
        <v>9085</v>
      </c>
      <c r="O17" s="175">
        <v>10015</v>
      </c>
      <c r="P17" s="175">
        <v>13385</v>
      </c>
      <c r="Q17" s="118">
        <f>((P17/G17)^(1/($H$2-$H$1) ))-1</f>
        <v>0.15472510320736377</v>
      </c>
      <c r="R17" s="31">
        <f t="shared" si="6"/>
        <v>0.15</v>
      </c>
      <c r="S17" s="155">
        <f t="shared" ref="S17:S33" si="32">P17*(1+$R17)</f>
        <v>15392.749999999998</v>
      </c>
      <c r="T17" s="155">
        <f t="shared" ref="T17:T33" si="33">S17*(1+$R17)</f>
        <v>17701.662499999995</v>
      </c>
      <c r="U17" s="155">
        <f t="shared" ref="U17:U33" si="34">T17*(1+$R17)</f>
        <v>20356.911874999994</v>
      </c>
      <c r="V17" s="155">
        <f t="shared" ref="V17:V33" si="35">U17*(1+$R17)</f>
        <v>23410.448656249991</v>
      </c>
      <c r="W17" s="155">
        <f t="shared" ref="W17:W35" si="36">V17*(1+$R17)</f>
        <v>26922.015954687489</v>
      </c>
      <c r="X17" s="155">
        <f t="shared" ref="X17:X35" si="37">W17*(1+$R17)</f>
        <v>30960.31834789061</v>
      </c>
      <c r="Y17" s="155">
        <f t="shared" ref="Y17:Y35" si="38">X17*(1+$R17)</f>
        <v>35604.366100074199</v>
      </c>
      <c r="Z17" s="155">
        <f t="shared" ref="Z17:Z35" si="39">Y17*(1+$R17)</f>
        <v>40945.021015085324</v>
      </c>
      <c r="AA17" s="155">
        <f t="shared" ref="AA17:AA35" si="40">Z17*(1+$R17)</f>
        <v>47086.774167348121</v>
      </c>
      <c r="AB17" s="155">
        <f t="shared" ref="AB17:AB35" si="41">AA17*(1+$R17)</f>
        <v>54149.790292450336</v>
      </c>
      <c r="AC17" s="138">
        <f t="shared" si="19"/>
        <v>0.15223579174643542</v>
      </c>
      <c r="AD17" s="31">
        <f t="shared" si="17"/>
        <v>0.08</v>
      </c>
      <c r="AE17" s="146">
        <f t="shared" si="1"/>
        <v>1462044.3378961594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 x14ac:dyDescent="0.2">
      <c r="B19" s="20" t="s">
        <v>284</v>
      </c>
      <c r="C19" s="141"/>
      <c r="D19" s="141"/>
      <c r="E19" s="147"/>
      <c r="F19" s="147"/>
      <c r="G19" s="147">
        <v>1893</v>
      </c>
      <c r="H19" s="147">
        <v>1851</v>
      </c>
      <c r="I19" s="147">
        <v>1929</v>
      </c>
      <c r="J19" s="147">
        <v>2141</v>
      </c>
      <c r="K19" s="147">
        <v>2722</v>
      </c>
      <c r="L19" s="147">
        <v>3279</v>
      </c>
      <c r="M19" s="147">
        <v>4630</v>
      </c>
      <c r="N19" s="147">
        <v>5264</v>
      </c>
      <c r="O19" s="147">
        <v>6015</v>
      </c>
      <c r="P19" s="147">
        <v>6709</v>
      </c>
      <c r="Q19" s="118">
        <f>((P19/G19)^(1/($H$2-$H$1) ))-1</f>
        <v>0.15094972397239337</v>
      </c>
      <c r="R19" s="31">
        <f t="shared" si="6"/>
        <v>0.15</v>
      </c>
      <c r="S19" s="155">
        <f t="shared" ref="S19:S21" si="42">P19*(1+$R19)</f>
        <v>7715.3499999999995</v>
      </c>
      <c r="T19" s="155">
        <f t="shared" ref="T19:T21" si="43">S19*(1+$R19)</f>
        <v>8872.6524999999983</v>
      </c>
      <c r="U19" s="155">
        <f t="shared" ref="U19:U21" si="44">T19*(1+$R19)</f>
        <v>10203.550374999997</v>
      </c>
      <c r="V19" s="155">
        <f t="shared" ref="V19:V21" si="45">U19*(1+$R19)</f>
        <v>11734.082931249995</v>
      </c>
      <c r="W19" s="155">
        <f t="shared" ref="W19:W21" si="46">V19*(1+$R19)</f>
        <v>13494.195370937494</v>
      </c>
      <c r="X19" s="155">
        <f t="shared" ref="X19:X21" si="47">W19*(1+$R19)</f>
        <v>15518.324676578117</v>
      </c>
      <c r="Y19" s="155">
        <f t="shared" ref="Y19:Y21" si="48">X19*(1+$R19)</f>
        <v>17846.073378064833</v>
      </c>
      <c r="Z19" s="155">
        <f t="shared" ref="Z19:Z21" si="49">Y19*(1+$R19)</f>
        <v>20522.984384774558</v>
      </c>
      <c r="AA19" s="155">
        <f t="shared" ref="AA19:AA21" si="50">Z19*(1+$R19)</f>
        <v>23601.432042490738</v>
      </c>
      <c r="AB19" s="155">
        <f t="shared" ref="AB19:AB21" si="51">AA19*(1+$R19)</f>
        <v>27141.646848864348</v>
      </c>
      <c r="AC19" s="138">
        <f t="shared" ref="AC19:AC21" si="52">((AB19/G19)^(1/($AB$3-$H$1) ))-1</f>
        <v>0.15044977152189176</v>
      </c>
      <c r="AD19" s="31">
        <f t="shared" si="17"/>
        <v>0.08</v>
      </c>
      <c r="AE19" s="146">
        <f t="shared" si="1"/>
        <v>732824.46491933754</v>
      </c>
    </row>
    <row r="20" spans="2:31" x14ac:dyDescent="0.2">
      <c r="B20" s="20" t="s">
        <v>285</v>
      </c>
      <c r="C20" s="141"/>
      <c r="D20" s="141"/>
      <c r="E20" s="147"/>
      <c r="F20" s="147"/>
      <c r="G20" s="147">
        <v>-1791</v>
      </c>
      <c r="H20" s="147">
        <v>-1438</v>
      </c>
      <c r="I20" s="147">
        <v>-175</v>
      </c>
      <c r="J20" s="147">
        <v>-1082</v>
      </c>
      <c r="K20" s="147">
        <v>-1736</v>
      </c>
      <c r="L20" s="147">
        <v>-1260</v>
      </c>
      <c r="M20" s="147">
        <v>-3531</v>
      </c>
      <c r="N20" s="147">
        <v>-616</v>
      </c>
      <c r="O20" s="147">
        <v>-2210</v>
      </c>
      <c r="P20" s="147">
        <v>-3580</v>
      </c>
      <c r="Q20" s="118">
        <f>((P20/G20)^(1/($H$2-$H$1) ))-1</f>
        <v>7.9992716877622883E-2</v>
      </c>
      <c r="R20" s="31">
        <f t="shared" si="6"/>
        <v>0.15</v>
      </c>
      <c r="S20" s="155">
        <f t="shared" si="42"/>
        <v>-4117</v>
      </c>
      <c r="T20" s="155">
        <f t="shared" si="43"/>
        <v>-4734.5499999999993</v>
      </c>
      <c r="U20" s="155">
        <f t="shared" si="44"/>
        <v>-5444.7324999999992</v>
      </c>
      <c r="V20" s="155">
        <f t="shared" si="45"/>
        <v>-6261.4423749999987</v>
      </c>
      <c r="W20" s="155">
        <f t="shared" si="46"/>
        <v>-7200.6587312499978</v>
      </c>
      <c r="X20" s="155">
        <f t="shared" si="47"/>
        <v>-8280.7575409374967</v>
      </c>
      <c r="Y20" s="155">
        <f t="shared" si="48"/>
        <v>-9522.8711720781212</v>
      </c>
      <c r="Z20" s="155">
        <f t="shared" si="49"/>
        <v>-10951.301847889839</v>
      </c>
      <c r="AA20" s="155">
        <f t="shared" si="50"/>
        <v>-12593.997125073314</v>
      </c>
      <c r="AB20" s="155">
        <f t="shared" si="51"/>
        <v>-14483.09669383431</v>
      </c>
      <c r="AC20" s="138">
        <f t="shared" si="52"/>
        <v>0.11629029677205382</v>
      </c>
      <c r="AD20" s="31">
        <f t="shared" si="17"/>
        <v>0.08</v>
      </c>
      <c r="AE20" s="146">
        <f t="shared" si="1"/>
        <v>-391043.61073352647</v>
      </c>
    </row>
    <row r="21" spans="2:31" x14ac:dyDescent="0.2">
      <c r="B21" s="20" t="s">
        <v>286</v>
      </c>
      <c r="C21" s="141"/>
      <c r="D21" s="141"/>
      <c r="E21" s="147"/>
      <c r="F21" s="147"/>
      <c r="G21" s="147">
        <v>-447</v>
      </c>
      <c r="H21" s="147">
        <v>-417</v>
      </c>
      <c r="I21" s="147">
        <v>-954</v>
      </c>
      <c r="J21" s="147">
        <v>-1014</v>
      </c>
      <c r="K21" s="147">
        <v>-1316</v>
      </c>
      <c r="L21" s="147">
        <v>-1556</v>
      </c>
      <c r="M21" s="147">
        <v>-1009</v>
      </c>
      <c r="N21" s="147">
        <v>-3551</v>
      </c>
      <c r="O21" s="147">
        <v>-3246</v>
      </c>
      <c r="P21" s="147">
        <v>-3232</v>
      </c>
      <c r="Q21" s="118">
        <f>((P21/G21)^(1/($H$2-$H$1) ))-1</f>
        <v>0.24584108169176133</v>
      </c>
      <c r="R21" s="31">
        <f t="shared" si="6"/>
        <v>0.15</v>
      </c>
      <c r="S21" s="155">
        <f t="shared" si="42"/>
        <v>-3716.7999999999997</v>
      </c>
      <c r="T21" s="155">
        <f t="shared" si="43"/>
        <v>-4274.32</v>
      </c>
      <c r="U21" s="155">
        <f t="shared" si="44"/>
        <v>-4915.4679999999989</v>
      </c>
      <c r="V21" s="155">
        <f t="shared" si="45"/>
        <v>-5652.7881999999981</v>
      </c>
      <c r="W21" s="155">
        <f t="shared" si="46"/>
        <v>-6500.7064299999975</v>
      </c>
      <c r="X21" s="155">
        <f t="shared" si="47"/>
        <v>-7475.8123944999961</v>
      </c>
      <c r="Y21" s="155">
        <f t="shared" si="48"/>
        <v>-8597.1842536749955</v>
      </c>
      <c r="Z21" s="155">
        <f t="shared" si="49"/>
        <v>-9886.7618917262444</v>
      </c>
      <c r="AA21" s="155">
        <f t="shared" si="50"/>
        <v>-11369.77617548518</v>
      </c>
      <c r="AB21" s="155">
        <f t="shared" si="51"/>
        <v>-13075.242601807955</v>
      </c>
      <c r="AC21" s="138">
        <f t="shared" si="52"/>
        <v>0.19444286534387789</v>
      </c>
      <c r="AD21" s="31">
        <f t="shared" si="17"/>
        <v>0.08</v>
      </c>
      <c r="AE21" s="146">
        <f t="shared" si="1"/>
        <v>-353031.55024881486</v>
      </c>
    </row>
    <row r="22" spans="2:31" x14ac:dyDescent="0.2">
      <c r="B22" s="20" t="s">
        <v>296</v>
      </c>
      <c r="C22" s="141"/>
      <c r="D22" s="141"/>
      <c r="E22" s="147"/>
      <c r="F22" s="147"/>
      <c r="G22" s="147">
        <v>34</v>
      </c>
      <c r="H22" s="147">
        <v>56</v>
      </c>
      <c r="I22" s="147">
        <v>855</v>
      </c>
      <c r="J22" s="147">
        <v>900</v>
      </c>
      <c r="K22" s="147">
        <v>570</v>
      </c>
      <c r="L22" s="147">
        <v>1032</v>
      </c>
      <c r="M22" s="147">
        <v>1082</v>
      </c>
      <c r="N22" s="147">
        <v>2179</v>
      </c>
      <c r="O22" s="147">
        <v>2737</v>
      </c>
      <c r="P22" s="147">
        <v>156</v>
      </c>
      <c r="Q22" s="118">
        <f>((P22/G22)^(1/($H$2-$H$1) ))-1</f>
        <v>0.18444851236271242</v>
      </c>
      <c r="R22" s="31">
        <f t="shared" si="6"/>
        <v>0.15</v>
      </c>
      <c r="S22" s="155">
        <f t="shared" ref="S22" si="53">P22*(1+$R22)</f>
        <v>179.39999999999998</v>
      </c>
      <c r="T22" s="155">
        <f t="shared" ref="T22" si="54">S22*(1+$R22)</f>
        <v>206.30999999999995</v>
      </c>
      <c r="U22" s="155">
        <f t="shared" ref="U22" si="55">T22*(1+$R22)</f>
        <v>237.25649999999993</v>
      </c>
      <c r="V22" s="155">
        <f t="shared" ref="V22" si="56">U22*(1+$R22)</f>
        <v>272.84497499999992</v>
      </c>
      <c r="W22" s="155">
        <f t="shared" ref="W22" si="57">V22*(1+$R22)</f>
        <v>313.77172124999987</v>
      </c>
      <c r="X22" s="155">
        <f t="shared" ref="X22" si="58">W22*(1+$R22)</f>
        <v>360.83747943749984</v>
      </c>
      <c r="Y22" s="155">
        <f t="shared" ref="Y22" si="59">X22*(1+$R22)</f>
        <v>414.96310135312478</v>
      </c>
      <c r="Z22" s="155">
        <f t="shared" ref="Z22" si="60">Y22*(1+$R22)</f>
        <v>477.20756655609347</v>
      </c>
      <c r="AA22" s="155">
        <f t="shared" ref="AA22" si="61">Z22*(1+$R22)</f>
        <v>548.78870153950743</v>
      </c>
      <c r="AB22" s="155">
        <f t="shared" ref="AB22" si="62">AA22*(1+$R22)</f>
        <v>631.10700677043349</v>
      </c>
      <c r="AC22" s="138">
        <f t="shared" ref="AC22" si="63">((AB22/G22)^(1/($AB$3-$H$1) ))-1</f>
        <v>0.16619100863711234</v>
      </c>
      <c r="AD22" s="31">
        <f t="shared" si="17"/>
        <v>0.08</v>
      </c>
      <c r="AE22" s="146">
        <f t="shared" si="1"/>
        <v>17039.889182801708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 x14ac:dyDescent="0.2">
      <c r="B24" s="20" t="s">
        <v>89</v>
      </c>
      <c r="C24" s="141"/>
      <c r="D24" s="141"/>
      <c r="E24" s="147"/>
      <c r="F24" s="147"/>
      <c r="G24" s="176">
        <v>7382</v>
      </c>
      <c r="H24" s="176">
        <v>8708</v>
      </c>
      <c r="I24" s="176">
        <v>10614</v>
      </c>
      <c r="J24" s="143">
        <v>13354</v>
      </c>
      <c r="K24" s="143">
        <v>15320</v>
      </c>
      <c r="L24" s="177">
        <v>16950</v>
      </c>
      <c r="M24" s="177">
        <v>19650</v>
      </c>
      <c r="N24" s="177">
        <v>23284</v>
      </c>
      <c r="O24" s="177">
        <v>27422</v>
      </c>
      <c r="P24" s="177">
        <v>31627</v>
      </c>
      <c r="Q24" s="118">
        <f>((P24/G24)^(1/($H$2-$H$1) ))-1</f>
        <v>0.17546398852986722</v>
      </c>
      <c r="R24" s="31">
        <f t="shared" si="6"/>
        <v>0.15</v>
      </c>
      <c r="S24" s="155">
        <f t="shared" si="32"/>
        <v>36371.049999999996</v>
      </c>
      <c r="T24" s="155">
        <f t="shared" si="33"/>
        <v>41826.70749999999</v>
      </c>
      <c r="U24" s="155">
        <f t="shared" si="34"/>
        <v>48100.713624999982</v>
      </c>
      <c r="V24" s="155">
        <f t="shared" si="35"/>
        <v>55315.820668749977</v>
      </c>
      <c r="W24" s="155">
        <f t="shared" si="36"/>
        <v>63613.193769062469</v>
      </c>
      <c r="X24" s="155">
        <f t="shared" si="37"/>
        <v>73155.172834421828</v>
      </c>
      <c r="Y24" s="155">
        <f t="shared" si="38"/>
        <v>84128.448759585095</v>
      </c>
      <c r="Z24" s="155">
        <f t="shared" si="39"/>
        <v>96747.716073522854</v>
      </c>
      <c r="AA24" s="155">
        <f t="shared" si="40"/>
        <v>111259.87348455127</v>
      </c>
      <c r="AB24" s="155">
        <f t="shared" si="41"/>
        <v>127948.85450723395</v>
      </c>
      <c r="AC24" s="138">
        <f t="shared" si="19"/>
        <v>0.16199238556945184</v>
      </c>
      <c r="AD24" s="31">
        <f t="shared" si="17"/>
        <v>0.08</v>
      </c>
      <c r="AE24" s="146">
        <f t="shared" si="1"/>
        <v>3454619.0716953175</v>
      </c>
    </row>
    <row r="25" spans="2:31" s="123" customFormat="1" x14ac:dyDescent="0.2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0.15227377124483235</v>
      </c>
      <c r="I25" s="149">
        <f t="shared" ref="I25" si="64">(I24-H24)/I24</f>
        <v>0.17957414735255323</v>
      </c>
      <c r="J25" s="149">
        <f t="shared" ref="J25" si="65">(J24-I24)/J24</f>
        <v>0.205181967949678</v>
      </c>
      <c r="K25" s="149">
        <f t="shared" ref="K25" si="66">(K24-J24)/K24</f>
        <v>0.12832898172323759</v>
      </c>
      <c r="L25" s="149">
        <f t="shared" ref="L25" si="67">(L24-K24)/L24</f>
        <v>9.6165191740412978E-2</v>
      </c>
      <c r="M25" s="149">
        <f t="shared" ref="M25" si="68">(M24-L24)/M24</f>
        <v>0.13740458015267176</v>
      </c>
      <c r="N25" s="149">
        <f t="shared" ref="N25" si="69">(N24-M24)/N24</f>
        <v>0.15607283971826147</v>
      </c>
      <c r="O25" s="149">
        <f t="shared" ref="O25" si="70">(O24-N24)/O24</f>
        <v>0.15090073663481876</v>
      </c>
      <c r="P25" s="149">
        <f t="shared" ref="P25" si="71">(P24-O24)/P24</f>
        <v>0.13295601859170961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 x14ac:dyDescent="0.2">
      <c r="B26" s="20" t="s">
        <v>262</v>
      </c>
      <c r="C26" s="141"/>
      <c r="D26" s="141"/>
      <c r="E26" s="147"/>
      <c r="F26" s="147"/>
      <c r="G26" s="176">
        <v>4720</v>
      </c>
      <c r="H26" s="176">
        <v>5228</v>
      </c>
      <c r="I26" s="176">
        <v>6959</v>
      </c>
      <c r="J26" s="143">
        <v>8906</v>
      </c>
      <c r="K26" s="143">
        <v>10183</v>
      </c>
      <c r="L26" s="177">
        <v>11397</v>
      </c>
      <c r="M26" s="177">
        <v>12723</v>
      </c>
      <c r="N26" s="177">
        <v>15159</v>
      </c>
      <c r="O26" s="177">
        <v>17428</v>
      </c>
      <c r="P26" s="177">
        <v>21312</v>
      </c>
      <c r="Q26" s="118">
        <f>((P26/G26)^(1/($H$2-$H$1) ))-1</f>
        <v>0.18234023169701463</v>
      </c>
      <c r="R26" s="31">
        <f t="shared" si="6"/>
        <v>0.15</v>
      </c>
      <c r="S26" s="155">
        <f t="shared" si="32"/>
        <v>24508.799999999999</v>
      </c>
      <c r="T26" s="155">
        <f t="shared" si="33"/>
        <v>28185.119999999995</v>
      </c>
      <c r="U26" s="155">
        <f t="shared" si="34"/>
        <v>32412.887999999992</v>
      </c>
      <c r="V26" s="155">
        <f t="shared" si="35"/>
        <v>37274.821199999991</v>
      </c>
      <c r="W26" s="155">
        <f t="shared" si="36"/>
        <v>42866.044379999985</v>
      </c>
      <c r="X26" s="155">
        <f t="shared" si="37"/>
        <v>49295.951036999977</v>
      </c>
      <c r="Y26" s="155">
        <f t="shared" si="38"/>
        <v>56690.34369254997</v>
      </c>
      <c r="Z26" s="155">
        <f t="shared" si="39"/>
        <v>65193.895246432461</v>
      </c>
      <c r="AA26" s="155">
        <f t="shared" si="40"/>
        <v>74972.979533397331</v>
      </c>
      <c r="AB26" s="155">
        <f t="shared" si="41"/>
        <v>86218.926463406926</v>
      </c>
      <c r="AC26" s="138">
        <f t="shared" si="19"/>
        <v>0.16520728206602064</v>
      </c>
      <c r="AD26" s="31">
        <f t="shared" si="17"/>
        <v>0.08</v>
      </c>
      <c r="AE26" s="146">
        <f t="shared" si="1"/>
        <v>2327911.0145119876</v>
      </c>
    </row>
    <row r="27" spans="2:31" s="123" customFormat="1" x14ac:dyDescent="0.2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9.7169089517980103E-2</v>
      </c>
      <c r="I27" s="149">
        <f t="shared" si="72"/>
        <v>0.24874263543612588</v>
      </c>
      <c r="J27" s="149">
        <f t="shared" si="72"/>
        <v>0.21861666292387155</v>
      </c>
      <c r="K27" s="149">
        <f t="shared" si="72"/>
        <v>0.12540508690955515</v>
      </c>
      <c r="L27" s="149">
        <f t="shared" si="72"/>
        <v>0.10651925945424234</v>
      </c>
      <c r="M27" s="149">
        <f t="shared" si="72"/>
        <v>0.10422070266446593</v>
      </c>
      <c r="N27" s="149">
        <f t="shared" si="72"/>
        <v>0.16069661587175935</v>
      </c>
      <c r="O27" s="149">
        <f t="shared" si="72"/>
        <v>0.13019279320633464</v>
      </c>
      <c r="P27" s="149">
        <f t="shared" si="72"/>
        <v>0.18224474474474475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 x14ac:dyDescent="0.2">
      <c r="B28" s="20" t="s">
        <v>328</v>
      </c>
      <c r="C28" s="150"/>
      <c r="D28" s="150"/>
      <c r="E28" s="151"/>
      <c r="F28" s="147"/>
      <c r="G28" s="147">
        <v>0.01</v>
      </c>
      <c r="H28" s="147">
        <v>53</v>
      </c>
      <c r="I28" s="147">
        <v>23</v>
      </c>
      <c r="J28" s="147">
        <v>17</v>
      </c>
      <c r="K28" s="147">
        <v>27</v>
      </c>
      <c r="L28" s="147">
        <v>47.65</v>
      </c>
      <c r="M28" s="147">
        <v>90</v>
      </c>
      <c r="N28" s="147">
        <v>78</v>
      </c>
      <c r="O28" s="147">
        <v>87</v>
      </c>
      <c r="P28" s="147">
        <v>86</v>
      </c>
      <c r="Q28" s="118">
        <f>((P28/G28)^(1/($H$2-$H$1) ))-1</f>
        <v>1.7363175416828609</v>
      </c>
      <c r="R28" s="31">
        <f t="shared" si="6"/>
        <v>0.15</v>
      </c>
      <c r="S28" s="155">
        <f t="shared" ref="S28" si="73">P28*(1+$R28)</f>
        <v>98.899999999999991</v>
      </c>
      <c r="T28" s="155">
        <f t="shared" ref="T28" si="74">S28*(1+$R28)</f>
        <v>113.73499999999999</v>
      </c>
      <c r="U28" s="155">
        <f t="shared" ref="U28" si="75">T28*(1+$R28)</f>
        <v>130.79524999999998</v>
      </c>
      <c r="V28" s="155">
        <f t="shared" ref="V28" si="76">U28*(1+$R28)</f>
        <v>150.41453749999997</v>
      </c>
      <c r="W28" s="155">
        <f t="shared" ref="W28" si="77">V28*(1+$R28)</f>
        <v>172.97671812499993</v>
      </c>
      <c r="X28" s="155">
        <f t="shared" ref="X28" si="78">W28*(1+$R28)</f>
        <v>198.92322584374992</v>
      </c>
      <c r="Y28" s="155">
        <f t="shared" ref="Y28" si="79">X28*(1+$R28)</f>
        <v>228.76170972031238</v>
      </c>
      <c r="Z28" s="155">
        <f t="shared" ref="Z28" si="80">Y28*(1+$R28)</f>
        <v>263.07596617835924</v>
      </c>
      <c r="AA28" s="155">
        <f t="shared" ref="AA28" si="81">Z28*(1+$R28)</f>
        <v>302.53736110511312</v>
      </c>
      <c r="AB28" s="155">
        <f t="shared" ref="AB28" si="82">AA28*(1+$R28)</f>
        <v>347.91796527088007</v>
      </c>
      <c r="AC28" s="138">
        <f t="shared" ref="AC28" si="83">((AB28/G28)^(1/($AB$3-$H$1) ))-1</f>
        <v>0.7339041961518451</v>
      </c>
      <c r="AD28" s="31">
        <f t="shared" si="17"/>
        <v>0.08</v>
      </c>
      <c r="AE28" s="146">
        <f t="shared" ref="AE28" si="84">(AB28*(1+AD28))/($C$1-AD28)</f>
        <v>9393.7850623137638</v>
      </c>
    </row>
    <row r="29" spans="2:31" s="123" customFormat="1" x14ac:dyDescent="0.2">
      <c r="B29" s="23"/>
      <c r="C29" s="150"/>
      <c r="D29" s="150"/>
      <c r="E29" s="151"/>
      <c r="F29" s="151"/>
      <c r="G29" s="149">
        <f t="shared" ref="G29:P29" si="85">(G28-F28)/G28</f>
        <v>1</v>
      </c>
      <c r="H29" s="149">
        <f t="shared" si="85"/>
        <v>0.99981132075471701</v>
      </c>
      <c r="I29" s="149">
        <f t="shared" si="85"/>
        <v>-1.3043478260869565</v>
      </c>
      <c r="J29" s="149">
        <f t="shared" si="85"/>
        <v>-0.35294117647058826</v>
      </c>
      <c r="K29" s="149">
        <f t="shared" si="85"/>
        <v>0.37037037037037035</v>
      </c>
      <c r="L29" s="149">
        <f t="shared" si="85"/>
        <v>0.43336831059811121</v>
      </c>
      <c r="M29" s="149">
        <f t="shared" si="85"/>
        <v>0.47055555555555556</v>
      </c>
      <c r="N29" s="149">
        <f t="shared" si="85"/>
        <v>-0.15384615384615385</v>
      </c>
      <c r="O29" s="149">
        <f t="shared" si="85"/>
        <v>0.10344827586206896</v>
      </c>
      <c r="P29" s="149">
        <f t="shared" si="85"/>
        <v>-1.1627906976744186E-2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3"/>
      <c r="AD29" s="137"/>
      <c r="AE29" s="155"/>
    </row>
    <row r="30" spans="2:31" x14ac:dyDescent="0.2">
      <c r="B30" s="20" t="s">
        <v>336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0.15</v>
      </c>
      <c r="S30" s="155">
        <f>P30*(1+$R30)</f>
        <v>0</v>
      </c>
      <c r="T30" s="155">
        <f>S30*(1+$R30)</f>
        <v>0</v>
      </c>
      <c r="U30" s="155">
        <f t="shared" ref="U30:AB31" si="86">T30*(1+$R30)</f>
        <v>0</v>
      </c>
      <c r="V30" s="155">
        <f t="shared" si="86"/>
        <v>0</v>
      </c>
      <c r="W30" s="155">
        <f t="shared" si="86"/>
        <v>0</v>
      </c>
      <c r="X30" s="155">
        <f t="shared" si="86"/>
        <v>0</v>
      </c>
      <c r="Y30" s="155">
        <f t="shared" si="86"/>
        <v>0</v>
      </c>
      <c r="Z30" s="155">
        <f t="shared" si="86"/>
        <v>0</v>
      </c>
      <c r="AA30" s="155">
        <f t="shared" si="86"/>
        <v>0</v>
      </c>
      <c r="AB30" s="155">
        <f t="shared" si="86"/>
        <v>0</v>
      </c>
      <c r="AC30" s="138" t="e">
        <f t="shared" ref="AC30" si="87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 x14ac:dyDescent="0.2">
      <c r="B31" s="20" t="s">
        <v>335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5">
        <f>P31*(1+$R31)</f>
        <v>0</v>
      </c>
      <c r="T31" s="155">
        <f>S31*(1+$R31)</f>
        <v>0</v>
      </c>
      <c r="U31" s="155">
        <f t="shared" si="86"/>
        <v>0</v>
      </c>
      <c r="V31" s="155">
        <f t="shared" si="86"/>
        <v>0</v>
      </c>
      <c r="W31" s="155">
        <f t="shared" si="86"/>
        <v>0</v>
      </c>
      <c r="X31" s="155">
        <f t="shared" si="86"/>
        <v>0</v>
      </c>
      <c r="Y31" s="155">
        <f t="shared" si="86"/>
        <v>0</v>
      </c>
      <c r="Z31" s="155">
        <f t="shared" si="86"/>
        <v>0</v>
      </c>
      <c r="AA31" s="155">
        <f t="shared" si="86"/>
        <v>0</v>
      </c>
      <c r="AB31" s="155">
        <f t="shared" si="86"/>
        <v>0</v>
      </c>
      <c r="AC31" s="138" t="e">
        <f t="shared" ref="AC31" si="88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318</v>
      </c>
      <c r="C32" s="141"/>
      <c r="D32" s="141"/>
      <c r="E32" s="147"/>
      <c r="F32" s="147"/>
      <c r="G32" s="176">
        <v>2768</v>
      </c>
      <c r="H32" s="176">
        <v>2965</v>
      </c>
      <c r="I32" s="176">
        <v>4261</v>
      </c>
      <c r="J32" s="143">
        <v>5622</v>
      </c>
      <c r="K32" s="143">
        <v>6232</v>
      </c>
      <c r="L32" s="177">
        <v>6811</v>
      </c>
      <c r="M32" s="177">
        <v>7077</v>
      </c>
      <c r="N32" s="177">
        <v>8579</v>
      </c>
      <c r="O32" s="177">
        <v>9975</v>
      </c>
      <c r="P32" s="177">
        <v>12062</v>
      </c>
      <c r="Q32" s="118">
        <f>((P32/G32)^(1/($H$2-$H$1) ))-1</f>
        <v>0.1776822721479494</v>
      </c>
      <c r="R32" s="31">
        <f t="shared" si="6"/>
        <v>0.15</v>
      </c>
      <c r="S32" s="155">
        <f t="shared" si="32"/>
        <v>13871.3</v>
      </c>
      <c r="T32" s="155">
        <f t="shared" si="33"/>
        <v>15951.994999999997</v>
      </c>
      <c r="U32" s="155">
        <f t="shared" si="34"/>
        <v>18344.794249999995</v>
      </c>
      <c r="V32" s="155">
        <f t="shared" si="35"/>
        <v>21096.513387499992</v>
      </c>
      <c r="W32" s="155">
        <f t="shared" si="36"/>
        <v>24260.990395624987</v>
      </c>
      <c r="X32" s="155">
        <f t="shared" si="37"/>
        <v>27900.138954968734</v>
      </c>
      <c r="Y32" s="155">
        <f t="shared" si="38"/>
        <v>32085.159798214041</v>
      </c>
      <c r="Z32" s="155">
        <f t="shared" si="39"/>
        <v>36897.933767946146</v>
      </c>
      <c r="AA32" s="155">
        <f t="shared" si="40"/>
        <v>42432.623833138066</v>
      </c>
      <c r="AB32" s="155">
        <f t="shared" si="41"/>
        <v>48797.517408108775</v>
      </c>
      <c r="AC32" s="138">
        <f t="shared" si="19"/>
        <v>0.16303059365793482</v>
      </c>
      <c r="AD32" s="31">
        <f t="shared" si="17"/>
        <v>0.08</v>
      </c>
      <c r="AE32" s="146">
        <f t="shared" si="1"/>
        <v>1317532.9700189373</v>
      </c>
    </row>
    <row r="33" spans="2:31" x14ac:dyDescent="0.2">
      <c r="B33" s="20" t="s">
        <v>309</v>
      </c>
      <c r="C33" s="141"/>
      <c r="D33" s="141"/>
      <c r="E33" s="147"/>
      <c r="F33" s="147"/>
      <c r="G33" s="176">
        <v>534</v>
      </c>
      <c r="H33" s="176">
        <v>589</v>
      </c>
      <c r="I33" s="176">
        <v>720</v>
      </c>
      <c r="J33" s="143">
        <v>859</v>
      </c>
      <c r="K33" s="143">
        <v>1067</v>
      </c>
      <c r="L33" s="177">
        <v>1326</v>
      </c>
      <c r="M33" s="177">
        <v>1467</v>
      </c>
      <c r="N33" s="177">
        <v>1731</v>
      </c>
      <c r="O33" s="177">
        <v>1944</v>
      </c>
      <c r="P33" s="177">
        <v>2145</v>
      </c>
      <c r="Q33" s="118">
        <f>((P33/G33)^(1/($H$2-$H$1) ))-1</f>
        <v>0.16707414739730186</v>
      </c>
      <c r="R33" s="31">
        <f t="shared" si="6"/>
        <v>0.15</v>
      </c>
      <c r="S33" s="155">
        <f t="shared" si="32"/>
        <v>2466.75</v>
      </c>
      <c r="T33" s="155">
        <f t="shared" si="33"/>
        <v>2836.7624999999998</v>
      </c>
      <c r="U33" s="155">
        <f t="shared" si="34"/>
        <v>3262.2768749999996</v>
      </c>
      <c r="V33" s="155">
        <f t="shared" si="35"/>
        <v>3751.6184062499992</v>
      </c>
      <c r="W33" s="155">
        <f t="shared" si="36"/>
        <v>4314.3611671874987</v>
      </c>
      <c r="X33" s="155">
        <f t="shared" si="37"/>
        <v>4961.5153422656231</v>
      </c>
      <c r="Y33" s="155">
        <f t="shared" si="38"/>
        <v>5705.7426436054657</v>
      </c>
      <c r="Z33" s="155">
        <f t="shared" si="39"/>
        <v>6561.6040401462851</v>
      </c>
      <c r="AA33" s="155">
        <f t="shared" si="40"/>
        <v>7545.844646168227</v>
      </c>
      <c r="AB33" s="155">
        <f t="shared" si="41"/>
        <v>8677.7213430934607</v>
      </c>
      <c r="AC33" s="138">
        <f t="shared" si="19"/>
        <v>0.1580563906271697</v>
      </c>
      <c r="AD33" s="31">
        <f t="shared" si="17"/>
        <v>0.08</v>
      </c>
      <c r="AE33" s="146">
        <f t="shared" si="1"/>
        <v>234298.47626352348</v>
      </c>
    </row>
    <row r="34" spans="2:31" x14ac:dyDescent="0.2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39"/>
      <c r="AD34" s="137"/>
      <c r="AE34" s="155"/>
    </row>
    <row r="35" spans="2:31" x14ac:dyDescent="0.2">
      <c r="B35" s="20" t="s">
        <v>279</v>
      </c>
      <c r="C35" s="141"/>
      <c r="D35" s="141"/>
      <c r="E35" s="147"/>
      <c r="F35" s="147"/>
      <c r="G35" s="176">
        <v>2428</v>
      </c>
      <c r="H35" s="176">
        <v>2736</v>
      </c>
      <c r="I35" s="176">
        <v>3358</v>
      </c>
      <c r="J35" s="143">
        <v>4051</v>
      </c>
      <c r="K35" s="143">
        <v>4550</v>
      </c>
      <c r="L35" s="177">
        <v>5189</v>
      </c>
      <c r="M35" s="177">
        <v>6358</v>
      </c>
      <c r="N35" s="177">
        <v>7402</v>
      </c>
      <c r="O35" s="177">
        <v>9209</v>
      </c>
      <c r="P35" s="177">
        <v>11192</v>
      </c>
      <c r="Q35" s="118">
        <f>((P35/G35)^(1/($H$2-$H$1) ))-1</f>
        <v>0.18505877652042924</v>
      </c>
      <c r="R35" s="31">
        <f t="shared" si="6"/>
        <v>0.15</v>
      </c>
      <c r="S35" s="155">
        <f t="shared" ref="S35" si="89">P35*(1+$R35)</f>
        <v>12870.8</v>
      </c>
      <c r="T35" s="155">
        <f t="shared" ref="T35" si="90">S35*(1+$R35)</f>
        <v>14801.419999999998</v>
      </c>
      <c r="U35" s="155">
        <f t="shared" ref="U35" si="91">T35*(1+$R35)</f>
        <v>17021.632999999998</v>
      </c>
      <c r="V35" s="155">
        <f t="shared" ref="V35" si="92">U35*(1+$R35)</f>
        <v>19574.877949999995</v>
      </c>
      <c r="W35" s="155">
        <f t="shared" si="36"/>
        <v>22511.109642499992</v>
      </c>
      <c r="X35" s="155">
        <f t="shared" si="37"/>
        <v>25887.776088874991</v>
      </c>
      <c r="Y35" s="155">
        <f t="shared" si="38"/>
        <v>29770.942502206239</v>
      </c>
      <c r="Z35" s="155">
        <f t="shared" si="39"/>
        <v>34236.583877537174</v>
      </c>
      <c r="AA35" s="155">
        <f t="shared" si="40"/>
        <v>39372.071459167746</v>
      </c>
      <c r="AB35" s="155">
        <f t="shared" si="41"/>
        <v>45277.882178042906</v>
      </c>
      <c r="AC35" s="138">
        <f t="shared" si="19"/>
        <v>0.16647558668809181</v>
      </c>
      <c r="AD35" s="31">
        <f t="shared" si="17"/>
        <v>0.08</v>
      </c>
      <c r="AE35" s="146">
        <f t="shared" si="1"/>
        <v>1222502.8188071586</v>
      </c>
    </row>
    <row r="36" spans="2:31" s="123" customFormat="1" x14ac:dyDescent="0.2">
      <c r="B36" s="23"/>
      <c r="C36" s="150"/>
      <c r="D36" s="150"/>
      <c r="E36" s="151"/>
      <c r="F36" s="151"/>
      <c r="G36" s="149">
        <f>(G35-F35)/G35</f>
        <v>1</v>
      </c>
      <c r="H36" s="149">
        <f>(H35-G35)/H35</f>
        <v>0.11257309941520467</v>
      </c>
      <c r="I36" s="149">
        <f t="shared" ref="I36" si="93">(I35-H35)/I35</f>
        <v>0.18522930315664085</v>
      </c>
      <c r="J36" s="149">
        <f t="shared" ref="J36" si="94">(J35-I35)/J35</f>
        <v>0.17106887188348555</v>
      </c>
      <c r="K36" s="149">
        <f t="shared" ref="K36" si="95">(K35-J35)/K35</f>
        <v>0.10967032967032966</v>
      </c>
      <c r="L36" s="149">
        <f t="shared" ref="L36" si="96">(L35-K35)/L35</f>
        <v>0.12314511466563885</v>
      </c>
      <c r="M36" s="149">
        <f t="shared" ref="M36" si="97">(M35-L35)/M35</f>
        <v>0.18386284995281535</v>
      </c>
      <c r="N36" s="149">
        <f t="shared" ref="N36" si="98">(N35-M35)/N35</f>
        <v>0.14104296136179412</v>
      </c>
      <c r="O36" s="149">
        <f t="shared" ref="O36" si="99">(O35-N35)/O35</f>
        <v>0.19622108806602237</v>
      </c>
      <c r="P36" s="149">
        <f t="shared" ref="P36" si="100">(P35-O35)/P35</f>
        <v>0.17718012866333094</v>
      </c>
      <c r="Q36" s="128"/>
      <c r="R36" s="20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39"/>
      <c r="AD36" s="137"/>
      <c r="AE36" s="157"/>
    </row>
    <row r="37" spans="2:31" x14ac:dyDescent="0.2">
      <c r="B37" s="20" t="s">
        <v>257</v>
      </c>
      <c r="C37" s="141"/>
      <c r="D37" s="141"/>
      <c r="E37" s="147"/>
      <c r="F37" s="147"/>
      <c r="G37" s="176">
        <v>1638</v>
      </c>
      <c r="H37" s="176">
        <v>2258</v>
      </c>
      <c r="I37" s="176">
        <v>2307</v>
      </c>
      <c r="J37" s="143">
        <v>2773</v>
      </c>
      <c r="K37" s="143">
        <v>3178</v>
      </c>
      <c r="L37" s="177">
        <v>3359</v>
      </c>
      <c r="M37" s="177">
        <v>4210</v>
      </c>
      <c r="N37" s="177">
        <v>5069</v>
      </c>
      <c r="O37" s="177">
        <v>6322</v>
      </c>
      <c r="P37" s="177">
        <v>7693</v>
      </c>
      <c r="Q37" s="118">
        <f>((P37/G37)^(1/($H$2-$H$1) ))-1</f>
        <v>0.18752408362903394</v>
      </c>
      <c r="R37" s="31">
        <f t="shared" si="6"/>
        <v>0.15</v>
      </c>
      <c r="S37" s="155">
        <f>P37*(1+$R37)</f>
        <v>8846.9499999999989</v>
      </c>
      <c r="T37" s="155">
        <f t="shared" ref="T37:AB37" si="101">S37*(1+$R37)</f>
        <v>10173.992499999998</v>
      </c>
      <c r="U37" s="155">
        <f t="shared" si="101"/>
        <v>11700.091374999998</v>
      </c>
      <c r="V37" s="155">
        <f t="shared" si="101"/>
        <v>13455.105081249996</v>
      </c>
      <c r="W37" s="155">
        <f t="shared" si="101"/>
        <v>15473.370843437495</v>
      </c>
      <c r="X37" s="155">
        <f t="shared" si="101"/>
        <v>17794.376469953117</v>
      </c>
      <c r="Y37" s="155">
        <f t="shared" si="101"/>
        <v>20463.532940446083</v>
      </c>
      <c r="Z37" s="155">
        <f t="shared" si="101"/>
        <v>23533.062881512993</v>
      </c>
      <c r="AA37" s="155">
        <f t="shared" si="101"/>
        <v>27063.022313739941</v>
      </c>
      <c r="AB37" s="155">
        <f t="shared" si="101"/>
        <v>31122.47566080093</v>
      </c>
      <c r="AC37" s="138">
        <f t="shared" si="19"/>
        <v>0.16762442293472479</v>
      </c>
      <c r="AD37" s="31">
        <f t="shared" si="17"/>
        <v>0.08</v>
      </c>
      <c r="AE37" s="146">
        <f t="shared" si="1"/>
        <v>840306.84284162533</v>
      </c>
    </row>
    <row r="38" spans="2:31" s="123" customFormat="1" x14ac:dyDescent="0.2">
      <c r="B38" s="23"/>
      <c r="C38" s="150"/>
      <c r="D38" s="150"/>
      <c r="E38" s="151"/>
      <c r="F38" s="151"/>
      <c r="G38" s="149">
        <f>(G37-F37)/G37</f>
        <v>1</v>
      </c>
      <c r="H38" s="149">
        <f>(H37-G37)/H37</f>
        <v>0.27457927369353408</v>
      </c>
      <c r="I38" s="149">
        <f t="shared" ref="I38" si="102">(I37-H37)/I37</f>
        <v>2.1239705244906804E-2</v>
      </c>
      <c r="J38" s="149">
        <f t="shared" ref="J38" si="103">(J37-I37)/J37</f>
        <v>0.16804904435629284</v>
      </c>
      <c r="K38" s="149">
        <f t="shared" ref="K38" si="104">(K37-J37)/K37</f>
        <v>0.1274386406544997</v>
      </c>
      <c r="L38" s="149">
        <f t="shared" ref="L38" si="105">(L37-K37)/L37</f>
        <v>5.3885084846680559E-2</v>
      </c>
      <c r="M38" s="149">
        <f t="shared" ref="M38" si="106">(M37-L37)/M37</f>
        <v>0.20213776722090263</v>
      </c>
      <c r="N38" s="149">
        <f t="shared" ref="N38" si="107">(N37-M37)/N37</f>
        <v>0.16946143223515486</v>
      </c>
      <c r="O38" s="149">
        <f t="shared" ref="O38" si="108">(O37-N37)/O37</f>
        <v>0.19819677317304651</v>
      </c>
      <c r="P38" s="149">
        <f t="shared" ref="P38" si="109">(P37-O37)/P37</f>
        <v>0.17821396074353307</v>
      </c>
      <c r="Q38" s="128"/>
      <c r="R38" s="20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39"/>
      <c r="AD38" s="137"/>
      <c r="AE38" s="157"/>
    </row>
    <row r="39" spans="2:31" x14ac:dyDescent="0.2">
      <c r="B39" s="20" t="s">
        <v>239</v>
      </c>
      <c r="C39" s="142">
        <v>1</v>
      </c>
      <c r="D39" s="142">
        <v>1</v>
      </c>
      <c r="E39" s="143">
        <v>1</v>
      </c>
      <c r="F39" s="174">
        <v>0.73</v>
      </c>
      <c r="G39" s="176">
        <v>24.76</v>
      </c>
      <c r="H39" s="176">
        <v>24.82</v>
      </c>
      <c r="I39" s="176">
        <v>375.51</v>
      </c>
      <c r="J39" s="143">
        <v>376.22</v>
      </c>
      <c r="K39" s="143">
        <v>376.86</v>
      </c>
      <c r="L39" s="177">
        <v>377.44</v>
      </c>
      <c r="M39" s="177">
        <v>381.81</v>
      </c>
      <c r="N39" s="177">
        <v>773.81</v>
      </c>
      <c r="O39" s="177">
        <v>778.12400000000002</v>
      </c>
      <c r="P39" s="177">
        <v>787.83</v>
      </c>
      <c r="Q39" s="118">
        <f>((P39/G39)^(1/($H$2-$H$1) ))-1</f>
        <v>0.46880672626581732</v>
      </c>
      <c r="R39" s="31">
        <v>0.15</v>
      </c>
      <c r="S39" s="155">
        <f>P39*(1+$R39)</f>
        <v>906.00450000000001</v>
      </c>
      <c r="T39" s="155">
        <f t="shared" ref="T39:AB39" si="110">S39*(1+$R39)</f>
        <v>1041.9051749999999</v>
      </c>
      <c r="U39" s="155">
        <f t="shared" si="110"/>
        <v>1198.1909512499997</v>
      </c>
      <c r="V39" s="155">
        <f t="shared" si="110"/>
        <v>1377.9195939374995</v>
      </c>
      <c r="W39" s="155">
        <f t="shared" si="110"/>
        <v>1584.6075330281242</v>
      </c>
      <c r="X39" s="155">
        <f t="shared" si="110"/>
        <v>1822.2986629823426</v>
      </c>
      <c r="Y39" s="155">
        <f t="shared" si="110"/>
        <v>2095.643462429694</v>
      </c>
      <c r="Z39" s="155">
        <f t="shared" si="110"/>
        <v>2409.9899817941478</v>
      </c>
      <c r="AA39" s="155">
        <f t="shared" si="110"/>
        <v>2771.4884790632696</v>
      </c>
      <c r="AB39" s="155">
        <f t="shared" si="110"/>
        <v>3187.2117509227596</v>
      </c>
      <c r="AC39" s="138">
        <f t="shared" si="19"/>
        <v>0.29132259875917033</v>
      </c>
      <c r="AD39" s="31">
        <f t="shared" si="17"/>
        <v>0.08</v>
      </c>
      <c r="AE39" s="146">
        <f t="shared" si="1"/>
        <v>86054.717274914525</v>
      </c>
    </row>
    <row r="40" spans="2:31" x14ac:dyDescent="0.2">
      <c r="B40" s="20" t="s">
        <v>283</v>
      </c>
      <c r="C40" s="145">
        <v>1</v>
      </c>
      <c r="D40" s="145">
        <v>1</v>
      </c>
      <c r="E40" s="145">
        <v>1</v>
      </c>
      <c r="F40" s="147">
        <v>8</v>
      </c>
      <c r="G40" s="147">
        <v>20</v>
      </c>
      <c r="H40" s="147">
        <v>31</v>
      </c>
      <c r="I40" s="147">
        <v>2.65</v>
      </c>
      <c r="J40" s="147">
        <v>3.1</v>
      </c>
      <c r="K40" s="147">
        <v>3.5</v>
      </c>
      <c r="L40" s="147">
        <v>3.7</v>
      </c>
      <c r="M40" s="147">
        <v>10</v>
      </c>
      <c r="N40" s="147">
        <v>4.45</v>
      </c>
      <c r="O40" s="147">
        <v>4.5</v>
      </c>
      <c r="P40" s="147">
        <v>5.25</v>
      </c>
      <c r="Q40" s="118">
        <f>((P40/G40)^(1/($H$2-$H$1) ))-1</f>
        <v>-0.13809616721712181</v>
      </c>
      <c r="R40" s="31">
        <v>0.05</v>
      </c>
      <c r="S40" s="155">
        <f t="shared" ref="S40" si="111">P40*(1+$R40)</f>
        <v>5.5125000000000002</v>
      </c>
      <c r="T40" s="155">
        <f t="shared" ref="T40" si="112">S40*(1+$R40)</f>
        <v>5.7881250000000009</v>
      </c>
      <c r="U40" s="155">
        <f t="shared" ref="U40" si="113">T40*(1+$R40)</f>
        <v>6.0775312500000007</v>
      </c>
      <c r="V40" s="155">
        <f t="shared" ref="V40" si="114">U40*(1+$R40)</f>
        <v>6.3814078125000009</v>
      </c>
      <c r="W40" s="155">
        <f t="shared" ref="W40" si="115">V40*(1+$R40)</f>
        <v>6.7004782031250016</v>
      </c>
      <c r="X40" s="155">
        <f t="shared" ref="X40" si="116">W40*(1+$R40)</f>
        <v>7.0355021132812521</v>
      </c>
      <c r="Y40" s="155">
        <f t="shared" ref="Y40" si="117">X40*(1+$R40)</f>
        <v>7.3872772189453153</v>
      </c>
      <c r="Z40" s="155">
        <f t="shared" ref="Z40" si="118">Y40*(1+$R40)</f>
        <v>7.7566410798925816</v>
      </c>
      <c r="AA40" s="155">
        <f t="shared" ref="AA40" si="119">Z40*(1+$R40)</f>
        <v>8.1444731338872103</v>
      </c>
      <c r="AB40" s="155">
        <f t="shared" ref="AB40" si="120">AA40*(1+$R40)</f>
        <v>8.5516967905815715</v>
      </c>
      <c r="AC40" s="138">
        <f t="shared" ref="AC40" si="121">((AB40/G40)^(1/($AB$3-$H$1) ))-1</f>
        <v>-4.3730903611055916E-2</v>
      </c>
      <c r="AD40" s="31">
        <f t="shared" si="17"/>
        <v>0.08</v>
      </c>
      <c r="AE40" s="146">
        <f t="shared" si="1"/>
        <v>230.89581334570249</v>
      </c>
    </row>
    <row r="41" spans="2:31" x14ac:dyDescent="0.2">
      <c r="B41" s="20"/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 x14ac:dyDescent="0.2">
      <c r="B42" s="108" t="s">
        <v>243</v>
      </c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9"/>
      <c r="AD42" s="137"/>
      <c r="AE42" s="155"/>
    </row>
    <row r="43" spans="2:31" x14ac:dyDescent="0.2">
      <c r="B43" s="20" t="s">
        <v>304</v>
      </c>
      <c r="C43" s="133">
        <f t="shared" ref="C43:P43" si="122">C24/C39</f>
        <v>0</v>
      </c>
      <c r="D43" s="133">
        <f t="shared" si="122"/>
        <v>0</v>
      </c>
      <c r="E43" s="133">
        <f t="shared" si="122"/>
        <v>0</v>
      </c>
      <c r="F43" s="133">
        <f t="shared" si="122"/>
        <v>0</v>
      </c>
      <c r="G43" s="133">
        <f t="shared" si="122"/>
        <v>298.14216478190627</v>
      </c>
      <c r="H43" s="133">
        <f t="shared" si="122"/>
        <v>350.8460918614021</v>
      </c>
      <c r="I43" s="133">
        <f t="shared" si="122"/>
        <v>28.265558839977633</v>
      </c>
      <c r="J43" s="133">
        <f t="shared" si="122"/>
        <v>35.495188985168248</v>
      </c>
      <c r="K43" s="133">
        <f t="shared" si="122"/>
        <v>40.651700896884783</v>
      </c>
      <c r="L43" s="133">
        <f t="shared" si="122"/>
        <v>44.907799915218312</v>
      </c>
      <c r="M43" s="133">
        <f t="shared" si="122"/>
        <v>51.465388544040231</v>
      </c>
      <c r="N43" s="133">
        <f t="shared" si="122"/>
        <v>30.090073790723824</v>
      </c>
      <c r="O43" s="133">
        <f t="shared" si="122"/>
        <v>35.241169787848719</v>
      </c>
      <c r="P43" s="133">
        <f t="shared" si="122"/>
        <v>40.1444474061663</v>
      </c>
      <c r="Q43" s="118">
        <f>((P43/G43)^(1/($H$2-$H$1) ))-1</f>
        <v>-0.19971500163382438</v>
      </c>
      <c r="R43" s="128"/>
      <c r="S43" s="159">
        <f t="shared" ref="S43:AB43" si="123">S24/S39</f>
        <v>40.1444474061663</v>
      </c>
      <c r="T43" s="159">
        <f t="shared" si="123"/>
        <v>40.1444474061663</v>
      </c>
      <c r="U43" s="159">
        <f t="shared" si="123"/>
        <v>40.1444474061663</v>
      </c>
      <c r="V43" s="159">
        <f t="shared" si="123"/>
        <v>40.1444474061663</v>
      </c>
      <c r="W43" s="159">
        <f t="shared" si="123"/>
        <v>40.144447406166307</v>
      </c>
      <c r="X43" s="159">
        <f t="shared" si="123"/>
        <v>40.1444474061663</v>
      </c>
      <c r="Y43" s="159">
        <f t="shared" si="123"/>
        <v>40.1444474061663</v>
      </c>
      <c r="Z43" s="159">
        <f t="shared" si="123"/>
        <v>40.144447406166307</v>
      </c>
      <c r="AA43" s="159">
        <f t="shared" si="123"/>
        <v>40.144447406166307</v>
      </c>
      <c r="AB43" s="159">
        <f t="shared" si="123"/>
        <v>40.144447406166307</v>
      </c>
      <c r="AC43" s="138">
        <f t="shared" ref="AC43" si="124">((AB43/G43)^(1/($AB$3-$H$1) ))-1</f>
        <v>-0.10015329501240955</v>
      </c>
      <c r="AD43" s="31">
        <f t="shared" si="17"/>
        <v>0.08</v>
      </c>
      <c r="AE43" s="146">
        <f t="shared" ref="AE43:AE44" si="125">(AB43*(1+AD43))/($C$1-AD43)</f>
        <v>1083.9000799664905</v>
      </c>
    </row>
    <row r="44" spans="2:31" x14ac:dyDescent="0.2">
      <c r="B44" s="20" t="s">
        <v>305</v>
      </c>
      <c r="C44" s="133">
        <f t="shared" ref="C44:P44" si="126">C26/C39</f>
        <v>0</v>
      </c>
      <c r="D44" s="133">
        <f t="shared" si="126"/>
        <v>0</v>
      </c>
      <c r="E44" s="133">
        <f t="shared" si="126"/>
        <v>0</v>
      </c>
      <c r="F44" s="133">
        <f t="shared" si="126"/>
        <v>0</v>
      </c>
      <c r="G44" s="133">
        <f t="shared" si="126"/>
        <v>190.63004846526655</v>
      </c>
      <c r="H44" s="133">
        <f t="shared" si="126"/>
        <v>210.63658340048349</v>
      </c>
      <c r="I44" s="133">
        <f t="shared" si="126"/>
        <v>18.532129637026976</v>
      </c>
      <c r="J44" s="133">
        <f t="shared" si="126"/>
        <v>23.672319387592363</v>
      </c>
      <c r="K44" s="133">
        <f t="shared" si="126"/>
        <v>27.020644271082098</v>
      </c>
      <c r="L44" s="133">
        <f t="shared" si="126"/>
        <v>30.195527766002545</v>
      </c>
      <c r="M44" s="133">
        <f t="shared" si="126"/>
        <v>33.32285691836254</v>
      </c>
      <c r="N44" s="133">
        <f t="shared" si="126"/>
        <v>19.590080252258307</v>
      </c>
      <c r="O44" s="133">
        <f t="shared" si="126"/>
        <v>22.397458502757914</v>
      </c>
      <c r="P44" s="133">
        <f t="shared" si="126"/>
        <v>27.051521267278471</v>
      </c>
      <c r="Q44" s="118">
        <f>((P44/G44)^(1/($H$2-$H$1) ))-1</f>
        <v>-0.19503348496850448</v>
      </c>
      <c r="R44" s="128"/>
      <c r="S44" s="159">
        <f t="shared" ref="S44:AB44" si="127">S26/S39</f>
        <v>27.051521267278474</v>
      </c>
      <c r="T44" s="159">
        <f t="shared" si="127"/>
        <v>27.051521267278474</v>
      </c>
      <c r="U44" s="159">
        <f t="shared" si="127"/>
        <v>27.051521267278474</v>
      </c>
      <c r="V44" s="159">
        <f t="shared" si="127"/>
        <v>27.051521267278478</v>
      </c>
      <c r="W44" s="159">
        <f t="shared" si="127"/>
        <v>27.051521267278478</v>
      </c>
      <c r="X44" s="159">
        <f t="shared" si="127"/>
        <v>27.051521267278478</v>
      </c>
      <c r="Y44" s="159">
        <f t="shared" si="127"/>
        <v>27.051521267278478</v>
      </c>
      <c r="Z44" s="159">
        <f t="shared" si="127"/>
        <v>27.051521267278478</v>
      </c>
      <c r="AA44" s="159">
        <f t="shared" si="127"/>
        <v>27.051521267278481</v>
      </c>
      <c r="AB44" s="159">
        <f t="shared" si="127"/>
        <v>27.051521267278485</v>
      </c>
      <c r="AC44" s="138">
        <f t="shared" ref="AC44" si="128">((AB44/G44)^(1/($AB$3-$H$1) ))-1</f>
        <v>-9.7663679714374729E-2</v>
      </c>
      <c r="AD44" s="31">
        <f t="shared" si="17"/>
        <v>0.08</v>
      </c>
      <c r="AE44" s="146">
        <f t="shared" si="125"/>
        <v>730.39107421651931</v>
      </c>
    </row>
    <row r="45" spans="2:31" x14ac:dyDescent="0.2">
      <c r="B45" s="20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28"/>
      <c r="R45" s="128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19"/>
      <c r="AD45" s="137"/>
      <c r="AE45" s="146"/>
    </row>
    <row r="46" spans="2:31" x14ac:dyDescent="0.2">
      <c r="B46" s="20" t="s">
        <v>258</v>
      </c>
      <c r="C46" s="25">
        <f t="shared" ref="C46:P46" si="129">C37/C39</f>
        <v>0</v>
      </c>
      <c r="D46" s="25">
        <f t="shared" si="129"/>
        <v>0</v>
      </c>
      <c r="E46" s="25">
        <f t="shared" si="129"/>
        <v>0</v>
      </c>
      <c r="F46" s="133">
        <f t="shared" si="129"/>
        <v>0</v>
      </c>
      <c r="G46" s="133">
        <f t="shared" si="129"/>
        <v>66.155088852988683</v>
      </c>
      <c r="H46" s="133">
        <f t="shared" si="129"/>
        <v>90.975020145044311</v>
      </c>
      <c r="I46" s="133">
        <f t="shared" si="129"/>
        <v>6.1436446432851319</v>
      </c>
      <c r="J46" s="133">
        <f t="shared" si="129"/>
        <v>7.3706873637765131</v>
      </c>
      <c r="K46" s="133">
        <f t="shared" si="129"/>
        <v>8.4328397813511646</v>
      </c>
      <c r="L46" s="133">
        <f t="shared" si="129"/>
        <v>8.8994277236116996</v>
      </c>
      <c r="M46" s="133">
        <f t="shared" si="129"/>
        <v>11.026426756763835</v>
      </c>
      <c r="N46" s="133">
        <f t="shared" si="129"/>
        <v>6.5507036611054401</v>
      </c>
      <c r="O46" s="133">
        <f t="shared" si="129"/>
        <v>8.124669075879936</v>
      </c>
      <c r="P46" s="133">
        <f t="shared" si="129"/>
        <v>9.7647969739664635</v>
      </c>
      <c r="Q46" s="118">
        <f>((P46/G46)^(1/($H$2-$H$1) ))-1</f>
        <v>-0.19150419017476528</v>
      </c>
      <c r="R46" s="128"/>
      <c r="S46" s="159">
        <f t="shared" ref="S46:AB46" si="130">S37/S39</f>
        <v>9.7647969739664635</v>
      </c>
      <c r="T46" s="159">
        <f t="shared" si="130"/>
        <v>9.7647969739664653</v>
      </c>
      <c r="U46" s="159">
        <f t="shared" si="130"/>
        <v>9.7647969739664653</v>
      </c>
      <c r="V46" s="159">
        <f t="shared" si="130"/>
        <v>9.7647969739664653</v>
      </c>
      <c r="W46" s="159">
        <f t="shared" si="130"/>
        <v>9.7647969739664671</v>
      </c>
      <c r="X46" s="159">
        <f t="shared" si="130"/>
        <v>9.7647969739664653</v>
      </c>
      <c r="Y46" s="159">
        <f t="shared" si="130"/>
        <v>9.7647969739664653</v>
      </c>
      <c r="Z46" s="159">
        <f t="shared" si="130"/>
        <v>9.7647969739664671</v>
      </c>
      <c r="AA46" s="159">
        <f t="shared" si="130"/>
        <v>9.7647969739664671</v>
      </c>
      <c r="AB46" s="159">
        <f t="shared" si="130"/>
        <v>9.7647969739664671</v>
      </c>
      <c r="AC46" s="138">
        <f t="shared" ref="AC46:AC59" si="131">((AB46/G46)^(1/($AB$3-$H$1) ))-1</f>
        <v>-9.5791846238350464E-2</v>
      </c>
      <c r="AD46" s="31">
        <f t="shared" si="17"/>
        <v>0.08</v>
      </c>
      <c r="AE46" s="146">
        <f t="shared" ref="AE46:AE73" si="132">(AB46*(1+AD46))/($C$1-AD46)</f>
        <v>263.64951829709469</v>
      </c>
    </row>
    <row r="47" spans="2:31" x14ac:dyDescent="0.2">
      <c r="B47" s="20" t="s">
        <v>245</v>
      </c>
      <c r="C47" s="25">
        <f t="shared" ref="C47:P47" si="133">C7/C39</f>
        <v>0</v>
      </c>
      <c r="D47" s="25">
        <f t="shared" si="133"/>
        <v>0</v>
      </c>
      <c r="E47" s="25">
        <f t="shared" si="133"/>
        <v>0</v>
      </c>
      <c r="F47" s="133">
        <f t="shared" si="133"/>
        <v>0</v>
      </c>
      <c r="G47" s="133">
        <f t="shared" si="133"/>
        <v>260.58158319870756</v>
      </c>
      <c r="H47" s="133">
        <f t="shared" si="133"/>
        <v>318.77518130539886</v>
      </c>
      <c r="I47" s="133">
        <f t="shared" si="133"/>
        <v>24.497350270299062</v>
      </c>
      <c r="J47" s="133">
        <f t="shared" si="133"/>
        <v>28.252086545106586</v>
      </c>
      <c r="K47" s="133">
        <f t="shared" si="133"/>
        <v>29.878469458154221</v>
      </c>
      <c r="L47" s="133">
        <f t="shared" si="133"/>
        <v>37.091988130563799</v>
      </c>
      <c r="M47" s="133">
        <f t="shared" si="133"/>
        <v>37.819858044577146</v>
      </c>
      <c r="N47" s="133">
        <f t="shared" si="133"/>
        <v>21.245525387368993</v>
      </c>
      <c r="O47" s="133">
        <f t="shared" si="133"/>
        <v>25.006297196847804</v>
      </c>
      <c r="P47" s="133">
        <f t="shared" si="133"/>
        <v>29.393397052663644</v>
      </c>
      <c r="Q47" s="118">
        <f>((P47/G47)^(1/($H$2-$H$1) ))-1</f>
        <v>-0.21530538247558029</v>
      </c>
      <c r="R47" s="128"/>
      <c r="S47" s="159">
        <f t="shared" ref="S47:AB47" si="134">S7/S39</f>
        <v>29.393397052663644</v>
      </c>
      <c r="T47" s="159">
        <f t="shared" si="134"/>
        <v>29.393397052663644</v>
      </c>
      <c r="U47" s="159">
        <f t="shared" si="134"/>
        <v>29.393397052663644</v>
      </c>
      <c r="V47" s="159">
        <f t="shared" si="134"/>
        <v>29.393397052663648</v>
      </c>
      <c r="W47" s="159">
        <f t="shared" si="134"/>
        <v>29.393397052663651</v>
      </c>
      <c r="X47" s="159">
        <f t="shared" si="134"/>
        <v>29.393397052663651</v>
      </c>
      <c r="Y47" s="159">
        <f t="shared" si="134"/>
        <v>29.393397052663651</v>
      </c>
      <c r="Z47" s="159">
        <f t="shared" si="134"/>
        <v>29.393397052663655</v>
      </c>
      <c r="AA47" s="159">
        <f t="shared" si="134"/>
        <v>29.393397052663659</v>
      </c>
      <c r="AB47" s="159">
        <f t="shared" si="134"/>
        <v>29.393397052663659</v>
      </c>
      <c r="AC47" s="138">
        <f t="shared" si="131"/>
        <v>-0.10849995028497306</v>
      </c>
      <c r="AD47" s="31">
        <f t="shared" si="17"/>
        <v>0.08</v>
      </c>
      <c r="AE47" s="146">
        <f t="shared" si="132"/>
        <v>793.62172042191901</v>
      </c>
    </row>
    <row r="48" spans="2:31" x14ac:dyDescent="0.2">
      <c r="B48" s="20" t="s">
        <v>246</v>
      </c>
      <c r="C48" s="127">
        <f t="shared" ref="C48:P48" si="135">C6/C39</f>
        <v>0</v>
      </c>
      <c r="D48" s="127">
        <f t="shared" si="135"/>
        <v>0</v>
      </c>
      <c r="E48" s="127">
        <f t="shared" si="135"/>
        <v>0</v>
      </c>
      <c r="F48" s="144">
        <f t="shared" si="135"/>
        <v>0</v>
      </c>
      <c r="G48" s="144">
        <f t="shared" si="135"/>
        <v>250.56542810985459</v>
      </c>
      <c r="H48" s="144">
        <f t="shared" si="135"/>
        <v>306.08380338436746</v>
      </c>
      <c r="I48" s="144">
        <f t="shared" si="135"/>
        <v>23.136534313333865</v>
      </c>
      <c r="J48" s="144">
        <f t="shared" si="135"/>
        <v>26.89383871139227</v>
      </c>
      <c r="K48" s="144">
        <f t="shared" si="135"/>
        <v>31.369739425781457</v>
      </c>
      <c r="L48" s="144">
        <f t="shared" si="135"/>
        <v>35.952734209410771</v>
      </c>
      <c r="M48" s="144">
        <f t="shared" si="135"/>
        <v>36.667452397789475</v>
      </c>
      <c r="N48" s="144">
        <f t="shared" si="135"/>
        <v>20.117341466251407</v>
      </c>
      <c r="O48" s="144">
        <f t="shared" si="135"/>
        <v>24.002266990865209</v>
      </c>
      <c r="P48" s="144">
        <f t="shared" si="135"/>
        <v>28.390642651333408</v>
      </c>
      <c r="Q48" s="118">
        <f>((P48/G48)^(1/($H$2-$H$1) ))-1</f>
        <v>-0.21491420518400561</v>
      </c>
      <c r="R48" s="128"/>
      <c r="S48" s="158">
        <f t="shared" ref="S48:AB48" si="136">S6/S39</f>
        <v>28.390642651333408</v>
      </c>
      <c r="T48" s="158">
        <f t="shared" si="136"/>
        <v>28.390642651333412</v>
      </c>
      <c r="U48" s="158">
        <f t="shared" si="136"/>
        <v>28.390642651333415</v>
      </c>
      <c r="V48" s="158">
        <f t="shared" si="136"/>
        <v>28.390642651333415</v>
      </c>
      <c r="W48" s="158">
        <f t="shared" si="136"/>
        <v>28.390642651333415</v>
      </c>
      <c r="X48" s="158">
        <f t="shared" si="136"/>
        <v>28.390642651333415</v>
      </c>
      <c r="Y48" s="158">
        <f t="shared" si="136"/>
        <v>28.390642651333415</v>
      </c>
      <c r="Z48" s="158">
        <f t="shared" si="136"/>
        <v>28.390642651333415</v>
      </c>
      <c r="AA48" s="158">
        <f t="shared" si="136"/>
        <v>28.390642651333415</v>
      </c>
      <c r="AB48" s="158">
        <f t="shared" si="136"/>
        <v>28.390642651333419</v>
      </c>
      <c r="AC48" s="138">
        <f t="shared" si="131"/>
        <v>-0.10828946279993479</v>
      </c>
      <c r="AD48" s="31">
        <f t="shared" si="17"/>
        <v>0.08</v>
      </c>
      <c r="AE48" s="146">
        <f t="shared" si="132"/>
        <v>766.54735158600249</v>
      </c>
    </row>
    <row r="49" spans="2:31" x14ac:dyDescent="0.2">
      <c r="B49" s="20" t="s">
        <v>247</v>
      </c>
      <c r="C49" s="127">
        <f t="shared" ref="C49:P49" si="137">C10/C39</f>
        <v>0</v>
      </c>
      <c r="D49" s="127">
        <f t="shared" si="137"/>
        <v>0</v>
      </c>
      <c r="E49" s="127">
        <f t="shared" si="137"/>
        <v>0</v>
      </c>
      <c r="F49" s="144">
        <f t="shared" si="137"/>
        <v>0</v>
      </c>
      <c r="G49" s="144">
        <f t="shared" si="137"/>
        <v>6.0985460420032309</v>
      </c>
      <c r="H49" s="144">
        <f t="shared" si="137"/>
        <v>9.9113618049959715</v>
      </c>
      <c r="I49" s="144">
        <f t="shared" si="137"/>
        <v>0.38880455913291256</v>
      </c>
      <c r="J49" s="144">
        <f t="shared" si="137"/>
        <v>0.55286800276434001</v>
      </c>
      <c r="K49" s="144">
        <f t="shared" si="137"/>
        <v>0.59438518282651376</v>
      </c>
      <c r="L49" s="144">
        <f t="shared" si="137"/>
        <v>0.49544298431538786</v>
      </c>
      <c r="M49" s="144">
        <f t="shared" si="137"/>
        <v>0.28810141169691733</v>
      </c>
      <c r="N49" s="144">
        <f t="shared" si="137"/>
        <v>0.1615383621302387</v>
      </c>
      <c r="O49" s="144">
        <f t="shared" si="137"/>
        <v>0.10409651932082804</v>
      </c>
      <c r="P49" s="144">
        <f t="shared" si="137"/>
        <v>0.11423784318952057</v>
      </c>
      <c r="Q49" s="118">
        <f>((P49/G49)^(1/($H$2-$H$1) ))-1</f>
        <v>-0.35721630142571359</v>
      </c>
      <c r="R49" s="128"/>
      <c r="S49" s="158">
        <f t="shared" ref="S49:AB49" si="138">S10/S39</f>
        <v>0.11423784318952057</v>
      </c>
      <c r="T49" s="158">
        <f t="shared" si="138"/>
        <v>0.11423784318952057</v>
      </c>
      <c r="U49" s="158">
        <f t="shared" si="138"/>
        <v>0.11423784318952059</v>
      </c>
      <c r="V49" s="158">
        <f t="shared" si="138"/>
        <v>0.11423784318952059</v>
      </c>
      <c r="W49" s="158">
        <f t="shared" si="138"/>
        <v>0.11423784318952059</v>
      </c>
      <c r="X49" s="158">
        <f t="shared" si="138"/>
        <v>0.1142378431895206</v>
      </c>
      <c r="Y49" s="158">
        <f t="shared" si="138"/>
        <v>0.11423784318952059</v>
      </c>
      <c r="Z49" s="158">
        <f t="shared" si="138"/>
        <v>0.1142378431895206</v>
      </c>
      <c r="AA49" s="158">
        <f t="shared" si="138"/>
        <v>0.1142378431895206</v>
      </c>
      <c r="AB49" s="158">
        <f t="shared" si="138"/>
        <v>0.11423784318952061</v>
      </c>
      <c r="AC49" s="138">
        <f t="shared" si="131"/>
        <v>-0.18888328344095606</v>
      </c>
      <c r="AD49" s="31">
        <f t="shared" si="17"/>
        <v>0.08</v>
      </c>
      <c r="AE49" s="146">
        <f t="shared" si="132"/>
        <v>3.0844217661170572</v>
      </c>
    </row>
    <row r="50" spans="2:31" x14ac:dyDescent="0.2">
      <c r="B50" s="20"/>
      <c r="C50" s="127"/>
      <c r="D50" s="127"/>
      <c r="E50" s="12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28"/>
      <c r="R50" s="12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39"/>
      <c r="AD50" s="137"/>
      <c r="AE50" s="146"/>
    </row>
    <row r="51" spans="2:31" x14ac:dyDescent="0.2">
      <c r="B51" s="20" t="s">
        <v>271</v>
      </c>
      <c r="C51" s="127">
        <f t="shared" ref="C51:P51" si="139">(C7-C10)/C39</f>
        <v>0</v>
      </c>
      <c r="D51" s="127">
        <f t="shared" si="139"/>
        <v>0</v>
      </c>
      <c r="E51" s="127">
        <f t="shared" si="139"/>
        <v>0</v>
      </c>
      <c r="F51" s="144">
        <f t="shared" si="139"/>
        <v>0</v>
      </c>
      <c r="G51" s="144">
        <f t="shared" si="139"/>
        <v>254.48303715670434</v>
      </c>
      <c r="H51" s="144">
        <f t="shared" si="139"/>
        <v>308.86381950040288</v>
      </c>
      <c r="I51" s="144">
        <f t="shared" si="139"/>
        <v>24.108545711166148</v>
      </c>
      <c r="J51" s="144">
        <f t="shared" si="139"/>
        <v>27.699218542342244</v>
      </c>
      <c r="K51" s="144">
        <f t="shared" si="139"/>
        <v>29.284084275327707</v>
      </c>
      <c r="L51" s="144">
        <f t="shared" si="139"/>
        <v>36.59654514624841</v>
      </c>
      <c r="M51" s="144">
        <f t="shared" si="139"/>
        <v>37.531756632880231</v>
      </c>
      <c r="N51" s="144">
        <f t="shared" si="139"/>
        <v>21.083987025238756</v>
      </c>
      <c r="O51" s="144">
        <f t="shared" si="139"/>
        <v>24.902200677526974</v>
      </c>
      <c r="P51" s="144">
        <f t="shared" si="139"/>
        <v>29.279159209474123</v>
      </c>
      <c r="Q51" s="118">
        <f>((P51/G51)^(1/($H$2-$H$1) ))-1</f>
        <v>-0.21357822669645132</v>
      </c>
      <c r="R51" s="128"/>
      <c r="S51" s="158">
        <f t="shared" ref="S51:AB51" si="140">(S7-S10)/S39</f>
        <v>29.279159209474123</v>
      </c>
      <c r="T51" s="158">
        <f t="shared" si="140"/>
        <v>29.279159209474123</v>
      </c>
      <c r="U51" s="158">
        <f t="shared" si="140"/>
        <v>29.279159209474123</v>
      </c>
      <c r="V51" s="158">
        <f t="shared" si="140"/>
        <v>29.279159209474127</v>
      </c>
      <c r="W51" s="158">
        <f t="shared" si="140"/>
        <v>29.27915920947413</v>
      </c>
      <c r="X51" s="158">
        <f t="shared" si="140"/>
        <v>29.27915920947413</v>
      </c>
      <c r="Y51" s="158">
        <f t="shared" si="140"/>
        <v>29.27915920947413</v>
      </c>
      <c r="Z51" s="158">
        <f t="shared" si="140"/>
        <v>29.279159209474134</v>
      </c>
      <c r="AA51" s="158">
        <f t="shared" si="140"/>
        <v>29.279159209474134</v>
      </c>
      <c r="AB51" s="158">
        <f t="shared" si="140"/>
        <v>29.279159209474138</v>
      </c>
      <c r="AC51" s="138">
        <f t="shared" si="131"/>
        <v>-0.10757100577786971</v>
      </c>
      <c r="AD51" s="31">
        <f t="shared" si="17"/>
        <v>0.08</v>
      </c>
      <c r="AE51" s="146">
        <f t="shared" si="132"/>
        <v>790.53729865580181</v>
      </c>
    </row>
    <row r="52" spans="2:31" x14ac:dyDescent="0.2">
      <c r="B52" s="20" t="s">
        <v>272</v>
      </c>
      <c r="C52" s="127">
        <f t="shared" ref="C52:P52" si="141">(C7-C10-C9)/C39</f>
        <v>0</v>
      </c>
      <c r="D52" s="127">
        <f t="shared" si="141"/>
        <v>0</v>
      </c>
      <c r="E52" s="127">
        <f t="shared" si="141"/>
        <v>0</v>
      </c>
      <c r="F52" s="144">
        <f t="shared" si="141"/>
        <v>0</v>
      </c>
      <c r="G52" s="144">
        <f t="shared" si="141"/>
        <v>130.12924071082389</v>
      </c>
      <c r="H52" s="144">
        <f t="shared" si="141"/>
        <v>160.87832393231264</v>
      </c>
      <c r="I52" s="144">
        <f t="shared" si="141"/>
        <v>13.003648371548028</v>
      </c>
      <c r="J52" s="144">
        <f t="shared" si="141"/>
        <v>15.171973845090637</v>
      </c>
      <c r="K52" s="144">
        <f t="shared" si="141"/>
        <v>14.896778644589503</v>
      </c>
      <c r="L52" s="144">
        <f t="shared" si="141"/>
        <v>21.266956337431115</v>
      </c>
      <c r="M52" s="144">
        <f t="shared" si="141"/>
        <v>13.713627196773263</v>
      </c>
      <c r="N52" s="144">
        <f t="shared" si="141"/>
        <v>8.659748517077837</v>
      </c>
      <c r="O52" s="144">
        <f t="shared" si="141"/>
        <v>11.593267911027034</v>
      </c>
      <c r="P52" s="144">
        <f t="shared" si="141"/>
        <v>15.919678103144079</v>
      </c>
      <c r="Q52" s="118">
        <f>((P52/G52)^(1/($H$2-$H$1) ))-1</f>
        <v>-0.20819596678658692</v>
      </c>
      <c r="R52" s="128"/>
      <c r="S52" s="158">
        <f t="shared" ref="S52:AB52" si="142">(S7-S10-S9)/S39</f>
        <v>15.919678103144081</v>
      </c>
      <c r="T52" s="158">
        <f t="shared" si="142"/>
        <v>15.919678103144079</v>
      </c>
      <c r="U52" s="158">
        <f t="shared" si="142"/>
        <v>15.919678103144077</v>
      </c>
      <c r="V52" s="158">
        <f t="shared" si="142"/>
        <v>15.919678103144081</v>
      </c>
      <c r="W52" s="158">
        <f t="shared" si="142"/>
        <v>15.919678103144083</v>
      </c>
      <c r="X52" s="158">
        <f t="shared" si="142"/>
        <v>15.919678103144083</v>
      </c>
      <c r="Y52" s="158">
        <f t="shared" si="142"/>
        <v>15.919678103144081</v>
      </c>
      <c r="Z52" s="158">
        <f t="shared" si="142"/>
        <v>15.919678103144086</v>
      </c>
      <c r="AA52" s="158">
        <f t="shared" si="142"/>
        <v>15.919678103144085</v>
      </c>
      <c r="AB52" s="158">
        <f t="shared" si="142"/>
        <v>15.91967810314409</v>
      </c>
      <c r="AC52" s="138">
        <f t="shared" si="131"/>
        <v>-0.10468304332213074</v>
      </c>
      <c r="AD52" s="31">
        <f t="shared" si="17"/>
        <v>0.08</v>
      </c>
      <c r="AE52" s="146">
        <f t="shared" si="132"/>
        <v>429.8313087848905</v>
      </c>
    </row>
    <row r="53" spans="2:31" x14ac:dyDescent="0.2">
      <c r="B53" s="20" t="s">
        <v>277</v>
      </c>
      <c r="C53" s="127">
        <f t="shared" ref="C53:P53" si="143">(C7+C14-C10-C9)/C39</f>
        <v>0</v>
      </c>
      <c r="D53" s="127">
        <f t="shared" si="143"/>
        <v>0</v>
      </c>
      <c r="E53" s="127">
        <f t="shared" si="143"/>
        <v>0</v>
      </c>
      <c r="F53" s="144">
        <f t="shared" si="143"/>
        <v>0</v>
      </c>
      <c r="G53" s="144">
        <f t="shared" si="143"/>
        <v>215.30694668820678</v>
      </c>
      <c r="H53" s="144">
        <f t="shared" si="143"/>
        <v>290.3303787268332</v>
      </c>
      <c r="I53" s="144">
        <f t="shared" si="143"/>
        <v>23.213762616175334</v>
      </c>
      <c r="J53" s="144">
        <f t="shared" si="143"/>
        <v>28.044761044069958</v>
      </c>
      <c r="K53" s="144">
        <f t="shared" si="143"/>
        <v>33.980788621769356</v>
      </c>
      <c r="L53" s="144">
        <f t="shared" si="143"/>
        <v>43.757948283170833</v>
      </c>
      <c r="M53" s="144">
        <f t="shared" si="143"/>
        <v>37.241036117440615</v>
      </c>
      <c r="N53" s="144">
        <f t="shared" si="143"/>
        <v>22.806632118995619</v>
      </c>
      <c r="O53" s="144">
        <f t="shared" si="143"/>
        <v>27.617706175365367</v>
      </c>
      <c r="P53" s="144">
        <f t="shared" si="143"/>
        <v>40.119061218790854</v>
      </c>
      <c r="Q53" s="118">
        <f>((P53/G53)^(1/($H$2-$H$1) ))-1</f>
        <v>-0.17029938249200094</v>
      </c>
      <c r="R53" s="128"/>
      <c r="S53" s="158">
        <f t="shared" ref="S53:AB53" si="144">(S7+S14-S10-S9)/S39</f>
        <v>40.119061218790861</v>
      </c>
      <c r="T53" s="158">
        <f t="shared" si="144"/>
        <v>40.119061218790854</v>
      </c>
      <c r="U53" s="158">
        <f t="shared" si="144"/>
        <v>40.119061218790861</v>
      </c>
      <c r="V53" s="158">
        <f t="shared" si="144"/>
        <v>40.119061218790861</v>
      </c>
      <c r="W53" s="158">
        <f t="shared" si="144"/>
        <v>40.119061218790868</v>
      </c>
      <c r="X53" s="158">
        <f t="shared" si="144"/>
        <v>40.119061218790876</v>
      </c>
      <c r="Y53" s="158">
        <f t="shared" si="144"/>
        <v>40.119061218790861</v>
      </c>
      <c r="Z53" s="158">
        <f t="shared" si="144"/>
        <v>40.119061218790868</v>
      </c>
      <c r="AA53" s="158">
        <f t="shared" si="144"/>
        <v>40.119061218790876</v>
      </c>
      <c r="AB53" s="158">
        <f t="shared" si="144"/>
        <v>40.119061218790868</v>
      </c>
      <c r="AC53" s="138">
        <f t="shared" si="131"/>
        <v>-8.4634892505414006E-2</v>
      </c>
      <c r="AD53" s="31">
        <f t="shared" si="17"/>
        <v>0.08</v>
      </c>
      <c r="AE53" s="146">
        <f t="shared" si="132"/>
        <v>1083.2146529073536</v>
      </c>
    </row>
    <row r="54" spans="2:31" x14ac:dyDescent="0.2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39"/>
      <c r="AD54" s="137"/>
      <c r="AE54" s="155"/>
    </row>
    <row r="55" spans="2:31" x14ac:dyDescent="0.2">
      <c r="B55" s="20" t="s">
        <v>248</v>
      </c>
      <c r="C55" s="127">
        <f t="shared" ref="C55:P55" si="145">C12/C39</f>
        <v>0</v>
      </c>
      <c r="D55" s="127">
        <f t="shared" si="145"/>
        <v>0</v>
      </c>
      <c r="E55" s="127">
        <f t="shared" si="145"/>
        <v>0</v>
      </c>
      <c r="F55" s="144">
        <f t="shared" si="145"/>
        <v>0</v>
      </c>
      <c r="G55" s="144">
        <f t="shared" si="145"/>
        <v>4.0387722132471726</v>
      </c>
      <c r="H55" s="144">
        <f t="shared" si="145"/>
        <v>3.0620467365028201</v>
      </c>
      <c r="I55" s="144">
        <f t="shared" si="145"/>
        <v>0.29293494181246837</v>
      </c>
      <c r="J55" s="144">
        <f t="shared" si="145"/>
        <v>0.52097177183562804</v>
      </c>
      <c r="K55" s="144">
        <f t="shared" si="145"/>
        <v>0.67664384652125453</v>
      </c>
      <c r="L55" s="144">
        <f t="shared" si="145"/>
        <v>0.7630351844001696</v>
      </c>
      <c r="M55" s="144">
        <f t="shared" si="145"/>
        <v>0.69406249181530077</v>
      </c>
      <c r="N55" s="144">
        <f t="shared" si="145"/>
        <v>0.25458445871725621</v>
      </c>
      <c r="O55" s="144">
        <f t="shared" si="145"/>
        <v>4.0224951293110092</v>
      </c>
      <c r="P55" s="144">
        <f t="shared" si="145"/>
        <v>4.8589162636609418</v>
      </c>
      <c r="Q55" s="118">
        <f>((P55/G55)^(1/($H$2-$H$1) ))-1</f>
        <v>2.0754062922029748E-2</v>
      </c>
      <c r="R55" s="128"/>
      <c r="S55" s="158">
        <f t="shared" ref="S55:AB55" si="146">S12/S39</f>
        <v>4.8589162636609418</v>
      </c>
      <c r="T55" s="158">
        <f t="shared" si="146"/>
        <v>4.8589162636609426</v>
      </c>
      <c r="U55" s="158">
        <f t="shared" si="146"/>
        <v>4.8589162636609426</v>
      </c>
      <c r="V55" s="158">
        <f t="shared" si="146"/>
        <v>4.8589162636609426</v>
      </c>
      <c r="W55" s="158">
        <f t="shared" si="146"/>
        <v>4.8589162636609426</v>
      </c>
      <c r="X55" s="158">
        <f t="shared" si="146"/>
        <v>4.8589162636609435</v>
      </c>
      <c r="Y55" s="158">
        <f t="shared" si="146"/>
        <v>4.8589162636609435</v>
      </c>
      <c r="Z55" s="158">
        <f t="shared" si="146"/>
        <v>4.8589162636609435</v>
      </c>
      <c r="AA55" s="158">
        <f t="shared" si="146"/>
        <v>4.8589162636609435</v>
      </c>
      <c r="AB55" s="158">
        <f t="shared" si="146"/>
        <v>4.8589162636609444</v>
      </c>
      <c r="AC55" s="138">
        <f t="shared" si="131"/>
        <v>9.7777392812921082E-3</v>
      </c>
      <c r="AD55" s="31">
        <f t="shared" si="17"/>
        <v>0.08</v>
      </c>
      <c r="AE55" s="146">
        <f t="shared" si="132"/>
        <v>131.19073911884553</v>
      </c>
    </row>
    <row r="56" spans="2:31" x14ac:dyDescent="0.2">
      <c r="B56" s="20" t="s">
        <v>255</v>
      </c>
      <c r="C56" s="127">
        <f t="shared" ref="C56:P56" si="147">C13/C39</f>
        <v>0</v>
      </c>
      <c r="D56" s="127">
        <f t="shared" si="147"/>
        <v>0</v>
      </c>
      <c r="E56" s="127">
        <f t="shared" si="147"/>
        <v>0</v>
      </c>
      <c r="F56" s="144">
        <f t="shared" si="147"/>
        <v>0</v>
      </c>
      <c r="G56" s="144">
        <f t="shared" si="147"/>
        <v>113.57027463651049</v>
      </c>
      <c r="H56" s="144">
        <f t="shared" si="147"/>
        <v>133.92425463336019</v>
      </c>
      <c r="I56" s="144">
        <f t="shared" si="147"/>
        <v>7.9571782375968683</v>
      </c>
      <c r="J56" s="144">
        <f t="shared" si="147"/>
        <v>6.6477061293923763</v>
      </c>
      <c r="K56" s="144">
        <f t="shared" si="147"/>
        <v>6.8593111500291881</v>
      </c>
      <c r="L56" s="144">
        <f t="shared" si="147"/>
        <v>6.6421153030945312</v>
      </c>
      <c r="M56" s="144">
        <f t="shared" si="147"/>
        <v>13.087661402268143</v>
      </c>
      <c r="N56" s="144">
        <f t="shared" si="147"/>
        <v>6.2896576679029739</v>
      </c>
      <c r="O56" s="144">
        <f t="shared" si="147"/>
        <v>6.6904503652374165</v>
      </c>
      <c r="P56" s="144">
        <f t="shared" si="147"/>
        <v>1.033217826180775</v>
      </c>
      <c r="Q56" s="118">
        <f>((P56/G56)^(1/($H$2-$H$1) ))-1</f>
        <v>-0.40678225324626094</v>
      </c>
      <c r="R56" s="128"/>
      <c r="S56" s="158">
        <f t="shared" ref="S56:AB56" si="148">S13/S39</f>
        <v>1.033217826180775</v>
      </c>
      <c r="T56" s="158">
        <f t="shared" si="148"/>
        <v>1.033217826180775</v>
      </c>
      <c r="U56" s="158">
        <f t="shared" si="148"/>
        <v>1.0332178261807752</v>
      </c>
      <c r="V56" s="158">
        <f t="shared" si="148"/>
        <v>1.0332178261807752</v>
      </c>
      <c r="W56" s="158">
        <f t="shared" si="148"/>
        <v>1.0332178261807752</v>
      </c>
      <c r="X56" s="158">
        <f t="shared" si="148"/>
        <v>1.0332178261807752</v>
      </c>
      <c r="Y56" s="158">
        <f t="shared" si="148"/>
        <v>1.0332178261807752</v>
      </c>
      <c r="Z56" s="158">
        <f t="shared" si="148"/>
        <v>1.0332178261807752</v>
      </c>
      <c r="AA56" s="158">
        <f t="shared" si="148"/>
        <v>1.0332178261807754</v>
      </c>
      <c r="AB56" s="158">
        <f t="shared" si="148"/>
        <v>1.0332178261807754</v>
      </c>
      <c r="AC56" s="138">
        <f t="shared" si="131"/>
        <v>-0.21913651163419012</v>
      </c>
      <c r="AD56" s="31">
        <f t="shared" si="17"/>
        <v>0.08</v>
      </c>
      <c r="AE56" s="146">
        <f t="shared" si="132"/>
        <v>27.896881306880942</v>
      </c>
    </row>
    <row r="57" spans="2:31" x14ac:dyDescent="0.2">
      <c r="B57" s="20" t="s">
        <v>256</v>
      </c>
      <c r="C57" s="127">
        <f>(C55+C56)</f>
        <v>0</v>
      </c>
      <c r="D57" s="127">
        <f t="shared" ref="D57:P57" si="149">(D55+D56)</f>
        <v>0</v>
      </c>
      <c r="E57" s="127">
        <f t="shared" si="149"/>
        <v>0</v>
      </c>
      <c r="F57" s="144">
        <f t="shared" si="149"/>
        <v>0</v>
      </c>
      <c r="G57" s="144">
        <f t="shared" si="149"/>
        <v>117.60904684975766</v>
      </c>
      <c r="H57" s="144">
        <f t="shared" si="149"/>
        <v>136.98630136986301</v>
      </c>
      <c r="I57" s="144">
        <f t="shared" si="149"/>
        <v>8.2501131794093361</v>
      </c>
      <c r="J57" s="144">
        <f t="shared" si="149"/>
        <v>7.168677901228004</v>
      </c>
      <c r="K57" s="144">
        <f t="shared" si="149"/>
        <v>7.5359549965504424</v>
      </c>
      <c r="L57" s="144">
        <f t="shared" si="149"/>
        <v>7.4051504874947005</v>
      </c>
      <c r="M57" s="144">
        <f t="shared" si="149"/>
        <v>13.781723894083443</v>
      </c>
      <c r="N57" s="144">
        <f t="shared" si="149"/>
        <v>6.5442421266202304</v>
      </c>
      <c r="O57" s="144">
        <f t="shared" ref="O57" si="150">(O55+O56)</f>
        <v>10.712945494548425</v>
      </c>
      <c r="P57" s="144">
        <f t="shared" si="149"/>
        <v>5.8921340898417167</v>
      </c>
      <c r="Q57" s="118">
        <f>((P57/G57)^(1/($H$2-$H$1) ))-1</f>
        <v>-0.2829707425977831</v>
      </c>
      <c r="R57" s="128"/>
      <c r="S57" s="158">
        <f t="shared" ref="S57:AB57" si="151">(S55+S56)</f>
        <v>5.8921340898417167</v>
      </c>
      <c r="T57" s="158">
        <f t="shared" si="151"/>
        <v>5.8921340898417176</v>
      </c>
      <c r="U57" s="158">
        <f t="shared" si="151"/>
        <v>5.8921340898417176</v>
      </c>
      <c r="V57" s="158">
        <f t="shared" si="151"/>
        <v>5.8921340898417176</v>
      </c>
      <c r="W57" s="158">
        <f t="shared" si="151"/>
        <v>5.8921340898417176</v>
      </c>
      <c r="X57" s="158">
        <f t="shared" si="151"/>
        <v>5.8921340898417185</v>
      </c>
      <c r="Y57" s="158">
        <f t="shared" si="151"/>
        <v>5.8921340898417185</v>
      </c>
      <c r="Z57" s="158">
        <f t="shared" si="151"/>
        <v>5.8921340898417185</v>
      </c>
      <c r="AA57" s="158">
        <f t="shared" si="151"/>
        <v>5.8921340898417185</v>
      </c>
      <c r="AB57" s="158">
        <f t="shared" si="151"/>
        <v>5.8921340898417203</v>
      </c>
      <c r="AC57" s="138">
        <f t="shared" si="131"/>
        <v>-0.14577928379326355</v>
      </c>
      <c r="AD57" s="31">
        <f t="shared" si="17"/>
        <v>0.08</v>
      </c>
      <c r="AE57" s="146">
        <f t="shared" si="132"/>
        <v>159.0876204257265</v>
      </c>
    </row>
    <row r="58" spans="2:31" x14ac:dyDescent="0.2">
      <c r="B58" s="20" t="s">
        <v>249</v>
      </c>
      <c r="C58" s="127">
        <f t="shared" ref="C58:P58" si="152">C14/C39</f>
        <v>0</v>
      </c>
      <c r="D58" s="127">
        <f t="shared" si="152"/>
        <v>0</v>
      </c>
      <c r="E58" s="127">
        <f t="shared" si="152"/>
        <v>0</v>
      </c>
      <c r="F58" s="144">
        <f t="shared" si="152"/>
        <v>0</v>
      </c>
      <c r="G58" s="144">
        <f t="shared" si="152"/>
        <v>85.177705977382871</v>
      </c>
      <c r="H58" s="144">
        <f t="shared" si="152"/>
        <v>129.45205479452054</v>
      </c>
      <c r="I58" s="144">
        <f t="shared" si="152"/>
        <v>10.210114244627308</v>
      </c>
      <c r="J58" s="144">
        <f t="shared" si="152"/>
        <v>12.872787198979319</v>
      </c>
      <c r="K58" s="144">
        <f t="shared" si="152"/>
        <v>19.084009977179853</v>
      </c>
      <c r="L58" s="144">
        <f t="shared" si="152"/>
        <v>22.490991945739719</v>
      </c>
      <c r="M58" s="144">
        <f t="shared" si="152"/>
        <v>23.527408920667348</v>
      </c>
      <c r="N58" s="144">
        <f t="shared" si="152"/>
        <v>14.146883601917784</v>
      </c>
      <c r="O58" s="144">
        <f t="shared" si="152"/>
        <v>16.024438264338333</v>
      </c>
      <c r="P58" s="144">
        <f t="shared" si="152"/>
        <v>24.199383115646775</v>
      </c>
      <c r="Q58" s="118">
        <f>((P58/G58)^(1/($H$2-$H$1) ))-1</f>
        <v>-0.13048841472640449</v>
      </c>
      <c r="R58" s="128"/>
      <c r="S58" s="158">
        <f t="shared" ref="S58:AB58" si="153">S14/S39</f>
        <v>24.199383115646775</v>
      </c>
      <c r="T58" s="158">
        <f t="shared" si="153"/>
        <v>24.199383115646778</v>
      </c>
      <c r="U58" s="158">
        <f t="shared" si="153"/>
        <v>24.199383115646778</v>
      </c>
      <c r="V58" s="158">
        <f t="shared" si="153"/>
        <v>24.199383115646782</v>
      </c>
      <c r="W58" s="158">
        <f t="shared" si="153"/>
        <v>24.199383115646782</v>
      </c>
      <c r="X58" s="158">
        <f t="shared" si="153"/>
        <v>24.199383115646782</v>
      </c>
      <c r="Y58" s="158">
        <f t="shared" si="153"/>
        <v>24.199383115646782</v>
      </c>
      <c r="Z58" s="158">
        <f t="shared" si="153"/>
        <v>24.199383115646782</v>
      </c>
      <c r="AA58" s="158">
        <f t="shared" si="153"/>
        <v>24.199383115646782</v>
      </c>
      <c r="AB58" s="158">
        <f t="shared" si="153"/>
        <v>24.199383115646782</v>
      </c>
      <c r="AC58" s="138">
        <f t="shared" si="131"/>
        <v>-6.4086519019715515E-2</v>
      </c>
      <c r="AD58" s="31">
        <f t="shared" si="17"/>
        <v>0.08</v>
      </c>
      <c r="AE58" s="146">
        <f t="shared" si="132"/>
        <v>653.3833441224632</v>
      </c>
    </row>
    <row r="59" spans="2:31" x14ac:dyDescent="0.2">
      <c r="B59" s="20" t="s">
        <v>250</v>
      </c>
      <c r="C59" s="127">
        <f t="shared" ref="C59:P59" si="154">C15/C39</f>
        <v>0</v>
      </c>
      <c r="D59" s="127">
        <f t="shared" si="154"/>
        <v>0</v>
      </c>
      <c r="E59" s="127">
        <f t="shared" si="154"/>
        <v>0</v>
      </c>
      <c r="F59" s="144">
        <f t="shared" si="154"/>
        <v>0</v>
      </c>
      <c r="G59" s="144">
        <f t="shared" si="154"/>
        <v>22.536348949919223</v>
      </c>
      <c r="H59" s="144">
        <f t="shared" si="154"/>
        <v>17.365028203062046</v>
      </c>
      <c r="I59" s="144">
        <f t="shared" si="154"/>
        <v>4.0238608825330884</v>
      </c>
      <c r="J59" s="144">
        <f t="shared" si="154"/>
        <v>5.8290362022221034</v>
      </c>
      <c r="K59" s="144">
        <f t="shared" si="154"/>
        <v>4.6967043464416491</v>
      </c>
      <c r="L59" s="144">
        <f t="shared" si="154"/>
        <v>7.1614031369224245</v>
      </c>
      <c r="M59" s="144">
        <f t="shared" si="154"/>
        <v>-0.29072051543961658</v>
      </c>
      <c r="N59" s="144">
        <f t="shared" si="154"/>
        <v>1.7213527868598235</v>
      </c>
      <c r="O59" s="144">
        <f t="shared" si="154"/>
        <v>2.7142203556245534</v>
      </c>
      <c r="P59" s="144">
        <f t="shared" si="154"/>
        <v>11.506289427922267</v>
      </c>
      <c r="Q59" s="118">
        <f>((P59/G59)^(1/($H$2-$H$1) ))-1</f>
        <v>-7.1971520908821418E-2</v>
      </c>
      <c r="R59" s="128"/>
      <c r="S59" s="158">
        <f t="shared" ref="S59:AB59" si="155">S15/S39</f>
        <v>11.506289427922267</v>
      </c>
      <c r="T59" s="158">
        <f t="shared" si="155"/>
        <v>11.506289427922269</v>
      </c>
      <c r="U59" s="158">
        <f t="shared" si="155"/>
        <v>11.506289427922269</v>
      </c>
      <c r="V59" s="158">
        <f t="shared" si="155"/>
        <v>11.506289427922269</v>
      </c>
      <c r="W59" s="158">
        <f t="shared" si="155"/>
        <v>11.506289427922271</v>
      </c>
      <c r="X59" s="158">
        <f t="shared" si="155"/>
        <v>11.506289427922271</v>
      </c>
      <c r="Y59" s="158">
        <f t="shared" si="155"/>
        <v>11.506289427922271</v>
      </c>
      <c r="Z59" s="158">
        <f t="shared" si="155"/>
        <v>11.506289427922271</v>
      </c>
      <c r="AA59" s="158">
        <f t="shared" si="155"/>
        <v>11.506289427922271</v>
      </c>
      <c r="AB59" s="158">
        <f t="shared" si="155"/>
        <v>11.506289427922271</v>
      </c>
      <c r="AC59" s="138">
        <f t="shared" si="131"/>
        <v>-3.4762242797782061E-2</v>
      </c>
      <c r="AD59" s="137"/>
      <c r="AE59" s="146">
        <f t="shared" si="132"/>
        <v>95.885745232685593</v>
      </c>
    </row>
    <row r="60" spans="2:31" x14ac:dyDescent="0.2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31">
        <f t="shared" si="17"/>
        <v>0.08</v>
      </c>
      <c r="AE60" s="146">
        <f t="shared" si="132"/>
        <v>0</v>
      </c>
    </row>
    <row r="61" spans="2:31" x14ac:dyDescent="0.2">
      <c r="B61" s="20" t="s">
        <v>283</v>
      </c>
      <c r="C61" s="160">
        <f>C40</f>
        <v>1</v>
      </c>
      <c r="D61" s="160">
        <f t="shared" ref="D61:P61" si="156">D40</f>
        <v>1</v>
      </c>
      <c r="E61" s="160">
        <f t="shared" si="156"/>
        <v>1</v>
      </c>
      <c r="F61" s="160">
        <f t="shared" si="156"/>
        <v>8</v>
      </c>
      <c r="G61" s="160">
        <f t="shared" si="156"/>
        <v>20</v>
      </c>
      <c r="H61" s="160">
        <f t="shared" si="156"/>
        <v>31</v>
      </c>
      <c r="I61" s="160">
        <f t="shared" si="156"/>
        <v>2.65</v>
      </c>
      <c r="J61" s="160">
        <f t="shared" si="156"/>
        <v>3.1</v>
      </c>
      <c r="K61" s="160">
        <f t="shared" si="156"/>
        <v>3.5</v>
      </c>
      <c r="L61" s="160">
        <f t="shared" si="156"/>
        <v>3.7</v>
      </c>
      <c r="M61" s="160">
        <f t="shared" si="156"/>
        <v>10</v>
      </c>
      <c r="N61" s="160">
        <f t="shared" si="156"/>
        <v>4.45</v>
      </c>
      <c r="O61" s="160">
        <f t="shared" si="156"/>
        <v>4.5</v>
      </c>
      <c r="P61" s="160">
        <f t="shared" si="156"/>
        <v>5.25</v>
      </c>
      <c r="Q61" s="118">
        <f>((P61/G61)^(1/($H$2-$H$1) ))-1</f>
        <v>-0.13809616721712181</v>
      </c>
      <c r="R61" s="128"/>
      <c r="S61" s="160">
        <f t="shared" ref="S61:AB61" si="157">S40</f>
        <v>5.5125000000000002</v>
      </c>
      <c r="T61" s="160">
        <f t="shared" si="157"/>
        <v>5.7881250000000009</v>
      </c>
      <c r="U61" s="160">
        <f t="shared" si="157"/>
        <v>6.0775312500000007</v>
      </c>
      <c r="V61" s="160">
        <f t="shared" si="157"/>
        <v>6.3814078125000009</v>
      </c>
      <c r="W61" s="160">
        <f t="shared" si="157"/>
        <v>6.7004782031250016</v>
      </c>
      <c r="X61" s="160">
        <f t="shared" si="157"/>
        <v>7.0355021132812521</v>
      </c>
      <c r="Y61" s="160">
        <f t="shared" si="157"/>
        <v>7.3872772189453153</v>
      </c>
      <c r="Z61" s="160">
        <f t="shared" si="157"/>
        <v>7.7566410798925816</v>
      </c>
      <c r="AA61" s="160">
        <f t="shared" si="157"/>
        <v>8.1444731338872103</v>
      </c>
      <c r="AB61" s="160">
        <f t="shared" si="157"/>
        <v>8.5516967905815715</v>
      </c>
      <c r="AC61" s="138">
        <f t="shared" ref="AC61" si="158">((AB61/G61)^(1/($AB$3-$H$1) ))-1</f>
        <v>-4.3730903611055916E-2</v>
      </c>
      <c r="AD61" s="31">
        <f t="shared" si="17"/>
        <v>0.08</v>
      </c>
      <c r="AE61" s="146">
        <f t="shared" si="132"/>
        <v>230.89581334570249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39"/>
      <c r="AD62" s="137"/>
      <c r="AE62" s="155"/>
    </row>
    <row r="63" spans="2:31" x14ac:dyDescent="0.2">
      <c r="B63" s="20" t="s">
        <v>319</v>
      </c>
      <c r="C63" s="127">
        <f t="shared" ref="C63:P63" si="159">C19+C20</f>
        <v>0</v>
      </c>
      <c r="D63" s="127">
        <f t="shared" si="159"/>
        <v>0</v>
      </c>
      <c r="E63" s="127">
        <f t="shared" si="159"/>
        <v>0</v>
      </c>
      <c r="F63" s="144">
        <f t="shared" si="159"/>
        <v>0</v>
      </c>
      <c r="G63" s="144">
        <f t="shared" si="159"/>
        <v>102</v>
      </c>
      <c r="H63" s="144">
        <f t="shared" si="159"/>
        <v>413</v>
      </c>
      <c r="I63" s="144">
        <f t="shared" si="159"/>
        <v>1754</v>
      </c>
      <c r="J63" s="144">
        <f t="shared" si="159"/>
        <v>1059</v>
      </c>
      <c r="K63" s="144">
        <f t="shared" si="159"/>
        <v>986</v>
      </c>
      <c r="L63" s="144">
        <f t="shared" si="159"/>
        <v>2019</v>
      </c>
      <c r="M63" s="144">
        <f t="shared" si="159"/>
        <v>1099</v>
      </c>
      <c r="N63" s="144">
        <f t="shared" si="159"/>
        <v>4648</v>
      </c>
      <c r="O63" s="144">
        <f t="shared" si="159"/>
        <v>3805</v>
      </c>
      <c r="P63" s="144">
        <f t="shared" si="159"/>
        <v>3129</v>
      </c>
      <c r="Q63" s="118">
        <f>((P63/G63)^(1/($H$2-$H$1) ))-1</f>
        <v>0.46285270477963691</v>
      </c>
      <c r="R63" s="128"/>
      <c r="S63" s="144">
        <f t="shared" ref="S63:AB63" si="160">S19+S20</f>
        <v>3598.3499999999995</v>
      </c>
      <c r="T63" s="144">
        <f t="shared" si="160"/>
        <v>4138.1024999999991</v>
      </c>
      <c r="U63" s="144">
        <f t="shared" si="160"/>
        <v>4758.8178749999979</v>
      </c>
      <c r="V63" s="144">
        <f t="shared" si="160"/>
        <v>5472.6405562499967</v>
      </c>
      <c r="W63" s="144">
        <f t="shared" si="160"/>
        <v>6293.5366396874961</v>
      </c>
      <c r="X63" s="144">
        <f t="shared" si="160"/>
        <v>7237.5671356406201</v>
      </c>
      <c r="Y63" s="144">
        <f t="shared" si="160"/>
        <v>8323.2022059867122</v>
      </c>
      <c r="Z63" s="144">
        <f t="shared" si="160"/>
        <v>9571.6825368847185</v>
      </c>
      <c r="AA63" s="144">
        <f t="shared" si="160"/>
        <v>11007.434917417424</v>
      </c>
      <c r="AB63" s="144">
        <f t="shared" si="160"/>
        <v>12658.550155030038</v>
      </c>
      <c r="AC63" s="138">
        <f t="shared" ref="AC63:AC68" si="161">((AB63/G63)^(1/($AB$3-$H$1) ))-1</f>
        <v>0.2888404180396682</v>
      </c>
      <c r="AD63" s="31">
        <f t="shared" si="17"/>
        <v>0.08</v>
      </c>
      <c r="AE63" s="146">
        <f t="shared" si="132"/>
        <v>341780.85418581107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39"/>
      <c r="AD64" s="137"/>
      <c r="AE64" s="146"/>
    </row>
    <row r="65" spans="2:31" x14ac:dyDescent="0.2">
      <c r="B65" s="20" t="s">
        <v>320</v>
      </c>
      <c r="C65" s="127">
        <f t="shared" ref="C65:P65" si="162">C63/C39</f>
        <v>0</v>
      </c>
      <c r="D65" s="127">
        <f t="shared" si="162"/>
        <v>0</v>
      </c>
      <c r="E65" s="127">
        <f t="shared" si="162"/>
        <v>0</v>
      </c>
      <c r="F65" s="144">
        <f t="shared" si="162"/>
        <v>0</v>
      </c>
      <c r="G65" s="144">
        <f t="shared" si="162"/>
        <v>4.1195476575121157</v>
      </c>
      <c r="H65" s="144">
        <f t="shared" si="162"/>
        <v>16.639806607574535</v>
      </c>
      <c r="I65" s="144">
        <f t="shared" si="162"/>
        <v>4.6709807994460864</v>
      </c>
      <c r="J65" s="144">
        <f t="shared" si="162"/>
        <v>2.8148423794588271</v>
      </c>
      <c r="K65" s="144">
        <f t="shared" si="162"/>
        <v>2.616356206548851</v>
      </c>
      <c r="L65" s="144">
        <f t="shared" si="162"/>
        <v>5.3491945739720217</v>
      </c>
      <c r="M65" s="144">
        <f t="shared" si="162"/>
        <v>2.878395013226474</v>
      </c>
      <c r="N65" s="144">
        <f t="shared" si="162"/>
        <v>6.0066424574507957</v>
      </c>
      <c r="O65" s="144">
        <f t="shared" si="162"/>
        <v>4.8899661236512433</v>
      </c>
      <c r="P65" s="144">
        <f t="shared" si="162"/>
        <v>3.9716690148889988</v>
      </c>
      <c r="Q65" s="118">
        <f>((P65/G65)^(1/($H$2-$H$1) ))-1</f>
        <v>-4.0536453024813124E-3</v>
      </c>
      <c r="R65" s="128"/>
      <c r="S65" s="146">
        <f t="shared" ref="S65:AB65" si="163">S63/S39</f>
        <v>3.9716690148889984</v>
      </c>
      <c r="T65" s="146">
        <f t="shared" si="163"/>
        <v>3.9716690148889984</v>
      </c>
      <c r="U65" s="146">
        <f t="shared" si="163"/>
        <v>3.9716690148889984</v>
      </c>
      <c r="V65" s="146">
        <f t="shared" si="163"/>
        <v>3.9716690148889979</v>
      </c>
      <c r="W65" s="146">
        <f t="shared" si="163"/>
        <v>3.9716690148889984</v>
      </c>
      <c r="X65" s="146">
        <f t="shared" si="163"/>
        <v>3.9716690148889988</v>
      </c>
      <c r="Y65" s="146">
        <f t="shared" si="163"/>
        <v>3.9716690148889984</v>
      </c>
      <c r="Z65" s="146">
        <f t="shared" si="163"/>
        <v>3.9716690148889988</v>
      </c>
      <c r="AA65" s="146">
        <f t="shared" si="163"/>
        <v>3.9716690148889984</v>
      </c>
      <c r="AB65" s="146">
        <f t="shared" si="163"/>
        <v>3.9716690148889988</v>
      </c>
      <c r="AC65" s="138">
        <f t="shared" si="161"/>
        <v>-1.9222003253774878E-3</v>
      </c>
      <c r="AD65" s="31">
        <f t="shared" si="17"/>
        <v>0.08</v>
      </c>
      <c r="AE65" s="146">
        <f t="shared" si="132"/>
        <v>107.23506340200299</v>
      </c>
    </row>
    <row r="66" spans="2:31" x14ac:dyDescent="0.2">
      <c r="B66" s="20" t="s">
        <v>288</v>
      </c>
      <c r="C66" s="127">
        <f t="shared" ref="C66:P66" si="164">C19/C39</f>
        <v>0</v>
      </c>
      <c r="D66" s="127">
        <f t="shared" si="164"/>
        <v>0</v>
      </c>
      <c r="E66" s="127">
        <f t="shared" si="164"/>
        <v>0</v>
      </c>
      <c r="F66" s="144">
        <f t="shared" si="164"/>
        <v>0</v>
      </c>
      <c r="G66" s="144">
        <f t="shared" si="164"/>
        <v>76.453957996768978</v>
      </c>
      <c r="H66" s="144">
        <f t="shared" si="164"/>
        <v>74.576954069298949</v>
      </c>
      <c r="I66" s="144">
        <f t="shared" si="164"/>
        <v>5.1370136614204682</v>
      </c>
      <c r="J66" s="144">
        <f t="shared" si="164"/>
        <v>5.6908192015310188</v>
      </c>
      <c r="K66" s="144">
        <f t="shared" si="164"/>
        <v>7.2228413734543331</v>
      </c>
      <c r="L66" s="144">
        <f t="shared" si="164"/>
        <v>8.6874735057227639</v>
      </c>
      <c r="M66" s="144">
        <f t="shared" si="164"/>
        <v>12.126450328697519</v>
      </c>
      <c r="N66" s="144">
        <f t="shared" si="164"/>
        <v>6.8027035060286121</v>
      </c>
      <c r="O66" s="144">
        <f t="shared" si="164"/>
        <v>7.7301304162318596</v>
      </c>
      <c r="P66" s="144">
        <f t="shared" si="164"/>
        <v>8.5157965550943722</v>
      </c>
      <c r="Q66" s="118">
        <f>((P66/G66)^(1/($H$2-$H$1) ))-1</f>
        <v>-0.21640492013644252</v>
      </c>
      <c r="R66" s="128"/>
      <c r="S66" s="146">
        <f t="shared" ref="S66:AB66" si="165">S19/S39</f>
        <v>8.5157965550943722</v>
      </c>
      <c r="T66" s="146">
        <f t="shared" si="165"/>
        <v>8.5157965550943722</v>
      </c>
      <c r="U66" s="146">
        <f t="shared" si="165"/>
        <v>8.5157965550943722</v>
      </c>
      <c r="V66" s="146">
        <f t="shared" si="165"/>
        <v>8.5157965550943722</v>
      </c>
      <c r="W66" s="146">
        <f t="shared" si="165"/>
        <v>8.5157965550943739</v>
      </c>
      <c r="X66" s="146">
        <f t="shared" si="165"/>
        <v>8.5157965550943739</v>
      </c>
      <c r="Y66" s="146">
        <f t="shared" si="165"/>
        <v>8.5157965550943739</v>
      </c>
      <c r="Z66" s="146">
        <f t="shared" si="165"/>
        <v>8.5157965550943739</v>
      </c>
      <c r="AA66" s="146">
        <f t="shared" si="165"/>
        <v>8.5157965550943739</v>
      </c>
      <c r="AB66" s="146">
        <f t="shared" si="165"/>
        <v>8.5157965550943757</v>
      </c>
      <c r="AC66" s="138">
        <f t="shared" si="161"/>
        <v>-0.10909189336006597</v>
      </c>
      <c r="AD66" s="31">
        <f t="shared" si="17"/>
        <v>0.08</v>
      </c>
      <c r="AE66" s="146">
        <f t="shared" si="132"/>
        <v>229.92650698754818</v>
      </c>
    </row>
    <row r="67" spans="2:31" x14ac:dyDescent="0.2">
      <c r="B67" s="20" t="s">
        <v>289</v>
      </c>
      <c r="C67" s="127">
        <f t="shared" ref="C67:P67" si="166">C20/C39</f>
        <v>0</v>
      </c>
      <c r="D67" s="127">
        <f t="shared" si="166"/>
        <v>0</v>
      </c>
      <c r="E67" s="127">
        <f t="shared" si="166"/>
        <v>0</v>
      </c>
      <c r="F67" s="144">
        <f t="shared" si="166"/>
        <v>0</v>
      </c>
      <c r="G67" s="144">
        <f t="shared" si="166"/>
        <v>-72.334410339256863</v>
      </c>
      <c r="H67" s="144">
        <f t="shared" si="166"/>
        <v>-57.937147461724415</v>
      </c>
      <c r="I67" s="144">
        <f t="shared" si="166"/>
        <v>-0.46603286197438154</v>
      </c>
      <c r="J67" s="144">
        <f t="shared" si="166"/>
        <v>-2.8759768220721917</v>
      </c>
      <c r="K67" s="144">
        <f t="shared" si="166"/>
        <v>-4.6064851669054816</v>
      </c>
      <c r="L67" s="144">
        <f t="shared" si="166"/>
        <v>-3.3382789317507418</v>
      </c>
      <c r="M67" s="144">
        <f t="shared" si="166"/>
        <v>-9.2480553154710456</v>
      </c>
      <c r="N67" s="144">
        <f t="shared" si="166"/>
        <v>-0.79606104857781634</v>
      </c>
      <c r="O67" s="144">
        <f t="shared" si="166"/>
        <v>-2.8401642925806168</v>
      </c>
      <c r="P67" s="144">
        <f t="shared" si="166"/>
        <v>-4.5441275402053742</v>
      </c>
      <c r="Q67" s="118">
        <f>((P67/G67)^(1/($H$2-$H$1) ))-1</f>
        <v>-0.26471420809508783</v>
      </c>
      <c r="R67" s="128"/>
      <c r="S67" s="146">
        <f t="shared" ref="S67:AB67" si="167">S20/S39</f>
        <v>-4.5441275402053742</v>
      </c>
      <c r="T67" s="146">
        <f t="shared" si="167"/>
        <v>-4.5441275402053742</v>
      </c>
      <c r="U67" s="146">
        <f t="shared" si="167"/>
        <v>-4.5441275402053751</v>
      </c>
      <c r="V67" s="146">
        <f t="shared" si="167"/>
        <v>-4.5441275402053751</v>
      </c>
      <c r="W67" s="146">
        <f t="shared" si="167"/>
        <v>-4.5441275402053751</v>
      </c>
      <c r="X67" s="146">
        <f t="shared" si="167"/>
        <v>-4.5441275402053751</v>
      </c>
      <c r="Y67" s="146">
        <f t="shared" si="167"/>
        <v>-4.5441275402053751</v>
      </c>
      <c r="Z67" s="146">
        <f t="shared" si="167"/>
        <v>-4.544127540205376</v>
      </c>
      <c r="AA67" s="146">
        <f t="shared" si="167"/>
        <v>-4.544127540205376</v>
      </c>
      <c r="AB67" s="146">
        <f t="shared" si="167"/>
        <v>-4.544127540205376</v>
      </c>
      <c r="AC67" s="138">
        <f t="shared" si="161"/>
        <v>-0.13554498477398658</v>
      </c>
      <c r="AD67" s="31">
        <f t="shared" si="17"/>
        <v>0.08</v>
      </c>
      <c r="AE67" s="146">
        <f t="shared" si="132"/>
        <v>-122.69144358554517</v>
      </c>
    </row>
    <row r="68" spans="2:31" x14ac:dyDescent="0.2">
      <c r="B68" s="20" t="s">
        <v>290</v>
      </c>
      <c r="C68" s="127">
        <f t="shared" ref="C68:P68" si="168">C21/C39</f>
        <v>0</v>
      </c>
      <c r="D68" s="127">
        <f t="shared" si="168"/>
        <v>0</v>
      </c>
      <c r="E68" s="127">
        <f t="shared" si="168"/>
        <v>0</v>
      </c>
      <c r="F68" s="144">
        <f t="shared" si="168"/>
        <v>0</v>
      </c>
      <c r="G68" s="144">
        <f t="shared" si="168"/>
        <v>-18.05331179321486</v>
      </c>
      <c r="H68" s="144">
        <f t="shared" si="168"/>
        <v>-16.800966962127315</v>
      </c>
      <c r="I68" s="144">
        <f t="shared" si="168"/>
        <v>-2.5405448589917712</v>
      </c>
      <c r="J68" s="144">
        <f t="shared" si="168"/>
        <v>-2.6952315134761573</v>
      </c>
      <c r="K68" s="144">
        <f t="shared" si="168"/>
        <v>-3.4920129491057685</v>
      </c>
      <c r="L68" s="144">
        <f t="shared" si="168"/>
        <v>-4.1225095379398047</v>
      </c>
      <c r="M68" s="144">
        <f t="shared" si="168"/>
        <v>-2.6426756763835417</v>
      </c>
      <c r="N68" s="144">
        <f t="shared" si="168"/>
        <v>-4.5889817913958213</v>
      </c>
      <c r="O68" s="144">
        <f t="shared" si="168"/>
        <v>-4.1715716261161457</v>
      </c>
      <c r="P68" s="144">
        <f t="shared" si="168"/>
        <v>-4.1024078798725609</v>
      </c>
      <c r="Q68" s="118">
        <f>((P68/G68)^(1/($H$2-$H$1) ))-1</f>
        <v>-0.15180053344452404</v>
      </c>
      <c r="R68" s="128"/>
      <c r="S68" s="146">
        <f t="shared" ref="S68:AB68" si="169">S21/S39</f>
        <v>-4.1024078798725609</v>
      </c>
      <c r="T68" s="146">
        <f t="shared" si="169"/>
        <v>-4.1024078798725618</v>
      </c>
      <c r="U68" s="146">
        <f t="shared" si="169"/>
        <v>-4.1024078798725618</v>
      </c>
      <c r="V68" s="146">
        <f t="shared" si="169"/>
        <v>-4.1024078798725618</v>
      </c>
      <c r="W68" s="146">
        <f t="shared" si="169"/>
        <v>-4.1024078798725618</v>
      </c>
      <c r="X68" s="146">
        <f t="shared" si="169"/>
        <v>-4.1024078798725618</v>
      </c>
      <c r="Y68" s="146">
        <f t="shared" si="169"/>
        <v>-4.1024078798725618</v>
      </c>
      <c r="Z68" s="146">
        <f t="shared" si="169"/>
        <v>-4.1024078798725618</v>
      </c>
      <c r="AA68" s="146">
        <f t="shared" si="169"/>
        <v>-4.1024078798725627</v>
      </c>
      <c r="AB68" s="146">
        <f t="shared" si="169"/>
        <v>-4.1024078798725618</v>
      </c>
      <c r="AC68" s="138">
        <f t="shared" si="161"/>
        <v>-7.5023649015655725E-2</v>
      </c>
      <c r="AD68" s="31">
        <f t="shared" si="17"/>
        <v>0.08</v>
      </c>
      <c r="AE68" s="146">
        <f t="shared" si="132"/>
        <v>-110.76501275655919</v>
      </c>
    </row>
    <row r="69" spans="2:31" x14ac:dyDescent="0.2">
      <c r="B69" s="20" t="s">
        <v>297</v>
      </c>
      <c r="C69" s="127">
        <f t="shared" ref="C69:P69" si="170">C22/C39</f>
        <v>0</v>
      </c>
      <c r="D69" s="127">
        <f t="shared" si="170"/>
        <v>0</v>
      </c>
      <c r="E69" s="127">
        <f t="shared" si="170"/>
        <v>0</v>
      </c>
      <c r="F69" s="144">
        <f t="shared" si="170"/>
        <v>0</v>
      </c>
      <c r="G69" s="144">
        <f t="shared" si="170"/>
        <v>1.3731825525040386</v>
      </c>
      <c r="H69" s="144">
        <f t="shared" si="170"/>
        <v>2.2562449637389204</v>
      </c>
      <c r="I69" s="144">
        <f t="shared" si="170"/>
        <v>2.2769034113605495</v>
      </c>
      <c r="J69" s="144">
        <f t="shared" si="170"/>
        <v>2.392217319653394</v>
      </c>
      <c r="K69" s="144">
        <f t="shared" si="170"/>
        <v>1.5124980098710397</v>
      </c>
      <c r="L69" s="144">
        <f t="shared" si="170"/>
        <v>2.7342094107672743</v>
      </c>
      <c r="M69" s="144">
        <f t="shared" si="170"/>
        <v>2.8338702496005865</v>
      </c>
      <c r="N69" s="144">
        <f t="shared" si="170"/>
        <v>2.8159367286543211</v>
      </c>
      <c r="O69" s="144">
        <f t="shared" si="170"/>
        <v>3.5174342392729177</v>
      </c>
      <c r="P69" s="144">
        <f t="shared" si="170"/>
        <v>0.19801226152850232</v>
      </c>
      <c r="Q69" s="118">
        <f>((P69/G69)^(1/($H$2-$H$1) ))-1</f>
        <v>-0.19359811527145954</v>
      </c>
      <c r="R69" s="128"/>
      <c r="S69" s="146">
        <f t="shared" ref="S69:AB69" si="171">S22/S39</f>
        <v>0.19801226152850232</v>
      </c>
      <c r="T69" s="146">
        <f t="shared" si="171"/>
        <v>0.19801226152850232</v>
      </c>
      <c r="U69" s="146">
        <f t="shared" si="171"/>
        <v>0.19801226152850235</v>
      </c>
      <c r="V69" s="146">
        <f t="shared" si="171"/>
        <v>0.19801226152850235</v>
      </c>
      <c r="W69" s="146">
        <f t="shared" si="171"/>
        <v>0.19801226152850238</v>
      </c>
      <c r="X69" s="146">
        <f t="shared" si="171"/>
        <v>0.19801226152850238</v>
      </c>
      <c r="Y69" s="146">
        <f t="shared" si="171"/>
        <v>0.19801226152850238</v>
      </c>
      <c r="Z69" s="146">
        <f t="shared" si="171"/>
        <v>0.19801226152850238</v>
      </c>
      <c r="AA69" s="146">
        <f t="shared" si="171"/>
        <v>0.19801226152850238</v>
      </c>
      <c r="AB69" s="146">
        <f t="shared" si="171"/>
        <v>0.19801226152850238</v>
      </c>
      <c r="AC69" s="138">
        <f t="shared" ref="AC69" si="172">((AB69/G69)^(1/($AB$3-$H$1) ))-1</f>
        <v>-9.6901882025681951E-2</v>
      </c>
      <c r="AD69" s="31">
        <f t="shared" si="17"/>
        <v>0.08</v>
      </c>
      <c r="AE69" s="146">
        <f t="shared" si="132"/>
        <v>5.3463310612695656</v>
      </c>
    </row>
    <row r="70" spans="2:31" x14ac:dyDescent="0.2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39"/>
      <c r="AD70" s="137"/>
      <c r="AE70" s="155"/>
    </row>
    <row r="71" spans="2:31" x14ac:dyDescent="0.2">
      <c r="B71" s="20" t="s">
        <v>313</v>
      </c>
      <c r="C71" s="144">
        <f t="shared" ref="C71:P71" si="173">C35/C39</f>
        <v>0</v>
      </c>
      <c r="D71" s="144">
        <f t="shared" si="173"/>
        <v>0</v>
      </c>
      <c r="E71" s="144">
        <f t="shared" si="173"/>
        <v>0</v>
      </c>
      <c r="F71" s="144">
        <f t="shared" si="173"/>
        <v>0</v>
      </c>
      <c r="G71" s="144">
        <f t="shared" si="173"/>
        <v>98.061389337641344</v>
      </c>
      <c r="H71" s="144">
        <f t="shared" si="173"/>
        <v>110.23368251410153</v>
      </c>
      <c r="I71" s="144">
        <f t="shared" si="173"/>
        <v>8.9425048600569887</v>
      </c>
      <c r="J71" s="144">
        <f t="shared" si="173"/>
        <v>10.767635957684332</v>
      </c>
      <c r="K71" s="144">
        <f t="shared" si="173"/>
        <v>12.073449026163562</v>
      </c>
      <c r="L71" s="144">
        <f t="shared" si="173"/>
        <v>13.747880457821111</v>
      </c>
      <c r="M71" s="144">
        <f t="shared" si="173"/>
        <v>16.652261596081821</v>
      </c>
      <c r="N71" s="144">
        <f t="shared" si="173"/>
        <v>9.5656556519042155</v>
      </c>
      <c r="O71" s="144">
        <f t="shared" si="173"/>
        <v>11.834874647228462</v>
      </c>
      <c r="P71" s="144">
        <f t="shared" si="173"/>
        <v>14.206110455301269</v>
      </c>
      <c r="Q71" s="118">
        <f>((P71/G71)^(1/($H$2-$H$1) ))-1</f>
        <v>-0.19318263231730104</v>
      </c>
      <c r="R71" s="128"/>
      <c r="S71" s="144">
        <f t="shared" ref="S71:AB71" si="174">S35/S39</f>
        <v>14.206110455301269</v>
      </c>
      <c r="T71" s="144">
        <f t="shared" si="174"/>
        <v>14.206110455301271</v>
      </c>
      <c r="U71" s="144">
        <f t="shared" si="174"/>
        <v>14.206110455301273</v>
      </c>
      <c r="V71" s="144">
        <f t="shared" si="174"/>
        <v>14.206110455301271</v>
      </c>
      <c r="W71" s="144">
        <f t="shared" si="174"/>
        <v>14.206110455301273</v>
      </c>
      <c r="X71" s="144">
        <f t="shared" si="174"/>
        <v>14.206110455301275</v>
      </c>
      <c r="Y71" s="144">
        <f t="shared" si="174"/>
        <v>14.206110455301275</v>
      </c>
      <c r="Z71" s="144">
        <f t="shared" si="174"/>
        <v>14.206110455301276</v>
      </c>
      <c r="AA71" s="144">
        <f t="shared" si="174"/>
        <v>14.206110455301276</v>
      </c>
      <c r="AB71" s="144">
        <f t="shared" si="174"/>
        <v>14.206110455301278</v>
      </c>
      <c r="AC71" s="138">
        <f t="shared" ref="AC71:AC73" si="175">((AB71/G71)^(1/($AB$3-$H$1) ))-1</f>
        <v>-9.668150483159188E-2</v>
      </c>
      <c r="AD71" s="31">
        <f t="shared" si="17"/>
        <v>0.08</v>
      </c>
      <c r="AE71" s="146">
        <f t="shared" si="132"/>
        <v>383.56498229313462</v>
      </c>
    </row>
    <row r="72" spans="2:31" x14ac:dyDescent="0.2">
      <c r="B72" s="20" t="s">
        <v>314</v>
      </c>
      <c r="C72" s="144">
        <f t="shared" ref="C72:P72" si="176">C37/C39</f>
        <v>0</v>
      </c>
      <c r="D72" s="144">
        <f t="shared" si="176"/>
        <v>0</v>
      </c>
      <c r="E72" s="144">
        <f t="shared" si="176"/>
        <v>0</v>
      </c>
      <c r="F72" s="144">
        <f t="shared" si="176"/>
        <v>0</v>
      </c>
      <c r="G72" s="144">
        <f t="shared" si="176"/>
        <v>66.155088852988683</v>
      </c>
      <c r="H72" s="144">
        <f t="shared" si="176"/>
        <v>90.975020145044311</v>
      </c>
      <c r="I72" s="144">
        <f t="shared" si="176"/>
        <v>6.1436446432851319</v>
      </c>
      <c r="J72" s="144">
        <f t="shared" si="176"/>
        <v>7.3706873637765131</v>
      </c>
      <c r="K72" s="144">
        <f t="shared" si="176"/>
        <v>8.4328397813511646</v>
      </c>
      <c r="L72" s="144">
        <f t="shared" si="176"/>
        <v>8.8994277236116996</v>
      </c>
      <c r="M72" s="144">
        <f t="shared" si="176"/>
        <v>11.026426756763835</v>
      </c>
      <c r="N72" s="144">
        <f t="shared" si="176"/>
        <v>6.5507036611054401</v>
      </c>
      <c r="O72" s="144">
        <f t="shared" si="176"/>
        <v>8.124669075879936</v>
      </c>
      <c r="P72" s="144">
        <f t="shared" si="176"/>
        <v>9.7647969739664635</v>
      </c>
      <c r="Q72" s="118">
        <f>((P72/G72)^(1/($H$2-$H$1) ))-1</f>
        <v>-0.19150419017476528</v>
      </c>
      <c r="R72" s="128"/>
      <c r="S72" s="144">
        <f t="shared" ref="S72:AB72" si="177">S37/S39</f>
        <v>9.7647969739664635</v>
      </c>
      <c r="T72" s="144">
        <f t="shared" si="177"/>
        <v>9.7647969739664653</v>
      </c>
      <c r="U72" s="144">
        <f t="shared" si="177"/>
        <v>9.7647969739664653</v>
      </c>
      <c r="V72" s="144">
        <f t="shared" si="177"/>
        <v>9.7647969739664653</v>
      </c>
      <c r="W72" s="144">
        <f t="shared" si="177"/>
        <v>9.7647969739664671</v>
      </c>
      <c r="X72" s="144">
        <f t="shared" si="177"/>
        <v>9.7647969739664653</v>
      </c>
      <c r="Y72" s="144">
        <f t="shared" si="177"/>
        <v>9.7647969739664653</v>
      </c>
      <c r="Z72" s="144">
        <f t="shared" si="177"/>
        <v>9.7647969739664671</v>
      </c>
      <c r="AA72" s="144">
        <f t="shared" si="177"/>
        <v>9.7647969739664671</v>
      </c>
      <c r="AB72" s="144">
        <f t="shared" si="177"/>
        <v>9.7647969739664671</v>
      </c>
      <c r="AC72" s="138">
        <f t="shared" si="175"/>
        <v>-9.5791846238350464E-2</v>
      </c>
      <c r="AD72" s="31">
        <f t="shared" si="17"/>
        <v>0.08</v>
      </c>
      <c r="AE72" s="146">
        <f t="shared" si="132"/>
        <v>263.64951829709469</v>
      </c>
    </row>
    <row r="73" spans="2:31" x14ac:dyDescent="0.2">
      <c r="B73" s="20" t="s">
        <v>315</v>
      </c>
      <c r="C73" s="144">
        <f t="shared" ref="C73:P73" si="178">C6/C39</f>
        <v>0</v>
      </c>
      <c r="D73" s="144">
        <f t="shared" si="178"/>
        <v>0</v>
      </c>
      <c r="E73" s="144">
        <f t="shared" si="178"/>
        <v>0</v>
      </c>
      <c r="F73" s="144">
        <f t="shared" si="178"/>
        <v>0</v>
      </c>
      <c r="G73" s="144">
        <f t="shared" si="178"/>
        <v>250.56542810985459</v>
      </c>
      <c r="H73" s="144">
        <f t="shared" si="178"/>
        <v>306.08380338436746</v>
      </c>
      <c r="I73" s="144">
        <f t="shared" si="178"/>
        <v>23.136534313333865</v>
      </c>
      <c r="J73" s="144">
        <f t="shared" si="178"/>
        <v>26.89383871139227</v>
      </c>
      <c r="K73" s="144">
        <f t="shared" si="178"/>
        <v>31.369739425781457</v>
      </c>
      <c r="L73" s="144">
        <f t="shared" si="178"/>
        <v>35.952734209410771</v>
      </c>
      <c r="M73" s="144">
        <f t="shared" si="178"/>
        <v>36.667452397789475</v>
      </c>
      <c r="N73" s="144">
        <f t="shared" si="178"/>
        <v>20.117341466251407</v>
      </c>
      <c r="O73" s="144">
        <f t="shared" si="178"/>
        <v>24.002266990865209</v>
      </c>
      <c r="P73" s="144">
        <f t="shared" si="178"/>
        <v>28.390642651333408</v>
      </c>
      <c r="Q73" s="118">
        <f>((P73/G73)^(1/($H$2-$H$1) ))-1</f>
        <v>-0.21491420518400561</v>
      </c>
      <c r="R73" s="128"/>
      <c r="S73" s="144">
        <f t="shared" ref="S73:AB73" si="179">S6/S39</f>
        <v>28.390642651333408</v>
      </c>
      <c r="T73" s="144">
        <f t="shared" si="179"/>
        <v>28.390642651333412</v>
      </c>
      <c r="U73" s="144">
        <f t="shared" si="179"/>
        <v>28.390642651333415</v>
      </c>
      <c r="V73" s="144">
        <f t="shared" si="179"/>
        <v>28.390642651333415</v>
      </c>
      <c r="W73" s="144">
        <f t="shared" si="179"/>
        <v>28.390642651333415</v>
      </c>
      <c r="X73" s="144">
        <f t="shared" si="179"/>
        <v>28.390642651333415</v>
      </c>
      <c r="Y73" s="144">
        <f t="shared" si="179"/>
        <v>28.390642651333415</v>
      </c>
      <c r="Z73" s="144">
        <f t="shared" si="179"/>
        <v>28.390642651333415</v>
      </c>
      <c r="AA73" s="144">
        <f t="shared" si="179"/>
        <v>28.390642651333415</v>
      </c>
      <c r="AB73" s="144">
        <f t="shared" si="179"/>
        <v>28.390642651333419</v>
      </c>
      <c r="AC73" s="138">
        <f t="shared" si="175"/>
        <v>-0.10828946279993479</v>
      </c>
      <c r="AD73" s="31">
        <f t="shared" ref="AD73" si="180">$L$1</f>
        <v>0.08</v>
      </c>
      <c r="AE73" s="146">
        <f t="shared" si="132"/>
        <v>766.54735158600249</v>
      </c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 x14ac:dyDescent="0.2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5"/>
    </row>
    <row r="76" spans="2:31" x14ac:dyDescent="0.2">
      <c r="B76" s="108" t="s">
        <v>312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 x14ac:dyDescent="0.2">
      <c r="B77" s="20" t="s">
        <v>310</v>
      </c>
      <c r="C77" s="153" t="e">
        <f t="shared" ref="C77:P77" si="181">C35/C24</f>
        <v>#DIV/0!</v>
      </c>
      <c r="D77" s="153" t="e">
        <f t="shared" si="181"/>
        <v>#DIV/0!</v>
      </c>
      <c r="E77" s="153" t="e">
        <f t="shared" si="181"/>
        <v>#DIV/0!</v>
      </c>
      <c r="F77" s="153" t="e">
        <f t="shared" si="181"/>
        <v>#DIV/0!</v>
      </c>
      <c r="G77" s="153">
        <f t="shared" si="181"/>
        <v>0.3289081549715524</v>
      </c>
      <c r="H77" s="153">
        <f t="shared" si="181"/>
        <v>0.31419384474046852</v>
      </c>
      <c r="I77" s="153">
        <f t="shared" si="181"/>
        <v>0.31637459958545316</v>
      </c>
      <c r="J77" s="153">
        <f t="shared" si="181"/>
        <v>0.30335480005990717</v>
      </c>
      <c r="K77" s="153">
        <f t="shared" si="181"/>
        <v>0.29699738903394257</v>
      </c>
      <c r="L77" s="153">
        <f t="shared" si="181"/>
        <v>0.30613569321533923</v>
      </c>
      <c r="M77" s="153">
        <f t="shared" si="181"/>
        <v>0.3235623409669211</v>
      </c>
      <c r="N77" s="153">
        <f t="shared" si="181"/>
        <v>0.31790070434633222</v>
      </c>
      <c r="O77" s="153">
        <f t="shared" si="181"/>
        <v>0.33582524979943112</v>
      </c>
      <c r="P77" s="153">
        <f t="shared" si="181"/>
        <v>0.35387485376418881</v>
      </c>
      <c r="Q77" s="118">
        <f t="shared" ref="Q77:Q98" si="182">((P77/G77)^(1/($H$2-$H$1) ))-1</f>
        <v>8.1625537525500391E-3</v>
      </c>
      <c r="R77" s="153"/>
      <c r="S77" s="153">
        <f t="shared" ref="S77:AB77" si="183">S35/S24</f>
        <v>0.35387485376418887</v>
      </c>
      <c r="T77" s="153">
        <f t="shared" si="183"/>
        <v>0.35387485376418887</v>
      </c>
      <c r="U77" s="153">
        <f t="shared" si="183"/>
        <v>0.35387485376418892</v>
      </c>
      <c r="V77" s="153">
        <f t="shared" si="183"/>
        <v>0.35387485376418887</v>
      </c>
      <c r="W77" s="153">
        <f t="shared" si="183"/>
        <v>0.35387485376418887</v>
      </c>
      <c r="X77" s="153">
        <f t="shared" si="183"/>
        <v>0.35387485376418892</v>
      </c>
      <c r="Y77" s="153">
        <f t="shared" si="183"/>
        <v>0.35387485376418892</v>
      </c>
      <c r="Z77" s="153">
        <f t="shared" si="183"/>
        <v>0.35387485376418898</v>
      </c>
      <c r="AA77" s="153">
        <f t="shared" si="183"/>
        <v>0.35387485376418898</v>
      </c>
      <c r="AB77" s="153">
        <f t="shared" si="183"/>
        <v>0.35387485376418898</v>
      </c>
      <c r="AC77" s="138">
        <f t="shared" ref="AC77:AC98" si="184">((AB77/G77)^(1/($AB$3-$H$1) ))-1</f>
        <v>3.8582018043455957E-3</v>
      </c>
      <c r="AD77" s="146"/>
      <c r="AE77" s="146"/>
    </row>
    <row r="78" spans="2:31" x14ac:dyDescent="0.2">
      <c r="B78" s="20" t="s">
        <v>267</v>
      </c>
      <c r="C78" s="153" t="e">
        <f t="shared" ref="C78:P78" si="185">C37/C24</f>
        <v>#DIV/0!</v>
      </c>
      <c r="D78" s="153" t="e">
        <f t="shared" si="185"/>
        <v>#DIV/0!</v>
      </c>
      <c r="E78" s="153" t="e">
        <f t="shared" si="185"/>
        <v>#DIV/0!</v>
      </c>
      <c r="F78" s="153" t="e">
        <f t="shared" si="185"/>
        <v>#DIV/0!</v>
      </c>
      <c r="G78" s="153">
        <f t="shared" si="185"/>
        <v>0.2218910864264427</v>
      </c>
      <c r="H78" s="153">
        <f t="shared" si="185"/>
        <v>0.2593017914561323</v>
      </c>
      <c r="I78" s="153">
        <f t="shared" si="185"/>
        <v>0.21735443753533071</v>
      </c>
      <c r="J78" s="153">
        <f t="shared" si="185"/>
        <v>0.20765313763666318</v>
      </c>
      <c r="K78" s="153">
        <f t="shared" si="185"/>
        <v>0.20744125326370758</v>
      </c>
      <c r="L78" s="153">
        <f t="shared" si="185"/>
        <v>0.19817109144542772</v>
      </c>
      <c r="M78" s="153">
        <f t="shared" si="185"/>
        <v>0.21424936386768448</v>
      </c>
      <c r="N78" s="153">
        <f t="shared" si="185"/>
        <v>0.21770314378972686</v>
      </c>
      <c r="O78" s="153">
        <f t="shared" si="185"/>
        <v>0.23054481802931953</v>
      </c>
      <c r="P78" s="153">
        <f t="shared" si="185"/>
        <v>0.24324153413222879</v>
      </c>
      <c r="Q78" s="118">
        <f t="shared" si="182"/>
        <v>1.0259859269912575E-2</v>
      </c>
      <c r="R78" s="153"/>
      <c r="S78" s="153">
        <f t="shared" ref="S78:AB78" si="186">S37/S24</f>
        <v>0.24324153413222879</v>
      </c>
      <c r="T78" s="153">
        <f t="shared" si="186"/>
        <v>0.24324153413222882</v>
      </c>
      <c r="U78" s="153">
        <f t="shared" si="186"/>
        <v>0.24324153413222885</v>
      </c>
      <c r="V78" s="153">
        <f t="shared" si="186"/>
        <v>0.24324153413222882</v>
      </c>
      <c r="W78" s="153">
        <f t="shared" si="186"/>
        <v>0.24324153413222882</v>
      </c>
      <c r="X78" s="153">
        <f t="shared" si="186"/>
        <v>0.24324153413222882</v>
      </c>
      <c r="Y78" s="153">
        <f t="shared" si="186"/>
        <v>0.24324153413222885</v>
      </c>
      <c r="Z78" s="153">
        <f t="shared" si="186"/>
        <v>0.24324153413222882</v>
      </c>
      <c r="AA78" s="153">
        <f t="shared" si="186"/>
        <v>0.24324153413222885</v>
      </c>
      <c r="AB78" s="153">
        <f t="shared" si="186"/>
        <v>0.24324153413222885</v>
      </c>
      <c r="AC78" s="138">
        <f t="shared" si="184"/>
        <v>4.8468797517231543E-3</v>
      </c>
      <c r="AD78" s="146"/>
      <c r="AE78" s="146"/>
    </row>
    <row r="79" spans="2:31" x14ac:dyDescent="0.2">
      <c r="B79" s="20" t="s">
        <v>311</v>
      </c>
      <c r="C79" s="153" t="e">
        <f t="shared" ref="C79:P79" si="187">C37/C7</f>
        <v>#DIV/0!</v>
      </c>
      <c r="D79" s="153" t="e">
        <f t="shared" si="187"/>
        <v>#DIV/0!</v>
      </c>
      <c r="E79" s="153" t="e">
        <f t="shared" si="187"/>
        <v>#DIV/0!</v>
      </c>
      <c r="F79" s="153" t="e">
        <f t="shared" si="187"/>
        <v>#DIV/0!</v>
      </c>
      <c r="G79" s="153">
        <f t="shared" si="187"/>
        <v>0.25387476751394916</v>
      </c>
      <c r="H79" s="153">
        <f t="shared" si="187"/>
        <v>0.28538928210313447</v>
      </c>
      <c r="I79" s="153">
        <f t="shared" si="187"/>
        <v>0.25078812914447224</v>
      </c>
      <c r="J79" s="153">
        <f t="shared" si="187"/>
        <v>0.26089001787562327</v>
      </c>
      <c r="K79" s="153">
        <f t="shared" si="187"/>
        <v>0.28223801065719362</v>
      </c>
      <c r="L79" s="153">
        <f t="shared" si="187"/>
        <v>0.23992857142857144</v>
      </c>
      <c r="M79" s="153">
        <f t="shared" si="187"/>
        <v>0.29155124653739611</v>
      </c>
      <c r="N79" s="153">
        <f t="shared" si="187"/>
        <v>0.30833333333333335</v>
      </c>
      <c r="O79" s="153">
        <f t="shared" si="187"/>
        <v>0.32490492342481242</v>
      </c>
      <c r="P79" s="153">
        <f t="shared" si="187"/>
        <v>0.33221056268083082</v>
      </c>
      <c r="Q79" s="118">
        <f t="shared" si="182"/>
        <v>3.0331789933647935E-2</v>
      </c>
      <c r="R79" s="20"/>
      <c r="S79" s="153">
        <f t="shared" ref="S79:AB79" si="188">S37/S7</f>
        <v>0.33221056268083082</v>
      </c>
      <c r="T79" s="153">
        <f t="shared" si="188"/>
        <v>0.33221056268083082</v>
      </c>
      <c r="U79" s="153">
        <f t="shared" si="188"/>
        <v>0.33221056268083088</v>
      </c>
      <c r="V79" s="153">
        <f t="shared" si="188"/>
        <v>0.33221056268083082</v>
      </c>
      <c r="W79" s="153">
        <f t="shared" si="188"/>
        <v>0.33221056268083082</v>
      </c>
      <c r="X79" s="153">
        <f t="shared" si="188"/>
        <v>0.33221056268083082</v>
      </c>
      <c r="Y79" s="153">
        <f t="shared" si="188"/>
        <v>0.33221056268083082</v>
      </c>
      <c r="Z79" s="153">
        <f t="shared" si="188"/>
        <v>0.33221056268083077</v>
      </c>
      <c r="AA79" s="153">
        <f t="shared" si="188"/>
        <v>0.33221056268083082</v>
      </c>
      <c r="AB79" s="153">
        <f t="shared" si="188"/>
        <v>0.33221056268083082</v>
      </c>
      <c r="AC79" s="138">
        <f t="shared" si="184"/>
        <v>1.4254742947781951E-2</v>
      </c>
      <c r="AD79" s="146"/>
      <c r="AE79" s="146"/>
    </row>
    <row r="80" spans="2:31" x14ac:dyDescent="0.2">
      <c r="B80" s="20" t="s">
        <v>322</v>
      </c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18" t="e">
        <f t="shared" si="182"/>
        <v>#DIV/0!</v>
      </c>
      <c r="R80" s="20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3"/>
      <c r="AD80" s="146"/>
      <c r="AE80" s="146"/>
    </row>
    <row r="81" spans="2:31" x14ac:dyDescent="0.2">
      <c r="B81" s="20" t="s">
        <v>327</v>
      </c>
      <c r="C81" s="153"/>
      <c r="D81" s="153"/>
      <c r="E81" s="153"/>
      <c r="F81" s="153"/>
      <c r="G81" s="153">
        <f>G28/G24</f>
        <v>1.35464643727987E-6</v>
      </c>
      <c r="H81" s="153">
        <f t="shared" ref="H81:P81" si="189">H28/H24</f>
        <v>6.0863573725310057E-3</v>
      </c>
      <c r="I81" s="153">
        <f t="shared" si="189"/>
        <v>2.1669493122291315E-3</v>
      </c>
      <c r="J81" s="153">
        <f t="shared" si="189"/>
        <v>1.2730268084469073E-3</v>
      </c>
      <c r="K81" s="153">
        <f t="shared" si="189"/>
        <v>1.762402088772846E-3</v>
      </c>
      <c r="L81" s="153">
        <f t="shared" si="189"/>
        <v>2.8112094395280236E-3</v>
      </c>
      <c r="M81" s="153">
        <f t="shared" si="189"/>
        <v>4.5801526717557254E-3</v>
      </c>
      <c r="N81" s="153">
        <f t="shared" si="189"/>
        <v>3.3499398728740765E-3</v>
      </c>
      <c r="O81" s="153">
        <f t="shared" si="189"/>
        <v>3.1726351104952228E-3</v>
      </c>
      <c r="P81" s="153">
        <f t="shared" si="189"/>
        <v>2.7191956239921585E-3</v>
      </c>
      <c r="Q81" s="118">
        <f t="shared" si="182"/>
        <v>1.3278616515552524</v>
      </c>
      <c r="R81" s="20"/>
      <c r="S81" s="153">
        <f t="shared" ref="S81:AB81" si="190">S28/S24</f>
        <v>2.7191956239921585E-3</v>
      </c>
      <c r="T81" s="153">
        <f t="shared" si="190"/>
        <v>2.7191956239921589E-3</v>
      </c>
      <c r="U81" s="153">
        <f t="shared" si="190"/>
        <v>2.7191956239921594E-3</v>
      </c>
      <c r="V81" s="153">
        <f t="shared" si="190"/>
        <v>2.7191956239921589E-3</v>
      </c>
      <c r="W81" s="153">
        <f t="shared" si="190"/>
        <v>2.7191956239921589E-3</v>
      </c>
      <c r="X81" s="153">
        <f t="shared" si="190"/>
        <v>2.7191956239921594E-3</v>
      </c>
      <c r="Y81" s="153">
        <f t="shared" si="190"/>
        <v>2.7191956239921594E-3</v>
      </c>
      <c r="Z81" s="153">
        <f t="shared" si="190"/>
        <v>2.7191956239921594E-3</v>
      </c>
      <c r="AA81" s="153">
        <f t="shared" si="190"/>
        <v>2.7191956239921598E-3</v>
      </c>
      <c r="AB81" s="153">
        <f t="shared" si="190"/>
        <v>2.7191956239921598E-3</v>
      </c>
      <c r="AC81" s="138">
        <f t="shared" si="184"/>
        <v>0.492182063914403</v>
      </c>
      <c r="AD81" s="146"/>
      <c r="AE81" s="146"/>
    </row>
    <row r="82" spans="2:31" x14ac:dyDescent="0.2">
      <c r="B82" s="20" t="s">
        <v>329</v>
      </c>
      <c r="C82" s="153"/>
      <c r="D82" s="153"/>
      <c r="E82" s="153"/>
      <c r="F82" s="153"/>
      <c r="G82" s="172">
        <f>G28/G12</f>
        <v>1E-4</v>
      </c>
      <c r="H82" s="172">
        <f t="shared" ref="H82:P82" si="191">H28/H12</f>
        <v>0.69736842105263153</v>
      </c>
      <c r="I82" s="172">
        <f t="shared" si="191"/>
        <v>0.20909090909090908</v>
      </c>
      <c r="J82" s="172">
        <f t="shared" si="191"/>
        <v>8.673469387755102E-2</v>
      </c>
      <c r="K82" s="172">
        <f t="shared" si="191"/>
        <v>0.10588235294117647</v>
      </c>
      <c r="L82" s="172">
        <f t="shared" si="191"/>
        <v>0.16545138888888888</v>
      </c>
      <c r="M82" s="172">
        <f t="shared" si="191"/>
        <v>0.33962264150943394</v>
      </c>
      <c r="N82" s="172">
        <f t="shared" si="191"/>
        <v>0.39593908629441626</v>
      </c>
      <c r="O82" s="172">
        <f t="shared" si="191"/>
        <v>2.779552715654952E-2</v>
      </c>
      <c r="P82" s="172">
        <f t="shared" si="191"/>
        <v>2.2466039707419019E-2</v>
      </c>
      <c r="Q82" s="118">
        <f t="shared" si="182"/>
        <v>0.8250750358795087</v>
      </c>
      <c r="R82" s="20"/>
      <c r="S82" s="153">
        <f t="shared" ref="S82:AB82" si="192">S28/S12</f>
        <v>2.2466039707419016E-2</v>
      </c>
      <c r="T82" s="153">
        <f t="shared" si="192"/>
        <v>2.2466039707419016E-2</v>
      </c>
      <c r="U82" s="153">
        <f t="shared" si="192"/>
        <v>2.2466039707419019E-2</v>
      </c>
      <c r="V82" s="153">
        <f t="shared" si="192"/>
        <v>2.2466039707419019E-2</v>
      </c>
      <c r="W82" s="153">
        <f t="shared" si="192"/>
        <v>2.2466039707419016E-2</v>
      </c>
      <c r="X82" s="153">
        <f t="shared" si="192"/>
        <v>2.2466039707419016E-2</v>
      </c>
      <c r="Y82" s="153">
        <f t="shared" si="192"/>
        <v>2.2466039707419012E-2</v>
      </c>
      <c r="Z82" s="153">
        <f t="shared" si="192"/>
        <v>2.2466039707419016E-2</v>
      </c>
      <c r="AA82" s="153">
        <f t="shared" si="192"/>
        <v>2.2466039707419019E-2</v>
      </c>
      <c r="AB82" s="153">
        <f t="shared" si="192"/>
        <v>2.2466039707419016E-2</v>
      </c>
      <c r="AC82" s="138">
        <f t="shared" si="184"/>
        <v>0.32973332766341956</v>
      </c>
      <c r="AD82" s="146"/>
      <c r="AE82" s="146"/>
    </row>
    <row r="83" spans="2:31" x14ac:dyDescent="0.2">
      <c r="B83" s="20" t="s">
        <v>330</v>
      </c>
      <c r="C83" s="153"/>
      <c r="D83" s="153"/>
      <c r="E83" s="153"/>
      <c r="F83" s="164">
        <f>F12+F13-F10</f>
        <v>0</v>
      </c>
      <c r="G83" s="164">
        <f>G12+G13-G10</f>
        <v>2761</v>
      </c>
      <c r="H83" s="164">
        <f t="shared" ref="H83:P83" si="193">H12+H13-H10</f>
        <v>3154</v>
      </c>
      <c r="I83" s="164">
        <f t="shared" si="193"/>
        <v>2952</v>
      </c>
      <c r="J83" s="164">
        <f t="shared" si="193"/>
        <v>2489</v>
      </c>
      <c r="K83" s="164">
        <f t="shared" si="193"/>
        <v>2616</v>
      </c>
      <c r="L83" s="164">
        <f t="shared" si="193"/>
        <v>2608</v>
      </c>
      <c r="M83" s="164">
        <f t="shared" si="193"/>
        <v>5152</v>
      </c>
      <c r="N83" s="164">
        <f t="shared" si="193"/>
        <v>4939</v>
      </c>
      <c r="O83" s="164">
        <f t="shared" si="193"/>
        <v>8255</v>
      </c>
      <c r="P83" s="164">
        <f t="shared" si="193"/>
        <v>4552</v>
      </c>
      <c r="Q83" s="118">
        <f t="shared" si="182"/>
        <v>5.7124663105330153E-2</v>
      </c>
      <c r="R83" s="20"/>
      <c r="S83" s="164">
        <f t="shared" ref="S83:AB83" si="194">S12+S13-S10</f>
        <v>5234.7999999999993</v>
      </c>
      <c r="T83" s="164">
        <f t="shared" si="194"/>
        <v>6020.02</v>
      </c>
      <c r="U83" s="164">
        <f t="shared" si="194"/>
        <v>6923.0229999999992</v>
      </c>
      <c r="V83" s="164">
        <f t="shared" si="194"/>
        <v>7961.4764499999974</v>
      </c>
      <c r="W83" s="164">
        <f t="shared" si="194"/>
        <v>9155.697917499996</v>
      </c>
      <c r="X83" s="164">
        <f t="shared" si="194"/>
        <v>10529.052605124996</v>
      </c>
      <c r="Y83" s="164">
        <f t="shared" si="194"/>
        <v>12108.410495893746</v>
      </c>
      <c r="Z83" s="164">
        <f t="shared" si="194"/>
        <v>13924.672070277808</v>
      </c>
      <c r="AA83" s="164">
        <f t="shared" si="194"/>
        <v>16013.372880819476</v>
      </c>
      <c r="AB83" s="164">
        <f t="shared" si="194"/>
        <v>18415.378812942396</v>
      </c>
      <c r="AC83" s="138">
        <f t="shared" si="184"/>
        <v>0.10503093015073439</v>
      </c>
      <c r="AD83" s="146"/>
      <c r="AE83" s="146"/>
    </row>
    <row r="84" spans="2:31" ht="12" customHeight="1" x14ac:dyDescent="0.2">
      <c r="B84" s="20" t="s">
        <v>325</v>
      </c>
      <c r="C84" s="20"/>
      <c r="D84" s="20"/>
      <c r="E84" s="20"/>
      <c r="F84" s="20"/>
      <c r="G84" s="153">
        <f t="shared" ref="G84:P84" si="195">G37/G17</f>
        <v>0.44668666484865011</v>
      </c>
      <c r="H84" s="153">
        <f t="shared" si="195"/>
        <v>0.5429189709064679</v>
      </c>
      <c r="I84" s="153">
        <f t="shared" si="195"/>
        <v>0.51484043740236551</v>
      </c>
      <c r="J84" s="153">
        <f t="shared" si="195"/>
        <v>0.54759083728278046</v>
      </c>
      <c r="K84" s="153">
        <f t="shared" si="195"/>
        <v>0.47955334238720387</v>
      </c>
      <c r="L84" s="153">
        <f t="shared" si="195"/>
        <v>0.4281708094327597</v>
      </c>
      <c r="M84" s="153">
        <f t="shared" si="195"/>
        <v>0.4808131566925537</v>
      </c>
      <c r="N84" s="153">
        <f t="shared" si="195"/>
        <v>0.55795266923500275</v>
      </c>
      <c r="O84" s="153">
        <f t="shared" si="195"/>
        <v>0.63125312031952074</v>
      </c>
      <c r="P84" s="153">
        <f t="shared" si="195"/>
        <v>0.57474785207321633</v>
      </c>
      <c r="Q84" s="118">
        <f t="shared" si="182"/>
        <v>2.840414600026242E-2</v>
      </c>
      <c r="R84" s="20"/>
      <c r="S84" s="153">
        <f t="shared" ref="S84:AB84" si="196">S37/S17</f>
        <v>0.57474785207321633</v>
      </c>
      <c r="T84" s="153">
        <f t="shared" si="196"/>
        <v>0.57474785207321633</v>
      </c>
      <c r="U84" s="153">
        <f t="shared" si="196"/>
        <v>0.57474785207321633</v>
      </c>
      <c r="V84" s="153">
        <f t="shared" si="196"/>
        <v>0.57474785207321633</v>
      </c>
      <c r="W84" s="153">
        <f t="shared" si="196"/>
        <v>0.57474785207321633</v>
      </c>
      <c r="X84" s="153">
        <f t="shared" si="196"/>
        <v>0.57474785207321633</v>
      </c>
      <c r="Y84" s="153">
        <f t="shared" si="196"/>
        <v>0.57474785207321633</v>
      </c>
      <c r="Z84" s="153">
        <f t="shared" si="196"/>
        <v>0.57474785207321633</v>
      </c>
      <c r="AA84" s="153">
        <f t="shared" si="196"/>
        <v>0.57474785207321633</v>
      </c>
      <c r="AB84" s="153">
        <f t="shared" si="196"/>
        <v>0.57474785207321633</v>
      </c>
      <c r="AC84" s="138">
        <f t="shared" si="184"/>
        <v>1.3355453196749689E-2</v>
      </c>
      <c r="AD84" s="20"/>
      <c r="AE84" s="20"/>
    </row>
    <row r="85" spans="2:31" x14ac:dyDescent="0.2">
      <c r="B85" s="20" t="s">
        <v>326</v>
      </c>
      <c r="C85" s="20"/>
      <c r="D85" s="20"/>
      <c r="E85" s="20"/>
      <c r="F85" s="20"/>
      <c r="G85" s="153">
        <f t="shared" ref="G85:P85" si="197">G37/G24</f>
        <v>0.2218910864264427</v>
      </c>
      <c r="H85" s="153">
        <f t="shared" si="197"/>
        <v>0.2593017914561323</v>
      </c>
      <c r="I85" s="153">
        <f t="shared" si="197"/>
        <v>0.21735443753533071</v>
      </c>
      <c r="J85" s="153">
        <f t="shared" si="197"/>
        <v>0.20765313763666318</v>
      </c>
      <c r="K85" s="153">
        <f t="shared" si="197"/>
        <v>0.20744125326370758</v>
      </c>
      <c r="L85" s="153">
        <f t="shared" si="197"/>
        <v>0.19817109144542772</v>
      </c>
      <c r="M85" s="153">
        <f t="shared" si="197"/>
        <v>0.21424936386768448</v>
      </c>
      <c r="N85" s="153">
        <f t="shared" si="197"/>
        <v>0.21770314378972686</v>
      </c>
      <c r="O85" s="153">
        <f t="shared" si="197"/>
        <v>0.23054481802931953</v>
      </c>
      <c r="P85" s="153">
        <f t="shared" si="197"/>
        <v>0.24324153413222879</v>
      </c>
      <c r="Q85" s="118">
        <f t="shared" si="182"/>
        <v>1.0259859269912575E-2</v>
      </c>
      <c r="R85" s="20"/>
      <c r="S85" s="153">
        <f t="shared" ref="S85:AB85" si="198">S37/S24</f>
        <v>0.24324153413222879</v>
      </c>
      <c r="T85" s="153">
        <f t="shared" si="198"/>
        <v>0.24324153413222882</v>
      </c>
      <c r="U85" s="153">
        <f t="shared" si="198"/>
        <v>0.24324153413222885</v>
      </c>
      <c r="V85" s="153">
        <f t="shared" si="198"/>
        <v>0.24324153413222882</v>
      </c>
      <c r="W85" s="153">
        <f t="shared" si="198"/>
        <v>0.24324153413222882</v>
      </c>
      <c r="X85" s="153">
        <f t="shared" si="198"/>
        <v>0.24324153413222882</v>
      </c>
      <c r="Y85" s="153">
        <f t="shared" si="198"/>
        <v>0.24324153413222885</v>
      </c>
      <c r="Z85" s="153">
        <f t="shared" si="198"/>
        <v>0.24324153413222882</v>
      </c>
      <c r="AA85" s="153">
        <f t="shared" si="198"/>
        <v>0.24324153413222885</v>
      </c>
      <c r="AB85" s="153">
        <f t="shared" si="198"/>
        <v>0.24324153413222885</v>
      </c>
      <c r="AC85" s="138">
        <f t="shared" si="184"/>
        <v>4.8468797517231543E-3</v>
      </c>
      <c r="AD85" s="20"/>
      <c r="AE85" s="20"/>
    </row>
    <row r="86" spans="2:31" x14ac:dyDescent="0.2">
      <c r="B86" s="20" t="s">
        <v>352</v>
      </c>
      <c r="C86" s="20"/>
      <c r="D86" s="20"/>
      <c r="E86" s="153"/>
      <c r="F86" s="153"/>
      <c r="G86" s="153">
        <f t="shared" ref="G86:O86" si="199">G24/G17</f>
        <v>2.0130897191164441</v>
      </c>
      <c r="H86" s="153">
        <f t="shared" si="199"/>
        <v>2.0937725414763166</v>
      </c>
      <c r="I86" s="153">
        <f t="shared" si="199"/>
        <v>2.3686677081008702</v>
      </c>
      <c r="J86" s="153">
        <f t="shared" si="199"/>
        <v>2.6370458135860981</v>
      </c>
      <c r="K86" s="153">
        <f t="shared" si="199"/>
        <v>2.3117549419043306</v>
      </c>
      <c r="L86" s="153">
        <f t="shared" si="199"/>
        <v>2.1606118546845123</v>
      </c>
      <c r="M86" s="153">
        <f t="shared" si="199"/>
        <v>2.2441754225673822</v>
      </c>
      <c r="N86" s="153">
        <f t="shared" si="199"/>
        <v>2.5629058888277378</v>
      </c>
      <c r="O86" s="153">
        <f t="shared" si="199"/>
        <v>2.7380928607089365</v>
      </c>
      <c r="P86" s="153">
        <f>P24/P17</f>
        <v>2.3628688830780726</v>
      </c>
      <c r="Q86" s="118">
        <f t="shared" si="182"/>
        <v>1.7960019458223675E-2</v>
      </c>
      <c r="R86" s="20"/>
      <c r="S86" s="153">
        <f>S24/S17</f>
        <v>2.3628688830780726</v>
      </c>
      <c r="T86" s="153">
        <f t="shared" ref="T86:AB86" si="200">T24/T17</f>
        <v>2.3628688830780726</v>
      </c>
      <c r="U86" s="153">
        <f t="shared" si="200"/>
        <v>2.3628688830780722</v>
      </c>
      <c r="V86" s="153">
        <f t="shared" si="200"/>
        <v>2.3628688830780722</v>
      </c>
      <c r="W86" s="153">
        <f t="shared" si="200"/>
        <v>2.3628688830780722</v>
      </c>
      <c r="X86" s="153">
        <f t="shared" si="200"/>
        <v>2.3628688830780722</v>
      </c>
      <c r="Y86" s="153">
        <f t="shared" si="200"/>
        <v>2.3628688830780722</v>
      </c>
      <c r="Z86" s="153">
        <f t="shared" si="200"/>
        <v>2.3628688830780722</v>
      </c>
      <c r="AA86" s="153">
        <f t="shared" si="200"/>
        <v>2.3628688830780717</v>
      </c>
      <c r="AB86" s="153">
        <f t="shared" si="200"/>
        <v>2.3628688830780717</v>
      </c>
      <c r="AC86" s="138">
        <f t="shared" si="184"/>
        <v>8.4675323340097641E-3</v>
      </c>
      <c r="AD86" s="20"/>
      <c r="AE86" s="20"/>
    </row>
    <row r="87" spans="2:31" x14ac:dyDescent="0.2">
      <c r="B87" s="20"/>
      <c r="C87" s="20"/>
      <c r="D87" s="20"/>
      <c r="E87" s="20"/>
      <c r="F87" s="20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28"/>
      <c r="R87" s="20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28"/>
      <c r="AD87" s="20"/>
      <c r="AE87" s="20"/>
    </row>
    <row r="88" spans="2:31" x14ac:dyDescent="0.2">
      <c r="B88" s="20" t="s">
        <v>338</v>
      </c>
      <c r="C88" s="20"/>
      <c r="D88" s="20"/>
      <c r="E88" s="166">
        <f t="shared" ref="E88:F88" si="201">E61*E39</f>
        <v>1</v>
      </c>
      <c r="F88" s="166">
        <f t="shared" si="201"/>
        <v>5.84</v>
      </c>
      <c r="G88" s="166">
        <f>G61*G39</f>
        <v>495.20000000000005</v>
      </c>
      <c r="H88" s="166">
        <f t="shared" ref="H88:P88" si="202">H61*H39</f>
        <v>769.42</v>
      </c>
      <c r="I88" s="166">
        <f t="shared" si="202"/>
        <v>995.10149999999999</v>
      </c>
      <c r="J88" s="166">
        <f t="shared" si="202"/>
        <v>1166.2820000000002</v>
      </c>
      <c r="K88" s="166">
        <f t="shared" si="202"/>
        <v>1319.01</v>
      </c>
      <c r="L88" s="166">
        <f t="shared" si="202"/>
        <v>1396.528</v>
      </c>
      <c r="M88" s="166">
        <f t="shared" si="202"/>
        <v>3818.1</v>
      </c>
      <c r="N88" s="166">
        <f t="shared" si="202"/>
        <v>3443.4544999999998</v>
      </c>
      <c r="O88" s="166">
        <f t="shared" si="202"/>
        <v>3501.558</v>
      </c>
      <c r="P88" s="166">
        <f t="shared" si="202"/>
        <v>4136.1075000000001</v>
      </c>
      <c r="Q88" s="118">
        <f t="shared" si="182"/>
        <v>0.26597014698577981</v>
      </c>
      <c r="R88" s="20"/>
      <c r="S88" s="166">
        <f t="shared" ref="S88:AB88" si="203">S61*S39</f>
        <v>4994.3498062500003</v>
      </c>
      <c r="T88" s="166">
        <f t="shared" si="203"/>
        <v>6030.6773910468755</v>
      </c>
      <c r="U88" s="166">
        <f t="shared" si="203"/>
        <v>7282.0429496891002</v>
      </c>
      <c r="V88" s="166">
        <f t="shared" si="203"/>
        <v>8793.0668617495885</v>
      </c>
      <c r="W88" s="166">
        <f t="shared" si="203"/>
        <v>10617.628235562628</v>
      </c>
      <c r="X88" s="166">
        <f t="shared" si="203"/>
        <v>12820.786094441872</v>
      </c>
      <c r="Y88" s="166">
        <f t="shared" si="203"/>
        <v>15481.099209038561</v>
      </c>
      <c r="Z88" s="166">
        <f t="shared" si="203"/>
        <v>18693.427294914061</v>
      </c>
      <c r="AA88" s="166">
        <f t="shared" si="203"/>
        <v>22572.313458608725</v>
      </c>
      <c r="AB88" s="166">
        <f t="shared" si="203"/>
        <v>27256.068501270034</v>
      </c>
      <c r="AC88" s="138">
        <f t="shared" si="184"/>
        <v>0.23485189466205481</v>
      </c>
      <c r="AD88" s="20"/>
      <c r="AE88" s="20"/>
    </row>
    <row r="89" spans="2:31" x14ac:dyDescent="0.2">
      <c r="B89" s="20" t="s">
        <v>339</v>
      </c>
      <c r="C89" s="20"/>
      <c r="D89" s="20"/>
      <c r="E89" s="166">
        <f>(E88*0.17)+E88</f>
        <v>1.17</v>
      </c>
      <c r="F89" s="166">
        <f>(F88*0.17)+F88</f>
        <v>6.8327999999999998</v>
      </c>
      <c r="G89" s="166">
        <f t="shared" ref="G89:P89" si="204">(G88*0.17)+G88</f>
        <v>579.38400000000001</v>
      </c>
      <c r="H89" s="166">
        <f t="shared" si="204"/>
        <v>900.2213999999999</v>
      </c>
      <c r="I89" s="166">
        <f t="shared" si="204"/>
        <v>1164.2687550000001</v>
      </c>
      <c r="J89" s="166">
        <f t="shared" si="204"/>
        <v>1364.5499400000001</v>
      </c>
      <c r="K89" s="166">
        <f t="shared" si="204"/>
        <v>1543.2417</v>
      </c>
      <c r="L89" s="166">
        <f t="shared" si="204"/>
        <v>1633.93776</v>
      </c>
      <c r="M89" s="166">
        <f t="shared" si="204"/>
        <v>4467.1769999999997</v>
      </c>
      <c r="N89" s="166">
        <f t="shared" si="204"/>
        <v>4028.8417649999997</v>
      </c>
      <c r="O89" s="166">
        <f t="shared" si="204"/>
        <v>4096.8228600000002</v>
      </c>
      <c r="P89" s="166">
        <f t="shared" si="204"/>
        <v>4839.2457750000003</v>
      </c>
      <c r="Q89" s="118">
        <f t="shared" si="182"/>
        <v>0.26597014698577981</v>
      </c>
      <c r="R89" s="20"/>
      <c r="S89" s="166">
        <f t="shared" ref="S89:AB89" si="205">(S88*0.17)+S88</f>
        <v>5843.3892733125003</v>
      </c>
      <c r="T89" s="166">
        <f t="shared" si="205"/>
        <v>7055.8925475248443</v>
      </c>
      <c r="U89" s="166">
        <f t="shared" si="205"/>
        <v>8519.990251136247</v>
      </c>
      <c r="V89" s="166">
        <f t="shared" si="205"/>
        <v>10287.888228247019</v>
      </c>
      <c r="W89" s="166">
        <f t="shared" si="205"/>
        <v>12422.625035608275</v>
      </c>
      <c r="X89" s="166">
        <f t="shared" si="205"/>
        <v>15000.319730496991</v>
      </c>
      <c r="Y89" s="166">
        <f t="shared" si="205"/>
        <v>18112.886074575115</v>
      </c>
      <c r="Z89" s="166">
        <f t="shared" si="205"/>
        <v>21871.309935049452</v>
      </c>
      <c r="AA89" s="166">
        <f t="shared" si="205"/>
        <v>26409.606746572208</v>
      </c>
      <c r="AB89" s="166">
        <f t="shared" si="205"/>
        <v>31889.60014648594</v>
      </c>
      <c r="AC89" s="138">
        <f t="shared" si="184"/>
        <v>0.23485189466205481</v>
      </c>
      <c r="AD89" s="20"/>
      <c r="AE89" s="20"/>
    </row>
    <row r="90" spans="2:31" x14ac:dyDescent="0.2">
      <c r="B90" s="20" t="s">
        <v>340</v>
      </c>
      <c r="C90" s="20"/>
      <c r="D90" s="20"/>
      <c r="E90" s="20"/>
      <c r="F90" s="153" t="e">
        <f t="shared" ref="F90:M90" si="206">F89/F37</f>
        <v>#DIV/0!</v>
      </c>
      <c r="G90" s="153">
        <f t="shared" si="206"/>
        <v>0.3537142857142857</v>
      </c>
      <c r="H90" s="153">
        <f t="shared" si="206"/>
        <v>0.39868086802480068</v>
      </c>
      <c r="I90" s="153">
        <f t="shared" si="206"/>
        <v>0.50466786085825754</v>
      </c>
      <c r="J90" s="153">
        <f t="shared" si="206"/>
        <v>0.49208436350522905</v>
      </c>
      <c r="K90" s="153">
        <f t="shared" si="206"/>
        <v>0.48560154185022025</v>
      </c>
      <c r="L90" s="153">
        <f t="shared" si="206"/>
        <v>0.48643577255135456</v>
      </c>
      <c r="M90" s="153">
        <f t="shared" si="206"/>
        <v>1.0610871733966745</v>
      </c>
      <c r="N90" s="153">
        <f t="shared" ref="N90" si="207">N89/N37</f>
        <v>0.79480011146182672</v>
      </c>
      <c r="O90" s="153">
        <f t="shared" ref="O90" si="208">O89/O37</f>
        <v>0.64802639354634617</v>
      </c>
      <c r="P90" s="153">
        <f t="shared" ref="P90" si="209">P89/P37</f>
        <v>0.62904533666969975</v>
      </c>
      <c r="Q90" s="118">
        <f t="shared" si="182"/>
        <v>6.6058503097484511E-2</v>
      </c>
      <c r="R90" s="20"/>
      <c r="S90" s="153">
        <f t="shared" ref="S90:AB90" si="210">S89/S37</f>
        <v>0.66049760350318487</v>
      </c>
      <c r="T90" s="153">
        <f t="shared" si="210"/>
        <v>0.69352248367834413</v>
      </c>
      <c r="U90" s="153">
        <f t="shared" si="210"/>
        <v>0.72819860786226109</v>
      </c>
      <c r="V90" s="153">
        <f t="shared" si="210"/>
        <v>0.76460853825537434</v>
      </c>
      <c r="W90" s="153">
        <f t="shared" si="210"/>
        <v>0.80283896516814302</v>
      </c>
      <c r="X90" s="153">
        <f t="shared" si="210"/>
        <v>0.84298091342655024</v>
      </c>
      <c r="Y90" s="153">
        <f t="shared" si="210"/>
        <v>0.88512995909787773</v>
      </c>
      <c r="Z90" s="153">
        <f t="shared" si="210"/>
        <v>0.92938645705277179</v>
      </c>
      <c r="AA90" s="153">
        <f t="shared" si="210"/>
        <v>0.97585577990541017</v>
      </c>
      <c r="AB90" s="153">
        <f t="shared" si="210"/>
        <v>1.0246485689006808</v>
      </c>
      <c r="AC90" s="138">
        <f t="shared" si="184"/>
        <v>5.7576280871514784E-2</v>
      </c>
      <c r="AD90" s="20"/>
      <c r="AE90" s="20"/>
    </row>
    <row r="91" spans="2:31" x14ac:dyDescent="0.2">
      <c r="B91" s="20" t="s">
        <v>333</v>
      </c>
      <c r="C91" s="20"/>
      <c r="D91" s="20"/>
      <c r="E91" s="20"/>
      <c r="F91" s="153" t="e">
        <f>1-F90</f>
        <v>#DIV/0!</v>
      </c>
      <c r="G91" s="153">
        <f>1-G90</f>
        <v>0.64628571428571435</v>
      </c>
      <c r="H91" s="153">
        <f t="shared" ref="H91:P91" si="211">1-H90</f>
        <v>0.60131913197519937</v>
      </c>
      <c r="I91" s="153">
        <f t="shared" si="211"/>
        <v>0.49533213914174246</v>
      </c>
      <c r="J91" s="153">
        <f t="shared" si="211"/>
        <v>0.50791563649477101</v>
      </c>
      <c r="K91" s="153">
        <f t="shared" si="211"/>
        <v>0.5143984581497798</v>
      </c>
      <c r="L91" s="153">
        <f t="shared" si="211"/>
        <v>0.51356422744864538</v>
      </c>
      <c r="M91" s="153">
        <f t="shared" si="211"/>
        <v>-6.1087173396674466E-2</v>
      </c>
      <c r="N91" s="153">
        <f t="shared" si="211"/>
        <v>0.20519988853817328</v>
      </c>
      <c r="O91" s="153">
        <f t="shared" si="211"/>
        <v>0.35197360645365383</v>
      </c>
      <c r="P91" s="153">
        <f t="shared" si="211"/>
        <v>0.37095466333030025</v>
      </c>
      <c r="Q91" s="118">
        <f t="shared" si="182"/>
        <v>-5.9820672762615823E-2</v>
      </c>
      <c r="R91" s="20"/>
      <c r="S91" s="153">
        <f t="shared" ref="S91:AB91" si="212">1-S90</f>
        <v>0.33950239649681513</v>
      </c>
      <c r="T91" s="153">
        <f t="shared" si="212"/>
        <v>0.30647751632165587</v>
      </c>
      <c r="U91" s="153">
        <f t="shared" si="212"/>
        <v>0.27180139213773891</v>
      </c>
      <c r="V91" s="153">
        <f t="shared" si="212"/>
        <v>0.23539146174462566</v>
      </c>
      <c r="W91" s="153">
        <f t="shared" si="212"/>
        <v>0.19716103483185698</v>
      </c>
      <c r="X91" s="153">
        <f t="shared" si="212"/>
        <v>0.15701908657344976</v>
      </c>
      <c r="Y91" s="153">
        <f t="shared" si="212"/>
        <v>0.11487004090212227</v>
      </c>
      <c r="Z91" s="153">
        <f t="shared" si="212"/>
        <v>7.0613542947228214E-2</v>
      </c>
      <c r="AA91" s="153">
        <f t="shared" si="212"/>
        <v>2.414422009458983E-2</v>
      </c>
      <c r="AB91" s="153">
        <f t="shared" si="212"/>
        <v>-2.464856890068079E-2</v>
      </c>
      <c r="AC91" s="138">
        <f t="shared" si="184"/>
        <v>-1.8420446353332265</v>
      </c>
      <c r="AD91" s="20"/>
      <c r="AE91" s="20"/>
    </row>
    <row r="92" spans="2:31" x14ac:dyDescent="0.2">
      <c r="B92" s="20"/>
      <c r="C92" s="20"/>
      <c r="D92" s="20"/>
      <c r="E92" s="20"/>
      <c r="F92" s="20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28"/>
      <c r="R92" s="20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28"/>
      <c r="AD92" s="20"/>
      <c r="AE92" s="20"/>
    </row>
    <row r="93" spans="2:31" x14ac:dyDescent="0.2">
      <c r="B93" s="20" t="s">
        <v>337</v>
      </c>
      <c r="C93" s="153"/>
      <c r="D93" s="153"/>
      <c r="E93" s="153"/>
      <c r="F93" s="153" t="e">
        <f>F30/F24</f>
        <v>#DIV/0!</v>
      </c>
      <c r="G93" s="153">
        <f>G30/G24</f>
        <v>0</v>
      </c>
      <c r="H93" s="153">
        <f t="shared" ref="H93:P93" si="213">H30/H24</f>
        <v>0</v>
      </c>
      <c r="I93" s="153">
        <f t="shared" si="213"/>
        <v>0</v>
      </c>
      <c r="J93" s="153">
        <f t="shared" si="213"/>
        <v>0</v>
      </c>
      <c r="K93" s="153">
        <f t="shared" si="213"/>
        <v>0</v>
      </c>
      <c r="L93" s="153">
        <f t="shared" si="213"/>
        <v>0</v>
      </c>
      <c r="M93" s="153">
        <f t="shared" si="213"/>
        <v>0</v>
      </c>
      <c r="N93" s="153">
        <f t="shared" si="213"/>
        <v>0</v>
      </c>
      <c r="O93" s="153">
        <f t="shared" si="213"/>
        <v>0</v>
      </c>
      <c r="P93" s="153">
        <f t="shared" si="213"/>
        <v>0</v>
      </c>
      <c r="Q93" s="118" t="e">
        <f t="shared" si="182"/>
        <v>#DIV/0!</v>
      </c>
      <c r="R93" s="20"/>
      <c r="S93" s="153">
        <f t="shared" ref="S93:AB93" si="214">S30/S24</f>
        <v>0</v>
      </c>
      <c r="T93" s="153">
        <f t="shared" si="214"/>
        <v>0</v>
      </c>
      <c r="U93" s="153">
        <f t="shared" si="214"/>
        <v>0</v>
      </c>
      <c r="V93" s="153">
        <f t="shared" si="214"/>
        <v>0</v>
      </c>
      <c r="W93" s="153">
        <f t="shared" si="214"/>
        <v>0</v>
      </c>
      <c r="X93" s="153">
        <f t="shared" si="214"/>
        <v>0</v>
      </c>
      <c r="Y93" s="153">
        <f t="shared" si="214"/>
        <v>0</v>
      </c>
      <c r="Z93" s="153">
        <f t="shared" si="214"/>
        <v>0</v>
      </c>
      <c r="AA93" s="153">
        <f t="shared" si="214"/>
        <v>0</v>
      </c>
      <c r="AB93" s="153">
        <f t="shared" si="214"/>
        <v>0</v>
      </c>
      <c r="AC93" s="138" t="e">
        <f t="shared" si="184"/>
        <v>#DIV/0!</v>
      </c>
      <c r="AD93" s="20"/>
      <c r="AE93" s="20"/>
    </row>
    <row r="94" spans="2:31" x14ac:dyDescent="0.2">
      <c r="B94" s="20" t="s">
        <v>334</v>
      </c>
      <c r="C94" s="153"/>
      <c r="D94" s="153"/>
      <c r="E94" s="153"/>
      <c r="F94" s="153" t="e">
        <f>F31/F24</f>
        <v>#DIV/0!</v>
      </c>
      <c r="G94" s="153">
        <f>G31/G24</f>
        <v>0</v>
      </c>
      <c r="H94" s="153">
        <f t="shared" ref="H94:P94" si="215">H31/H24</f>
        <v>0</v>
      </c>
      <c r="I94" s="153">
        <f t="shared" si="215"/>
        <v>0</v>
      </c>
      <c r="J94" s="153">
        <f t="shared" si="215"/>
        <v>0</v>
      </c>
      <c r="K94" s="153">
        <f t="shared" si="215"/>
        <v>0</v>
      </c>
      <c r="L94" s="153">
        <f t="shared" si="215"/>
        <v>0</v>
      </c>
      <c r="M94" s="153">
        <f t="shared" si="215"/>
        <v>0</v>
      </c>
      <c r="N94" s="153">
        <f t="shared" si="215"/>
        <v>0</v>
      </c>
      <c r="O94" s="153">
        <f t="shared" si="215"/>
        <v>0</v>
      </c>
      <c r="P94" s="153">
        <f t="shared" si="215"/>
        <v>0</v>
      </c>
      <c r="Q94" s="118" t="e">
        <f t="shared" si="182"/>
        <v>#DIV/0!</v>
      </c>
      <c r="R94" s="20"/>
      <c r="S94" s="153">
        <f t="shared" ref="S94:AB94" si="216">S31/S24</f>
        <v>0</v>
      </c>
      <c r="T94" s="153">
        <f t="shared" si="216"/>
        <v>0</v>
      </c>
      <c r="U94" s="153">
        <f t="shared" si="216"/>
        <v>0</v>
      </c>
      <c r="V94" s="153">
        <f t="shared" si="216"/>
        <v>0</v>
      </c>
      <c r="W94" s="153">
        <f t="shared" si="216"/>
        <v>0</v>
      </c>
      <c r="X94" s="153">
        <f t="shared" si="216"/>
        <v>0</v>
      </c>
      <c r="Y94" s="153">
        <f t="shared" si="216"/>
        <v>0</v>
      </c>
      <c r="Z94" s="153">
        <f t="shared" si="216"/>
        <v>0</v>
      </c>
      <c r="AA94" s="153">
        <f t="shared" si="216"/>
        <v>0</v>
      </c>
      <c r="AB94" s="153">
        <f t="shared" si="216"/>
        <v>0</v>
      </c>
      <c r="AC94" s="138" t="e">
        <f t="shared" si="184"/>
        <v>#DIV/0!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28"/>
      <c r="R95" s="20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28"/>
      <c r="AD95" s="20"/>
      <c r="AE95" s="20"/>
    </row>
    <row r="96" spans="2:31" x14ac:dyDescent="0.2">
      <c r="B96" s="20" t="s">
        <v>358</v>
      </c>
      <c r="C96" s="20"/>
      <c r="D96" s="20"/>
      <c r="E96" s="20"/>
      <c r="F96" s="20"/>
      <c r="G96" s="153">
        <f>G26/G24</f>
        <v>0.63939311839609858</v>
      </c>
      <c r="H96" s="153">
        <f t="shared" ref="H96:P96" si="217">H26/H24</f>
        <v>0.60036747818098302</v>
      </c>
      <c r="I96" s="153">
        <f t="shared" si="217"/>
        <v>0.65564348973054454</v>
      </c>
      <c r="J96" s="153">
        <f t="shared" si="217"/>
        <v>0.66691627976636214</v>
      </c>
      <c r="K96" s="153">
        <f t="shared" si="217"/>
        <v>0.66468668407310705</v>
      </c>
      <c r="L96" s="153">
        <f t="shared" si="217"/>
        <v>0.67238938053097341</v>
      </c>
      <c r="M96" s="153">
        <f t="shared" si="217"/>
        <v>0.64748091603053437</v>
      </c>
      <c r="N96" s="153">
        <f t="shared" si="217"/>
        <v>0.65104792990895033</v>
      </c>
      <c r="O96" s="153">
        <f t="shared" si="217"/>
        <v>0.63554810006564078</v>
      </c>
      <c r="P96" s="153">
        <f t="shared" si="217"/>
        <v>0.67385461788977774</v>
      </c>
      <c r="Q96" s="118">
        <f t="shared" si="182"/>
        <v>5.8498118481260519E-3</v>
      </c>
      <c r="R96" s="20"/>
      <c r="S96" s="153">
        <f t="shared" ref="S96:AB96" si="218">S26/S24</f>
        <v>0.67385461788977774</v>
      </c>
      <c r="T96" s="153">
        <f t="shared" si="218"/>
        <v>0.67385461788977774</v>
      </c>
      <c r="U96" s="153">
        <f t="shared" si="218"/>
        <v>0.67385461788977785</v>
      </c>
      <c r="V96" s="153">
        <f t="shared" si="218"/>
        <v>0.67385461788977785</v>
      </c>
      <c r="W96" s="153">
        <f t="shared" si="218"/>
        <v>0.67385461788977785</v>
      </c>
      <c r="X96" s="153">
        <f t="shared" si="218"/>
        <v>0.67385461788977785</v>
      </c>
      <c r="Y96" s="153">
        <f t="shared" si="218"/>
        <v>0.67385461788977785</v>
      </c>
      <c r="Z96" s="153">
        <f t="shared" si="218"/>
        <v>0.67385461788977785</v>
      </c>
      <c r="AA96" s="153">
        <f t="shared" si="218"/>
        <v>0.67385461788977796</v>
      </c>
      <c r="AB96" s="153">
        <f t="shared" si="218"/>
        <v>0.67385461788977796</v>
      </c>
      <c r="AC96" s="138">
        <f t="shared" si="184"/>
        <v>2.7667104677226995E-3</v>
      </c>
      <c r="AD96" s="20"/>
      <c r="AE96" s="20"/>
    </row>
    <row r="97" spans="2:31" x14ac:dyDescent="0.2">
      <c r="B97" s="20" t="str">
        <f>B32</f>
        <v>Top Expenses ( Raw material )</v>
      </c>
      <c r="C97" s="20"/>
      <c r="D97" s="20"/>
      <c r="E97" s="20"/>
      <c r="F97" s="20"/>
      <c r="G97" s="153">
        <f>G32/G24</f>
        <v>0.37496613383906802</v>
      </c>
      <c r="H97" s="153">
        <f t="shared" ref="H97:P97" si="219">H32/H24</f>
        <v>0.34049150206706474</v>
      </c>
      <c r="I97" s="153">
        <f t="shared" si="219"/>
        <v>0.40145091388731863</v>
      </c>
      <c r="J97" s="153">
        <f t="shared" si="219"/>
        <v>0.4209974539463831</v>
      </c>
      <c r="K97" s="153">
        <f t="shared" si="219"/>
        <v>0.40678851174934727</v>
      </c>
      <c r="L97" s="153">
        <f t="shared" si="219"/>
        <v>0.40182890855457226</v>
      </c>
      <c r="M97" s="153">
        <f t="shared" si="219"/>
        <v>0.36015267175572518</v>
      </c>
      <c r="N97" s="153">
        <f t="shared" si="219"/>
        <v>0.3684504380690603</v>
      </c>
      <c r="O97" s="153">
        <f t="shared" si="219"/>
        <v>0.36375902559988332</v>
      </c>
      <c r="P97" s="153">
        <f t="shared" si="219"/>
        <v>0.3813829955417839</v>
      </c>
      <c r="Q97" s="118">
        <f t="shared" si="182"/>
        <v>1.8871557442234899E-3</v>
      </c>
      <c r="R97" s="20"/>
      <c r="S97" s="153">
        <f t="shared" ref="S97:AB97" si="220">S32/S24</f>
        <v>0.38138299554178395</v>
      </c>
      <c r="T97" s="153">
        <f t="shared" si="220"/>
        <v>0.38138299554178395</v>
      </c>
      <c r="U97" s="153">
        <f t="shared" si="220"/>
        <v>0.38138299554178395</v>
      </c>
      <c r="V97" s="153">
        <f t="shared" si="220"/>
        <v>0.38138299554178395</v>
      </c>
      <c r="W97" s="153">
        <f t="shared" si="220"/>
        <v>0.3813829955417839</v>
      </c>
      <c r="X97" s="153">
        <f t="shared" si="220"/>
        <v>0.38138299554178395</v>
      </c>
      <c r="Y97" s="153">
        <f t="shared" si="220"/>
        <v>0.38138299554178395</v>
      </c>
      <c r="Z97" s="153">
        <f t="shared" si="220"/>
        <v>0.38138299554178395</v>
      </c>
      <c r="AA97" s="153">
        <f t="shared" si="220"/>
        <v>0.38138299554178401</v>
      </c>
      <c r="AB97" s="153">
        <f t="shared" si="220"/>
        <v>0.38138299554178401</v>
      </c>
      <c r="AC97" s="138">
        <f t="shared" si="184"/>
        <v>8.9347236812931108E-4</v>
      </c>
      <c r="AD97" s="20"/>
      <c r="AE97" s="20"/>
    </row>
    <row r="98" spans="2:31" x14ac:dyDescent="0.2">
      <c r="B98" s="20" t="str">
        <f>B33</f>
        <v>2nd highest Expenses Comp. ( Empl )</v>
      </c>
      <c r="C98" s="20"/>
      <c r="D98" s="20"/>
      <c r="E98" s="20"/>
      <c r="F98" s="20"/>
      <c r="G98" s="153">
        <f>G33/G24</f>
        <v>7.2338119750745056E-2</v>
      </c>
      <c r="H98" s="153">
        <f t="shared" ref="H98:P98" si="221">H33/H24</f>
        <v>6.7638952687184201E-2</v>
      </c>
      <c r="I98" s="153">
        <f t="shared" si="221"/>
        <v>6.7834934991520629E-2</v>
      </c>
      <c r="J98" s="153">
        <f t="shared" si="221"/>
        <v>6.4325295791523143E-2</v>
      </c>
      <c r="K98" s="153">
        <f t="shared" si="221"/>
        <v>6.9647519582245437E-2</v>
      </c>
      <c r="L98" s="153">
        <f t="shared" si="221"/>
        <v>7.8230088495575223E-2</v>
      </c>
      <c r="M98" s="153">
        <f t="shared" si="221"/>
        <v>7.4656488549618316E-2</v>
      </c>
      <c r="N98" s="153">
        <f t="shared" si="221"/>
        <v>7.434289640955162E-2</v>
      </c>
      <c r="O98" s="153">
        <f t="shared" si="221"/>
        <v>7.0891984537962222E-2</v>
      </c>
      <c r="P98" s="153">
        <f t="shared" si="221"/>
        <v>6.7821797830967215E-2</v>
      </c>
      <c r="Q98" s="118">
        <f t="shared" si="182"/>
        <v>-7.1374718531856951E-3</v>
      </c>
      <c r="R98" s="20"/>
      <c r="S98" s="153">
        <f t="shared" ref="S98:AB98" si="222">S33/S24</f>
        <v>6.7821797830967215E-2</v>
      </c>
      <c r="T98" s="153">
        <f t="shared" si="222"/>
        <v>6.7821797830967229E-2</v>
      </c>
      <c r="U98" s="153">
        <f t="shared" si="222"/>
        <v>6.7821797830967229E-2</v>
      </c>
      <c r="V98" s="153">
        <f t="shared" si="222"/>
        <v>6.7821797830967229E-2</v>
      </c>
      <c r="W98" s="153">
        <f t="shared" si="222"/>
        <v>6.7821797830967229E-2</v>
      </c>
      <c r="X98" s="153">
        <f t="shared" si="222"/>
        <v>6.7821797830967229E-2</v>
      </c>
      <c r="Y98" s="153">
        <f t="shared" si="222"/>
        <v>6.7821797830967229E-2</v>
      </c>
      <c r="Z98" s="153">
        <f t="shared" si="222"/>
        <v>6.7821797830967229E-2</v>
      </c>
      <c r="AA98" s="153">
        <f t="shared" si="222"/>
        <v>6.7821797830967229E-2</v>
      </c>
      <c r="AB98" s="153">
        <f t="shared" si="222"/>
        <v>6.7821797830967229E-2</v>
      </c>
      <c r="AC98" s="138">
        <f t="shared" si="184"/>
        <v>-3.3872811828739025E-3</v>
      </c>
      <c r="AD98" s="20"/>
      <c r="AE98" s="20"/>
    </row>
    <row r="99" spans="2:31" x14ac:dyDescent="0.2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28"/>
      <c r="R99" s="128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39"/>
      <c r="AD99" s="20"/>
      <c r="AE99" s="20"/>
    </row>
    <row r="100" spans="2:31" x14ac:dyDescent="0.2">
      <c r="B100" s="108" t="s">
        <v>244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3"/>
      <c r="R100" s="23"/>
      <c r="S100" s="122" t="s">
        <v>66</v>
      </c>
      <c r="T100" s="20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3" t="s">
        <v>281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5"/>
      <c r="Q101" s="161">
        <f>AVERAGE(G46:P46)</f>
        <v>22.344330497777317</v>
      </c>
      <c r="R101" s="23"/>
      <c r="S101" s="134"/>
      <c r="T101" s="20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>S102+T102</f>
        <v>98.595943060218843</v>
      </c>
      <c r="S102" s="133">
        <f>PV($C$1, ($AB$3-$S$3), 0, -AB46)</f>
        <v>3.5212836807221</v>
      </c>
      <c r="T102" s="133">
        <f>PV($C$1, ($AB$3-$S$3), 0, -AE46)</f>
        <v>95.074659379496737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 t="s">
        <v>273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ref="R103:R121" si="223">S103+T103</f>
        <v>296.78750207272691</v>
      </c>
      <c r="S103" s="133">
        <f>PV($C$1, ($AB$3-$S$3), 0, -AB47)</f>
        <v>10.599553645454529</v>
      </c>
      <c r="T103" s="133">
        <f>PV($C$1, ($AB$3-$S$3), 0, -AE47)</f>
        <v>286.18794842727237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20" t="s">
        <v>274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>
        <f t="shared" si="223"/>
        <v>286.66260996073248</v>
      </c>
      <c r="S104" s="133">
        <f>PV($C$1, ($AB$3-$S$3), 0, -AB48)</f>
        <v>10.237950355740443</v>
      </c>
      <c r="T104" s="133">
        <f>PV($C$1, ($AB$3-$S$3), 0, -AE48)</f>
        <v>276.42465960499203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275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si="223"/>
        <v>1.1534687216196144</v>
      </c>
      <c r="S105" s="133">
        <f>PV($C$1, ($AB$3-$S$3), 0, -AB49)</f>
        <v>4.1195311486414796E-2</v>
      </c>
      <c r="T105" s="133">
        <f>PV($C$1, ($AB$3-$S$3), 0, -AE49)</f>
        <v>1.1122734101331997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0" t="s">
        <v>276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si="223"/>
        <v>49.060869626220949</v>
      </c>
      <c r="S106" s="133">
        <f>PV($C$1, ($AB$3-$S$3), 0, -AB55)</f>
        <v>1.7521739152221765</v>
      </c>
      <c r="T106" s="133">
        <f>PV($C$1, ($AB$3-$S$3), 0, -AE55)</f>
        <v>47.308695710998769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33"/>
      <c r="T107" s="20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 t="s">
        <v>271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 t="shared" si="223"/>
        <v>295.63403335110723</v>
      </c>
      <c r="S108" s="133">
        <f>PV($C$1, ($AB$3-$S$3), 0, -AB51)</f>
        <v>10.558358333968114</v>
      </c>
      <c r="T108" s="133">
        <f>PV($C$1, ($AB$3-$S$3), 0, -$AE$51)</f>
        <v>285.07567501713913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272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si="223"/>
        <v>160.7422745172579</v>
      </c>
      <c r="S109" s="133">
        <f>PV($C$1, ($AB$3-$S$3), 0, -AB52)</f>
        <v>5.7407955184734956</v>
      </c>
      <c r="T109" s="133">
        <f>PV($C$1, ($AB$3-$S$3), 0, -$AE$52)</f>
        <v>155.00147899878439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 t="s">
        <v>277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23"/>
        <v>405.08539871367952</v>
      </c>
      <c r="S110" s="133">
        <f>PV($C$1, ($AB$3-$S$3), 0, -AB53)</f>
        <v>14.467335668345696</v>
      </c>
      <c r="T110" s="133">
        <f>PV($C$1, ($AB$3-$S$3), 0, -$AE$53)</f>
        <v>390.61806304533383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/>
      <c r="S111" s="133"/>
      <c r="T111" s="20"/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249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23"/>
        <v>244.34312419642166</v>
      </c>
      <c r="S112" s="133">
        <f>PV($C$1, ($AB$3-$S$3), 0, -AB58)</f>
        <v>8.7265401498721999</v>
      </c>
      <c r="T112" s="133">
        <f>PV($C$1, ($AB$3-$S$3), 0, -AE58)</f>
        <v>235.61658404654946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 t="s">
        <v>250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>
        <f t="shared" si="223"/>
        <v>38.726644301784461</v>
      </c>
      <c r="S113" s="133">
        <f>PV($C$1, ($AB$3-$S$3), 0, -AB59)</f>
        <v>4.1492833180483348</v>
      </c>
      <c r="T113" s="133">
        <f>PV($C$1, ($AB$3-$S$3), 0, -AE59)</f>
        <v>34.577360983736128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/>
      <c r="S114" s="133"/>
      <c r="T114" s="133"/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 t="s">
        <v>294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>
        <f t="shared" ref="R115" si="224">S115+T115</f>
        <v>156367.38018318094</v>
      </c>
      <c r="S115" s="133">
        <f>PV($C$1, ($AB$3-$S$3), 0, -AB12)</f>
        <v>5584.5492922564599</v>
      </c>
      <c r="T115" s="133">
        <f>PV($C$1, ($AB$3-$S$3), 0, -AE12)</f>
        <v>150782.83089092447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20" t="s">
        <v>295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>
        <f>S116+T116</f>
        <v>198.47858063691524</v>
      </c>
      <c r="S116" s="140">
        <f>S115/P39</f>
        <v>7.0885207370326846</v>
      </c>
      <c r="T116" s="140">
        <f>T115/P39</f>
        <v>191.39005989988254</v>
      </c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/>
      <c r="S117" s="140"/>
      <c r="T117" s="140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 x14ac:dyDescent="0.2">
      <c r="B118" s="108" t="s">
        <v>298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/>
      <c r="S118" s="133"/>
      <c r="T118" s="133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 x14ac:dyDescent="0.2">
      <c r="B119" s="20" t="s">
        <v>283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0">
        <f t="shared" ref="R119" si="225">S119+T119</f>
        <v>137.38061845344293</v>
      </c>
      <c r="S119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54.117273434707016</v>
      </c>
      <c r="T119" s="133">
        <f>PV($C$1, ($AB$3-$S$3), 0, -AE61)</f>
        <v>83.263345018735905</v>
      </c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 x14ac:dyDescent="0.2">
      <c r="B120" s="2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0"/>
      <c r="S120" s="133"/>
      <c r="T120" s="133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291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 t="shared" si="223"/>
        <v>203356.06974948492</v>
      </c>
      <c r="S121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80106.467383313982</v>
      </c>
      <c r="T121" s="133">
        <f>PV($C$1, ($AB$3-$S$3), 0, -AE63)</f>
        <v>123249.60236617093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/>
      <c r="S122" s="133"/>
      <c r="T122" s="133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 x14ac:dyDescent="0.2">
      <c r="B123" s="20" t="s">
        <v>287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ref="R123:R126" si="226">S123+T123</f>
        <v>63.803752508947483</v>
      </c>
      <c r="S123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25.133713616649917</v>
      </c>
      <c r="T123" s="133">
        <f>PV($C$1, ($AB$3-$S$3), 0, -AE65)</f>
        <v>38.670038892297569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 x14ac:dyDescent="0.2">
      <c r="B124" s="20" t="s">
        <v>288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26"/>
        <v>136.80389120566593</v>
      </c>
      <c r="S124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53.890087776958879</v>
      </c>
      <c r="T124" s="133">
        <f>PV($C$1, ($AB$3-$S$3), 0, -AE66)</f>
        <v>82.91380342870707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0" t="s">
        <v>289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 t="shared" si="226"/>
        <v>-73.000138696718466</v>
      </c>
      <c r="S125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-28.756374160308958</v>
      </c>
      <c r="T125" s="133">
        <f>PV($C$1, ($AB$3-$S$3), 0, -AE67)</f>
        <v>-44.2437645364095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290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 t="shared" si="226"/>
        <v>-65.904035828992747</v>
      </c>
      <c r="S126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-25.961061811764953</v>
      </c>
      <c r="T126" s="133">
        <f>PV($C$1, ($AB$3-$S$3), 0, -AE68)</f>
        <v>-39.94297401722779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/>
      <c r="S127" s="133"/>
      <c r="T127" s="133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299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>S128+T128</f>
        <v>3.1810116303597984</v>
      </c>
      <c r="S128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1.2530710527955855</v>
      </c>
      <c r="T128" s="133">
        <f>PV($C$1, ($AB$3-$S$3), 0, -AE69)</f>
        <v>1.9279405775642129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121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108" t="s">
        <v>251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 t="s">
        <v>204</v>
      </c>
      <c r="C131" s="22">
        <v>0</v>
      </c>
      <c r="D131" s="22">
        <v>0</v>
      </c>
      <c r="E131" s="22">
        <v>0</v>
      </c>
      <c r="F131" s="22">
        <v>670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500</v>
      </c>
      <c r="M131" s="22">
        <v>1900</v>
      </c>
      <c r="N131" s="22">
        <v>1350</v>
      </c>
      <c r="O131" s="22">
        <v>1700</v>
      </c>
      <c r="P131" s="22">
        <v>1900</v>
      </c>
      <c r="Q131" s="118" t="e">
        <f t="shared" ref="Q131:Q135" si="227">((P131/G131)^(1/($H$2-$H$1) ))-1</f>
        <v>#DIV/0!</v>
      </c>
      <c r="R131" s="31">
        <v>0.1</v>
      </c>
      <c r="S131" s="119">
        <f t="shared" ref="S131" si="228">P131*(1+$R131)</f>
        <v>2090</v>
      </c>
      <c r="T131" s="119">
        <f t="shared" ref="T131:AB131" si="229">S131*(1+$R131)</f>
        <v>2299</v>
      </c>
      <c r="U131" s="119">
        <f t="shared" si="229"/>
        <v>2528.9</v>
      </c>
      <c r="V131" s="119">
        <f t="shared" si="229"/>
        <v>2781.7900000000004</v>
      </c>
      <c r="W131" s="119">
        <f t="shared" si="229"/>
        <v>3059.9690000000005</v>
      </c>
      <c r="X131" s="119">
        <f t="shared" si="229"/>
        <v>3365.9659000000006</v>
      </c>
      <c r="Y131" s="119">
        <f t="shared" si="229"/>
        <v>3702.5624900000012</v>
      </c>
      <c r="Z131" s="119">
        <f t="shared" si="229"/>
        <v>4072.8187390000016</v>
      </c>
      <c r="AA131" s="119">
        <f t="shared" si="229"/>
        <v>4480.1006129000025</v>
      </c>
      <c r="AB131" s="119">
        <f t="shared" si="229"/>
        <v>4928.110674190003</v>
      </c>
      <c r="AC131" s="138" t="e">
        <f t="shared" ref="AC131:AC135" si="230">((AB131/G131)^(1/($AB$3-$H$1) ))-1</f>
        <v>#DIV/0!</v>
      </c>
      <c r="AD131" s="31">
        <v>0.08</v>
      </c>
      <c r="AE131" s="127" t="e">
        <f t="shared" ref="AE131:AE136" si="231">(AB131*(1+AC131))/($C$1-AD131)</f>
        <v>#DIV/0!</v>
      </c>
    </row>
    <row r="132" spans="2:31" x14ac:dyDescent="0.2">
      <c r="B132" s="20" t="s">
        <v>42</v>
      </c>
      <c r="C132" s="25" t="e">
        <f t="shared" ref="C132:P132" si="232">C131/C46</f>
        <v>#DIV/0!</v>
      </c>
      <c r="D132" s="25" t="e">
        <f t="shared" si="232"/>
        <v>#DIV/0!</v>
      </c>
      <c r="E132" s="25" t="e">
        <f t="shared" si="232"/>
        <v>#DIV/0!</v>
      </c>
      <c r="F132" s="25" t="e">
        <f t="shared" si="232"/>
        <v>#DIV/0!</v>
      </c>
      <c r="G132" s="25">
        <f t="shared" si="232"/>
        <v>0</v>
      </c>
      <c r="H132" s="25">
        <f t="shared" si="232"/>
        <v>0</v>
      </c>
      <c r="I132" s="25">
        <f t="shared" si="232"/>
        <v>0</v>
      </c>
      <c r="J132" s="25">
        <f t="shared" si="232"/>
        <v>0</v>
      </c>
      <c r="K132" s="25">
        <f t="shared" si="232"/>
        <v>0</v>
      </c>
      <c r="L132" s="25">
        <f t="shared" si="232"/>
        <v>56.183387913069367</v>
      </c>
      <c r="M132" s="25">
        <f t="shared" si="232"/>
        <v>172.31330166270786</v>
      </c>
      <c r="N132" s="25">
        <f t="shared" si="232"/>
        <v>206.08473071611755</v>
      </c>
      <c r="O132" s="25">
        <f t="shared" si="232"/>
        <v>209.23929136349258</v>
      </c>
      <c r="P132" s="25">
        <f t="shared" si="232"/>
        <v>194.57649811516967</v>
      </c>
      <c r="Q132" s="118" t="e">
        <f t="shared" si="227"/>
        <v>#DIV/0!</v>
      </c>
      <c r="R132" s="128"/>
      <c r="S132" s="119">
        <f t="shared" ref="S132:AB132" si="233">S131/S46</f>
        <v>214.03414792668661</v>
      </c>
      <c r="T132" s="119">
        <f t="shared" si="233"/>
        <v>235.43756271935524</v>
      </c>
      <c r="U132" s="119">
        <f t="shared" si="233"/>
        <v>258.98131899129078</v>
      </c>
      <c r="V132" s="119">
        <f t="shared" si="233"/>
        <v>284.87945089041989</v>
      </c>
      <c r="W132" s="119">
        <f t="shared" si="233"/>
        <v>313.36739597946183</v>
      </c>
      <c r="X132" s="119">
        <f t="shared" si="233"/>
        <v>344.70413557740807</v>
      </c>
      <c r="Y132" s="119">
        <f t="shared" si="233"/>
        <v>379.17454913514894</v>
      </c>
      <c r="Z132" s="119">
        <f t="shared" si="233"/>
        <v>417.0920040486638</v>
      </c>
      <c r="AA132" s="119">
        <f t="shared" si="233"/>
        <v>458.80120445353026</v>
      </c>
      <c r="AB132" s="119">
        <f t="shared" si="233"/>
        <v>504.6813248988833</v>
      </c>
      <c r="AC132" s="138" t="e">
        <f t="shared" si="230"/>
        <v>#DIV/0!</v>
      </c>
      <c r="AD132" s="31">
        <v>0.08</v>
      </c>
      <c r="AE132" s="127" t="e">
        <f t="shared" si="231"/>
        <v>#DIV/0!</v>
      </c>
    </row>
    <row r="133" spans="2:31" x14ac:dyDescent="0.2">
      <c r="B133" s="20" t="s">
        <v>259</v>
      </c>
      <c r="C133" s="25" t="e">
        <f t="shared" ref="C133:P133" si="234">C131/C48</f>
        <v>#DIV/0!</v>
      </c>
      <c r="D133" s="25" t="e">
        <f t="shared" si="234"/>
        <v>#DIV/0!</v>
      </c>
      <c r="E133" s="25" t="e">
        <f t="shared" si="234"/>
        <v>#DIV/0!</v>
      </c>
      <c r="F133" s="25" t="e">
        <f t="shared" si="234"/>
        <v>#DIV/0!</v>
      </c>
      <c r="G133" s="25">
        <f t="shared" si="234"/>
        <v>0</v>
      </c>
      <c r="H133" s="25">
        <f t="shared" si="234"/>
        <v>0</v>
      </c>
      <c r="I133" s="25">
        <f t="shared" si="234"/>
        <v>0</v>
      </c>
      <c r="J133" s="25">
        <f t="shared" si="234"/>
        <v>0</v>
      </c>
      <c r="K133" s="25">
        <f t="shared" si="234"/>
        <v>0</v>
      </c>
      <c r="L133" s="25">
        <f t="shared" si="234"/>
        <v>13.907148120854826</v>
      </c>
      <c r="M133" s="25">
        <f t="shared" si="234"/>
        <v>51.817071428571431</v>
      </c>
      <c r="N133" s="25">
        <f t="shared" si="234"/>
        <v>67.106282520716903</v>
      </c>
      <c r="O133" s="25">
        <f t="shared" si="234"/>
        <v>70.826643193619446</v>
      </c>
      <c r="P133" s="25">
        <f t="shared" si="234"/>
        <v>66.923458666785891</v>
      </c>
      <c r="Q133" s="118" t="e">
        <f t="shared" si="227"/>
        <v>#DIV/0!</v>
      </c>
      <c r="R133" s="128"/>
      <c r="S133" s="119">
        <f t="shared" ref="S133:AB133" si="235">S131/S48</f>
        <v>73.615804533464484</v>
      </c>
      <c r="T133" s="119">
        <f t="shared" si="235"/>
        <v>80.977384986810918</v>
      </c>
      <c r="U133" s="119">
        <f t="shared" si="235"/>
        <v>89.075123485492</v>
      </c>
      <c r="V133" s="119">
        <f t="shared" si="235"/>
        <v>97.982635834041218</v>
      </c>
      <c r="W133" s="119">
        <f t="shared" si="235"/>
        <v>107.78089941744534</v>
      </c>
      <c r="X133" s="119">
        <f t="shared" si="235"/>
        <v>118.55898935918988</v>
      </c>
      <c r="Y133" s="119">
        <f t="shared" si="235"/>
        <v>130.41488829510888</v>
      </c>
      <c r="Z133" s="119">
        <f t="shared" si="235"/>
        <v>143.45637712461979</v>
      </c>
      <c r="AA133" s="119">
        <f t="shared" si="235"/>
        <v>157.80201483708177</v>
      </c>
      <c r="AB133" s="119">
        <f t="shared" si="235"/>
        <v>173.58221632078994</v>
      </c>
      <c r="AC133" s="138" t="e">
        <f t="shared" si="230"/>
        <v>#DIV/0!</v>
      </c>
      <c r="AD133" s="31">
        <v>0.08</v>
      </c>
      <c r="AE133" s="127" t="e">
        <f t="shared" si="231"/>
        <v>#DIV/0!</v>
      </c>
    </row>
    <row r="134" spans="2:31" x14ac:dyDescent="0.2">
      <c r="B134" s="20" t="s">
        <v>260</v>
      </c>
      <c r="C134" s="25" t="e">
        <f t="shared" ref="C134:P134" si="236">C131/C57</f>
        <v>#DIV/0!</v>
      </c>
      <c r="D134" s="25" t="e">
        <f t="shared" si="236"/>
        <v>#DIV/0!</v>
      </c>
      <c r="E134" s="25" t="e">
        <f t="shared" si="236"/>
        <v>#DIV/0!</v>
      </c>
      <c r="F134" s="25" t="e">
        <f t="shared" si="236"/>
        <v>#DIV/0!</v>
      </c>
      <c r="G134" s="25">
        <f t="shared" si="236"/>
        <v>0</v>
      </c>
      <c r="H134" s="25">
        <f t="shared" si="236"/>
        <v>0</v>
      </c>
      <c r="I134" s="25">
        <f t="shared" si="236"/>
        <v>0</v>
      </c>
      <c r="J134" s="25">
        <f t="shared" si="236"/>
        <v>0</v>
      </c>
      <c r="K134" s="25">
        <f t="shared" si="236"/>
        <v>0</v>
      </c>
      <c r="L134" s="25">
        <f t="shared" si="236"/>
        <v>67.52057245080502</v>
      </c>
      <c r="M134" s="25">
        <f t="shared" si="236"/>
        <v>137.86374002280502</v>
      </c>
      <c r="N134" s="25">
        <f t="shared" si="236"/>
        <v>206.2882109004739</v>
      </c>
      <c r="O134" s="25">
        <f t="shared" si="236"/>
        <v>158.68651631477931</v>
      </c>
      <c r="P134" s="25">
        <f t="shared" si="236"/>
        <v>322.46380870314522</v>
      </c>
      <c r="Q134" s="118" t="e">
        <f t="shared" si="227"/>
        <v>#DIV/0!</v>
      </c>
      <c r="R134" s="128"/>
      <c r="S134" s="119">
        <f t="shared" ref="S134:AB134" si="237">S131/S57</f>
        <v>354.71018957345973</v>
      </c>
      <c r="T134" s="119">
        <f t="shared" si="237"/>
        <v>390.18120853080563</v>
      </c>
      <c r="U134" s="119">
        <f t="shared" si="237"/>
        <v>429.19932938388621</v>
      </c>
      <c r="V134" s="119">
        <f t="shared" si="237"/>
        <v>472.11926232227489</v>
      </c>
      <c r="W134" s="119">
        <f t="shared" si="237"/>
        <v>519.33118855450243</v>
      </c>
      <c r="X134" s="119">
        <f t="shared" si="237"/>
        <v>571.26430740995261</v>
      </c>
      <c r="Y134" s="119">
        <f t="shared" si="237"/>
        <v>628.39073815094787</v>
      </c>
      <c r="Z134" s="119">
        <f t="shared" si="237"/>
        <v>691.2298119660428</v>
      </c>
      <c r="AA134" s="119">
        <f t="shared" si="237"/>
        <v>760.35279316264712</v>
      </c>
      <c r="AB134" s="119">
        <f t="shared" si="237"/>
        <v>836.38807247891168</v>
      </c>
      <c r="AC134" s="138" t="e">
        <f t="shared" si="230"/>
        <v>#DIV/0!</v>
      </c>
      <c r="AD134" s="31">
        <v>0.08</v>
      </c>
      <c r="AE134" s="127" t="e">
        <f t="shared" si="231"/>
        <v>#DIV/0!</v>
      </c>
    </row>
    <row r="135" spans="2:31" x14ac:dyDescent="0.2">
      <c r="B135" s="20" t="s">
        <v>261</v>
      </c>
      <c r="C135" s="25" t="e">
        <f t="shared" ref="C135:P135" si="238">C131/C59</f>
        <v>#DIV/0!</v>
      </c>
      <c r="D135" s="25" t="e">
        <f t="shared" si="238"/>
        <v>#DIV/0!</v>
      </c>
      <c r="E135" s="25" t="e">
        <f t="shared" si="238"/>
        <v>#DIV/0!</v>
      </c>
      <c r="F135" s="25" t="e">
        <f t="shared" si="238"/>
        <v>#DIV/0!</v>
      </c>
      <c r="G135" s="25">
        <f t="shared" si="238"/>
        <v>0</v>
      </c>
      <c r="H135" s="25">
        <f t="shared" si="238"/>
        <v>0</v>
      </c>
      <c r="I135" s="25">
        <f t="shared" si="238"/>
        <v>0</v>
      </c>
      <c r="J135" s="25">
        <f t="shared" si="238"/>
        <v>0</v>
      </c>
      <c r="K135" s="25">
        <f t="shared" si="238"/>
        <v>0</v>
      </c>
      <c r="L135" s="25">
        <f t="shared" si="238"/>
        <v>69.818719940806517</v>
      </c>
      <c r="M135" s="25">
        <f t="shared" si="238"/>
        <v>-6535.4864864864858</v>
      </c>
      <c r="N135" s="25">
        <f t="shared" si="238"/>
        <v>784.26689189189187</v>
      </c>
      <c r="O135" s="25">
        <f t="shared" si="238"/>
        <v>626.33087121212122</v>
      </c>
      <c r="P135" s="25">
        <f t="shared" si="238"/>
        <v>165.12708218422506</v>
      </c>
      <c r="Q135" s="118" t="e">
        <f t="shared" si="227"/>
        <v>#DIV/0!</v>
      </c>
      <c r="R135" s="128"/>
      <c r="S135" s="119">
        <f t="shared" ref="S135:AB135" si="239">S131/S59</f>
        <v>181.63979040264755</v>
      </c>
      <c r="T135" s="119">
        <f t="shared" si="239"/>
        <v>199.80376944291228</v>
      </c>
      <c r="U135" s="119">
        <f t="shared" si="239"/>
        <v>219.78414638720352</v>
      </c>
      <c r="V135" s="119">
        <f t="shared" si="239"/>
        <v>241.7625610259239</v>
      </c>
      <c r="W135" s="119">
        <f t="shared" si="239"/>
        <v>265.93881712851623</v>
      </c>
      <c r="X135" s="119">
        <f t="shared" si="239"/>
        <v>292.53269884136785</v>
      </c>
      <c r="Y135" s="119">
        <f t="shared" si="239"/>
        <v>321.78596872550469</v>
      </c>
      <c r="Z135" s="119">
        <f t="shared" si="239"/>
        <v>353.96456559805517</v>
      </c>
      <c r="AA135" s="119">
        <f t="shared" si="239"/>
        <v>389.36102215786076</v>
      </c>
      <c r="AB135" s="119">
        <f t="shared" si="239"/>
        <v>428.29712437364691</v>
      </c>
      <c r="AC135" s="138" t="e">
        <f t="shared" si="230"/>
        <v>#DIV/0!</v>
      </c>
      <c r="AD135" s="31">
        <v>0.08</v>
      </c>
      <c r="AE135" s="127" t="e">
        <f t="shared" si="231"/>
        <v>#DIV/0!</v>
      </c>
    </row>
    <row r="136" spans="2:31" x14ac:dyDescent="0.2">
      <c r="B136" s="20" t="s">
        <v>282</v>
      </c>
      <c r="C136" s="25" t="e">
        <f>C132/C99</f>
        <v>#DIV/0!</v>
      </c>
      <c r="D136" s="25" t="e">
        <f>D132/D99</f>
        <v>#DIV/0!</v>
      </c>
      <c r="E136" s="25" t="e">
        <f>E132/E99</f>
        <v>#DIV/0!</v>
      </c>
      <c r="F136" s="25" t="e">
        <f>F132/F99</f>
        <v>#DIV/0!</v>
      </c>
      <c r="G136" s="25">
        <f t="shared" ref="G136:P136" si="240">G131/G53</f>
        <v>0</v>
      </c>
      <c r="H136" s="25">
        <f t="shared" si="240"/>
        <v>0</v>
      </c>
      <c r="I136" s="25">
        <f t="shared" si="240"/>
        <v>0</v>
      </c>
      <c r="J136" s="25">
        <f t="shared" si="240"/>
        <v>0</v>
      </c>
      <c r="K136" s="25">
        <f t="shared" si="240"/>
        <v>0</v>
      </c>
      <c r="L136" s="25">
        <f t="shared" si="240"/>
        <v>11.426495519496246</v>
      </c>
      <c r="M136" s="25">
        <f t="shared" si="240"/>
        <v>51.018988677122159</v>
      </c>
      <c r="N136" s="25">
        <f t="shared" si="240"/>
        <v>59.193308023572079</v>
      </c>
      <c r="O136" s="25">
        <f t="shared" si="240"/>
        <v>61.554713820381572</v>
      </c>
      <c r="P136" s="25">
        <f t="shared" si="240"/>
        <v>47.359034391115891</v>
      </c>
      <c r="Q136" s="118" t="e">
        <f t="shared" ref="Q136" si="241">((P136/G136)^(1/($H$2-$H$1) ))-1</f>
        <v>#DIV/0!</v>
      </c>
      <c r="R136" s="128"/>
      <c r="S136" s="135">
        <f t="shared" ref="S136:AB136" si="242">S131/S53</f>
        <v>52.094937830227472</v>
      </c>
      <c r="T136" s="135">
        <f t="shared" si="242"/>
        <v>57.30443161325023</v>
      </c>
      <c r="U136" s="135">
        <f t="shared" si="242"/>
        <v>63.034874774575243</v>
      </c>
      <c r="V136" s="135">
        <f t="shared" si="242"/>
        <v>69.33836225203278</v>
      </c>
      <c r="W136" s="135">
        <f t="shared" si="242"/>
        <v>76.272198477236046</v>
      </c>
      <c r="X136" s="135">
        <f t="shared" si="242"/>
        <v>83.89941832495964</v>
      </c>
      <c r="Y136" s="135">
        <f t="shared" si="242"/>
        <v>92.289360157455647</v>
      </c>
      <c r="Z136" s="135">
        <f t="shared" si="242"/>
        <v>101.51829617320119</v>
      </c>
      <c r="AA136" s="135">
        <f t="shared" si="242"/>
        <v>111.67012579052131</v>
      </c>
      <c r="AB136" s="135">
        <f t="shared" si="242"/>
        <v>122.83713836957348</v>
      </c>
      <c r="AC136" s="138" t="e">
        <f t="shared" ref="AC136" si="243">((AB136/G136)^(1/($AB$3-$H$1) ))-1</f>
        <v>#DIV/0!</v>
      </c>
      <c r="AD136" s="31">
        <v>0.08</v>
      </c>
      <c r="AE136" s="127" t="e">
        <f t="shared" si="231"/>
        <v>#DIV/0!</v>
      </c>
    </row>
    <row r="137" spans="2:31" x14ac:dyDescent="0.2">
      <c r="B137" s="20" t="s">
        <v>323</v>
      </c>
      <c r="C137" s="162" t="e">
        <f t="shared" ref="C137:P137" si="244">C46/C131</f>
        <v>#DIV/0!</v>
      </c>
      <c r="D137" s="162" t="e">
        <f t="shared" si="244"/>
        <v>#DIV/0!</v>
      </c>
      <c r="E137" s="162" t="e">
        <f t="shared" si="244"/>
        <v>#DIV/0!</v>
      </c>
      <c r="F137" s="162">
        <f t="shared" si="244"/>
        <v>0</v>
      </c>
      <c r="G137" s="162" t="e">
        <f t="shared" si="244"/>
        <v>#DIV/0!</v>
      </c>
      <c r="H137" s="162" t="e">
        <f t="shared" si="244"/>
        <v>#DIV/0!</v>
      </c>
      <c r="I137" s="162" t="e">
        <f t="shared" si="244"/>
        <v>#DIV/0!</v>
      </c>
      <c r="J137" s="162" t="e">
        <f t="shared" si="244"/>
        <v>#DIV/0!</v>
      </c>
      <c r="K137" s="162" t="e">
        <f t="shared" si="244"/>
        <v>#DIV/0!</v>
      </c>
      <c r="L137" s="162">
        <f t="shared" si="244"/>
        <v>1.77988554472234E-2</v>
      </c>
      <c r="M137" s="162">
        <f t="shared" si="244"/>
        <v>5.8033825035599127E-3</v>
      </c>
      <c r="N137" s="162">
        <f t="shared" si="244"/>
        <v>4.8523730823003264E-3</v>
      </c>
      <c r="O137" s="162">
        <f t="shared" si="244"/>
        <v>4.7792171034587855E-3</v>
      </c>
      <c r="P137" s="162">
        <f t="shared" si="244"/>
        <v>5.1393668284034017E-3</v>
      </c>
      <c r="Q137" s="128"/>
      <c r="R137" s="128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8"/>
      <c r="AD137" s="31"/>
      <c r="AE137" s="127"/>
    </row>
    <row r="138" spans="2:31" x14ac:dyDescent="0.2">
      <c r="B138" s="20" t="s">
        <v>324</v>
      </c>
      <c r="C138" s="153" t="e">
        <f t="shared" ref="C138:P138" si="245">C40/C131</f>
        <v>#DIV/0!</v>
      </c>
      <c r="D138" s="153" t="e">
        <f t="shared" si="245"/>
        <v>#DIV/0!</v>
      </c>
      <c r="E138" s="153" t="e">
        <f t="shared" si="245"/>
        <v>#DIV/0!</v>
      </c>
      <c r="F138" s="153">
        <f t="shared" si="245"/>
        <v>1.1940298507462687E-2</v>
      </c>
      <c r="G138" s="153" t="e">
        <f t="shared" si="245"/>
        <v>#DIV/0!</v>
      </c>
      <c r="H138" s="153" t="e">
        <f t="shared" si="245"/>
        <v>#DIV/0!</v>
      </c>
      <c r="I138" s="153" t="e">
        <f t="shared" si="245"/>
        <v>#DIV/0!</v>
      </c>
      <c r="J138" s="153" t="e">
        <f t="shared" si="245"/>
        <v>#DIV/0!</v>
      </c>
      <c r="K138" s="153" t="e">
        <f t="shared" si="245"/>
        <v>#DIV/0!</v>
      </c>
      <c r="L138" s="153">
        <f t="shared" si="245"/>
        <v>7.4000000000000003E-3</v>
      </c>
      <c r="M138" s="153">
        <f t="shared" si="245"/>
        <v>5.263157894736842E-3</v>
      </c>
      <c r="N138" s="153">
        <f t="shared" si="245"/>
        <v>3.2962962962962963E-3</v>
      </c>
      <c r="O138" s="153">
        <f t="shared" si="245"/>
        <v>2.6470588235294116E-3</v>
      </c>
      <c r="P138" s="153">
        <f t="shared" si="245"/>
        <v>2.7631578947368419E-3</v>
      </c>
      <c r="Q138" s="128"/>
      <c r="R138" s="128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8"/>
      <c r="AD138" s="31"/>
      <c r="AE138" s="127"/>
    </row>
    <row r="139" spans="2:31" x14ac:dyDescent="0.2">
      <c r="B139" s="20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28"/>
      <c r="R139" s="128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8"/>
      <c r="AD139" s="31"/>
      <c r="AE139" s="127"/>
    </row>
    <row r="140" spans="2:31" x14ac:dyDescent="0.2">
      <c r="B140" s="20"/>
      <c r="C140" s="129"/>
      <c r="D140" s="129"/>
      <c r="E140" s="129"/>
      <c r="F140" s="129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28"/>
      <c r="R140" s="128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7"/>
      <c r="AD140" s="20"/>
      <c r="AE140" s="127"/>
    </row>
    <row r="141" spans="2:31" x14ac:dyDescent="0.2">
      <c r="B141" s="108" t="s">
        <v>302</v>
      </c>
      <c r="C141" s="20"/>
      <c r="D141" s="20"/>
      <c r="E141" s="20"/>
      <c r="F141" s="20"/>
      <c r="G141" s="20"/>
      <c r="H141" s="20"/>
      <c r="I141" s="20"/>
      <c r="J141" s="20"/>
      <c r="K141" s="185" t="s">
        <v>355</v>
      </c>
      <c r="L141" s="186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300</v>
      </c>
      <c r="C142" s="20" t="s">
        <v>316</v>
      </c>
      <c r="D142" s="20"/>
      <c r="E142" s="20"/>
      <c r="F142" s="20"/>
      <c r="G142" s="20"/>
      <c r="H142" s="20"/>
      <c r="I142" s="20"/>
      <c r="J142" s="20"/>
      <c r="K142" s="20" t="s">
        <v>356</v>
      </c>
      <c r="L142" s="22">
        <v>2</v>
      </c>
      <c r="M142" s="20"/>
      <c r="N142" s="20"/>
      <c r="O142" s="20"/>
      <c r="P142" s="128">
        <f>(P131-R119)/P131</f>
        <v>0.92769441134029329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353</v>
      </c>
      <c r="C143" s="20" t="s">
        <v>316</v>
      </c>
      <c r="D143" s="20"/>
      <c r="E143" s="20"/>
      <c r="F143" s="20"/>
      <c r="G143" s="20"/>
      <c r="H143" s="20"/>
      <c r="I143" s="20"/>
      <c r="J143" s="20"/>
      <c r="K143" s="173">
        <f>L142</f>
        <v>2</v>
      </c>
      <c r="L143" s="20"/>
      <c r="M143" s="128">
        <f>(P131-(K143*R110))/P131</f>
        <v>0.57359431714349529</v>
      </c>
      <c r="N143" s="20"/>
      <c r="O143" s="20"/>
      <c r="P143" s="128">
        <f>(P131-R110)/P131</f>
        <v>0.78679715857174759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354</v>
      </c>
      <c r="C144" s="20" t="s">
        <v>316</v>
      </c>
      <c r="D144" s="20"/>
      <c r="E144" s="20"/>
      <c r="F144" s="20"/>
      <c r="G144" s="20"/>
      <c r="H144" s="20"/>
      <c r="I144" s="20"/>
      <c r="J144" s="20"/>
      <c r="K144" s="173">
        <f>L142</f>
        <v>2</v>
      </c>
      <c r="L144" s="20"/>
      <c r="M144" s="128">
        <f>(P131-(K143*R103))/P131</f>
        <v>0.68759210308134</v>
      </c>
      <c r="N144" s="20"/>
      <c r="O144" s="20"/>
      <c r="P144" s="128">
        <f>(P131-R103)/P131</f>
        <v>0.84379605154067006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357</v>
      </c>
      <c r="C145" s="20" t="s">
        <v>316</v>
      </c>
      <c r="D145" s="20"/>
      <c r="E145" s="20"/>
      <c r="F145" s="20"/>
      <c r="G145" s="20"/>
      <c r="H145" s="20"/>
      <c r="I145" s="20"/>
      <c r="J145" s="20"/>
      <c r="K145" s="173">
        <f>L142</f>
        <v>2</v>
      </c>
      <c r="L145" s="20"/>
      <c r="M145" s="128">
        <f>(P131-(K143*R116))/P131</f>
        <v>0.7910751782769313</v>
      </c>
      <c r="N145" s="20"/>
      <c r="O145" s="20"/>
      <c r="P145" s="128">
        <f>(P131-R116)/P131</f>
        <v>0.89553758913846571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301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5">
        <f>P131/R102</f>
        <v>19.270569772222256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2:31" x14ac:dyDescent="0.2">
      <c r="B148" s="108" t="s">
        <v>303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2:31" x14ac:dyDescent="0.2">
      <c r="B149" s="20" t="s">
        <v>306</v>
      </c>
      <c r="C149" s="25" t="e">
        <f t="shared" ref="C149:P149" si="246">C10/C7</f>
        <v>#DIV/0!</v>
      </c>
      <c r="D149" s="25" t="e">
        <f t="shared" si="246"/>
        <v>#DIV/0!</v>
      </c>
      <c r="E149" s="25" t="e">
        <f t="shared" si="246"/>
        <v>#DIV/0!</v>
      </c>
      <c r="F149" s="25" t="e">
        <f t="shared" si="246"/>
        <v>#DIV/0!</v>
      </c>
      <c r="G149" s="25">
        <f t="shared" si="246"/>
        <v>2.3403595784252943E-2</v>
      </c>
      <c r="H149" s="25">
        <f t="shared" si="246"/>
        <v>3.1092012133468148E-2</v>
      </c>
      <c r="I149" s="25">
        <f t="shared" si="246"/>
        <v>1.5871290357647571E-2</v>
      </c>
      <c r="J149" s="25">
        <f t="shared" si="246"/>
        <v>1.9569103396368425E-2</v>
      </c>
      <c r="K149" s="25">
        <f t="shared" si="246"/>
        <v>1.9893428063943161E-2</v>
      </c>
      <c r="L149" s="25">
        <f t="shared" si="246"/>
        <v>1.3357142857142857E-2</v>
      </c>
      <c r="M149" s="25">
        <f t="shared" si="246"/>
        <v>7.6177285318559558E-3</v>
      </c>
      <c r="N149" s="25">
        <f t="shared" si="246"/>
        <v>7.6034063260340635E-3</v>
      </c>
      <c r="O149" s="25">
        <f t="shared" si="246"/>
        <v>4.1628122109158188E-3</v>
      </c>
      <c r="P149" s="25">
        <f t="shared" si="246"/>
        <v>3.88651379712398E-3</v>
      </c>
      <c r="Q149" s="118">
        <f t="shared" ref="Q149:Q151" si="247">((P149/G149)^(1/($H$2-$H$1) ))-1</f>
        <v>-0.18084859483022653</v>
      </c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2:31" x14ac:dyDescent="0.2">
      <c r="B150" s="20" t="s">
        <v>307</v>
      </c>
      <c r="C150" s="112" t="e">
        <f>C10/C12</f>
        <v>#DIV/0!</v>
      </c>
      <c r="D150" s="112" t="e">
        <f>D10/D12</f>
        <v>#DIV/0!</v>
      </c>
      <c r="E150" s="112" t="e">
        <f>E10/E12</f>
        <v>#DIV/0!</v>
      </c>
      <c r="F150" s="112" t="e">
        <f>F10/F12</f>
        <v>#DIV/0!</v>
      </c>
      <c r="G150" s="112">
        <f>G10/G12</f>
        <v>1.51</v>
      </c>
      <c r="H150" s="112">
        <f t="shared" ref="H150:P150" si="248">H10/H12</f>
        <v>3.236842105263158</v>
      </c>
      <c r="I150" s="112">
        <f t="shared" si="248"/>
        <v>1.3272727272727274</v>
      </c>
      <c r="J150" s="112">
        <f t="shared" si="248"/>
        <v>1.0612244897959184</v>
      </c>
      <c r="K150" s="112">
        <f t="shared" si="248"/>
        <v>0.8784313725490196</v>
      </c>
      <c r="L150" s="112">
        <f t="shared" si="248"/>
        <v>0.64930555555555558</v>
      </c>
      <c r="M150" s="112">
        <f t="shared" si="248"/>
        <v>0.41509433962264153</v>
      </c>
      <c r="N150" s="112">
        <f t="shared" si="248"/>
        <v>0.63451776649746194</v>
      </c>
      <c r="O150" s="112">
        <f t="shared" si="248"/>
        <v>2.5878594249201279E-2</v>
      </c>
      <c r="P150" s="112">
        <f t="shared" si="248"/>
        <v>2.3510971786833857E-2</v>
      </c>
      <c r="Q150" s="118">
        <f t="shared" si="247"/>
        <v>-0.37028543708732176</v>
      </c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2:31" x14ac:dyDescent="0.2">
      <c r="B151" s="20" t="s">
        <v>308</v>
      </c>
      <c r="C151" s="25" t="e">
        <f>C10/(C12+C13)</f>
        <v>#DIV/0!</v>
      </c>
      <c r="D151" s="25" t="e">
        <f>D10/(D12+D13)</f>
        <v>#DIV/0!</v>
      </c>
      <c r="E151" s="25" t="e">
        <f>E10/(E12+E13)</f>
        <v>#DIV/0!</v>
      </c>
      <c r="F151" s="25" t="e">
        <f>F10/(F12+F13)</f>
        <v>#DIV/0!</v>
      </c>
      <c r="G151" s="25">
        <f>G10/(G12+G13)</f>
        <v>5.1854395604395608E-2</v>
      </c>
      <c r="H151" s="25">
        <f t="shared" ref="H151:P151" si="249">H10/(H12+H13)</f>
        <v>7.2352941176470592E-2</v>
      </c>
      <c r="I151" s="25">
        <f t="shared" si="249"/>
        <v>4.7127178825048417E-2</v>
      </c>
      <c r="J151" s="25">
        <f t="shared" si="249"/>
        <v>7.71227289581016E-2</v>
      </c>
      <c r="K151" s="25">
        <f t="shared" si="249"/>
        <v>7.8873239436619724E-2</v>
      </c>
      <c r="L151" s="25">
        <f t="shared" si="249"/>
        <v>6.690518783542039E-2</v>
      </c>
      <c r="M151" s="25">
        <f t="shared" si="249"/>
        <v>2.0904599011782592E-2</v>
      </c>
      <c r="N151" s="25">
        <f t="shared" si="249"/>
        <v>2.4684044233807267E-2</v>
      </c>
      <c r="O151" s="25">
        <f t="shared" si="249"/>
        <v>9.7168905950095977E-3</v>
      </c>
      <c r="P151" s="25">
        <f t="shared" si="249"/>
        <v>1.938819474364498E-2</v>
      </c>
      <c r="Q151" s="118">
        <f t="shared" si="247"/>
        <v>-0.10354606602375016</v>
      </c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2:31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2:31" x14ac:dyDescent="0.2">
      <c r="B154" s="20"/>
      <c r="C154" s="20"/>
      <c r="D154" s="20"/>
      <c r="E154" s="20"/>
      <c r="F154" s="20"/>
      <c r="G154" s="20"/>
      <c r="H154" s="20"/>
      <c r="I154" s="182" t="s">
        <v>341</v>
      </c>
      <c r="J154" s="183"/>
      <c r="K154" s="184"/>
      <c r="L154" s="20"/>
      <c r="M154" s="20"/>
      <c r="N154" s="20"/>
      <c r="O154" s="182" t="s">
        <v>342</v>
      </c>
      <c r="P154" s="183"/>
      <c r="Q154" s="184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2:31" x14ac:dyDescent="0.2">
      <c r="B155" s="20"/>
      <c r="C155" s="20"/>
      <c r="D155" s="20"/>
      <c r="E155" s="20"/>
      <c r="F155" s="20"/>
      <c r="G155" s="20"/>
      <c r="H155" s="20"/>
      <c r="I155" s="167" t="s">
        <v>343</v>
      </c>
      <c r="J155" s="167"/>
      <c r="K155" s="167" t="s">
        <v>0</v>
      </c>
      <c r="L155" s="23" t="s">
        <v>344</v>
      </c>
      <c r="M155" s="20"/>
      <c r="N155" s="20"/>
      <c r="O155" s="167" t="s">
        <v>343</v>
      </c>
      <c r="P155" s="167"/>
      <c r="Q155" s="167" t="s">
        <v>0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2:31" x14ac:dyDescent="0.2">
      <c r="B156" s="20"/>
      <c r="C156" s="20"/>
      <c r="D156" s="20"/>
      <c r="E156" s="20"/>
      <c r="F156" s="20"/>
      <c r="G156" s="20"/>
      <c r="H156" s="20"/>
      <c r="I156" s="168" t="s">
        <v>345</v>
      </c>
      <c r="J156" s="168"/>
      <c r="K156" s="21">
        <v>160</v>
      </c>
      <c r="L156" s="20"/>
      <c r="M156" s="20"/>
      <c r="N156" s="20"/>
      <c r="O156" s="168" t="s">
        <v>345</v>
      </c>
      <c r="P156" s="168"/>
      <c r="Q156" s="21">
        <v>650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2:31" x14ac:dyDescent="0.2">
      <c r="B157" s="20"/>
      <c r="C157" s="20"/>
      <c r="D157" s="20"/>
      <c r="E157" s="20"/>
      <c r="F157" s="20"/>
      <c r="G157" s="20"/>
      <c r="H157" s="20"/>
      <c r="I157" s="168" t="s">
        <v>346</v>
      </c>
      <c r="J157" s="168"/>
      <c r="K157" s="21">
        <v>1</v>
      </c>
      <c r="L157" s="20"/>
      <c r="M157" s="20"/>
      <c r="N157" s="20"/>
      <c r="O157" s="168" t="s">
        <v>346</v>
      </c>
      <c r="P157" s="168"/>
      <c r="Q157" s="21">
        <v>1</v>
      </c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168" t="s">
        <v>347</v>
      </c>
      <c r="J158" s="168"/>
      <c r="K158" s="169">
        <f>K156*K157</f>
        <v>160</v>
      </c>
      <c r="L158" s="20"/>
      <c r="M158" s="20"/>
      <c r="N158" s="20"/>
      <c r="O158" s="168" t="s">
        <v>348</v>
      </c>
      <c r="P158" s="168"/>
      <c r="Q158" s="169">
        <f>Q156*Q157</f>
        <v>650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2:31" x14ac:dyDescent="0.2">
      <c r="B159" s="20"/>
      <c r="C159" s="20"/>
      <c r="D159" s="20"/>
      <c r="E159" s="20"/>
      <c r="F159" s="20"/>
      <c r="G159" s="20"/>
      <c r="H159" s="20"/>
      <c r="I159" s="168" t="s">
        <v>349</v>
      </c>
      <c r="J159" s="168"/>
      <c r="K159" s="21">
        <v>2000</v>
      </c>
      <c r="L159" s="20"/>
      <c r="M159" s="20"/>
      <c r="N159" s="20"/>
      <c r="O159" s="168" t="s">
        <v>349</v>
      </c>
      <c r="P159" s="168"/>
      <c r="Q159" s="21">
        <v>300</v>
      </c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2:31" x14ac:dyDescent="0.2">
      <c r="B160" s="20"/>
      <c r="C160" s="20"/>
      <c r="D160" s="20"/>
      <c r="E160" s="20"/>
      <c r="F160" s="20"/>
      <c r="G160" s="20"/>
      <c r="H160" s="20"/>
      <c r="I160" s="168" t="s">
        <v>350</v>
      </c>
      <c r="J160" s="168"/>
      <c r="K160" s="169">
        <f>K159*K157</f>
        <v>2000</v>
      </c>
      <c r="L160" s="20"/>
      <c r="M160" s="20"/>
      <c r="N160" s="20"/>
      <c r="O160" s="168" t="s">
        <v>346</v>
      </c>
      <c r="P160" s="168"/>
      <c r="Q160" s="21">
        <v>30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2:31" x14ac:dyDescent="0.2">
      <c r="B161" s="20"/>
      <c r="C161" s="20"/>
      <c r="D161" s="20"/>
      <c r="E161" s="20"/>
      <c r="F161" s="20"/>
      <c r="G161" s="20"/>
      <c r="H161" s="20"/>
      <c r="I161" s="168"/>
      <c r="J161" s="168"/>
      <c r="K161" s="169"/>
      <c r="L161" s="20"/>
      <c r="M161" s="20"/>
      <c r="N161" s="20"/>
      <c r="O161" s="168" t="s">
        <v>348</v>
      </c>
      <c r="P161" s="168"/>
      <c r="Q161" s="169">
        <f>Q160*Q159</f>
        <v>9000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spans="2:31" x14ac:dyDescent="0.2">
      <c r="B162" s="20"/>
      <c r="C162" s="20"/>
      <c r="D162" s="20"/>
      <c r="E162" s="20"/>
      <c r="F162" s="20"/>
      <c r="G162" s="20"/>
      <c r="H162" s="20"/>
      <c r="I162" s="168"/>
      <c r="J162" s="168"/>
      <c r="K162" s="169"/>
      <c r="L162" s="20"/>
      <c r="M162" s="20"/>
      <c r="N162" s="20"/>
      <c r="O162" s="168"/>
      <c r="P162" s="168"/>
      <c r="Q162" s="169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170" t="s">
        <v>351</v>
      </c>
      <c r="J163" s="170"/>
      <c r="K163" s="171">
        <f>K160/K158</f>
        <v>12.5</v>
      </c>
      <c r="L163" s="20"/>
      <c r="M163" s="20"/>
      <c r="N163" s="20"/>
      <c r="O163" s="170" t="s">
        <v>351</v>
      </c>
      <c r="P163" s="170"/>
      <c r="Q163" s="171">
        <f>Q161/Q158</f>
        <v>13.846153846153847</v>
      </c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pans="2:31" x14ac:dyDescent="0.2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</sheetData>
  <mergeCells count="5">
    <mergeCell ref="AD2:AE2"/>
    <mergeCell ref="AD3:AE3"/>
    <mergeCell ref="I154:K154"/>
    <mergeCell ref="O154:Q154"/>
    <mergeCell ref="K141:L141"/>
  </mergeCells>
  <pageMargins left="0.7" right="0.7" top="0.75" bottom="0.75" header="0.3" footer="0.3"/>
  <pageSetup orientation="portrait" r:id="rId1"/>
  <ignoredErrors>
    <ignoredError sqref="C132" evalError="1"/>
    <ignoredError sqref="T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7" t="s">
        <v>27</v>
      </c>
      <c r="K5" s="187"/>
      <c r="M5" s="187" t="s">
        <v>65</v>
      </c>
      <c r="N5" s="187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7" t="s">
        <v>36</v>
      </c>
      <c r="K14" s="187"/>
      <c r="L14" s="187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87" t="s">
        <v>27</v>
      </c>
      <c r="S5" s="187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7" t="s">
        <v>36</v>
      </c>
      <c r="S14" s="187"/>
      <c r="T14" s="187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87" t="s">
        <v>27</v>
      </c>
      <c r="C2" s="187"/>
      <c r="E2" s="187" t="s">
        <v>65</v>
      </c>
      <c r="F2" s="187"/>
      <c r="H2" s="191" t="s">
        <v>36</v>
      </c>
      <c r="I2" s="192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88" t="s">
        <v>68</v>
      </c>
      <c r="E10" s="189"/>
      <c r="F10" s="189"/>
      <c r="G10" s="189"/>
      <c r="H10" s="190"/>
      <c r="I10" s="188" t="s">
        <v>72</v>
      </c>
      <c r="J10" s="189"/>
      <c r="K10" s="189"/>
      <c r="L10" s="190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2014-03-31T07:46:10Z</dcterms:modified>
</cp:coreProperties>
</file>
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S77" i="18"/>
  <c r="S76"/>
  <c r="S75"/>
  <c r="S74"/>
  <c r="Q77"/>
  <c r="G77"/>
  <c r="H77"/>
  <c r="I77"/>
  <c r="J77"/>
  <c r="K77"/>
  <c r="L77"/>
  <c r="M77"/>
  <c r="N77"/>
  <c r="O77"/>
  <c r="P77"/>
  <c r="F77"/>
  <c r="G101"/>
  <c r="H101"/>
  <c r="I101"/>
  <c r="J101"/>
  <c r="K101"/>
  <c r="L101"/>
  <c r="M101"/>
  <c r="N101"/>
  <c r="O101"/>
  <c r="P101"/>
  <c r="Q101" s="1"/>
  <c r="F101"/>
  <c r="Q45"/>
  <c r="Q44"/>
  <c r="Q43"/>
  <c r="Q42"/>
  <c r="P40"/>
  <c r="P41" s="1"/>
  <c r="O40"/>
  <c r="O41" s="1"/>
  <c r="Q39"/>
  <c r="Q38"/>
  <c r="Q37"/>
  <c r="P7"/>
  <c r="P106" s="1"/>
  <c r="P105"/>
  <c r="P104"/>
  <c r="C76"/>
  <c r="D76"/>
  <c r="E76"/>
  <c r="G76"/>
  <c r="H76"/>
  <c r="I76"/>
  <c r="J76"/>
  <c r="K76"/>
  <c r="L76"/>
  <c r="M76"/>
  <c r="N76"/>
  <c r="O76"/>
  <c r="P76"/>
  <c r="F76"/>
  <c r="G75"/>
  <c r="H75"/>
  <c r="I75"/>
  <c r="J75"/>
  <c r="K75"/>
  <c r="L75"/>
  <c r="M75"/>
  <c r="N75"/>
  <c r="O75"/>
  <c r="P75"/>
  <c r="C75"/>
  <c r="D75"/>
  <c r="E75"/>
  <c r="F75"/>
  <c r="G74"/>
  <c r="H74"/>
  <c r="I74"/>
  <c r="J74"/>
  <c r="K74"/>
  <c r="L74"/>
  <c r="M74"/>
  <c r="N74"/>
  <c r="O74"/>
  <c r="P74"/>
  <c r="C74"/>
  <c r="D74"/>
  <c r="E74"/>
  <c r="F74"/>
  <c r="S55"/>
  <c r="T55" s="1"/>
  <c r="U55" s="1"/>
  <c r="V55" s="1"/>
  <c r="W55" s="1"/>
  <c r="X55" s="1"/>
  <c r="Y55" s="1"/>
  <c r="Z55" s="1"/>
  <c r="AA55" s="1"/>
  <c r="AB55" s="1"/>
  <c r="Q55"/>
  <c r="S53"/>
  <c r="T53" s="1"/>
  <c r="U53" s="1"/>
  <c r="V53" s="1"/>
  <c r="W53" s="1"/>
  <c r="X53" s="1"/>
  <c r="Y53" s="1"/>
  <c r="Z53" s="1"/>
  <c r="AA53" s="1"/>
  <c r="AB53" s="1"/>
  <c r="Q53"/>
  <c r="C70"/>
  <c r="D70"/>
  <c r="E70"/>
  <c r="G70"/>
  <c r="H70"/>
  <c r="I70"/>
  <c r="J70"/>
  <c r="K70"/>
  <c r="L70"/>
  <c r="M70"/>
  <c r="N70"/>
  <c r="O70"/>
  <c r="P70"/>
  <c r="F70"/>
  <c r="C69"/>
  <c r="D69"/>
  <c r="E69"/>
  <c r="G69"/>
  <c r="H69"/>
  <c r="I69"/>
  <c r="J69"/>
  <c r="K69"/>
  <c r="L69"/>
  <c r="M69"/>
  <c r="N69"/>
  <c r="O69"/>
  <c r="P69"/>
  <c r="F69"/>
  <c r="C68"/>
  <c r="D68"/>
  <c r="E68"/>
  <c r="P66"/>
  <c r="G68"/>
  <c r="H68"/>
  <c r="I68"/>
  <c r="J68"/>
  <c r="K68"/>
  <c r="L68"/>
  <c r="M68"/>
  <c r="N68"/>
  <c r="O68"/>
  <c r="P68"/>
  <c r="F68"/>
  <c r="C66"/>
  <c r="D66"/>
  <c r="E66"/>
  <c r="F66"/>
  <c r="G66"/>
  <c r="H66"/>
  <c r="I66"/>
  <c r="J66"/>
  <c r="K66"/>
  <c r="L66"/>
  <c r="M66"/>
  <c r="N66"/>
  <c r="P28"/>
  <c r="O28"/>
  <c r="N28"/>
  <c r="M28"/>
  <c r="L28"/>
  <c r="K28"/>
  <c r="J28"/>
  <c r="I28"/>
  <c r="H28"/>
  <c r="G28"/>
  <c r="P26"/>
  <c r="O26"/>
  <c r="N26"/>
  <c r="M26"/>
  <c r="L26"/>
  <c r="K26"/>
  <c r="J26"/>
  <c r="I26"/>
  <c r="H26"/>
  <c r="G26"/>
  <c r="S27"/>
  <c r="T27" s="1"/>
  <c r="U27" s="1"/>
  <c r="V27" s="1"/>
  <c r="W27" s="1"/>
  <c r="X27" s="1"/>
  <c r="Y27" s="1"/>
  <c r="Z27" s="1"/>
  <c r="AA27" s="1"/>
  <c r="AB27" s="1"/>
  <c r="Q27"/>
  <c r="S25"/>
  <c r="T25" s="1"/>
  <c r="U25" s="1"/>
  <c r="V25" s="1"/>
  <c r="W25" s="1"/>
  <c r="X25" s="1"/>
  <c r="Y25" s="1"/>
  <c r="Z25" s="1"/>
  <c r="AA25" s="1"/>
  <c r="AB25" s="1"/>
  <c r="Q25"/>
  <c r="N41"/>
  <c r="M41"/>
  <c r="L41"/>
  <c r="K41"/>
  <c r="J41"/>
  <c r="I41"/>
  <c r="H41"/>
  <c r="G41"/>
  <c r="P32"/>
  <c r="O32"/>
  <c r="N32"/>
  <c r="M32"/>
  <c r="L32"/>
  <c r="K32"/>
  <c r="J32"/>
  <c r="I32"/>
  <c r="H32"/>
  <c r="G32"/>
  <c r="P30"/>
  <c r="O30"/>
  <c r="N30"/>
  <c r="M30"/>
  <c r="L30"/>
  <c r="K30"/>
  <c r="J30"/>
  <c r="I30"/>
  <c r="H30"/>
  <c r="G30"/>
  <c r="P24"/>
  <c r="O24"/>
  <c r="N24"/>
  <c r="M24"/>
  <c r="L24"/>
  <c r="K24"/>
  <c r="J24"/>
  <c r="I24"/>
  <c r="H24"/>
  <c r="G24"/>
  <c r="S31"/>
  <c r="T31" s="1"/>
  <c r="U31" s="1"/>
  <c r="V31" s="1"/>
  <c r="W31" s="1"/>
  <c r="X31" s="1"/>
  <c r="Y31" s="1"/>
  <c r="Z31" s="1"/>
  <c r="AA31" s="1"/>
  <c r="AB31" s="1"/>
  <c r="Q31"/>
  <c r="S29"/>
  <c r="T29" s="1"/>
  <c r="U29" s="1"/>
  <c r="V29" s="1"/>
  <c r="W29" s="1"/>
  <c r="X29" s="1"/>
  <c r="Y29" s="1"/>
  <c r="Z29" s="1"/>
  <c r="AA29" s="1"/>
  <c r="AB29" s="1"/>
  <c r="Q29"/>
  <c r="S23"/>
  <c r="T23" s="1"/>
  <c r="U23" s="1"/>
  <c r="V23" s="1"/>
  <c r="W23" s="1"/>
  <c r="X23" s="1"/>
  <c r="Y23" s="1"/>
  <c r="Z23" s="1"/>
  <c r="AA23" s="1"/>
  <c r="AB23" s="1"/>
  <c r="Q23"/>
  <c r="D87"/>
  <c r="E87"/>
  <c r="F87"/>
  <c r="G87"/>
  <c r="H87"/>
  <c r="I87"/>
  <c r="J87"/>
  <c r="K87"/>
  <c r="L87"/>
  <c r="M87"/>
  <c r="N87"/>
  <c r="O87"/>
  <c r="P87"/>
  <c r="C87"/>
  <c r="S57"/>
  <c r="T57" s="1"/>
  <c r="Q57"/>
  <c r="F71" l="1"/>
  <c r="M71"/>
  <c r="I71"/>
  <c r="E71"/>
  <c r="N72"/>
  <c r="J72"/>
  <c r="D71"/>
  <c r="C72"/>
  <c r="O72"/>
  <c r="K72"/>
  <c r="G72"/>
  <c r="P72"/>
  <c r="L72"/>
  <c r="H72"/>
  <c r="F72"/>
  <c r="M72"/>
  <c r="I72"/>
  <c r="D72"/>
  <c r="O71"/>
  <c r="K71"/>
  <c r="G71"/>
  <c r="E72"/>
  <c r="C71"/>
  <c r="N71"/>
  <c r="J71"/>
  <c r="P71"/>
  <c r="L71"/>
  <c r="H71"/>
  <c r="AC55"/>
  <c r="AE55" s="1"/>
  <c r="AC53"/>
  <c r="AE53" s="1"/>
  <c r="AC27"/>
  <c r="AE27" s="1"/>
  <c r="AC25"/>
  <c r="AE25" s="1"/>
  <c r="U57"/>
  <c r="T87"/>
  <c r="S87"/>
  <c r="AC31"/>
  <c r="AE31" s="1"/>
  <c r="AC29"/>
  <c r="AE29" s="1"/>
  <c r="AC23"/>
  <c r="AE23" s="1"/>
  <c r="Q72" l="1"/>
  <c r="Q71"/>
  <c r="V57"/>
  <c r="U87"/>
  <c r="U40"/>
  <c r="X40" s="1"/>
  <c r="AA40" s="1"/>
  <c r="S40"/>
  <c r="V40" s="1"/>
  <c r="Y40" s="1"/>
  <c r="AB40" s="1"/>
  <c r="AC40" s="1"/>
  <c r="C97"/>
  <c r="D97"/>
  <c r="E97"/>
  <c r="F97"/>
  <c r="G97"/>
  <c r="H97"/>
  <c r="I97"/>
  <c r="J97"/>
  <c r="K97"/>
  <c r="L97"/>
  <c r="M97"/>
  <c r="N97"/>
  <c r="O97"/>
  <c r="C98"/>
  <c r="D98"/>
  <c r="E98"/>
  <c r="F98"/>
  <c r="G98"/>
  <c r="H98"/>
  <c r="I98"/>
  <c r="J98"/>
  <c r="K98"/>
  <c r="L98"/>
  <c r="M98"/>
  <c r="N98"/>
  <c r="O98"/>
  <c r="C99"/>
  <c r="D99"/>
  <c r="E99"/>
  <c r="F99"/>
  <c r="G99"/>
  <c r="H99"/>
  <c r="I99"/>
  <c r="J99"/>
  <c r="K99"/>
  <c r="L99"/>
  <c r="M99"/>
  <c r="N99"/>
  <c r="O99"/>
  <c r="P99"/>
  <c r="P98"/>
  <c r="P97"/>
  <c r="C106"/>
  <c r="D106"/>
  <c r="E106"/>
  <c r="F106"/>
  <c r="G106"/>
  <c r="H106"/>
  <c r="I106"/>
  <c r="J106"/>
  <c r="K106"/>
  <c r="L106"/>
  <c r="M106"/>
  <c r="N106"/>
  <c r="O106"/>
  <c r="C104"/>
  <c r="D104"/>
  <c r="E104"/>
  <c r="C105"/>
  <c r="D105"/>
  <c r="E105"/>
  <c r="F105"/>
  <c r="G105"/>
  <c r="H105"/>
  <c r="I105"/>
  <c r="J105"/>
  <c r="K105"/>
  <c r="L105"/>
  <c r="M105"/>
  <c r="N105"/>
  <c r="O105"/>
  <c r="F104"/>
  <c r="G104"/>
  <c r="H104"/>
  <c r="I104"/>
  <c r="J104"/>
  <c r="K104"/>
  <c r="L104"/>
  <c r="M104"/>
  <c r="N104"/>
  <c r="O104"/>
  <c r="G52"/>
  <c r="G50"/>
  <c r="G36"/>
  <c r="G11"/>
  <c r="G8"/>
  <c r="G34"/>
  <c r="Q98" l="1"/>
  <c r="Q97"/>
  <c r="Q105"/>
  <c r="Q106"/>
  <c r="Q99"/>
  <c r="W57"/>
  <c r="V87"/>
  <c r="AE40"/>
  <c r="Q104"/>
  <c r="C142"/>
  <c r="D142"/>
  <c r="E142"/>
  <c r="F142"/>
  <c r="H142"/>
  <c r="I142"/>
  <c r="J142"/>
  <c r="K142"/>
  <c r="L142"/>
  <c r="M142"/>
  <c r="N142"/>
  <c r="O142"/>
  <c r="P142"/>
  <c r="G142"/>
  <c r="H61"/>
  <c r="I61"/>
  <c r="J61"/>
  <c r="K61"/>
  <c r="L61"/>
  <c r="M61"/>
  <c r="N61"/>
  <c r="O61"/>
  <c r="P61"/>
  <c r="C61"/>
  <c r="D61"/>
  <c r="E61"/>
  <c r="F61"/>
  <c r="G61"/>
  <c r="G63"/>
  <c r="H60"/>
  <c r="I60"/>
  <c r="J60"/>
  <c r="K60"/>
  <c r="L60"/>
  <c r="M60"/>
  <c r="N60"/>
  <c r="O60"/>
  <c r="P60"/>
  <c r="C60"/>
  <c r="D60"/>
  <c r="E60"/>
  <c r="F60"/>
  <c r="G60"/>
  <c r="P52"/>
  <c r="O52"/>
  <c r="N52"/>
  <c r="M52"/>
  <c r="L52"/>
  <c r="K52"/>
  <c r="J52"/>
  <c r="I52"/>
  <c r="H52"/>
  <c r="P50"/>
  <c r="O50"/>
  <c r="N50"/>
  <c r="M50"/>
  <c r="L50"/>
  <c r="K50"/>
  <c r="J50"/>
  <c r="I50"/>
  <c r="H50"/>
  <c r="P36"/>
  <c r="O36"/>
  <c r="N36"/>
  <c r="M36"/>
  <c r="L36"/>
  <c r="K36"/>
  <c r="J36"/>
  <c r="I36"/>
  <c r="H36"/>
  <c r="P34"/>
  <c r="O34"/>
  <c r="N34"/>
  <c r="M34"/>
  <c r="L34"/>
  <c r="K34"/>
  <c r="J34"/>
  <c r="I34"/>
  <c r="H34"/>
  <c r="P11"/>
  <c r="O11"/>
  <c r="N11"/>
  <c r="M11"/>
  <c r="L11"/>
  <c r="K11"/>
  <c r="J11"/>
  <c r="I11"/>
  <c r="H11"/>
  <c r="I8"/>
  <c r="J8"/>
  <c r="K8"/>
  <c r="L8"/>
  <c r="M8"/>
  <c r="N8"/>
  <c r="O8"/>
  <c r="P8"/>
  <c r="H8"/>
  <c r="Q54"/>
  <c r="S49"/>
  <c r="Q49"/>
  <c r="X57" l="1"/>
  <c r="W87"/>
  <c r="T49"/>
  <c r="Q61"/>
  <c r="Q60"/>
  <c r="Q142"/>
  <c r="Q40"/>
  <c r="T40" s="1"/>
  <c r="W40" s="1"/>
  <c r="Z40" s="1"/>
  <c r="Y57" l="1"/>
  <c r="X87"/>
  <c r="U49"/>
  <c r="I94"/>
  <c r="J94"/>
  <c r="K94"/>
  <c r="L94"/>
  <c r="M94"/>
  <c r="N94"/>
  <c r="O94"/>
  <c r="P94"/>
  <c r="I95"/>
  <c r="J95"/>
  <c r="K95"/>
  <c r="L95"/>
  <c r="M95"/>
  <c r="N95"/>
  <c r="O95"/>
  <c r="P95"/>
  <c r="I89"/>
  <c r="I91" s="1"/>
  <c r="J89"/>
  <c r="J91" s="1"/>
  <c r="K89"/>
  <c r="K91" s="1"/>
  <c r="L89"/>
  <c r="L91" s="1"/>
  <c r="M89"/>
  <c r="M91" s="1"/>
  <c r="N89"/>
  <c r="N91" s="1"/>
  <c r="O89"/>
  <c r="O91" s="1"/>
  <c r="P89"/>
  <c r="P91" s="1"/>
  <c r="I92"/>
  <c r="J92"/>
  <c r="K92"/>
  <c r="L92"/>
  <c r="M92"/>
  <c r="N92"/>
  <c r="O92"/>
  <c r="P92"/>
  <c r="I93"/>
  <c r="J93"/>
  <c r="K93"/>
  <c r="L93"/>
  <c r="M93"/>
  <c r="N93"/>
  <c r="O93"/>
  <c r="P93"/>
  <c r="C92"/>
  <c r="D92"/>
  <c r="E92"/>
  <c r="F92"/>
  <c r="G92"/>
  <c r="C93"/>
  <c r="D93"/>
  <c r="E93"/>
  <c r="F93"/>
  <c r="G93"/>
  <c r="C94"/>
  <c r="D94"/>
  <c r="E94"/>
  <c r="F94"/>
  <c r="G94"/>
  <c r="C95"/>
  <c r="D95"/>
  <c r="E95"/>
  <c r="F95"/>
  <c r="G95"/>
  <c r="H95"/>
  <c r="H94"/>
  <c r="S21"/>
  <c r="T21" s="1"/>
  <c r="U21" s="1"/>
  <c r="V21" s="1"/>
  <c r="W21" s="1"/>
  <c r="X21" s="1"/>
  <c r="Y21" s="1"/>
  <c r="Z21" s="1"/>
  <c r="AA21" s="1"/>
  <c r="AB21" s="1"/>
  <c r="Q21"/>
  <c r="S20"/>
  <c r="T20" s="1"/>
  <c r="U20" s="1"/>
  <c r="V20" s="1"/>
  <c r="W20" s="1"/>
  <c r="X20" s="1"/>
  <c r="Y20" s="1"/>
  <c r="Z20" s="1"/>
  <c r="AA20" s="1"/>
  <c r="AB20" s="1"/>
  <c r="AC20" s="1"/>
  <c r="S19"/>
  <c r="Q18"/>
  <c r="C89"/>
  <c r="C91" s="1"/>
  <c r="D89"/>
  <c r="D91" s="1"/>
  <c r="E89"/>
  <c r="E91" s="1"/>
  <c r="F89"/>
  <c r="F91" s="1"/>
  <c r="G89"/>
  <c r="G91" s="1"/>
  <c r="H89"/>
  <c r="H91" s="1"/>
  <c r="H93"/>
  <c r="H92"/>
  <c r="Z57" l="1"/>
  <c r="Y87"/>
  <c r="V49"/>
  <c r="Q94"/>
  <c r="Q95"/>
  <c r="Q93"/>
  <c r="Q91"/>
  <c r="Q92"/>
  <c r="AC21"/>
  <c r="AE21" s="1"/>
  <c r="Q20"/>
  <c r="Q19"/>
  <c r="Q89"/>
  <c r="S18"/>
  <c r="T18" s="1"/>
  <c r="T19"/>
  <c r="AE20"/>
  <c r="Q87"/>
  <c r="Q131"/>
  <c r="AA57" l="1"/>
  <c r="Z87"/>
  <c r="U18"/>
  <c r="V18" s="1"/>
  <c r="W18" s="1"/>
  <c r="X18" s="1"/>
  <c r="Y18" s="1"/>
  <c r="Z18" s="1"/>
  <c r="AA18" s="1"/>
  <c r="AB18" s="1"/>
  <c r="AC18" s="1"/>
  <c r="AE18" s="1"/>
  <c r="T89"/>
  <c r="S89"/>
  <c r="U19"/>
  <c r="C18" i="15"/>
  <c r="S9" i="18"/>
  <c r="T9" s="1"/>
  <c r="U9" s="1"/>
  <c r="V9" s="1"/>
  <c r="W9" s="1"/>
  <c r="X9" s="1"/>
  <c r="Y9" s="1"/>
  <c r="Z9" s="1"/>
  <c r="AA9" s="1"/>
  <c r="AB9" s="1"/>
  <c r="Q51"/>
  <c r="Q35"/>
  <c r="Q33"/>
  <c r="Q16"/>
  <c r="Q14"/>
  <c r="Q13"/>
  <c r="Q12"/>
  <c r="Q10"/>
  <c r="Q9"/>
  <c r="Q7"/>
  <c r="Q6"/>
  <c r="S16"/>
  <c r="T16" s="1"/>
  <c r="U16" s="1"/>
  <c r="V16" s="1"/>
  <c r="W16" s="1"/>
  <c r="X16" s="1"/>
  <c r="Y16" s="1"/>
  <c r="Z16" s="1"/>
  <c r="AA16" s="1"/>
  <c r="AB16" s="1"/>
  <c r="S33"/>
  <c r="S35"/>
  <c r="W49"/>
  <c r="O66"/>
  <c r="O65"/>
  <c r="O133" s="1"/>
  <c r="O64"/>
  <c r="O63"/>
  <c r="O132" s="1"/>
  <c r="T35" l="1"/>
  <c r="AB57"/>
  <c r="AA87"/>
  <c r="X49"/>
  <c r="T33"/>
  <c r="S104"/>
  <c r="V19"/>
  <c r="U89"/>
  <c r="AC16"/>
  <c r="AE16" s="1"/>
  <c r="AC9"/>
  <c r="AE9" s="1"/>
  <c r="U35" l="1"/>
  <c r="AB87"/>
  <c r="AC57"/>
  <c r="AE57" s="1"/>
  <c r="U33"/>
  <c r="T104"/>
  <c r="Y49"/>
  <c r="W19"/>
  <c r="V89"/>
  <c r="Q70"/>
  <c r="V35" l="1"/>
  <c r="S119"/>
  <c r="AC87"/>
  <c r="AE87" s="1"/>
  <c r="T119" s="1"/>
  <c r="V33"/>
  <c r="U104"/>
  <c r="Z49"/>
  <c r="X19"/>
  <c r="W89"/>
  <c r="Q68"/>
  <c r="Q69"/>
  <c r="C45" i="15"/>
  <c r="W35" i="18" l="1"/>
  <c r="R119"/>
  <c r="P136" s="1"/>
  <c r="W33"/>
  <c r="V104"/>
  <c r="AA49"/>
  <c r="Y19"/>
  <c r="X89"/>
  <c r="S131"/>
  <c r="C63"/>
  <c r="C132" s="1"/>
  <c r="D63"/>
  <c r="D132" s="1"/>
  <c r="E63"/>
  <c r="E132" s="1"/>
  <c r="F63"/>
  <c r="H63"/>
  <c r="H132" s="1"/>
  <c r="I63"/>
  <c r="I132" s="1"/>
  <c r="J63"/>
  <c r="J132" s="1"/>
  <c r="K63"/>
  <c r="K132" s="1"/>
  <c r="L63"/>
  <c r="M63"/>
  <c r="M132" s="1"/>
  <c r="N63"/>
  <c r="P63"/>
  <c r="P132" s="1"/>
  <c r="D65"/>
  <c r="D133" s="1"/>
  <c r="E65"/>
  <c r="E133" s="1"/>
  <c r="F65"/>
  <c r="F133" s="1"/>
  <c r="G65"/>
  <c r="H65"/>
  <c r="H133" s="1"/>
  <c r="I65"/>
  <c r="I133" s="1"/>
  <c r="J65"/>
  <c r="J133" s="1"/>
  <c r="K65"/>
  <c r="K133" s="1"/>
  <c r="L65"/>
  <c r="L133" s="1"/>
  <c r="M65"/>
  <c r="M133" s="1"/>
  <c r="N65"/>
  <c r="P65"/>
  <c r="C65"/>
  <c r="C133" s="1"/>
  <c r="D64"/>
  <c r="E64"/>
  <c r="F64"/>
  <c r="G64"/>
  <c r="H64"/>
  <c r="I64"/>
  <c r="J64"/>
  <c r="K64"/>
  <c r="L64"/>
  <c r="M64"/>
  <c r="N64"/>
  <c r="P64"/>
  <c r="C64"/>
  <c r="S13"/>
  <c r="S14"/>
  <c r="S51"/>
  <c r="S10"/>
  <c r="S12"/>
  <c r="S7"/>
  <c r="S6"/>
  <c r="R109" l="1"/>
  <c r="F132"/>
  <c r="T13"/>
  <c r="X35"/>
  <c r="T12"/>
  <c r="T14"/>
  <c r="T7"/>
  <c r="T6"/>
  <c r="T10"/>
  <c r="X33"/>
  <c r="W104"/>
  <c r="T51"/>
  <c r="S106"/>
  <c r="S105"/>
  <c r="AB49"/>
  <c r="Z19"/>
  <c r="Y89"/>
  <c r="T131"/>
  <c r="Q64"/>
  <c r="G133"/>
  <c r="Q65"/>
  <c r="Q66"/>
  <c r="Q74"/>
  <c r="Q75"/>
  <c r="G132"/>
  <c r="Q63"/>
  <c r="Q76"/>
  <c r="N133"/>
  <c r="N132"/>
  <c r="P133"/>
  <c r="L132"/>
  <c r="S54"/>
  <c r="S64" s="1"/>
  <c r="C6" i="12"/>
  <c r="C25" i="15"/>
  <c r="C57"/>
  <c r="C56"/>
  <c r="C53"/>
  <c r="C52"/>
  <c r="C49"/>
  <c r="C48"/>
  <c r="C44"/>
  <c r="S65" i="18" l="1"/>
  <c r="S63"/>
  <c r="S70"/>
  <c r="S68"/>
  <c r="S69"/>
  <c r="S66"/>
  <c r="U14"/>
  <c r="Y35"/>
  <c r="U6"/>
  <c r="U12"/>
  <c r="U13"/>
  <c r="S99"/>
  <c r="S95"/>
  <c r="S97"/>
  <c r="S61"/>
  <c r="S60"/>
  <c r="U10"/>
  <c r="U7"/>
  <c r="S98"/>
  <c r="AC49"/>
  <c r="AE49" s="1"/>
  <c r="Y33"/>
  <c r="X104"/>
  <c r="U51"/>
  <c r="T106"/>
  <c r="T105"/>
  <c r="T54"/>
  <c r="T66" s="1"/>
  <c r="S92"/>
  <c r="S93"/>
  <c r="S94"/>
  <c r="S91"/>
  <c r="AA19"/>
  <c r="Z89"/>
  <c r="U131"/>
  <c r="Q133"/>
  <c r="Q132"/>
  <c r="C15" i="15"/>
  <c r="C20"/>
  <c r="C9"/>
  <c r="S71" i="18" l="1"/>
  <c r="T64"/>
  <c r="T63"/>
  <c r="T65"/>
  <c r="T69"/>
  <c r="T70"/>
  <c r="T68"/>
  <c r="T95"/>
  <c r="T97"/>
  <c r="T60"/>
  <c r="T61"/>
  <c r="V6"/>
  <c r="V14"/>
  <c r="V10"/>
  <c r="V13"/>
  <c r="T74"/>
  <c r="T76"/>
  <c r="Z35"/>
  <c r="V7"/>
  <c r="V12"/>
  <c r="T75"/>
  <c r="T99"/>
  <c r="T98"/>
  <c r="V51"/>
  <c r="U106"/>
  <c r="U105"/>
  <c r="Z33"/>
  <c r="Y104"/>
  <c r="U54"/>
  <c r="U66" s="1"/>
  <c r="T94"/>
  <c r="T93"/>
  <c r="T92"/>
  <c r="T91"/>
  <c r="AB19"/>
  <c r="AA89"/>
  <c r="V131"/>
  <c r="S132"/>
  <c r="S133"/>
  <c r="D31" i="8"/>
  <c r="D29"/>
  <c r="D28"/>
  <c r="D13"/>
  <c r="D30" s="1"/>
  <c r="E14"/>
  <c r="F14" s="1"/>
  <c r="G14" s="1"/>
  <c r="H14" s="1"/>
  <c r="I14" s="1"/>
  <c r="T71" i="18" l="1"/>
  <c r="U65"/>
  <c r="U63"/>
  <c r="U70"/>
  <c r="U68"/>
  <c r="U71" s="1"/>
  <c r="U69"/>
  <c r="U64"/>
  <c r="U98"/>
  <c r="U74"/>
  <c r="W14"/>
  <c r="U95"/>
  <c r="U97"/>
  <c r="U61"/>
  <c r="U60"/>
  <c r="W7"/>
  <c r="AA35"/>
  <c r="U75"/>
  <c r="U76"/>
  <c r="U99"/>
  <c r="W6"/>
  <c r="W13"/>
  <c r="W12"/>
  <c r="W10"/>
  <c r="AA33"/>
  <c r="Z104"/>
  <c r="W51"/>
  <c r="V105"/>
  <c r="V106"/>
  <c r="V54"/>
  <c r="V66" s="1"/>
  <c r="U94"/>
  <c r="U92"/>
  <c r="U93"/>
  <c r="U91"/>
  <c r="AC19"/>
  <c r="AE19" s="1"/>
  <c r="AB89"/>
  <c r="W131"/>
  <c r="T132"/>
  <c r="T133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V65" i="18" l="1"/>
  <c r="V63"/>
  <c r="V64"/>
  <c r="V69"/>
  <c r="V68"/>
  <c r="V71" s="1"/>
  <c r="V70"/>
  <c r="V99"/>
  <c r="V76"/>
  <c r="V75"/>
  <c r="X12"/>
  <c r="V95"/>
  <c r="V97"/>
  <c r="V60"/>
  <c r="V61"/>
  <c r="X6"/>
  <c r="X7"/>
  <c r="V74"/>
  <c r="V98"/>
  <c r="X14"/>
  <c r="X10"/>
  <c r="X13"/>
  <c r="AB35"/>
  <c r="X51"/>
  <c r="W106"/>
  <c r="W105"/>
  <c r="AB33"/>
  <c r="AA104"/>
  <c r="W54"/>
  <c r="W64" s="1"/>
  <c r="V94"/>
  <c r="V92"/>
  <c r="V93"/>
  <c r="V91"/>
  <c r="S121"/>
  <c r="AC89"/>
  <c r="AE89" s="1"/>
  <c r="T121" s="1"/>
  <c r="X131"/>
  <c r="U132"/>
  <c r="U133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2"/>
  <c r="N33" s="1"/>
  <c r="N34" s="1"/>
  <c r="N35" s="1"/>
  <c r="N36" s="1"/>
  <c r="N37" s="1"/>
  <c r="N38" s="1"/>
  <c r="N39" s="1"/>
  <c r="N40" s="1"/>
  <c r="N41" s="1"/>
  <c r="N42" s="1"/>
  <c r="N31"/>
  <c r="P31" s="1"/>
  <c r="P32" s="1"/>
  <c r="M45"/>
  <c r="M32"/>
  <c r="M33" s="1"/>
  <c r="M34" s="1"/>
  <c r="M35" s="1"/>
  <c r="M36" s="1"/>
  <c r="M37" s="1"/>
  <c r="M38" s="1"/>
  <c r="M39" s="1"/>
  <c r="M40" s="1"/>
  <c r="M4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W63" i="18" l="1"/>
  <c r="W74"/>
  <c r="W68"/>
  <c r="W70"/>
  <c r="W69"/>
  <c r="W66"/>
  <c r="W65"/>
  <c r="W98"/>
  <c r="W76"/>
  <c r="W99"/>
  <c r="W75"/>
  <c r="Y12"/>
  <c r="AC35"/>
  <c r="AE35" s="1"/>
  <c r="Y10"/>
  <c r="Y7"/>
  <c r="W95"/>
  <c r="W97"/>
  <c r="W61"/>
  <c r="W60"/>
  <c r="Y6"/>
  <c r="Y13"/>
  <c r="Y14"/>
  <c r="AC33"/>
  <c r="AE33" s="1"/>
  <c r="AB104"/>
  <c r="AC104" s="1"/>
  <c r="Y51"/>
  <c r="X106"/>
  <c r="X105"/>
  <c r="R121"/>
  <c r="O31" i="9"/>
  <c r="O32" s="1"/>
  <c r="X54" i="18"/>
  <c r="X66" s="1"/>
  <c r="W94"/>
  <c r="W92"/>
  <c r="W93"/>
  <c r="W91"/>
  <c r="Y131"/>
  <c r="V132"/>
  <c r="V133"/>
  <c r="P31" i="11"/>
  <c r="N32"/>
  <c r="T19" i="9"/>
  <c r="D22"/>
  <c r="W71" i="18" l="1"/>
  <c r="X63"/>
  <c r="X65"/>
  <c r="X69"/>
  <c r="X68"/>
  <c r="X70"/>
  <c r="X64"/>
  <c r="X76"/>
  <c r="Z12"/>
  <c r="Z7"/>
  <c r="Z10"/>
  <c r="X75"/>
  <c r="X95"/>
  <c r="X97"/>
  <c r="X61"/>
  <c r="X60"/>
  <c r="Z13"/>
  <c r="Z14"/>
  <c r="Z6"/>
  <c r="X99"/>
  <c r="X74"/>
  <c r="X98"/>
  <c r="Z51"/>
  <c r="Y106"/>
  <c r="Y105"/>
  <c r="Y54"/>
  <c r="Y65" s="1"/>
  <c r="X94"/>
  <c r="X92"/>
  <c r="X93"/>
  <c r="X91"/>
  <c r="Z131"/>
  <c r="W132"/>
  <c r="W133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X71" i="18" l="1"/>
  <c r="Y66"/>
  <c r="Y64"/>
  <c r="Y63"/>
  <c r="Y70"/>
  <c r="Y68"/>
  <c r="Y71" s="1"/>
  <c r="Y69"/>
  <c r="AA12"/>
  <c r="AA7"/>
  <c r="Y99"/>
  <c r="Y76"/>
  <c r="Y95"/>
  <c r="Y97"/>
  <c r="Y61"/>
  <c r="Y60"/>
  <c r="AA14"/>
  <c r="AA6"/>
  <c r="AA13"/>
  <c r="AA10"/>
  <c r="Y75"/>
  <c r="Y98"/>
  <c r="Y74"/>
  <c r="AA51"/>
  <c r="Z105"/>
  <c r="Z106"/>
  <c r="Z54"/>
  <c r="Y94"/>
  <c r="Y92"/>
  <c r="Y93"/>
  <c r="Y91"/>
  <c r="AA131"/>
  <c r="X132"/>
  <c r="X133"/>
  <c r="N34" i="11"/>
  <c r="O33"/>
  <c r="D25" i="8"/>
  <c r="D23"/>
  <c r="Z69" i="18" l="1"/>
  <c r="Z70"/>
  <c r="Z68"/>
  <c r="Z64"/>
  <c r="Z63"/>
  <c r="Z65"/>
  <c r="Z66"/>
  <c r="Z74"/>
  <c r="Z99"/>
  <c r="Z76"/>
  <c r="AB13"/>
  <c r="AB7"/>
  <c r="Z98"/>
  <c r="AB10"/>
  <c r="AB12"/>
  <c r="Z95"/>
  <c r="Z97"/>
  <c r="Z60"/>
  <c r="Z61"/>
  <c r="AB6"/>
  <c r="AB14"/>
  <c r="Z75"/>
  <c r="AB51"/>
  <c r="AA106"/>
  <c r="AA105"/>
  <c r="AA54"/>
  <c r="AA65" s="1"/>
  <c r="Z94"/>
  <c r="Z92"/>
  <c r="Z93"/>
  <c r="Z91"/>
  <c r="AB131"/>
  <c r="Y132"/>
  <c r="Y133"/>
  <c r="N35" i="11"/>
  <c r="O34"/>
  <c r="D35" i="8"/>
  <c r="E5"/>
  <c r="E18" s="1"/>
  <c r="D18"/>
  <c r="D19"/>
  <c r="D21"/>
  <c r="D20"/>
  <c r="Z71" i="18" l="1"/>
  <c r="AA64"/>
  <c r="AA63"/>
  <c r="AA66"/>
  <c r="AA68"/>
  <c r="AA70"/>
  <c r="AA69"/>
  <c r="AA74"/>
  <c r="AA76"/>
  <c r="AA98"/>
  <c r="AC14"/>
  <c r="AE14" s="1"/>
  <c r="AC7"/>
  <c r="AE7" s="1"/>
  <c r="AC13"/>
  <c r="AE13" s="1"/>
  <c r="AC6"/>
  <c r="AE6" s="1"/>
  <c r="AC12"/>
  <c r="AE12" s="1"/>
  <c r="AA95"/>
  <c r="AA97"/>
  <c r="AA60"/>
  <c r="AA61"/>
  <c r="AC10"/>
  <c r="AE10" s="1"/>
  <c r="AA99"/>
  <c r="AA75"/>
  <c r="AB106"/>
  <c r="AC106" s="1"/>
  <c r="AB105"/>
  <c r="AC105" s="1"/>
  <c r="AC51"/>
  <c r="AE51" s="1"/>
  <c r="AB54"/>
  <c r="AB66" s="1"/>
  <c r="AA94"/>
  <c r="AA92"/>
  <c r="AA93"/>
  <c r="AA91"/>
  <c r="AC131"/>
  <c r="AE131" s="1"/>
  <c r="Z132"/>
  <c r="Z133"/>
  <c r="N36" i="11"/>
  <c r="O35"/>
  <c r="F5" i="8"/>
  <c r="G5" s="1"/>
  <c r="H5" s="1"/>
  <c r="I5" s="1"/>
  <c r="AA71" i="18" l="1"/>
  <c r="AB63"/>
  <c r="AB65"/>
  <c r="AB64"/>
  <c r="AB69"/>
  <c r="AB70"/>
  <c r="AB68"/>
  <c r="AB76"/>
  <c r="AB74"/>
  <c r="AB98"/>
  <c r="AC98" s="1"/>
  <c r="AE98" s="1"/>
  <c r="AB95"/>
  <c r="S128" s="1"/>
  <c r="AB97"/>
  <c r="AB61"/>
  <c r="AC61" s="1"/>
  <c r="AE61" s="1"/>
  <c r="AB60"/>
  <c r="AC60" s="1"/>
  <c r="AE60" s="1"/>
  <c r="AB99"/>
  <c r="AC99" s="1"/>
  <c r="AE99" s="1"/>
  <c r="AB75"/>
  <c r="AB94"/>
  <c r="S126" s="1"/>
  <c r="AB92"/>
  <c r="S124" s="1"/>
  <c r="AC54"/>
  <c r="AE54" s="1"/>
  <c r="AB93"/>
  <c r="S125" s="1"/>
  <c r="AB91"/>
  <c r="S123" s="1"/>
  <c r="AA132"/>
  <c r="AA133"/>
  <c r="N37" i="11"/>
  <c r="O36"/>
  <c r="F18" i="8"/>
  <c r="G18"/>
  <c r="AC68" i="18" l="1"/>
  <c r="AE68" s="1"/>
  <c r="T114" s="1"/>
  <c r="AB71"/>
  <c r="AC71" s="1"/>
  <c r="AE71" s="1"/>
  <c r="S114"/>
  <c r="AC95"/>
  <c r="AE95" s="1"/>
  <c r="T128" s="1"/>
  <c r="R128" s="1"/>
  <c r="P138" s="1"/>
  <c r="S116"/>
  <c r="AC70"/>
  <c r="AE70" s="1"/>
  <c r="T116" s="1"/>
  <c r="AC97"/>
  <c r="AE97" s="1"/>
  <c r="S115"/>
  <c r="AC69"/>
  <c r="AE69" s="1"/>
  <c r="T115" s="1"/>
  <c r="AC64"/>
  <c r="AE64" s="1"/>
  <c r="T111" s="1"/>
  <c r="S111"/>
  <c r="AC76"/>
  <c r="AE76" s="1"/>
  <c r="AC66"/>
  <c r="AE66" s="1"/>
  <c r="AC75"/>
  <c r="AE75" s="1"/>
  <c r="AC74"/>
  <c r="AE74" s="1"/>
  <c r="AC93"/>
  <c r="AE93" s="1"/>
  <c r="T125" s="1"/>
  <c r="AC92"/>
  <c r="AE92" s="1"/>
  <c r="AC91"/>
  <c r="AE91" s="1"/>
  <c r="T123" s="1"/>
  <c r="AC94"/>
  <c r="AE94" s="1"/>
  <c r="S110"/>
  <c r="AC63"/>
  <c r="AE63" s="1"/>
  <c r="T110" s="1"/>
  <c r="AB132"/>
  <c r="AC65"/>
  <c r="AE65" s="1"/>
  <c r="T112" s="1"/>
  <c r="AB133"/>
  <c r="S112"/>
  <c r="N38" i="11"/>
  <c r="O37"/>
  <c r="H18" i="8"/>
  <c r="R114" i="18" l="1"/>
  <c r="R115"/>
  <c r="R111"/>
  <c r="R116"/>
  <c r="P137" s="1"/>
  <c r="T126"/>
  <c r="R126" s="1"/>
  <c r="T124"/>
  <c r="R124" s="1"/>
  <c r="R125"/>
  <c r="R123"/>
  <c r="R110"/>
  <c r="P139" s="1"/>
  <c r="AC133"/>
  <c r="AE133" s="1"/>
  <c r="AC132"/>
  <c r="AE132" s="1"/>
  <c r="R112"/>
  <c r="N39" i="11"/>
  <c r="O38"/>
  <c r="I18" i="8"/>
  <c r="N40" i="11" l="1"/>
  <c r="O39"/>
  <c r="N41" l="1"/>
  <c r="O40"/>
  <c r="N42" l="1"/>
  <c r="O41"/>
</calcChain>
</file>

<file path=xl/sharedStrings.xml><?xml version="1.0" encoding="utf-8"?>
<sst xmlns="http://schemas.openxmlformats.org/spreadsheetml/2006/main" count="477" uniqueCount="337">
  <si>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</si>
  <si>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</si>
  <si>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</si>
  <si>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</si>
  <si>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</si>
  <si>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</si>
  <si>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</si>
  <si>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</si>
  <si>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</si>
  <si>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</si>
  <si>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</si>
  <si>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</si>
  <si>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</si>
  <si>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</si>
  <si>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</si>
  <si>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</si>
  <si>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</si>
  <si>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</si>
  <si>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</si>
  <si>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</si>
  <si>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</si>
  <si>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</si>
  <si>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</si>
  <si>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</si>
  <si>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</si>
  <si>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</si>
  <si>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</si>
  <si>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</si>
  <si>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</si>
  <si>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</si>
  <si>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</si>
  <si>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</si>
  <si>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</si>
  <si>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</si>
  <si>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</si>
  <si>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</si>
  <si>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</si>
  <si>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</si>
  <si>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</si>
  <si>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</si>
  <si>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</si>
  <si>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</si>
  <si>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</si>
  <si>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</si>
  <si>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</si>
  <si>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</si>
  <si>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</si>
  <si>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</si>
  <si>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</si>
  <si>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</si>
  <si>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</si>
  <si>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</si>
  <si>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</si>
  <si>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</si>
  <si>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</si>
  <si>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</si>
  <si>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</si>
  <si>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</si>
  <si>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</si>
  <si>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</si>
  <si>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</si>
  <si>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</si>
  <si>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</si>
  <si>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</si>
  <si>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</si>
  <si>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</si>
  <si>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</si>
  <si>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</si>
  <si>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</si>
  <si>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</si>
  <si>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</si>
  <si>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</si>
  <si>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</si>
  <si>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</si>
  <si>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</si>
  <si>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</si>
  <si>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</si>
  <si>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</si>
  <si>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</si>
  <si>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</si>
  <si>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</si>
  <si>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</si>
  <si>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</si>
  <si>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</si>
  <si>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</si>
  <si>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</si>
  <si>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</si>
  <si>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</si>
  <si>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</si>
  <si>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</si>
  <si>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</si>
  <si>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</si>
  <si>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</si>
  <si>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</si>
  <si>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</si>
  <si>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</si>
  <si>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</si>
  <si>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</si>
  <si>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</si>
  <si>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</si>
  <si>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</si>
  <si>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</si>
  <si>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</si>
  <si>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</si>
  <si>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</si>
  <si>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</si>
  <si>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</si>
  <si>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</si>
  <si>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</si>
  <si>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</si>
  <si>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</si>
  <si>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</si>
  <si>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</si>
  <si>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</si>
  <si>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</si>
  <si>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</si>
  <si>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</si>
  <si>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</si>
  <si>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</si>
  <si>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</si>
  <si>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</si>
  <si>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</si>
  <si>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</si>
  <si>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</si>
  <si>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</si>
  <si>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</si>
  <si>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</si>
  <si>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</si>
  <si>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</si>
  <si>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</si>
  <si>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</si>
  <si>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</si>
  <si>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</si>
  <si>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</si>
  <si>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</si>
  <si>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</si>
  <si>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</si>
  <si>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</si>
  <si>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</si>
  <si>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</si>
  <si>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</si>
  <si>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</si>
  <si>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</si>
  <si>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</si>
  <si>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</si>
  <si>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</si>
  <si>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</si>
  <si>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</si>
  <si>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</si>
  <si>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</si>
  <si>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</si>
  <si>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</si>
  <si>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</si>
  <si>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</si>
  <si>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</si>
  <si>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</si>
  <si>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</si>
  <si>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</si>
  <si>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</si>
  <si>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</si>
  <si>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</si>
  <si>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</si>
  <si>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</si>
  <si>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</si>
  <si>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</si>
  <si>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</si>
  <si>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</si>
  <si>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</si>
  <si>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</si>
  <si>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</si>
  <si>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</si>
  <si>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</si>
  <si>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</si>
  <si>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</si>
  <si>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</si>
  <si>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</si>
  <si>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</si>
  <si>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</si>
  <si>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</si>
  <si>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</si>
  <si>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</si>
  <si>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</si>
  <si>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</si>
  <si>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</si>
  <si>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</si>
  <si>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</si>
  <si>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</si>
  <si>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</si>
  <si>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</si>
  <si>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</si>
  <si>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</si>
  <si>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</si>
  <si>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</si>
  <si>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</si>
  <si>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</si>
  <si>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</si>
  <si>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</si>
  <si>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</si>
  <si>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</si>
  <si>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</si>
  <si>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</si>
  <si>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</si>
  <si>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</si>
  <si>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</si>
  <si>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</si>
  <si>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</si>
  <si>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</si>
  <si>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</si>
  <si>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</si>
  <si>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</si>
  <si>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</si>
  <si>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</si>
  <si>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</si>
  <si>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</si>
  <si>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</si>
  <si>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</si>
  <si>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</si>
  <si>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</si>
  <si>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</si>
  <si>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</si>
  <si>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</si>
  <si>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</si>
  <si>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</si>
  <si>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</si>
  <si>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</si>
  <si>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</si>
  <si>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</si>
  <si>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</si>
  <si>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</si>
  <si>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</si>
  <si>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</si>
  <si>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</si>
  <si>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</si>
  <si>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</si>
  <si>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</si>
  <si>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</si>
  <si>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</si>
  <si>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</si>
  <si>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</si>
  <si>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</si>
  <si>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</si>
  <si>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</si>
  <si>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</si>
  <si>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</si>
  <si>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</si>
  <si>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</si>
  <si>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</si>
  <si>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Price Movement</t>
  </si>
  <si>
    <t>Eval Start Year</t>
  </si>
  <si>
    <t>Eval End Year</t>
  </si>
  <si>
    <t>Proj  CAGR</t>
  </si>
  <si>
    <t>Net Earnings (Net Profit)</t>
  </si>
  <si>
    <t>EPS (Net Profit per share)</t>
  </si>
  <si>
    <t>P/BV (Share Holder Equity)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</si>
  <si>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</si>
  <si>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</si>
  <si>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</si>
  <si>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</si>
  <si>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</si>
  <si>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</si>
  <si>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</si>
  <si>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</si>
  <si>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Book Value (reserves &amp; Surplus alone) / share</t>
  </si>
  <si>
    <t>Book Value (Networth based) / Share</t>
  </si>
  <si>
    <t>Operating Profit (EBITDA)</t>
  </si>
  <si>
    <t>Suzlon Energy</t>
  </si>
  <si>
    <t>Avg EPS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</si>
  <si>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</si>
  <si>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</si>
  <si>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</si>
  <si>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</si>
  <si>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</si>
  <si>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</si>
  <si>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</si>
  <si>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Y11 onwards</t>
  </si>
  <si>
    <t>Future Growth Rate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</si>
  <si>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</si>
  <si>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</si>
  <si>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</si>
  <si>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</si>
  <si>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</si>
  <si>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>% Discount (Price / B.V)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</si>
  <si>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</si>
  <si>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</si>
  <si>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</si>
  <si>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</si>
  <si>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</si>
  <si>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</si>
  <si>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Operating Profit Margin</t>
  </si>
  <si>
    <t>RONW</t>
  </si>
  <si>
    <t>Profitability Ratios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</si>
  <si>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</si>
  <si>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</si>
  <si>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</si>
  <si>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</si>
  <si>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% Discount (Price / Net Cash &amp; Cash Eq)</t>
  </si>
  <si>
    <t>Gross Deposits</t>
  </si>
  <si>
    <t>Gross Advances</t>
  </si>
  <si>
    <t>CASA Deposits</t>
  </si>
  <si>
    <t>Employee Base</t>
  </si>
  <si>
    <t>Cash &amp; Balance with RBI</t>
  </si>
  <si>
    <t>Balance with Banks. Money at call</t>
  </si>
  <si>
    <t>Net Assests</t>
  </si>
  <si>
    <t>Contingent Liabilities</t>
  </si>
  <si>
    <t>Bills for Collection</t>
  </si>
  <si>
    <t>Borrowings</t>
  </si>
  <si>
    <t>Other Liabilities &amp; Provisions</t>
  </si>
  <si>
    <t>Other Income</t>
  </si>
  <si>
    <t>Interest Spread</t>
  </si>
  <si>
    <t>Balance with Banks. Money at call -  per share</t>
  </si>
  <si>
    <t>Gross Deposits - per share</t>
  </si>
  <si>
    <t>Gross Advances - per share</t>
  </si>
  <si>
    <t>Other Income - per share</t>
  </si>
  <si>
    <t>Operating profit per Share</t>
  </si>
  <si>
    <t>Net Profit per share</t>
  </si>
  <si>
    <t>Reserves per Share</t>
  </si>
  <si>
    <t>Sales (Rev per Employee base)</t>
  </si>
  <si>
    <t>Expenses (Exp per Employee base)</t>
  </si>
  <si>
    <t>Other Income (Income per Employee base)</t>
  </si>
  <si>
    <t>Net (Advances - Debt) per share</t>
  </si>
  <si>
    <t>Time deposists/FD or any other form</t>
  </si>
  <si>
    <t>Demand Deposits / Current Accounts</t>
  </si>
  <si>
    <t>Savings Deposits / Saving Accounts</t>
  </si>
  <si>
    <t>Retail %</t>
  </si>
  <si>
    <t>Commercial %</t>
  </si>
  <si>
    <t>Corporate %</t>
  </si>
  <si>
    <t>Agri %</t>
  </si>
  <si>
    <t>Provision Coverage Ratio</t>
  </si>
  <si>
    <t>Credit/Deposits Ratio</t>
  </si>
  <si>
    <t>Number of Branches</t>
  </si>
  <si>
    <t>Sales (Rev per Branch)</t>
  </si>
  <si>
    <t>Expenses (Exp per branch)</t>
  </si>
  <si>
    <t>Other Income (Income per Branch)</t>
  </si>
  <si>
    <t>Gross Deposits - per branch</t>
  </si>
  <si>
    <t>Gross Advances - per branch</t>
  </si>
  <si>
    <t>Net Profit per branch</t>
  </si>
  <si>
    <t>Net profit per Employee</t>
  </si>
</sst>
</file>

<file path=xl/styles.xml><?xml version="1.0" encoding="utf-8"?>
<styleSheet xmlns="http://schemas.openxmlformats.org/spreadsheetml/2006/main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  <numFmt numFmtId="178" formatCode="#,##0.0;[Red]\-#,##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40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7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2" fillId="5" borderId="1" xfId="2" applyNumberFormat="1" applyFont="1" applyFill="1" applyBorder="1"/>
    <xf numFmtId="166" fontId="12" fillId="5" borderId="1" xfId="2" applyNumberFormat="1" applyFont="1" applyFill="1" applyBorder="1"/>
    <xf numFmtId="1" fontId="4" fillId="5" borderId="4" xfId="0" applyNumberFormat="1" applyFont="1" applyFill="1" applyBorder="1"/>
    <xf numFmtId="178" fontId="4" fillId="5" borderId="1" xfId="2" applyNumberFormat="1" applyFont="1" applyFill="1" applyBorder="1"/>
    <xf numFmtId="2" fontId="5" fillId="5" borderId="1" xfId="0" applyNumberFormat="1" applyFont="1" applyFill="1" applyBorder="1"/>
    <xf numFmtId="176" fontId="8" fillId="5" borderId="1" xfId="2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1170688"/>
        <c:axId val="71201152"/>
      </c:lineChart>
      <c:catAx>
        <c:axId val="71170688"/>
        <c:scaling>
          <c:orientation val="minMax"/>
        </c:scaling>
        <c:axPos val="b"/>
        <c:tickLblPos val="nextTo"/>
        <c:crossAx val="71201152"/>
        <c:crosses val="autoZero"/>
        <c:auto val="1"/>
        <c:lblAlgn val="ctr"/>
        <c:lblOffset val="100"/>
      </c:catAx>
      <c:valAx>
        <c:axId val="71201152"/>
        <c:scaling>
          <c:orientation val="minMax"/>
        </c:scaling>
        <c:axPos val="l"/>
        <c:majorGridlines/>
        <c:numFmt formatCode="General" sourceLinked="1"/>
        <c:tickLblPos val="nextTo"/>
        <c:crossAx val="71170688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3"/>
  <sheetViews>
    <sheetView topLeftCell="A13" zoomScale="80" zoomScaleNormal="80" workbookViewId="0">
      <selection activeCell="C28" sqref="C28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265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-2.66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-2.66</v>
      </c>
      <c r="D8" s="20"/>
      <c r="E8" s="20"/>
      <c r="F8" s="20"/>
      <c r="G8" s="20"/>
    </row>
    <row r="9" spans="2:7">
      <c r="B9" s="20" t="s">
        <v>100</v>
      </c>
      <c r="C9" s="110">
        <f>C7/C8</f>
        <v>-5.2631578947368416</v>
      </c>
      <c r="D9" s="20" t="s">
        <v>261</v>
      </c>
      <c r="E9" s="20"/>
      <c r="F9" s="20"/>
      <c r="G9" s="20"/>
    </row>
    <row r="10" spans="2:7">
      <c r="B10" s="20"/>
      <c r="C10" s="20"/>
      <c r="D10" s="20"/>
      <c r="E10" s="20"/>
      <c r="F10" s="20"/>
      <c r="G10" s="20"/>
    </row>
    <row r="11" spans="2:7">
      <c r="B11" s="108" t="s">
        <v>101</v>
      </c>
      <c r="C11" s="20"/>
      <c r="D11" s="20"/>
      <c r="E11" s="20"/>
      <c r="F11" s="20"/>
      <c r="G11" s="20"/>
    </row>
    <row r="12" spans="2:7">
      <c r="B12" s="20" t="s">
        <v>25</v>
      </c>
      <c r="C12" s="130">
        <v>-2.66</v>
      </c>
      <c r="D12" s="20"/>
      <c r="E12" s="20"/>
      <c r="F12" s="20"/>
      <c r="G12" s="20"/>
    </row>
    <row r="13" spans="2:7">
      <c r="B13" s="20" t="s">
        <v>102</v>
      </c>
      <c r="C13" s="130">
        <v>28</v>
      </c>
      <c r="D13" s="20"/>
      <c r="E13" s="20"/>
      <c r="F13" s="20"/>
      <c r="G13" s="20"/>
    </row>
    <row r="14" spans="2:7">
      <c r="B14" s="20" t="s">
        <v>103</v>
      </c>
      <c r="C14" s="130">
        <v>1000</v>
      </c>
      <c r="D14" s="20"/>
      <c r="E14" s="20"/>
      <c r="F14" s="20"/>
      <c r="G14" s="20"/>
    </row>
    <row r="15" spans="2:7">
      <c r="B15" s="20" t="s">
        <v>104</v>
      </c>
      <c r="C15" s="20">
        <f>C14*C12</f>
        <v>-2660</v>
      </c>
      <c r="D15" s="20" t="s">
        <v>261</v>
      </c>
      <c r="E15" s="20"/>
      <c r="F15" s="20"/>
      <c r="G15" s="20"/>
    </row>
    <row r="16" spans="2:7">
      <c r="B16" s="20"/>
      <c r="C16" s="20"/>
      <c r="D16" s="20"/>
      <c r="E16" s="20"/>
      <c r="F16" s="20"/>
      <c r="G16" s="20"/>
    </row>
    <row r="17" spans="2:7">
      <c r="B17" s="108" t="s">
        <v>112</v>
      </c>
      <c r="C17" s="20"/>
      <c r="D17" s="20"/>
      <c r="E17" s="20"/>
      <c r="F17" s="20"/>
      <c r="G17" s="20"/>
    </row>
    <row r="18" spans="2:7">
      <c r="B18" s="20" t="s">
        <v>114</v>
      </c>
      <c r="C18" s="130">
        <f>C4</f>
        <v>-2.66</v>
      </c>
      <c r="D18" s="20"/>
      <c r="E18" s="20"/>
      <c r="F18" s="20"/>
      <c r="G18" s="20"/>
    </row>
    <row r="19" spans="2:7">
      <c r="B19" s="20" t="s">
        <v>115</v>
      </c>
      <c r="C19" s="111">
        <v>0.08</v>
      </c>
      <c r="D19" s="20"/>
      <c r="E19" s="20"/>
      <c r="F19" s="20"/>
      <c r="G19" s="20"/>
    </row>
    <row r="20" spans="2:7">
      <c r="B20" s="20" t="s">
        <v>116</v>
      </c>
      <c r="C20" s="112">
        <f>C18/C19</f>
        <v>-33.25</v>
      </c>
      <c r="D20" s="20" t="s">
        <v>261</v>
      </c>
      <c r="E20" s="20"/>
      <c r="F20" s="20"/>
      <c r="G20" s="20"/>
    </row>
    <row r="21" spans="2:7">
      <c r="B21" s="20"/>
      <c r="C21" s="20"/>
      <c r="D21" s="20"/>
      <c r="E21" s="20"/>
      <c r="F21" s="20"/>
      <c r="G21" s="20"/>
    </row>
    <row r="22" spans="2:7">
      <c r="B22" s="108" t="s">
        <v>227</v>
      </c>
      <c r="C22" s="20"/>
      <c r="D22" s="20"/>
      <c r="E22" s="20"/>
      <c r="F22" s="20"/>
      <c r="G22" s="20"/>
    </row>
    <row r="23" spans="2:7">
      <c r="B23" s="20" t="s">
        <v>99</v>
      </c>
      <c r="C23" s="130">
        <v>14</v>
      </c>
      <c r="D23" s="20"/>
      <c r="E23" s="20"/>
      <c r="F23" s="20"/>
      <c r="G23" s="20"/>
    </row>
    <row r="24" spans="2:7">
      <c r="B24" s="20" t="s">
        <v>114</v>
      </c>
      <c r="C24" s="130">
        <v>-2.66</v>
      </c>
      <c r="D24" s="20"/>
      <c r="E24" s="20"/>
      <c r="F24" s="20"/>
      <c r="G24" s="20"/>
    </row>
    <row r="25" spans="2:7">
      <c r="B25" s="20" t="s">
        <v>228</v>
      </c>
      <c r="C25" s="20">
        <f>C23/C24</f>
        <v>-5.2631578947368416</v>
      </c>
      <c r="D25" s="20"/>
      <c r="E25" s="20"/>
      <c r="F25" s="20"/>
      <c r="G25" s="20"/>
    </row>
    <row r="26" spans="2:7">
      <c r="B26" s="20" t="s">
        <v>77</v>
      </c>
      <c r="C26" s="130">
        <v>15</v>
      </c>
      <c r="D26" s="20"/>
      <c r="E26" s="20"/>
      <c r="F26" s="20"/>
      <c r="G26" s="20"/>
    </row>
    <row r="27" spans="2:7">
      <c r="B27" s="20" t="s">
        <v>229</v>
      </c>
      <c r="C27" s="131">
        <v>1</v>
      </c>
      <c r="D27" s="20"/>
      <c r="E27" s="20"/>
      <c r="F27" s="20"/>
      <c r="G27" s="20"/>
    </row>
    <row r="28" spans="2:7">
      <c r="B28" s="20" t="s">
        <v>230</v>
      </c>
      <c r="C28" s="22">
        <v>139.13</v>
      </c>
      <c r="D28" s="20"/>
      <c r="E28" s="20"/>
      <c r="F28" s="20"/>
      <c r="G28" s="20"/>
    </row>
    <row r="29" spans="2:7">
      <c r="B29" s="20" t="s">
        <v>231</v>
      </c>
      <c r="C29" s="132">
        <v>2.5499999999999998E-2</v>
      </c>
      <c r="D29" s="20"/>
      <c r="E29" s="20"/>
      <c r="F29" s="20"/>
      <c r="G29" s="20"/>
    </row>
    <row r="30" spans="2:7">
      <c r="B30" s="20" t="s">
        <v>232</v>
      </c>
      <c r="C30" s="132">
        <v>3.1899999999999998E-2</v>
      </c>
      <c r="D30" s="20"/>
      <c r="E30" s="20"/>
      <c r="F30" s="20"/>
      <c r="G30" s="20"/>
    </row>
    <row r="31" spans="2:7">
      <c r="B31" s="20" t="s">
        <v>233</v>
      </c>
      <c r="C31" s="132"/>
      <c r="D31" s="20"/>
      <c r="E31" s="20"/>
      <c r="F31" s="20"/>
      <c r="G31" s="20"/>
    </row>
    <row r="32" spans="2:7">
      <c r="B32" s="20" t="s">
        <v>260</v>
      </c>
      <c r="C32" s="132">
        <v>3.44E-2</v>
      </c>
      <c r="D32" s="20"/>
      <c r="E32" s="20"/>
      <c r="F32" s="20"/>
      <c r="G32" s="20"/>
    </row>
    <row r="33" spans="2:7">
      <c r="B33" s="20" t="s">
        <v>259</v>
      </c>
      <c r="C33" s="132">
        <v>0.1241</v>
      </c>
      <c r="D33" s="20"/>
      <c r="E33" s="20"/>
      <c r="F33" s="20"/>
      <c r="G33" s="20"/>
    </row>
    <row r="34" spans="2:7">
      <c r="B34" s="20"/>
      <c r="C34" s="20"/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108" t="s">
        <v>187</v>
      </c>
      <c r="C36" s="20"/>
      <c r="D36" s="20"/>
      <c r="E36" s="20"/>
      <c r="F36" s="20"/>
      <c r="G36" s="20"/>
    </row>
    <row r="37" spans="2:7">
      <c r="B37" s="20" t="s">
        <v>215</v>
      </c>
      <c r="C37" s="130">
        <v>3141.2</v>
      </c>
      <c r="D37" s="20"/>
      <c r="E37" s="20"/>
      <c r="F37" s="20"/>
      <c r="G37" s="20"/>
    </row>
    <row r="38" spans="2:7">
      <c r="B38" s="20" t="s">
        <v>216</v>
      </c>
      <c r="C38" s="130">
        <v>3384.26</v>
      </c>
      <c r="D38" s="20"/>
      <c r="E38" s="20"/>
      <c r="F38" s="20"/>
      <c r="G38" s="20"/>
    </row>
    <row r="39" spans="2:7">
      <c r="B39" s="20" t="s">
        <v>34</v>
      </c>
      <c r="C39" s="130">
        <v>92.03</v>
      </c>
      <c r="D39" s="20"/>
      <c r="E39" s="20"/>
      <c r="F39" s="20"/>
      <c r="G39" s="20"/>
    </row>
    <row r="40" spans="2:7">
      <c r="B40" s="20" t="s">
        <v>217</v>
      </c>
      <c r="C40" s="130">
        <v>31.09</v>
      </c>
      <c r="D40" s="20"/>
      <c r="E40" s="20"/>
      <c r="F40" s="20"/>
      <c r="G40" s="20"/>
    </row>
    <row r="41" spans="2:7">
      <c r="B41" s="20" t="s">
        <v>218</v>
      </c>
      <c r="C41" s="130">
        <v>1005.03</v>
      </c>
      <c r="D41" s="20"/>
      <c r="E41" s="20"/>
      <c r="F41" s="20"/>
      <c r="G41" s="20"/>
    </row>
    <row r="42" spans="2:7">
      <c r="B42" s="20"/>
      <c r="C42" s="20"/>
      <c r="D42" s="20"/>
      <c r="E42" s="20"/>
      <c r="F42" s="20"/>
      <c r="G42" s="20"/>
    </row>
    <row r="43" spans="2:7">
      <c r="B43" s="23" t="s">
        <v>212</v>
      </c>
      <c r="C43" s="130">
        <v>281.95</v>
      </c>
      <c r="D43" s="20"/>
      <c r="E43" s="20"/>
      <c r="F43" s="20"/>
      <c r="G43" s="20"/>
    </row>
    <row r="44" spans="2:7">
      <c r="B44" s="20" t="s">
        <v>255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>
      <c r="B46" s="20"/>
      <c r="C46" s="25"/>
      <c r="D46" s="20"/>
      <c r="E46" s="20"/>
      <c r="F46" s="20"/>
      <c r="G46" s="20"/>
    </row>
    <row r="47" spans="2:7">
      <c r="B47" s="23" t="s">
        <v>213</v>
      </c>
      <c r="C47" s="130">
        <v>171.6</v>
      </c>
      <c r="D47" s="20"/>
      <c r="E47" s="20"/>
      <c r="F47" s="20"/>
      <c r="G47" s="20"/>
    </row>
    <row r="48" spans="2:7">
      <c r="B48" s="20" t="s">
        <v>256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>
      <c r="B50" s="20"/>
      <c r="C50" s="25"/>
      <c r="D50" s="20"/>
      <c r="E50" s="20"/>
      <c r="F50" s="20"/>
      <c r="G50" s="20"/>
    </row>
    <row r="51" spans="2:7">
      <c r="B51" s="23" t="s">
        <v>214</v>
      </c>
      <c r="C51" s="130">
        <v>110.33</v>
      </c>
      <c r="D51" s="20"/>
      <c r="E51" s="20"/>
      <c r="F51" s="20"/>
      <c r="G51" s="20"/>
    </row>
    <row r="52" spans="2:7">
      <c r="B52" s="20" t="s">
        <v>257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>
      <c r="B54" s="20"/>
      <c r="C54" s="20"/>
      <c r="D54" s="20"/>
      <c r="E54" s="20"/>
      <c r="F54" s="20"/>
      <c r="G54" s="20"/>
    </row>
    <row r="55" spans="2:7">
      <c r="B55" s="23" t="s">
        <v>219</v>
      </c>
      <c r="C55" s="130">
        <v>1320.99</v>
      </c>
      <c r="D55" s="20"/>
      <c r="E55" s="20"/>
      <c r="F55" s="20"/>
      <c r="G55" s="20"/>
    </row>
    <row r="56" spans="2:7">
      <c r="B56" s="20" t="s">
        <v>258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>
      <c r="B58" s="20"/>
      <c r="C58" s="20"/>
      <c r="D58" s="20"/>
      <c r="E58" s="20"/>
      <c r="F58" s="20"/>
      <c r="G58" s="20"/>
    </row>
    <row r="59" spans="2:7">
      <c r="B59" s="20"/>
      <c r="C59" s="25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0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E147"/>
  <sheetViews>
    <sheetView tabSelected="1" zoomScale="80" zoomScaleNormal="80" workbookViewId="0">
      <pane xSplit="2" ySplit="3" topLeftCell="I46" activePane="bottomRight" state="frozen"/>
      <selection pane="topRight" activeCell="C1" sqref="C1"/>
      <selection pane="bottomLeft" activeCell="A5" sqref="A5"/>
      <selection pane="bottomRight" activeCell="S74" sqref="S74:S77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3" width="8.7109375" style="104" bestFit="1" customWidth="1"/>
    <col min="14" max="14" width="9.42578125" style="104" bestFit="1" customWidth="1"/>
    <col min="15" max="15" width="8.7109375" style="104" bestFit="1" customWidth="1"/>
    <col min="16" max="16" width="9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8" width="8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0.22</v>
      </c>
      <c r="F1" s="104" t="s">
        <v>248</v>
      </c>
      <c r="H1" s="126">
        <v>2004</v>
      </c>
    </row>
    <row r="2" spans="2:31">
      <c r="B2" s="153" t="s">
        <v>292</v>
      </c>
      <c r="C2" s="120"/>
      <c r="F2" s="104" t="s">
        <v>249</v>
      </c>
      <c r="H2" s="126">
        <v>2013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65" t="s">
        <v>274</v>
      </c>
      <c r="AE2" s="166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250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67" t="s">
        <v>275</v>
      </c>
      <c r="AE3" s="168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>
      <c r="B6" s="20" t="s">
        <v>16</v>
      </c>
      <c r="C6" s="141"/>
      <c r="D6" s="141"/>
      <c r="E6" s="146"/>
      <c r="F6" s="146">
        <v>542</v>
      </c>
      <c r="G6" s="146">
        <v>694</v>
      </c>
      <c r="H6" s="146">
        <v>743</v>
      </c>
      <c r="I6" s="146">
        <v>854</v>
      </c>
      <c r="J6" s="146">
        <v>1014</v>
      </c>
      <c r="K6" s="146">
        <v>1136</v>
      </c>
      <c r="L6" s="146">
        <v>1296</v>
      </c>
      <c r="M6" s="146">
        <v>1565</v>
      </c>
      <c r="N6" s="146">
        <v>2020</v>
      </c>
      <c r="O6" s="146">
        <v>2601</v>
      </c>
      <c r="P6" s="146">
        <v>2978</v>
      </c>
      <c r="Q6" s="118">
        <f>((P6/G6)^(1/($H$2-$H$1) ))-1</f>
        <v>0.17566888599626918</v>
      </c>
      <c r="R6" s="31">
        <v>0.1</v>
      </c>
      <c r="S6" s="154">
        <f>P6*(1+$R6)</f>
        <v>3275.8</v>
      </c>
      <c r="T6" s="154">
        <f>S6*(1+$R6)</f>
        <v>3603.3800000000006</v>
      </c>
      <c r="U6" s="154">
        <f t="shared" ref="U6:AB6" si="0">T6*(1+$R6)</f>
        <v>3963.7180000000008</v>
      </c>
      <c r="V6" s="154">
        <f t="shared" si="0"/>
        <v>4360.0898000000016</v>
      </c>
      <c r="W6" s="154">
        <f t="shared" si="0"/>
        <v>4796.0987800000021</v>
      </c>
      <c r="X6" s="154">
        <f t="shared" si="0"/>
        <v>5275.7086580000023</v>
      </c>
      <c r="Y6" s="154">
        <f t="shared" si="0"/>
        <v>5803.2795238000026</v>
      </c>
      <c r="Z6" s="154">
        <f t="shared" si="0"/>
        <v>6383.6074761800037</v>
      </c>
      <c r="AA6" s="154">
        <f t="shared" si="0"/>
        <v>7021.9682237980051</v>
      </c>
      <c r="AB6" s="154">
        <f t="shared" si="0"/>
        <v>7724.1650461778063</v>
      </c>
      <c r="AC6" s="138">
        <f>((AB6/G6)^(1/($AB$3-$H$1) ))-1</f>
        <v>0.13521606978806777</v>
      </c>
      <c r="AD6" s="31">
        <v>0.08</v>
      </c>
      <c r="AE6" s="145">
        <f>(AB6*(1+AC6))/($C$1-AD6)</f>
        <v>62632.830615116698</v>
      </c>
    </row>
    <row r="7" spans="2:31">
      <c r="B7" s="20" t="s">
        <v>240</v>
      </c>
      <c r="C7" s="141"/>
      <c r="D7" s="141"/>
      <c r="E7" s="146"/>
      <c r="F7" s="146">
        <v>559</v>
      </c>
      <c r="G7" s="146">
        <v>712</v>
      </c>
      <c r="H7" s="146">
        <v>760</v>
      </c>
      <c r="I7" s="146">
        <v>872</v>
      </c>
      <c r="J7" s="146">
        <v>1063</v>
      </c>
      <c r="K7" s="146">
        <v>1190</v>
      </c>
      <c r="L7" s="146">
        <v>1350</v>
      </c>
      <c r="M7" s="146">
        <v>1619</v>
      </c>
      <c r="N7" s="146">
        <v>2136</v>
      </c>
      <c r="O7" s="146">
        <v>2708</v>
      </c>
      <c r="P7" s="146">
        <f>2978+107</f>
        <v>3085</v>
      </c>
      <c r="Q7" s="118">
        <f>((P7/G7)^(1/($H$2-$H$1) ))-1</f>
        <v>0.17693586445738618</v>
      </c>
      <c r="R7" s="31">
        <v>0.1</v>
      </c>
      <c r="S7" s="154">
        <f t="shared" ref="S7:S14" si="1">P7*(1+$R7)</f>
        <v>3393.5000000000005</v>
      </c>
      <c r="T7" s="154">
        <f t="shared" ref="T7:AB7" si="2">S7*(1+$R7)</f>
        <v>3732.8500000000008</v>
      </c>
      <c r="U7" s="154">
        <f t="shared" si="2"/>
        <v>4106.1350000000011</v>
      </c>
      <c r="V7" s="154">
        <f t="shared" si="2"/>
        <v>4516.7485000000015</v>
      </c>
      <c r="W7" s="154">
        <f t="shared" si="2"/>
        <v>4968.4233500000018</v>
      </c>
      <c r="X7" s="154">
        <f t="shared" si="2"/>
        <v>5465.2656850000021</v>
      </c>
      <c r="Y7" s="154">
        <f t="shared" si="2"/>
        <v>6011.7922535000025</v>
      </c>
      <c r="Z7" s="154">
        <f t="shared" si="2"/>
        <v>6612.9714788500032</v>
      </c>
      <c r="AA7" s="154">
        <f t="shared" si="2"/>
        <v>7274.2686267350045</v>
      </c>
      <c r="AB7" s="154">
        <f t="shared" si="2"/>
        <v>8001.6954894085056</v>
      </c>
      <c r="AC7" s="138">
        <f>((AB7/G7)^(1/($AB$3-$H$1) ))-1</f>
        <v>0.13579540314024485</v>
      </c>
      <c r="AD7" s="31">
        <v>0.08</v>
      </c>
      <c r="AE7" s="145">
        <f>(AB7*(1+AC7))/($C$1-AD7)</f>
        <v>64916.349672844372</v>
      </c>
    </row>
    <row r="8" spans="2:31">
      <c r="B8" s="20"/>
      <c r="C8" s="141"/>
      <c r="D8" s="141"/>
      <c r="E8" s="146"/>
      <c r="F8" s="146"/>
      <c r="G8" s="148">
        <f>(G7-F7)/G7</f>
        <v>0.2148876404494382</v>
      </c>
      <c r="H8" s="151">
        <f>(H7-G7)/H7</f>
        <v>6.3157894736842107E-2</v>
      </c>
      <c r="I8" s="151">
        <f t="shared" ref="I8:P8" si="3">(I7-H7)/I7</f>
        <v>0.12844036697247707</v>
      </c>
      <c r="J8" s="151">
        <f t="shared" si="3"/>
        <v>0.17968015051740358</v>
      </c>
      <c r="K8" s="151">
        <f t="shared" si="3"/>
        <v>0.10672268907563025</v>
      </c>
      <c r="L8" s="151">
        <f t="shared" si="3"/>
        <v>0.11851851851851852</v>
      </c>
      <c r="M8" s="151">
        <f t="shared" si="3"/>
        <v>0.16615194564546015</v>
      </c>
      <c r="N8" s="151">
        <f t="shared" si="3"/>
        <v>0.24204119850187267</v>
      </c>
      <c r="O8" s="151">
        <f t="shared" si="3"/>
        <v>0.21122599704579026</v>
      </c>
      <c r="P8" s="151">
        <f t="shared" si="3"/>
        <v>0.12220421393841167</v>
      </c>
      <c r="Q8" s="128"/>
      <c r="R8" s="128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20"/>
      <c r="AE8" s="145"/>
    </row>
    <row r="9" spans="2:31">
      <c r="B9" s="20" t="s">
        <v>300</v>
      </c>
      <c r="C9" s="141"/>
      <c r="D9" s="141"/>
      <c r="E9" s="146"/>
      <c r="F9" s="146">
        <v>230</v>
      </c>
      <c r="G9" s="146">
        <v>327</v>
      </c>
      <c r="H9" s="146">
        <v>382</v>
      </c>
      <c r="I9" s="146">
        <v>470</v>
      </c>
      <c r="J9" s="146">
        <v>595</v>
      </c>
      <c r="K9" s="146">
        <v>1100</v>
      </c>
      <c r="L9" s="146">
        <v>964</v>
      </c>
      <c r="M9" s="146">
        <v>1199</v>
      </c>
      <c r="N9" s="146">
        <v>1680</v>
      </c>
      <c r="O9" s="146">
        <v>1921</v>
      </c>
      <c r="P9" s="146">
        <v>2000</v>
      </c>
      <c r="Q9" s="118">
        <f t="shared" ref="Q9:Q14" si="4">((P9/G9)^(1/($H$2-$H$1) ))-1</f>
        <v>0.22288865476448283</v>
      </c>
      <c r="R9" s="31">
        <v>0.1</v>
      </c>
      <c r="S9" s="154">
        <f t="shared" ref="S9" si="5">P9*(1+$R9)</f>
        <v>2200</v>
      </c>
      <c r="T9" s="154">
        <f t="shared" ref="T9" si="6">S9*(1+$R9)</f>
        <v>2420</v>
      </c>
      <c r="U9" s="154">
        <f t="shared" ref="U9" si="7">T9*(1+$R9)</f>
        <v>2662</v>
      </c>
      <c r="V9" s="154">
        <f t="shared" ref="V9" si="8">U9*(1+$R9)</f>
        <v>2928.2000000000003</v>
      </c>
      <c r="W9" s="154">
        <f t="shared" ref="W9" si="9">V9*(1+$R9)</f>
        <v>3221.0200000000004</v>
      </c>
      <c r="X9" s="154">
        <f t="shared" ref="X9" si="10">W9*(1+$R9)</f>
        <v>3543.1220000000008</v>
      </c>
      <c r="Y9" s="154">
        <f t="shared" ref="Y9" si="11">X9*(1+$R9)</f>
        <v>3897.4342000000011</v>
      </c>
      <c r="Z9" s="154">
        <f t="shared" ref="Z9" si="12">Y9*(1+$R9)</f>
        <v>4287.1776200000013</v>
      </c>
      <c r="AA9" s="154">
        <f t="shared" ref="AA9" si="13">Z9*(1+$R9)</f>
        <v>4715.8953820000015</v>
      </c>
      <c r="AB9" s="154">
        <f t="shared" ref="AB9" si="14">AA9*(1+$R9)</f>
        <v>5187.4849202000023</v>
      </c>
      <c r="AC9" s="138">
        <f>((AB9/G9)^(1/($AB$3-$H$1) ))-1</f>
        <v>0.15658998136663937</v>
      </c>
      <c r="AD9" s="31">
        <v>0.08</v>
      </c>
      <c r="AE9" s="145">
        <f t="shared" ref="AE9:AE14" si="15">(AB9*(1+AC9))/($C$1-AD9)</f>
        <v>42855.664908527448</v>
      </c>
    </row>
    <row r="10" spans="2:31">
      <c r="B10" s="20" t="s">
        <v>301</v>
      </c>
      <c r="C10" s="141"/>
      <c r="D10" s="141"/>
      <c r="E10" s="146"/>
      <c r="F10" s="146">
        <v>459</v>
      </c>
      <c r="G10" s="146">
        <v>271</v>
      </c>
      <c r="H10" s="146">
        <v>274</v>
      </c>
      <c r="I10" s="146">
        <v>312</v>
      </c>
      <c r="J10" s="146">
        <v>177</v>
      </c>
      <c r="K10" s="146">
        <v>87</v>
      </c>
      <c r="L10" s="146">
        <v>410</v>
      </c>
      <c r="M10" s="146">
        <v>37</v>
      </c>
      <c r="N10" s="146">
        <v>95</v>
      </c>
      <c r="O10" s="146">
        <v>115</v>
      </c>
      <c r="P10" s="146">
        <v>120</v>
      </c>
      <c r="Q10" s="118">
        <f t="shared" si="4"/>
        <v>-8.6538564072500601E-2</v>
      </c>
      <c r="R10" s="31">
        <v>0.1</v>
      </c>
      <c r="S10" s="154">
        <f t="shared" si="1"/>
        <v>132</v>
      </c>
      <c r="T10" s="154">
        <f t="shared" ref="T10:AB10" si="16">S10*(1+$R10)</f>
        <v>145.20000000000002</v>
      </c>
      <c r="U10" s="154">
        <f t="shared" si="16"/>
        <v>159.72000000000003</v>
      </c>
      <c r="V10" s="154">
        <f t="shared" si="16"/>
        <v>175.69200000000004</v>
      </c>
      <c r="W10" s="154">
        <f t="shared" si="16"/>
        <v>193.26120000000006</v>
      </c>
      <c r="X10" s="154">
        <f t="shared" si="16"/>
        <v>212.58732000000009</v>
      </c>
      <c r="Y10" s="154">
        <f t="shared" si="16"/>
        <v>233.84605200000013</v>
      </c>
      <c r="Z10" s="154">
        <f t="shared" si="16"/>
        <v>257.23065720000017</v>
      </c>
      <c r="AA10" s="154">
        <f t="shared" si="16"/>
        <v>282.95372292000019</v>
      </c>
      <c r="AB10" s="154">
        <f t="shared" si="16"/>
        <v>311.24909521200021</v>
      </c>
      <c r="AC10" s="138">
        <f t="shared" ref="AC10:AC54" si="17">((AB10/G10)^(1/($AB$3-$H$1) ))-1</f>
        <v>7.3147663088399817E-3</v>
      </c>
      <c r="AD10" s="31">
        <v>0.08</v>
      </c>
      <c r="AE10" s="145">
        <f t="shared" si="15"/>
        <v>2239.4700686236702</v>
      </c>
    </row>
    <row r="11" spans="2:31">
      <c r="B11" s="20"/>
      <c r="C11" s="141"/>
      <c r="D11" s="141"/>
      <c r="E11" s="146"/>
      <c r="F11" s="146"/>
      <c r="G11" s="148">
        <f>(G10-F10)/G10</f>
        <v>-0.69372693726937273</v>
      </c>
      <c r="H11" s="147">
        <f>(H10-G10)/H10</f>
        <v>1.0948905109489052E-2</v>
      </c>
      <c r="I11" s="147">
        <f t="shared" ref="I11" si="18">(I10-H10)/I10</f>
        <v>0.12179487179487179</v>
      </c>
      <c r="J11" s="147">
        <f t="shared" ref="J11" si="19">(J10-I10)/J10</f>
        <v>-0.76271186440677963</v>
      </c>
      <c r="K11" s="147">
        <f t="shared" ref="K11" si="20">(K10-J10)/K10</f>
        <v>-1.0344827586206897</v>
      </c>
      <c r="L11" s="147">
        <f t="shared" ref="L11" si="21">(L10-K10)/L10</f>
        <v>0.78780487804878052</v>
      </c>
      <c r="M11" s="147">
        <f t="shared" ref="M11" si="22">(M10-L10)/M10</f>
        <v>-10.081081081081081</v>
      </c>
      <c r="N11" s="147">
        <f t="shared" ref="N11" si="23">(N10-M10)/N10</f>
        <v>0.61052631578947369</v>
      </c>
      <c r="O11" s="147">
        <f t="shared" ref="O11" si="24">(O10-N10)/O10</f>
        <v>0.17391304347826086</v>
      </c>
      <c r="P11" s="147">
        <f t="shared" ref="P11" si="25">(P10-O10)/P10</f>
        <v>4.1666666666666664E-2</v>
      </c>
      <c r="Q11" s="128"/>
      <c r="R11" s="128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119"/>
      <c r="AE11" s="154"/>
    </row>
    <row r="12" spans="2:31">
      <c r="B12" s="20" t="s">
        <v>218</v>
      </c>
      <c r="C12" s="141"/>
      <c r="D12" s="141"/>
      <c r="E12" s="146"/>
      <c r="F12" s="146">
        <v>1850</v>
      </c>
      <c r="G12" s="146">
        <v>2173</v>
      </c>
      <c r="H12" s="146">
        <v>2219</v>
      </c>
      <c r="I12" s="146">
        <v>2298</v>
      </c>
      <c r="J12" s="146">
        <v>2873</v>
      </c>
      <c r="K12" s="146">
        <v>3526</v>
      </c>
      <c r="L12" s="146">
        <v>4715</v>
      </c>
      <c r="M12" s="146">
        <v>6602</v>
      </c>
      <c r="N12" s="146">
        <v>7731</v>
      </c>
      <c r="O12" s="146">
        <v>10506</v>
      </c>
      <c r="P12" s="146">
        <v>13861</v>
      </c>
      <c r="Q12" s="118">
        <f t="shared" si="4"/>
        <v>0.22861264812365634</v>
      </c>
      <c r="R12" s="31">
        <v>0.1</v>
      </c>
      <c r="S12" s="154">
        <f t="shared" si="1"/>
        <v>15247.1</v>
      </c>
      <c r="T12" s="154">
        <f t="shared" ref="T12:AB12" si="26">S12*(1+$R12)</f>
        <v>16771.810000000001</v>
      </c>
      <c r="U12" s="154">
        <f t="shared" si="26"/>
        <v>18448.991000000002</v>
      </c>
      <c r="V12" s="154">
        <f t="shared" si="26"/>
        <v>20293.890100000004</v>
      </c>
      <c r="W12" s="154">
        <f t="shared" si="26"/>
        <v>22323.279110000007</v>
      </c>
      <c r="X12" s="154">
        <f t="shared" si="26"/>
        <v>24555.607021000011</v>
      </c>
      <c r="Y12" s="154">
        <f t="shared" si="26"/>
        <v>27011.167723100014</v>
      </c>
      <c r="Z12" s="154">
        <f t="shared" si="26"/>
        <v>29712.284495410018</v>
      </c>
      <c r="AA12" s="154">
        <f t="shared" si="26"/>
        <v>32683.512944951024</v>
      </c>
      <c r="AB12" s="154">
        <f t="shared" si="26"/>
        <v>35951.864239446128</v>
      </c>
      <c r="AC12" s="138">
        <f t="shared" si="17"/>
        <v>0.15915119928915589</v>
      </c>
      <c r="AD12" s="31">
        <v>0.08</v>
      </c>
      <c r="AE12" s="145">
        <f t="shared" si="15"/>
        <v>297668.90392739204</v>
      </c>
    </row>
    <row r="13" spans="2:31">
      <c r="B13" s="20" t="s">
        <v>302</v>
      </c>
      <c r="C13" s="141"/>
      <c r="D13" s="141"/>
      <c r="E13" s="146"/>
      <c r="F13" s="146">
        <v>82</v>
      </c>
      <c r="G13" s="146">
        <v>94</v>
      </c>
      <c r="H13" s="146">
        <v>102</v>
      </c>
      <c r="I13" s="146">
        <v>98</v>
      </c>
      <c r="J13" s="146">
        <v>97</v>
      </c>
      <c r="K13" s="146">
        <v>109</v>
      </c>
      <c r="L13" s="146">
        <v>116</v>
      </c>
      <c r="M13" s="146">
        <v>135</v>
      </c>
      <c r="N13" s="146">
        <v>197</v>
      </c>
      <c r="O13" s="146">
        <v>244</v>
      </c>
      <c r="P13" s="146">
        <v>250</v>
      </c>
      <c r="Q13" s="118">
        <f t="shared" si="4"/>
        <v>0.1148112701847126</v>
      </c>
      <c r="R13" s="31">
        <v>0.1</v>
      </c>
      <c r="S13" s="154">
        <f t="shared" si="1"/>
        <v>275</v>
      </c>
      <c r="T13" s="154">
        <f t="shared" ref="T13:AB13" si="27">S13*(1+$R13)</f>
        <v>302.5</v>
      </c>
      <c r="U13" s="154">
        <f t="shared" si="27"/>
        <v>332.75</v>
      </c>
      <c r="V13" s="154">
        <f t="shared" si="27"/>
        <v>366.02500000000003</v>
      </c>
      <c r="W13" s="154">
        <f t="shared" si="27"/>
        <v>402.62750000000005</v>
      </c>
      <c r="X13" s="154">
        <f t="shared" si="27"/>
        <v>442.89025000000009</v>
      </c>
      <c r="Y13" s="154">
        <f t="shared" si="27"/>
        <v>487.17927500000013</v>
      </c>
      <c r="Z13" s="154">
        <f t="shared" si="27"/>
        <v>535.89720250000016</v>
      </c>
      <c r="AA13" s="154">
        <f t="shared" si="27"/>
        <v>589.48692275000019</v>
      </c>
      <c r="AB13" s="154">
        <f t="shared" si="27"/>
        <v>648.43561502500029</v>
      </c>
      <c r="AC13" s="138">
        <f t="shared" si="17"/>
        <v>0.10699117391439672</v>
      </c>
      <c r="AD13" s="31">
        <v>0.08</v>
      </c>
      <c r="AE13" s="145">
        <f t="shared" si="15"/>
        <v>5127.2321620316343</v>
      </c>
    </row>
    <row r="14" spans="2:31">
      <c r="B14" s="20"/>
      <c r="C14" s="141"/>
      <c r="D14" s="141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18" t="e">
        <f t="shared" si="4"/>
        <v>#DIV/0!</v>
      </c>
      <c r="R14" s="31">
        <v>0.1</v>
      </c>
      <c r="S14" s="154">
        <f t="shared" si="1"/>
        <v>0</v>
      </c>
      <c r="T14" s="154">
        <f t="shared" ref="T14:AB14" si="28">S14*(1+$R14)</f>
        <v>0</v>
      </c>
      <c r="U14" s="154">
        <f t="shared" si="28"/>
        <v>0</v>
      </c>
      <c r="V14" s="154">
        <f t="shared" si="28"/>
        <v>0</v>
      </c>
      <c r="W14" s="154">
        <f t="shared" si="28"/>
        <v>0</v>
      </c>
      <c r="X14" s="154">
        <f t="shared" si="28"/>
        <v>0</v>
      </c>
      <c r="Y14" s="154">
        <f t="shared" si="28"/>
        <v>0</v>
      </c>
      <c r="Z14" s="154">
        <f t="shared" si="28"/>
        <v>0</v>
      </c>
      <c r="AA14" s="154">
        <f t="shared" si="28"/>
        <v>0</v>
      </c>
      <c r="AB14" s="154">
        <f t="shared" si="28"/>
        <v>0</v>
      </c>
      <c r="AC14" s="138" t="e">
        <f t="shared" si="17"/>
        <v>#DIV/0!</v>
      </c>
      <c r="AD14" s="31">
        <v>0.08</v>
      </c>
      <c r="AE14" s="145" t="e">
        <f t="shared" si="15"/>
        <v>#DIV/0!</v>
      </c>
    </row>
    <row r="15" spans="2:31">
      <c r="B15" s="20" t="s">
        <v>303</v>
      </c>
      <c r="C15" s="141"/>
      <c r="D15" s="141"/>
      <c r="E15" s="146"/>
      <c r="F15" s="146">
        <v>1685</v>
      </c>
      <c r="G15" s="146">
        <v>1553</v>
      </c>
      <c r="H15" s="146">
        <v>1441</v>
      </c>
      <c r="I15" s="146">
        <v>1770</v>
      </c>
      <c r="J15" s="146">
        <v>1865</v>
      </c>
      <c r="K15" s="146">
        <v>4611</v>
      </c>
      <c r="L15" s="146">
        <v>3175</v>
      </c>
      <c r="M15" s="146">
        <v>4889</v>
      </c>
      <c r="N15" s="146">
        <v>4923</v>
      </c>
      <c r="O15" s="146">
        <v>6487</v>
      </c>
      <c r="P15" s="146">
        <v>6487</v>
      </c>
      <c r="Q15" s="128"/>
      <c r="R15" s="128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39"/>
      <c r="AD15" s="20"/>
      <c r="AE15" s="154"/>
    </row>
    <row r="16" spans="2:31">
      <c r="B16" s="20" t="s">
        <v>304</v>
      </c>
      <c r="C16" s="141"/>
      <c r="D16" s="141"/>
      <c r="E16" s="146"/>
      <c r="F16" s="146">
        <v>1686</v>
      </c>
      <c r="G16" s="146">
        <v>1554</v>
      </c>
      <c r="H16" s="146">
        <v>1442</v>
      </c>
      <c r="I16" s="146">
        <v>1770</v>
      </c>
      <c r="J16" s="146">
        <v>1865</v>
      </c>
      <c r="K16" s="146">
        <v>4611</v>
      </c>
      <c r="L16" s="146">
        <v>3175</v>
      </c>
      <c r="M16" s="146">
        <v>4889</v>
      </c>
      <c r="N16" s="146">
        <v>4923</v>
      </c>
      <c r="O16" s="146">
        <v>6487</v>
      </c>
      <c r="P16" s="146">
        <v>6487</v>
      </c>
      <c r="Q16" s="118">
        <f>((P16/G16)^(1/($H$2-$H$1) ))-1</f>
        <v>0.17207327858158838</v>
      </c>
      <c r="R16" s="31">
        <v>0.1</v>
      </c>
      <c r="S16" s="154">
        <f t="shared" ref="S16:S40" si="29">P16*(1+$R16)</f>
        <v>7135.7000000000007</v>
      </c>
      <c r="T16" s="154">
        <f t="shared" ref="T16:T35" si="30">S16*(1+$R16)</f>
        <v>7849.2700000000013</v>
      </c>
      <c r="U16" s="154">
        <f t="shared" ref="U16:U35" si="31">T16*(1+$R16)</f>
        <v>8634.1970000000019</v>
      </c>
      <c r="V16" s="154">
        <f t="shared" ref="V16:V35" si="32">U16*(1+$R16)</f>
        <v>9497.6167000000023</v>
      </c>
      <c r="W16" s="154">
        <f t="shared" ref="W16:W49" si="33">V16*(1+$R16)</f>
        <v>10447.378370000004</v>
      </c>
      <c r="X16" s="154">
        <f t="shared" ref="X16:X49" si="34">W16*(1+$R16)</f>
        <v>11492.116207000005</v>
      </c>
      <c r="Y16" s="154">
        <f t="shared" ref="Y16:Y49" si="35">X16*(1+$R16)</f>
        <v>12641.327827700006</v>
      </c>
      <c r="Z16" s="154">
        <f t="shared" ref="Z16:Z49" si="36">Y16*(1+$R16)</f>
        <v>13905.460610470009</v>
      </c>
      <c r="AA16" s="154">
        <f t="shared" ref="AA16:AA49" si="37">Z16*(1+$R16)</f>
        <v>15296.006671517011</v>
      </c>
      <c r="AB16" s="154">
        <f t="shared" ref="AB16:AB49" si="38">AA16*(1+$R16)</f>
        <v>16825.607338668713</v>
      </c>
      <c r="AC16" s="138">
        <f t="shared" si="17"/>
        <v>0.13357016534343558</v>
      </c>
      <c r="AD16" s="31">
        <v>0.08</v>
      </c>
      <c r="AE16" s="145">
        <f>(AB16*(1+AC16))/($C$1-AD16)</f>
        <v>136235.76066356013</v>
      </c>
    </row>
    <row r="17" spans="2:31">
      <c r="B17" s="20"/>
      <c r="C17" s="141"/>
      <c r="D17" s="141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28"/>
      <c r="R17" s="128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19"/>
      <c r="AD17" s="119"/>
      <c r="AE17" s="154"/>
    </row>
    <row r="18" spans="2:31">
      <c r="B18" s="20" t="s">
        <v>268</v>
      </c>
      <c r="C18" s="141"/>
      <c r="D18" s="141"/>
      <c r="E18" s="146"/>
      <c r="F18" s="146">
        <v>-166</v>
      </c>
      <c r="G18" s="146">
        <v>-67</v>
      </c>
      <c r="H18" s="146">
        <v>107</v>
      </c>
      <c r="I18" s="146">
        <v>166</v>
      </c>
      <c r="J18" s="146">
        <v>-31</v>
      </c>
      <c r="K18" s="146">
        <v>515</v>
      </c>
      <c r="L18" s="146">
        <v>283</v>
      </c>
      <c r="M18" s="146">
        <v>-180</v>
      </c>
      <c r="N18" s="146">
        <v>482</v>
      </c>
      <c r="O18" s="146">
        <v>249</v>
      </c>
      <c r="P18" s="146">
        <v>249</v>
      </c>
      <c r="Q18" s="118">
        <f>((P18/G18)^(1/($H$2-$H$1) ))-1</f>
        <v>-2.1570367987349135</v>
      </c>
      <c r="R18" s="31">
        <v>0.1</v>
      </c>
      <c r="S18" s="154">
        <f t="shared" ref="S18:S20" si="39">P18*(1+$R18)</f>
        <v>273.90000000000003</v>
      </c>
      <c r="T18" s="154">
        <f t="shared" ref="T18:T20" si="40">S18*(1+$R18)</f>
        <v>301.29000000000008</v>
      </c>
      <c r="U18" s="154">
        <f t="shared" ref="U18:U20" si="41">T18*(1+$R18)</f>
        <v>331.4190000000001</v>
      </c>
      <c r="V18" s="154">
        <f t="shared" ref="V18:V20" si="42">U18*(1+$R18)</f>
        <v>364.56090000000012</v>
      </c>
      <c r="W18" s="154">
        <f t="shared" ref="W18:W20" si="43">V18*(1+$R18)</f>
        <v>401.01699000000013</v>
      </c>
      <c r="X18" s="154">
        <f t="shared" ref="X18:X20" si="44">W18*(1+$R18)</f>
        <v>441.11868900000019</v>
      </c>
      <c r="Y18" s="154">
        <f t="shared" ref="Y18:Y20" si="45">X18*(1+$R18)</f>
        <v>485.23055790000024</v>
      </c>
      <c r="Z18" s="154">
        <f t="shared" ref="Z18:Z20" si="46">Y18*(1+$R18)</f>
        <v>533.75361369000029</v>
      </c>
      <c r="AA18" s="154">
        <f t="shared" ref="AA18:AA20" si="47">Z18*(1+$R18)</f>
        <v>587.12897505900037</v>
      </c>
      <c r="AB18" s="154">
        <f t="shared" ref="AB18:AB20" si="48">AA18*(1+$R18)</f>
        <v>645.84187256490043</v>
      </c>
      <c r="AC18" s="138">
        <f t="shared" ref="AC18:AC20" si="49">((AB18/G18)^(1/($AB$3-$H$1) ))-1</f>
        <v>-2.1266581917581413</v>
      </c>
      <c r="AD18" s="31">
        <v>0.05</v>
      </c>
      <c r="AE18" s="145">
        <f>(AB18*(1+AC18))/($C$1-AD18)</f>
        <v>-4280.2531547391927</v>
      </c>
    </row>
    <row r="19" spans="2:31">
      <c r="B19" s="20" t="s">
        <v>269</v>
      </c>
      <c r="C19" s="141"/>
      <c r="D19" s="141"/>
      <c r="E19" s="146"/>
      <c r="F19" s="146">
        <v>-23</v>
      </c>
      <c r="G19" s="146">
        <v>-23</v>
      </c>
      <c r="H19" s="146">
        <v>-30</v>
      </c>
      <c r="I19" s="146">
        <v>-19</v>
      </c>
      <c r="J19" s="146">
        <v>-20</v>
      </c>
      <c r="K19" s="146">
        <v>-32</v>
      </c>
      <c r="L19" s="146">
        <v>-19</v>
      </c>
      <c r="M19" s="146">
        <v>-44</v>
      </c>
      <c r="N19" s="146">
        <v>-102</v>
      </c>
      <c r="O19" s="146">
        <v>-73</v>
      </c>
      <c r="P19" s="146">
        <v>-73</v>
      </c>
      <c r="Q19" s="118">
        <f>((P19/G19)^(1/($H$2-$H$1) ))-1</f>
        <v>0.136927523904391</v>
      </c>
      <c r="R19" s="31">
        <v>0.1</v>
      </c>
      <c r="S19" s="154">
        <f t="shared" si="39"/>
        <v>-80.300000000000011</v>
      </c>
      <c r="T19" s="154">
        <f t="shared" si="40"/>
        <v>-88.330000000000027</v>
      </c>
      <c r="U19" s="154">
        <f t="shared" si="41"/>
        <v>-97.163000000000039</v>
      </c>
      <c r="V19" s="154">
        <f t="shared" si="42"/>
        <v>-106.87930000000006</v>
      </c>
      <c r="W19" s="154">
        <f t="shared" si="43"/>
        <v>-117.56723000000007</v>
      </c>
      <c r="X19" s="154">
        <f t="shared" si="44"/>
        <v>-129.32395300000007</v>
      </c>
      <c r="Y19" s="154">
        <f t="shared" si="45"/>
        <v>-142.2563483000001</v>
      </c>
      <c r="Z19" s="154">
        <f t="shared" si="46"/>
        <v>-156.48198313000012</v>
      </c>
      <c r="AA19" s="154">
        <f t="shared" si="47"/>
        <v>-172.13018144300014</v>
      </c>
      <c r="AB19" s="154">
        <f t="shared" si="48"/>
        <v>-189.34319958730018</v>
      </c>
      <c r="AC19" s="138">
        <f t="shared" si="49"/>
        <v>0.11734003959869188</v>
      </c>
      <c r="AD19" s="31">
        <v>0.05</v>
      </c>
      <c r="AE19" s="145">
        <f>(AB19*(1+AC19))/($C$1-AD19)</f>
        <v>-1244.474930144806</v>
      </c>
    </row>
    <row r="20" spans="2:31">
      <c r="B20" s="20" t="s">
        <v>270</v>
      </c>
      <c r="C20" s="141"/>
      <c r="D20" s="141"/>
      <c r="E20" s="146"/>
      <c r="F20" s="146">
        <v>19</v>
      </c>
      <c r="G20" s="146">
        <v>-1.37</v>
      </c>
      <c r="H20" s="146">
        <v>-20</v>
      </c>
      <c r="I20" s="146">
        <v>-21</v>
      </c>
      <c r="J20" s="146">
        <v>41</v>
      </c>
      <c r="K20" s="146">
        <v>-68</v>
      </c>
      <c r="L20" s="146">
        <v>-76</v>
      </c>
      <c r="M20" s="146">
        <v>85</v>
      </c>
      <c r="N20" s="146">
        <v>160</v>
      </c>
      <c r="O20" s="146">
        <v>84</v>
      </c>
      <c r="P20" s="146">
        <v>84</v>
      </c>
      <c r="Q20" s="118">
        <f>((P20/G20)^(1/($H$2-$H$1) ))-1</f>
        <v>-2.5798564785558078</v>
      </c>
      <c r="R20" s="31">
        <v>0.1</v>
      </c>
      <c r="S20" s="154">
        <f t="shared" si="39"/>
        <v>92.4</v>
      </c>
      <c r="T20" s="154">
        <f t="shared" si="40"/>
        <v>101.64000000000001</v>
      </c>
      <c r="U20" s="154">
        <f t="shared" si="41"/>
        <v>111.80400000000003</v>
      </c>
      <c r="V20" s="154">
        <f t="shared" si="42"/>
        <v>122.98440000000004</v>
      </c>
      <c r="W20" s="154">
        <f t="shared" si="43"/>
        <v>135.28284000000005</v>
      </c>
      <c r="X20" s="154">
        <f t="shared" si="44"/>
        <v>148.81112400000006</v>
      </c>
      <c r="Y20" s="154">
        <f t="shared" si="45"/>
        <v>163.69223640000007</v>
      </c>
      <c r="Z20" s="154">
        <f t="shared" si="46"/>
        <v>180.0614600400001</v>
      </c>
      <c r="AA20" s="154">
        <f t="shared" si="47"/>
        <v>198.06760604400012</v>
      </c>
      <c r="AB20" s="154">
        <f t="shared" si="48"/>
        <v>217.87436664840016</v>
      </c>
      <c r="AC20" s="138">
        <f t="shared" si="49"/>
        <v>-2.3057729318306532</v>
      </c>
      <c r="AD20" s="31">
        <v>0.05</v>
      </c>
      <c r="AE20" s="145">
        <f>(AB20*(1+AC20))/($C$1-AD20)</f>
        <v>-1673.4967677013422</v>
      </c>
    </row>
    <row r="21" spans="2:31">
      <c r="B21" s="20" t="s">
        <v>276</v>
      </c>
      <c r="C21" s="141"/>
      <c r="D21" s="141"/>
      <c r="E21" s="146"/>
      <c r="F21" s="146">
        <v>689</v>
      </c>
      <c r="G21" s="146">
        <v>598</v>
      </c>
      <c r="H21" s="146">
        <v>655</v>
      </c>
      <c r="I21" s="146">
        <v>782</v>
      </c>
      <c r="J21" s="146">
        <v>772</v>
      </c>
      <c r="K21" s="146">
        <v>1187</v>
      </c>
      <c r="L21" s="146">
        <v>1374</v>
      </c>
      <c r="M21" s="146">
        <v>1235</v>
      </c>
      <c r="N21" s="146">
        <v>1774</v>
      </c>
      <c r="O21" s="146">
        <v>2035</v>
      </c>
      <c r="P21" s="146">
        <v>2035</v>
      </c>
      <c r="Q21" s="118">
        <f>((P21/G21)^(1/($H$2-$H$1) ))-1</f>
        <v>0.14576595713205287</v>
      </c>
      <c r="R21" s="31">
        <v>0.1</v>
      </c>
      <c r="S21" s="154">
        <f t="shared" ref="S21" si="50">P21*(1+$R21)</f>
        <v>2238.5</v>
      </c>
      <c r="T21" s="154">
        <f t="shared" ref="T21" si="51">S21*(1+$R21)</f>
        <v>2462.3500000000004</v>
      </c>
      <c r="U21" s="154">
        <f t="shared" ref="U21" si="52">T21*(1+$R21)</f>
        <v>2708.5850000000005</v>
      </c>
      <c r="V21" s="154">
        <f t="shared" ref="V21" si="53">U21*(1+$R21)</f>
        <v>2979.4435000000008</v>
      </c>
      <c r="W21" s="154">
        <f t="shared" ref="W21" si="54">V21*(1+$R21)</f>
        <v>3277.387850000001</v>
      </c>
      <c r="X21" s="154">
        <f t="shared" ref="X21" si="55">W21*(1+$R21)</f>
        <v>3605.1266350000014</v>
      </c>
      <c r="Y21" s="154">
        <f t="shared" ref="Y21" si="56">X21*(1+$R21)</f>
        <v>3965.639298500002</v>
      </c>
      <c r="Z21" s="154">
        <f t="shared" ref="Z21" si="57">Y21*(1+$R21)</f>
        <v>4362.203228350003</v>
      </c>
      <c r="AA21" s="154">
        <f t="shared" ref="AA21" si="58">Z21*(1+$R21)</f>
        <v>4798.4235511850038</v>
      </c>
      <c r="AB21" s="154">
        <f t="shared" ref="AB21" si="59">AA21*(1+$R21)</f>
        <v>5278.2659063035044</v>
      </c>
      <c r="AC21" s="138">
        <f t="shared" ref="AC21" si="60">((AB21/G21)^(1/($AB$3-$H$1) ))-1</f>
        <v>0.1214461526110211</v>
      </c>
      <c r="AD21" s="31">
        <v>0.05</v>
      </c>
      <c r="AE21" s="145">
        <f>(AB21*(1+AC21))/($C$1-AD21)</f>
        <v>34819.358782835239</v>
      </c>
    </row>
    <row r="22" spans="2:31">
      <c r="B22" s="20"/>
      <c r="C22" s="141"/>
      <c r="D22" s="141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28"/>
      <c r="R22" s="128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19"/>
      <c r="AD22" s="119"/>
      <c r="AE22" s="154"/>
    </row>
    <row r="23" spans="2:31">
      <c r="B23" s="20" t="s">
        <v>296</v>
      </c>
      <c r="C23" s="141"/>
      <c r="D23" s="141"/>
      <c r="E23" s="146"/>
      <c r="F23" s="146">
        <v>5122</v>
      </c>
      <c r="G23" s="146">
        <v>5911</v>
      </c>
      <c r="H23" s="146">
        <v>6672</v>
      </c>
      <c r="I23" s="146">
        <v>7576</v>
      </c>
      <c r="J23" s="146">
        <v>9340</v>
      </c>
      <c r="K23" s="146">
        <v>12545</v>
      </c>
      <c r="L23" s="146">
        <v>15101</v>
      </c>
      <c r="M23" s="146">
        <v>19271</v>
      </c>
      <c r="N23" s="146">
        <v>24721</v>
      </c>
      <c r="O23" s="146">
        <v>32111</v>
      </c>
      <c r="P23" s="146">
        <v>38653</v>
      </c>
      <c r="Q23" s="118">
        <f>((P23/G23)^(1/($H$2-$H$1) ))-1</f>
        <v>0.23200815639274075</v>
      </c>
      <c r="R23" s="31">
        <v>0.11</v>
      </c>
      <c r="S23" s="154">
        <f t="shared" ref="S23:S31" si="61">P23*(1+$R23)</f>
        <v>42904.83</v>
      </c>
      <c r="T23" s="154">
        <f t="shared" ref="T23:T31" si="62">S23*(1+$R23)</f>
        <v>47624.361300000004</v>
      </c>
      <c r="U23" s="154">
        <f t="shared" ref="U23:U31" si="63">T23*(1+$R23)</f>
        <v>52863.041043000012</v>
      </c>
      <c r="V23" s="154">
        <f t="shared" ref="V23:V31" si="64">U23*(1+$R23)</f>
        <v>58677.975557730017</v>
      </c>
      <c r="W23" s="154">
        <f t="shared" ref="W23:W31" si="65">V23*(1+$R23)</f>
        <v>65132.552869080326</v>
      </c>
      <c r="X23" s="154">
        <f t="shared" ref="X23:X31" si="66">W23*(1+$R23)</f>
        <v>72297.133684679167</v>
      </c>
      <c r="Y23" s="154">
        <f t="shared" ref="Y23:Y31" si="67">X23*(1+$R23)</f>
        <v>80249.818389993889</v>
      </c>
      <c r="Z23" s="154">
        <f t="shared" ref="Z23:Z31" si="68">Y23*(1+$R23)</f>
        <v>89077.298412893229</v>
      </c>
      <c r="AA23" s="154">
        <f t="shared" ref="AA23:AA31" si="69">Z23*(1+$R23)</f>
        <v>98875.801238311498</v>
      </c>
      <c r="AB23" s="154">
        <f t="shared" ref="AB23:AB31" si="70">AA23*(1+$R23)</f>
        <v>109752.13937452577</v>
      </c>
      <c r="AC23" s="138">
        <f t="shared" ref="AC23:AC31" si="71">((AB23/G23)^(1/($AB$3-$H$1) ))-1</f>
        <v>0.16620909190081834</v>
      </c>
      <c r="AD23" s="31">
        <v>0.05</v>
      </c>
      <c r="AE23" s="145">
        <f>(AB23*(1+AC23))/($C$1-AD23)</f>
        <v>752905.54584786913</v>
      </c>
    </row>
    <row r="24" spans="2:31">
      <c r="B24" s="20"/>
      <c r="C24" s="141"/>
      <c r="D24" s="141"/>
      <c r="E24" s="146"/>
      <c r="F24" s="146"/>
      <c r="G24" s="148">
        <f>(G23-F23)/G23</f>
        <v>0.13347995263068854</v>
      </c>
      <c r="H24" s="148">
        <f>(H23-G23)/H23</f>
        <v>0.11405875299760192</v>
      </c>
      <c r="I24" s="148">
        <f t="shared" ref="I24" si="72">(I23-H23)/I23</f>
        <v>0.11932418162618796</v>
      </c>
      <c r="J24" s="148">
        <f t="shared" ref="J24" si="73">(J23-I23)/J23</f>
        <v>0.18886509635974305</v>
      </c>
      <c r="K24" s="148">
        <f t="shared" ref="K24" si="74">(K23-J23)/K23</f>
        <v>0.25548027102431248</v>
      </c>
      <c r="L24" s="148">
        <f t="shared" ref="L24" si="75">(L23-K23)/L23</f>
        <v>0.16926031388649759</v>
      </c>
      <c r="M24" s="148">
        <f t="shared" ref="M24" si="76">(M23-L23)/M23</f>
        <v>0.21638731773130609</v>
      </c>
      <c r="N24" s="148">
        <f t="shared" ref="N24" si="77">(N23-M23)/N23</f>
        <v>0.22046033736499332</v>
      </c>
      <c r="O24" s="148">
        <f t="shared" ref="O24" si="78">(O23-N23)/O23</f>
        <v>0.23013920463392606</v>
      </c>
      <c r="P24" s="148">
        <f t="shared" ref="P24" si="79">(P23-O23)/P23</f>
        <v>0.1692494761079347</v>
      </c>
      <c r="Q24" s="3"/>
      <c r="R24" s="3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39"/>
      <c r="AD24" s="128"/>
      <c r="AE24" s="145"/>
    </row>
    <row r="25" spans="2:31">
      <c r="B25" s="20" t="s">
        <v>305</v>
      </c>
      <c r="C25" s="141"/>
      <c r="D25" s="141"/>
      <c r="E25" s="146"/>
      <c r="F25" s="146">
        <v>268</v>
      </c>
      <c r="G25" s="146">
        <v>103</v>
      </c>
      <c r="H25" s="146">
        <v>92</v>
      </c>
      <c r="I25" s="146">
        <v>195</v>
      </c>
      <c r="J25" s="146">
        <v>228</v>
      </c>
      <c r="K25" s="146">
        <v>328</v>
      </c>
      <c r="L25" s="146">
        <v>23</v>
      </c>
      <c r="M25" s="146">
        <v>475</v>
      </c>
      <c r="N25" s="146">
        <v>530</v>
      </c>
      <c r="O25" s="146">
        <v>1973</v>
      </c>
      <c r="P25" s="146">
        <v>2000</v>
      </c>
      <c r="Q25" s="118">
        <f>((P25/G25)^(1/($H$2-$H$1) ))-1</f>
        <v>0.39037685645186704</v>
      </c>
      <c r="R25" s="31">
        <v>0.1</v>
      </c>
      <c r="S25" s="154">
        <f t="shared" ref="S25" si="80">P25*(1+$R25)</f>
        <v>2200</v>
      </c>
      <c r="T25" s="154">
        <f t="shared" ref="T25" si="81">S25*(1+$R25)</f>
        <v>2420</v>
      </c>
      <c r="U25" s="154">
        <f t="shared" ref="U25" si="82">T25*(1+$R25)</f>
        <v>2662</v>
      </c>
      <c r="V25" s="154">
        <f t="shared" ref="V25" si="83">U25*(1+$R25)</f>
        <v>2928.2000000000003</v>
      </c>
      <c r="W25" s="154">
        <f t="shared" ref="W25" si="84">V25*(1+$R25)</f>
        <v>3221.0200000000004</v>
      </c>
      <c r="X25" s="154">
        <f t="shared" ref="X25" si="85">W25*(1+$R25)</f>
        <v>3543.1220000000008</v>
      </c>
      <c r="Y25" s="154">
        <f t="shared" ref="Y25" si="86">X25*(1+$R25)</f>
        <v>3897.4342000000011</v>
      </c>
      <c r="Z25" s="154">
        <f t="shared" ref="Z25" si="87">Y25*(1+$R25)</f>
        <v>4287.1776200000013</v>
      </c>
      <c r="AA25" s="154">
        <f t="shared" ref="AA25" si="88">Z25*(1+$R25)</f>
        <v>4715.8953820000015</v>
      </c>
      <c r="AB25" s="154">
        <f t="shared" ref="AB25" si="89">AA25*(1+$R25)</f>
        <v>5187.4849202000023</v>
      </c>
      <c r="AC25" s="138">
        <f t="shared" ref="AC25" si="90">((AB25/G25)^(1/($AB$3-$H$1) ))-1</f>
        <v>0.22909440947197002</v>
      </c>
      <c r="AD25" s="31">
        <v>0.05</v>
      </c>
      <c r="AE25" s="145">
        <f>(AB25*(1+AC25))/($C$1-AD25)</f>
        <v>37505.345380223363</v>
      </c>
    </row>
    <row r="26" spans="2:31">
      <c r="B26" s="20"/>
      <c r="C26" s="141"/>
      <c r="D26" s="141"/>
      <c r="E26" s="146"/>
      <c r="F26" s="146"/>
      <c r="G26" s="148">
        <f>(G25-F25)/G25</f>
        <v>-1.6019417475728155</v>
      </c>
      <c r="H26" s="148">
        <f>(H25-G25)/H25</f>
        <v>-0.11956521739130435</v>
      </c>
      <c r="I26" s="148">
        <f t="shared" ref="I26" si="91">(I25-H25)/I25</f>
        <v>0.52820512820512822</v>
      </c>
      <c r="J26" s="148">
        <f t="shared" ref="J26" si="92">(J25-I25)/J25</f>
        <v>0.14473684210526316</v>
      </c>
      <c r="K26" s="148">
        <f t="shared" ref="K26" si="93">(K25-J25)/K25</f>
        <v>0.3048780487804878</v>
      </c>
      <c r="L26" s="148">
        <f t="shared" ref="L26" si="94">(L25-K25)/L25</f>
        <v>-13.260869565217391</v>
      </c>
      <c r="M26" s="148">
        <f t="shared" ref="M26" si="95">(M25-L25)/M25</f>
        <v>0.95157894736842108</v>
      </c>
      <c r="N26" s="148">
        <f t="shared" ref="N26" si="96">(N25-M25)/N25</f>
        <v>0.10377358490566038</v>
      </c>
      <c r="O26" s="148">
        <f t="shared" ref="O26" si="97">(O25-N25)/O25</f>
        <v>0.73137354282818046</v>
      </c>
      <c r="P26" s="148">
        <f t="shared" ref="P26" si="98">(P25-O25)/P25</f>
        <v>1.35E-2</v>
      </c>
      <c r="Q26" s="3"/>
      <c r="R26" s="3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39"/>
      <c r="AD26" s="128"/>
      <c r="AE26" s="145"/>
    </row>
    <row r="27" spans="2:31">
      <c r="B27" s="20" t="s">
        <v>306</v>
      </c>
      <c r="C27" s="141"/>
      <c r="D27" s="141"/>
      <c r="E27" s="146"/>
      <c r="F27" s="146">
        <v>230</v>
      </c>
      <c r="G27" s="146">
        <v>380</v>
      </c>
      <c r="H27" s="146">
        <v>360</v>
      </c>
      <c r="I27" s="146">
        <v>364</v>
      </c>
      <c r="J27" s="146">
        <v>447</v>
      </c>
      <c r="K27" s="146">
        <v>515</v>
      </c>
      <c r="L27" s="146">
        <v>586</v>
      </c>
      <c r="M27" s="146">
        <v>626</v>
      </c>
      <c r="N27" s="146">
        <v>836</v>
      </c>
      <c r="O27" s="146">
        <v>843</v>
      </c>
      <c r="P27" s="146">
        <v>850</v>
      </c>
      <c r="Q27" s="118">
        <f>((P27/G27)^(1/($H$2-$H$1) ))-1</f>
        <v>9.3574487692922537E-2</v>
      </c>
      <c r="R27" s="31">
        <v>0.1</v>
      </c>
      <c r="S27" s="154">
        <f t="shared" ref="S27" si="99">P27*(1+$R27)</f>
        <v>935.00000000000011</v>
      </c>
      <c r="T27" s="154">
        <f t="shared" ref="T27" si="100">S27*(1+$R27)</f>
        <v>1028.5000000000002</v>
      </c>
      <c r="U27" s="154">
        <f t="shared" ref="U27" si="101">T27*(1+$R27)</f>
        <v>1131.3500000000004</v>
      </c>
      <c r="V27" s="154">
        <f t="shared" ref="V27" si="102">U27*(1+$R27)</f>
        <v>1244.4850000000006</v>
      </c>
      <c r="W27" s="154">
        <f t="shared" ref="W27" si="103">V27*(1+$R27)</f>
        <v>1368.9335000000008</v>
      </c>
      <c r="X27" s="154">
        <f t="shared" ref="X27" si="104">W27*(1+$R27)</f>
        <v>1505.8268500000011</v>
      </c>
      <c r="Y27" s="154">
        <f t="shared" ref="Y27" si="105">X27*(1+$R27)</f>
        <v>1656.4095350000014</v>
      </c>
      <c r="Z27" s="154">
        <f t="shared" ref="Z27" si="106">Y27*(1+$R27)</f>
        <v>1822.0504885000016</v>
      </c>
      <c r="AA27" s="154">
        <f t="shared" ref="AA27" si="107">Z27*(1+$R27)</f>
        <v>2004.255537350002</v>
      </c>
      <c r="AB27" s="154">
        <f t="shared" ref="AB27" si="108">AA27*(1+$R27)</f>
        <v>2204.6810910850022</v>
      </c>
      <c r="AC27" s="138">
        <f t="shared" ref="AC27" si="109">((AB27/G27)^(1/($AB$3-$H$1) ))-1</f>
        <v>9.6951643587480874E-2</v>
      </c>
      <c r="AD27" s="31">
        <v>0.05</v>
      </c>
      <c r="AE27" s="145">
        <f>(AB27*(1+AC27))/($C$1-AD27)</f>
        <v>14226.050273246672</v>
      </c>
    </row>
    <row r="28" spans="2:31">
      <c r="B28" s="20"/>
      <c r="C28" s="141"/>
      <c r="D28" s="141"/>
      <c r="E28" s="146"/>
      <c r="F28" s="146"/>
      <c r="G28" s="148">
        <f>(G27-F27)/G27</f>
        <v>0.39473684210526316</v>
      </c>
      <c r="H28" s="148">
        <f>(H27-G27)/H27</f>
        <v>-5.5555555555555552E-2</v>
      </c>
      <c r="I28" s="148">
        <f t="shared" ref="I28" si="110">(I27-H27)/I27</f>
        <v>1.098901098901099E-2</v>
      </c>
      <c r="J28" s="148">
        <f t="shared" ref="J28" si="111">(J27-I27)/J27</f>
        <v>0.18568232662192394</v>
      </c>
      <c r="K28" s="148">
        <f t="shared" ref="K28" si="112">(K27-J27)/K27</f>
        <v>0.13203883495145632</v>
      </c>
      <c r="L28" s="148">
        <f t="shared" ref="L28" si="113">(L27-K27)/L27</f>
        <v>0.12116040955631399</v>
      </c>
      <c r="M28" s="148">
        <f t="shared" ref="M28" si="114">(M27-L27)/M27</f>
        <v>6.3897763578274758E-2</v>
      </c>
      <c r="N28" s="148">
        <f t="shared" ref="N28" si="115">(N27-M27)/N27</f>
        <v>0.25119617224880381</v>
      </c>
      <c r="O28" s="148">
        <f t="shared" ref="O28" si="116">(O27-N27)/O27</f>
        <v>8.3036773428232496E-3</v>
      </c>
      <c r="P28" s="148">
        <f t="shared" ref="P28" si="117">(P27-O27)/P27</f>
        <v>8.2352941176470594E-3</v>
      </c>
      <c r="Q28" s="3"/>
      <c r="R28" s="3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39"/>
      <c r="AD28" s="128"/>
      <c r="AE28" s="145"/>
    </row>
    <row r="29" spans="2:31">
      <c r="B29" s="20" t="s">
        <v>297</v>
      </c>
      <c r="C29" s="141"/>
      <c r="D29" s="141"/>
      <c r="E29" s="146"/>
      <c r="F29" s="146">
        <v>3344</v>
      </c>
      <c r="G29" s="146">
        <v>4023</v>
      </c>
      <c r="H29" s="146">
        <v>4620</v>
      </c>
      <c r="I29" s="146">
        <v>5555</v>
      </c>
      <c r="J29" s="146">
        <v>7040</v>
      </c>
      <c r="K29" s="146">
        <v>9421</v>
      </c>
      <c r="L29" s="146">
        <v>10410</v>
      </c>
      <c r="M29" s="146">
        <v>13498</v>
      </c>
      <c r="N29" s="146">
        <v>17815</v>
      </c>
      <c r="O29" s="146">
        <v>23950</v>
      </c>
      <c r="P29" s="146">
        <v>29706</v>
      </c>
      <c r="Q29" s="118">
        <f>((P29/G29)^(1/($H$2-$H$1) ))-1</f>
        <v>0.24875467502545101</v>
      </c>
      <c r="R29" s="31">
        <v>0.1</v>
      </c>
      <c r="S29" s="154">
        <f t="shared" si="61"/>
        <v>32676.600000000002</v>
      </c>
      <c r="T29" s="154">
        <f t="shared" si="62"/>
        <v>35944.26</v>
      </c>
      <c r="U29" s="154">
        <f t="shared" si="63"/>
        <v>39538.686000000009</v>
      </c>
      <c r="V29" s="154">
        <f t="shared" si="64"/>
        <v>43492.55460000001</v>
      </c>
      <c r="W29" s="154">
        <f t="shared" si="65"/>
        <v>47841.810060000018</v>
      </c>
      <c r="X29" s="154">
        <f t="shared" si="66"/>
        <v>52625.991066000024</v>
      </c>
      <c r="Y29" s="154">
        <f t="shared" si="67"/>
        <v>57888.59017260003</v>
      </c>
      <c r="Z29" s="154">
        <f t="shared" si="68"/>
        <v>63677.449189860039</v>
      </c>
      <c r="AA29" s="154">
        <f t="shared" si="69"/>
        <v>70045.194108846044</v>
      </c>
      <c r="AB29" s="154">
        <f t="shared" si="70"/>
        <v>77049.713519730649</v>
      </c>
      <c r="AC29" s="138">
        <f t="shared" si="71"/>
        <v>0.16811423272567394</v>
      </c>
      <c r="AD29" s="31">
        <v>0.05</v>
      </c>
      <c r="AE29" s="145">
        <f>(AB29*(1+AC29))/($C$1-AD29)</f>
        <v>529428.6293519598</v>
      </c>
    </row>
    <row r="30" spans="2:31">
      <c r="B30" s="20"/>
      <c r="C30" s="141"/>
      <c r="D30" s="141"/>
      <c r="E30" s="146"/>
      <c r="F30" s="146"/>
      <c r="G30" s="148">
        <f>(G29-F29)/G29</f>
        <v>0.16877951777280636</v>
      </c>
      <c r="H30" s="148">
        <f>(H29-G29)/H29</f>
        <v>0.12922077922077921</v>
      </c>
      <c r="I30" s="148">
        <f t="shared" ref="I30" si="118">(I29-H29)/I29</f>
        <v>0.16831683168316833</v>
      </c>
      <c r="J30" s="148">
        <f t="shared" ref="J30" si="119">(J29-I29)/J29</f>
        <v>0.2109375</v>
      </c>
      <c r="K30" s="148">
        <f t="shared" ref="K30" si="120">(K29-J29)/K29</f>
        <v>0.25273325549304743</v>
      </c>
      <c r="L30" s="148">
        <f t="shared" ref="L30" si="121">(L29-K29)/L29</f>
        <v>9.5004803073967345E-2</v>
      </c>
      <c r="M30" s="148">
        <f t="shared" ref="M30" si="122">(M29-L29)/M29</f>
        <v>0.2287746332790043</v>
      </c>
      <c r="N30" s="148">
        <f t="shared" ref="N30" si="123">(N29-M29)/N29</f>
        <v>0.24232388436710636</v>
      </c>
      <c r="O30" s="148">
        <f t="shared" ref="O30" si="124">(O29-N29)/O29</f>
        <v>0.25615866388308978</v>
      </c>
      <c r="P30" s="148">
        <f t="shared" ref="P30" si="125">(P29-O29)/P29</f>
        <v>0.1937655692452703</v>
      </c>
      <c r="Q30" s="3"/>
      <c r="R30" s="3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38"/>
      <c r="AD30" s="31"/>
      <c r="AE30" s="145"/>
    </row>
    <row r="31" spans="2:31">
      <c r="B31" s="20" t="s">
        <v>307</v>
      </c>
      <c r="C31" s="141"/>
      <c r="D31" s="141"/>
      <c r="E31" s="146"/>
      <c r="F31" s="146">
        <v>132</v>
      </c>
      <c r="G31" s="146">
        <v>74</v>
      </c>
      <c r="H31" s="146">
        <v>113</v>
      </c>
      <c r="I31" s="146">
        <v>143</v>
      </c>
      <c r="J31" s="146">
        <v>146</v>
      </c>
      <c r="K31" s="146">
        <v>183</v>
      </c>
      <c r="L31" s="146">
        <v>265</v>
      </c>
      <c r="M31" s="146">
        <v>247</v>
      </c>
      <c r="N31" s="146">
        <v>264</v>
      </c>
      <c r="O31" s="146">
        <v>350</v>
      </c>
      <c r="P31" s="146">
        <v>452</v>
      </c>
      <c r="Q31" s="118">
        <f>((P31/G31)^(1/($H$2-$H$1) ))-1</f>
        <v>0.22270860418593252</v>
      </c>
      <c r="R31" s="31">
        <v>0.1</v>
      </c>
      <c r="S31" s="154">
        <f t="shared" si="61"/>
        <v>497.20000000000005</v>
      </c>
      <c r="T31" s="154">
        <f t="shared" si="62"/>
        <v>546.92000000000007</v>
      </c>
      <c r="U31" s="154">
        <f t="shared" si="63"/>
        <v>601.61200000000008</v>
      </c>
      <c r="V31" s="154">
        <f t="shared" si="64"/>
        <v>661.77320000000009</v>
      </c>
      <c r="W31" s="154">
        <f t="shared" si="65"/>
        <v>727.95052000000021</v>
      </c>
      <c r="X31" s="154">
        <f t="shared" si="66"/>
        <v>800.74557200000027</v>
      </c>
      <c r="Y31" s="154">
        <f t="shared" si="67"/>
        <v>880.82012920000034</v>
      </c>
      <c r="Z31" s="154">
        <f t="shared" si="68"/>
        <v>968.90214212000046</v>
      </c>
      <c r="AA31" s="154">
        <f t="shared" si="69"/>
        <v>1065.7923563320005</v>
      </c>
      <c r="AB31" s="154">
        <f t="shared" si="70"/>
        <v>1172.3715919652007</v>
      </c>
      <c r="AC31" s="138">
        <f t="shared" si="71"/>
        <v>0.15650931494950204</v>
      </c>
      <c r="AD31" s="31">
        <v>0.05</v>
      </c>
      <c r="AE31" s="145">
        <f>(AB31*(1+AC31))/($C$1-AD31)</f>
        <v>7975.6392158231265</v>
      </c>
    </row>
    <row r="32" spans="2:31">
      <c r="B32" s="20"/>
      <c r="C32" s="141"/>
      <c r="D32" s="141"/>
      <c r="E32" s="146"/>
      <c r="F32" s="146"/>
      <c r="G32" s="148">
        <f>(G31-F31)/G31</f>
        <v>-0.78378378378378377</v>
      </c>
      <c r="H32" s="148">
        <f>(H31-G31)/H31</f>
        <v>0.34513274336283184</v>
      </c>
      <c r="I32" s="148">
        <f t="shared" ref="I32" si="126">(I31-H31)/I31</f>
        <v>0.20979020979020979</v>
      </c>
      <c r="J32" s="148">
        <f t="shared" ref="J32" si="127">(J31-I31)/J31</f>
        <v>2.0547945205479451E-2</v>
      </c>
      <c r="K32" s="148">
        <f t="shared" ref="K32" si="128">(K31-J31)/K31</f>
        <v>0.20218579234972678</v>
      </c>
      <c r="L32" s="148">
        <f t="shared" ref="L32" si="129">(L31-K31)/L31</f>
        <v>0.30943396226415093</v>
      </c>
      <c r="M32" s="148">
        <f t="shared" ref="M32" si="130">(M31-L31)/M31</f>
        <v>-7.28744939271255E-2</v>
      </c>
      <c r="N32" s="148">
        <f t="shared" ref="N32" si="131">(N31-M31)/N31</f>
        <v>6.4393939393939392E-2</v>
      </c>
      <c r="O32" s="148">
        <f t="shared" ref="O32" si="132">(O31-N31)/O31</f>
        <v>0.24571428571428572</v>
      </c>
      <c r="P32" s="148">
        <f t="shared" ref="P32" si="133">(P31-O31)/P31</f>
        <v>0.22566371681415928</v>
      </c>
      <c r="Q32" s="3"/>
      <c r="R32" s="3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38"/>
      <c r="AD32" s="31"/>
      <c r="AE32" s="145"/>
    </row>
    <row r="33" spans="2:31">
      <c r="B33" s="20" t="s">
        <v>89</v>
      </c>
      <c r="C33" s="141"/>
      <c r="D33" s="141"/>
      <c r="E33" s="146"/>
      <c r="F33" s="146">
        <v>648</v>
      </c>
      <c r="G33" s="146">
        <v>722</v>
      </c>
      <c r="H33" s="146">
        <v>704</v>
      </c>
      <c r="I33" s="146">
        <v>794</v>
      </c>
      <c r="J33" s="146">
        <v>1013</v>
      </c>
      <c r="K33" s="146">
        <v>1317</v>
      </c>
      <c r="L33" s="146">
        <v>1711</v>
      </c>
      <c r="M33" s="146">
        <v>2000</v>
      </c>
      <c r="N33" s="146">
        <v>2482</v>
      </c>
      <c r="O33" s="146">
        <v>3620</v>
      </c>
      <c r="P33" s="146">
        <v>4695</v>
      </c>
      <c r="Q33" s="118">
        <f>((P33/G33)^(1/($H$2-$H$1) ))-1</f>
        <v>0.23124439525496521</v>
      </c>
      <c r="R33" s="31">
        <v>0.1</v>
      </c>
      <c r="S33" s="154">
        <f t="shared" si="29"/>
        <v>5164.5</v>
      </c>
      <c r="T33" s="154">
        <f t="shared" si="30"/>
        <v>5680.9500000000007</v>
      </c>
      <c r="U33" s="154">
        <f t="shared" si="31"/>
        <v>6249.045000000001</v>
      </c>
      <c r="V33" s="154">
        <f t="shared" si="32"/>
        <v>6873.9495000000015</v>
      </c>
      <c r="W33" s="154">
        <f t="shared" si="33"/>
        <v>7561.3444500000023</v>
      </c>
      <c r="X33" s="154">
        <f t="shared" si="34"/>
        <v>8317.4788950000038</v>
      </c>
      <c r="Y33" s="154">
        <f t="shared" si="35"/>
        <v>9149.2267845000042</v>
      </c>
      <c r="Z33" s="154">
        <f t="shared" si="36"/>
        <v>10064.149462950005</v>
      </c>
      <c r="AA33" s="154">
        <f t="shared" si="37"/>
        <v>11070.564409245006</v>
      </c>
      <c r="AB33" s="154">
        <f t="shared" si="38"/>
        <v>12177.620850169507</v>
      </c>
      <c r="AC33" s="138">
        <f t="shared" si="17"/>
        <v>0.16032667473258955</v>
      </c>
      <c r="AD33" s="31">
        <v>0.08</v>
      </c>
      <c r="AE33" s="145">
        <f>(AB33*(1+AC33))/($C$1-AD33)</f>
        <v>100928.70219451023</v>
      </c>
    </row>
    <row r="34" spans="2:31" s="123" customFormat="1">
      <c r="B34" s="23"/>
      <c r="C34" s="149"/>
      <c r="D34" s="149"/>
      <c r="E34" s="150"/>
      <c r="F34" s="150"/>
      <c r="G34" s="148">
        <f>(G33-F33)/G33</f>
        <v>0.10249307479224377</v>
      </c>
      <c r="H34" s="148">
        <f>(H33-G33)/H33</f>
        <v>-2.556818181818182E-2</v>
      </c>
      <c r="I34" s="148">
        <f t="shared" ref="I34" si="134">(I33-H33)/I33</f>
        <v>0.11335012594458438</v>
      </c>
      <c r="J34" s="148">
        <f t="shared" ref="J34" si="135">(J33-I33)/J33</f>
        <v>0.21618953603158933</v>
      </c>
      <c r="K34" s="148">
        <f t="shared" ref="K34" si="136">(K33-J33)/K33</f>
        <v>0.23082763857251329</v>
      </c>
      <c r="L34" s="148">
        <f t="shared" ref="L34" si="137">(L33-K33)/L33</f>
        <v>0.23027469316189364</v>
      </c>
      <c r="M34" s="148">
        <f t="shared" ref="M34" si="138">(M33-L33)/M33</f>
        <v>0.14449999999999999</v>
      </c>
      <c r="N34" s="148">
        <f t="shared" ref="N34" si="139">(N33-M33)/N33</f>
        <v>0.19419822723609992</v>
      </c>
      <c r="O34" s="148">
        <f t="shared" ref="O34" si="140">(O33-N33)/O33</f>
        <v>0.31436464088397792</v>
      </c>
      <c r="P34" s="148">
        <f t="shared" ref="P34" si="141">(P33-O33)/P33</f>
        <v>0.22896698615548455</v>
      </c>
      <c r="Q34" s="3"/>
      <c r="R34" s="3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19"/>
      <c r="AD34" s="119"/>
      <c r="AE34" s="154"/>
    </row>
    <row r="35" spans="2:31">
      <c r="B35" s="20" t="s">
        <v>254</v>
      </c>
      <c r="C35" s="141"/>
      <c r="D35" s="141"/>
      <c r="E35" s="146"/>
      <c r="F35" s="146">
        <v>523</v>
      </c>
      <c r="G35" s="146">
        <v>560</v>
      </c>
      <c r="H35" s="146">
        <v>599</v>
      </c>
      <c r="I35" s="146">
        <v>658</v>
      </c>
      <c r="J35" s="146">
        <v>854</v>
      </c>
      <c r="K35" s="146">
        <v>1109</v>
      </c>
      <c r="L35" s="146">
        <v>1475</v>
      </c>
      <c r="M35" s="146">
        <v>1669</v>
      </c>
      <c r="N35" s="146">
        <v>2066</v>
      </c>
      <c r="O35" s="146">
        <v>3119</v>
      </c>
      <c r="P35" s="146">
        <v>3500</v>
      </c>
      <c r="Q35" s="118">
        <f>((P35/G35)^(1/($H$2-$H$1) ))-1</f>
        <v>0.22583244805319103</v>
      </c>
      <c r="R35" s="31">
        <v>0.1</v>
      </c>
      <c r="S35" s="154">
        <f t="shared" si="29"/>
        <v>3850.0000000000005</v>
      </c>
      <c r="T35" s="154">
        <f t="shared" si="30"/>
        <v>4235.0000000000009</v>
      </c>
      <c r="U35" s="154">
        <f t="shared" si="31"/>
        <v>4658.5000000000018</v>
      </c>
      <c r="V35" s="154">
        <f t="shared" si="32"/>
        <v>5124.3500000000022</v>
      </c>
      <c r="W35" s="154">
        <f t="shared" si="33"/>
        <v>5636.7850000000026</v>
      </c>
      <c r="X35" s="154">
        <f t="shared" si="34"/>
        <v>6200.4635000000035</v>
      </c>
      <c r="Y35" s="154">
        <f t="shared" si="35"/>
        <v>6820.509850000004</v>
      </c>
      <c r="Z35" s="154">
        <f t="shared" si="36"/>
        <v>7502.5608350000048</v>
      </c>
      <c r="AA35" s="154">
        <f t="shared" si="37"/>
        <v>8252.8169185000061</v>
      </c>
      <c r="AB35" s="154">
        <f t="shared" si="38"/>
        <v>9078.0986103500072</v>
      </c>
      <c r="AC35" s="138">
        <f t="shared" si="17"/>
        <v>0.15790797666076428</v>
      </c>
      <c r="AD35" s="31">
        <v>0.08</v>
      </c>
      <c r="AE35" s="145">
        <f>(AB35*(1+AC35))/($C$1-AD35)</f>
        <v>75082.877098837664</v>
      </c>
    </row>
    <row r="36" spans="2:31" s="123" customFormat="1">
      <c r="B36" s="23"/>
      <c r="C36" s="149"/>
      <c r="D36" s="149"/>
      <c r="E36" s="150"/>
      <c r="F36" s="150"/>
      <c r="G36" s="148">
        <f>(G35-F35)/G35</f>
        <v>6.6071428571428573E-2</v>
      </c>
      <c r="H36" s="148">
        <f>(H35-G35)/H35</f>
        <v>6.5108514190317199E-2</v>
      </c>
      <c r="I36" s="148">
        <f t="shared" ref="I36" si="142">(I35-H35)/I35</f>
        <v>8.9665653495440728E-2</v>
      </c>
      <c r="J36" s="148">
        <f t="shared" ref="J36" si="143">(J35-I35)/J35</f>
        <v>0.22950819672131148</v>
      </c>
      <c r="K36" s="148">
        <f t="shared" ref="K36" si="144">(K35-J35)/K35</f>
        <v>0.22993688007213706</v>
      </c>
      <c r="L36" s="148">
        <f t="shared" ref="L36" si="145">(L35-K35)/L35</f>
        <v>0.24813559322033898</v>
      </c>
      <c r="M36" s="148">
        <f t="shared" ref="M36" si="146">(M35-L35)/M35</f>
        <v>0.11623726782504494</v>
      </c>
      <c r="N36" s="148">
        <f t="shared" ref="N36" si="147">(N35-M35)/N35</f>
        <v>0.19215876089060988</v>
      </c>
      <c r="O36" s="148">
        <f t="shared" ref="O36" si="148">(O35-N35)/O35</f>
        <v>0.33760820775889711</v>
      </c>
      <c r="P36" s="148">
        <f t="shared" ref="P36" si="149">(P35-O35)/P35</f>
        <v>0.10885714285714286</v>
      </c>
      <c r="Q36" s="3"/>
      <c r="R36" s="3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19"/>
      <c r="AD36" s="119"/>
      <c r="AE36" s="154"/>
    </row>
    <row r="37" spans="2:31" s="123" customFormat="1">
      <c r="B37" s="20" t="s">
        <v>320</v>
      </c>
      <c r="C37" s="149"/>
      <c r="D37" s="149"/>
      <c r="E37" s="150"/>
      <c r="F37" s="146"/>
      <c r="G37" s="147"/>
      <c r="H37" s="147"/>
      <c r="I37" s="147"/>
      <c r="J37" s="147"/>
      <c r="K37" s="147"/>
      <c r="L37" s="147"/>
      <c r="M37" s="147"/>
      <c r="N37" s="147"/>
      <c r="O37" s="147">
        <v>0.80840000000000001</v>
      </c>
      <c r="P37" s="147">
        <v>0.8075</v>
      </c>
      <c r="Q37" s="118" t="e">
        <f>((P37/G37)^(1/($H$2-$H$1) ))-1</f>
        <v>#DIV/0!</v>
      </c>
      <c r="R37" s="31">
        <v>0.1</v>
      </c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61"/>
      <c r="AD37" s="119"/>
      <c r="AE37" s="154"/>
    </row>
    <row r="38" spans="2:31" s="123" customFormat="1">
      <c r="B38" s="20" t="s">
        <v>321</v>
      </c>
      <c r="C38" s="149"/>
      <c r="D38" s="149"/>
      <c r="E38" s="150"/>
      <c r="F38" s="146"/>
      <c r="G38" s="147"/>
      <c r="H38" s="147"/>
      <c r="I38" s="147"/>
      <c r="J38" s="147"/>
      <c r="K38" s="147"/>
      <c r="L38" s="147"/>
      <c r="M38" s="147"/>
      <c r="N38" s="147"/>
      <c r="O38" s="147">
        <v>7.7200000000000005E-2</v>
      </c>
      <c r="P38" s="147">
        <v>7.9000000000000001E-2</v>
      </c>
      <c r="Q38" s="118" t="e">
        <f>((P38/G38)^(1/($H$2-$H$1) ))-1</f>
        <v>#DIV/0!</v>
      </c>
      <c r="R38" s="31">
        <v>0.1</v>
      </c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61"/>
      <c r="AD38" s="119"/>
      <c r="AE38" s="154"/>
    </row>
    <row r="39" spans="2:31" s="123" customFormat="1">
      <c r="B39" s="20" t="s">
        <v>322</v>
      </c>
      <c r="C39" s="149"/>
      <c r="D39" s="149"/>
      <c r="E39" s="150"/>
      <c r="F39" s="146"/>
      <c r="G39" s="147"/>
      <c r="H39" s="147"/>
      <c r="I39" s="147"/>
      <c r="J39" s="147"/>
      <c r="K39" s="147"/>
      <c r="L39" s="147"/>
      <c r="M39" s="147"/>
      <c r="N39" s="147"/>
      <c r="O39" s="147">
        <v>0.1144</v>
      </c>
      <c r="P39" s="147">
        <v>0.1135</v>
      </c>
      <c r="Q39" s="118" t="e">
        <f>((P39/G39)^(1/($H$2-$H$1) ))-1</f>
        <v>#DIV/0!</v>
      </c>
      <c r="R39" s="31">
        <v>0.1</v>
      </c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61"/>
      <c r="AD39" s="119"/>
      <c r="AE39" s="154"/>
    </row>
    <row r="40" spans="2:31">
      <c r="B40" s="20" t="s">
        <v>298</v>
      </c>
      <c r="C40" s="141"/>
      <c r="D40" s="141"/>
      <c r="E40" s="146"/>
      <c r="F40" s="146"/>
      <c r="G40" s="147"/>
      <c r="H40" s="147"/>
      <c r="I40" s="147"/>
      <c r="J40" s="147"/>
      <c r="K40" s="147"/>
      <c r="L40" s="147"/>
      <c r="M40" s="147"/>
      <c r="N40" s="147"/>
      <c r="O40" s="147">
        <f>O38+O39</f>
        <v>0.19159999999999999</v>
      </c>
      <c r="P40" s="147">
        <f>P38+P39</f>
        <v>0.1925</v>
      </c>
      <c r="Q40" s="118" t="e">
        <f>((P40/G40)^(1/($H$2-$H$1) ))-1</f>
        <v>#DIV/0!</v>
      </c>
      <c r="R40" s="31">
        <v>0.1</v>
      </c>
      <c r="S40" s="154">
        <f t="shared" si="29"/>
        <v>0.21175000000000002</v>
      </c>
      <c r="T40" s="154" t="e">
        <f t="shared" ref="T40" si="150">Q40*(1+$R40)</f>
        <v>#DIV/0!</v>
      </c>
      <c r="U40" s="154">
        <f t="shared" ref="U40" si="151">R40*(1+$R40)</f>
        <v>0.11000000000000001</v>
      </c>
      <c r="V40" s="154">
        <f t="shared" ref="V40" si="152">S40*(1+$R40)</f>
        <v>0.23292500000000005</v>
      </c>
      <c r="W40" s="154" t="e">
        <f t="shared" ref="W40" si="153">T40*(1+$R40)</f>
        <v>#DIV/0!</v>
      </c>
      <c r="X40" s="154">
        <f t="shared" ref="X40" si="154">U40*(1+$R40)</f>
        <v>0.12100000000000002</v>
      </c>
      <c r="Y40" s="154">
        <f t="shared" ref="Y40" si="155">V40*(1+$R40)</f>
        <v>0.2562175000000001</v>
      </c>
      <c r="Z40" s="154" t="e">
        <f t="shared" ref="Z40" si="156">W40*(1+$R40)</f>
        <v>#DIV/0!</v>
      </c>
      <c r="AA40" s="154">
        <f t="shared" ref="AA40" si="157">X40*(1+$R40)</f>
        <v>0.13310000000000002</v>
      </c>
      <c r="AB40" s="154">
        <f t="shared" ref="AB40" si="158">Y40*(1+$R40)</f>
        <v>0.28183925000000015</v>
      </c>
      <c r="AC40" s="138" t="e">
        <f t="shared" ref="AC40" si="159">((AB40/G40)^(1/($AB$3-$H$1) ))-1</f>
        <v>#DIV/0!</v>
      </c>
      <c r="AD40" s="31">
        <v>0.08</v>
      </c>
      <c r="AE40" s="145" t="e">
        <f>(AB40*(1+AC40))/($C$1-AD40)</f>
        <v>#DIV/0!</v>
      </c>
    </row>
    <row r="41" spans="2:31">
      <c r="B41" s="20"/>
      <c r="C41" s="141"/>
      <c r="D41" s="141"/>
      <c r="E41" s="146"/>
      <c r="F41" s="146"/>
      <c r="G41" s="148" t="e">
        <f>(G40-F40)/G40</f>
        <v>#DIV/0!</v>
      </c>
      <c r="H41" s="148" t="e">
        <f>(H40-G40)/H40</f>
        <v>#DIV/0!</v>
      </c>
      <c r="I41" s="148" t="e">
        <f t="shared" ref="I41" si="160">(I40-H40)/I40</f>
        <v>#DIV/0!</v>
      </c>
      <c r="J41" s="148" t="e">
        <f t="shared" ref="J41" si="161">(J40-I40)/J40</f>
        <v>#DIV/0!</v>
      </c>
      <c r="K41" s="148" t="e">
        <f t="shared" ref="K41" si="162">(K40-J40)/K40</f>
        <v>#DIV/0!</v>
      </c>
      <c r="L41" s="148" t="e">
        <f t="shared" ref="L41" si="163">(L40-K40)/L40</f>
        <v>#DIV/0!</v>
      </c>
      <c r="M41" s="148" t="e">
        <f t="shared" ref="M41" si="164">(M40-L40)/M40</f>
        <v>#DIV/0!</v>
      </c>
      <c r="N41" s="148" t="e">
        <f t="shared" ref="N41" si="165">(N40-M40)/N40</f>
        <v>#DIV/0!</v>
      </c>
      <c r="O41" s="148">
        <f t="shared" ref="O41" si="166">(O40-N40)/O40</f>
        <v>1</v>
      </c>
      <c r="P41" s="148">
        <f t="shared" ref="P41" si="167">(P40-O40)/P40</f>
        <v>4.6753246753247369E-3</v>
      </c>
      <c r="Q41" s="3"/>
      <c r="R41" s="3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38"/>
      <c r="AD41" s="31"/>
      <c r="AE41" s="145"/>
    </row>
    <row r="42" spans="2:31">
      <c r="B42" s="20" t="s">
        <v>323</v>
      </c>
      <c r="C42" s="141"/>
      <c r="D42" s="141"/>
      <c r="E42" s="146"/>
      <c r="F42" s="146"/>
      <c r="G42" s="147"/>
      <c r="H42" s="147"/>
      <c r="I42" s="147"/>
      <c r="J42" s="147"/>
      <c r="K42" s="147"/>
      <c r="L42" s="147"/>
      <c r="M42" s="147"/>
      <c r="N42" s="147"/>
      <c r="O42" s="147">
        <v>8.1600000000000006E-2</v>
      </c>
      <c r="P42" s="147">
        <v>0.1188</v>
      </c>
      <c r="Q42" s="118" t="e">
        <f>((P42/G42)^(1/($H$2-$H$1) ))-1</f>
        <v>#DIV/0!</v>
      </c>
      <c r="R42" s="31">
        <v>0.1</v>
      </c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38"/>
      <c r="AD42" s="31"/>
      <c r="AE42" s="145"/>
    </row>
    <row r="43" spans="2:31">
      <c r="B43" s="20" t="s">
        <v>324</v>
      </c>
      <c r="C43" s="141"/>
      <c r="D43" s="141"/>
      <c r="E43" s="146"/>
      <c r="F43" s="146"/>
      <c r="G43" s="147"/>
      <c r="H43" s="147"/>
      <c r="I43" s="147"/>
      <c r="J43" s="147"/>
      <c r="K43" s="147"/>
      <c r="L43" s="147"/>
      <c r="M43" s="147"/>
      <c r="N43" s="147"/>
      <c r="O43" s="147">
        <v>0.34</v>
      </c>
      <c r="P43" s="147">
        <v>0.32269999999999999</v>
      </c>
      <c r="Q43" s="118" t="e">
        <f>((P43/G43)^(1/($H$2-$H$1) ))-1</f>
        <v>#DIV/0!</v>
      </c>
      <c r="R43" s="31">
        <v>0.1</v>
      </c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8"/>
      <c r="AD43" s="31"/>
      <c r="AE43" s="145"/>
    </row>
    <row r="44" spans="2:31">
      <c r="B44" s="20" t="s">
        <v>325</v>
      </c>
      <c r="C44" s="141"/>
      <c r="D44" s="141"/>
      <c r="E44" s="146"/>
      <c r="F44" s="146"/>
      <c r="G44" s="147"/>
      <c r="H44" s="147"/>
      <c r="I44" s="147"/>
      <c r="J44" s="147"/>
      <c r="K44" s="147"/>
      <c r="L44" s="147"/>
      <c r="M44" s="147"/>
      <c r="N44" s="147"/>
      <c r="O44" s="147">
        <v>0.42099999999999999</v>
      </c>
      <c r="P44" s="147">
        <v>0.37580000000000002</v>
      </c>
      <c r="Q44" s="118" t="e">
        <f>((P44/G44)^(1/($H$2-$H$1) ))-1</f>
        <v>#DIV/0!</v>
      </c>
      <c r="R44" s="31">
        <v>0.1</v>
      </c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8"/>
      <c r="AD44" s="31"/>
      <c r="AE44" s="145"/>
    </row>
    <row r="45" spans="2:31">
      <c r="B45" s="20" t="s">
        <v>326</v>
      </c>
      <c r="C45" s="141"/>
      <c r="D45" s="141"/>
      <c r="E45" s="146"/>
      <c r="F45" s="146"/>
      <c r="G45" s="147"/>
      <c r="H45" s="147"/>
      <c r="I45" s="147"/>
      <c r="J45" s="147"/>
      <c r="K45" s="147"/>
      <c r="L45" s="147"/>
      <c r="M45" s="147"/>
      <c r="N45" s="147"/>
      <c r="O45" s="147">
        <v>0.1573</v>
      </c>
      <c r="P45" s="147">
        <v>0.1827</v>
      </c>
      <c r="Q45" s="118" t="e">
        <f>((P45/G45)^(1/($H$2-$H$1) ))-1</f>
        <v>#DIV/0!</v>
      </c>
      <c r="R45" s="31">
        <v>0.1</v>
      </c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8"/>
      <c r="AD45" s="31"/>
      <c r="AE45" s="145"/>
    </row>
    <row r="46" spans="2:31">
      <c r="B46" s="20"/>
      <c r="C46" s="141"/>
      <c r="D46" s="141"/>
      <c r="E46" s="146"/>
      <c r="F46" s="146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3"/>
      <c r="R46" s="3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8"/>
      <c r="AD46" s="31"/>
      <c r="AE46" s="145"/>
    </row>
    <row r="47" spans="2:31">
      <c r="B47" s="20" t="s">
        <v>327</v>
      </c>
      <c r="C47" s="141"/>
      <c r="D47" s="141"/>
      <c r="E47" s="146"/>
      <c r="F47" s="146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3"/>
      <c r="R47" s="3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8"/>
      <c r="AD47" s="31"/>
      <c r="AE47" s="145"/>
    </row>
    <row r="48" spans="2:31">
      <c r="B48" s="20"/>
      <c r="C48" s="141"/>
      <c r="D48" s="141"/>
      <c r="E48" s="146"/>
      <c r="F48" s="146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3"/>
      <c r="R48" s="3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8"/>
      <c r="AD48" s="31"/>
      <c r="AE48" s="145"/>
    </row>
    <row r="49" spans="2:31">
      <c r="B49" s="20" t="s">
        <v>264</v>
      </c>
      <c r="C49" s="141"/>
      <c r="D49" s="141"/>
      <c r="E49" s="146"/>
      <c r="F49" s="146">
        <v>1</v>
      </c>
      <c r="G49" s="146">
        <v>1</v>
      </c>
      <c r="H49" s="146">
        <v>1</v>
      </c>
      <c r="I49" s="146">
        <v>1</v>
      </c>
      <c r="J49" s="146">
        <v>1</v>
      </c>
      <c r="K49" s="146">
        <v>11</v>
      </c>
      <c r="L49" s="146">
        <v>1</v>
      </c>
      <c r="M49" s="146">
        <v>1</v>
      </c>
      <c r="N49" s="146">
        <v>1</v>
      </c>
      <c r="O49" s="146">
        <v>725.71</v>
      </c>
      <c r="P49" s="146">
        <v>848</v>
      </c>
      <c r="Q49" s="118">
        <f>((P49/G49)^(1/($H$2-$H$1) ))-1</f>
        <v>1.1153260461061913</v>
      </c>
      <c r="R49" s="31">
        <v>0.1</v>
      </c>
      <c r="S49" s="154">
        <f t="shared" ref="S49" si="168">P49*(1+$R49)</f>
        <v>932.80000000000007</v>
      </c>
      <c r="T49" s="154">
        <f t="shared" ref="T49" si="169">S49*(1+$R49)</f>
        <v>1026.0800000000002</v>
      </c>
      <c r="U49" s="154">
        <f t="shared" ref="U49" si="170">T49*(1+$R49)</f>
        <v>1128.6880000000003</v>
      </c>
      <c r="V49" s="154">
        <f t="shared" ref="V49" si="171">U49*(1+$R49)</f>
        <v>1241.5568000000005</v>
      </c>
      <c r="W49" s="154">
        <f t="shared" si="33"/>
        <v>1365.7124800000006</v>
      </c>
      <c r="X49" s="154">
        <f t="shared" si="34"/>
        <v>1502.2837280000008</v>
      </c>
      <c r="Y49" s="154">
        <f t="shared" si="35"/>
        <v>1652.512100800001</v>
      </c>
      <c r="Z49" s="154">
        <f t="shared" si="36"/>
        <v>1817.7633108800012</v>
      </c>
      <c r="AA49" s="154">
        <f t="shared" si="37"/>
        <v>1999.5396419680014</v>
      </c>
      <c r="AB49" s="154">
        <f t="shared" si="38"/>
        <v>2199.4936061648018</v>
      </c>
      <c r="AC49" s="138">
        <f t="shared" si="17"/>
        <v>0.49938002656135572</v>
      </c>
      <c r="AD49" s="31">
        <v>0.08</v>
      </c>
      <c r="AE49" s="145">
        <f>(AB49*(1+AC49))/($C$1-AD49)</f>
        <v>23556.262725949375</v>
      </c>
    </row>
    <row r="50" spans="2:31" s="123" customFormat="1">
      <c r="B50" s="23"/>
      <c r="C50" s="149"/>
      <c r="D50" s="149"/>
      <c r="E50" s="150"/>
      <c r="F50" s="150"/>
      <c r="G50" s="148">
        <f>(G49-F49)/G49</f>
        <v>0</v>
      </c>
      <c r="H50" s="148">
        <f>(H49-G49)/H49</f>
        <v>0</v>
      </c>
      <c r="I50" s="148">
        <f t="shared" ref="I50" si="172">(I49-H49)/I49</f>
        <v>0</v>
      </c>
      <c r="J50" s="148">
        <f t="shared" ref="J50" si="173">(J49-I49)/J49</f>
        <v>0</v>
      </c>
      <c r="K50" s="148">
        <f t="shared" ref="K50" si="174">(K49-J49)/K49</f>
        <v>0.90909090909090906</v>
      </c>
      <c r="L50" s="148">
        <f t="shared" ref="L50" si="175">(L49-K49)/L49</f>
        <v>-10</v>
      </c>
      <c r="M50" s="148">
        <f t="shared" ref="M50" si="176">(M49-L49)/M49</f>
        <v>0</v>
      </c>
      <c r="N50" s="148">
        <f t="shared" ref="N50" si="177">(N49-M49)/N49</f>
        <v>0</v>
      </c>
      <c r="O50" s="148">
        <f t="shared" ref="O50" si="178">(O49-N49)/O49</f>
        <v>0.99862203910653013</v>
      </c>
      <c r="P50" s="148">
        <f t="shared" ref="P50" si="179">(P49-O49)/P49</f>
        <v>0.14420990566037731</v>
      </c>
      <c r="Q50" s="3"/>
      <c r="R50" s="3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39"/>
      <c r="AD50" s="20"/>
      <c r="AE50" s="156"/>
    </row>
    <row r="51" spans="2:31">
      <c r="B51" s="20" t="s">
        <v>251</v>
      </c>
      <c r="C51" s="141"/>
      <c r="D51" s="141"/>
      <c r="E51" s="146"/>
      <c r="F51" s="146">
        <v>125</v>
      </c>
      <c r="G51" s="146">
        <v>161</v>
      </c>
      <c r="H51" s="146">
        <v>105</v>
      </c>
      <c r="I51" s="146">
        <v>135</v>
      </c>
      <c r="J51" s="146">
        <v>160</v>
      </c>
      <c r="K51" s="146">
        <v>208</v>
      </c>
      <c r="L51" s="146">
        <v>235</v>
      </c>
      <c r="M51" s="146">
        <v>336</v>
      </c>
      <c r="N51" s="146">
        <v>415</v>
      </c>
      <c r="O51" s="146">
        <v>501</v>
      </c>
      <c r="P51" s="146">
        <v>550</v>
      </c>
      <c r="Q51" s="118">
        <f>((P51/G51)^(1/($H$2-$H$1) ))-1</f>
        <v>0.14625664979064479</v>
      </c>
      <c r="R51" s="31">
        <v>0.1</v>
      </c>
      <c r="S51" s="154">
        <f>P51*(1+$R51)</f>
        <v>605</v>
      </c>
      <c r="T51" s="154">
        <f t="shared" ref="T51:AB51" si="180">S51*(1+$R51)</f>
        <v>665.5</v>
      </c>
      <c r="U51" s="154">
        <f t="shared" si="180"/>
        <v>732.05000000000007</v>
      </c>
      <c r="V51" s="154">
        <f t="shared" si="180"/>
        <v>805.25500000000011</v>
      </c>
      <c r="W51" s="154">
        <f t="shared" si="180"/>
        <v>885.78050000000019</v>
      </c>
      <c r="X51" s="154">
        <f t="shared" si="180"/>
        <v>974.35855000000026</v>
      </c>
      <c r="Y51" s="154">
        <f t="shared" si="180"/>
        <v>1071.7944050000003</v>
      </c>
      <c r="Z51" s="154">
        <f t="shared" si="180"/>
        <v>1178.9738455000004</v>
      </c>
      <c r="AA51" s="154">
        <f t="shared" si="180"/>
        <v>1296.8712300500006</v>
      </c>
      <c r="AB51" s="154">
        <f t="shared" si="180"/>
        <v>1426.5583530550007</v>
      </c>
      <c r="AC51" s="138">
        <f t="shared" si="17"/>
        <v>0.12167362675639559</v>
      </c>
      <c r="AD51" s="31">
        <v>0.08</v>
      </c>
      <c r="AE51" s="145">
        <f>(AB51*(1+AC51))/($C$1-AD51)</f>
        <v>11429.520583220237</v>
      </c>
    </row>
    <row r="52" spans="2:31" s="123" customFormat="1">
      <c r="B52" s="23"/>
      <c r="C52" s="149"/>
      <c r="D52" s="149"/>
      <c r="E52" s="150"/>
      <c r="F52" s="150"/>
      <c r="G52" s="148">
        <f>(G51-F51)/G51</f>
        <v>0.2236024844720497</v>
      </c>
      <c r="H52" s="148">
        <f>(H51-G51)/H51</f>
        <v>-0.53333333333333333</v>
      </c>
      <c r="I52" s="148">
        <f t="shared" ref="I52" si="181">(I51-H51)/I51</f>
        <v>0.22222222222222221</v>
      </c>
      <c r="J52" s="148">
        <f t="shared" ref="J52" si="182">(J51-I51)/J51</f>
        <v>0.15625</v>
      </c>
      <c r="K52" s="148">
        <f t="shared" ref="K52" si="183">(K51-J51)/K51</f>
        <v>0.23076923076923078</v>
      </c>
      <c r="L52" s="148">
        <f t="shared" ref="L52" si="184">(L51-K51)/L51</f>
        <v>0.1148936170212766</v>
      </c>
      <c r="M52" s="148">
        <f t="shared" ref="M52" si="185">(M51-L51)/M51</f>
        <v>0.30059523809523808</v>
      </c>
      <c r="N52" s="148">
        <f t="shared" ref="N52" si="186">(N51-M51)/N51</f>
        <v>0.19036144578313252</v>
      </c>
      <c r="O52" s="148">
        <f t="shared" ref="O52" si="187">(O51-N51)/O51</f>
        <v>0.17165668662674652</v>
      </c>
      <c r="P52" s="148">
        <f t="shared" ref="P52" si="188">(P51-O51)/P51</f>
        <v>8.9090909090909096E-2</v>
      </c>
      <c r="Q52" s="3"/>
      <c r="R52" s="3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  <c r="AC52" s="139"/>
      <c r="AD52" s="20"/>
      <c r="AE52" s="156"/>
    </row>
    <row r="53" spans="2:31" s="123" customFormat="1">
      <c r="B53" s="20" t="s">
        <v>308</v>
      </c>
      <c r="C53" s="149"/>
      <c r="D53" s="149"/>
      <c r="E53" s="150"/>
      <c r="F53" s="164">
        <v>4.88</v>
      </c>
      <c r="G53" s="164">
        <v>4.16</v>
      </c>
      <c r="H53" s="164">
        <v>4.28</v>
      </c>
      <c r="I53" s="164">
        <v>4.13</v>
      </c>
      <c r="J53" s="164">
        <v>4.24</v>
      </c>
      <c r="K53" s="164">
        <v>4.05</v>
      </c>
      <c r="L53" s="164">
        <v>5.34</v>
      </c>
      <c r="M53" s="164">
        <v>4.8</v>
      </c>
      <c r="N53" s="164">
        <v>4.3</v>
      </c>
      <c r="O53" s="164">
        <v>4.37</v>
      </c>
      <c r="P53" s="164">
        <v>4.5</v>
      </c>
      <c r="Q53" s="118">
        <f>((P53/G53)^(1/($H$2-$H$1) ))-1</f>
        <v>8.7673570475921281E-3</v>
      </c>
      <c r="R53" s="31">
        <v>0.01</v>
      </c>
      <c r="S53" s="154">
        <f t="shared" ref="S53" si="189">P53*(1+$R53)</f>
        <v>4.5449999999999999</v>
      </c>
      <c r="T53" s="154">
        <f t="shared" ref="T53" si="190">S53*(1+$R53)</f>
        <v>4.5904499999999997</v>
      </c>
      <c r="U53" s="154">
        <f t="shared" ref="U53" si="191">T53*(1+$R53)</f>
        <v>4.6363544999999995</v>
      </c>
      <c r="V53" s="154">
        <f t="shared" ref="V53" si="192">U53*(1+$R53)</f>
        <v>4.6827180449999997</v>
      </c>
      <c r="W53" s="154">
        <f t="shared" ref="W53" si="193">V53*(1+$R53)</f>
        <v>4.7295452254499999</v>
      </c>
      <c r="X53" s="154">
        <f t="shared" ref="X53" si="194">W53*(1+$R53)</f>
        <v>4.7768406777044996</v>
      </c>
      <c r="Y53" s="154">
        <f t="shared" ref="Y53" si="195">X53*(1+$R53)</f>
        <v>4.824609084481545</v>
      </c>
      <c r="Z53" s="154">
        <f t="shared" ref="Z53" si="196">Y53*(1+$R53)</f>
        <v>4.8728551753263609</v>
      </c>
      <c r="AA53" s="154">
        <f t="shared" ref="AA53" si="197">Z53*(1+$R53)</f>
        <v>4.921583727079625</v>
      </c>
      <c r="AB53" s="154">
        <f t="shared" ref="AB53" si="198">AA53*(1+$R53)</f>
        <v>4.970799564350421</v>
      </c>
      <c r="AC53" s="138">
        <f t="shared" ref="AC53" si="199">((AB53/G53)^(1/($AB$3-$H$1) ))-1</f>
        <v>9.4159288549764408E-3</v>
      </c>
      <c r="AD53" s="31">
        <v>0.08</v>
      </c>
      <c r="AE53" s="145">
        <f>(AB53*(1+AC53))/($C$1-AD53)</f>
        <v>35.84003042429066</v>
      </c>
    </row>
    <row r="54" spans="2:31">
      <c r="B54" s="20" t="s">
        <v>239</v>
      </c>
      <c r="C54" s="146">
        <v>0.6</v>
      </c>
      <c r="D54" s="146">
        <v>0.6</v>
      </c>
      <c r="E54" s="146">
        <v>0.6</v>
      </c>
      <c r="F54" s="164">
        <v>0.6</v>
      </c>
      <c r="G54" s="164">
        <v>1.7</v>
      </c>
      <c r="H54" s="164">
        <v>1.2</v>
      </c>
      <c r="I54" s="164">
        <v>1.7</v>
      </c>
      <c r="J54" s="164">
        <v>1.7</v>
      </c>
      <c r="K54" s="164">
        <v>5.4</v>
      </c>
      <c r="L54" s="164">
        <v>5.4</v>
      </c>
      <c r="M54" s="164">
        <v>5.4</v>
      </c>
      <c r="N54" s="164">
        <v>1.82</v>
      </c>
      <c r="O54" s="164">
        <v>10.718</v>
      </c>
      <c r="P54" s="164">
        <v>10.718</v>
      </c>
      <c r="Q54" s="118">
        <f>((P54/G54)^(1/($H$2-$H$1) ))-1</f>
        <v>0.22702001777551106</v>
      </c>
      <c r="R54" s="31">
        <v>0.1</v>
      </c>
      <c r="S54" s="154">
        <f t="shared" ref="S54" si="200">P54*(1+$R54)</f>
        <v>11.789800000000001</v>
      </c>
      <c r="T54" s="154">
        <f t="shared" ref="T54:AB54" si="201">S54*(1+$R54)</f>
        <v>12.968780000000002</v>
      </c>
      <c r="U54" s="154">
        <f t="shared" si="201"/>
        <v>14.265658000000004</v>
      </c>
      <c r="V54" s="154">
        <f t="shared" si="201"/>
        <v>15.692223800000006</v>
      </c>
      <c r="W54" s="154">
        <f t="shared" si="201"/>
        <v>17.261446180000007</v>
      </c>
      <c r="X54" s="154">
        <f t="shared" si="201"/>
        <v>18.98759079800001</v>
      </c>
      <c r="Y54" s="154">
        <f t="shared" si="201"/>
        <v>20.886349877800011</v>
      </c>
      <c r="Z54" s="154">
        <f t="shared" si="201"/>
        <v>22.974984865580016</v>
      </c>
      <c r="AA54" s="154">
        <f t="shared" si="201"/>
        <v>25.272483352138018</v>
      </c>
      <c r="AB54" s="154">
        <f t="shared" si="201"/>
        <v>27.799731687351823</v>
      </c>
      <c r="AC54" s="138">
        <f t="shared" si="17"/>
        <v>0.15843920382858956</v>
      </c>
      <c r="AD54" s="31">
        <v>0.08</v>
      </c>
      <c r="AE54" s="145">
        <f>(AB54*(1+AC54))/($C$1-AD54)</f>
        <v>230.03070744674466</v>
      </c>
    </row>
    <row r="55" spans="2:31">
      <c r="B55" s="20" t="s">
        <v>299</v>
      </c>
      <c r="C55" s="146">
        <v>2000</v>
      </c>
      <c r="D55" s="146">
        <v>2200</v>
      </c>
      <c r="E55" s="146">
        <v>2400</v>
      </c>
      <c r="F55" s="146">
        <v>2500</v>
      </c>
      <c r="G55" s="146">
        <v>2849</v>
      </c>
      <c r="H55" s="146">
        <v>2811</v>
      </c>
      <c r="I55" s="146">
        <v>2908</v>
      </c>
      <c r="J55" s="146">
        <v>3286</v>
      </c>
      <c r="K55" s="146">
        <v>3580</v>
      </c>
      <c r="L55" s="146">
        <v>3941</v>
      </c>
      <c r="M55" s="146">
        <v>4175</v>
      </c>
      <c r="N55" s="146">
        <v>4574</v>
      </c>
      <c r="O55" s="146">
        <v>5673</v>
      </c>
      <c r="P55" s="146">
        <v>6730</v>
      </c>
      <c r="Q55" s="118">
        <f>((P55/G55)^(1/($H$2-$H$1) ))-1</f>
        <v>0.10022191314707585</v>
      </c>
      <c r="R55" s="31">
        <v>0.1</v>
      </c>
      <c r="S55" s="154">
        <f t="shared" ref="S55" si="202">P55*(1+$R55)</f>
        <v>7403.0000000000009</v>
      </c>
      <c r="T55" s="154">
        <f t="shared" ref="T55" si="203">S55*(1+$R55)</f>
        <v>8143.300000000002</v>
      </c>
      <c r="U55" s="154">
        <f t="shared" ref="U55" si="204">T55*(1+$R55)</f>
        <v>8957.6300000000028</v>
      </c>
      <c r="V55" s="154">
        <f t="shared" ref="V55" si="205">U55*(1+$R55)</f>
        <v>9853.3930000000037</v>
      </c>
      <c r="W55" s="154">
        <f t="shared" ref="W55" si="206">V55*(1+$R55)</f>
        <v>10838.732300000005</v>
      </c>
      <c r="X55" s="154">
        <f t="shared" ref="X55" si="207">W55*(1+$R55)</f>
        <v>11922.605530000006</v>
      </c>
      <c r="Y55" s="154">
        <f t="shared" ref="Y55" si="208">X55*(1+$R55)</f>
        <v>13114.866083000008</v>
      </c>
      <c r="Z55" s="154">
        <f t="shared" ref="Z55" si="209">Y55*(1+$R55)</f>
        <v>14426.35269130001</v>
      </c>
      <c r="AA55" s="154">
        <f t="shared" ref="AA55" si="210">Z55*(1+$R55)</f>
        <v>15868.987960430011</v>
      </c>
      <c r="AB55" s="154">
        <f t="shared" ref="AB55" si="211">AA55*(1+$R55)</f>
        <v>17455.886756473014</v>
      </c>
      <c r="AC55" s="138">
        <f t="shared" ref="AC55" si="212">((AB55/G55)^(1/($AB$3-$H$1) ))-1</f>
        <v>0.1001051111738791</v>
      </c>
      <c r="AD55" s="31">
        <v>0.08</v>
      </c>
      <c r="AE55" s="145">
        <f>(AB55*(1+AC55))/($C$1-AD55)</f>
        <v>137166.50172048848</v>
      </c>
    </row>
    <row r="56" spans="2:31">
      <c r="B56" s="20" t="s">
        <v>329</v>
      </c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18"/>
      <c r="R56" s="31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38"/>
      <c r="AD56" s="31"/>
      <c r="AE56" s="145"/>
    </row>
    <row r="57" spans="2:31">
      <c r="B57" s="20" t="s">
        <v>267</v>
      </c>
      <c r="C57" s="143">
        <v>1</v>
      </c>
      <c r="D57" s="143">
        <v>1</v>
      </c>
      <c r="E57" s="143">
        <v>1</v>
      </c>
      <c r="F57" s="144">
        <v>7</v>
      </c>
      <c r="G57" s="144">
        <v>10</v>
      </c>
      <c r="H57" s="144">
        <v>10</v>
      </c>
      <c r="I57" s="144">
        <v>12</v>
      </c>
      <c r="J57" s="144">
        <v>10</v>
      </c>
      <c r="K57" s="144">
        <v>12</v>
      </c>
      <c r="L57" s="144">
        <v>12</v>
      </c>
      <c r="M57" s="144">
        <v>12</v>
      </c>
      <c r="N57" s="144">
        <v>12</v>
      </c>
      <c r="O57" s="144">
        <v>14</v>
      </c>
      <c r="P57" s="144">
        <v>14</v>
      </c>
      <c r="Q57" s="118">
        <f>((P57/G57)^(1/($H$2-$H$1) ))-1</f>
        <v>3.809344426552097E-2</v>
      </c>
      <c r="R57" s="31">
        <v>0.04</v>
      </c>
      <c r="S57" s="154">
        <f t="shared" ref="S57" si="213">P57*(1+$R57)</f>
        <v>14.56</v>
      </c>
      <c r="T57" s="154">
        <f t="shared" ref="T57" si="214">S57*(1+$R57)</f>
        <v>15.1424</v>
      </c>
      <c r="U57" s="154">
        <f t="shared" ref="U57" si="215">T57*(1+$R57)</f>
        <v>15.748096</v>
      </c>
      <c r="V57" s="154">
        <f t="shared" ref="V57" si="216">U57*(1+$R57)</f>
        <v>16.37801984</v>
      </c>
      <c r="W57" s="154">
        <f t="shared" ref="W57" si="217">V57*(1+$R57)</f>
        <v>17.033140633600002</v>
      </c>
      <c r="X57" s="154">
        <f t="shared" ref="X57" si="218">W57*(1+$R57)</f>
        <v>17.714466258944004</v>
      </c>
      <c r="Y57" s="154">
        <f t="shared" ref="Y57" si="219">X57*(1+$R57)</f>
        <v>18.423044909301765</v>
      </c>
      <c r="Z57" s="154">
        <f t="shared" ref="Z57" si="220">Y57*(1+$R57)</f>
        <v>19.159966705673838</v>
      </c>
      <c r="AA57" s="154">
        <f t="shared" ref="AA57" si="221">Z57*(1+$R57)</f>
        <v>19.926365373900794</v>
      </c>
      <c r="AB57" s="154">
        <f t="shared" ref="AB57" si="222">AA57*(1+$R57)</f>
        <v>20.723419988856826</v>
      </c>
      <c r="AC57" s="138">
        <f t="shared" ref="AC57" si="223">((AB57/G57)^(1/($AB$3-$H$1) ))-1</f>
        <v>3.9096458561888037E-2</v>
      </c>
      <c r="AD57" s="31">
        <v>0.04</v>
      </c>
      <c r="AE57" s="145">
        <f>(AB57*(1+AC57))/($C$1-AD57)</f>
        <v>119.63129066506538</v>
      </c>
    </row>
    <row r="58" spans="2:31">
      <c r="B58" s="20"/>
      <c r="C58" s="20"/>
      <c r="D58" s="20"/>
      <c r="E58" s="127"/>
      <c r="F58" s="127"/>
      <c r="G58" s="127"/>
      <c r="H58" s="20"/>
      <c r="I58" s="20"/>
      <c r="J58" s="20"/>
      <c r="K58" s="20"/>
      <c r="L58" s="20"/>
      <c r="M58" s="20"/>
      <c r="N58" s="20"/>
      <c r="O58" s="20"/>
      <c r="P58" s="20"/>
      <c r="Q58" s="128"/>
      <c r="R58" s="128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39"/>
      <c r="AD58" s="20"/>
      <c r="AE58" s="154"/>
    </row>
    <row r="59" spans="2:31">
      <c r="B59" s="108" t="s">
        <v>243</v>
      </c>
      <c r="C59" s="20"/>
      <c r="D59" s="20"/>
      <c r="E59" s="127"/>
      <c r="F59" s="127"/>
      <c r="G59" s="127"/>
      <c r="H59" s="20"/>
      <c r="I59" s="20"/>
      <c r="J59" s="20"/>
      <c r="K59" s="20"/>
      <c r="L59" s="20"/>
      <c r="M59" s="20"/>
      <c r="N59" s="20"/>
      <c r="O59" s="20"/>
      <c r="P59" s="20"/>
      <c r="Q59" s="128"/>
      <c r="R59" s="128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39"/>
      <c r="AD59" s="20"/>
      <c r="AE59" s="154"/>
    </row>
    <row r="60" spans="2:31">
      <c r="B60" s="20" t="s">
        <v>285</v>
      </c>
      <c r="C60" s="133">
        <f t="shared" ref="C60:P60" si="224">C33/C54</f>
        <v>0</v>
      </c>
      <c r="D60" s="133">
        <f t="shared" si="224"/>
        <v>0</v>
      </c>
      <c r="E60" s="133">
        <f t="shared" si="224"/>
        <v>0</v>
      </c>
      <c r="F60" s="133">
        <f t="shared" si="224"/>
        <v>1080</v>
      </c>
      <c r="G60" s="133">
        <f t="shared" si="224"/>
        <v>424.70588235294116</v>
      </c>
      <c r="H60" s="133">
        <f t="shared" si="224"/>
        <v>586.66666666666674</v>
      </c>
      <c r="I60" s="133">
        <f t="shared" si="224"/>
        <v>467.05882352941177</v>
      </c>
      <c r="J60" s="133">
        <f t="shared" si="224"/>
        <v>595.88235294117646</v>
      </c>
      <c r="K60" s="133">
        <f t="shared" si="224"/>
        <v>243.88888888888889</v>
      </c>
      <c r="L60" s="133">
        <f t="shared" si="224"/>
        <v>316.85185185185185</v>
      </c>
      <c r="M60" s="133">
        <f t="shared" si="224"/>
        <v>370.37037037037032</v>
      </c>
      <c r="N60" s="133">
        <f t="shared" si="224"/>
        <v>1363.7362637362637</v>
      </c>
      <c r="O60" s="133">
        <f t="shared" si="224"/>
        <v>337.74958014554954</v>
      </c>
      <c r="P60" s="133">
        <f t="shared" si="224"/>
        <v>438.04814331031906</v>
      </c>
      <c r="Q60" s="118">
        <f>((P60/G60)^(1/($H$2-$H$1) ))-1</f>
        <v>3.4427942643613374E-3</v>
      </c>
      <c r="R60" s="128"/>
      <c r="S60" s="158">
        <f t="shared" ref="S60:AB60" si="225">S33/S54</f>
        <v>438.04814331031906</v>
      </c>
      <c r="T60" s="158">
        <f t="shared" si="225"/>
        <v>438.04814331031906</v>
      </c>
      <c r="U60" s="158">
        <f t="shared" si="225"/>
        <v>438.04814331031906</v>
      </c>
      <c r="V60" s="158">
        <f t="shared" si="225"/>
        <v>438.04814331031901</v>
      </c>
      <c r="W60" s="158">
        <f t="shared" si="225"/>
        <v>438.04814331031906</v>
      </c>
      <c r="X60" s="158">
        <f t="shared" si="225"/>
        <v>438.04814331031906</v>
      </c>
      <c r="Y60" s="158">
        <f t="shared" si="225"/>
        <v>438.04814331031906</v>
      </c>
      <c r="Z60" s="158">
        <f t="shared" si="225"/>
        <v>438.04814331031901</v>
      </c>
      <c r="AA60" s="158">
        <f t="shared" si="225"/>
        <v>438.04814331031901</v>
      </c>
      <c r="AB60" s="158">
        <f t="shared" si="225"/>
        <v>438.04814331031901</v>
      </c>
      <c r="AC60" s="138">
        <f t="shared" ref="AC60" si="226">((AB60/G60)^(1/($AB$3-$H$1) ))-1</f>
        <v>1.6293223656123068E-3</v>
      </c>
      <c r="AD60" s="31">
        <v>0.08</v>
      </c>
      <c r="AE60" s="145">
        <f>(AB60*(1+AC60))/($C$1-AD60)</f>
        <v>3134.0133210530671</v>
      </c>
    </row>
    <row r="61" spans="2:31">
      <c r="B61" s="20" t="s">
        <v>286</v>
      </c>
      <c r="C61" s="133">
        <f t="shared" ref="C61:P61" si="227">C35/C54</f>
        <v>0</v>
      </c>
      <c r="D61" s="133">
        <f t="shared" si="227"/>
        <v>0</v>
      </c>
      <c r="E61" s="133">
        <f t="shared" si="227"/>
        <v>0</v>
      </c>
      <c r="F61" s="133">
        <f t="shared" si="227"/>
        <v>871.66666666666674</v>
      </c>
      <c r="G61" s="133">
        <f t="shared" si="227"/>
        <v>329.41176470588238</v>
      </c>
      <c r="H61" s="133">
        <f t="shared" si="227"/>
        <v>499.16666666666669</v>
      </c>
      <c r="I61" s="133">
        <f t="shared" si="227"/>
        <v>387.05882352941177</v>
      </c>
      <c r="J61" s="133">
        <f t="shared" si="227"/>
        <v>502.35294117647061</v>
      </c>
      <c r="K61" s="133">
        <f t="shared" si="227"/>
        <v>205.37037037037035</v>
      </c>
      <c r="L61" s="133">
        <f t="shared" si="227"/>
        <v>273.14814814814815</v>
      </c>
      <c r="M61" s="133">
        <f t="shared" si="227"/>
        <v>309.07407407407408</v>
      </c>
      <c r="N61" s="133">
        <f t="shared" si="227"/>
        <v>1135.164835164835</v>
      </c>
      <c r="O61" s="133">
        <f t="shared" si="227"/>
        <v>291.00578466131742</v>
      </c>
      <c r="P61" s="133">
        <f t="shared" si="227"/>
        <v>326.55346146669154</v>
      </c>
      <c r="Q61" s="118">
        <f>((P61/G61)^(1/($H$2-$H$1) ))-1</f>
        <v>-9.6784869449229038E-4</v>
      </c>
      <c r="R61" s="128"/>
      <c r="S61" s="158">
        <f t="shared" ref="S61:AB61" si="228">S35/S54</f>
        <v>326.55346146669154</v>
      </c>
      <c r="T61" s="158">
        <f t="shared" si="228"/>
        <v>326.55346146669154</v>
      </c>
      <c r="U61" s="158">
        <f t="shared" si="228"/>
        <v>326.5534614666916</v>
      </c>
      <c r="V61" s="158">
        <f t="shared" si="228"/>
        <v>326.55346146669154</v>
      </c>
      <c r="W61" s="158">
        <f t="shared" si="228"/>
        <v>326.55346146669154</v>
      </c>
      <c r="X61" s="158">
        <f t="shared" si="228"/>
        <v>326.55346146669154</v>
      </c>
      <c r="Y61" s="158">
        <f t="shared" si="228"/>
        <v>326.55346146669154</v>
      </c>
      <c r="Z61" s="158">
        <f t="shared" si="228"/>
        <v>326.55346146669154</v>
      </c>
      <c r="AA61" s="158">
        <f t="shared" si="228"/>
        <v>326.55346146669154</v>
      </c>
      <c r="AB61" s="158">
        <f t="shared" si="228"/>
        <v>326.55346146669154</v>
      </c>
      <c r="AC61" s="138">
        <f t="shared" ref="AC61" si="229">((AB61/G61)^(1/($AB$3-$H$1) ))-1</f>
        <v>-4.5857146932648529E-4</v>
      </c>
      <c r="AD61" s="31">
        <v>0.08</v>
      </c>
      <c r="AE61" s="145">
        <f>(AB61*(1+AC61))/($C$1-AD61)</f>
        <v>2331.4550954718079</v>
      </c>
    </row>
    <row r="62" spans="2:31">
      <c r="B62" s="20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28"/>
      <c r="R62" s="12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19"/>
      <c r="AD62" s="119"/>
      <c r="AE62" s="145"/>
    </row>
    <row r="63" spans="2:31">
      <c r="B63" s="20" t="s">
        <v>252</v>
      </c>
      <c r="C63" s="25">
        <f t="shared" ref="C63:P63" si="230">C51/C54</f>
        <v>0</v>
      </c>
      <c r="D63" s="25">
        <f t="shared" si="230"/>
        <v>0</v>
      </c>
      <c r="E63" s="25">
        <f t="shared" si="230"/>
        <v>0</v>
      </c>
      <c r="F63" s="133">
        <f t="shared" si="230"/>
        <v>208.33333333333334</v>
      </c>
      <c r="G63" s="133">
        <f t="shared" si="230"/>
        <v>94.705882352941174</v>
      </c>
      <c r="H63" s="133">
        <f t="shared" si="230"/>
        <v>87.5</v>
      </c>
      <c r="I63" s="133">
        <f t="shared" si="230"/>
        <v>79.411764705882348</v>
      </c>
      <c r="J63" s="133">
        <f t="shared" si="230"/>
        <v>94.117647058823536</v>
      </c>
      <c r="K63" s="133">
        <f t="shared" si="230"/>
        <v>38.518518518518519</v>
      </c>
      <c r="L63" s="133">
        <f t="shared" si="230"/>
        <v>43.518518518518519</v>
      </c>
      <c r="M63" s="133">
        <f t="shared" si="230"/>
        <v>62.222222222222221</v>
      </c>
      <c r="N63" s="133">
        <f t="shared" si="230"/>
        <v>228.02197802197801</v>
      </c>
      <c r="O63" s="133">
        <f t="shared" si="230"/>
        <v>46.74379548423213</v>
      </c>
      <c r="P63" s="133">
        <f t="shared" si="230"/>
        <v>51.315543944765814</v>
      </c>
      <c r="Q63" s="118">
        <f>((P63/G63)^(1/($H$2-$H$1) ))-1</f>
        <v>-6.5820741972314134E-2</v>
      </c>
      <c r="R63" s="128"/>
      <c r="S63" s="133">
        <f t="shared" ref="S63:AB63" si="231">S51/S54</f>
        <v>51.315543944765807</v>
      </c>
      <c r="T63" s="133">
        <f t="shared" si="231"/>
        <v>51.315543944765807</v>
      </c>
      <c r="U63" s="133">
        <f t="shared" si="231"/>
        <v>51.315543944765807</v>
      </c>
      <c r="V63" s="133">
        <f t="shared" si="231"/>
        <v>51.3155439447658</v>
      </c>
      <c r="W63" s="133">
        <f t="shared" si="231"/>
        <v>51.315543944765807</v>
      </c>
      <c r="X63" s="133">
        <f t="shared" si="231"/>
        <v>51.3155439447658</v>
      </c>
      <c r="Y63" s="133">
        <f t="shared" si="231"/>
        <v>51.3155439447658</v>
      </c>
      <c r="Z63" s="133">
        <f t="shared" si="231"/>
        <v>51.315543944765793</v>
      </c>
      <c r="AA63" s="133">
        <f t="shared" si="231"/>
        <v>51.3155439447658</v>
      </c>
      <c r="AB63" s="133">
        <f t="shared" si="231"/>
        <v>51.3155439447658</v>
      </c>
      <c r="AC63" s="138">
        <f t="shared" ref="AC63:AC76" si="232">((AB63/G63)^(1/($AB$3-$H$1) ))-1</f>
        <v>-3.1737165792287803E-2</v>
      </c>
      <c r="AD63" s="31">
        <v>0.08</v>
      </c>
      <c r="AE63" s="145">
        <f>(AB63*(1+AC63))/($C$1-AD63)</f>
        <v>354.90667156335235</v>
      </c>
    </row>
    <row r="64" spans="2:31">
      <c r="B64" s="20" t="s">
        <v>245</v>
      </c>
      <c r="C64" s="25">
        <f t="shared" ref="C64:P64" si="233">C7/C54</f>
        <v>0</v>
      </c>
      <c r="D64" s="25">
        <f t="shared" si="233"/>
        <v>0</v>
      </c>
      <c r="E64" s="25">
        <f t="shared" si="233"/>
        <v>0</v>
      </c>
      <c r="F64" s="133">
        <f t="shared" si="233"/>
        <v>931.66666666666674</v>
      </c>
      <c r="G64" s="133">
        <f t="shared" si="233"/>
        <v>418.8235294117647</v>
      </c>
      <c r="H64" s="133">
        <f t="shared" si="233"/>
        <v>633.33333333333337</v>
      </c>
      <c r="I64" s="133">
        <f t="shared" si="233"/>
        <v>512.94117647058829</v>
      </c>
      <c r="J64" s="133">
        <f t="shared" si="233"/>
        <v>625.29411764705878</v>
      </c>
      <c r="K64" s="133">
        <f t="shared" si="233"/>
        <v>220.37037037037035</v>
      </c>
      <c r="L64" s="133">
        <f t="shared" si="233"/>
        <v>249.99999999999997</v>
      </c>
      <c r="M64" s="133">
        <f t="shared" si="233"/>
        <v>299.81481481481478</v>
      </c>
      <c r="N64" s="133">
        <f t="shared" si="233"/>
        <v>1173.6263736263736</v>
      </c>
      <c r="O64" s="133">
        <f t="shared" si="233"/>
        <v>252.65907818622878</v>
      </c>
      <c r="P64" s="133">
        <f t="shared" si="233"/>
        <v>287.83355103564099</v>
      </c>
      <c r="Q64" s="118">
        <f>((P64/G64)^(1/($H$2-$H$1) ))-1</f>
        <v>-4.081771494561548E-2</v>
      </c>
      <c r="R64" s="128"/>
      <c r="S64" s="133">
        <f t="shared" ref="S64:AB64" si="234">S7/S54</f>
        <v>287.83355103564099</v>
      </c>
      <c r="T64" s="133">
        <f t="shared" si="234"/>
        <v>287.83355103564099</v>
      </c>
      <c r="U64" s="133">
        <f t="shared" si="234"/>
        <v>287.83355103564099</v>
      </c>
      <c r="V64" s="133">
        <f t="shared" si="234"/>
        <v>287.83355103564094</v>
      </c>
      <c r="W64" s="133">
        <f t="shared" si="234"/>
        <v>287.83355103564094</v>
      </c>
      <c r="X64" s="133">
        <f t="shared" si="234"/>
        <v>287.83355103564094</v>
      </c>
      <c r="Y64" s="133">
        <f t="shared" si="234"/>
        <v>287.83355103564094</v>
      </c>
      <c r="Z64" s="133">
        <f t="shared" si="234"/>
        <v>287.83355103564094</v>
      </c>
      <c r="AA64" s="133">
        <f t="shared" si="234"/>
        <v>287.83355103564094</v>
      </c>
      <c r="AB64" s="133">
        <f t="shared" si="234"/>
        <v>287.83355103564094</v>
      </c>
      <c r="AC64" s="138">
        <f t="shared" si="232"/>
        <v>-1.9546818351371287E-2</v>
      </c>
      <c r="AD64" s="31">
        <v>0.08</v>
      </c>
      <c r="AE64" s="145">
        <f>(AB64*(1+AC64))/($C$1-AD64)</f>
        <v>2015.7665778436935</v>
      </c>
    </row>
    <row r="65" spans="2:31">
      <c r="B65" s="20" t="s">
        <v>246</v>
      </c>
      <c r="C65" s="127">
        <f t="shared" ref="C65:P65" si="235">C6/C54</f>
        <v>0</v>
      </c>
      <c r="D65" s="127">
        <f t="shared" si="235"/>
        <v>0</v>
      </c>
      <c r="E65" s="127">
        <f t="shared" si="235"/>
        <v>0</v>
      </c>
      <c r="F65" s="142">
        <f t="shared" si="235"/>
        <v>903.33333333333337</v>
      </c>
      <c r="G65" s="142">
        <f t="shared" si="235"/>
        <v>408.23529411764707</v>
      </c>
      <c r="H65" s="142">
        <f t="shared" si="235"/>
        <v>619.16666666666674</v>
      </c>
      <c r="I65" s="142">
        <f t="shared" si="235"/>
        <v>502.35294117647061</v>
      </c>
      <c r="J65" s="142">
        <f t="shared" si="235"/>
        <v>596.47058823529414</v>
      </c>
      <c r="K65" s="142">
        <f t="shared" si="235"/>
        <v>210.37037037037035</v>
      </c>
      <c r="L65" s="142">
        <f t="shared" si="235"/>
        <v>239.99999999999997</v>
      </c>
      <c r="M65" s="142">
        <f t="shared" si="235"/>
        <v>289.81481481481478</v>
      </c>
      <c r="N65" s="142">
        <f t="shared" si="235"/>
        <v>1109.8901098901099</v>
      </c>
      <c r="O65" s="142">
        <f t="shared" si="235"/>
        <v>242.67587236424706</v>
      </c>
      <c r="P65" s="142">
        <f t="shared" si="235"/>
        <v>277.85034521365924</v>
      </c>
      <c r="Q65" s="118">
        <f>((P65/G65)^(1/($H$2-$H$1) ))-1</f>
        <v>-4.1850280382823124E-2</v>
      </c>
      <c r="R65" s="128"/>
      <c r="S65" s="142">
        <f t="shared" ref="S65:AB65" si="236">S6/S54</f>
        <v>277.85034521365924</v>
      </c>
      <c r="T65" s="142">
        <f t="shared" si="236"/>
        <v>277.85034521365924</v>
      </c>
      <c r="U65" s="142">
        <f t="shared" si="236"/>
        <v>277.85034521365924</v>
      </c>
      <c r="V65" s="142">
        <f t="shared" si="236"/>
        <v>277.85034521365924</v>
      </c>
      <c r="W65" s="142">
        <f t="shared" si="236"/>
        <v>277.8503452136593</v>
      </c>
      <c r="X65" s="142">
        <f t="shared" si="236"/>
        <v>277.85034521365924</v>
      </c>
      <c r="Y65" s="142">
        <f t="shared" si="236"/>
        <v>277.85034521365924</v>
      </c>
      <c r="Z65" s="142">
        <f t="shared" si="236"/>
        <v>277.85034521365924</v>
      </c>
      <c r="AA65" s="142">
        <f t="shared" si="236"/>
        <v>277.8503452136593</v>
      </c>
      <c r="AB65" s="142">
        <f t="shared" si="236"/>
        <v>277.85034521365924</v>
      </c>
      <c r="AC65" s="138">
        <f t="shared" si="232"/>
        <v>-2.004691654406221E-2</v>
      </c>
      <c r="AD65" s="31">
        <v>0.08</v>
      </c>
      <c r="AE65" s="145">
        <f>(AB65*(1+AC65))/($C$1-AD65)</f>
        <v>1944.8593037958722</v>
      </c>
    </row>
    <row r="66" spans="2:31">
      <c r="B66" s="20" t="s">
        <v>309</v>
      </c>
      <c r="C66" s="142">
        <f t="shared" ref="C66:P66" si="237">C10/C54</f>
        <v>0</v>
      </c>
      <c r="D66" s="142">
        <f t="shared" si="237"/>
        <v>0</v>
      </c>
      <c r="E66" s="142">
        <f t="shared" si="237"/>
        <v>0</v>
      </c>
      <c r="F66" s="142">
        <f t="shared" si="237"/>
        <v>765</v>
      </c>
      <c r="G66" s="142">
        <f t="shared" si="237"/>
        <v>159.41176470588235</v>
      </c>
      <c r="H66" s="142">
        <f t="shared" si="237"/>
        <v>228.33333333333334</v>
      </c>
      <c r="I66" s="142">
        <f t="shared" si="237"/>
        <v>183.52941176470588</v>
      </c>
      <c r="J66" s="142">
        <f t="shared" si="237"/>
        <v>104.11764705882354</v>
      </c>
      <c r="K66" s="142">
        <f t="shared" si="237"/>
        <v>16.111111111111111</v>
      </c>
      <c r="L66" s="142">
        <f t="shared" si="237"/>
        <v>75.925925925925924</v>
      </c>
      <c r="M66" s="142">
        <f t="shared" si="237"/>
        <v>6.8518518518518512</v>
      </c>
      <c r="N66" s="142">
        <f t="shared" si="237"/>
        <v>52.197802197802197</v>
      </c>
      <c r="O66" s="142">
        <f t="shared" si="237"/>
        <v>10.729613733905579</v>
      </c>
      <c r="P66" s="142">
        <f t="shared" si="237"/>
        <v>11.196118678857996</v>
      </c>
      <c r="Q66" s="118">
        <f>((P66/G66)^(1/($H$2-$H$1) ))-1</f>
        <v>-0.2555447973998568</v>
      </c>
      <c r="R66" s="128"/>
      <c r="S66" s="142">
        <f t="shared" ref="S66:AB66" si="238">S10/S54</f>
        <v>11.196118678857994</v>
      </c>
      <c r="T66" s="142">
        <f t="shared" si="238"/>
        <v>11.196118678857996</v>
      </c>
      <c r="U66" s="142">
        <f t="shared" si="238"/>
        <v>11.196118678857994</v>
      </c>
      <c r="V66" s="142">
        <f t="shared" si="238"/>
        <v>11.196118678857994</v>
      </c>
      <c r="W66" s="142">
        <f t="shared" si="238"/>
        <v>11.196118678857994</v>
      </c>
      <c r="X66" s="142">
        <f t="shared" si="238"/>
        <v>11.196118678857994</v>
      </c>
      <c r="Y66" s="142">
        <f t="shared" si="238"/>
        <v>11.196118678857996</v>
      </c>
      <c r="Z66" s="142">
        <f t="shared" si="238"/>
        <v>11.196118678857996</v>
      </c>
      <c r="AA66" s="142">
        <f t="shared" si="238"/>
        <v>11.196118678857996</v>
      </c>
      <c r="AB66" s="142">
        <f t="shared" si="238"/>
        <v>11.196118678857994</v>
      </c>
      <c r="AC66" s="138">
        <f t="shared" si="232"/>
        <v>-0.13045521682992944</v>
      </c>
      <c r="AD66" s="31">
        <v>0.08</v>
      </c>
      <c r="AE66" s="145">
        <f>(AB66*(1+AC66))/($C$1-AD66)</f>
        <v>69.539475635385358</v>
      </c>
    </row>
    <row r="67" spans="2:31">
      <c r="B67" s="20"/>
      <c r="C67" s="127"/>
      <c r="D67" s="127"/>
      <c r="E67" s="127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28"/>
      <c r="R67" s="128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39"/>
      <c r="AD67" s="20"/>
      <c r="AE67" s="154"/>
    </row>
    <row r="68" spans="2:31">
      <c r="B68" s="20" t="s">
        <v>310</v>
      </c>
      <c r="C68" s="142">
        <f t="shared" ref="C68:P68" si="239">C23/C54</f>
        <v>0</v>
      </c>
      <c r="D68" s="142">
        <f t="shared" si="239"/>
        <v>0</v>
      </c>
      <c r="E68" s="142">
        <f t="shared" si="239"/>
        <v>0</v>
      </c>
      <c r="F68" s="142">
        <f t="shared" si="239"/>
        <v>8536.6666666666679</v>
      </c>
      <c r="G68" s="142">
        <f t="shared" si="239"/>
        <v>3477.0588235294117</v>
      </c>
      <c r="H68" s="142">
        <f t="shared" si="239"/>
        <v>5560</v>
      </c>
      <c r="I68" s="142">
        <f t="shared" si="239"/>
        <v>4456.4705882352946</v>
      </c>
      <c r="J68" s="142">
        <f t="shared" si="239"/>
        <v>5494.1176470588234</v>
      </c>
      <c r="K68" s="142">
        <f t="shared" si="239"/>
        <v>2323.1481481481478</v>
      </c>
      <c r="L68" s="142">
        <f t="shared" si="239"/>
        <v>2796.4814814814813</v>
      </c>
      <c r="M68" s="142">
        <f t="shared" si="239"/>
        <v>3568.7037037037035</v>
      </c>
      <c r="N68" s="142">
        <f t="shared" si="239"/>
        <v>13582.967032967032</v>
      </c>
      <c r="O68" s="142">
        <f t="shared" si="239"/>
        <v>2995.9880574734093</v>
      </c>
      <c r="P68" s="142">
        <f t="shared" si="239"/>
        <v>3606.3631274491509</v>
      </c>
      <c r="Q68" s="118">
        <f>((P68/G68)^(1/($H$2-$H$1) ))-1</f>
        <v>4.0652463244021941E-3</v>
      </c>
      <c r="R68" s="128"/>
      <c r="S68" s="157">
        <f t="shared" ref="S68:AB68" si="240">S23/S54</f>
        <v>3639.1482467895976</v>
      </c>
      <c r="T68" s="157">
        <f t="shared" si="240"/>
        <v>3672.2314126695028</v>
      </c>
      <c r="U68" s="157">
        <f t="shared" si="240"/>
        <v>3705.6153346028623</v>
      </c>
      <c r="V68" s="157">
        <f t="shared" si="240"/>
        <v>3739.3027467356151</v>
      </c>
      <c r="W68" s="157">
        <f t="shared" si="240"/>
        <v>3773.2964080695756</v>
      </c>
      <c r="X68" s="157">
        <f t="shared" si="240"/>
        <v>3807.5991026883898</v>
      </c>
      <c r="Y68" s="157">
        <f t="shared" si="240"/>
        <v>3842.2136399855576</v>
      </c>
      <c r="Z68" s="157">
        <f t="shared" si="240"/>
        <v>3877.1428548945173</v>
      </c>
      <c r="AA68" s="157">
        <f t="shared" si="240"/>
        <v>3912.3896081208313</v>
      </c>
      <c r="AB68" s="157">
        <f t="shared" si="240"/>
        <v>3947.9567863764751</v>
      </c>
      <c r="AC68" s="138">
        <f t="shared" si="232"/>
        <v>6.7072040091096241E-3</v>
      </c>
      <c r="AD68" s="31">
        <v>0.08</v>
      </c>
      <c r="AE68" s="145">
        <f>(AB68*(1+AC68))/($C$1-AD68)</f>
        <v>28388.832414013217</v>
      </c>
    </row>
    <row r="69" spans="2:31">
      <c r="B69" s="20" t="s">
        <v>311</v>
      </c>
      <c r="C69" s="142">
        <f t="shared" ref="C69:P69" si="241">C29/C54</f>
        <v>0</v>
      </c>
      <c r="D69" s="142">
        <f t="shared" si="241"/>
        <v>0</v>
      </c>
      <c r="E69" s="142">
        <f t="shared" si="241"/>
        <v>0</v>
      </c>
      <c r="F69" s="142">
        <f t="shared" si="241"/>
        <v>5573.3333333333339</v>
      </c>
      <c r="G69" s="142">
        <f t="shared" si="241"/>
        <v>2366.4705882352941</v>
      </c>
      <c r="H69" s="142">
        <f t="shared" si="241"/>
        <v>3850</v>
      </c>
      <c r="I69" s="142">
        <f t="shared" si="241"/>
        <v>3267.6470588235293</v>
      </c>
      <c r="J69" s="142">
        <f t="shared" si="241"/>
        <v>4141.1764705882351</v>
      </c>
      <c r="K69" s="142">
        <f t="shared" si="241"/>
        <v>1744.6296296296296</v>
      </c>
      <c r="L69" s="142">
        <f t="shared" si="241"/>
        <v>1927.7777777777776</v>
      </c>
      <c r="M69" s="142">
        <f t="shared" si="241"/>
        <v>2499.6296296296296</v>
      </c>
      <c r="N69" s="142">
        <f t="shared" si="241"/>
        <v>9788.461538461539</v>
      </c>
      <c r="O69" s="142">
        <f t="shared" si="241"/>
        <v>2234.5586863220751</v>
      </c>
      <c r="P69" s="142">
        <f t="shared" si="241"/>
        <v>2771.5991789512968</v>
      </c>
      <c r="Q69" s="118">
        <f>((P69/G69)^(1/($H$2-$H$1) ))-1</f>
        <v>1.771336810734625E-2</v>
      </c>
      <c r="R69" s="128"/>
      <c r="S69" s="157">
        <f t="shared" ref="S69:AB69" si="242">S29/S54</f>
        <v>2771.5991789512968</v>
      </c>
      <c r="T69" s="157">
        <f t="shared" si="242"/>
        <v>2771.5991789512964</v>
      </c>
      <c r="U69" s="157">
        <f t="shared" si="242"/>
        <v>2771.5991789512968</v>
      </c>
      <c r="V69" s="157">
        <f t="shared" si="242"/>
        <v>2771.5991789512964</v>
      </c>
      <c r="W69" s="157">
        <f t="shared" si="242"/>
        <v>2771.5991789512968</v>
      </c>
      <c r="X69" s="157">
        <f t="shared" si="242"/>
        <v>2771.5991789512968</v>
      </c>
      <c r="Y69" s="157">
        <f t="shared" si="242"/>
        <v>2771.5991789512968</v>
      </c>
      <c r="Z69" s="157">
        <f t="shared" si="242"/>
        <v>2771.5991789512968</v>
      </c>
      <c r="AA69" s="157">
        <f t="shared" si="242"/>
        <v>2771.5991789512968</v>
      </c>
      <c r="AB69" s="157">
        <f t="shared" si="242"/>
        <v>2771.5991789512964</v>
      </c>
      <c r="AC69" s="138">
        <f t="shared" si="232"/>
        <v>8.3517795885263979E-3</v>
      </c>
      <c r="AD69" s="31">
        <v>0.08</v>
      </c>
      <c r="AE69" s="145">
        <f>(AB69*(1+AC69))/($C$1-AD69)</f>
        <v>19962.478317154557</v>
      </c>
    </row>
    <row r="70" spans="2:31">
      <c r="B70" s="20" t="s">
        <v>312</v>
      </c>
      <c r="C70" s="142">
        <f t="shared" ref="C70:P70" si="243">C31/C54</f>
        <v>0</v>
      </c>
      <c r="D70" s="142">
        <f t="shared" si="243"/>
        <v>0</v>
      </c>
      <c r="E70" s="142">
        <f t="shared" si="243"/>
        <v>0</v>
      </c>
      <c r="F70" s="142">
        <f t="shared" si="243"/>
        <v>220</v>
      </c>
      <c r="G70" s="142">
        <f t="shared" si="243"/>
        <v>43.529411764705884</v>
      </c>
      <c r="H70" s="142">
        <f t="shared" si="243"/>
        <v>94.166666666666671</v>
      </c>
      <c r="I70" s="142">
        <f t="shared" si="243"/>
        <v>84.117647058823536</v>
      </c>
      <c r="J70" s="142">
        <f t="shared" si="243"/>
        <v>85.882352941176478</v>
      </c>
      <c r="K70" s="142">
        <f t="shared" si="243"/>
        <v>33.888888888888886</v>
      </c>
      <c r="L70" s="142">
        <f t="shared" si="243"/>
        <v>49.074074074074069</v>
      </c>
      <c r="M70" s="142">
        <f t="shared" si="243"/>
        <v>45.74074074074074</v>
      </c>
      <c r="N70" s="142">
        <f t="shared" si="243"/>
        <v>145.05494505494505</v>
      </c>
      <c r="O70" s="142">
        <f t="shared" si="243"/>
        <v>32.655346146669153</v>
      </c>
      <c r="P70" s="142">
        <f t="shared" si="243"/>
        <v>42.172047023698454</v>
      </c>
      <c r="Q70" s="118">
        <f>((P70/G70)^(1/($H$2-$H$1) ))-1</f>
        <v>-3.5137271822139882E-3</v>
      </c>
      <c r="R70" s="128"/>
      <c r="S70" s="157">
        <f t="shared" ref="S70:AB70" si="244">S31/S54</f>
        <v>42.172047023698447</v>
      </c>
      <c r="T70" s="157">
        <f t="shared" si="244"/>
        <v>42.172047023698447</v>
      </c>
      <c r="U70" s="157">
        <f t="shared" si="244"/>
        <v>42.172047023698447</v>
      </c>
      <c r="V70" s="157">
        <f t="shared" si="244"/>
        <v>42.17204702369844</v>
      </c>
      <c r="W70" s="157">
        <f t="shared" si="244"/>
        <v>42.172047023698447</v>
      </c>
      <c r="X70" s="157">
        <f t="shared" si="244"/>
        <v>42.17204702369844</v>
      </c>
      <c r="Y70" s="157">
        <f t="shared" si="244"/>
        <v>42.172047023698447</v>
      </c>
      <c r="Z70" s="157">
        <f t="shared" si="244"/>
        <v>42.17204702369844</v>
      </c>
      <c r="AA70" s="157">
        <f t="shared" si="244"/>
        <v>42.17204702369844</v>
      </c>
      <c r="AB70" s="157">
        <f t="shared" si="244"/>
        <v>42.17204702369844</v>
      </c>
      <c r="AC70" s="138">
        <f t="shared" si="232"/>
        <v>-1.6659388535101849E-3</v>
      </c>
      <c r="AD70" s="31">
        <v>0.08</v>
      </c>
      <c r="AE70" s="145">
        <f>(AB70*(1+AC70))/($C$1-AD70)</f>
        <v>300.72707837164</v>
      </c>
    </row>
    <row r="71" spans="2:31">
      <c r="B71" s="20" t="s">
        <v>319</v>
      </c>
      <c r="C71" s="142">
        <f t="shared" ref="C71:E71" si="245">C68-C69</f>
        <v>0</v>
      </c>
      <c r="D71" s="142">
        <f t="shared" si="245"/>
        <v>0</v>
      </c>
      <c r="E71" s="142">
        <f t="shared" si="245"/>
        <v>0</v>
      </c>
      <c r="F71" s="142">
        <f>F68-F69</f>
        <v>2963.3333333333339</v>
      </c>
      <c r="G71" s="142">
        <f t="shared" ref="G71:P71" si="246">G68-G69</f>
        <v>1110.5882352941176</v>
      </c>
      <c r="H71" s="142">
        <f t="shared" si="246"/>
        <v>1710</v>
      </c>
      <c r="I71" s="142">
        <f t="shared" si="246"/>
        <v>1188.8235294117653</v>
      </c>
      <c r="J71" s="142">
        <f t="shared" si="246"/>
        <v>1352.9411764705883</v>
      </c>
      <c r="K71" s="142">
        <f t="shared" si="246"/>
        <v>578.51851851851825</v>
      </c>
      <c r="L71" s="142">
        <f t="shared" si="246"/>
        <v>868.7037037037037</v>
      </c>
      <c r="M71" s="142">
        <f t="shared" si="246"/>
        <v>1069.0740740740739</v>
      </c>
      <c r="N71" s="142">
        <f t="shared" si="246"/>
        <v>3794.5054945054926</v>
      </c>
      <c r="O71" s="142">
        <f t="shared" si="246"/>
        <v>761.42937115133418</v>
      </c>
      <c r="P71" s="142">
        <f t="shared" si="246"/>
        <v>834.76394849785402</v>
      </c>
      <c r="Q71" s="118">
        <f>((P71/G71)^(1/($H$2-$H$1) ))-1</f>
        <v>-3.1223931914726721E-2</v>
      </c>
      <c r="R71" s="128"/>
      <c r="S71" s="142">
        <f t="shared" ref="S71:AB71" si="247">S68-S69</f>
        <v>867.54906783830074</v>
      </c>
      <c r="T71" s="142">
        <f t="shared" si="247"/>
        <v>900.63223371820641</v>
      </c>
      <c r="U71" s="142">
        <f t="shared" si="247"/>
        <v>934.01615565156544</v>
      </c>
      <c r="V71" s="142">
        <f t="shared" si="247"/>
        <v>967.70356778431869</v>
      </c>
      <c r="W71" s="142">
        <f t="shared" si="247"/>
        <v>1001.6972291182788</v>
      </c>
      <c r="X71" s="142">
        <f t="shared" si="247"/>
        <v>1035.999923737093</v>
      </c>
      <c r="Y71" s="142">
        <f t="shared" si="247"/>
        <v>1070.6144610342608</v>
      </c>
      <c r="Z71" s="142">
        <f t="shared" si="247"/>
        <v>1105.5436759432205</v>
      </c>
      <c r="AA71" s="142">
        <f t="shared" si="247"/>
        <v>1140.7904291695345</v>
      </c>
      <c r="AB71" s="142">
        <f t="shared" si="247"/>
        <v>1176.3576074251787</v>
      </c>
      <c r="AC71" s="138">
        <f t="shared" ref="AC71" si="248">((AB71/G71)^(1/($AB$3-$H$1) ))-1</f>
        <v>3.0326457487459546E-3</v>
      </c>
      <c r="AD71" s="31">
        <v>0.08</v>
      </c>
      <c r="AE71" s="145">
        <f>(AB71*(1+AC71))/($C$1-AD71)</f>
        <v>8428.0363094452969</v>
      </c>
    </row>
    <row r="72" spans="2:31">
      <c r="B72" s="20" t="s">
        <v>81</v>
      </c>
      <c r="C72" s="152" t="e">
        <f t="shared" ref="C72:E72" si="249">C69/C68</f>
        <v>#DIV/0!</v>
      </c>
      <c r="D72" s="152" t="e">
        <f t="shared" si="249"/>
        <v>#DIV/0!</v>
      </c>
      <c r="E72" s="152" t="e">
        <f t="shared" si="249"/>
        <v>#DIV/0!</v>
      </c>
      <c r="F72" s="152">
        <f>F69/F68</f>
        <v>0.65286997266692692</v>
      </c>
      <c r="G72" s="152">
        <f t="shared" ref="G72:P72" si="250">G69/G68</f>
        <v>0.68059549991541202</v>
      </c>
      <c r="H72" s="152">
        <f t="shared" si="250"/>
        <v>0.69244604316546765</v>
      </c>
      <c r="I72" s="152">
        <f t="shared" si="250"/>
        <v>0.73323653643083408</v>
      </c>
      <c r="J72" s="152">
        <f t="shared" si="250"/>
        <v>0.75374732334047112</v>
      </c>
      <c r="K72" s="152">
        <f t="shared" si="250"/>
        <v>0.75097648465524125</v>
      </c>
      <c r="L72" s="152">
        <f t="shared" si="250"/>
        <v>0.6893583206410171</v>
      </c>
      <c r="M72" s="152">
        <f t="shared" si="250"/>
        <v>0.70043069897773858</v>
      </c>
      <c r="N72" s="152">
        <f t="shared" si="250"/>
        <v>0.72064236883621224</v>
      </c>
      <c r="O72" s="152">
        <f t="shared" si="250"/>
        <v>0.74585033166204728</v>
      </c>
      <c r="P72" s="152">
        <f t="shared" si="250"/>
        <v>0.76853025638372185</v>
      </c>
      <c r="Q72" s="118">
        <f>((P72/G72)^(1/($H$2-$H$1) ))-1</f>
        <v>1.3592863444786829E-2</v>
      </c>
      <c r="R72" s="128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38"/>
      <c r="AD72" s="31"/>
      <c r="AE72" s="145"/>
    </row>
    <row r="73" spans="2:31">
      <c r="B73" s="20"/>
      <c r="C73" s="127"/>
      <c r="D73" s="127"/>
      <c r="E73" s="127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28"/>
      <c r="R73" s="128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39"/>
      <c r="AD73" s="20"/>
      <c r="AE73" s="154"/>
    </row>
    <row r="74" spans="2:31">
      <c r="B74" s="20" t="s">
        <v>316</v>
      </c>
      <c r="C74" s="142">
        <f t="shared" ref="C74:P74" si="251">C33/C55</f>
        <v>0</v>
      </c>
      <c r="D74" s="142">
        <f t="shared" si="251"/>
        <v>0</v>
      </c>
      <c r="E74" s="142">
        <f t="shared" si="251"/>
        <v>0</v>
      </c>
      <c r="F74" s="142">
        <f t="shared" si="251"/>
        <v>0.25919999999999999</v>
      </c>
      <c r="G74" s="142">
        <f t="shared" si="251"/>
        <v>0.25342225342225344</v>
      </c>
      <c r="H74" s="142">
        <f t="shared" si="251"/>
        <v>0.25044468160796868</v>
      </c>
      <c r="I74" s="142">
        <f t="shared" si="251"/>
        <v>0.27303988995873452</v>
      </c>
      <c r="J74" s="142">
        <f t="shared" si="251"/>
        <v>0.30827754108338407</v>
      </c>
      <c r="K74" s="142">
        <f t="shared" si="251"/>
        <v>0.36787709497206705</v>
      </c>
      <c r="L74" s="142">
        <f t="shared" si="251"/>
        <v>0.43415376807916772</v>
      </c>
      <c r="M74" s="142">
        <f t="shared" si="251"/>
        <v>0.47904191616766467</v>
      </c>
      <c r="N74" s="142">
        <f t="shared" si="251"/>
        <v>0.54263226934849151</v>
      </c>
      <c r="O74" s="142">
        <f t="shared" si="251"/>
        <v>0.63811034725894589</v>
      </c>
      <c r="P74" s="142">
        <f t="shared" si="251"/>
        <v>0.69762258543833577</v>
      </c>
      <c r="Q74" s="118">
        <f>((P74/G74)^(1/($H$2-$H$1) ))-1</f>
        <v>0.11908732278664802</v>
      </c>
      <c r="R74" s="128"/>
      <c r="S74" s="142">
        <f t="shared" ref="S74" si="252">S33/S55</f>
        <v>0.69762258543833577</v>
      </c>
      <c r="T74" s="142">
        <f t="shared" ref="S74:AB74" si="253">T12/T54</f>
        <v>1293.2450083970889</v>
      </c>
      <c r="U74" s="142">
        <f t="shared" si="253"/>
        <v>1293.2450083970889</v>
      </c>
      <c r="V74" s="142">
        <f t="shared" si="253"/>
        <v>1293.2450083970887</v>
      </c>
      <c r="W74" s="142">
        <f t="shared" si="253"/>
        <v>1293.2450083970889</v>
      </c>
      <c r="X74" s="142">
        <f t="shared" si="253"/>
        <v>1293.2450083970889</v>
      </c>
      <c r="Y74" s="142">
        <f t="shared" si="253"/>
        <v>1293.2450083970889</v>
      </c>
      <c r="Z74" s="142">
        <f t="shared" si="253"/>
        <v>1293.2450083970889</v>
      </c>
      <c r="AA74" s="142">
        <f t="shared" si="253"/>
        <v>1293.2450083970891</v>
      </c>
      <c r="AB74" s="142">
        <f t="shared" si="253"/>
        <v>1293.2450083970889</v>
      </c>
      <c r="AC74" s="138">
        <f t="shared" si="232"/>
        <v>0.5672896529559659</v>
      </c>
      <c r="AD74" s="31">
        <v>0.08</v>
      </c>
      <c r="AE74" s="145">
        <f>(AB74*(1+AC74))/($C$1-AD74)</f>
        <v>14477.782288555059</v>
      </c>
    </row>
    <row r="75" spans="2:31">
      <c r="B75" s="20" t="s">
        <v>317</v>
      </c>
      <c r="C75" s="142">
        <f t="shared" ref="C75:P75" si="254">C35/C55</f>
        <v>0</v>
      </c>
      <c r="D75" s="142">
        <f t="shared" si="254"/>
        <v>0</v>
      </c>
      <c r="E75" s="142">
        <f t="shared" si="254"/>
        <v>0</v>
      </c>
      <c r="F75" s="142">
        <f t="shared" si="254"/>
        <v>0.2092</v>
      </c>
      <c r="G75" s="142">
        <f t="shared" si="254"/>
        <v>0.19656019656019655</v>
      </c>
      <c r="H75" s="142">
        <f t="shared" si="254"/>
        <v>0.21309142653859836</v>
      </c>
      <c r="I75" s="142">
        <f t="shared" si="254"/>
        <v>0.22627235213204952</v>
      </c>
      <c r="J75" s="142">
        <f t="shared" si="254"/>
        <v>0.2598904443091905</v>
      </c>
      <c r="K75" s="142">
        <f t="shared" si="254"/>
        <v>0.30977653631284918</v>
      </c>
      <c r="L75" s="142">
        <f t="shared" si="254"/>
        <v>0.37427048972342047</v>
      </c>
      <c r="M75" s="142">
        <f t="shared" si="254"/>
        <v>0.39976047904191619</v>
      </c>
      <c r="N75" s="142">
        <f t="shared" si="254"/>
        <v>0.45168342807170964</v>
      </c>
      <c r="O75" s="142">
        <f t="shared" si="254"/>
        <v>0.54979728538692052</v>
      </c>
      <c r="P75" s="142">
        <f t="shared" si="254"/>
        <v>0.52005943536404164</v>
      </c>
      <c r="Q75" s="118">
        <f>((P75/G75)^(1/($H$2-$H$1) ))-1</f>
        <v>0.11416836313214174</v>
      </c>
      <c r="R75" s="128"/>
      <c r="S75" s="142">
        <f t="shared" ref="S75" si="255">S35/S55</f>
        <v>0.52005943536404164</v>
      </c>
      <c r="T75" s="142">
        <f t="shared" ref="S75:AB75" si="256">T13/T54</f>
        <v>23.325247247620819</v>
      </c>
      <c r="U75" s="142">
        <f t="shared" si="256"/>
        <v>23.325247247620819</v>
      </c>
      <c r="V75" s="142">
        <f t="shared" si="256"/>
        <v>23.325247247620819</v>
      </c>
      <c r="W75" s="142">
        <f t="shared" si="256"/>
        <v>23.325247247620819</v>
      </c>
      <c r="X75" s="142">
        <f t="shared" si="256"/>
        <v>23.325247247620819</v>
      </c>
      <c r="Y75" s="142">
        <f t="shared" si="256"/>
        <v>23.325247247620819</v>
      </c>
      <c r="Z75" s="142">
        <f t="shared" si="256"/>
        <v>23.325247247620815</v>
      </c>
      <c r="AA75" s="142">
        <f t="shared" si="256"/>
        <v>23.325247247620815</v>
      </c>
      <c r="AB75" s="142">
        <f t="shared" si="256"/>
        <v>23.325247247620815</v>
      </c>
      <c r="AC75" s="138">
        <f t="shared" si="232"/>
        <v>0.28580555844249811</v>
      </c>
      <c r="AD75" s="31">
        <v>0.08</v>
      </c>
      <c r="AE75" s="145">
        <f>(AB75*(1+AC75))/($C$1-AD75)</f>
        <v>214.22666116454587</v>
      </c>
    </row>
    <row r="76" spans="2:31">
      <c r="B76" s="20" t="s">
        <v>318</v>
      </c>
      <c r="C76" s="142">
        <f t="shared" ref="C76:P76" si="257">C31/C55</f>
        <v>0</v>
      </c>
      <c r="D76" s="142">
        <f t="shared" si="257"/>
        <v>0</v>
      </c>
      <c r="E76" s="142">
        <f t="shared" si="257"/>
        <v>0</v>
      </c>
      <c r="F76" s="142">
        <f t="shared" si="257"/>
        <v>5.28E-2</v>
      </c>
      <c r="G76" s="142">
        <f t="shared" si="257"/>
        <v>2.5974025974025976E-2</v>
      </c>
      <c r="H76" s="142">
        <f t="shared" si="257"/>
        <v>4.0199217360369972E-2</v>
      </c>
      <c r="I76" s="142">
        <f t="shared" si="257"/>
        <v>4.9174690508940855E-2</v>
      </c>
      <c r="J76" s="142">
        <f t="shared" si="257"/>
        <v>4.4430919050517347E-2</v>
      </c>
      <c r="K76" s="142">
        <f t="shared" si="257"/>
        <v>5.1117318435754192E-2</v>
      </c>
      <c r="L76" s="142">
        <f t="shared" si="257"/>
        <v>6.7241816797767071E-2</v>
      </c>
      <c r="M76" s="142">
        <f t="shared" si="257"/>
        <v>5.9161676646706587E-2</v>
      </c>
      <c r="N76" s="142">
        <f t="shared" si="257"/>
        <v>5.7717533887188456E-2</v>
      </c>
      <c r="O76" s="142">
        <f t="shared" si="257"/>
        <v>6.1695751806804158E-2</v>
      </c>
      <c r="P76" s="142">
        <f t="shared" si="257"/>
        <v>6.716196136701337E-2</v>
      </c>
      <c r="Q76" s="118">
        <f>((P76/G76)^(1/($H$2-$H$1) ))-1</f>
        <v>0.11132907786620572</v>
      </c>
      <c r="R76" s="128"/>
      <c r="S76" s="142">
        <f t="shared" ref="S76" si="258">S31/S55</f>
        <v>6.716196136701337E-2</v>
      </c>
      <c r="T76" s="142">
        <f t="shared" ref="S76:AB76" si="259">T14/T54</f>
        <v>0</v>
      </c>
      <c r="U76" s="142">
        <f t="shared" si="259"/>
        <v>0</v>
      </c>
      <c r="V76" s="142">
        <f t="shared" si="259"/>
        <v>0</v>
      </c>
      <c r="W76" s="142">
        <f t="shared" si="259"/>
        <v>0</v>
      </c>
      <c r="X76" s="142">
        <f t="shared" si="259"/>
        <v>0</v>
      </c>
      <c r="Y76" s="142">
        <f t="shared" si="259"/>
        <v>0</v>
      </c>
      <c r="Z76" s="142">
        <f t="shared" si="259"/>
        <v>0</v>
      </c>
      <c r="AA76" s="142">
        <f t="shared" si="259"/>
        <v>0</v>
      </c>
      <c r="AB76" s="142">
        <f t="shared" si="259"/>
        <v>0</v>
      </c>
      <c r="AC76" s="138">
        <f t="shared" si="232"/>
        <v>-1</v>
      </c>
      <c r="AD76" s="31">
        <v>0.08</v>
      </c>
      <c r="AE76" s="145">
        <f>(AB76*(1+AC76))/($C$1-AD76)</f>
        <v>0</v>
      </c>
    </row>
    <row r="77" spans="2:31">
      <c r="B77" s="20" t="s">
        <v>336</v>
      </c>
      <c r="C77" s="142"/>
      <c r="D77" s="142"/>
      <c r="E77" s="142"/>
      <c r="F77" s="142">
        <f>F51/F55</f>
        <v>0.05</v>
      </c>
      <c r="G77" s="142">
        <f t="shared" ref="G77:P77" si="260">G51/G55</f>
        <v>5.6511056511056514E-2</v>
      </c>
      <c r="H77" s="142">
        <f t="shared" si="260"/>
        <v>3.7353255069370331E-2</v>
      </c>
      <c r="I77" s="142">
        <f t="shared" si="260"/>
        <v>4.6423658872077028E-2</v>
      </c>
      <c r="J77" s="142">
        <f t="shared" si="260"/>
        <v>4.8691418137553254E-2</v>
      </c>
      <c r="K77" s="142">
        <f t="shared" si="260"/>
        <v>5.8100558659217878E-2</v>
      </c>
      <c r="L77" s="142">
        <f t="shared" si="260"/>
        <v>5.9629535650850038E-2</v>
      </c>
      <c r="M77" s="142">
        <f t="shared" si="260"/>
        <v>8.0479041916167671E-2</v>
      </c>
      <c r="N77" s="142">
        <f t="shared" si="260"/>
        <v>9.0730214254481856E-2</v>
      </c>
      <c r="O77" s="142">
        <f t="shared" si="260"/>
        <v>8.8313061872025381E-2</v>
      </c>
      <c r="P77" s="142">
        <f t="shared" si="260"/>
        <v>8.1723625557206539E-2</v>
      </c>
      <c r="Q77" s="118">
        <f>((P77/G77)^(1/($H$2-$H$1) ))-1</f>
        <v>4.1841319549699829E-2</v>
      </c>
      <c r="R77" s="128"/>
      <c r="S77" s="142">
        <f t="shared" ref="S77" si="261">S51/S55</f>
        <v>8.1723625557206525E-2</v>
      </c>
      <c r="T77" s="142"/>
      <c r="U77" s="142"/>
      <c r="V77" s="142"/>
      <c r="W77" s="142"/>
      <c r="X77" s="142"/>
      <c r="Y77" s="142"/>
      <c r="Z77" s="142"/>
      <c r="AA77" s="142"/>
      <c r="AB77" s="142"/>
      <c r="AC77" s="138"/>
      <c r="AD77" s="31"/>
      <c r="AE77" s="145"/>
    </row>
    <row r="78" spans="2:31">
      <c r="B78" s="20"/>
      <c r="C78" s="127"/>
      <c r="D78" s="127"/>
      <c r="E78" s="127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28"/>
      <c r="R78" s="128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39"/>
      <c r="AD78" s="20"/>
      <c r="AE78" s="154"/>
    </row>
    <row r="79" spans="2:31">
      <c r="B79" s="20" t="s">
        <v>330</v>
      </c>
      <c r="C79" s="127"/>
      <c r="D79" s="127"/>
      <c r="E79" s="127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28"/>
      <c r="R79" s="128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39"/>
      <c r="AD79" s="20"/>
      <c r="AE79" s="154"/>
    </row>
    <row r="80" spans="2:31">
      <c r="B80" s="20" t="s">
        <v>331</v>
      </c>
      <c r="C80" s="127"/>
      <c r="D80" s="127"/>
      <c r="E80" s="127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28"/>
      <c r="R80" s="128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39"/>
      <c r="AD80" s="20"/>
      <c r="AE80" s="154"/>
    </row>
    <row r="81" spans="2:31">
      <c r="B81" s="20" t="s">
        <v>332</v>
      </c>
      <c r="C81" s="127"/>
      <c r="D81" s="127"/>
      <c r="E81" s="127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28"/>
      <c r="R81" s="128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39"/>
      <c r="AD81" s="20"/>
      <c r="AE81" s="154"/>
    </row>
    <row r="82" spans="2:31">
      <c r="B82" s="20" t="s">
        <v>335</v>
      </c>
      <c r="C82" s="127"/>
      <c r="D82" s="127"/>
      <c r="E82" s="127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28"/>
      <c r="R82" s="128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39"/>
      <c r="AD82" s="20"/>
      <c r="AE82" s="154"/>
    </row>
    <row r="83" spans="2:31">
      <c r="B83" s="20"/>
      <c r="C83" s="127"/>
      <c r="D83" s="127"/>
      <c r="E83" s="127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28"/>
      <c r="R83" s="128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39"/>
      <c r="AD83" s="20"/>
      <c r="AE83" s="154"/>
    </row>
    <row r="84" spans="2:31">
      <c r="B84" s="20" t="s">
        <v>333</v>
      </c>
      <c r="C84" s="127"/>
      <c r="D84" s="127"/>
      <c r="E84" s="127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28"/>
      <c r="R84" s="128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39"/>
      <c r="AD84" s="20"/>
      <c r="AE84" s="154"/>
    </row>
    <row r="85" spans="2:31">
      <c r="B85" s="20" t="s">
        <v>334</v>
      </c>
      <c r="C85" s="127"/>
      <c r="D85" s="127"/>
      <c r="E85" s="127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28"/>
      <c r="R85" s="128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39"/>
      <c r="AD85" s="20"/>
      <c r="AE85" s="154"/>
    </row>
    <row r="86" spans="2:31">
      <c r="B86" s="20"/>
      <c r="C86" s="127"/>
      <c r="D86" s="127"/>
      <c r="E86" s="127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28"/>
      <c r="R86" s="128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39"/>
      <c r="AD86" s="20"/>
      <c r="AE86" s="154"/>
    </row>
    <row r="87" spans="2:31">
      <c r="B87" s="20" t="s">
        <v>267</v>
      </c>
      <c r="C87" s="159">
        <f>C57</f>
        <v>1</v>
      </c>
      <c r="D87" s="159">
        <f t="shared" ref="D87:P87" si="262">D57</f>
        <v>1</v>
      </c>
      <c r="E87" s="159">
        <f t="shared" si="262"/>
        <v>1</v>
      </c>
      <c r="F87" s="159">
        <f t="shared" si="262"/>
        <v>7</v>
      </c>
      <c r="G87" s="159">
        <f t="shared" si="262"/>
        <v>10</v>
      </c>
      <c r="H87" s="159">
        <f t="shared" si="262"/>
        <v>10</v>
      </c>
      <c r="I87" s="159">
        <f t="shared" si="262"/>
        <v>12</v>
      </c>
      <c r="J87" s="159">
        <f t="shared" si="262"/>
        <v>10</v>
      </c>
      <c r="K87" s="159">
        <f t="shared" si="262"/>
        <v>12</v>
      </c>
      <c r="L87" s="159">
        <f t="shared" si="262"/>
        <v>12</v>
      </c>
      <c r="M87" s="159">
        <f t="shared" si="262"/>
        <v>12</v>
      </c>
      <c r="N87" s="159">
        <f t="shared" si="262"/>
        <v>12</v>
      </c>
      <c r="O87" s="159">
        <f t="shared" si="262"/>
        <v>14</v>
      </c>
      <c r="P87" s="159">
        <f t="shared" si="262"/>
        <v>14</v>
      </c>
      <c r="Q87" s="118">
        <f>((P87/G87)^(1/($H$2-$H$1) ))-1</f>
        <v>3.809344426552097E-2</v>
      </c>
      <c r="R87" s="128"/>
      <c r="S87" s="160">
        <f t="shared" ref="S87:AB87" si="263">S57</f>
        <v>14.56</v>
      </c>
      <c r="T87" s="160">
        <f t="shared" si="263"/>
        <v>15.1424</v>
      </c>
      <c r="U87" s="160">
        <f t="shared" si="263"/>
        <v>15.748096</v>
      </c>
      <c r="V87" s="160">
        <f t="shared" si="263"/>
        <v>16.37801984</v>
      </c>
      <c r="W87" s="160">
        <f t="shared" si="263"/>
        <v>17.033140633600002</v>
      </c>
      <c r="X87" s="160">
        <f t="shared" si="263"/>
        <v>17.714466258944004</v>
      </c>
      <c r="Y87" s="160">
        <f t="shared" si="263"/>
        <v>18.423044909301765</v>
      </c>
      <c r="Z87" s="160">
        <f t="shared" si="263"/>
        <v>19.159966705673838</v>
      </c>
      <c r="AA87" s="160">
        <f t="shared" si="263"/>
        <v>19.926365373900794</v>
      </c>
      <c r="AB87" s="160">
        <f t="shared" si="263"/>
        <v>20.723419988856826</v>
      </c>
      <c r="AC87" s="138">
        <f t="shared" ref="AC87" si="264">((AB87/G87)^(1/($AB$3-$H$1) ))-1</f>
        <v>3.9096458561888037E-2</v>
      </c>
      <c r="AD87" s="31">
        <v>0.08</v>
      </c>
      <c r="AE87" s="145">
        <f>(AB87*(1+AC87))/($C$1-AD87)</f>
        <v>153.81165942651262</v>
      </c>
    </row>
    <row r="88" spans="2:31">
      <c r="B88" s="20"/>
      <c r="C88" s="127"/>
      <c r="D88" s="127"/>
      <c r="E88" s="127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28"/>
      <c r="R88" s="128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39"/>
      <c r="AD88" s="20"/>
      <c r="AE88" s="154"/>
    </row>
    <row r="89" spans="2:31">
      <c r="B89" s="20" t="s">
        <v>293</v>
      </c>
      <c r="C89" s="127">
        <f t="shared" ref="C89:G89" si="265">C18+C19</f>
        <v>0</v>
      </c>
      <c r="D89" s="127">
        <f t="shared" si="265"/>
        <v>0</v>
      </c>
      <c r="E89" s="127">
        <f t="shared" si="265"/>
        <v>0</v>
      </c>
      <c r="F89" s="162">
        <f t="shared" si="265"/>
        <v>-189</v>
      </c>
      <c r="G89" s="142">
        <f t="shared" si="265"/>
        <v>-90</v>
      </c>
      <c r="H89" s="142">
        <f>H18+H19</f>
        <v>77</v>
      </c>
      <c r="I89" s="142">
        <f t="shared" ref="I89:P89" si="266">I18+I19</f>
        <v>147</v>
      </c>
      <c r="J89" s="142">
        <f t="shared" si="266"/>
        <v>-51</v>
      </c>
      <c r="K89" s="142">
        <f t="shared" si="266"/>
        <v>483</v>
      </c>
      <c r="L89" s="142">
        <f t="shared" si="266"/>
        <v>264</v>
      </c>
      <c r="M89" s="142">
        <f t="shared" si="266"/>
        <v>-224</v>
      </c>
      <c r="N89" s="142">
        <f t="shared" si="266"/>
        <v>380</v>
      </c>
      <c r="O89" s="142">
        <f t="shared" si="266"/>
        <v>176</v>
      </c>
      <c r="P89" s="142">
        <f t="shared" si="266"/>
        <v>176</v>
      </c>
      <c r="Q89" s="118">
        <f>((P89/G89)^(1/($H$2-$H$1) ))-1</f>
        <v>-2.0773662112701636</v>
      </c>
      <c r="R89" s="128"/>
      <c r="S89" s="145">
        <f t="shared" ref="S89:AB89" si="267">S18-S19</f>
        <v>354.20000000000005</v>
      </c>
      <c r="T89" s="145">
        <f t="shared" si="267"/>
        <v>389.62000000000012</v>
      </c>
      <c r="U89" s="145">
        <f t="shared" si="267"/>
        <v>428.58200000000011</v>
      </c>
      <c r="V89" s="145">
        <f t="shared" si="267"/>
        <v>471.44020000000017</v>
      </c>
      <c r="W89" s="145">
        <f t="shared" si="267"/>
        <v>518.58422000000019</v>
      </c>
      <c r="X89" s="145">
        <f t="shared" si="267"/>
        <v>570.44264200000021</v>
      </c>
      <c r="Y89" s="145">
        <f t="shared" si="267"/>
        <v>627.48690620000036</v>
      </c>
      <c r="Z89" s="145">
        <f t="shared" si="267"/>
        <v>690.23559682000041</v>
      </c>
      <c r="AA89" s="145">
        <f t="shared" si="267"/>
        <v>759.25915650200045</v>
      </c>
      <c r="AB89" s="145">
        <f t="shared" si="267"/>
        <v>835.18507215220063</v>
      </c>
      <c r="AC89" s="138">
        <f t="shared" ref="AC89:AC94" si="268">((AB89/G89)^(1/($AB$3-$H$1) ))-1</f>
        <v>-2.1244060381804921</v>
      </c>
      <c r="AD89" s="31">
        <v>0.08</v>
      </c>
      <c r="AE89" s="145">
        <f>(AB89*(1+AC89))/($C$1-AD89)</f>
        <v>-6707.7652723296023</v>
      </c>
    </row>
    <row r="90" spans="2:31">
      <c r="B90" s="20"/>
      <c r="C90" s="127"/>
      <c r="D90" s="127"/>
      <c r="E90" s="127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28"/>
      <c r="R90" s="128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38"/>
      <c r="AD90" s="31"/>
      <c r="AE90" s="145"/>
    </row>
    <row r="91" spans="2:31">
      <c r="B91" s="20" t="s">
        <v>294</v>
      </c>
      <c r="C91" s="127">
        <f>C89/C54</f>
        <v>0</v>
      </c>
      <c r="D91" s="127">
        <f>D89/D54</f>
        <v>0</v>
      </c>
      <c r="E91" s="127">
        <f>E89/E54</f>
        <v>0</v>
      </c>
      <c r="F91" s="142">
        <f>F89/F54</f>
        <v>-315</v>
      </c>
      <c r="G91" s="142">
        <f>G89/G54</f>
        <v>-52.941176470588239</v>
      </c>
      <c r="H91" s="142">
        <f>H89/H54</f>
        <v>64.166666666666671</v>
      </c>
      <c r="I91" s="142">
        <f>I89/I54</f>
        <v>86.470588235294116</v>
      </c>
      <c r="J91" s="142">
        <f>J89/J54</f>
        <v>-30</v>
      </c>
      <c r="K91" s="142">
        <f>K89/K54</f>
        <v>89.444444444444443</v>
      </c>
      <c r="L91" s="142">
        <f>L89/L54</f>
        <v>48.888888888888886</v>
      </c>
      <c r="M91" s="142">
        <f>M89/M54</f>
        <v>-41.481481481481481</v>
      </c>
      <c r="N91" s="142">
        <f>N89/N54</f>
        <v>208.79120879120879</v>
      </c>
      <c r="O91" s="142">
        <f>O89/O54</f>
        <v>16.420974062325062</v>
      </c>
      <c r="P91" s="142">
        <f>P89/P54</f>
        <v>16.420974062325062</v>
      </c>
      <c r="Q91" s="118">
        <f>((P91/G91)^(1/($H$2-$H$1) ))-1</f>
        <v>-1.8780347473249397</v>
      </c>
      <c r="R91" s="128"/>
      <c r="S91" s="145">
        <f>S89/S54</f>
        <v>30.042918454935624</v>
      </c>
      <c r="T91" s="145">
        <f>T89/T54</f>
        <v>30.042918454935627</v>
      </c>
      <c r="U91" s="145">
        <f>U89/U54</f>
        <v>30.042918454935624</v>
      </c>
      <c r="V91" s="145">
        <f>V89/V54</f>
        <v>30.042918454935624</v>
      </c>
      <c r="W91" s="145">
        <f>W89/W54</f>
        <v>30.04291845493562</v>
      </c>
      <c r="X91" s="145">
        <f>X89/X54</f>
        <v>30.042918454935617</v>
      </c>
      <c r="Y91" s="145">
        <f>Y89/Y54</f>
        <v>30.042918454935624</v>
      </c>
      <c r="Z91" s="145">
        <f>Z89/Z54</f>
        <v>30.04291845493562</v>
      </c>
      <c r="AA91" s="145">
        <f>AA89/AA54</f>
        <v>30.04291845493562</v>
      </c>
      <c r="AB91" s="145">
        <f>AB89/AB54</f>
        <v>30.04291845493562</v>
      </c>
      <c r="AC91" s="138">
        <f t="shared" si="268"/>
        <v>-1.9706215349621983</v>
      </c>
      <c r="AD91" s="31">
        <v>0.08</v>
      </c>
      <c r="AE91" s="145">
        <f>(AB91*(1+AC91))/($C$1-AD91)</f>
        <v>-208.28788303909832</v>
      </c>
    </row>
    <row r="92" spans="2:31">
      <c r="B92" s="20" t="s">
        <v>271</v>
      </c>
      <c r="C92" s="127">
        <f t="shared" ref="C92:P92" si="269">C18/C54</f>
        <v>0</v>
      </c>
      <c r="D92" s="127">
        <f t="shared" si="269"/>
        <v>0</v>
      </c>
      <c r="E92" s="127">
        <f t="shared" si="269"/>
        <v>0</v>
      </c>
      <c r="F92" s="142">
        <f t="shared" si="269"/>
        <v>-276.66666666666669</v>
      </c>
      <c r="G92" s="142">
        <f t="shared" si="269"/>
        <v>-39.411764705882355</v>
      </c>
      <c r="H92" s="142">
        <f t="shared" si="269"/>
        <v>89.166666666666671</v>
      </c>
      <c r="I92" s="142">
        <f t="shared" si="269"/>
        <v>97.64705882352942</v>
      </c>
      <c r="J92" s="142">
        <f t="shared" si="269"/>
        <v>-18.235294117647058</v>
      </c>
      <c r="K92" s="142">
        <f t="shared" si="269"/>
        <v>95.370370370370367</v>
      </c>
      <c r="L92" s="142">
        <f t="shared" si="269"/>
        <v>52.407407407407405</v>
      </c>
      <c r="M92" s="142">
        <f t="shared" si="269"/>
        <v>-33.333333333333329</v>
      </c>
      <c r="N92" s="142">
        <f t="shared" si="269"/>
        <v>264.83516483516485</v>
      </c>
      <c r="O92" s="142">
        <f t="shared" si="269"/>
        <v>23.231946258630341</v>
      </c>
      <c r="P92" s="142">
        <f t="shared" si="269"/>
        <v>23.231946258630341</v>
      </c>
      <c r="Q92" s="118">
        <f>((P92/G92)^(1/($H$2-$H$1) ))-1</f>
        <v>-1.9429648921559801</v>
      </c>
      <c r="R92" s="128"/>
      <c r="S92" s="145">
        <f t="shared" ref="S92:AB92" si="270">S18/S54</f>
        <v>23.231946258630341</v>
      </c>
      <c r="T92" s="145">
        <f t="shared" si="270"/>
        <v>23.231946258630344</v>
      </c>
      <c r="U92" s="145">
        <f t="shared" si="270"/>
        <v>23.231946258630341</v>
      </c>
      <c r="V92" s="145">
        <f t="shared" si="270"/>
        <v>23.231946258630341</v>
      </c>
      <c r="W92" s="145">
        <f t="shared" si="270"/>
        <v>23.231946258630341</v>
      </c>
      <c r="X92" s="145">
        <f t="shared" si="270"/>
        <v>23.231946258630337</v>
      </c>
      <c r="Y92" s="145">
        <f t="shared" si="270"/>
        <v>23.231946258630341</v>
      </c>
      <c r="Z92" s="145">
        <f t="shared" si="270"/>
        <v>23.231946258630337</v>
      </c>
      <c r="AA92" s="145">
        <f t="shared" si="270"/>
        <v>23.231946258630341</v>
      </c>
      <c r="AB92" s="145">
        <f t="shared" si="270"/>
        <v>23.231946258630337</v>
      </c>
      <c r="AC92" s="138">
        <f t="shared" si="268"/>
        <v>-1.972565662517797</v>
      </c>
      <c r="AD92" s="31">
        <v>0.08</v>
      </c>
      <c r="AE92" s="145">
        <f>(AB92*(1+AC92))/($C$1-AD92)</f>
        <v>-161.38995146144759</v>
      </c>
    </row>
    <row r="93" spans="2:31">
      <c r="B93" s="20" t="s">
        <v>272</v>
      </c>
      <c r="C93" s="127">
        <f t="shared" ref="C93:P93" si="271">C19/C54</f>
        <v>0</v>
      </c>
      <c r="D93" s="127">
        <f t="shared" si="271"/>
        <v>0</v>
      </c>
      <c r="E93" s="127">
        <f t="shared" si="271"/>
        <v>0</v>
      </c>
      <c r="F93" s="142">
        <f t="shared" si="271"/>
        <v>-38.333333333333336</v>
      </c>
      <c r="G93" s="142">
        <f t="shared" si="271"/>
        <v>-13.529411764705882</v>
      </c>
      <c r="H93" s="142">
        <f t="shared" si="271"/>
        <v>-25</v>
      </c>
      <c r="I93" s="142">
        <f t="shared" si="271"/>
        <v>-11.176470588235295</v>
      </c>
      <c r="J93" s="142">
        <f t="shared" si="271"/>
        <v>-11.764705882352942</v>
      </c>
      <c r="K93" s="142">
        <f t="shared" si="271"/>
        <v>-5.9259259259259256</v>
      </c>
      <c r="L93" s="142">
        <f t="shared" si="271"/>
        <v>-3.5185185185185182</v>
      </c>
      <c r="M93" s="142">
        <f t="shared" si="271"/>
        <v>-8.148148148148147</v>
      </c>
      <c r="N93" s="142">
        <f t="shared" si="271"/>
        <v>-56.043956043956044</v>
      </c>
      <c r="O93" s="142">
        <f t="shared" si="271"/>
        <v>-6.8109721963052809</v>
      </c>
      <c r="P93" s="142">
        <f t="shared" si="271"/>
        <v>-6.8109721963052809</v>
      </c>
      <c r="Q93" s="118">
        <f>((P93/G93)^(1/($H$2-$H$1) ))-1</f>
        <v>-7.342381751395588E-2</v>
      </c>
      <c r="R93" s="128"/>
      <c r="S93" s="145">
        <f t="shared" ref="S93:AB93" si="272">S19/S54</f>
        <v>-6.8109721963052809</v>
      </c>
      <c r="T93" s="145">
        <f t="shared" si="272"/>
        <v>-6.8109721963052818</v>
      </c>
      <c r="U93" s="145">
        <f t="shared" si="272"/>
        <v>-6.8109721963052818</v>
      </c>
      <c r="V93" s="145">
        <f t="shared" si="272"/>
        <v>-6.8109721963052818</v>
      </c>
      <c r="W93" s="145">
        <f t="shared" si="272"/>
        <v>-6.8109721963052818</v>
      </c>
      <c r="X93" s="145">
        <f t="shared" si="272"/>
        <v>-6.8109721963052809</v>
      </c>
      <c r="Y93" s="145">
        <f t="shared" si="272"/>
        <v>-6.8109721963052818</v>
      </c>
      <c r="Z93" s="145">
        <f t="shared" si="272"/>
        <v>-6.8109721963052809</v>
      </c>
      <c r="AA93" s="145">
        <f t="shared" si="272"/>
        <v>-6.8109721963052818</v>
      </c>
      <c r="AB93" s="145">
        <f t="shared" si="272"/>
        <v>-6.8109721963052818</v>
      </c>
      <c r="AC93" s="138">
        <f t="shared" si="268"/>
        <v>-3.5478050202433331E-2</v>
      </c>
      <c r="AD93" s="31">
        <v>0.08</v>
      </c>
      <c r="AE93" s="145">
        <f>(AB93*(1+AC93))/($C$1-AD93)</f>
        <v>-46.923801305695605</v>
      </c>
    </row>
    <row r="94" spans="2:31">
      <c r="B94" s="20" t="s">
        <v>273</v>
      </c>
      <c r="C94" s="127">
        <f t="shared" ref="C94:P94" si="273">C20/C54</f>
        <v>0</v>
      </c>
      <c r="D94" s="127">
        <f t="shared" si="273"/>
        <v>0</v>
      </c>
      <c r="E94" s="127">
        <f t="shared" si="273"/>
        <v>0</v>
      </c>
      <c r="F94" s="142">
        <f t="shared" si="273"/>
        <v>31.666666666666668</v>
      </c>
      <c r="G94" s="142">
        <f t="shared" si="273"/>
        <v>-0.80588235294117661</v>
      </c>
      <c r="H94" s="142">
        <f t="shared" si="273"/>
        <v>-16.666666666666668</v>
      </c>
      <c r="I94" s="142">
        <f t="shared" si="273"/>
        <v>-12.352941176470589</v>
      </c>
      <c r="J94" s="142">
        <f t="shared" si="273"/>
        <v>24.117647058823529</v>
      </c>
      <c r="K94" s="142">
        <f t="shared" si="273"/>
        <v>-12.592592592592592</v>
      </c>
      <c r="L94" s="142">
        <f t="shared" si="273"/>
        <v>-14.074074074074073</v>
      </c>
      <c r="M94" s="142">
        <f t="shared" si="273"/>
        <v>15.74074074074074</v>
      </c>
      <c r="N94" s="142">
        <f t="shared" si="273"/>
        <v>87.912087912087912</v>
      </c>
      <c r="O94" s="142">
        <f t="shared" si="273"/>
        <v>7.8372830752005971</v>
      </c>
      <c r="P94" s="142">
        <f t="shared" si="273"/>
        <v>7.8372830752005971</v>
      </c>
      <c r="Q94" s="118">
        <f>((P94/G94)^(1/($H$2-$H$1) ))-1</f>
        <v>-2.2875555864361212</v>
      </c>
      <c r="R94" s="128"/>
      <c r="S94" s="145">
        <f t="shared" ref="S94:AB94" si="274">S20/S54</f>
        <v>7.8372830752005971</v>
      </c>
      <c r="T94" s="145">
        <f t="shared" si="274"/>
        <v>7.8372830752005971</v>
      </c>
      <c r="U94" s="145">
        <f t="shared" si="274"/>
        <v>7.8372830752005971</v>
      </c>
      <c r="V94" s="145">
        <f t="shared" si="274"/>
        <v>7.8372830752005962</v>
      </c>
      <c r="W94" s="145">
        <f t="shared" si="274"/>
        <v>7.8372830752005971</v>
      </c>
      <c r="X94" s="145">
        <f t="shared" si="274"/>
        <v>7.8372830752005962</v>
      </c>
      <c r="Y94" s="145">
        <f t="shared" si="274"/>
        <v>7.8372830752005962</v>
      </c>
      <c r="Z94" s="145">
        <f t="shared" si="274"/>
        <v>7.8372830752005962</v>
      </c>
      <c r="AA94" s="145">
        <f t="shared" si="274"/>
        <v>7.8372830752005962</v>
      </c>
      <c r="AB94" s="145">
        <f t="shared" si="274"/>
        <v>7.8372830752005962</v>
      </c>
      <c r="AC94" s="138">
        <f t="shared" si="268"/>
        <v>-2.1271829609315125</v>
      </c>
      <c r="AD94" s="31">
        <v>0.08</v>
      </c>
      <c r="AE94" s="145">
        <f>(AB94*(1+AC94))/($C$1-AD94)</f>
        <v>-63.100371016878839</v>
      </c>
    </row>
    <row r="95" spans="2:31">
      <c r="B95" s="20" t="s">
        <v>277</v>
      </c>
      <c r="C95" s="127">
        <f t="shared" ref="C95:P95" si="275">C21/C54</f>
        <v>0</v>
      </c>
      <c r="D95" s="127">
        <f t="shared" si="275"/>
        <v>0</v>
      </c>
      <c r="E95" s="127">
        <f t="shared" si="275"/>
        <v>0</v>
      </c>
      <c r="F95" s="142">
        <f t="shared" si="275"/>
        <v>1148.3333333333335</v>
      </c>
      <c r="G95" s="142">
        <f t="shared" si="275"/>
        <v>351.76470588235293</v>
      </c>
      <c r="H95" s="142">
        <f t="shared" si="275"/>
        <v>545.83333333333337</v>
      </c>
      <c r="I95" s="142">
        <f t="shared" si="275"/>
        <v>460</v>
      </c>
      <c r="J95" s="142">
        <f t="shared" si="275"/>
        <v>454.11764705882354</v>
      </c>
      <c r="K95" s="142">
        <f t="shared" si="275"/>
        <v>219.81481481481481</v>
      </c>
      <c r="L95" s="142">
        <f t="shared" si="275"/>
        <v>254.44444444444443</v>
      </c>
      <c r="M95" s="142">
        <f t="shared" si="275"/>
        <v>228.7037037037037</v>
      </c>
      <c r="N95" s="142">
        <f t="shared" si="275"/>
        <v>974.72527472527474</v>
      </c>
      <c r="O95" s="142">
        <f t="shared" si="275"/>
        <v>189.86751259563351</v>
      </c>
      <c r="P95" s="142">
        <f t="shared" si="275"/>
        <v>189.86751259563351</v>
      </c>
      <c r="Q95" s="118">
        <f>((P95/G95)^(1/($H$2-$H$1) ))-1</f>
        <v>-6.6220647965275381E-2</v>
      </c>
      <c r="R95" s="128"/>
      <c r="S95" s="145">
        <f t="shared" ref="S95:AB95" si="276">S21/S54</f>
        <v>189.86751259563349</v>
      </c>
      <c r="T95" s="145">
        <f t="shared" si="276"/>
        <v>189.86751259563351</v>
      </c>
      <c r="U95" s="145">
        <f t="shared" si="276"/>
        <v>189.86751259563349</v>
      </c>
      <c r="V95" s="145">
        <f t="shared" si="276"/>
        <v>189.86751259563349</v>
      </c>
      <c r="W95" s="145">
        <f t="shared" si="276"/>
        <v>189.86751259563349</v>
      </c>
      <c r="X95" s="145">
        <f t="shared" si="276"/>
        <v>189.86751259563349</v>
      </c>
      <c r="Y95" s="145">
        <f t="shared" si="276"/>
        <v>189.86751259563351</v>
      </c>
      <c r="Z95" s="145">
        <f t="shared" si="276"/>
        <v>189.86751259563351</v>
      </c>
      <c r="AA95" s="145">
        <f t="shared" si="276"/>
        <v>189.86751259563354</v>
      </c>
      <c r="AB95" s="145">
        <f t="shared" si="276"/>
        <v>189.86751259563351</v>
      </c>
      <c r="AC95" s="138">
        <f t="shared" ref="AC95" si="277">((AB95/G95)^(1/($AB$3-$H$1) ))-1</f>
        <v>-3.1933528402101619E-2</v>
      </c>
      <c r="AD95" s="31">
        <v>0.08</v>
      </c>
      <c r="AE95" s="145">
        <f>(AB95*(1+AC95))/($C$1-AD95)</f>
        <v>1312.8883784966033</v>
      </c>
    </row>
    <row r="96" spans="2:31">
      <c r="B96" s="20"/>
      <c r="C96" s="127"/>
      <c r="D96" s="127"/>
      <c r="E96" s="127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28"/>
      <c r="R96" s="128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39"/>
      <c r="AD96" s="20"/>
      <c r="AE96" s="154"/>
    </row>
    <row r="97" spans="2:31">
      <c r="B97" s="20" t="s">
        <v>313</v>
      </c>
      <c r="C97" s="142">
        <f t="shared" ref="C97:O97" si="278">C49/C54</f>
        <v>0</v>
      </c>
      <c r="D97" s="142">
        <f t="shared" si="278"/>
        <v>0</v>
      </c>
      <c r="E97" s="142">
        <f t="shared" si="278"/>
        <v>0</v>
      </c>
      <c r="F97" s="142">
        <f t="shared" si="278"/>
        <v>1.6666666666666667</v>
      </c>
      <c r="G97" s="142">
        <f t="shared" si="278"/>
        <v>0.58823529411764708</v>
      </c>
      <c r="H97" s="142">
        <f t="shared" si="278"/>
        <v>0.83333333333333337</v>
      </c>
      <c r="I97" s="142">
        <f t="shared" si="278"/>
        <v>0.58823529411764708</v>
      </c>
      <c r="J97" s="142">
        <f t="shared" si="278"/>
        <v>0.58823529411764708</v>
      </c>
      <c r="K97" s="142">
        <f t="shared" si="278"/>
        <v>2.0370370370370368</v>
      </c>
      <c r="L97" s="142">
        <f t="shared" si="278"/>
        <v>0.18518518518518517</v>
      </c>
      <c r="M97" s="142">
        <f t="shared" si="278"/>
        <v>0.18518518518518517</v>
      </c>
      <c r="N97" s="142">
        <f t="shared" si="278"/>
        <v>0.54945054945054939</v>
      </c>
      <c r="O97" s="142">
        <f t="shared" si="278"/>
        <v>67.709460720283644</v>
      </c>
      <c r="P97" s="142">
        <f>P49/P54</f>
        <v>79.119238663929835</v>
      </c>
      <c r="Q97" s="118">
        <f>((P97/G97)^(1/($H$2-$H$1) ))-1</f>
        <v>0.72395398238172848</v>
      </c>
      <c r="R97" s="128"/>
      <c r="S97" s="142">
        <f>S49/S54</f>
        <v>79.119238663929835</v>
      </c>
      <c r="T97" s="142">
        <f t="shared" ref="T97:AB97" si="279">T49/T54</f>
        <v>79.119238663929835</v>
      </c>
      <c r="U97" s="142">
        <f t="shared" si="279"/>
        <v>79.119238663929835</v>
      </c>
      <c r="V97" s="142">
        <f t="shared" si="279"/>
        <v>79.119238663929835</v>
      </c>
      <c r="W97" s="142">
        <f t="shared" si="279"/>
        <v>79.119238663929835</v>
      </c>
      <c r="X97" s="142">
        <f t="shared" si="279"/>
        <v>79.119238663929835</v>
      </c>
      <c r="Y97" s="142">
        <f t="shared" si="279"/>
        <v>79.119238663929849</v>
      </c>
      <c r="Z97" s="142">
        <f t="shared" si="279"/>
        <v>79.119238663929835</v>
      </c>
      <c r="AA97" s="142">
        <f t="shared" si="279"/>
        <v>79.119238663929835</v>
      </c>
      <c r="AB97" s="142">
        <f t="shared" si="279"/>
        <v>79.119238663929835</v>
      </c>
      <c r="AC97" s="138">
        <f t="shared" ref="AC97:AC99" si="280">((AB97/G97)^(1/($AB$3-$H$1) ))-1</f>
        <v>0.29431050123819369</v>
      </c>
      <c r="AD97" s="31">
        <v>0.08</v>
      </c>
      <c r="AE97" s="145">
        <f>(AB97*(1+AC97))/($C$1-AD97)</f>
        <v>731.46329609068061</v>
      </c>
    </row>
    <row r="98" spans="2:31">
      <c r="B98" s="20" t="s">
        <v>314</v>
      </c>
      <c r="C98" s="142">
        <f t="shared" ref="C98:O98" si="281">C51/C54</f>
        <v>0</v>
      </c>
      <c r="D98" s="142">
        <f t="shared" si="281"/>
        <v>0</v>
      </c>
      <c r="E98" s="142">
        <f t="shared" si="281"/>
        <v>0</v>
      </c>
      <c r="F98" s="142">
        <f t="shared" si="281"/>
        <v>208.33333333333334</v>
      </c>
      <c r="G98" s="142">
        <f t="shared" si="281"/>
        <v>94.705882352941174</v>
      </c>
      <c r="H98" s="142">
        <f t="shared" si="281"/>
        <v>87.5</v>
      </c>
      <c r="I98" s="142">
        <f t="shared" si="281"/>
        <v>79.411764705882348</v>
      </c>
      <c r="J98" s="142">
        <f t="shared" si="281"/>
        <v>94.117647058823536</v>
      </c>
      <c r="K98" s="142">
        <f t="shared" si="281"/>
        <v>38.518518518518519</v>
      </c>
      <c r="L98" s="142">
        <f t="shared" si="281"/>
        <v>43.518518518518519</v>
      </c>
      <c r="M98" s="142">
        <f t="shared" si="281"/>
        <v>62.222222222222221</v>
      </c>
      <c r="N98" s="142">
        <f t="shared" si="281"/>
        <v>228.02197802197801</v>
      </c>
      <c r="O98" s="142">
        <f t="shared" si="281"/>
        <v>46.74379548423213</v>
      </c>
      <c r="P98" s="142">
        <f>P51/P54</f>
        <v>51.315543944765814</v>
      </c>
      <c r="Q98" s="118">
        <f>((P98/G98)^(1/($H$2-$H$1) ))-1</f>
        <v>-6.5820741972314134E-2</v>
      </c>
      <c r="R98" s="128"/>
      <c r="S98" s="142">
        <f>S51/S54</f>
        <v>51.315543944765807</v>
      </c>
      <c r="T98" s="142">
        <f t="shared" ref="T98:AB98" si="282">T51/T54</f>
        <v>51.315543944765807</v>
      </c>
      <c r="U98" s="142">
        <f t="shared" si="282"/>
        <v>51.315543944765807</v>
      </c>
      <c r="V98" s="142">
        <f t="shared" si="282"/>
        <v>51.3155439447658</v>
      </c>
      <c r="W98" s="142">
        <f t="shared" si="282"/>
        <v>51.315543944765807</v>
      </c>
      <c r="X98" s="142">
        <f t="shared" si="282"/>
        <v>51.3155439447658</v>
      </c>
      <c r="Y98" s="142">
        <f t="shared" si="282"/>
        <v>51.3155439447658</v>
      </c>
      <c r="Z98" s="142">
        <f t="shared" si="282"/>
        <v>51.315543944765793</v>
      </c>
      <c r="AA98" s="142">
        <f t="shared" si="282"/>
        <v>51.3155439447658</v>
      </c>
      <c r="AB98" s="142">
        <f t="shared" si="282"/>
        <v>51.3155439447658</v>
      </c>
      <c r="AC98" s="138">
        <f t="shared" si="280"/>
        <v>-3.1737165792287803E-2</v>
      </c>
      <c r="AD98" s="31">
        <v>0.08</v>
      </c>
      <c r="AE98" s="145">
        <f>(AB98*(1+AC98))/($C$1-AD98)</f>
        <v>354.90667156335235</v>
      </c>
    </row>
    <row r="99" spans="2:31">
      <c r="B99" s="20" t="s">
        <v>315</v>
      </c>
      <c r="C99" s="142">
        <f t="shared" ref="C99:P99" si="283">C6/C54</f>
        <v>0</v>
      </c>
      <c r="D99" s="142">
        <f t="shared" si="283"/>
        <v>0</v>
      </c>
      <c r="E99" s="142">
        <f t="shared" si="283"/>
        <v>0</v>
      </c>
      <c r="F99" s="142">
        <f t="shared" si="283"/>
        <v>903.33333333333337</v>
      </c>
      <c r="G99" s="142">
        <f t="shared" si="283"/>
        <v>408.23529411764707</v>
      </c>
      <c r="H99" s="142">
        <f t="shared" si="283"/>
        <v>619.16666666666674</v>
      </c>
      <c r="I99" s="142">
        <f t="shared" si="283"/>
        <v>502.35294117647061</v>
      </c>
      <c r="J99" s="142">
        <f t="shared" si="283"/>
        <v>596.47058823529414</v>
      </c>
      <c r="K99" s="142">
        <f t="shared" si="283"/>
        <v>210.37037037037035</v>
      </c>
      <c r="L99" s="142">
        <f t="shared" si="283"/>
        <v>239.99999999999997</v>
      </c>
      <c r="M99" s="142">
        <f t="shared" si="283"/>
        <v>289.81481481481478</v>
      </c>
      <c r="N99" s="142">
        <f t="shared" si="283"/>
        <v>1109.8901098901099</v>
      </c>
      <c r="O99" s="142">
        <f t="shared" si="283"/>
        <v>242.67587236424706</v>
      </c>
      <c r="P99" s="142">
        <f t="shared" si="283"/>
        <v>277.85034521365924</v>
      </c>
      <c r="Q99" s="118">
        <f>((P99/G99)^(1/($H$2-$H$1) ))-1</f>
        <v>-4.1850280382823124E-2</v>
      </c>
      <c r="R99" s="128"/>
      <c r="S99" s="142">
        <f t="shared" ref="S99:AB99" si="284">S6/S54</f>
        <v>277.85034521365924</v>
      </c>
      <c r="T99" s="142">
        <f t="shared" si="284"/>
        <v>277.85034521365924</v>
      </c>
      <c r="U99" s="142">
        <f t="shared" si="284"/>
        <v>277.85034521365924</v>
      </c>
      <c r="V99" s="142">
        <f t="shared" si="284"/>
        <v>277.85034521365924</v>
      </c>
      <c r="W99" s="142">
        <f t="shared" si="284"/>
        <v>277.8503452136593</v>
      </c>
      <c r="X99" s="142">
        <f t="shared" si="284"/>
        <v>277.85034521365924</v>
      </c>
      <c r="Y99" s="142">
        <f t="shared" si="284"/>
        <v>277.85034521365924</v>
      </c>
      <c r="Z99" s="142">
        <f t="shared" si="284"/>
        <v>277.85034521365924</v>
      </c>
      <c r="AA99" s="142">
        <f t="shared" si="284"/>
        <v>277.8503452136593</v>
      </c>
      <c r="AB99" s="142">
        <f t="shared" si="284"/>
        <v>277.85034521365924</v>
      </c>
      <c r="AC99" s="138">
        <f t="shared" si="280"/>
        <v>-2.004691654406221E-2</v>
      </c>
      <c r="AD99" s="31">
        <v>0.08</v>
      </c>
      <c r="AE99" s="145">
        <f>(AB99*(1+AC99))/($C$1-AD99)</f>
        <v>1944.8593037958722</v>
      </c>
    </row>
    <row r="100" spans="2:31">
      <c r="B100" s="20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28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38"/>
      <c r="AD100" s="31"/>
      <c r="AE100" s="145"/>
    </row>
    <row r="101" spans="2:31">
      <c r="B101" s="20" t="s">
        <v>328</v>
      </c>
      <c r="C101" s="127"/>
      <c r="D101" s="127"/>
      <c r="E101" s="127"/>
      <c r="F101" s="152">
        <f>F29/F23</f>
        <v>0.65286997266692703</v>
      </c>
      <c r="G101" s="152">
        <f t="shared" ref="G101:P101" si="285">G29/G23</f>
        <v>0.68059549991541191</v>
      </c>
      <c r="H101" s="152">
        <f t="shared" si="285"/>
        <v>0.69244604316546765</v>
      </c>
      <c r="I101" s="152">
        <f t="shared" si="285"/>
        <v>0.7332365364308342</v>
      </c>
      <c r="J101" s="152">
        <f t="shared" si="285"/>
        <v>0.75374732334047112</v>
      </c>
      <c r="K101" s="152">
        <f t="shared" si="285"/>
        <v>0.75097648465524114</v>
      </c>
      <c r="L101" s="152">
        <f t="shared" si="285"/>
        <v>0.6893583206410171</v>
      </c>
      <c r="M101" s="152">
        <f t="shared" si="285"/>
        <v>0.70043069897773858</v>
      </c>
      <c r="N101" s="152">
        <f t="shared" si="285"/>
        <v>0.72064236883621213</v>
      </c>
      <c r="O101" s="152">
        <f t="shared" si="285"/>
        <v>0.74585033166204728</v>
      </c>
      <c r="P101" s="152">
        <f t="shared" si="285"/>
        <v>0.76853025638372185</v>
      </c>
      <c r="Q101" s="118">
        <f>((P101/G101)^(1/($H$2-$H$1) ))-1</f>
        <v>1.3592863444786829E-2</v>
      </c>
      <c r="R101" s="128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39"/>
      <c r="AD101" s="20"/>
      <c r="AE101" s="154"/>
    </row>
    <row r="102" spans="2:31">
      <c r="B102" s="20"/>
      <c r="C102" s="127"/>
      <c r="D102" s="127"/>
      <c r="E102" s="127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28"/>
      <c r="R102" s="128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39"/>
      <c r="AD102" s="20"/>
      <c r="AE102" s="154"/>
    </row>
    <row r="103" spans="2:31">
      <c r="B103" s="108" t="s">
        <v>290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</row>
    <row r="104" spans="2:31">
      <c r="B104" s="20" t="s">
        <v>288</v>
      </c>
      <c r="C104" s="152" t="e">
        <f t="shared" ref="C104:P104" si="286">C49/C33</f>
        <v>#DIV/0!</v>
      </c>
      <c r="D104" s="152" t="e">
        <f t="shared" si="286"/>
        <v>#DIV/0!</v>
      </c>
      <c r="E104" s="152" t="e">
        <f t="shared" si="286"/>
        <v>#DIV/0!</v>
      </c>
      <c r="F104" s="152">
        <f t="shared" si="286"/>
        <v>1.5432098765432098E-3</v>
      </c>
      <c r="G104" s="152">
        <f t="shared" si="286"/>
        <v>1.3850415512465374E-3</v>
      </c>
      <c r="H104" s="152">
        <f t="shared" si="286"/>
        <v>1.4204545454545455E-3</v>
      </c>
      <c r="I104" s="152">
        <f t="shared" si="286"/>
        <v>1.2594458438287153E-3</v>
      </c>
      <c r="J104" s="152">
        <f t="shared" si="286"/>
        <v>9.871668311944718E-4</v>
      </c>
      <c r="K104" s="152">
        <f t="shared" si="286"/>
        <v>8.3523158694001516E-3</v>
      </c>
      <c r="L104" s="152">
        <f t="shared" si="286"/>
        <v>5.8445353594389242E-4</v>
      </c>
      <c r="M104" s="152">
        <f t="shared" si="286"/>
        <v>5.0000000000000001E-4</v>
      </c>
      <c r="N104" s="152">
        <f t="shared" si="286"/>
        <v>4.0290088638195002E-4</v>
      </c>
      <c r="O104" s="152">
        <f t="shared" si="286"/>
        <v>0.20047237569060775</v>
      </c>
      <c r="P104" s="152">
        <f t="shared" si="286"/>
        <v>0.18061767838125667</v>
      </c>
      <c r="Q104" s="118">
        <f>((P104/G104)^(1/($H$2-$H$1) ))-1</f>
        <v>0.71803912712890061</v>
      </c>
      <c r="R104" s="152"/>
      <c r="S104" s="152">
        <f t="shared" ref="S104:AB104" si="287">S49/S33</f>
        <v>0.18061767838125667</v>
      </c>
      <c r="T104" s="152">
        <f t="shared" si="287"/>
        <v>0.18061767838125667</v>
      </c>
      <c r="U104" s="152">
        <f t="shared" si="287"/>
        <v>0.18061767838125667</v>
      </c>
      <c r="V104" s="152">
        <f t="shared" si="287"/>
        <v>0.1806176783812567</v>
      </c>
      <c r="W104" s="152">
        <f t="shared" si="287"/>
        <v>0.18061767838125667</v>
      </c>
      <c r="X104" s="152">
        <f t="shared" si="287"/>
        <v>0.18061767838125667</v>
      </c>
      <c r="Y104" s="152">
        <f t="shared" si="287"/>
        <v>0.1806176783812567</v>
      </c>
      <c r="Z104" s="152">
        <f t="shared" si="287"/>
        <v>0.1806176783812567</v>
      </c>
      <c r="AA104" s="152">
        <f t="shared" si="287"/>
        <v>0.1806176783812567</v>
      </c>
      <c r="AB104" s="152">
        <f t="shared" si="287"/>
        <v>0.1806176783812567</v>
      </c>
      <c r="AC104" s="138">
        <f t="shared" ref="AC104:AC106" si="288">((AB104/G104)^(1/($AB$3-$H$1) ))-1</f>
        <v>0.29220508259616174</v>
      </c>
      <c r="AD104" s="145"/>
      <c r="AE104" s="145"/>
    </row>
    <row r="105" spans="2:31">
      <c r="B105" s="20" t="s">
        <v>259</v>
      </c>
      <c r="C105" s="152" t="e">
        <f t="shared" ref="C105:P105" si="289">C51/C33</f>
        <v>#DIV/0!</v>
      </c>
      <c r="D105" s="152" t="e">
        <f t="shared" si="289"/>
        <v>#DIV/0!</v>
      </c>
      <c r="E105" s="152" t="e">
        <f t="shared" si="289"/>
        <v>#DIV/0!</v>
      </c>
      <c r="F105" s="152">
        <f t="shared" si="289"/>
        <v>0.19290123456790123</v>
      </c>
      <c r="G105" s="152">
        <f t="shared" si="289"/>
        <v>0.22299168975069253</v>
      </c>
      <c r="H105" s="152">
        <f t="shared" si="289"/>
        <v>0.14914772727272727</v>
      </c>
      <c r="I105" s="152">
        <f t="shared" si="289"/>
        <v>0.17002518891687657</v>
      </c>
      <c r="J105" s="152">
        <f t="shared" si="289"/>
        <v>0.15794669299111549</v>
      </c>
      <c r="K105" s="152">
        <f t="shared" si="289"/>
        <v>0.15793470007593013</v>
      </c>
      <c r="L105" s="152">
        <f t="shared" si="289"/>
        <v>0.13734658094681473</v>
      </c>
      <c r="M105" s="152">
        <f t="shared" si="289"/>
        <v>0.16800000000000001</v>
      </c>
      <c r="N105" s="152">
        <f t="shared" si="289"/>
        <v>0.16720386784850927</v>
      </c>
      <c r="O105" s="152">
        <f t="shared" si="289"/>
        <v>0.13839779005524863</v>
      </c>
      <c r="P105" s="152">
        <f t="shared" si="289"/>
        <v>0.11714589989350373</v>
      </c>
      <c r="Q105" s="118">
        <f>((P105/G105)^(1/($H$2-$H$1) ))-1</f>
        <v>-6.9025894283743172E-2</v>
      </c>
      <c r="R105" s="152"/>
      <c r="S105" s="152">
        <f t="shared" ref="S105:AB105" si="290">S51/S33</f>
        <v>0.11714589989350373</v>
      </c>
      <c r="T105" s="152">
        <f t="shared" si="290"/>
        <v>0.11714589989350371</v>
      </c>
      <c r="U105" s="152">
        <f t="shared" si="290"/>
        <v>0.11714589989350371</v>
      </c>
      <c r="V105" s="152">
        <f t="shared" si="290"/>
        <v>0.11714589989350371</v>
      </c>
      <c r="W105" s="152">
        <f t="shared" si="290"/>
        <v>0.11714589989350371</v>
      </c>
      <c r="X105" s="152">
        <f t="shared" si="290"/>
        <v>0.1171458998935037</v>
      </c>
      <c r="Y105" s="152">
        <f t="shared" si="290"/>
        <v>0.11714589989350371</v>
      </c>
      <c r="Z105" s="152">
        <f t="shared" si="290"/>
        <v>0.11714589989350371</v>
      </c>
      <c r="AA105" s="152">
        <f t="shared" si="290"/>
        <v>0.11714589989350371</v>
      </c>
      <c r="AB105" s="152">
        <f t="shared" si="290"/>
        <v>0.11714589989350371</v>
      </c>
      <c r="AC105" s="138">
        <f t="shared" si="288"/>
        <v>-3.3312211826123872E-2</v>
      </c>
      <c r="AD105" s="145"/>
      <c r="AE105" s="145"/>
    </row>
    <row r="106" spans="2:31">
      <c r="B106" s="20" t="s">
        <v>289</v>
      </c>
      <c r="C106" s="152" t="e">
        <f t="shared" ref="C106:P106" si="291">C51/C7</f>
        <v>#DIV/0!</v>
      </c>
      <c r="D106" s="152" t="e">
        <f t="shared" si="291"/>
        <v>#DIV/0!</v>
      </c>
      <c r="E106" s="152" t="e">
        <f t="shared" si="291"/>
        <v>#DIV/0!</v>
      </c>
      <c r="F106" s="152">
        <f t="shared" si="291"/>
        <v>0.22361359570661896</v>
      </c>
      <c r="G106" s="152">
        <f t="shared" si="291"/>
        <v>0.22612359550561797</v>
      </c>
      <c r="H106" s="152">
        <f t="shared" si="291"/>
        <v>0.13815789473684212</v>
      </c>
      <c r="I106" s="152">
        <f t="shared" si="291"/>
        <v>0.15481651376146788</v>
      </c>
      <c r="J106" s="152">
        <f t="shared" si="291"/>
        <v>0.15051740357478832</v>
      </c>
      <c r="K106" s="152">
        <f t="shared" si="291"/>
        <v>0.17478991596638654</v>
      </c>
      <c r="L106" s="152">
        <f t="shared" si="291"/>
        <v>0.17407407407407408</v>
      </c>
      <c r="M106" s="152">
        <f t="shared" si="291"/>
        <v>0.20753551575046325</v>
      </c>
      <c r="N106" s="152">
        <f t="shared" si="291"/>
        <v>0.19428838951310862</v>
      </c>
      <c r="O106" s="152">
        <f t="shared" si="291"/>
        <v>0.18500738552437224</v>
      </c>
      <c r="P106" s="152">
        <f t="shared" si="291"/>
        <v>0.17828200972447325</v>
      </c>
      <c r="Q106" s="118">
        <f>((P106/G106)^(1/($H$2-$H$1) ))-1</f>
        <v>-2.6067023355504371E-2</v>
      </c>
      <c r="R106" s="20"/>
      <c r="S106" s="152">
        <f t="shared" ref="S106:AB106" si="292">S51/S7</f>
        <v>0.17828200972447322</v>
      </c>
      <c r="T106" s="152">
        <f t="shared" si="292"/>
        <v>0.17828200972447322</v>
      </c>
      <c r="U106" s="152">
        <f t="shared" si="292"/>
        <v>0.17828200972447322</v>
      </c>
      <c r="V106" s="152">
        <f t="shared" si="292"/>
        <v>0.17828200972447322</v>
      </c>
      <c r="W106" s="152">
        <f t="shared" si="292"/>
        <v>0.17828200972447322</v>
      </c>
      <c r="X106" s="152">
        <f t="shared" si="292"/>
        <v>0.17828200972447325</v>
      </c>
      <c r="Y106" s="152">
        <f t="shared" si="292"/>
        <v>0.17828200972447325</v>
      </c>
      <c r="Z106" s="152">
        <f t="shared" si="292"/>
        <v>0.17828200972447322</v>
      </c>
      <c r="AA106" s="152">
        <f t="shared" si="292"/>
        <v>0.17828200972447322</v>
      </c>
      <c r="AB106" s="152">
        <f t="shared" si="292"/>
        <v>0.17828200972447322</v>
      </c>
      <c r="AC106" s="138">
        <f t="shared" si="288"/>
        <v>-1.2433380470466271E-2</v>
      </c>
      <c r="AD106" s="145"/>
      <c r="AE106" s="145"/>
    </row>
    <row r="107" spans="2:31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128"/>
      <c r="R107" s="128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39"/>
      <c r="AD107" s="20"/>
      <c r="AE107" s="20"/>
    </row>
    <row r="108" spans="2:31">
      <c r="B108" s="108" t="s">
        <v>244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3"/>
      <c r="R108" s="23"/>
      <c r="S108" s="122" t="s">
        <v>66</v>
      </c>
      <c r="T108" s="20"/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>
      <c r="B109" s="23" t="s">
        <v>266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5"/>
      <c r="Q109" s="23"/>
      <c r="R109" s="163">
        <f>AVERAGE(F63:P63)</f>
        <v>94.037200378292312</v>
      </c>
      <c r="S109" s="134"/>
      <c r="T109" s="20"/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>
      <c r="B110" s="20" t="s">
        <v>25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0">
        <f>S110+T110</f>
        <v>67.846147838914845</v>
      </c>
      <c r="S110" s="133">
        <f>PV($C$1, ($AB$3-$S$3), 0, -AB63)</f>
        <v>8.5705848867867616</v>
      </c>
      <c r="T110" s="133">
        <f>PV($C$1, ($AB$3-$S$3), 0, -AE63)</f>
        <v>59.275562952128084</v>
      </c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>
      <c r="B111" s="20" t="s">
        <v>262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40">
        <f t="shared" ref="R111:R121" si="293">S111+T111</f>
        <v>384.74113167394518</v>
      </c>
      <c r="S111" s="133">
        <f>PV($C$1, ($AB$3-$S$3), 0, -AB64)</f>
        <v>48.073189774067565</v>
      </c>
      <c r="T111" s="133">
        <f>PV($C$1, ($AB$3-$S$3), 0, -AE64)</f>
        <v>336.66794189987763</v>
      </c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>
      <c r="B112" s="20" t="s">
        <v>263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40">
        <f t="shared" si="293"/>
        <v>371.23102009833207</v>
      </c>
      <c r="S112" s="133">
        <f>PV($C$1, ($AB$3-$S$3), 0, -AB65)</f>
        <v>46.405821441547232</v>
      </c>
      <c r="T112" s="133">
        <f>PV($C$1, ($AB$3-$S$3), 0, -AE65)</f>
        <v>324.82519865678483</v>
      </c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40"/>
      <c r="S113" s="133"/>
      <c r="T113" s="20"/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>
      <c r="B114" s="20" t="s">
        <v>310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40">
        <f t="shared" si="293"/>
        <v>5400.8040352525222</v>
      </c>
      <c r="S114" s="133">
        <f>PV($C$1, ($AB$3-$S$3), 0, -AB68)</f>
        <v>659.37718215411724</v>
      </c>
      <c r="T114" s="133">
        <f>PV($C$1, ($AB$3-$S$3), 0, -$AE$68)</f>
        <v>4741.4268530984045</v>
      </c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>
      <c r="B115" s="20" t="s">
        <v>311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40">
        <f t="shared" si="293"/>
        <v>3796.9848124943828</v>
      </c>
      <c r="S115" s="133">
        <f>PV($C$1, ($AB$3-$S$3), 0, -AB69)</f>
        <v>462.90508117615917</v>
      </c>
      <c r="T115" s="133">
        <f>PV($C$1, ($AB$3-$S$3), 0, -$AE$69)</f>
        <v>3334.0797313182238</v>
      </c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  <row r="116" spans="2:31">
      <c r="B116" s="20" t="s">
        <v>312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140">
        <f t="shared" si="293"/>
        <v>57.270094709878826</v>
      </c>
      <c r="S116" s="133">
        <f>PV($C$1, ($AB$3-$S$3), 0, -AB70)</f>
        <v>7.0434624887774833</v>
      </c>
      <c r="T116" s="133">
        <f>PV($C$1, ($AB$3-$S$3), 0, -$AE$70)</f>
        <v>50.22663222110134</v>
      </c>
      <c r="U116" s="20"/>
      <c r="V116" s="20"/>
      <c r="W116" s="20"/>
      <c r="X116" s="20"/>
      <c r="Y116" s="20"/>
      <c r="Z116" s="20"/>
      <c r="AA116" s="20"/>
      <c r="AB116" s="20"/>
      <c r="AC116" s="137"/>
      <c r="AD116" s="20"/>
      <c r="AE116" s="20"/>
    </row>
    <row r="117" spans="2:31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140"/>
      <c r="S117" s="133"/>
      <c r="T117" s="20"/>
      <c r="U117" s="20"/>
      <c r="V117" s="20"/>
      <c r="W117" s="20"/>
      <c r="X117" s="20"/>
      <c r="Y117" s="20"/>
      <c r="Z117" s="20"/>
      <c r="AA117" s="20"/>
      <c r="AB117" s="20"/>
      <c r="AC117" s="137"/>
      <c r="AD117" s="20"/>
      <c r="AE117" s="20"/>
    </row>
    <row r="118" spans="2:31">
      <c r="B118" s="108" t="s">
        <v>278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40"/>
      <c r="S118" s="133"/>
      <c r="T118" s="133"/>
      <c r="U118" s="20"/>
      <c r="V118" s="20"/>
      <c r="W118" s="20"/>
      <c r="X118" s="20"/>
      <c r="Y118" s="20"/>
      <c r="Z118" s="20"/>
      <c r="AA118" s="20"/>
      <c r="AB118" s="20"/>
      <c r="AC118" s="137"/>
      <c r="AD118" s="20"/>
      <c r="AE118" s="20"/>
    </row>
    <row r="119" spans="2:31">
      <c r="B119" s="20" t="s">
        <v>267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40">
        <f t="shared" ref="R119" si="294">S119+T119</f>
        <v>124.87740380487531</v>
      </c>
      <c r="S119" s="133">
        <f>PV($C$1, ($AB$3-$S$3), 0, -AB87)+PV($C$1, ($AA$3-$S$3), 0, -AB87)+PV($C$1, ($Z$3-$S$3), 0, -AB87)+PV($C$1, ($Y$3-$S$3), 0, -AB87)+PV($C$1, ($X$3-$S$3), 0, -AB87)+PV($C$1, ($W$3-$S$3), 0, -AB87)+PV($C$1, ($V$3-$S$3), 0, -AB87)+PV($C$1, ($U$3-$S$3), 0, -AB87)+PV($C$1, ($T$3-$S$3), 0, -AB87)+PV($C$1, ($S$3-$S$3), 0, -AB87)</f>
        <v>99.188191875028394</v>
      </c>
      <c r="T119" s="133">
        <f>PV($C$1, ($AB$3-$S$3), 0, -AE87)</f>
        <v>25.68921192984692</v>
      </c>
      <c r="U119" s="20"/>
      <c r="V119" s="20"/>
      <c r="W119" s="20"/>
      <c r="X119" s="20"/>
      <c r="Y119" s="20"/>
      <c r="Z119" s="20"/>
      <c r="AA119" s="20"/>
      <c r="AB119" s="20"/>
      <c r="AC119" s="137"/>
      <c r="AD119" s="20"/>
      <c r="AE119" s="20"/>
    </row>
    <row r="120" spans="2:31">
      <c r="B120" s="23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140"/>
      <c r="S120" s="133"/>
      <c r="T120" s="133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>
      <c r="B121" s="20" t="s">
        <v>293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140">
        <f t="shared" si="293"/>
        <v>2877.1206743746407</v>
      </c>
      <c r="S121" s="133">
        <f>PV($C$1, ($AB$3-$S$3), 0, -AB89)+PV($C$1, ($AA$3-$S$3), 0, -AB89)+PV($C$1, ($Z$3-$S$3), 0, -AB89)+PV($C$1, ($Y$3-$S$3), 0, -AB89)+PV($C$1, ($X$3-$S$3), 0, -AB89)+PV($C$1, ($W$3-$S$3), 0, -AB89)+PV($C$1, ($V$3-$S$3), 0, -AB89)+PV($C$1, ($U$3-$S$3), 0, -AB89)+PV($C$1, ($T$3-$S$3), 0, -AB89)+PV($C$1, ($S$3-$S$3), 0, -AB89)</f>
        <v>3997.4336876990392</v>
      </c>
      <c r="T121" s="133">
        <f>PV($C$1, ($AB$3-$S$3), 0, -AE89)</f>
        <v>-1120.3130133243985</v>
      </c>
      <c r="U121" s="20"/>
      <c r="V121" s="20"/>
      <c r="W121" s="20"/>
      <c r="X121" s="20"/>
      <c r="Y121" s="20"/>
      <c r="Z121" s="20"/>
      <c r="AA121" s="20"/>
      <c r="AB121" s="20"/>
      <c r="AC121" s="137"/>
      <c r="AD121" s="20"/>
      <c r="AE121" s="20"/>
    </row>
    <row r="122" spans="2:31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40"/>
      <c r="S122" s="133"/>
      <c r="T122" s="133"/>
      <c r="U122" s="20"/>
      <c r="V122" s="20"/>
      <c r="W122" s="20"/>
      <c r="X122" s="20"/>
      <c r="Y122" s="20"/>
      <c r="Z122" s="20"/>
      <c r="AA122" s="20"/>
      <c r="AB122" s="20"/>
      <c r="AC122" s="137"/>
      <c r="AD122" s="20"/>
      <c r="AE122" s="20"/>
    </row>
    <row r="123" spans="2:31">
      <c r="B123" s="20" t="s">
        <v>294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40">
        <f t="shared" ref="R123:R126" si="295">S123+T123</f>
        <v>109.00628144626492</v>
      </c>
      <c r="S123" s="133">
        <f>PV($C$1, ($AB$3-$S$3), 0, -AB91)+PV($C$1, ($AA$3-$S$3), 0, -AB91)+PV($C$1, ($Z$3-$S$3), 0, -AB91)+PV($C$1, ($Y$3-$S$3), 0, -AB91)+PV($C$1, ($X$3-$S$3), 0, -AB91)+PV($C$1, ($W$3-$S$3), 0, -AB91)+PV($C$1, ($V$3-$S$3), 0, -AB91)+PV($C$1, ($U$3-$S$3), 0, -AB91)+PV($C$1, ($T$3-$S$3), 0, -AB91)+PV($C$1, ($S$3-$S$3), 0, -AB91)</f>
        <v>143.79396652658238</v>
      </c>
      <c r="T123" s="133">
        <f>PV($C$1, ($AB$3-$S$3), 0, -AE91)</f>
        <v>-34.787685080317466</v>
      </c>
      <c r="U123" s="20"/>
      <c r="V123" s="20"/>
      <c r="W123" s="20"/>
      <c r="X123" s="20"/>
      <c r="Y123" s="20"/>
      <c r="Z123" s="20"/>
      <c r="AA123" s="20"/>
      <c r="AB123" s="20"/>
      <c r="AC123" s="137"/>
      <c r="AD123" s="20"/>
      <c r="AE123" s="20"/>
    </row>
    <row r="124" spans="2:31">
      <c r="B124" s="20" t="s">
        <v>271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140">
        <f t="shared" si="295"/>
        <v>84.239795251203248</v>
      </c>
      <c r="S124" s="133">
        <f>PV($C$1, ($AB$3-$S$3), 0, -AB92)+PV($C$1, ($AA$3-$S$3), 0, -AB92)+PV($C$1, ($Z$3-$S$3), 0, -AB92)+PV($C$1, ($Y$3-$S$3), 0, -AB92)+PV($C$1, ($X$3-$S$3), 0, -AB92)+PV($C$1, ($W$3-$S$3), 0, -AB92)+PV($C$1, ($V$3-$S$3), 0, -AB92)+PV($C$1, ($U$3-$S$3), 0, -AB92)+PV($C$1, ($T$3-$S$3), 0, -AB92)+PV($C$1, ($S$3-$S$3), 0, -AB92)</f>
        <v>111.1947132457112</v>
      </c>
      <c r="T124" s="133">
        <f>PV($C$1, ($AB$3-$S$3), 0, -AE92)</f>
        <v>-26.954917994507959</v>
      </c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>
      <c r="B125" s="20" t="s">
        <v>272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140">
        <f t="shared" si="295"/>
        <v>-40.436341059460339</v>
      </c>
      <c r="S125" s="133">
        <f>PV($C$1, ($AB$3-$S$3), 0, -AB93)+PV($C$1, ($AA$3-$S$3), 0, -AB93)+PV($C$1, ($Z$3-$S$3), 0, -AB93)+PV($C$1, ($Y$3-$S$3), 0, -AB93)+PV($C$1, ($X$3-$S$3), 0, -AB93)+PV($C$1, ($W$3-$S$3), 0, -AB93)+PV($C$1, ($V$3-$S$3), 0, -AB93)+PV($C$1, ($U$3-$S$3), 0, -AB93)+PV($C$1, ($T$3-$S$3), 0, -AB93)+PV($C$1, ($S$3-$S$3), 0, -AB93)</f>
        <v>-32.599253280871167</v>
      </c>
      <c r="T125" s="133">
        <f>PV($C$1, ($AB$3-$S$3), 0, -AE93)</f>
        <v>-7.8370877785891722</v>
      </c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>
      <c r="B126" s="20" t="s">
        <v>273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 t="shared" si="295"/>
        <v>26.972614347288378</v>
      </c>
      <c r="S126" s="133">
        <f>PV($C$1, ($AB$3-$S$3), 0, -AB94)+PV($C$1, ($AA$3-$S$3), 0, -AB94)+PV($C$1, ($Z$3-$S$3), 0, -AB94)+PV($C$1, ($Y$3-$S$3), 0, -AB94)+PV($C$1, ($X$3-$S$3), 0, -AB94)+PV($C$1, ($W$3-$S$3), 0, -AB94)+PV($C$1, ($V$3-$S$3), 0, -AB94)+PV($C$1, ($U$3-$S$3), 0, -AB94)+PV($C$1, ($T$3-$S$3), 0, -AB94)+PV($C$1, ($S$3-$S$3), 0, -AB94)</f>
        <v>37.511469528673658</v>
      </c>
      <c r="T126" s="133">
        <f>PV($C$1, ($AB$3-$S$3), 0, -AE94)</f>
        <v>-10.53885518138528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/>
      <c r="S127" s="133"/>
      <c r="T127" s="133"/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>
      <c r="B128" s="20" t="s">
        <v>279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>S128+T128</f>
        <v>1128.0351110024858</v>
      </c>
      <c r="S128" s="133">
        <f>PV($C$1, ($AB$3-$S$3), 0, -AB95)+PV($C$1, ($AA$3-$S$3), 0, -AB95)+PV($C$1, ($Z$3-$S$3), 0, -AB95)+PV($C$1, ($Y$3-$S$3), 0, -AB95)+PV($C$1, ($X$3-$S$3), 0, -AB95)+PV($C$1, ($W$3-$S$3), 0, -AB95)+PV($C$1, ($V$3-$S$3), 0, -AB95)+PV($C$1, ($U$3-$S$3), 0, -AB95)+PV($C$1, ($T$3-$S$3), 0, -AB95)+PV($C$1, ($S$3-$S$3), 0, -AB95)</f>
        <v>908.7600058434632</v>
      </c>
      <c r="T128" s="133">
        <f>PV($C$1, ($AB$3-$S$3), 0, -AE95)</f>
        <v>219.27510515902259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121"/>
      <c r="T129" s="20"/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>
      <c r="B130" s="108" t="s">
        <v>247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>
      <c r="B131" s="20" t="s">
        <v>204</v>
      </c>
      <c r="C131" s="22">
        <v>14</v>
      </c>
      <c r="D131" s="22">
        <v>14</v>
      </c>
      <c r="E131" s="22">
        <v>14</v>
      </c>
      <c r="F131" s="22">
        <v>14</v>
      </c>
      <c r="G131" s="22">
        <v>14</v>
      </c>
      <c r="H131" s="22">
        <v>450</v>
      </c>
      <c r="I131" s="22">
        <v>450</v>
      </c>
      <c r="J131" s="22">
        <v>450</v>
      </c>
      <c r="K131" s="22">
        <v>450</v>
      </c>
      <c r="L131" s="22">
        <v>450</v>
      </c>
      <c r="M131" s="22">
        <v>450</v>
      </c>
      <c r="N131" s="22">
        <v>450</v>
      </c>
      <c r="O131" s="22">
        <v>450</v>
      </c>
      <c r="P131" s="22">
        <v>300</v>
      </c>
      <c r="Q131" s="118">
        <f t="shared" ref="Q131:Q133" si="296">((P131/G131)^(1/($H$2-$H$1) ))-1</f>
        <v>0.40568540435541567</v>
      </c>
      <c r="R131" s="31">
        <v>0.1</v>
      </c>
      <c r="S131" s="119">
        <f t="shared" ref="S131" si="297">P131*(1+$R131)</f>
        <v>330</v>
      </c>
      <c r="T131" s="119">
        <f t="shared" ref="T131:AB131" si="298">S131*(1+$R131)</f>
        <v>363.00000000000006</v>
      </c>
      <c r="U131" s="119">
        <f t="shared" si="298"/>
        <v>399.30000000000007</v>
      </c>
      <c r="V131" s="119">
        <f t="shared" si="298"/>
        <v>439.23000000000013</v>
      </c>
      <c r="W131" s="119">
        <f t="shared" si="298"/>
        <v>483.15300000000019</v>
      </c>
      <c r="X131" s="119">
        <f t="shared" si="298"/>
        <v>531.46830000000023</v>
      </c>
      <c r="Y131" s="119">
        <f t="shared" si="298"/>
        <v>584.61513000000025</v>
      </c>
      <c r="Z131" s="119">
        <f t="shared" si="298"/>
        <v>643.07664300000033</v>
      </c>
      <c r="AA131" s="119">
        <f t="shared" si="298"/>
        <v>707.38430730000039</v>
      </c>
      <c r="AB131" s="119">
        <f t="shared" si="298"/>
        <v>778.12273803000051</v>
      </c>
      <c r="AC131" s="138">
        <f t="shared" ref="AC131:AC133" si="299">((AB131/G131)^(1/($AB$3-$H$1) ))-1</f>
        <v>0.23548619893084588</v>
      </c>
      <c r="AD131" s="31">
        <v>0.08</v>
      </c>
      <c r="AE131" s="127">
        <f t="shared" ref="AE131:AE133" si="300">(AB131*(1+AC131))/($C$1-AD131)</f>
        <v>6866.8564565024835</v>
      </c>
    </row>
    <row r="132" spans="2:31">
      <c r="B132" s="20" t="s">
        <v>42</v>
      </c>
      <c r="C132" s="25" t="e">
        <f>C131/C63</f>
        <v>#DIV/0!</v>
      </c>
      <c r="D132" s="25" t="e">
        <f>D131/D63</f>
        <v>#DIV/0!</v>
      </c>
      <c r="E132" s="25" t="e">
        <f>E131/E63</f>
        <v>#DIV/0!</v>
      </c>
      <c r="F132" s="25">
        <f>F131/F63</f>
        <v>6.7199999999999996E-2</v>
      </c>
      <c r="G132" s="25">
        <f>G131/G63</f>
        <v>0.14782608695652175</v>
      </c>
      <c r="H132" s="25">
        <f>H131/H63</f>
        <v>5.1428571428571432</v>
      </c>
      <c r="I132" s="25">
        <f>I131/I63</f>
        <v>5.666666666666667</v>
      </c>
      <c r="J132" s="25">
        <f>J131/J63</f>
        <v>4.78125</v>
      </c>
      <c r="K132" s="25">
        <f>K131/K63</f>
        <v>11.682692307692308</v>
      </c>
      <c r="L132" s="25">
        <f>L131/L63</f>
        <v>10.340425531914894</v>
      </c>
      <c r="M132" s="25">
        <f>M131/M63</f>
        <v>7.2321428571428577</v>
      </c>
      <c r="N132" s="25">
        <f>N131/N63</f>
        <v>1.9734939759036145</v>
      </c>
      <c r="O132" s="25">
        <f>O131/O63</f>
        <v>9.6269461077844323</v>
      </c>
      <c r="P132" s="25">
        <f>P131/P63</f>
        <v>5.8461818181818179</v>
      </c>
      <c r="Q132" s="118">
        <f t="shared" si="296"/>
        <v>0.50472769789730854</v>
      </c>
      <c r="R132" s="128"/>
      <c r="S132" s="119">
        <f>S131/S63</f>
        <v>6.4308000000000014</v>
      </c>
      <c r="T132" s="119">
        <f>T131/T63</f>
        <v>7.0738800000000026</v>
      </c>
      <c r="U132" s="119">
        <f>U131/U63</f>
        <v>7.7812680000000025</v>
      </c>
      <c r="V132" s="119">
        <f>V131/V63</f>
        <v>8.5593948000000051</v>
      </c>
      <c r="W132" s="119">
        <f>W131/W63</f>
        <v>9.4153342800000051</v>
      </c>
      <c r="X132" s="119">
        <f>X131/X63</f>
        <v>10.356867708000008</v>
      </c>
      <c r="Y132" s="119">
        <f>Y131/Y63</f>
        <v>11.392554478800008</v>
      </c>
      <c r="Z132" s="119">
        <f>Z131/Z63</f>
        <v>12.531809926680012</v>
      </c>
      <c r="AA132" s="119">
        <f>AA131/AA63</f>
        <v>13.784990919348012</v>
      </c>
      <c r="AB132" s="119">
        <f>AB131/AB63</f>
        <v>15.163490011282814</v>
      </c>
      <c r="AC132" s="138">
        <f t="shared" si="299"/>
        <v>0.27598225944693122</v>
      </c>
      <c r="AD132" s="31">
        <v>0.08</v>
      </c>
      <c r="AE132" s="127">
        <f t="shared" si="300"/>
        <v>138.2024588978401</v>
      </c>
    </row>
    <row r="133" spans="2:31">
      <c r="B133" s="20" t="s">
        <v>253</v>
      </c>
      <c r="C133" s="25" t="e">
        <f>C131/C65</f>
        <v>#DIV/0!</v>
      </c>
      <c r="D133" s="25" t="e">
        <f>D131/D65</f>
        <v>#DIV/0!</v>
      </c>
      <c r="E133" s="25" t="e">
        <f>E131/E65</f>
        <v>#DIV/0!</v>
      </c>
      <c r="F133" s="25">
        <f>F131/F65</f>
        <v>1.5498154981549815E-2</v>
      </c>
      <c r="G133" s="25">
        <f>G131/G65</f>
        <v>3.4293948126801151E-2</v>
      </c>
      <c r="H133" s="25">
        <f>H131/H65</f>
        <v>0.72678331090174952</v>
      </c>
      <c r="I133" s="25">
        <f>I131/I65</f>
        <v>0.89578454332552693</v>
      </c>
      <c r="J133" s="25">
        <f>J131/J65</f>
        <v>0.75443786982248517</v>
      </c>
      <c r="K133" s="25">
        <f>K131/K65</f>
        <v>2.1390845070422535</v>
      </c>
      <c r="L133" s="25">
        <f>L131/L65</f>
        <v>1.8750000000000002</v>
      </c>
      <c r="M133" s="25">
        <f>M131/M65</f>
        <v>1.5527156549520769</v>
      </c>
      <c r="N133" s="25">
        <f>N131/N65</f>
        <v>0.40544554455445542</v>
      </c>
      <c r="O133" s="25">
        <f>O131/O65</f>
        <v>1.854325259515571</v>
      </c>
      <c r="P133" s="25">
        <f>P131/P65</f>
        <v>1.0797179314976495</v>
      </c>
      <c r="Q133" s="118">
        <f t="shared" si="296"/>
        <v>0.467083249700317</v>
      </c>
      <c r="R133" s="128"/>
      <c r="S133" s="119">
        <f>S131/S65</f>
        <v>1.1876897246474145</v>
      </c>
      <c r="T133" s="119">
        <f>T131/T65</f>
        <v>1.3064586971121561</v>
      </c>
      <c r="U133" s="119">
        <f>U131/U65</f>
        <v>1.4371045668233717</v>
      </c>
      <c r="V133" s="119">
        <f>V131/V65</f>
        <v>1.5808150235057092</v>
      </c>
      <c r="W133" s="119">
        <f>W131/W65</f>
        <v>1.7388965258562799</v>
      </c>
      <c r="X133" s="119">
        <f>X131/X65</f>
        <v>1.9127861784419082</v>
      </c>
      <c r="Y133" s="119">
        <f>Y131/Y65</f>
        <v>2.104064796286099</v>
      </c>
      <c r="Z133" s="119">
        <f>Z131/Z65</f>
        <v>2.3144712759147095</v>
      </c>
      <c r="AA133" s="119">
        <f>AA131/AA65</f>
        <v>2.5459184035061799</v>
      </c>
      <c r="AB133" s="119">
        <f>AB131/AB65</f>
        <v>2.8005102438567988</v>
      </c>
      <c r="AC133" s="138">
        <f t="shared" si="299"/>
        <v>0.2607605606726966</v>
      </c>
      <c r="AD133" s="31">
        <v>0.08</v>
      </c>
      <c r="AE133" s="127">
        <f t="shared" si="300"/>
        <v>25.219806180103767</v>
      </c>
    </row>
    <row r="134" spans="2:31">
      <c r="B134" s="20"/>
      <c r="C134" s="129"/>
      <c r="D134" s="129"/>
      <c r="E134" s="129"/>
      <c r="F134" s="129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28"/>
      <c r="R134" s="128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7"/>
      <c r="AD134" s="20"/>
      <c r="AE134" s="127"/>
    </row>
    <row r="135" spans="2:31">
      <c r="B135" s="108" t="s">
        <v>283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>
      <c r="B136" s="20" t="s">
        <v>280</v>
      </c>
      <c r="C136" s="20" t="s">
        <v>291</v>
      </c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128">
        <f>(P131-R119)/P131</f>
        <v>0.58374198731708227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>
      <c r="B137" s="20" t="s">
        <v>281</v>
      </c>
      <c r="C137" s="20" t="s">
        <v>291</v>
      </c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128">
        <f>(P131-R116)/P131</f>
        <v>0.80909968430040391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>
      <c r="B138" s="20" t="s">
        <v>295</v>
      </c>
      <c r="C138" s="20" t="s">
        <v>291</v>
      </c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128">
        <f>(P131-R128)/P131</f>
        <v>-2.7601170366749526</v>
      </c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>
      <c r="B139" s="20" t="s">
        <v>282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5">
        <f>P131/R110</f>
        <v>4.4217690989955889</v>
      </c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  <row r="141" spans="2:31">
      <c r="B141" s="108" t="s">
        <v>284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</row>
    <row r="142" spans="2:31">
      <c r="B142" s="20" t="s">
        <v>287</v>
      </c>
      <c r="C142" s="25" t="e">
        <f t="shared" ref="C142:P142" si="301">C10/C7</f>
        <v>#DIV/0!</v>
      </c>
      <c r="D142" s="25" t="e">
        <f t="shared" si="301"/>
        <v>#DIV/0!</v>
      </c>
      <c r="E142" s="25" t="e">
        <f t="shared" si="301"/>
        <v>#DIV/0!</v>
      </c>
      <c r="F142" s="25">
        <f t="shared" si="301"/>
        <v>0.82110912343470488</v>
      </c>
      <c r="G142" s="25">
        <f t="shared" si="301"/>
        <v>0.3806179775280899</v>
      </c>
      <c r="H142" s="25">
        <f t="shared" si="301"/>
        <v>0.36052631578947369</v>
      </c>
      <c r="I142" s="25">
        <f t="shared" si="301"/>
        <v>0.3577981651376147</v>
      </c>
      <c r="J142" s="25">
        <f t="shared" si="301"/>
        <v>0.16650987770460959</v>
      </c>
      <c r="K142" s="25">
        <f t="shared" si="301"/>
        <v>7.3109243697478996E-2</v>
      </c>
      <c r="L142" s="25">
        <f t="shared" si="301"/>
        <v>0.3037037037037037</v>
      </c>
      <c r="M142" s="25">
        <f t="shared" si="301"/>
        <v>2.2853613341568869E-2</v>
      </c>
      <c r="N142" s="25">
        <f t="shared" si="301"/>
        <v>4.4475655430711608E-2</v>
      </c>
      <c r="O142" s="25">
        <f t="shared" si="301"/>
        <v>4.2466765140324964E-2</v>
      </c>
      <c r="P142" s="25">
        <f t="shared" si="301"/>
        <v>3.8897893030794169E-2</v>
      </c>
      <c r="Q142" s="118">
        <f t="shared" ref="Q142" si="302">((P142/G142)^(1/($H$2-$H$1) ))-1</f>
        <v>-0.22386472915527889</v>
      </c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</row>
    <row r="143" spans="2:31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</row>
    <row r="144" spans="2:31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</row>
    <row r="145" spans="2:31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</row>
    <row r="146" spans="2:31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</row>
    <row r="147" spans="2:31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</row>
  </sheetData>
  <mergeCells count="2">
    <mergeCell ref="AD2:AE2"/>
    <mergeCell ref="AD3:AE3"/>
  </mergeCells>
  <pageMargins left="0.7" right="0.7" top="0.75" bottom="0.75" header="0.3" footer="0.3"/>
  <pageSetup orientation="portrait" r:id="rId1"/>
  <ignoredErrors>
    <ignoredError sqref="C132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D1" zoomScale="80" zoomScaleNormal="80" workbookViewId="0">
      <selection activeCell="F33" sqref="F3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69" t="s">
        <v>27</v>
      </c>
      <c r="K5" s="169"/>
      <c r="M5" s="169" t="s">
        <v>65</v>
      </c>
      <c r="N5" s="169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69" t="s">
        <v>36</v>
      </c>
      <c r="K14" s="169"/>
      <c r="L14" s="169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69" t="s">
        <v>27</v>
      </c>
      <c r="S5" s="169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69" t="s">
        <v>36</v>
      </c>
      <c r="S14" s="169"/>
      <c r="T14" s="169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69" t="s">
        <v>27</v>
      </c>
      <c r="C2" s="169"/>
      <c r="E2" s="169" t="s">
        <v>65</v>
      </c>
      <c r="F2" s="169"/>
      <c r="H2" s="173" t="s">
        <v>36</v>
      </c>
      <c r="I2" s="174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70" t="s">
        <v>68</v>
      </c>
      <c r="E10" s="171"/>
      <c r="F10" s="171"/>
      <c r="G10" s="171"/>
      <c r="H10" s="172"/>
      <c r="I10" s="170" t="s">
        <v>72</v>
      </c>
      <c r="J10" s="171"/>
      <c r="K10" s="171"/>
      <c r="L10" s="172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2013-06-09T12:59:04Z</dcterms:modified>
</cp:coreProperties>
</file>
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G203" i="18"/>
  <c r="S60"/>
  <c r="R60"/>
  <c r="Q60"/>
  <c r="P60"/>
  <c r="O60"/>
  <c r="N60"/>
  <c r="M60"/>
  <c r="L60"/>
  <c r="K60"/>
  <c r="J60"/>
  <c r="I60"/>
  <c r="H60"/>
  <c r="G60"/>
  <c r="S58"/>
  <c r="R58"/>
  <c r="Q58"/>
  <c r="P58"/>
  <c r="O58"/>
  <c r="N58"/>
  <c r="M58"/>
  <c r="L58"/>
  <c r="K58"/>
  <c r="J58"/>
  <c r="I58"/>
  <c r="H58"/>
  <c r="G58"/>
  <c r="S56"/>
  <c r="R56"/>
  <c r="Q56"/>
  <c r="P56"/>
  <c r="O56"/>
  <c r="N56"/>
  <c r="M56"/>
  <c r="L56"/>
  <c r="K56"/>
  <c r="J56"/>
  <c r="I56"/>
  <c r="H56"/>
  <c r="G56"/>
  <c r="S54"/>
  <c r="R54"/>
  <c r="Q54"/>
  <c r="P54"/>
  <c r="O54"/>
  <c r="N54"/>
  <c r="M54"/>
  <c r="L54"/>
  <c r="K54"/>
  <c r="J54"/>
  <c r="I54"/>
  <c r="H54"/>
  <c r="G54"/>
  <c r="S52"/>
  <c r="R52"/>
  <c r="Q52"/>
  <c r="P52"/>
  <c r="O52"/>
  <c r="N52"/>
  <c r="M52"/>
  <c r="L52"/>
  <c r="K52"/>
  <c r="J52"/>
  <c r="I52"/>
  <c r="H52"/>
  <c r="G52"/>
  <c r="I49"/>
  <c r="H49" s="1"/>
  <c r="G49" s="1"/>
  <c r="S48"/>
  <c r="R48"/>
  <c r="Q48"/>
  <c r="P48"/>
  <c r="O48"/>
  <c r="N48"/>
  <c r="M48"/>
  <c r="L48"/>
  <c r="K48"/>
  <c r="I47"/>
  <c r="S46"/>
  <c r="R46"/>
  <c r="Q46"/>
  <c r="P46"/>
  <c r="O46"/>
  <c r="N46"/>
  <c r="M46"/>
  <c r="L46"/>
  <c r="K46"/>
  <c r="I45"/>
  <c r="S44"/>
  <c r="R44"/>
  <c r="Q44"/>
  <c r="P44"/>
  <c r="O44"/>
  <c r="N44"/>
  <c r="M44"/>
  <c r="L44"/>
  <c r="K44"/>
  <c r="I43"/>
  <c r="I42"/>
  <c r="H42"/>
  <c r="G42" s="1"/>
  <c r="I41"/>
  <c r="H41" s="1"/>
  <c r="G41" s="1"/>
  <c r="I40"/>
  <c r="H40"/>
  <c r="G40" s="1"/>
  <c r="S39"/>
  <c r="R39"/>
  <c r="Q39"/>
  <c r="P39"/>
  <c r="O39"/>
  <c r="N39"/>
  <c r="M39"/>
  <c r="L39"/>
  <c r="K39"/>
  <c r="I38"/>
  <c r="J39" s="1"/>
  <c r="H38"/>
  <c r="S37"/>
  <c r="R37"/>
  <c r="Q37"/>
  <c r="P37"/>
  <c r="O37"/>
  <c r="N37"/>
  <c r="M37"/>
  <c r="L37"/>
  <c r="K37"/>
  <c r="I36"/>
  <c r="J37" s="1"/>
  <c r="H36"/>
  <c r="Q32"/>
  <c r="Q31"/>
  <c r="S30"/>
  <c r="R30"/>
  <c r="Q30"/>
  <c r="P30"/>
  <c r="O30"/>
  <c r="N30"/>
  <c r="M30"/>
  <c r="L30"/>
  <c r="K30"/>
  <c r="J30"/>
  <c r="I30"/>
  <c r="H30"/>
  <c r="G30"/>
  <c r="S28"/>
  <c r="R28"/>
  <c r="Q28"/>
  <c r="P28"/>
  <c r="O28"/>
  <c r="N28"/>
  <c r="M28"/>
  <c r="L28"/>
  <c r="K28"/>
  <c r="J28"/>
  <c r="I28"/>
  <c r="H28"/>
  <c r="G28"/>
  <c r="S26"/>
  <c r="R26"/>
  <c r="Q26"/>
  <c r="P26"/>
  <c r="O26"/>
  <c r="N26"/>
  <c r="M26"/>
  <c r="L26"/>
  <c r="K26"/>
  <c r="J26"/>
  <c r="I26"/>
  <c r="H26"/>
  <c r="G26"/>
  <c r="N12"/>
  <c r="M12"/>
  <c r="L12"/>
  <c r="K12"/>
  <c r="J12"/>
  <c r="I12"/>
  <c r="H12"/>
  <c r="S11"/>
  <c r="R11"/>
  <c r="Q11"/>
  <c r="P11"/>
  <c r="O11"/>
  <c r="N11"/>
  <c r="M11"/>
  <c r="L11"/>
  <c r="K11"/>
  <c r="J11"/>
  <c r="I11"/>
  <c r="H11"/>
  <c r="G11"/>
  <c r="S8"/>
  <c r="R8"/>
  <c r="Q8"/>
  <c r="P8"/>
  <c r="O8"/>
  <c r="N8"/>
  <c r="M8"/>
  <c r="L8"/>
  <c r="K8"/>
  <c r="J8"/>
  <c r="I8"/>
  <c r="H8"/>
  <c r="G8"/>
  <c r="I44" l="1"/>
  <c r="I48"/>
  <c r="I37"/>
  <c r="I39"/>
  <c r="J44"/>
  <c r="J46"/>
  <c r="J48"/>
  <c r="G36"/>
  <c r="G37" s="1"/>
  <c r="G38"/>
  <c r="G39" s="1"/>
  <c r="H43"/>
  <c r="H45"/>
  <c r="I46" s="1"/>
  <c r="H47"/>
  <c r="H48" l="1"/>
  <c r="G47"/>
  <c r="G48" s="1"/>
  <c r="H44"/>
  <c r="G43"/>
  <c r="G44" s="1"/>
  <c r="H37"/>
  <c r="H39"/>
  <c r="H46"/>
  <c r="G45"/>
  <c r="G46" s="1"/>
  <c r="G102" l="1"/>
  <c r="H102"/>
  <c r="I102"/>
  <c r="J102"/>
  <c r="K102"/>
  <c r="L102"/>
  <c r="M102"/>
  <c r="N102"/>
  <c r="O102"/>
  <c r="P102"/>
  <c r="Q102"/>
  <c r="R102"/>
  <c r="S102"/>
  <c r="T102"/>
  <c r="U102"/>
  <c r="U250"/>
  <c r="U249"/>
  <c r="V249" s="1"/>
  <c r="U248"/>
  <c r="X57"/>
  <c r="X59"/>
  <c r="V250"/>
  <c r="V248"/>
  <c r="V201"/>
  <c r="S170"/>
  <c r="S244" s="1"/>
  <c r="T170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1"/>
  <c r="V53"/>
  <c r="V55"/>
  <c r="V57"/>
  <c r="V59"/>
  <c r="V61"/>
  <c r="V62"/>
  <c r="V63"/>
  <c r="V102"/>
  <c r="V6"/>
  <c r="U66"/>
  <c r="U67"/>
  <c r="U68"/>
  <c r="U70"/>
  <c r="U71"/>
  <c r="U72"/>
  <c r="S245" s="1"/>
  <c r="U73"/>
  <c r="U74"/>
  <c r="U75"/>
  <c r="U76"/>
  <c r="U78"/>
  <c r="U79"/>
  <c r="U80"/>
  <c r="U82"/>
  <c r="U83"/>
  <c r="U84" s="1"/>
  <c r="U207" s="1"/>
  <c r="U85"/>
  <c r="U86"/>
  <c r="U88"/>
  <c r="U90"/>
  <c r="U92" s="1"/>
  <c r="U93"/>
  <c r="U94"/>
  <c r="U95"/>
  <c r="U96"/>
  <c r="U98"/>
  <c r="U99"/>
  <c r="U100"/>
  <c r="U105"/>
  <c r="U106"/>
  <c r="U107"/>
  <c r="U108"/>
  <c r="U109"/>
  <c r="U110"/>
  <c r="U112"/>
  <c r="U118" s="1"/>
  <c r="U113"/>
  <c r="U114"/>
  <c r="U120" s="1"/>
  <c r="U115"/>
  <c r="U116"/>
  <c r="U122" s="1"/>
  <c r="U119"/>
  <c r="U121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3"/>
  <c r="V203" s="1"/>
  <c r="U204"/>
  <c r="U205"/>
  <c r="U206"/>
  <c r="U208"/>
  <c r="U209"/>
  <c r="U211"/>
  <c r="U212"/>
  <c r="U214"/>
  <c r="U215"/>
  <c r="U216"/>
  <c r="U217" s="1"/>
  <c r="U225"/>
  <c r="U224" s="1"/>
  <c r="U8"/>
  <c r="U11"/>
  <c r="U26"/>
  <c r="U28"/>
  <c r="U30"/>
  <c r="U37"/>
  <c r="U39"/>
  <c r="U44"/>
  <c r="U46"/>
  <c r="U48"/>
  <c r="U52"/>
  <c r="U54"/>
  <c r="U56"/>
  <c r="U58"/>
  <c r="U60"/>
  <c r="U220" l="1"/>
  <c r="U219" s="1"/>
  <c r="U143"/>
  <c r="U226"/>
  <c r="G211"/>
  <c r="V211" s="1"/>
  <c r="G212"/>
  <c r="V212" s="1"/>
  <c r="G66"/>
  <c r="G67"/>
  <c r="V67" s="1"/>
  <c r="G68"/>
  <c r="V68" s="1"/>
  <c r="G70"/>
  <c r="G71"/>
  <c r="G72"/>
  <c r="V72" s="1"/>
  <c r="G73"/>
  <c r="V73" s="1"/>
  <c r="G74"/>
  <c r="V74" s="1"/>
  <c r="G75"/>
  <c r="G206" s="1"/>
  <c r="V206" s="1"/>
  <c r="G76"/>
  <c r="V76" s="1"/>
  <c r="G78"/>
  <c r="V78" s="1"/>
  <c r="G79"/>
  <c r="V79" s="1"/>
  <c r="G80"/>
  <c r="G82"/>
  <c r="V82" s="1"/>
  <c r="G83"/>
  <c r="V83" s="1"/>
  <c r="G85"/>
  <c r="V85" s="1"/>
  <c r="G86"/>
  <c r="G88"/>
  <c r="G90"/>
  <c r="G93"/>
  <c r="V93" s="1"/>
  <c r="G94"/>
  <c r="V94" s="1"/>
  <c r="G95"/>
  <c r="V95" s="1"/>
  <c r="G96"/>
  <c r="V96" s="1"/>
  <c r="G98"/>
  <c r="G99"/>
  <c r="V99" s="1"/>
  <c r="G100"/>
  <c r="V100" s="1"/>
  <c r="G105"/>
  <c r="V105" s="1"/>
  <c r="G106"/>
  <c r="V106" s="1"/>
  <c r="G107"/>
  <c r="V107" s="1"/>
  <c r="G108"/>
  <c r="V108" s="1"/>
  <c r="G109"/>
  <c r="V109" s="1"/>
  <c r="G110"/>
  <c r="V110" s="1"/>
  <c r="G112"/>
  <c r="G113"/>
  <c r="G114"/>
  <c r="G115"/>
  <c r="G116"/>
  <c r="G134"/>
  <c r="V134" s="1"/>
  <c r="G135"/>
  <c r="V135" s="1"/>
  <c r="G136"/>
  <c r="V136" s="1"/>
  <c r="G137"/>
  <c r="V137" s="1"/>
  <c r="G145"/>
  <c r="V145" s="1"/>
  <c r="G146"/>
  <c r="V146" s="1"/>
  <c r="G147"/>
  <c r="V147" s="1"/>
  <c r="G149"/>
  <c r="V149" s="1"/>
  <c r="G150"/>
  <c r="V150" s="1"/>
  <c r="G151"/>
  <c r="V151" s="1"/>
  <c r="G154"/>
  <c r="V154" s="1"/>
  <c r="G155"/>
  <c r="V155" s="1"/>
  <c r="G156"/>
  <c r="V156" s="1"/>
  <c r="G157"/>
  <c r="V157" s="1"/>
  <c r="G159"/>
  <c r="V159" s="1"/>
  <c r="G160"/>
  <c r="V160" s="1"/>
  <c r="G162"/>
  <c r="G166"/>
  <c r="V166" s="1"/>
  <c r="G167"/>
  <c r="V167" s="1"/>
  <c r="AI232"/>
  <c r="AJ231"/>
  <c r="AI231"/>
  <c r="AI230"/>
  <c r="AI229"/>
  <c r="U221" l="1"/>
  <c r="G163"/>
  <c r="V163" s="1"/>
  <c r="V162"/>
  <c r="G121"/>
  <c r="V121" s="1"/>
  <c r="V115"/>
  <c r="G119"/>
  <c r="V119" s="1"/>
  <c r="V113"/>
  <c r="G164"/>
  <c r="V164" s="1"/>
  <c r="V98"/>
  <c r="G122"/>
  <c r="V122" s="1"/>
  <c r="V116"/>
  <c r="G120"/>
  <c r="V120" s="1"/>
  <c r="V114"/>
  <c r="G118"/>
  <c r="V118" s="1"/>
  <c r="V112"/>
  <c r="G92"/>
  <c r="V92" s="1"/>
  <c r="V90"/>
  <c r="G208"/>
  <c r="V208" s="1"/>
  <c r="V86"/>
  <c r="G209"/>
  <c r="V209" s="1"/>
  <c r="V80"/>
  <c r="G205"/>
  <c r="V205" s="1"/>
  <c r="V71"/>
  <c r="G202"/>
  <c r="V202" s="1"/>
  <c r="V66"/>
  <c r="V75"/>
  <c r="G139"/>
  <c r="V88"/>
  <c r="G204"/>
  <c r="V204" s="1"/>
  <c r="V70"/>
  <c r="U227"/>
  <c r="U222"/>
  <c r="G215"/>
  <c r="V215" s="1"/>
  <c r="G84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07" i="18" l="1"/>
  <c r="V207" s="1"/>
  <c r="V84"/>
  <c r="G216"/>
  <c r="G140"/>
  <c r="V139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G141" i="18" l="1"/>
  <c r="V140"/>
  <c r="G143"/>
  <c r="V143" s="1"/>
  <c r="G217"/>
  <c r="V217" s="1"/>
  <c r="V216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G142" i="18" l="1"/>
  <c r="V142" s="1"/>
  <c r="V141"/>
  <c r="J51" i="20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48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W49"/>
  <c r="X49" s="1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G130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C1"/>
  <c r="AJ47" s="1"/>
  <c r="T225" l="1"/>
  <c r="G225"/>
  <c r="V225" s="1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G222" l="1"/>
  <c r="V222" s="1"/>
  <c r="V221"/>
  <c r="X224"/>
  <c r="G224"/>
  <c r="V224" s="1"/>
  <c r="G226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G227" l="1"/>
  <c r="V227" s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55" l="1"/>
  <c r="X130" s="1"/>
  <c r="X25"/>
  <c r="X129" s="1"/>
  <c r="J65" i="20"/>
  <c r="P64"/>
  <c r="F78"/>
  <c r="G78" s="1"/>
  <c r="X131" i="18"/>
  <c r="X124"/>
  <c r="X125"/>
  <c r="X68"/>
  <c r="X110" s="1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132" l="1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S237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X244" s="1"/>
  <c r="X243" s="1"/>
  <c r="K214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<sst xmlns="http://schemas.openxmlformats.org/spreadsheetml/2006/main" count="781" uniqueCount="515">
  <si>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</si>
  <si>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</si>
  <si>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</si>
  <si>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</si>
  <si>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</si>
  <si>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</si>
  <si>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</si>
  <si>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</si>
  <si>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</si>
  <si>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</si>
  <si>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</si>
  <si>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</si>
  <si>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</si>
  <si>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</si>
  <si>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</si>
  <si>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</si>
  <si>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</si>
  <si>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</si>
  <si>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</si>
  <si>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</si>
  <si>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</si>
  <si>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</si>
  <si>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</si>
  <si>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</si>
  <si>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</si>
  <si>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</si>
  <si>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</si>
  <si>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</si>
  <si>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</si>
  <si>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</si>
  <si>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</si>
  <si>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</si>
  <si>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</si>
  <si>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</si>
  <si>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</si>
  <si>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</si>
  <si>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</si>
  <si>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</si>
  <si>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</si>
  <si>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</si>
  <si>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</si>
  <si>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</si>
  <si>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</si>
  <si>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</si>
  <si>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</si>
  <si>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</si>
  <si>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</si>
  <si>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</si>
  <si>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</si>
  <si>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</si>
  <si>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</si>
  <si>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</si>
  <si>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</si>
  <si>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</si>
  <si>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</si>
  <si>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</si>
  <si>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</si>
  <si>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</si>
  <si>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</si>
  <si>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</si>
  <si>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</si>
  <si>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</si>
  <si>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</si>
  <si>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</si>
  <si>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</si>
  <si>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</si>
  <si>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</si>
  <si>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</si>
  <si>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</si>
  <si>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</si>
  <si>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</si>
  <si>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</si>
  <si>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</si>
  <si>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</si>
  <si>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</si>
  <si>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</si>
  <si>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</si>
  <si>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</si>
  <si>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</si>
  <si>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</si>
  <si>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</si>
  <si>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</si>
  <si>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</si>
  <si>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</si>
  <si>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</si>
  <si>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</si>
  <si>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</si>
  <si>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</si>
  <si>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</si>
  <si>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</si>
  <si>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</si>
  <si>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</si>
  <si>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</si>
  <si>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</si>
  <si>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</si>
  <si>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</si>
  <si>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</si>
  <si>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</si>
  <si>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</si>
  <si>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</si>
  <si>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</si>
  <si>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</si>
  <si>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</si>
  <si>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</si>
  <si>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</si>
  <si>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</si>
  <si>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</si>
  <si>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</si>
  <si>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</si>
  <si>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</si>
  <si>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</si>
  <si>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</si>
  <si>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</si>
  <si>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</si>
  <si>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</si>
  <si>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</si>
  <si>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</si>
  <si>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</si>
  <si>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</si>
  <si>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</si>
  <si>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</si>
  <si>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</si>
  <si>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</si>
  <si>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</si>
  <si>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</si>
  <si>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</si>
  <si>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</si>
  <si>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</si>
  <si>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</si>
  <si>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</si>
  <si>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</si>
  <si>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</si>
  <si>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</si>
  <si>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</si>
  <si>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</si>
  <si>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</si>
  <si>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</si>
  <si>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</si>
  <si>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</si>
  <si>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</si>
  <si>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</si>
  <si>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</si>
  <si>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</si>
  <si>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</si>
  <si>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</si>
  <si>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</si>
  <si>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</si>
  <si>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</si>
  <si>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</si>
  <si>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</si>
  <si>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</si>
  <si>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</si>
  <si>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</si>
  <si>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</si>
  <si>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</si>
  <si>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</si>
  <si>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</si>
  <si>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</si>
  <si>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</si>
  <si>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</si>
  <si>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</si>
  <si>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</si>
  <si>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</si>
  <si>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</si>
  <si>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</si>
  <si>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</si>
  <si>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</si>
  <si>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</si>
  <si>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</si>
  <si>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</si>
  <si>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</si>
  <si>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</si>
  <si>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</si>
  <si>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</si>
  <si>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</si>
  <si>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</si>
  <si>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</si>
  <si>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</si>
  <si>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</si>
  <si>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</si>
  <si>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</si>
  <si>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</si>
  <si>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</si>
  <si>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</si>
  <si>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</si>
  <si>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</si>
  <si>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</si>
  <si>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</si>
  <si>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</si>
  <si>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</si>
  <si>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</si>
  <si>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</si>
  <si>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</si>
  <si>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</si>
  <si>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</si>
  <si>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</si>
  <si>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</si>
  <si>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</si>
  <si>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</si>
  <si>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</si>
  <si>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</si>
  <si>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</si>
  <si>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</si>
  <si>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</si>
  <si>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</si>
  <si>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</si>
  <si>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</si>
  <si>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</si>
  <si>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</si>
  <si>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</si>
  <si>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</si>
  <si>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</si>
  <si>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</si>
  <si>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</si>
  <si>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</si>
  <si>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</si>
  <si>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</si>
  <si>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</si>
  <si>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</si>
  <si>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</si>
  <si>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</si>
  <si>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</si>
  <si>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</si>
  <si>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</si>
  <si>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</si>
  <si>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</si>
  <si>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</si>
  <si>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</si>
  <si>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</si>
  <si>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</si>
  <si>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</si>
  <si>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</si>
  <si>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</si>
  <si>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</si>
  <si>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</si>
  <si>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</si>
  <si>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</si>
  <si>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</si>
  <si>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</si>
  <si>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</si>
  <si>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</si>
  <si>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</si>
  <si>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</si>
  <si>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</si>
  <si>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</si>
  <si>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</si>
  <si>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</si>
  <si>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</si>
  <si>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</si>
  <si>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</si>
  <si>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</si>
  <si>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</si>
  <si>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</si>
  <si>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</si>
  <si>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</si>
  <si>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</si>
  <si>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</si>
  <si>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</si>
  <si>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</si>
  <si>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</si>
  <si>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</si>
  <si>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</si>
  <si>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</si>
  <si>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</si>
  <si>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</si>
  <si>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</si>
  <si>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</si>
  <si>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</si>
  <si>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</si>
  <si>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</si>
  <si>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</si>
  <si>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</si>
  <si>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</si>
  <si>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</si>
  <si>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</si>
  <si>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</si>
  <si>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</si>
  <si>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</si>
  <si>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</si>
  <si>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</si>
  <si>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</si>
  <si>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</si>
  <si>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</si>
  <si>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</si>
  <si>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</si>
  <si>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</si>
  <si>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</si>
  <si>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</si>
  <si>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</si>
  <si>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</si>
  <si>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</si>
  <si>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</si>
  <si>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</si>
  <si>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</si>
  <si>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</si>
  <si>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</si>
  <si>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</si>
  <si>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</si>
  <si>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</si>
  <si>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</si>
  <si>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</si>
  <si>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</si>
  <si>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</si>
  <si>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</si>
  <si>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</si>
  <si>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</si>
  <si>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</si>
  <si>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</si>
  <si>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</si>
  <si>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</si>
  <si>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</si>
  <si>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</si>
  <si>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</si>
  <si>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</si>
  <si>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</si>
  <si>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</si>
  <si>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</si>
  <si>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</si>
  <si>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</si>
  <si>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</si>
  <si>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</si>
  <si>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</si>
  <si>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</si>
  <si>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</si>
  <si>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</si>
  <si>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</si>
  <si>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</si>
  <si>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</si>
  <si>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</si>
  <si>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</si>
  <si>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</si>
  <si>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</si>
  <si>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</si>
  <si>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</si>
  <si>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</si>
  <si>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</si>
  <si>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</si>
  <si>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</si>
  <si>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</si>
  <si>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</si>
  <si>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</si>
  <si>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</si>
  <si>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</si>
  <si>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</si>
  <si>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</si>
  <si>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</si>
  <si>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</si>
  <si>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</si>
  <si>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</si>
  <si>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</si>
  <si>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</si>
  <si>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</si>
  <si>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</si>
  <si>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</si>
  <si>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</si>
  <si>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</si>
  <si>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</si>
  <si>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</si>
  <si>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</si>
  <si>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</si>
  <si>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</si>
  <si>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</si>
  <si>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</si>
  <si>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</si>
  <si>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</si>
  <si>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</si>
  <si>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</si>
  <si>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</si>
  <si>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</si>
  <si>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</si>
  <si>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</si>
  <si>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</si>
  <si>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</si>
  <si>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</si>
  <si>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</si>
  <si>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</si>
  <si>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</si>
  <si>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</si>
  <si>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</si>
  <si>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</si>
  <si>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</si>
  <si>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</si>
  <si>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</si>
  <si>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</si>
  <si>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</si>
  <si>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</si>
  <si>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</si>
  <si>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</si>
  <si>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</si>
  <si>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</si>
  <si>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</si>
  <si>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</si>
  <si>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</si>
  <si>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</si>
  <si>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</si>
  <si>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</si>
  <si>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</si>
  <si>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</si>
  <si>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</si>
  <si>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</si>
  <si>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</si>
  <si>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</si>
  <si>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</si>
  <si>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</si>
  <si>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</si>
  <si>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</si>
  <si>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</si>
  <si>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</si>
  <si>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</si>
  <si>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</si>
  <si>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</si>
  <si>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</si>
  <si>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</si>
  <si>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</si>
  <si>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</si>
  <si>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</si>
  <si>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</si>
  <si>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</si>
  <si>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</si>
  <si>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</si>
  <si>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</si>
  <si>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</si>
  <si>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</si>
  <si>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</si>
  <si>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</si>
  <si>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</si>
  <si>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</si>
  <si>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</si>
  <si>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</si>
  <si>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</si>
  <si>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</si>
  <si>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</si>
  <si>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</si>
  <si>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</si>
  <si>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</si>
  <si>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</si>
  <si>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</si>
  <si>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</si>
  <si>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</si>
  <si>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</si>
  <si>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</si>
  <si>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</si>
  <si>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</si>
  <si>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</si>
  <si>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</si>
  <si>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</si>
  <si>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</si>
  <si>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</si>
  <si>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</si>
  <si>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</si>
  <si>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</si>
  <si>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</si>
  <si>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</si>
  <si>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</si>
  <si>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</si>
  <si>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</si>
  <si>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</si>
  <si>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</si>
  <si>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</si>
  <si>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</si>
  <si>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</si>
  <si>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</si>
  <si>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</si>
  <si>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</si>
  <si>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</si>
  <si>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</si>
  <si>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</si>
  <si>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</si>
  <si>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</si>
  <si>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</si>
  <si>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</si>
  <si>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</si>
  <si>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</si>
  <si>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</si>
  <si>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</si>
  <si>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</si>
  <si>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</si>
  <si>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</si>
  <si>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</si>
  <si>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</si>
  <si>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</si>
  <si>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</si>
  <si>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</si>
  <si>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</si>
  <si>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</si>
  <si>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</si>
  <si>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</si>
  <si>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</si>
  <si>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</si>
  <si>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</si>
  <si>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</si>
  <si>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</si>
  <si>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</si>
  <si>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</si>
  <si>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</si>
  <si>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</si>
  <si>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</si>
  <si>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</si>
  <si>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</si>
  <si>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</si>
  <si>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</si>
  <si>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</si>
  <si>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</si>
  <si>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</si>
  <si>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</si>
  <si>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</si>
  <si>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</si>
  <si>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</si>
  <si>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</si>
  <si>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</si>
  <si>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</si>
  <si>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</si>
  <si>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</si>
  <si>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</si>
  <si>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t>10x1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</si>
</sst>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2" fontId="5" fillId="10" borderId="1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9700736"/>
        <c:axId val="39714816"/>
      </c:lineChart>
      <c:catAx>
        <c:axId val="39700736"/>
        <c:scaling>
          <c:orientation val="minMax"/>
        </c:scaling>
        <c:axPos val="b"/>
        <c:tickLblPos val="nextTo"/>
        <c:crossAx val="39714816"/>
        <c:crosses val="autoZero"/>
        <c:auto val="1"/>
        <c:lblAlgn val="ctr"/>
        <c:lblOffset val="100"/>
      </c:catAx>
      <c:valAx>
        <c:axId val="39714816"/>
        <c:scaling>
          <c:orientation val="minMax"/>
        </c:scaling>
        <c:axPos val="l"/>
        <c:majorGridlines/>
        <c:numFmt formatCode="General" sourceLinked="1"/>
        <c:tickLblPos val="nextTo"/>
        <c:crossAx val="397007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3" t="s">
        <v>440</v>
      </c>
      <c r="C3" s="273"/>
      <c r="D3" s="273"/>
      <c r="G3" s="273" t="s">
        <v>441</v>
      </c>
      <c r="H3" s="273"/>
      <c r="I3" s="273"/>
      <c r="P3" s="274" t="s">
        <v>442</v>
      </c>
      <c r="Q3" s="275"/>
      <c r="R3" s="275"/>
      <c r="S3" s="276"/>
      <c r="T3" s="274" t="s">
        <v>443</v>
      </c>
      <c r="U3" s="275"/>
      <c r="V3" s="275"/>
      <c r="W3" s="276"/>
    </row>
    <row r="4" spans="2:23">
      <c r="B4" s="184" t="s">
        <v>444</v>
      </c>
      <c r="C4" s="277">
        <v>9500000</v>
      </c>
      <c r="D4" s="277"/>
      <c r="G4" s="184" t="s">
        <v>445</v>
      </c>
      <c r="H4" s="278">
        <v>200000</v>
      </c>
      <c r="I4" s="278"/>
      <c r="K4" s="185" t="s">
        <v>446</v>
      </c>
      <c r="L4" s="185" t="s">
        <v>78</v>
      </c>
      <c r="M4" s="185" t="s">
        <v>393</v>
      </c>
      <c r="N4" s="185" t="s">
        <v>447</v>
      </c>
      <c r="O4" s="185" t="s">
        <v>448</v>
      </c>
      <c r="P4" s="186" t="s">
        <v>449</v>
      </c>
      <c r="Q4" s="187" t="s">
        <v>287</v>
      </c>
      <c r="R4" s="187" t="s">
        <v>448</v>
      </c>
      <c r="S4" s="188" t="s">
        <v>450</v>
      </c>
      <c r="T4" s="186" t="s">
        <v>449</v>
      </c>
      <c r="U4" s="187" t="s">
        <v>287</v>
      </c>
      <c r="V4" s="187" t="s">
        <v>448</v>
      </c>
      <c r="W4" s="188" t="s">
        <v>450</v>
      </c>
    </row>
    <row r="5" spans="2:23">
      <c r="B5" s="184" t="s">
        <v>451</v>
      </c>
      <c r="C5" s="279">
        <v>0.08</v>
      </c>
      <c r="D5" s="280"/>
      <c r="G5" s="184" t="s">
        <v>451</v>
      </c>
      <c r="H5" s="281">
        <v>0.12</v>
      </c>
      <c r="I5" s="281"/>
      <c r="K5" s="184" t="s">
        <v>452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>
      <c r="B6" s="184" t="s">
        <v>453</v>
      </c>
      <c r="C6" s="278">
        <v>30</v>
      </c>
      <c r="D6" s="278"/>
      <c r="G6" s="184" t="s">
        <v>453</v>
      </c>
      <c r="H6" s="278">
        <v>10</v>
      </c>
      <c r="I6" s="278"/>
      <c r="K6" s="184" t="s">
        <v>454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455</v>
      </c>
    </row>
    <row r="7" spans="2:23">
      <c r="B7" s="184"/>
      <c r="C7" s="282"/>
      <c r="D7" s="282"/>
      <c r="G7" s="184"/>
      <c r="H7" s="282"/>
      <c r="I7" s="282"/>
      <c r="K7" s="184" t="s">
        <v>456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>
      <c r="B8" s="184"/>
      <c r="C8" s="282"/>
      <c r="D8" s="282"/>
      <c r="G8" s="184"/>
      <c r="H8" s="282"/>
      <c r="I8" s="282"/>
      <c r="K8" s="184" t="s">
        <v>457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>
      <c r="B9" s="202" t="s">
        <v>445</v>
      </c>
      <c r="C9" s="283">
        <f>C4*(1/(1+C5)^C6)</f>
        <v>944084.6592231117</v>
      </c>
      <c r="D9" s="283"/>
      <c r="G9" s="202" t="s">
        <v>458</v>
      </c>
      <c r="H9" s="283">
        <f>H4*((1+H5)^H6)</f>
        <v>621169.64166884217</v>
      </c>
      <c r="I9" s="283"/>
      <c r="K9" s="184" t="s">
        <v>459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>
      <c r="B10" s="202" t="s">
        <v>460</v>
      </c>
      <c r="C10" s="283">
        <f>C4-C9</f>
        <v>8555915.3407768887</v>
      </c>
      <c r="D10" s="283"/>
      <c r="G10" s="202" t="s">
        <v>460</v>
      </c>
      <c r="H10" s="284">
        <f>H9-H4</f>
        <v>421169.64166884217</v>
      </c>
      <c r="I10" s="284"/>
      <c r="K10" s="184" t="s">
        <v>461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>
      <c r="K11" s="184" t="s">
        <v>462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>
      <c r="K12" s="184" t="s">
        <v>463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>
      <c r="K13" s="208" t="s">
        <v>322</v>
      </c>
    </row>
    <row r="14" spans="2:23">
      <c r="B14" s="273" t="s">
        <v>464</v>
      </c>
      <c r="C14" s="273"/>
      <c r="D14" s="273"/>
      <c r="G14" s="273" t="s">
        <v>465</v>
      </c>
      <c r="H14" s="273"/>
      <c r="I14" s="273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>
      <c r="B15" s="184" t="s">
        <v>466</v>
      </c>
      <c r="C15" s="278">
        <v>24000</v>
      </c>
      <c r="D15" s="278"/>
      <c r="G15" s="184" t="s">
        <v>466</v>
      </c>
      <c r="H15" s="278">
        <v>200000</v>
      </c>
      <c r="I15" s="278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>
      <c r="B16" s="184" t="s">
        <v>451</v>
      </c>
      <c r="C16" s="279">
        <v>0.1</v>
      </c>
      <c r="D16" s="280"/>
      <c r="G16" s="184" t="s">
        <v>451</v>
      </c>
      <c r="H16" s="279">
        <v>0.12</v>
      </c>
      <c r="I16" s="280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18">
      <c r="B17" s="184" t="s">
        <v>453</v>
      </c>
      <c r="C17" s="278">
        <v>20</v>
      </c>
      <c r="D17" s="278"/>
      <c r="G17" s="184" t="s">
        <v>453</v>
      </c>
      <c r="H17" s="278">
        <v>10</v>
      </c>
      <c r="I17" s="278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18">
      <c r="B18" s="184"/>
      <c r="C18" s="282"/>
      <c r="D18" s="282"/>
      <c r="G18" s="184"/>
      <c r="H18" s="282"/>
      <c r="I18" s="282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18">
      <c r="B19" s="202" t="s">
        <v>467</v>
      </c>
      <c r="C19" s="285">
        <f>( ( 1-  (1/ ( (1+C16)^C17) ) ) / C16)</f>
        <v>8.5135637197585652</v>
      </c>
      <c r="D19" s="286"/>
      <c r="G19" s="202" t="s">
        <v>468</v>
      </c>
      <c r="H19" s="285">
        <f>( ((1+H16)^H17) -1 ) / H16</f>
        <v>17.548735069535095</v>
      </c>
      <c r="I19" s="286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18">
      <c r="B20" s="202" t="s">
        <v>469</v>
      </c>
      <c r="C20" s="287">
        <f>C19 * C15</f>
        <v>204325.52927420556</v>
      </c>
      <c r="D20" s="288"/>
      <c r="G20" s="202" t="s">
        <v>470</v>
      </c>
      <c r="H20" s="285">
        <f>H19 * H15</f>
        <v>3509747.013907019</v>
      </c>
      <c r="I20" s="286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18">
      <c r="B21" s="202"/>
      <c r="C21" s="289"/>
      <c r="D21" s="290"/>
      <c r="G21" s="202"/>
      <c r="H21" s="289"/>
      <c r="I21" s="290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18">
      <c r="B22" s="202"/>
      <c r="C22" s="283"/>
      <c r="D22" s="283"/>
      <c r="G22" s="202"/>
      <c r="H22" s="283"/>
      <c r="I22" s="283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18">
      <c r="B26" s="273" t="s">
        <v>471</v>
      </c>
      <c r="C26" s="273"/>
      <c r="D26" s="273"/>
      <c r="G26" s="273" t="s">
        <v>472</v>
      </c>
      <c r="H26" s="273"/>
      <c r="I26" s="273"/>
      <c r="K26" s="273" t="s">
        <v>15</v>
      </c>
      <c r="L26" s="273"/>
    </row>
    <row r="27" spans="2:18">
      <c r="B27" s="184" t="s">
        <v>466</v>
      </c>
      <c r="C27" s="278">
        <v>100</v>
      </c>
      <c r="D27" s="278"/>
      <c r="G27" s="184" t="s">
        <v>466</v>
      </c>
      <c r="H27" s="278">
        <v>200000</v>
      </c>
      <c r="I27" s="278"/>
      <c r="K27" s="10" t="s">
        <v>16</v>
      </c>
      <c r="L27" s="11">
        <v>45</v>
      </c>
      <c r="M27" s="215">
        <f>L27*M39</f>
        <v>9375000</v>
      </c>
      <c r="N27" t="s">
        <v>473</v>
      </c>
    </row>
    <row r="28" spans="2:18">
      <c r="B28" s="184" t="s">
        <v>451</v>
      </c>
      <c r="C28" s="279">
        <v>0.05</v>
      </c>
      <c r="D28" s="280"/>
      <c r="G28" s="184" t="s">
        <v>451</v>
      </c>
      <c r="H28" s="279">
        <v>0.12</v>
      </c>
      <c r="I28" s="280"/>
      <c r="K28" s="10" t="s">
        <v>17</v>
      </c>
      <c r="L28" s="11">
        <v>240</v>
      </c>
      <c r="M28" s="216"/>
      <c r="R28">
        <v>416</v>
      </c>
    </row>
    <row r="29" spans="2:18">
      <c r="B29" s="184" t="s">
        <v>453</v>
      </c>
      <c r="C29" s="278">
        <v>3</v>
      </c>
      <c r="D29" s="278"/>
      <c r="G29" s="184" t="s">
        <v>453</v>
      </c>
      <c r="H29" s="278">
        <v>11</v>
      </c>
      <c r="I29" s="278"/>
      <c r="K29" s="10" t="s">
        <v>18</v>
      </c>
      <c r="L29" s="12">
        <v>10</v>
      </c>
      <c r="M29" s="217">
        <f>L27/100000</f>
        <v>4.4999999999999999E-4</v>
      </c>
      <c r="N29" t="s">
        <v>474</v>
      </c>
    </row>
    <row r="30" spans="2:18" ht="15.75" thickBot="1">
      <c r="B30" s="184"/>
      <c r="C30" s="282"/>
      <c r="D30" s="282"/>
      <c r="G30" s="184"/>
      <c r="H30" s="282"/>
      <c r="I30" s="282"/>
      <c r="K30" s="13" t="s">
        <v>19</v>
      </c>
      <c r="L30" s="3">
        <f>((L28/L27)^(1/L29))-1</f>
        <v>0.18222427548378417</v>
      </c>
      <c r="M30" s="217">
        <f>L28/100000</f>
        <v>2.3999999999999998E-3</v>
      </c>
      <c r="N30" t="s">
        <v>475</v>
      </c>
    </row>
    <row r="31" spans="2:18">
      <c r="B31" s="202" t="s">
        <v>467</v>
      </c>
      <c r="C31" s="285">
        <f>( ( ( 1-  (1/ ( (1+C28)^C29) ) ) / C28) ) * (1+C28)</f>
        <v>2.859410430839004</v>
      </c>
      <c r="D31" s="286"/>
      <c r="G31" s="202" t="s">
        <v>468</v>
      </c>
      <c r="H31" s="285">
        <f>(( ((1+H28)^H29) -1 ) / H28 ) * ( 1+H28)</f>
        <v>23.133133271224832</v>
      </c>
      <c r="I31" s="286"/>
      <c r="K31" s="13" t="s">
        <v>20</v>
      </c>
      <c r="L31" s="14">
        <f>L29*12</f>
        <v>120</v>
      </c>
      <c r="P31" s="218" t="s">
        <v>476</v>
      </c>
      <c r="Q31" s="219" t="s">
        <v>477</v>
      </c>
    </row>
    <row r="32" spans="2:18">
      <c r="B32" s="202" t="s">
        <v>478</v>
      </c>
      <c r="C32" s="285">
        <f>C31 * C27</f>
        <v>285.94104308390041</v>
      </c>
      <c r="D32" s="286"/>
      <c r="G32" s="202" t="s">
        <v>479</v>
      </c>
      <c r="H32" s="285">
        <f>H31 * H27</f>
        <v>4626626.6542449668</v>
      </c>
      <c r="I32" s="286"/>
      <c r="K32" s="10" t="s">
        <v>18</v>
      </c>
      <c r="L32" s="15">
        <f>L31/12</f>
        <v>10</v>
      </c>
      <c r="M32">
        <v>62.56</v>
      </c>
      <c r="P32" s="220">
        <v>0.05</v>
      </c>
      <c r="Q32" s="221">
        <v>14</v>
      </c>
    </row>
    <row r="33" spans="2:17">
      <c r="B33" s="202"/>
      <c r="C33" s="289"/>
      <c r="D33" s="290"/>
      <c r="G33" s="202"/>
      <c r="H33" s="289"/>
      <c r="I33" s="290"/>
      <c r="K33" s="13" t="s">
        <v>21</v>
      </c>
      <c r="L33" s="3">
        <f>((L28/L27)^(1/L32))-1</f>
        <v>0.18222427548378417</v>
      </c>
      <c r="P33" s="220">
        <v>0.08</v>
      </c>
      <c r="Q33" s="221">
        <v>9</v>
      </c>
    </row>
    <row r="34" spans="2:17">
      <c r="B34" s="202"/>
      <c r="C34" s="283"/>
      <c r="D34" s="283"/>
      <c r="G34" s="202"/>
      <c r="H34" s="283"/>
      <c r="I34" s="283"/>
      <c r="P34" s="220">
        <v>0.1</v>
      </c>
      <c r="Q34" s="221">
        <v>10</v>
      </c>
    </row>
    <row r="35" spans="2:17">
      <c r="P35" s="220">
        <v>0.15</v>
      </c>
      <c r="Q35" s="221">
        <v>5</v>
      </c>
    </row>
    <row r="36" spans="2:17">
      <c r="B36" s="273" t="s">
        <v>24</v>
      </c>
      <c r="C36" s="273"/>
      <c r="D36" s="273"/>
      <c r="E36" s="222"/>
      <c r="G36" s="273" t="s">
        <v>53</v>
      </c>
      <c r="H36" s="273"/>
      <c r="K36" s="273" t="s">
        <v>337</v>
      </c>
      <c r="L36" s="273"/>
      <c r="P36" s="220">
        <v>0.2</v>
      </c>
      <c r="Q36" s="221">
        <v>4</v>
      </c>
    </row>
    <row r="37" spans="2:17">
      <c r="B37" s="19" t="s">
        <v>25</v>
      </c>
      <c r="C37" s="19"/>
      <c r="D37" s="223">
        <v>1000000</v>
      </c>
      <c r="E37" s="222"/>
      <c r="G37" s="19" t="s">
        <v>29</v>
      </c>
      <c r="H37" s="44">
        <v>342</v>
      </c>
      <c r="K37" s="10" t="s">
        <v>16</v>
      </c>
      <c r="L37" s="11">
        <f>L27</f>
        <v>45</v>
      </c>
      <c r="M37" s="216">
        <v>50000000</v>
      </c>
      <c r="N37" t="s">
        <v>480</v>
      </c>
      <c r="P37" s="220">
        <v>0.25</v>
      </c>
      <c r="Q37" s="221">
        <v>3</v>
      </c>
    </row>
    <row r="38" spans="2:17">
      <c r="B38" s="19" t="s">
        <v>26</v>
      </c>
      <c r="C38" s="19"/>
      <c r="D38" s="21">
        <v>0.66</v>
      </c>
      <c r="E38" s="222"/>
      <c r="G38" s="19" t="s">
        <v>26</v>
      </c>
      <c r="H38" s="21">
        <v>0.12</v>
      </c>
      <c r="K38" s="10" t="s">
        <v>17</v>
      </c>
      <c r="L38" s="11">
        <f>L28</f>
        <v>240</v>
      </c>
      <c r="M38" s="216">
        <f>L38/L37</f>
        <v>5.333333333333333</v>
      </c>
      <c r="N38" t="s">
        <v>481</v>
      </c>
      <c r="P38" s="220">
        <v>0.3</v>
      </c>
      <c r="Q38" s="221">
        <v>2.5</v>
      </c>
    </row>
    <row r="39" spans="2:17">
      <c r="B39" s="19" t="s">
        <v>27</v>
      </c>
      <c r="C39" s="19"/>
      <c r="D39" s="224">
        <v>6</v>
      </c>
      <c r="E39" s="222"/>
      <c r="G39" s="19" t="s">
        <v>27</v>
      </c>
      <c r="H39" s="22">
        <v>10</v>
      </c>
      <c r="K39" s="10" t="s">
        <v>482</v>
      </c>
      <c r="L39" s="10"/>
      <c r="M39" s="216">
        <f>M37/L38</f>
        <v>208333.33333333334</v>
      </c>
      <c r="N39" t="s">
        <v>483</v>
      </c>
      <c r="P39" s="225">
        <v>0.4</v>
      </c>
      <c r="Q39" s="226">
        <v>2</v>
      </c>
    </row>
    <row r="40" spans="2:17">
      <c r="B40" s="19" t="s">
        <v>28</v>
      </c>
      <c r="C40" s="19"/>
      <c r="D40" s="23">
        <v>500000</v>
      </c>
      <c r="E40" s="222"/>
      <c r="G40" s="19" t="s">
        <v>28</v>
      </c>
      <c r="H40" s="20">
        <v>0</v>
      </c>
      <c r="K40" s="10" t="s">
        <v>338</v>
      </c>
      <c r="L40" s="189">
        <f>(L38-L37)/L37</f>
        <v>4.333333333333333</v>
      </c>
      <c r="P40" s="225">
        <v>0.5</v>
      </c>
      <c r="Q40" s="226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2"/>
      <c r="G41" s="24" t="s">
        <v>54</v>
      </c>
      <c r="H41" s="45">
        <f>PV(H38,H39,H40,-H37)</f>
        <v>110.11484691401803</v>
      </c>
      <c r="K41" s="10" t="s">
        <v>339</v>
      </c>
      <c r="L41" s="227">
        <f>L38/L37</f>
        <v>5.333333333333333</v>
      </c>
      <c r="P41" s="225">
        <v>0.75</v>
      </c>
      <c r="Q41" s="226">
        <v>1.3</v>
      </c>
    </row>
    <row r="42" spans="2:17" ht="15.75" thickBot="1">
      <c r="B42" s="228" t="s">
        <v>484</v>
      </c>
      <c r="D42" s="229">
        <f>D41/10000000</f>
        <v>3.6018262604416011</v>
      </c>
      <c r="P42" s="230">
        <v>1</v>
      </c>
      <c r="Q42" s="231">
        <v>1</v>
      </c>
    </row>
    <row r="43" spans="2:17" ht="15.75" thickBot="1">
      <c r="C43" s="293" t="s">
        <v>458</v>
      </c>
      <c r="D43" s="293"/>
      <c r="E43" s="293"/>
      <c r="F43" s="293"/>
      <c r="J43" s="293" t="s">
        <v>458</v>
      </c>
      <c r="K43" s="293"/>
      <c r="L43" s="293"/>
      <c r="M43" s="293"/>
    </row>
    <row r="44" spans="2:17" ht="15.75" thickBot="1">
      <c r="B44" s="232"/>
      <c r="C44" s="291" t="s">
        <v>485</v>
      </c>
      <c r="D44" s="292"/>
      <c r="E44" s="233" t="s">
        <v>486</v>
      </c>
      <c r="F44" s="233"/>
      <c r="G44" s="234"/>
      <c r="I44" s="232"/>
      <c r="J44" s="291" t="s">
        <v>487</v>
      </c>
      <c r="K44" s="292"/>
      <c r="L44" s="233" t="s">
        <v>488</v>
      </c>
      <c r="M44" s="233"/>
      <c r="N44" s="234"/>
    </row>
    <row r="45" spans="2:17" ht="15.75" thickBot="1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</row>
    <row r="46" spans="2:17" ht="15.75" thickBot="1">
      <c r="B46" s="294" t="s">
        <v>489</v>
      </c>
      <c r="C46" s="295"/>
      <c r="D46" s="295"/>
      <c r="E46" s="295"/>
      <c r="F46" s="295"/>
      <c r="G46" s="296"/>
      <c r="I46" s="294" t="s">
        <v>489</v>
      </c>
      <c r="J46" s="295"/>
      <c r="K46" s="295"/>
      <c r="L46" s="295"/>
      <c r="M46" s="295"/>
      <c r="N46" s="296"/>
    </row>
    <row r="47" spans="2:17">
      <c r="B47" s="200"/>
      <c r="C47" s="197"/>
      <c r="D47" s="235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17" ht="30">
      <c r="B48" s="236" t="s">
        <v>14</v>
      </c>
      <c r="C48" s="237" t="s">
        <v>490</v>
      </c>
      <c r="D48" s="237" t="s">
        <v>491</v>
      </c>
      <c r="E48" s="237" t="s">
        <v>492</v>
      </c>
      <c r="F48" s="237" t="s">
        <v>493</v>
      </c>
      <c r="G48" s="238" t="s">
        <v>494</v>
      </c>
      <c r="I48" s="236" t="s">
        <v>14</v>
      </c>
      <c r="J48" s="237" t="s">
        <v>490</v>
      </c>
      <c r="K48" s="237" t="s">
        <v>495</v>
      </c>
      <c r="L48" s="237" t="s">
        <v>492</v>
      </c>
      <c r="M48" s="237" t="s">
        <v>493</v>
      </c>
      <c r="N48" s="238" t="s">
        <v>494</v>
      </c>
      <c r="O48" s="239" t="s">
        <v>496</v>
      </c>
      <c r="P48" s="240" t="s">
        <v>4</v>
      </c>
    </row>
    <row r="49" spans="1:16">
      <c r="A49">
        <v>2013</v>
      </c>
      <c r="B49" s="241">
        <v>0</v>
      </c>
      <c r="C49" s="242">
        <v>0</v>
      </c>
      <c r="D49" s="243">
        <v>1000000</v>
      </c>
      <c r="E49" s="244">
        <v>0.5</v>
      </c>
      <c r="F49" s="245">
        <f xml:space="preserve"> (C49) * E49</f>
        <v>0</v>
      </c>
      <c r="G49" s="246">
        <f>C49+D49+F49</f>
        <v>1000000</v>
      </c>
      <c r="H49" s="216"/>
      <c r="I49" s="241">
        <v>0</v>
      </c>
      <c r="J49" s="242">
        <v>1</v>
      </c>
      <c r="K49" s="243">
        <v>0</v>
      </c>
      <c r="L49" s="244">
        <v>3</v>
      </c>
      <c r="M49" s="242">
        <f xml:space="preserve"> (J49+K49) * L49</f>
        <v>3</v>
      </c>
      <c r="N49" s="247">
        <f>J49+K49+M49</f>
        <v>4</v>
      </c>
      <c r="O49">
        <v>2015</v>
      </c>
      <c r="P49" s="248">
        <f t="shared" ref="P49:P64" si="1">N49/10000000</f>
        <v>3.9999999999999998E-7</v>
      </c>
    </row>
    <row r="50" spans="1:16">
      <c r="A50">
        <f>A49+1</f>
        <v>2014</v>
      </c>
      <c r="B50" s="241">
        <f>B49+1</f>
        <v>1</v>
      </c>
      <c r="C50" s="242">
        <f t="shared" ref="C50:C79" si="2">G49</f>
        <v>1000000</v>
      </c>
      <c r="D50" s="243">
        <v>1500000</v>
      </c>
      <c r="E50" s="244">
        <f>E49</f>
        <v>0.5</v>
      </c>
      <c r="F50" s="245">
        <f t="shared" ref="F50:F79" si="3" xml:space="preserve"> (C50) * E50</f>
        <v>500000</v>
      </c>
      <c r="G50" s="246">
        <f t="shared" ref="G50:G80" si="4">C50+D50+F50</f>
        <v>3000000</v>
      </c>
      <c r="H50" s="216"/>
      <c r="I50" s="241">
        <f>I49+1</f>
        <v>1</v>
      </c>
      <c r="J50" s="242">
        <f>N49</f>
        <v>4</v>
      </c>
      <c r="K50" s="243">
        <v>0</v>
      </c>
      <c r="L50" s="244">
        <v>2</v>
      </c>
      <c r="M50" s="242">
        <f t="shared" ref="M50:M80" si="5" xml:space="preserve"> (J50+K50) * L50</f>
        <v>8</v>
      </c>
      <c r="N50" s="247">
        <f t="shared" ref="N50:N80" si="6">J50+K50+M50</f>
        <v>12</v>
      </c>
      <c r="O50">
        <f t="shared" ref="O50:O64" si="7">O49+1</f>
        <v>2016</v>
      </c>
      <c r="P50" s="248">
        <f t="shared" si="1"/>
        <v>1.1999999999999999E-6</v>
      </c>
    </row>
    <row r="51" spans="1:16">
      <c r="A51">
        <f t="shared" ref="A51:B66" si="8">A50+1</f>
        <v>2015</v>
      </c>
      <c r="B51" s="241">
        <f t="shared" si="8"/>
        <v>2</v>
      </c>
      <c r="C51" s="242">
        <f t="shared" si="2"/>
        <v>3000000</v>
      </c>
      <c r="D51" s="243">
        <v>2000000</v>
      </c>
      <c r="E51" s="244">
        <f>E50</f>
        <v>0.5</v>
      </c>
      <c r="F51" s="245">
        <f t="shared" si="3"/>
        <v>1500000</v>
      </c>
      <c r="G51" s="246">
        <f t="shared" si="4"/>
        <v>6500000</v>
      </c>
      <c r="H51" s="216"/>
      <c r="I51" s="241">
        <f t="shared" ref="I51:I79" si="9">I50+1</f>
        <v>2</v>
      </c>
      <c r="J51" s="242">
        <f t="shared" ref="J51:J80" si="10">N50</f>
        <v>12</v>
      </c>
      <c r="K51" s="243">
        <v>0</v>
      </c>
      <c r="L51" s="244">
        <v>0.8</v>
      </c>
      <c r="M51" s="242">
        <f t="shared" si="5"/>
        <v>9.6000000000000014</v>
      </c>
      <c r="N51" s="247">
        <f t="shared" si="6"/>
        <v>21.6</v>
      </c>
      <c r="O51">
        <f t="shared" si="7"/>
        <v>2017</v>
      </c>
      <c r="P51" s="248">
        <f t="shared" si="1"/>
        <v>2.1600000000000001E-6</v>
      </c>
    </row>
    <row r="52" spans="1:16">
      <c r="A52">
        <f t="shared" si="8"/>
        <v>2016</v>
      </c>
      <c r="B52" s="241">
        <f t="shared" si="8"/>
        <v>3</v>
      </c>
      <c r="C52" s="242">
        <f t="shared" si="2"/>
        <v>6500000</v>
      </c>
      <c r="D52" s="243">
        <v>2500000</v>
      </c>
      <c r="E52" s="244">
        <f t="shared" ref="E52:E70" si="11">E51</f>
        <v>0.5</v>
      </c>
      <c r="F52" s="245">
        <f t="shared" si="3"/>
        <v>3250000</v>
      </c>
      <c r="G52" s="246">
        <f t="shared" si="4"/>
        <v>12250000</v>
      </c>
      <c r="H52" s="216"/>
      <c r="I52" s="241">
        <f t="shared" si="9"/>
        <v>3</v>
      </c>
      <c r="J52" s="242">
        <f t="shared" si="10"/>
        <v>21.6</v>
      </c>
      <c r="K52" s="243">
        <v>0</v>
      </c>
      <c r="L52" s="249">
        <v>0.4</v>
      </c>
      <c r="M52" s="242">
        <f t="shared" si="5"/>
        <v>8.64</v>
      </c>
      <c r="N52" s="247">
        <f t="shared" si="6"/>
        <v>30.240000000000002</v>
      </c>
      <c r="O52">
        <f t="shared" si="7"/>
        <v>2018</v>
      </c>
      <c r="P52" s="248">
        <f t="shared" si="1"/>
        <v>3.0240000000000002E-6</v>
      </c>
    </row>
    <row r="53" spans="1:16">
      <c r="A53">
        <f t="shared" si="8"/>
        <v>2017</v>
      </c>
      <c r="B53" s="241">
        <f t="shared" si="8"/>
        <v>4</v>
      </c>
      <c r="C53" s="242">
        <f t="shared" si="2"/>
        <v>12250000</v>
      </c>
      <c r="D53" s="243">
        <v>3000000</v>
      </c>
      <c r="E53" s="244">
        <f t="shared" si="11"/>
        <v>0.5</v>
      </c>
      <c r="F53" s="245">
        <f t="shared" si="3"/>
        <v>6125000</v>
      </c>
      <c r="G53" s="246">
        <f t="shared" si="4"/>
        <v>21375000</v>
      </c>
      <c r="H53" s="216"/>
      <c r="I53" s="241">
        <f t="shared" si="9"/>
        <v>4</v>
      </c>
      <c r="J53" s="242">
        <f t="shared" si="10"/>
        <v>30.240000000000002</v>
      </c>
      <c r="K53" s="243">
        <v>0</v>
      </c>
      <c r="L53" s="249">
        <v>0.3</v>
      </c>
      <c r="M53" s="242">
        <f t="shared" si="5"/>
        <v>9.072000000000001</v>
      </c>
      <c r="N53" s="247">
        <f t="shared" si="6"/>
        <v>39.312000000000005</v>
      </c>
      <c r="O53">
        <f t="shared" si="7"/>
        <v>2019</v>
      </c>
      <c r="P53" s="248">
        <f t="shared" si="1"/>
        <v>3.9312000000000006E-6</v>
      </c>
    </row>
    <row r="54" spans="1:16">
      <c r="A54">
        <f t="shared" si="8"/>
        <v>2018</v>
      </c>
      <c r="B54" s="241">
        <f t="shared" si="8"/>
        <v>5</v>
      </c>
      <c r="C54" s="242">
        <f t="shared" si="2"/>
        <v>21375000</v>
      </c>
      <c r="D54" s="243">
        <v>3500000</v>
      </c>
      <c r="E54" s="244">
        <f t="shared" si="11"/>
        <v>0.5</v>
      </c>
      <c r="F54" s="245">
        <f t="shared" si="3"/>
        <v>10687500</v>
      </c>
      <c r="G54" s="246">
        <f t="shared" si="4"/>
        <v>35562500</v>
      </c>
      <c r="H54" s="216"/>
      <c r="I54" s="241">
        <f t="shared" si="9"/>
        <v>5</v>
      </c>
      <c r="J54" s="242">
        <f t="shared" si="10"/>
        <v>39.312000000000005</v>
      </c>
      <c r="K54" s="243">
        <v>0</v>
      </c>
      <c r="L54" s="244">
        <v>0.2</v>
      </c>
      <c r="M54" s="242">
        <f t="shared" si="5"/>
        <v>7.8624000000000009</v>
      </c>
      <c r="N54" s="247">
        <f t="shared" si="6"/>
        <v>47.174400000000006</v>
      </c>
      <c r="O54">
        <f t="shared" si="7"/>
        <v>2020</v>
      </c>
      <c r="P54" s="248">
        <f t="shared" si="1"/>
        <v>4.7174400000000002E-6</v>
      </c>
    </row>
    <row r="55" spans="1:16">
      <c r="A55">
        <f t="shared" si="8"/>
        <v>2019</v>
      </c>
      <c r="B55" s="241">
        <f t="shared" si="8"/>
        <v>6</v>
      </c>
      <c r="C55" s="242">
        <f t="shared" si="2"/>
        <v>35562500</v>
      </c>
      <c r="D55" s="243">
        <v>4000000</v>
      </c>
      <c r="E55" s="244">
        <f t="shared" si="11"/>
        <v>0.5</v>
      </c>
      <c r="F55" s="245">
        <f t="shared" si="3"/>
        <v>17781250</v>
      </c>
      <c r="G55" s="246">
        <f t="shared" si="4"/>
        <v>57343750</v>
      </c>
      <c r="H55" s="216"/>
      <c r="I55" s="241">
        <f t="shared" si="9"/>
        <v>6</v>
      </c>
      <c r="J55" s="242">
        <f t="shared" si="10"/>
        <v>47.174400000000006</v>
      </c>
      <c r="K55" s="243">
        <v>0</v>
      </c>
      <c r="L55" s="244">
        <f t="shared" ref="L55:L67" si="12">L54</f>
        <v>0.2</v>
      </c>
      <c r="M55" s="242">
        <f t="shared" si="5"/>
        <v>9.4348800000000015</v>
      </c>
      <c r="N55" s="247">
        <f t="shared" si="6"/>
        <v>56.609280000000005</v>
      </c>
      <c r="O55">
        <f t="shared" si="7"/>
        <v>2021</v>
      </c>
      <c r="P55" s="248">
        <f t="shared" si="1"/>
        <v>5.6609280000000002E-6</v>
      </c>
    </row>
    <row r="56" spans="1:16">
      <c r="A56">
        <f t="shared" si="8"/>
        <v>2020</v>
      </c>
      <c r="B56" s="241">
        <f t="shared" si="8"/>
        <v>7</v>
      </c>
      <c r="C56" s="242">
        <f t="shared" si="2"/>
        <v>57343750</v>
      </c>
      <c r="D56" s="243">
        <v>5000000</v>
      </c>
      <c r="E56" s="244">
        <f t="shared" si="11"/>
        <v>0.5</v>
      </c>
      <c r="F56" s="245">
        <f t="shared" si="3"/>
        <v>28671875</v>
      </c>
      <c r="G56" s="246">
        <f t="shared" si="4"/>
        <v>91015625</v>
      </c>
      <c r="H56" s="216">
        <f>G56/10000000</f>
        <v>9.1015625</v>
      </c>
      <c r="I56" s="241">
        <f t="shared" si="9"/>
        <v>7</v>
      </c>
      <c r="J56" s="242">
        <f t="shared" si="10"/>
        <v>56.609280000000005</v>
      </c>
      <c r="K56" s="243">
        <v>0</v>
      </c>
      <c r="L56" s="244">
        <f t="shared" si="12"/>
        <v>0.2</v>
      </c>
      <c r="M56" s="242">
        <f t="shared" si="5"/>
        <v>11.321856000000002</v>
      </c>
      <c r="N56" s="247">
        <f t="shared" si="6"/>
        <v>67.931136000000009</v>
      </c>
      <c r="O56">
        <f t="shared" si="7"/>
        <v>2022</v>
      </c>
      <c r="P56" s="248">
        <f t="shared" si="1"/>
        <v>6.7931136000000013E-6</v>
      </c>
    </row>
    <row r="57" spans="1:16">
      <c r="A57">
        <f t="shared" si="8"/>
        <v>2021</v>
      </c>
      <c r="B57" s="241">
        <f t="shared" si="8"/>
        <v>8</v>
      </c>
      <c r="C57" s="242">
        <f t="shared" si="2"/>
        <v>91015625</v>
      </c>
      <c r="D57" s="243">
        <v>0</v>
      </c>
      <c r="E57" s="244">
        <f t="shared" si="11"/>
        <v>0.5</v>
      </c>
      <c r="F57" s="245">
        <f t="shared" si="3"/>
        <v>45507812.5</v>
      </c>
      <c r="G57" s="246">
        <f t="shared" si="4"/>
        <v>136523437.5</v>
      </c>
      <c r="H57" s="216"/>
      <c r="I57" s="241">
        <f t="shared" si="9"/>
        <v>8</v>
      </c>
      <c r="J57" s="242">
        <f t="shared" si="10"/>
        <v>67.931136000000009</v>
      </c>
      <c r="K57" s="243">
        <v>0</v>
      </c>
      <c r="L57" s="244">
        <f t="shared" si="12"/>
        <v>0.2</v>
      </c>
      <c r="M57" s="242">
        <f t="shared" si="5"/>
        <v>13.586227200000003</v>
      </c>
      <c r="N57" s="247">
        <f t="shared" si="6"/>
        <v>81.517363200000005</v>
      </c>
      <c r="O57">
        <f t="shared" si="7"/>
        <v>2023</v>
      </c>
      <c r="P57" s="248">
        <f t="shared" si="1"/>
        <v>8.1517363199999998E-6</v>
      </c>
    </row>
    <row r="58" spans="1:16">
      <c r="A58">
        <f t="shared" si="8"/>
        <v>2022</v>
      </c>
      <c r="B58" s="241">
        <f t="shared" si="8"/>
        <v>9</v>
      </c>
      <c r="C58" s="242">
        <f t="shared" si="2"/>
        <v>136523437.5</v>
      </c>
      <c r="D58" s="243">
        <v>0</v>
      </c>
      <c r="E58" s="244">
        <f t="shared" si="11"/>
        <v>0.5</v>
      </c>
      <c r="F58" s="245">
        <f t="shared" si="3"/>
        <v>68261718.75</v>
      </c>
      <c r="G58" s="246">
        <f t="shared" si="4"/>
        <v>204785156.25</v>
      </c>
      <c r="H58" s="216"/>
      <c r="I58" s="241">
        <f t="shared" si="9"/>
        <v>9</v>
      </c>
      <c r="J58" s="242">
        <f t="shared" si="10"/>
        <v>81.517363200000005</v>
      </c>
      <c r="K58" s="243">
        <v>0</v>
      </c>
      <c r="L58" s="244">
        <f t="shared" si="12"/>
        <v>0.2</v>
      </c>
      <c r="M58" s="242">
        <f t="shared" si="5"/>
        <v>16.303472640000003</v>
      </c>
      <c r="N58" s="247">
        <f t="shared" si="6"/>
        <v>97.820835840000001</v>
      </c>
      <c r="O58">
        <f t="shared" si="7"/>
        <v>2024</v>
      </c>
      <c r="P58" s="248">
        <f t="shared" si="1"/>
        <v>9.7820835840000005E-6</v>
      </c>
    </row>
    <row r="59" spans="1:16">
      <c r="A59">
        <f t="shared" si="8"/>
        <v>2023</v>
      </c>
      <c r="B59" s="241">
        <f t="shared" si="8"/>
        <v>10</v>
      </c>
      <c r="C59" s="242">
        <f t="shared" si="2"/>
        <v>204785156.25</v>
      </c>
      <c r="D59" s="243">
        <v>0</v>
      </c>
      <c r="E59" s="244">
        <f t="shared" si="11"/>
        <v>0.5</v>
      </c>
      <c r="F59" s="245">
        <f t="shared" si="3"/>
        <v>102392578.125</v>
      </c>
      <c r="G59" s="246">
        <f t="shared" si="4"/>
        <v>307177734.375</v>
      </c>
      <c r="H59" s="216"/>
      <c r="I59" s="241">
        <f t="shared" si="9"/>
        <v>10</v>
      </c>
      <c r="J59" s="242">
        <f t="shared" si="10"/>
        <v>97.820835840000001</v>
      </c>
      <c r="K59" s="243">
        <v>0</v>
      </c>
      <c r="L59" s="244">
        <f t="shared" si="12"/>
        <v>0.2</v>
      </c>
      <c r="M59" s="242">
        <f t="shared" si="5"/>
        <v>19.564167168000001</v>
      </c>
      <c r="N59" s="247">
        <f t="shared" si="6"/>
        <v>117.385003008</v>
      </c>
      <c r="O59">
        <f t="shared" si="7"/>
        <v>2025</v>
      </c>
      <c r="P59" s="248">
        <f t="shared" si="1"/>
        <v>1.17385003008E-5</v>
      </c>
    </row>
    <row r="60" spans="1:16">
      <c r="A60">
        <f t="shared" si="8"/>
        <v>2024</v>
      </c>
      <c r="B60" s="241">
        <f t="shared" si="8"/>
        <v>11</v>
      </c>
      <c r="C60" s="242">
        <f t="shared" si="2"/>
        <v>307177734.375</v>
      </c>
      <c r="D60" s="243">
        <v>0</v>
      </c>
      <c r="E60" s="244">
        <f t="shared" si="11"/>
        <v>0.5</v>
      </c>
      <c r="F60" s="245">
        <f t="shared" si="3"/>
        <v>153588867.1875</v>
      </c>
      <c r="G60" s="246">
        <f t="shared" si="4"/>
        <v>460766601.5625</v>
      </c>
      <c r="H60" s="216"/>
      <c r="I60" s="241">
        <f t="shared" si="9"/>
        <v>11</v>
      </c>
      <c r="J60" s="242">
        <f t="shared" si="10"/>
        <v>117.385003008</v>
      </c>
      <c r="K60" s="243">
        <v>0</v>
      </c>
      <c r="L60" s="244">
        <f t="shared" si="12"/>
        <v>0.2</v>
      </c>
      <c r="M60" s="242">
        <f t="shared" si="5"/>
        <v>23.4770006016</v>
      </c>
      <c r="N60" s="247">
        <f t="shared" si="6"/>
        <v>140.86200360960001</v>
      </c>
      <c r="O60">
        <f t="shared" si="7"/>
        <v>2026</v>
      </c>
      <c r="P60" s="248">
        <f t="shared" si="1"/>
        <v>1.4086200360960001E-5</v>
      </c>
    </row>
    <row r="61" spans="1:16">
      <c r="A61">
        <f t="shared" si="8"/>
        <v>2025</v>
      </c>
      <c r="B61" s="241">
        <f t="shared" si="8"/>
        <v>12</v>
      </c>
      <c r="C61" s="242">
        <f t="shared" si="2"/>
        <v>460766601.5625</v>
      </c>
      <c r="D61" s="243">
        <v>0</v>
      </c>
      <c r="E61" s="244">
        <f t="shared" si="11"/>
        <v>0.5</v>
      </c>
      <c r="F61" s="245">
        <f t="shared" si="3"/>
        <v>230383300.78125</v>
      </c>
      <c r="G61" s="246">
        <f t="shared" si="4"/>
        <v>691149902.34375</v>
      </c>
      <c r="H61" s="216"/>
      <c r="I61" s="241">
        <f t="shared" si="9"/>
        <v>12</v>
      </c>
      <c r="J61" s="242">
        <f t="shared" si="10"/>
        <v>140.86200360960001</v>
      </c>
      <c r="K61" s="243">
        <v>0</v>
      </c>
      <c r="L61" s="244">
        <f t="shared" si="12"/>
        <v>0.2</v>
      </c>
      <c r="M61" s="242">
        <f t="shared" si="5"/>
        <v>28.172400721920003</v>
      </c>
      <c r="N61" s="247">
        <f t="shared" si="6"/>
        <v>169.03440433152002</v>
      </c>
      <c r="O61">
        <f t="shared" si="7"/>
        <v>2027</v>
      </c>
      <c r="P61" s="248">
        <f t="shared" si="1"/>
        <v>1.6903440433152003E-5</v>
      </c>
    </row>
    <row r="62" spans="1:16">
      <c r="A62">
        <f t="shared" si="8"/>
        <v>2026</v>
      </c>
      <c r="B62" s="241">
        <f t="shared" si="8"/>
        <v>13</v>
      </c>
      <c r="C62" s="242">
        <f t="shared" si="2"/>
        <v>691149902.34375</v>
      </c>
      <c r="D62" s="243">
        <v>0</v>
      </c>
      <c r="E62" s="244">
        <f t="shared" si="11"/>
        <v>0.5</v>
      </c>
      <c r="F62" s="245">
        <f t="shared" si="3"/>
        <v>345574951.171875</v>
      </c>
      <c r="G62" s="246">
        <f t="shared" si="4"/>
        <v>1036724853.515625</v>
      </c>
      <c r="H62" s="216"/>
      <c r="I62" s="241">
        <f t="shared" si="9"/>
        <v>13</v>
      </c>
      <c r="J62" s="242">
        <f t="shared" si="10"/>
        <v>169.03440433152002</v>
      </c>
      <c r="K62" s="243">
        <v>0</v>
      </c>
      <c r="L62" s="244">
        <f t="shared" si="12"/>
        <v>0.2</v>
      </c>
      <c r="M62" s="242">
        <f t="shared" si="5"/>
        <v>33.806880866304006</v>
      </c>
      <c r="N62" s="247">
        <f t="shared" si="6"/>
        <v>202.84128519782402</v>
      </c>
      <c r="O62">
        <f t="shared" si="7"/>
        <v>2028</v>
      </c>
      <c r="P62" s="248">
        <f t="shared" si="1"/>
        <v>2.0284128519782403E-5</v>
      </c>
    </row>
    <row r="63" spans="1:16">
      <c r="A63">
        <f t="shared" si="8"/>
        <v>2027</v>
      </c>
      <c r="B63" s="241">
        <f t="shared" si="8"/>
        <v>14</v>
      </c>
      <c r="C63" s="242">
        <f t="shared" si="2"/>
        <v>1036724853.515625</v>
      </c>
      <c r="D63" s="243">
        <v>0</v>
      </c>
      <c r="E63" s="244">
        <f t="shared" si="11"/>
        <v>0.5</v>
      </c>
      <c r="F63" s="245">
        <f t="shared" si="3"/>
        <v>518362426.7578125</v>
      </c>
      <c r="G63" s="246">
        <f t="shared" si="4"/>
        <v>1555087280.2734375</v>
      </c>
      <c r="H63" s="216"/>
      <c r="I63" s="241">
        <f t="shared" si="9"/>
        <v>14</v>
      </c>
      <c r="J63" s="242">
        <f t="shared" si="10"/>
        <v>202.84128519782402</v>
      </c>
      <c r="K63" s="243">
        <v>0</v>
      </c>
      <c r="L63" s="244">
        <f t="shared" si="12"/>
        <v>0.2</v>
      </c>
      <c r="M63" s="242">
        <f t="shared" si="5"/>
        <v>40.568257039564806</v>
      </c>
      <c r="N63" s="247">
        <f t="shared" si="6"/>
        <v>243.40954223738882</v>
      </c>
      <c r="O63">
        <f t="shared" si="7"/>
        <v>2029</v>
      </c>
      <c r="P63" s="248">
        <f t="shared" si="1"/>
        <v>2.4340954223738881E-5</v>
      </c>
    </row>
    <row r="64" spans="1:16">
      <c r="A64">
        <f t="shared" si="8"/>
        <v>2028</v>
      </c>
      <c r="B64" s="241">
        <f t="shared" si="8"/>
        <v>15</v>
      </c>
      <c r="C64" s="242">
        <f t="shared" si="2"/>
        <v>1555087280.2734375</v>
      </c>
      <c r="D64" s="243">
        <v>0</v>
      </c>
      <c r="E64" s="244">
        <f t="shared" si="11"/>
        <v>0.5</v>
      </c>
      <c r="F64" s="245">
        <f t="shared" si="3"/>
        <v>777543640.13671875</v>
      </c>
      <c r="G64" s="246">
        <f t="shared" si="4"/>
        <v>2332630920.4101562</v>
      </c>
      <c r="H64" s="216"/>
      <c r="I64" s="241">
        <f t="shared" si="9"/>
        <v>15</v>
      </c>
      <c r="J64" s="242">
        <f t="shared" si="10"/>
        <v>243.40954223738882</v>
      </c>
      <c r="K64" s="243">
        <v>0</v>
      </c>
      <c r="L64" s="244">
        <f t="shared" si="12"/>
        <v>0.2</v>
      </c>
      <c r="M64" s="242">
        <f t="shared" si="5"/>
        <v>48.681908447477767</v>
      </c>
      <c r="N64" s="247">
        <f t="shared" si="6"/>
        <v>292.09145068486657</v>
      </c>
      <c r="O64">
        <f t="shared" si="7"/>
        <v>2030</v>
      </c>
      <c r="P64" s="248">
        <f t="shared" si="1"/>
        <v>2.9209145068486657E-5</v>
      </c>
    </row>
    <row r="65" spans="1:14">
      <c r="A65">
        <f t="shared" si="8"/>
        <v>2029</v>
      </c>
      <c r="B65" s="241">
        <f t="shared" si="8"/>
        <v>16</v>
      </c>
      <c r="C65" s="242">
        <f t="shared" si="2"/>
        <v>2332630920.4101562</v>
      </c>
      <c r="D65" s="243">
        <v>0</v>
      </c>
      <c r="E65" s="244">
        <f t="shared" si="11"/>
        <v>0.5</v>
      </c>
      <c r="F65" s="245">
        <f t="shared" si="3"/>
        <v>1166315460.2050781</v>
      </c>
      <c r="G65" s="246">
        <f t="shared" si="4"/>
        <v>3498946380.6152344</v>
      </c>
      <c r="H65" s="216"/>
      <c r="I65" s="241">
        <f t="shared" si="9"/>
        <v>16</v>
      </c>
      <c r="J65" s="242">
        <f t="shared" si="10"/>
        <v>292.09145068486657</v>
      </c>
      <c r="K65" s="243">
        <v>0</v>
      </c>
      <c r="L65" s="244">
        <f t="shared" si="12"/>
        <v>0.2</v>
      </c>
      <c r="M65" s="242">
        <f t="shared" si="5"/>
        <v>58.418290136973319</v>
      </c>
      <c r="N65" s="247">
        <f t="shared" si="6"/>
        <v>350.5097408218399</v>
      </c>
    </row>
    <row r="66" spans="1:14">
      <c r="A66" s="250">
        <f t="shared" si="8"/>
        <v>2030</v>
      </c>
      <c r="B66" s="241">
        <f t="shared" si="8"/>
        <v>17</v>
      </c>
      <c r="C66" s="242">
        <f t="shared" si="2"/>
        <v>3498946380.6152344</v>
      </c>
      <c r="D66" s="243">
        <v>0</v>
      </c>
      <c r="E66" s="244">
        <f t="shared" si="11"/>
        <v>0.5</v>
      </c>
      <c r="F66" s="245">
        <f t="shared" si="3"/>
        <v>1749473190.3076172</v>
      </c>
      <c r="G66" s="251">
        <f t="shared" si="4"/>
        <v>5248419570.9228516</v>
      </c>
      <c r="H66" s="216">
        <f>G66/10000000</f>
        <v>524.84195709228516</v>
      </c>
      <c r="I66" s="241">
        <f t="shared" si="9"/>
        <v>17</v>
      </c>
      <c r="J66" s="242">
        <f t="shared" si="10"/>
        <v>350.5097408218399</v>
      </c>
      <c r="K66" s="243">
        <v>0</v>
      </c>
      <c r="L66" s="244">
        <f t="shared" si="12"/>
        <v>0.2</v>
      </c>
      <c r="M66" s="242">
        <f t="shared" si="5"/>
        <v>70.101948164367982</v>
      </c>
      <c r="N66" s="247">
        <f t="shared" si="6"/>
        <v>420.61168898620787</v>
      </c>
    </row>
    <row r="67" spans="1:14">
      <c r="A67">
        <f t="shared" ref="A67:B79" si="13">A66+1</f>
        <v>2031</v>
      </c>
      <c r="B67" s="241">
        <f t="shared" si="13"/>
        <v>18</v>
      </c>
      <c r="C67" s="242">
        <f t="shared" si="2"/>
        <v>5248419570.9228516</v>
      </c>
      <c r="D67" s="243">
        <v>0</v>
      </c>
      <c r="E67" s="244">
        <v>0</v>
      </c>
      <c r="F67" s="245">
        <f t="shared" si="3"/>
        <v>0</v>
      </c>
      <c r="G67" s="246">
        <f t="shared" si="4"/>
        <v>5248419570.9228516</v>
      </c>
      <c r="H67" s="252"/>
      <c r="I67" s="241">
        <f t="shared" si="9"/>
        <v>18</v>
      </c>
      <c r="J67" s="242">
        <f t="shared" si="10"/>
        <v>420.61168898620787</v>
      </c>
      <c r="K67" s="243">
        <v>0</v>
      </c>
      <c r="L67" s="244">
        <f t="shared" si="12"/>
        <v>0.2</v>
      </c>
      <c r="M67" s="242">
        <f t="shared" si="5"/>
        <v>84.122337797241585</v>
      </c>
      <c r="N67" s="247">
        <f t="shared" si="6"/>
        <v>504.73402678344945</v>
      </c>
    </row>
    <row r="68" spans="1:14">
      <c r="B68" s="241">
        <f t="shared" si="13"/>
        <v>19</v>
      </c>
      <c r="C68" s="242">
        <f t="shared" si="2"/>
        <v>5248419570.9228516</v>
      </c>
      <c r="D68" s="243">
        <v>0</v>
      </c>
      <c r="E68" s="244">
        <v>0</v>
      </c>
      <c r="F68" s="245">
        <f t="shared" si="3"/>
        <v>0</v>
      </c>
      <c r="G68" s="246">
        <f t="shared" si="4"/>
        <v>5248419570.9228516</v>
      </c>
      <c r="H68" s="253" t="e">
        <f>H49/C49</f>
        <v>#DIV/0!</v>
      </c>
      <c r="I68" s="241">
        <f t="shared" si="9"/>
        <v>19</v>
      </c>
      <c r="J68" s="242">
        <f t="shared" si="10"/>
        <v>504.73402678344945</v>
      </c>
      <c r="K68" s="243"/>
      <c r="L68" s="244"/>
      <c r="M68" s="242">
        <f t="shared" si="5"/>
        <v>0</v>
      </c>
      <c r="N68" s="247">
        <f t="shared" si="6"/>
        <v>504.73402678344945</v>
      </c>
    </row>
    <row r="69" spans="1:14">
      <c r="B69" s="241">
        <f t="shared" si="13"/>
        <v>20</v>
      </c>
      <c r="C69" s="242">
        <f t="shared" si="2"/>
        <v>5248419570.9228516</v>
      </c>
      <c r="D69" s="243">
        <v>0</v>
      </c>
      <c r="E69" s="244">
        <f t="shared" si="11"/>
        <v>0</v>
      </c>
      <c r="F69" s="245">
        <f t="shared" si="3"/>
        <v>0</v>
      </c>
      <c r="G69" s="246">
        <f t="shared" si="4"/>
        <v>5248419570.9228516</v>
      </c>
      <c r="H69" s="253">
        <f t="shared" ref="H69:H88" si="14">H50/C50</f>
        <v>0</v>
      </c>
      <c r="I69" s="241">
        <f t="shared" si="9"/>
        <v>20</v>
      </c>
      <c r="J69" s="242">
        <f t="shared" si="10"/>
        <v>504.73402678344945</v>
      </c>
      <c r="K69" s="243"/>
      <c r="L69" s="244"/>
      <c r="M69" s="242">
        <f t="shared" si="5"/>
        <v>0</v>
      </c>
      <c r="N69" s="247">
        <f t="shared" si="6"/>
        <v>504.73402678344945</v>
      </c>
    </row>
    <row r="70" spans="1:14">
      <c r="B70" s="241">
        <f t="shared" si="13"/>
        <v>21</v>
      </c>
      <c r="C70" s="242">
        <f t="shared" si="2"/>
        <v>5248419570.9228516</v>
      </c>
      <c r="D70" s="243"/>
      <c r="E70" s="244">
        <f t="shared" si="11"/>
        <v>0</v>
      </c>
      <c r="F70" s="245">
        <f t="shared" si="3"/>
        <v>0</v>
      </c>
      <c r="G70" s="246">
        <f t="shared" si="4"/>
        <v>5248419570.9228516</v>
      </c>
      <c r="H70" s="253">
        <f t="shared" si="14"/>
        <v>0</v>
      </c>
      <c r="I70" s="241">
        <f t="shared" si="9"/>
        <v>21</v>
      </c>
      <c r="J70" s="242">
        <f t="shared" si="10"/>
        <v>504.73402678344945</v>
      </c>
      <c r="K70" s="243"/>
      <c r="L70" s="244"/>
      <c r="M70" s="242">
        <f t="shared" si="5"/>
        <v>0</v>
      </c>
      <c r="N70" s="247">
        <f t="shared" si="6"/>
        <v>504.73402678344945</v>
      </c>
    </row>
    <row r="71" spans="1:14">
      <c r="B71" s="241">
        <f t="shared" si="13"/>
        <v>22</v>
      </c>
      <c r="C71" s="242">
        <f t="shared" si="2"/>
        <v>5248419570.9228516</v>
      </c>
      <c r="D71" s="243"/>
      <c r="E71" s="244"/>
      <c r="F71" s="245">
        <f t="shared" si="3"/>
        <v>0</v>
      </c>
      <c r="G71" s="246">
        <f t="shared" si="4"/>
        <v>5248419570.9228516</v>
      </c>
      <c r="H71" s="253">
        <f t="shared" si="14"/>
        <v>0</v>
      </c>
      <c r="I71" s="241">
        <f t="shared" si="9"/>
        <v>22</v>
      </c>
      <c r="J71" s="242">
        <f t="shared" si="10"/>
        <v>504.73402678344945</v>
      </c>
      <c r="K71" s="243"/>
      <c r="L71" s="244"/>
      <c r="M71" s="242">
        <f t="shared" si="5"/>
        <v>0</v>
      </c>
      <c r="N71" s="247">
        <f t="shared" si="6"/>
        <v>504.73402678344945</v>
      </c>
    </row>
    <row r="72" spans="1:14">
      <c r="B72" s="241">
        <f t="shared" si="13"/>
        <v>23</v>
      </c>
      <c r="C72" s="242">
        <f t="shared" si="2"/>
        <v>5248419570.9228516</v>
      </c>
      <c r="D72" s="243"/>
      <c r="E72" s="244"/>
      <c r="F72" s="245">
        <f t="shared" si="3"/>
        <v>0</v>
      </c>
      <c r="G72" s="246">
        <f t="shared" si="4"/>
        <v>5248419570.9228516</v>
      </c>
      <c r="H72" s="253">
        <f t="shared" si="14"/>
        <v>0</v>
      </c>
      <c r="I72" s="241">
        <f t="shared" si="9"/>
        <v>23</v>
      </c>
      <c r="J72" s="242">
        <f t="shared" si="10"/>
        <v>504.73402678344945</v>
      </c>
      <c r="K72" s="243"/>
      <c r="L72" s="244"/>
      <c r="M72" s="242">
        <f t="shared" si="5"/>
        <v>0</v>
      </c>
      <c r="N72" s="247">
        <f t="shared" si="6"/>
        <v>504.73402678344945</v>
      </c>
    </row>
    <row r="73" spans="1:14">
      <c r="B73" s="241">
        <f t="shared" si="13"/>
        <v>24</v>
      </c>
      <c r="C73" s="242">
        <f t="shared" si="2"/>
        <v>5248419570.9228516</v>
      </c>
      <c r="D73" s="243"/>
      <c r="E73" s="244"/>
      <c r="F73" s="245">
        <f t="shared" si="3"/>
        <v>0</v>
      </c>
      <c r="G73" s="246">
        <f t="shared" si="4"/>
        <v>5248419570.9228516</v>
      </c>
      <c r="H73" s="253">
        <f t="shared" si="14"/>
        <v>0</v>
      </c>
      <c r="I73" s="241">
        <f t="shared" si="9"/>
        <v>24</v>
      </c>
      <c r="J73" s="242">
        <f t="shared" si="10"/>
        <v>504.73402678344945</v>
      </c>
      <c r="K73" s="243"/>
      <c r="L73" s="244"/>
      <c r="M73" s="242">
        <f t="shared" si="5"/>
        <v>0</v>
      </c>
      <c r="N73" s="247">
        <f t="shared" si="6"/>
        <v>504.73402678344945</v>
      </c>
    </row>
    <row r="74" spans="1:14">
      <c r="B74" s="241">
        <f t="shared" si="13"/>
        <v>25</v>
      </c>
      <c r="C74" s="242">
        <f t="shared" si="2"/>
        <v>5248419570.9228516</v>
      </c>
      <c r="D74" s="243"/>
      <c r="E74" s="244"/>
      <c r="F74" s="245">
        <f t="shared" si="3"/>
        <v>0</v>
      </c>
      <c r="G74" s="246">
        <f t="shared" si="4"/>
        <v>5248419570.9228516</v>
      </c>
      <c r="H74" s="253">
        <f t="shared" si="14"/>
        <v>0</v>
      </c>
      <c r="I74" s="241">
        <f t="shared" si="9"/>
        <v>25</v>
      </c>
      <c r="J74" s="242">
        <f t="shared" si="10"/>
        <v>504.73402678344945</v>
      </c>
      <c r="K74" s="243"/>
      <c r="L74" s="244"/>
      <c r="M74" s="242">
        <f t="shared" si="5"/>
        <v>0</v>
      </c>
      <c r="N74" s="247">
        <f t="shared" si="6"/>
        <v>504.73402678344945</v>
      </c>
    </row>
    <row r="75" spans="1:14">
      <c r="B75" s="241">
        <f t="shared" si="13"/>
        <v>26</v>
      </c>
      <c r="C75" s="242">
        <f t="shared" si="2"/>
        <v>5248419570.9228516</v>
      </c>
      <c r="D75" s="243"/>
      <c r="E75" s="244"/>
      <c r="F75" s="245">
        <f t="shared" si="3"/>
        <v>0</v>
      </c>
      <c r="G75" s="246">
        <f t="shared" si="4"/>
        <v>5248419570.9228516</v>
      </c>
      <c r="H75" s="253">
        <f t="shared" si="14"/>
        <v>1.5871934604904632E-7</v>
      </c>
      <c r="I75" s="241">
        <f t="shared" si="9"/>
        <v>26</v>
      </c>
      <c r="J75" s="242">
        <f t="shared" si="10"/>
        <v>504.73402678344945</v>
      </c>
      <c r="K75" s="243"/>
      <c r="L75" s="244"/>
      <c r="M75" s="242">
        <f t="shared" si="5"/>
        <v>0</v>
      </c>
      <c r="N75" s="247">
        <f t="shared" si="6"/>
        <v>504.73402678344945</v>
      </c>
    </row>
    <row r="76" spans="1:14">
      <c r="B76" s="241">
        <f t="shared" si="13"/>
        <v>27</v>
      </c>
      <c r="C76" s="242">
        <f t="shared" si="2"/>
        <v>5248419570.9228516</v>
      </c>
      <c r="D76" s="243"/>
      <c r="E76" s="244"/>
      <c r="F76" s="245">
        <f t="shared" si="3"/>
        <v>0</v>
      </c>
      <c r="G76" s="246">
        <f t="shared" si="4"/>
        <v>5248419570.9228516</v>
      </c>
      <c r="H76" s="253">
        <f t="shared" si="14"/>
        <v>0</v>
      </c>
      <c r="I76" s="241">
        <f t="shared" si="9"/>
        <v>27</v>
      </c>
      <c r="J76" s="242">
        <f t="shared" si="10"/>
        <v>504.73402678344945</v>
      </c>
      <c r="K76" s="243"/>
      <c r="L76" s="244"/>
      <c r="M76" s="242">
        <f t="shared" si="5"/>
        <v>0</v>
      </c>
      <c r="N76" s="247">
        <f t="shared" si="6"/>
        <v>504.73402678344945</v>
      </c>
    </row>
    <row r="77" spans="1:14">
      <c r="B77" s="241">
        <f t="shared" si="13"/>
        <v>28</v>
      </c>
      <c r="C77" s="242">
        <f t="shared" si="2"/>
        <v>5248419570.9228516</v>
      </c>
      <c r="D77" s="243"/>
      <c r="E77" s="244"/>
      <c r="F77" s="245">
        <f t="shared" si="3"/>
        <v>0</v>
      </c>
      <c r="G77" s="246">
        <f t="shared" si="4"/>
        <v>5248419570.9228516</v>
      </c>
      <c r="H77" s="253">
        <f t="shared" si="14"/>
        <v>0</v>
      </c>
      <c r="I77" s="241">
        <f t="shared" si="9"/>
        <v>28</v>
      </c>
      <c r="J77" s="242">
        <f t="shared" si="10"/>
        <v>504.73402678344945</v>
      </c>
      <c r="K77" s="243"/>
      <c r="L77" s="244"/>
      <c r="M77" s="242">
        <f t="shared" si="5"/>
        <v>0</v>
      </c>
      <c r="N77" s="247">
        <f t="shared" si="6"/>
        <v>504.73402678344945</v>
      </c>
    </row>
    <row r="78" spans="1:14">
      <c r="B78" s="241">
        <f t="shared" si="13"/>
        <v>29</v>
      </c>
      <c r="C78" s="242">
        <f t="shared" si="2"/>
        <v>5248419570.9228516</v>
      </c>
      <c r="D78" s="243"/>
      <c r="E78" s="244"/>
      <c r="F78" s="245">
        <f t="shared" si="3"/>
        <v>0</v>
      </c>
      <c r="G78" s="246">
        <f t="shared" si="4"/>
        <v>5248419570.9228516</v>
      </c>
      <c r="H78" s="253">
        <f t="shared" si="14"/>
        <v>0</v>
      </c>
      <c r="I78" s="241">
        <f t="shared" si="9"/>
        <v>29</v>
      </c>
      <c r="J78" s="242">
        <f t="shared" si="10"/>
        <v>504.73402678344945</v>
      </c>
      <c r="K78" s="243"/>
      <c r="L78" s="244"/>
      <c r="M78" s="242">
        <f t="shared" si="5"/>
        <v>0</v>
      </c>
      <c r="N78" s="247">
        <f t="shared" si="6"/>
        <v>504.73402678344945</v>
      </c>
    </row>
    <row r="79" spans="1:14">
      <c r="B79" s="241">
        <f t="shared" si="13"/>
        <v>30</v>
      </c>
      <c r="C79" s="242">
        <f t="shared" si="2"/>
        <v>5248419570.9228516</v>
      </c>
      <c r="D79" s="243"/>
      <c r="E79" s="244"/>
      <c r="F79" s="245">
        <f t="shared" si="3"/>
        <v>0</v>
      </c>
      <c r="G79" s="246">
        <f t="shared" si="4"/>
        <v>5248419570.9228516</v>
      </c>
      <c r="H79" s="253">
        <f t="shared" si="14"/>
        <v>0</v>
      </c>
      <c r="I79" s="241">
        <f t="shared" si="9"/>
        <v>30</v>
      </c>
      <c r="J79" s="242">
        <f t="shared" si="10"/>
        <v>504.73402678344945</v>
      </c>
      <c r="K79" s="243"/>
      <c r="L79" s="244"/>
      <c r="M79" s="242">
        <f t="shared" si="5"/>
        <v>0</v>
      </c>
      <c r="N79" s="247">
        <f t="shared" si="6"/>
        <v>504.73402678344945</v>
      </c>
    </row>
    <row r="80" spans="1:14" ht="15.75" thickBot="1">
      <c r="B80" s="241"/>
      <c r="C80" s="254"/>
      <c r="D80" s="243"/>
      <c r="E80" s="244"/>
      <c r="F80" s="254"/>
      <c r="G80" s="246">
        <f t="shared" si="4"/>
        <v>0</v>
      </c>
      <c r="H80" s="253">
        <f t="shared" si="14"/>
        <v>0</v>
      </c>
      <c r="I80" s="241"/>
      <c r="J80" s="242">
        <f t="shared" si="10"/>
        <v>504.73402678344945</v>
      </c>
      <c r="K80" s="243"/>
      <c r="L80" s="244"/>
      <c r="M80" s="242">
        <f t="shared" si="5"/>
        <v>0</v>
      </c>
      <c r="N80" s="247">
        <f t="shared" si="6"/>
        <v>504.73402678344945</v>
      </c>
    </row>
    <row r="81" spans="2:14" ht="15.75" thickBot="1">
      <c r="B81" s="297" t="s">
        <v>497</v>
      </c>
      <c r="C81" s="298"/>
      <c r="D81" s="255">
        <f>SUM(D48:D80)</f>
        <v>22500000</v>
      </c>
      <c r="E81" s="256"/>
      <c r="F81" s="256"/>
      <c r="G81" s="257">
        <f>G78</f>
        <v>5248419570.9228516</v>
      </c>
      <c r="H81" s="253">
        <f t="shared" si="14"/>
        <v>0</v>
      </c>
      <c r="I81" s="297" t="s">
        <v>497</v>
      </c>
      <c r="J81" s="298"/>
      <c r="K81" s="258">
        <f>SUM(K48:K80)</f>
        <v>0</v>
      </c>
      <c r="L81" s="256"/>
      <c r="M81" s="255"/>
      <c r="N81" s="259">
        <f>N78</f>
        <v>504.73402678344945</v>
      </c>
    </row>
    <row r="82" spans="2:14" ht="15.75" thickBot="1">
      <c r="B82" s="260"/>
      <c r="C82" s="261" t="s">
        <v>498</v>
      </c>
      <c r="D82" s="262">
        <f>D81/10000000</f>
        <v>2.25</v>
      </c>
      <c r="E82" s="261"/>
      <c r="F82" s="261"/>
      <c r="G82" s="263">
        <f>G81/10000000</f>
        <v>524.84195709228516</v>
      </c>
      <c r="H82" s="253">
        <f t="shared" si="14"/>
        <v>0</v>
      </c>
      <c r="I82" s="260"/>
      <c r="J82" s="261" t="s">
        <v>498</v>
      </c>
      <c r="K82" s="262">
        <f>K81/10000000</f>
        <v>0</v>
      </c>
      <c r="L82" s="261"/>
      <c r="M82" s="261"/>
      <c r="N82" s="263">
        <f>N81/10000000</f>
        <v>5.0473402678344942E-5</v>
      </c>
    </row>
    <row r="83" spans="2:14">
      <c r="G83" s="264"/>
      <c r="H83" s="253">
        <f t="shared" si="14"/>
        <v>0</v>
      </c>
    </row>
    <row r="84" spans="2:14" ht="15.75" thickBot="1">
      <c r="C84" s="293" t="s">
        <v>499</v>
      </c>
      <c r="D84" s="293"/>
      <c r="E84" s="293"/>
      <c r="F84" s="293"/>
      <c r="H84" s="253">
        <f t="shared" si="14"/>
        <v>0</v>
      </c>
      <c r="J84" s="293" t="s">
        <v>499</v>
      </c>
      <c r="K84" s="293"/>
      <c r="L84" s="293"/>
      <c r="M84" s="293"/>
    </row>
    <row r="85" spans="2:14" ht="15.75" thickBot="1">
      <c r="H85" s="253">
        <f t="shared" si="14"/>
        <v>1.4999999999999999E-7</v>
      </c>
    </row>
    <row r="86" spans="2:14" ht="15.75" thickBot="1">
      <c r="B86" s="232"/>
      <c r="C86" s="291" t="s">
        <v>485</v>
      </c>
      <c r="D86" s="292"/>
      <c r="E86" s="233" t="s">
        <v>486</v>
      </c>
      <c r="F86" s="233"/>
      <c r="G86" s="234"/>
      <c r="H86" s="253">
        <f t="shared" si="14"/>
        <v>0</v>
      </c>
      <c r="I86" s="232"/>
      <c r="J86" s="291" t="s">
        <v>500</v>
      </c>
      <c r="K86" s="292"/>
      <c r="L86" s="233" t="s">
        <v>501</v>
      </c>
      <c r="M86" s="233"/>
      <c r="N86" s="234"/>
    </row>
    <row r="87" spans="2:14" ht="15.75" thickBot="1">
      <c r="B87" s="200"/>
      <c r="C87" s="197"/>
      <c r="D87" s="197"/>
      <c r="E87" s="197"/>
      <c r="F87" s="197"/>
      <c r="G87" s="198"/>
      <c r="H87" s="253" t="e">
        <f t="shared" si="14"/>
        <v>#DIV/0!</v>
      </c>
      <c r="I87" s="200"/>
      <c r="J87" s="197"/>
      <c r="K87" s="197"/>
      <c r="L87" s="197"/>
      <c r="M87" s="197"/>
      <c r="N87" s="198"/>
    </row>
    <row r="88" spans="2:14" ht="15.75" thickBot="1">
      <c r="B88" s="294" t="s">
        <v>502</v>
      </c>
      <c r="C88" s="295"/>
      <c r="D88" s="295"/>
      <c r="E88" s="295"/>
      <c r="F88" s="295"/>
      <c r="G88" s="296"/>
      <c r="H88" s="253">
        <f t="shared" si="14"/>
        <v>0</v>
      </c>
      <c r="I88" s="294" t="s">
        <v>502</v>
      </c>
      <c r="J88" s="295"/>
      <c r="K88" s="295"/>
      <c r="L88" s="295"/>
      <c r="M88" s="295"/>
      <c r="N88" s="296"/>
    </row>
    <row r="89" spans="2:14">
      <c r="B89" s="265"/>
      <c r="C89" s="266"/>
      <c r="D89" s="266"/>
      <c r="E89" s="266"/>
      <c r="F89" s="266"/>
      <c r="G89" s="267">
        <f>G124</f>
        <v>1413.1902480939689</v>
      </c>
      <c r="I89" s="265"/>
      <c r="J89" s="266"/>
      <c r="K89" s="266"/>
      <c r="L89" s="266"/>
      <c r="M89" s="266"/>
      <c r="N89" s="267">
        <f>N124</f>
        <v>285.94104308390024</v>
      </c>
    </row>
    <row r="90" spans="2:14" ht="30">
      <c r="B90" s="236" t="s">
        <v>14</v>
      </c>
      <c r="C90" s="237" t="s">
        <v>490</v>
      </c>
      <c r="D90" s="237" t="s">
        <v>503</v>
      </c>
      <c r="E90" s="237" t="s">
        <v>492</v>
      </c>
      <c r="F90" s="237" t="s">
        <v>504</v>
      </c>
      <c r="G90" s="238" t="s">
        <v>505</v>
      </c>
      <c r="I90" s="236" t="s">
        <v>14</v>
      </c>
      <c r="J90" s="237" t="s">
        <v>506</v>
      </c>
      <c r="K90" s="237" t="s">
        <v>507</v>
      </c>
      <c r="L90" s="237" t="s">
        <v>492</v>
      </c>
      <c r="M90" s="237" t="s">
        <v>504</v>
      </c>
      <c r="N90" s="238" t="s">
        <v>505</v>
      </c>
    </row>
    <row r="91" spans="2:14">
      <c r="B91" s="241">
        <v>0</v>
      </c>
      <c r="C91" s="254">
        <v>0</v>
      </c>
      <c r="D91" s="254">
        <v>100</v>
      </c>
      <c r="E91" s="268">
        <v>0.06</v>
      </c>
      <c r="F91" s="254">
        <f>((1/(1+E91) ) ^ (B91 + 1) ) * D91</f>
        <v>94.339622641509422</v>
      </c>
      <c r="G91" s="269">
        <f>F91+C91</f>
        <v>94.339622641509422</v>
      </c>
      <c r="I91" s="241">
        <v>0</v>
      </c>
      <c r="J91" s="254">
        <v>0</v>
      </c>
      <c r="K91" s="254">
        <v>100</v>
      </c>
      <c r="L91" s="268">
        <v>0</v>
      </c>
      <c r="M91" s="254">
        <f t="shared" ref="M91:M92" si="15">((1/(1+L91) ) ^ (I91) ) * K91</f>
        <v>100</v>
      </c>
      <c r="N91" s="269">
        <f>M91+J91</f>
        <v>100</v>
      </c>
    </row>
    <row r="92" spans="2:14">
      <c r="B92" s="241">
        <f>B91+1</f>
        <v>1</v>
      </c>
      <c r="C92" s="254">
        <f>G91</f>
        <v>94.339622641509422</v>
      </c>
      <c r="D92" s="254">
        <v>200</v>
      </c>
      <c r="E92" s="268">
        <v>0.06</v>
      </c>
      <c r="F92" s="254">
        <f>((1/(1+E92) ) ^ (B92 + 1) ) * D92</f>
        <v>177.99928800284795</v>
      </c>
      <c r="G92" s="269">
        <f>F92+C92</f>
        <v>272.33891064435738</v>
      </c>
      <c r="I92" s="241">
        <f>I91+1</f>
        <v>1</v>
      </c>
      <c r="J92" s="254">
        <f>N91</f>
        <v>100</v>
      </c>
      <c r="K92" s="254">
        <v>100</v>
      </c>
      <c r="L92" s="268">
        <v>0.05</v>
      </c>
      <c r="M92" s="254">
        <f t="shared" si="15"/>
        <v>95.238095238095227</v>
      </c>
      <c r="N92" s="269">
        <f>M92+J92</f>
        <v>195.23809523809524</v>
      </c>
    </row>
    <row r="93" spans="2:14">
      <c r="B93" s="241">
        <f t="shared" ref="B93:B121" si="16">B92+1</f>
        <v>2</v>
      </c>
      <c r="C93" s="254">
        <f t="shared" ref="C93:C121" si="17">G92</f>
        <v>272.33891064435738</v>
      </c>
      <c r="D93" s="254">
        <v>200</v>
      </c>
      <c r="E93" s="268">
        <v>0.06</v>
      </c>
      <c r="F93" s="254">
        <f t="shared" ref="F93:F121" si="18">((1/(1+E93) ) ^ (B93 + 1) ) * D93</f>
        <v>167.9238566064603</v>
      </c>
      <c r="G93" s="269">
        <f t="shared" ref="G93:G121" si="19">F93+C93</f>
        <v>440.26276725081766</v>
      </c>
      <c r="I93" s="241">
        <f t="shared" ref="I93:I121" si="20">I92+1</f>
        <v>2</v>
      </c>
      <c r="J93" s="254">
        <f t="shared" ref="J93:J121" si="21">N92</f>
        <v>195.23809523809524</v>
      </c>
      <c r="K93" s="254">
        <v>100</v>
      </c>
      <c r="L93" s="268">
        <v>0.05</v>
      </c>
      <c r="M93" s="254">
        <f>((1/(1+L93) ) ^ (I93) ) * K93</f>
        <v>90.702947845804985</v>
      </c>
      <c r="N93" s="269">
        <f t="shared" ref="N93:N121" si="22">M93+J93</f>
        <v>285.94104308390024</v>
      </c>
    </row>
    <row r="94" spans="2:14">
      <c r="B94" s="241">
        <f t="shared" si="16"/>
        <v>3</v>
      </c>
      <c r="C94" s="254">
        <f t="shared" si="17"/>
        <v>440.26276725081766</v>
      </c>
      <c r="D94" s="254">
        <v>200</v>
      </c>
      <c r="E94" s="268">
        <v>0.06</v>
      </c>
      <c r="F94" s="254">
        <f t="shared" si="18"/>
        <v>158.41873264760403</v>
      </c>
      <c r="G94" s="269">
        <f t="shared" si="19"/>
        <v>598.68149989842163</v>
      </c>
      <c r="I94" s="241">
        <f t="shared" si="20"/>
        <v>3</v>
      </c>
      <c r="J94" s="254">
        <f t="shared" si="21"/>
        <v>285.94104308390024</v>
      </c>
      <c r="K94" s="254"/>
      <c r="L94" s="268">
        <v>0.05</v>
      </c>
      <c r="M94" s="254">
        <f t="shared" ref="M94:M121" si="23">((1/(1+L94) ) ^ (I94) ) * K94</f>
        <v>0</v>
      </c>
      <c r="N94" s="269">
        <f t="shared" si="22"/>
        <v>285.94104308390024</v>
      </c>
    </row>
    <row r="95" spans="2:14">
      <c r="B95" s="241">
        <f t="shared" si="16"/>
        <v>4</v>
      </c>
      <c r="C95" s="254">
        <f t="shared" si="17"/>
        <v>598.68149989842163</v>
      </c>
      <c r="D95" s="254">
        <v>200</v>
      </c>
      <c r="E95" s="268">
        <v>0.06</v>
      </c>
      <c r="F95" s="254">
        <f t="shared" si="18"/>
        <v>149.45163457321135</v>
      </c>
      <c r="G95" s="269">
        <f t="shared" si="19"/>
        <v>748.13313447163296</v>
      </c>
      <c r="I95" s="241">
        <f t="shared" si="20"/>
        <v>4</v>
      </c>
      <c r="J95" s="254">
        <f t="shared" si="21"/>
        <v>285.94104308390024</v>
      </c>
      <c r="K95" s="254"/>
      <c r="L95" s="268">
        <v>0.05</v>
      </c>
      <c r="M95" s="254">
        <f t="shared" si="23"/>
        <v>0</v>
      </c>
      <c r="N95" s="269">
        <f t="shared" si="22"/>
        <v>285.94104308390024</v>
      </c>
    </row>
    <row r="96" spans="2:14">
      <c r="B96" s="241">
        <f t="shared" si="16"/>
        <v>5</v>
      </c>
      <c r="C96" s="254">
        <f t="shared" si="17"/>
        <v>748.13313447163296</v>
      </c>
      <c r="D96" s="254">
        <v>0</v>
      </c>
      <c r="E96" s="268">
        <v>0.06</v>
      </c>
      <c r="F96" s="254">
        <f t="shared" si="18"/>
        <v>0</v>
      </c>
      <c r="G96" s="269">
        <f t="shared" si="19"/>
        <v>748.13313447163296</v>
      </c>
      <c r="I96" s="241">
        <f t="shared" si="20"/>
        <v>5</v>
      </c>
      <c r="J96" s="254">
        <f t="shared" si="21"/>
        <v>285.94104308390024</v>
      </c>
      <c r="K96" s="254"/>
      <c r="L96" s="268">
        <v>0.05</v>
      </c>
      <c r="M96" s="254">
        <f t="shared" si="23"/>
        <v>0</v>
      </c>
      <c r="N96" s="269">
        <f t="shared" si="22"/>
        <v>285.94104308390024</v>
      </c>
    </row>
    <row r="97" spans="2:14">
      <c r="B97" s="241">
        <f t="shared" si="16"/>
        <v>6</v>
      </c>
      <c r="C97" s="254">
        <f t="shared" si="17"/>
        <v>748.13313447163296</v>
      </c>
      <c r="D97" s="254">
        <v>1000</v>
      </c>
      <c r="E97" s="268">
        <v>0.06</v>
      </c>
      <c r="F97" s="254">
        <f t="shared" si="18"/>
        <v>665.05711362233581</v>
      </c>
      <c r="G97" s="269">
        <f t="shared" si="19"/>
        <v>1413.1902480939689</v>
      </c>
      <c r="I97" s="241">
        <f t="shared" si="20"/>
        <v>6</v>
      </c>
      <c r="J97" s="254">
        <f t="shared" si="21"/>
        <v>285.94104308390024</v>
      </c>
      <c r="K97" s="254"/>
      <c r="L97" s="268">
        <v>0.05</v>
      </c>
      <c r="M97" s="254">
        <f t="shared" si="23"/>
        <v>0</v>
      </c>
      <c r="N97" s="269">
        <f t="shared" si="22"/>
        <v>285.94104308390024</v>
      </c>
    </row>
    <row r="98" spans="2:14">
      <c r="B98" s="241">
        <f t="shared" si="16"/>
        <v>7</v>
      </c>
      <c r="C98" s="254">
        <f t="shared" si="17"/>
        <v>1413.1902480939689</v>
      </c>
      <c r="D98" s="254"/>
      <c r="E98" s="268">
        <v>0.05</v>
      </c>
      <c r="F98" s="254">
        <f t="shared" si="18"/>
        <v>0</v>
      </c>
      <c r="G98" s="269">
        <f t="shared" si="19"/>
        <v>1413.1902480939689</v>
      </c>
      <c r="I98" s="241">
        <f t="shared" si="20"/>
        <v>7</v>
      </c>
      <c r="J98" s="254">
        <f t="shared" si="21"/>
        <v>285.94104308390024</v>
      </c>
      <c r="K98" s="254"/>
      <c r="L98" s="268">
        <v>0.05</v>
      </c>
      <c r="M98" s="254">
        <f t="shared" si="23"/>
        <v>0</v>
      </c>
      <c r="N98" s="269">
        <f t="shared" si="22"/>
        <v>285.94104308390024</v>
      </c>
    </row>
    <row r="99" spans="2:14">
      <c r="B99" s="241">
        <f t="shared" si="16"/>
        <v>8</v>
      </c>
      <c r="C99" s="254">
        <f t="shared" si="17"/>
        <v>1413.1902480939689</v>
      </c>
      <c r="D99" s="254"/>
      <c r="E99" s="268">
        <v>0.05</v>
      </c>
      <c r="F99" s="254">
        <f t="shared" si="18"/>
        <v>0</v>
      </c>
      <c r="G99" s="269">
        <f t="shared" si="19"/>
        <v>1413.1902480939689</v>
      </c>
      <c r="I99" s="241">
        <f t="shared" si="20"/>
        <v>8</v>
      </c>
      <c r="J99" s="254">
        <f t="shared" si="21"/>
        <v>285.94104308390024</v>
      </c>
      <c r="K99" s="254"/>
      <c r="L99" s="268">
        <v>0.05</v>
      </c>
      <c r="M99" s="254">
        <f t="shared" si="23"/>
        <v>0</v>
      </c>
      <c r="N99" s="269">
        <f t="shared" si="22"/>
        <v>285.94104308390024</v>
      </c>
    </row>
    <row r="100" spans="2:14">
      <c r="B100" s="241">
        <f t="shared" si="16"/>
        <v>9</v>
      </c>
      <c r="C100" s="254">
        <f t="shared" si="17"/>
        <v>1413.1902480939689</v>
      </c>
      <c r="D100" s="254"/>
      <c r="E100" s="268">
        <v>0.05</v>
      </c>
      <c r="F100" s="254">
        <f t="shared" si="18"/>
        <v>0</v>
      </c>
      <c r="G100" s="269">
        <f t="shared" si="19"/>
        <v>1413.1902480939689</v>
      </c>
      <c r="I100" s="241">
        <f t="shared" si="20"/>
        <v>9</v>
      </c>
      <c r="J100" s="254">
        <f t="shared" si="21"/>
        <v>285.94104308390024</v>
      </c>
      <c r="K100" s="254"/>
      <c r="L100" s="268">
        <v>0.05</v>
      </c>
      <c r="M100" s="254">
        <f t="shared" si="23"/>
        <v>0</v>
      </c>
      <c r="N100" s="269">
        <f t="shared" si="22"/>
        <v>285.94104308390024</v>
      </c>
    </row>
    <row r="101" spans="2:14">
      <c r="B101" s="241">
        <f t="shared" si="16"/>
        <v>10</v>
      </c>
      <c r="C101" s="254">
        <f t="shared" si="17"/>
        <v>1413.1902480939689</v>
      </c>
      <c r="D101" s="254"/>
      <c r="E101" s="268">
        <v>0.05</v>
      </c>
      <c r="F101" s="254">
        <f t="shared" si="18"/>
        <v>0</v>
      </c>
      <c r="G101" s="269">
        <f t="shared" si="19"/>
        <v>1413.1902480939689</v>
      </c>
      <c r="I101" s="241">
        <f t="shared" si="20"/>
        <v>10</v>
      </c>
      <c r="J101" s="254">
        <f t="shared" si="21"/>
        <v>285.94104308390024</v>
      </c>
      <c r="K101" s="254"/>
      <c r="L101" s="268">
        <v>0.05</v>
      </c>
      <c r="M101" s="254">
        <f t="shared" si="23"/>
        <v>0</v>
      </c>
      <c r="N101" s="269">
        <f t="shared" si="22"/>
        <v>285.94104308390024</v>
      </c>
    </row>
    <row r="102" spans="2:14">
      <c r="B102" s="241">
        <f t="shared" si="16"/>
        <v>11</v>
      </c>
      <c r="C102" s="254">
        <f t="shared" si="17"/>
        <v>1413.1902480939689</v>
      </c>
      <c r="D102" s="254"/>
      <c r="E102" s="268">
        <v>0.05</v>
      </c>
      <c r="F102" s="254">
        <f t="shared" si="18"/>
        <v>0</v>
      </c>
      <c r="G102" s="269">
        <f t="shared" si="19"/>
        <v>1413.1902480939689</v>
      </c>
      <c r="I102" s="241">
        <f t="shared" si="20"/>
        <v>11</v>
      </c>
      <c r="J102" s="254">
        <f t="shared" si="21"/>
        <v>285.94104308390024</v>
      </c>
      <c r="K102" s="254"/>
      <c r="L102" s="268">
        <v>0.05</v>
      </c>
      <c r="M102" s="254">
        <f t="shared" si="23"/>
        <v>0</v>
      </c>
      <c r="N102" s="269">
        <f t="shared" si="22"/>
        <v>285.94104308390024</v>
      </c>
    </row>
    <row r="103" spans="2:14">
      <c r="B103" s="241">
        <f t="shared" si="16"/>
        <v>12</v>
      </c>
      <c r="C103" s="254">
        <f t="shared" si="17"/>
        <v>1413.1902480939689</v>
      </c>
      <c r="D103" s="254"/>
      <c r="E103" s="268">
        <v>0.05</v>
      </c>
      <c r="F103" s="254">
        <f t="shared" si="18"/>
        <v>0</v>
      </c>
      <c r="G103" s="269">
        <f t="shared" si="19"/>
        <v>1413.1902480939689</v>
      </c>
      <c r="I103" s="241">
        <f t="shared" si="20"/>
        <v>12</v>
      </c>
      <c r="J103" s="254">
        <f t="shared" si="21"/>
        <v>285.94104308390024</v>
      </c>
      <c r="K103" s="254"/>
      <c r="L103" s="268">
        <v>0.05</v>
      </c>
      <c r="M103" s="254">
        <f t="shared" si="23"/>
        <v>0</v>
      </c>
      <c r="N103" s="269">
        <f t="shared" si="22"/>
        <v>285.94104308390024</v>
      </c>
    </row>
    <row r="104" spans="2:14">
      <c r="B104" s="241">
        <f t="shared" si="16"/>
        <v>13</v>
      </c>
      <c r="C104" s="254">
        <f t="shared" si="17"/>
        <v>1413.1902480939689</v>
      </c>
      <c r="D104" s="254"/>
      <c r="E104" s="268">
        <v>0.05</v>
      </c>
      <c r="F104" s="254">
        <f t="shared" si="18"/>
        <v>0</v>
      </c>
      <c r="G104" s="269">
        <f t="shared" si="19"/>
        <v>1413.1902480939689</v>
      </c>
      <c r="I104" s="241">
        <f t="shared" si="20"/>
        <v>13</v>
      </c>
      <c r="J104" s="254">
        <f t="shared" si="21"/>
        <v>285.94104308390024</v>
      </c>
      <c r="K104" s="254"/>
      <c r="L104" s="268">
        <v>0.05</v>
      </c>
      <c r="M104" s="254">
        <f t="shared" si="23"/>
        <v>0</v>
      </c>
      <c r="N104" s="269">
        <f t="shared" si="22"/>
        <v>285.94104308390024</v>
      </c>
    </row>
    <row r="105" spans="2:14">
      <c r="B105" s="241">
        <f t="shared" si="16"/>
        <v>14</v>
      </c>
      <c r="C105" s="254">
        <f t="shared" si="17"/>
        <v>1413.1902480939689</v>
      </c>
      <c r="D105" s="254"/>
      <c r="E105" s="268">
        <v>0.05</v>
      </c>
      <c r="F105" s="254">
        <f t="shared" si="18"/>
        <v>0</v>
      </c>
      <c r="G105" s="269">
        <f t="shared" si="19"/>
        <v>1413.1902480939689</v>
      </c>
      <c r="I105" s="241">
        <f t="shared" si="20"/>
        <v>14</v>
      </c>
      <c r="J105" s="254">
        <f t="shared" si="21"/>
        <v>285.94104308390024</v>
      </c>
      <c r="K105" s="254"/>
      <c r="L105" s="268">
        <v>0.05</v>
      </c>
      <c r="M105" s="254">
        <f t="shared" si="23"/>
        <v>0</v>
      </c>
      <c r="N105" s="269">
        <f t="shared" si="22"/>
        <v>285.94104308390024</v>
      </c>
    </row>
    <row r="106" spans="2:14">
      <c r="B106" s="241">
        <f t="shared" si="16"/>
        <v>15</v>
      </c>
      <c r="C106" s="254">
        <f t="shared" si="17"/>
        <v>1413.1902480939689</v>
      </c>
      <c r="D106" s="254"/>
      <c r="E106" s="268">
        <v>0.05</v>
      </c>
      <c r="F106" s="254">
        <f t="shared" si="18"/>
        <v>0</v>
      </c>
      <c r="G106" s="269">
        <f t="shared" si="19"/>
        <v>1413.1902480939689</v>
      </c>
      <c r="I106" s="241">
        <f t="shared" si="20"/>
        <v>15</v>
      </c>
      <c r="J106" s="254">
        <f t="shared" si="21"/>
        <v>285.94104308390024</v>
      </c>
      <c r="K106" s="254"/>
      <c r="L106" s="268">
        <v>0.05</v>
      </c>
      <c r="M106" s="254">
        <f t="shared" si="23"/>
        <v>0</v>
      </c>
      <c r="N106" s="269">
        <f t="shared" si="22"/>
        <v>285.94104308390024</v>
      </c>
    </row>
    <row r="107" spans="2:14">
      <c r="B107" s="241">
        <f t="shared" si="16"/>
        <v>16</v>
      </c>
      <c r="C107" s="254">
        <f t="shared" si="17"/>
        <v>1413.1902480939689</v>
      </c>
      <c r="D107" s="254"/>
      <c r="E107" s="268">
        <v>0.05</v>
      </c>
      <c r="F107" s="254">
        <f t="shared" si="18"/>
        <v>0</v>
      </c>
      <c r="G107" s="269">
        <f t="shared" si="19"/>
        <v>1413.1902480939689</v>
      </c>
      <c r="I107" s="241">
        <f t="shared" si="20"/>
        <v>16</v>
      </c>
      <c r="J107" s="254">
        <f t="shared" si="21"/>
        <v>285.94104308390024</v>
      </c>
      <c r="K107" s="254"/>
      <c r="L107" s="268">
        <v>0.05</v>
      </c>
      <c r="M107" s="254">
        <f t="shared" si="23"/>
        <v>0</v>
      </c>
      <c r="N107" s="269">
        <f t="shared" si="22"/>
        <v>285.94104308390024</v>
      </c>
    </row>
    <row r="108" spans="2:14">
      <c r="B108" s="241">
        <f t="shared" si="16"/>
        <v>17</v>
      </c>
      <c r="C108" s="254">
        <f t="shared" si="17"/>
        <v>1413.1902480939689</v>
      </c>
      <c r="D108" s="254"/>
      <c r="E108" s="268">
        <v>0.05</v>
      </c>
      <c r="F108" s="254">
        <f t="shared" si="18"/>
        <v>0</v>
      </c>
      <c r="G108" s="269">
        <f t="shared" si="19"/>
        <v>1413.1902480939689</v>
      </c>
      <c r="I108" s="241">
        <f t="shared" si="20"/>
        <v>17</v>
      </c>
      <c r="J108" s="254">
        <f t="shared" si="21"/>
        <v>285.94104308390024</v>
      </c>
      <c r="K108" s="254"/>
      <c r="L108" s="268">
        <v>0.05</v>
      </c>
      <c r="M108" s="254">
        <f t="shared" si="23"/>
        <v>0</v>
      </c>
      <c r="N108" s="269">
        <f t="shared" si="22"/>
        <v>285.94104308390024</v>
      </c>
    </row>
    <row r="109" spans="2:14">
      <c r="B109" s="241">
        <f t="shared" si="16"/>
        <v>18</v>
      </c>
      <c r="C109" s="254">
        <f t="shared" si="17"/>
        <v>1413.1902480939689</v>
      </c>
      <c r="D109" s="254"/>
      <c r="E109" s="268">
        <v>0.05</v>
      </c>
      <c r="F109" s="254">
        <f t="shared" si="18"/>
        <v>0</v>
      </c>
      <c r="G109" s="269">
        <f t="shared" si="19"/>
        <v>1413.1902480939689</v>
      </c>
      <c r="I109" s="241">
        <f t="shared" si="20"/>
        <v>18</v>
      </c>
      <c r="J109" s="254">
        <f t="shared" si="21"/>
        <v>285.94104308390024</v>
      </c>
      <c r="K109" s="254"/>
      <c r="L109" s="268">
        <v>0.05</v>
      </c>
      <c r="M109" s="254">
        <f t="shared" si="23"/>
        <v>0</v>
      </c>
      <c r="N109" s="269">
        <f t="shared" si="22"/>
        <v>285.94104308390024</v>
      </c>
    </row>
    <row r="110" spans="2:14">
      <c r="B110" s="241">
        <f t="shared" si="16"/>
        <v>19</v>
      </c>
      <c r="C110" s="254">
        <f t="shared" si="17"/>
        <v>1413.1902480939689</v>
      </c>
      <c r="D110" s="254"/>
      <c r="E110" s="268">
        <v>0.05</v>
      </c>
      <c r="F110" s="254">
        <f t="shared" si="18"/>
        <v>0</v>
      </c>
      <c r="G110" s="269">
        <f t="shared" si="19"/>
        <v>1413.1902480939689</v>
      </c>
      <c r="I110" s="241">
        <f t="shared" si="20"/>
        <v>19</v>
      </c>
      <c r="J110" s="254">
        <f t="shared" si="21"/>
        <v>285.94104308390024</v>
      </c>
      <c r="K110" s="254"/>
      <c r="L110" s="268">
        <v>0.05</v>
      </c>
      <c r="M110" s="254">
        <f t="shared" si="23"/>
        <v>0</v>
      </c>
      <c r="N110" s="269">
        <f t="shared" si="22"/>
        <v>285.94104308390024</v>
      </c>
    </row>
    <row r="111" spans="2:14">
      <c r="B111" s="241">
        <f t="shared" si="16"/>
        <v>20</v>
      </c>
      <c r="C111" s="254">
        <f t="shared" si="17"/>
        <v>1413.1902480939689</v>
      </c>
      <c r="D111" s="254"/>
      <c r="E111" s="268">
        <v>0.05</v>
      </c>
      <c r="F111" s="254">
        <f t="shared" si="18"/>
        <v>0</v>
      </c>
      <c r="G111" s="269">
        <f t="shared" si="19"/>
        <v>1413.1902480939689</v>
      </c>
      <c r="I111" s="241">
        <f t="shared" si="20"/>
        <v>20</v>
      </c>
      <c r="J111" s="254">
        <f t="shared" si="21"/>
        <v>285.94104308390024</v>
      </c>
      <c r="K111" s="254"/>
      <c r="L111" s="268">
        <v>0.05</v>
      </c>
      <c r="M111" s="254">
        <f t="shared" si="23"/>
        <v>0</v>
      </c>
      <c r="N111" s="269">
        <f t="shared" si="22"/>
        <v>285.94104308390024</v>
      </c>
    </row>
    <row r="112" spans="2:14">
      <c r="B112" s="241">
        <f t="shared" si="16"/>
        <v>21</v>
      </c>
      <c r="C112" s="254">
        <f t="shared" si="17"/>
        <v>1413.1902480939689</v>
      </c>
      <c r="D112" s="254"/>
      <c r="E112" s="268">
        <v>0.05</v>
      </c>
      <c r="F112" s="254">
        <f t="shared" si="18"/>
        <v>0</v>
      </c>
      <c r="G112" s="269">
        <f t="shared" si="19"/>
        <v>1413.1902480939689</v>
      </c>
      <c r="I112" s="241">
        <f t="shared" si="20"/>
        <v>21</v>
      </c>
      <c r="J112" s="254">
        <f t="shared" si="21"/>
        <v>285.94104308390024</v>
      </c>
      <c r="K112" s="254"/>
      <c r="L112" s="268">
        <v>0.05</v>
      </c>
      <c r="M112" s="254">
        <f t="shared" si="23"/>
        <v>0</v>
      </c>
      <c r="N112" s="269">
        <f t="shared" si="22"/>
        <v>285.94104308390024</v>
      </c>
    </row>
    <row r="113" spans="2:14">
      <c r="B113" s="241">
        <f t="shared" si="16"/>
        <v>22</v>
      </c>
      <c r="C113" s="254">
        <f t="shared" si="17"/>
        <v>1413.1902480939689</v>
      </c>
      <c r="D113" s="254"/>
      <c r="E113" s="268">
        <v>0.05</v>
      </c>
      <c r="F113" s="254">
        <f t="shared" si="18"/>
        <v>0</v>
      </c>
      <c r="G113" s="269">
        <f t="shared" si="19"/>
        <v>1413.1902480939689</v>
      </c>
      <c r="I113" s="241">
        <f t="shared" si="20"/>
        <v>22</v>
      </c>
      <c r="J113" s="254">
        <f t="shared" si="21"/>
        <v>285.94104308390024</v>
      </c>
      <c r="K113" s="254"/>
      <c r="L113" s="268">
        <v>0.05</v>
      </c>
      <c r="M113" s="254">
        <f t="shared" si="23"/>
        <v>0</v>
      </c>
      <c r="N113" s="269">
        <f t="shared" si="22"/>
        <v>285.94104308390024</v>
      </c>
    </row>
    <row r="114" spans="2:14">
      <c r="B114" s="241">
        <f t="shared" si="16"/>
        <v>23</v>
      </c>
      <c r="C114" s="254">
        <f t="shared" si="17"/>
        <v>1413.1902480939689</v>
      </c>
      <c r="D114" s="254"/>
      <c r="E114" s="268">
        <v>0.05</v>
      </c>
      <c r="F114" s="254">
        <f t="shared" si="18"/>
        <v>0</v>
      </c>
      <c r="G114" s="269">
        <f t="shared" si="19"/>
        <v>1413.1902480939689</v>
      </c>
      <c r="I114" s="241">
        <f t="shared" si="20"/>
        <v>23</v>
      </c>
      <c r="J114" s="254">
        <f t="shared" si="21"/>
        <v>285.94104308390024</v>
      </c>
      <c r="K114" s="254"/>
      <c r="L114" s="268">
        <v>0.05</v>
      </c>
      <c r="M114" s="254">
        <f t="shared" si="23"/>
        <v>0</v>
      </c>
      <c r="N114" s="269">
        <f t="shared" si="22"/>
        <v>285.94104308390024</v>
      </c>
    </row>
    <row r="115" spans="2:14">
      <c r="B115" s="241">
        <f t="shared" si="16"/>
        <v>24</v>
      </c>
      <c r="C115" s="254">
        <f t="shared" si="17"/>
        <v>1413.1902480939689</v>
      </c>
      <c r="D115" s="254"/>
      <c r="E115" s="268">
        <v>0.05</v>
      </c>
      <c r="F115" s="254">
        <f t="shared" si="18"/>
        <v>0</v>
      </c>
      <c r="G115" s="269">
        <f t="shared" si="19"/>
        <v>1413.1902480939689</v>
      </c>
      <c r="I115" s="241">
        <f t="shared" si="20"/>
        <v>24</v>
      </c>
      <c r="J115" s="254">
        <f t="shared" si="21"/>
        <v>285.94104308390024</v>
      </c>
      <c r="K115" s="254"/>
      <c r="L115" s="268">
        <v>0.05</v>
      </c>
      <c r="M115" s="254">
        <f t="shared" si="23"/>
        <v>0</v>
      </c>
      <c r="N115" s="269">
        <f t="shared" si="22"/>
        <v>285.94104308390024</v>
      </c>
    </row>
    <row r="116" spans="2:14">
      <c r="B116" s="241">
        <f t="shared" si="16"/>
        <v>25</v>
      </c>
      <c r="C116" s="254">
        <f t="shared" si="17"/>
        <v>1413.1902480939689</v>
      </c>
      <c r="D116" s="254"/>
      <c r="E116" s="268">
        <v>0.05</v>
      </c>
      <c r="F116" s="254">
        <f t="shared" si="18"/>
        <v>0</v>
      </c>
      <c r="G116" s="269">
        <f t="shared" si="19"/>
        <v>1413.1902480939689</v>
      </c>
      <c r="I116" s="241">
        <f t="shared" si="20"/>
        <v>25</v>
      </c>
      <c r="J116" s="254">
        <f t="shared" si="21"/>
        <v>285.94104308390024</v>
      </c>
      <c r="K116" s="254"/>
      <c r="L116" s="268">
        <v>0.05</v>
      </c>
      <c r="M116" s="254">
        <f t="shared" si="23"/>
        <v>0</v>
      </c>
      <c r="N116" s="269">
        <f t="shared" si="22"/>
        <v>285.94104308390024</v>
      </c>
    </row>
    <row r="117" spans="2:14">
      <c r="B117" s="241">
        <f t="shared" si="16"/>
        <v>26</v>
      </c>
      <c r="C117" s="254">
        <f t="shared" si="17"/>
        <v>1413.1902480939689</v>
      </c>
      <c r="D117" s="254"/>
      <c r="E117" s="268">
        <v>0.05</v>
      </c>
      <c r="F117" s="254">
        <f t="shared" si="18"/>
        <v>0</v>
      </c>
      <c r="G117" s="269">
        <f t="shared" si="19"/>
        <v>1413.1902480939689</v>
      </c>
      <c r="I117" s="241">
        <f t="shared" si="20"/>
        <v>26</v>
      </c>
      <c r="J117" s="254">
        <f t="shared" si="21"/>
        <v>285.94104308390024</v>
      </c>
      <c r="K117" s="254"/>
      <c r="L117" s="268">
        <v>0.05</v>
      </c>
      <c r="M117" s="254">
        <f t="shared" si="23"/>
        <v>0</v>
      </c>
      <c r="N117" s="269">
        <f t="shared" si="22"/>
        <v>285.94104308390024</v>
      </c>
    </row>
    <row r="118" spans="2:14">
      <c r="B118" s="241">
        <f t="shared" si="16"/>
        <v>27</v>
      </c>
      <c r="C118" s="254">
        <f t="shared" si="17"/>
        <v>1413.1902480939689</v>
      </c>
      <c r="D118" s="254"/>
      <c r="E118" s="268">
        <v>0.05</v>
      </c>
      <c r="F118" s="254">
        <f t="shared" si="18"/>
        <v>0</v>
      </c>
      <c r="G118" s="269">
        <f t="shared" si="19"/>
        <v>1413.1902480939689</v>
      </c>
      <c r="I118" s="241">
        <f t="shared" si="20"/>
        <v>27</v>
      </c>
      <c r="J118" s="254">
        <f t="shared" si="21"/>
        <v>285.94104308390024</v>
      </c>
      <c r="K118" s="254"/>
      <c r="L118" s="268">
        <v>0.05</v>
      </c>
      <c r="M118" s="254">
        <f t="shared" si="23"/>
        <v>0</v>
      </c>
      <c r="N118" s="269">
        <f t="shared" si="22"/>
        <v>285.94104308390024</v>
      </c>
    </row>
    <row r="119" spans="2:14">
      <c r="B119" s="241">
        <f t="shared" si="16"/>
        <v>28</v>
      </c>
      <c r="C119" s="254">
        <f t="shared" si="17"/>
        <v>1413.1902480939689</v>
      </c>
      <c r="D119" s="254"/>
      <c r="E119" s="268">
        <v>0.05</v>
      </c>
      <c r="F119" s="254">
        <f t="shared" si="18"/>
        <v>0</v>
      </c>
      <c r="G119" s="269">
        <f t="shared" si="19"/>
        <v>1413.1902480939689</v>
      </c>
      <c r="I119" s="241">
        <f t="shared" si="20"/>
        <v>28</v>
      </c>
      <c r="J119" s="254">
        <f t="shared" si="21"/>
        <v>285.94104308390024</v>
      </c>
      <c r="K119" s="254"/>
      <c r="L119" s="268">
        <v>0.05</v>
      </c>
      <c r="M119" s="254">
        <f t="shared" si="23"/>
        <v>0</v>
      </c>
      <c r="N119" s="269">
        <f t="shared" si="22"/>
        <v>285.94104308390024</v>
      </c>
    </row>
    <row r="120" spans="2:14">
      <c r="B120" s="241">
        <f t="shared" si="16"/>
        <v>29</v>
      </c>
      <c r="C120" s="254">
        <f t="shared" si="17"/>
        <v>1413.1902480939689</v>
      </c>
      <c r="D120" s="254"/>
      <c r="E120" s="268">
        <v>0.05</v>
      </c>
      <c r="F120" s="254">
        <f t="shared" si="18"/>
        <v>0</v>
      </c>
      <c r="G120" s="269">
        <f t="shared" si="19"/>
        <v>1413.1902480939689</v>
      </c>
      <c r="I120" s="241">
        <f t="shared" si="20"/>
        <v>29</v>
      </c>
      <c r="J120" s="254">
        <f t="shared" si="21"/>
        <v>285.94104308390024</v>
      </c>
      <c r="K120" s="254"/>
      <c r="L120" s="268">
        <v>0.05</v>
      </c>
      <c r="M120" s="254">
        <f t="shared" si="23"/>
        <v>0</v>
      </c>
      <c r="N120" s="269">
        <f t="shared" si="22"/>
        <v>285.94104308390024</v>
      </c>
    </row>
    <row r="121" spans="2:14">
      <c r="B121" s="241">
        <f t="shared" si="16"/>
        <v>30</v>
      </c>
      <c r="C121" s="254">
        <f t="shared" si="17"/>
        <v>1413.1902480939689</v>
      </c>
      <c r="D121" s="254"/>
      <c r="E121" s="268">
        <v>0.05</v>
      </c>
      <c r="F121" s="254">
        <f t="shared" si="18"/>
        <v>0</v>
      </c>
      <c r="G121" s="269">
        <f t="shared" si="19"/>
        <v>1413.1902480939689</v>
      </c>
      <c r="I121" s="241">
        <f t="shared" si="20"/>
        <v>30</v>
      </c>
      <c r="J121" s="254">
        <f t="shared" si="21"/>
        <v>285.94104308390024</v>
      </c>
      <c r="K121" s="254"/>
      <c r="L121" s="268">
        <v>0.05</v>
      </c>
      <c r="M121" s="254">
        <f t="shared" si="23"/>
        <v>0</v>
      </c>
      <c r="N121" s="269">
        <f t="shared" si="22"/>
        <v>285.94104308390024</v>
      </c>
    </row>
    <row r="122" spans="2:14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>
      <c r="B124" s="297" t="s">
        <v>508</v>
      </c>
      <c r="C124" s="298"/>
      <c r="D124" s="258">
        <f>SUM(D91:D123)</f>
        <v>1900</v>
      </c>
      <c r="E124" s="256"/>
      <c r="F124" s="256"/>
      <c r="G124" s="270">
        <f>G121</f>
        <v>1413.1902480939689</v>
      </c>
      <c r="I124" s="297" t="s">
        <v>508</v>
      </c>
      <c r="J124" s="298"/>
      <c r="K124" s="258">
        <f>SUM(K91:K123)</f>
        <v>300</v>
      </c>
      <c r="L124" s="256"/>
      <c r="M124" s="256"/>
      <c r="N124" s="270">
        <f>N121</f>
        <v>285.94104308390024</v>
      </c>
    </row>
    <row r="125" spans="2:14" ht="15.75" thickBot="1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L46" activePane="bottomRight" state="frozen"/>
      <selection pane="topRight" activeCell="C1" sqref="C1"/>
      <selection pane="bottomLeft" activeCell="A5" sqref="A5"/>
      <selection pane="bottomRight" activeCell="U68" sqref="U68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0.15</v>
      </c>
      <c r="I1" s="89" t="s">
        <v>210</v>
      </c>
      <c r="K1" s="108">
        <v>2004</v>
      </c>
      <c r="M1" s="89" t="s">
        <v>272</v>
      </c>
      <c r="O1" s="140">
        <v>0.05</v>
      </c>
      <c r="Q1" s="89" t="s">
        <v>343</v>
      </c>
      <c r="S1" s="140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0">
        <v>0.08</v>
      </c>
      <c r="Q2" s="89" t="s">
        <v>409</v>
      </c>
      <c r="S2" s="140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3" t="s">
        <v>241</v>
      </c>
      <c r="AJ2" s="304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5" t="s">
        <v>242</v>
      </c>
      <c r="AJ3" s="306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v>530</v>
      </c>
      <c r="H6" s="125">
        <v>559</v>
      </c>
      <c r="I6" s="125">
        <v>592</v>
      </c>
      <c r="J6" s="125">
        <v>873</v>
      </c>
      <c r="K6" s="125">
        <v>1125</v>
      </c>
      <c r="L6" s="125">
        <v>1296</v>
      </c>
      <c r="M6" s="125">
        <v>1914</v>
      </c>
      <c r="N6" s="125">
        <v>2361</v>
      </c>
      <c r="O6" s="125">
        <v>2782</v>
      </c>
      <c r="P6" s="125">
        <v>3339</v>
      </c>
      <c r="Q6" s="125">
        <v>4513</v>
      </c>
      <c r="R6" s="181">
        <v>4988</v>
      </c>
      <c r="S6" s="181">
        <v>6128</v>
      </c>
      <c r="T6" s="181">
        <v>7239</v>
      </c>
      <c r="U6" s="181">
        <v>9719</v>
      </c>
      <c r="V6" s="101">
        <f>((U6/G6)^(1/($K$2-$K$1) ))-1</f>
        <v>0.23094593778843375</v>
      </c>
      <c r="W6" s="21">
        <f>$O$2</f>
        <v>0.08</v>
      </c>
      <c r="X6" s="131">
        <f>U6*(1+$W6)</f>
        <v>10496.52</v>
      </c>
      <c r="Y6" s="131">
        <f>X6*(1+$W6)</f>
        <v>11336.241600000001</v>
      </c>
      <c r="Z6" s="131">
        <f t="shared" ref="Z6:AG6" si="0">Y6*(1+$W6)</f>
        <v>12243.140928000003</v>
      </c>
      <c r="AA6" s="131">
        <f t="shared" si="0"/>
        <v>13222.592202240003</v>
      </c>
      <c r="AB6" s="131">
        <f t="shared" si="0"/>
        <v>14280.399578419205</v>
      </c>
      <c r="AC6" s="131">
        <f t="shared" si="0"/>
        <v>15422.831544692743</v>
      </c>
      <c r="AD6" s="131">
        <f t="shared" si="0"/>
        <v>16656.658068268163</v>
      </c>
      <c r="AE6" s="131">
        <f t="shared" si="0"/>
        <v>17989.190713729618</v>
      </c>
      <c r="AF6" s="131">
        <f t="shared" si="0"/>
        <v>19428.325970827987</v>
      </c>
      <c r="AG6" s="131">
        <f t="shared" si="0"/>
        <v>20982.592048494229</v>
      </c>
      <c r="AH6" s="116">
        <f>((AG6/J6)^(1/($AG$3-$K$1) ))-1</f>
        <v>0.14825074136428418</v>
      </c>
      <c r="AI6" s="21">
        <f>$O$1</f>
        <v>0.05</v>
      </c>
      <c r="AJ6" s="124">
        <f t="shared" ref="AJ6:AJ59" si="1">(AG6*(1+AI6))/($C$1-AI6)</f>
        <v>220317.21650918943</v>
      </c>
    </row>
    <row r="7" spans="2:36">
      <c r="B7" s="10" t="s">
        <v>198</v>
      </c>
      <c r="C7" s="119"/>
      <c r="D7" s="119"/>
      <c r="E7" s="125"/>
      <c r="F7" s="125"/>
      <c r="G7" s="125">
        <v>572</v>
      </c>
      <c r="H7" s="125">
        <v>601</v>
      </c>
      <c r="I7" s="125">
        <v>634</v>
      </c>
      <c r="J7" s="125">
        <v>935</v>
      </c>
      <c r="K7" s="125">
        <v>1182</v>
      </c>
      <c r="L7" s="125">
        <v>1349</v>
      </c>
      <c r="M7" s="125">
        <v>1967</v>
      </c>
      <c r="N7" s="125">
        <v>2412</v>
      </c>
      <c r="O7" s="125">
        <v>2832</v>
      </c>
      <c r="P7" s="125">
        <v>3400</v>
      </c>
      <c r="Q7" s="125">
        <v>4574</v>
      </c>
      <c r="R7" s="181">
        <v>5039</v>
      </c>
      <c r="S7" s="181">
        <v>6179</v>
      </c>
      <c r="T7" s="181">
        <v>7289</v>
      </c>
      <c r="U7" s="181">
        <v>9776</v>
      </c>
      <c r="V7" s="101">
        <f t="shared" ref="V7:V70" si="2">((U7/G7)^(1/($K$2-$K$1) ))-1</f>
        <v>0.22477032301574051</v>
      </c>
      <c r="W7" s="21">
        <f>$O$2</f>
        <v>0.08</v>
      </c>
      <c r="X7" s="131">
        <f>U7*(1+$W7)</f>
        <v>10558.08</v>
      </c>
      <c r="Y7" s="131">
        <f t="shared" ref="Y7:AG7" si="3">X7*(1+$W7)</f>
        <v>11402.726400000001</v>
      </c>
      <c r="Z7" s="131">
        <f t="shared" si="3"/>
        <v>12314.944512000002</v>
      </c>
      <c r="AA7" s="131">
        <f t="shared" si="3"/>
        <v>13300.140072960003</v>
      </c>
      <c r="AB7" s="131">
        <f t="shared" si="3"/>
        <v>14364.151278796804</v>
      </c>
      <c r="AC7" s="131">
        <f t="shared" si="3"/>
        <v>15513.283381100549</v>
      </c>
      <c r="AD7" s="131">
        <f t="shared" si="3"/>
        <v>16754.346051588593</v>
      </c>
      <c r="AE7" s="131">
        <f t="shared" si="3"/>
        <v>18094.693735715682</v>
      </c>
      <c r="AF7" s="131">
        <f t="shared" si="3"/>
        <v>19542.269234572937</v>
      </c>
      <c r="AG7" s="131">
        <f t="shared" si="3"/>
        <v>21105.650773338773</v>
      </c>
      <c r="AH7" s="116">
        <f>((AG7/J7)^(1/($AG$3-$K$1) ))-1</f>
        <v>0.14512162100795201</v>
      </c>
      <c r="AI7" s="21">
        <f>$O$1</f>
        <v>0.05</v>
      </c>
      <c r="AJ7" s="124">
        <f t="shared" si="1"/>
        <v>221609.33312005716</v>
      </c>
    </row>
    <row r="8" spans="2:36">
      <c r="B8" s="10"/>
      <c r="C8" s="119"/>
      <c r="D8" s="119"/>
      <c r="E8" s="125"/>
      <c r="F8" s="271"/>
      <c r="G8" s="271">
        <f>(G7-F7)/G7</f>
        <v>1</v>
      </c>
      <c r="H8" s="128">
        <f>(H7-G7)/H7</f>
        <v>4.8252911813643926E-2</v>
      </c>
      <c r="I8" s="128">
        <f t="shared" ref="I8:Q8" si="4">(I7-H7)/I7</f>
        <v>5.2050473186119876E-2</v>
      </c>
      <c r="J8" s="128">
        <f t="shared" si="4"/>
        <v>0.32192513368983955</v>
      </c>
      <c r="K8" s="128">
        <f t="shared" si="4"/>
        <v>0.20896785109983079</v>
      </c>
      <c r="L8" s="128">
        <f t="shared" si="4"/>
        <v>0.12379540400296515</v>
      </c>
      <c r="M8" s="128">
        <f t="shared" si="4"/>
        <v>0.31418403660396543</v>
      </c>
      <c r="N8" s="128">
        <f t="shared" si="4"/>
        <v>0.18449419568822553</v>
      </c>
      <c r="O8" s="128">
        <f t="shared" si="4"/>
        <v>0.14830508474576271</v>
      </c>
      <c r="P8" s="128">
        <f t="shared" si="4"/>
        <v>0.16705882352941176</v>
      </c>
      <c r="Q8" s="128">
        <f t="shared" si="4"/>
        <v>0.25666812418014867</v>
      </c>
      <c r="R8" s="128">
        <f t="shared" ref="R8:S8" si="5">(R7-Q7)/Q7</f>
        <v>0.10166156536947966</v>
      </c>
      <c r="S8" s="128">
        <f t="shared" si="5"/>
        <v>0.22623536415955547</v>
      </c>
      <c r="T8" s="128">
        <f t="shared" ref="S8:U8" si="6">(T7-S7)/S7</f>
        <v>0.17964071856287425</v>
      </c>
      <c r="U8" s="128">
        <f t="shared" si="6"/>
        <v>0.34119906708739195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v>373</v>
      </c>
      <c r="H9" s="125">
        <v>488</v>
      </c>
      <c r="I9" s="125">
        <v>529</v>
      </c>
      <c r="J9" s="125">
        <v>990</v>
      </c>
      <c r="K9" s="125">
        <v>890</v>
      </c>
      <c r="L9" s="125">
        <v>802</v>
      </c>
      <c r="M9" s="125">
        <v>1608</v>
      </c>
      <c r="N9" s="125">
        <v>2028</v>
      </c>
      <c r="O9" s="125">
        <v>2508</v>
      </c>
      <c r="P9" s="125">
        <v>2255</v>
      </c>
      <c r="Q9" s="125">
        <v>2785</v>
      </c>
      <c r="R9" s="181">
        <v>2054</v>
      </c>
      <c r="S9" s="181">
        <v>2769</v>
      </c>
      <c r="T9" s="181">
        <v>4322</v>
      </c>
      <c r="U9" s="181">
        <v>5516</v>
      </c>
      <c r="V9" s="101">
        <f t="shared" si="2"/>
        <v>0.2121751806130987</v>
      </c>
      <c r="W9" s="21">
        <f t="shared" ref="W9:W55" si="7">$O$2</f>
        <v>0.08</v>
      </c>
      <c r="X9" s="131">
        <f t="shared" ref="X9:X59" si="8">U9*(1+$W9)</f>
        <v>5957.2800000000007</v>
      </c>
      <c r="Y9" s="131">
        <f t="shared" ref="Y9" si="9">X9*(1+$W9)</f>
        <v>6433.8624000000009</v>
      </c>
      <c r="Z9" s="131">
        <f t="shared" ref="Z9" si="10">Y9*(1+$W9)</f>
        <v>6948.5713920000017</v>
      </c>
      <c r="AA9" s="131">
        <f t="shared" ref="AA9" si="11">Z9*(1+$W9)</f>
        <v>7504.4571033600023</v>
      </c>
      <c r="AB9" s="131">
        <f t="shared" ref="AB9" si="12">AA9*(1+$W9)</f>
        <v>8104.8136716288027</v>
      </c>
      <c r="AC9" s="131">
        <f t="shared" ref="AC9" si="13">AB9*(1+$W9)</f>
        <v>8753.1987653591077</v>
      </c>
      <c r="AD9" s="131">
        <f t="shared" ref="AD9" si="14">AC9*(1+$W9)</f>
        <v>9453.454666587837</v>
      </c>
      <c r="AE9" s="131">
        <f t="shared" ref="AE9" si="15">AD9*(1+$W9)</f>
        <v>10209.731039914865</v>
      </c>
      <c r="AF9" s="131">
        <f t="shared" ref="AF9" si="16">AE9*(1+$W9)</f>
        <v>11026.509523108054</v>
      </c>
      <c r="AG9" s="131">
        <f t="shared" ref="AG9" si="17">AF9*(1+$W9)</f>
        <v>11908.6302849567</v>
      </c>
      <c r="AH9" s="116">
        <f>((AG9/J9)^(1/($AG$3-$K$1) ))-1</f>
        <v>0.11420826251349725</v>
      </c>
      <c r="AI9" s="21">
        <f t="shared" ref="AI9:AI99" si="18">$O$1</f>
        <v>0.05</v>
      </c>
      <c r="AJ9" s="124">
        <f t="shared" si="1"/>
        <v>125040.61799204536</v>
      </c>
    </row>
    <row r="10" spans="2:36">
      <c r="B10" s="10" t="s">
        <v>3</v>
      </c>
      <c r="C10" s="119"/>
      <c r="D10" s="119"/>
      <c r="E10" s="125"/>
      <c r="F10" s="125"/>
      <c r="G10" s="125">
        <v>421</v>
      </c>
      <c r="H10" s="125">
        <v>544</v>
      </c>
      <c r="I10" s="125">
        <v>750</v>
      </c>
      <c r="J10" s="125">
        <v>823</v>
      </c>
      <c r="K10" s="125">
        <v>646</v>
      </c>
      <c r="L10" s="125">
        <v>890</v>
      </c>
      <c r="M10" s="125">
        <v>1707</v>
      </c>
      <c r="N10" s="125">
        <v>2480</v>
      </c>
      <c r="O10" s="125">
        <v>2549</v>
      </c>
      <c r="P10" s="125">
        <v>2281</v>
      </c>
      <c r="Q10" s="125">
        <v>988</v>
      </c>
      <c r="R10" s="181">
        <v>800</v>
      </c>
      <c r="S10" s="181">
        <v>1349</v>
      </c>
      <c r="T10" s="181">
        <v>3244</v>
      </c>
      <c r="U10" s="181">
        <v>4445</v>
      </c>
      <c r="V10" s="101">
        <f t="shared" si="2"/>
        <v>0.18335090653829433</v>
      </c>
      <c r="W10" s="21">
        <f t="shared" si="7"/>
        <v>0.08</v>
      </c>
      <c r="X10" s="131">
        <f t="shared" si="8"/>
        <v>4800.6000000000004</v>
      </c>
      <c r="Y10" s="131">
        <f t="shared" ref="Y10:AG10" si="19">X10*(1+$W10)</f>
        <v>5184.648000000001</v>
      </c>
      <c r="Z10" s="131">
        <f t="shared" si="19"/>
        <v>5599.4198400000014</v>
      </c>
      <c r="AA10" s="131">
        <f t="shared" si="19"/>
        <v>6047.373427200002</v>
      </c>
      <c r="AB10" s="131">
        <f t="shared" si="19"/>
        <v>6531.1633013760029</v>
      </c>
      <c r="AC10" s="131">
        <f t="shared" si="19"/>
        <v>7053.6563654860838</v>
      </c>
      <c r="AD10" s="131">
        <f t="shared" si="19"/>
        <v>7617.9488747249707</v>
      </c>
      <c r="AE10" s="131">
        <f t="shared" si="19"/>
        <v>8227.3847847029683</v>
      </c>
      <c r="AF10" s="131">
        <f t="shared" si="19"/>
        <v>8885.5755674792072</v>
      </c>
      <c r="AG10" s="131">
        <f t="shared" si="19"/>
        <v>9596.4216128775442</v>
      </c>
      <c r="AH10" s="116">
        <f t="shared" ref="AH10:AH57" si="20">((AG10/J10)^(1/($AG$3-$K$1) ))-1</f>
        <v>0.11270149936219487</v>
      </c>
      <c r="AI10" s="21">
        <f t="shared" si="18"/>
        <v>0.05</v>
      </c>
      <c r="AJ10" s="124">
        <f t="shared" si="1"/>
        <v>100762.42693521423</v>
      </c>
    </row>
    <row r="11" spans="2:36">
      <c r="B11" s="10"/>
      <c r="C11" s="119"/>
      <c r="D11" s="119"/>
      <c r="E11" s="125"/>
      <c r="F11" s="271"/>
      <c r="G11" s="271">
        <f>(G10-F10)/G10</f>
        <v>1</v>
      </c>
      <c r="H11" s="271">
        <f t="shared" ref="H11:Q11" si="21">(H10-G10)/H10</f>
        <v>0.22610294117647059</v>
      </c>
      <c r="I11" s="271">
        <f t="shared" si="21"/>
        <v>0.27466666666666667</v>
      </c>
      <c r="J11" s="271">
        <f t="shared" si="21"/>
        <v>8.8699878493317133E-2</v>
      </c>
      <c r="K11" s="271">
        <f t="shared" si="21"/>
        <v>-0.2739938080495356</v>
      </c>
      <c r="L11" s="271">
        <f t="shared" si="21"/>
        <v>0.27415730337078653</v>
      </c>
      <c r="M11" s="271">
        <f t="shared" si="21"/>
        <v>0.47861745752782658</v>
      </c>
      <c r="N11" s="271">
        <f t="shared" si="21"/>
        <v>0.31169354838709679</v>
      </c>
      <c r="O11" s="271">
        <f t="shared" si="21"/>
        <v>2.7069438995684581E-2</v>
      </c>
      <c r="P11" s="271">
        <f t="shared" si="21"/>
        <v>-0.11749232792634809</v>
      </c>
      <c r="Q11" s="271">
        <f t="shared" si="21"/>
        <v>-1.3087044534412955</v>
      </c>
      <c r="R11" s="128">
        <f t="shared" ref="R11:S11" si="22">(R10-Q10)/Q10</f>
        <v>-0.19028340080971659</v>
      </c>
      <c r="S11" s="128">
        <f t="shared" si="22"/>
        <v>0.68625000000000003</v>
      </c>
      <c r="T11" s="128">
        <f t="shared" ref="S11:U11" si="23">(T10-S10)/S10</f>
        <v>1.4047442550037064</v>
      </c>
      <c r="U11" s="128">
        <f t="shared" si="23"/>
        <v>0.37022194821208387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v>110</v>
      </c>
      <c r="H12" s="125">
        <f>95+26</f>
        <v>121</v>
      </c>
      <c r="I12" s="125">
        <f>96+135</f>
        <v>231</v>
      </c>
      <c r="J12" s="125">
        <f>153+40</f>
        <v>193</v>
      </c>
      <c r="K12" s="125">
        <f>172+113</f>
        <v>285</v>
      </c>
      <c r="L12" s="125">
        <f>188+173</f>
        <v>361</v>
      </c>
      <c r="M12" s="125">
        <f>283+65</f>
        <v>348</v>
      </c>
      <c r="N12" s="125">
        <f>191</f>
        <v>191</v>
      </c>
      <c r="O12" s="125">
        <v>173</v>
      </c>
      <c r="P12" s="125">
        <v>335</v>
      </c>
      <c r="Q12" s="125">
        <v>654</v>
      </c>
      <c r="R12" s="181">
        <v>595</v>
      </c>
      <c r="S12" s="181">
        <v>595</v>
      </c>
      <c r="T12" s="181">
        <v>336</v>
      </c>
      <c r="U12" s="181">
        <v>599</v>
      </c>
      <c r="V12" s="101">
        <f t="shared" si="2"/>
        <v>0.12868789400045366</v>
      </c>
      <c r="W12" s="21">
        <f t="shared" si="7"/>
        <v>0.08</v>
      </c>
      <c r="X12" s="131">
        <f t="shared" si="8"/>
        <v>646.92000000000007</v>
      </c>
      <c r="Y12" s="131">
        <f t="shared" ref="Y12:AG12" si="24">X12*(1+$W12)</f>
        <v>698.67360000000008</v>
      </c>
      <c r="Z12" s="131">
        <f t="shared" si="24"/>
        <v>754.56748800000014</v>
      </c>
      <c r="AA12" s="131">
        <f t="shared" si="24"/>
        <v>814.9328870400002</v>
      </c>
      <c r="AB12" s="131">
        <f t="shared" si="24"/>
        <v>880.12751800320029</v>
      </c>
      <c r="AC12" s="131">
        <f t="shared" si="24"/>
        <v>950.53771944345635</v>
      </c>
      <c r="AD12" s="131">
        <f t="shared" si="24"/>
        <v>1026.5807369989329</v>
      </c>
      <c r="AE12" s="131">
        <f t="shared" si="24"/>
        <v>1108.7071959588477</v>
      </c>
      <c r="AF12" s="131">
        <f t="shared" si="24"/>
        <v>1197.4037716355556</v>
      </c>
      <c r="AG12" s="131">
        <f t="shared" si="24"/>
        <v>1293.1960733664</v>
      </c>
      <c r="AH12" s="116">
        <f t="shared" si="20"/>
        <v>8.6219759024024789E-2</v>
      </c>
      <c r="AI12" s="21">
        <f t="shared" si="18"/>
        <v>0.05</v>
      </c>
      <c r="AJ12" s="124">
        <f t="shared" si="1"/>
        <v>13578.558770347203</v>
      </c>
    </row>
    <row r="13" spans="2:36">
      <c r="B13" s="10" t="s">
        <v>191</v>
      </c>
      <c r="C13" s="119"/>
      <c r="D13" s="119"/>
      <c r="E13" s="125"/>
      <c r="F13" s="125"/>
      <c r="G13" s="125">
        <v>64</v>
      </c>
      <c r="H13" s="125">
        <v>3</v>
      </c>
      <c r="I13" s="125">
        <v>0.4</v>
      </c>
      <c r="J13" s="125">
        <v>5</v>
      </c>
      <c r="K13" s="125">
        <v>5</v>
      </c>
      <c r="L13" s="125">
        <v>5</v>
      </c>
      <c r="M13" s="125">
        <v>6</v>
      </c>
      <c r="N13" s="125">
        <v>11</v>
      </c>
      <c r="O13" s="125">
        <v>16</v>
      </c>
      <c r="P13" s="125">
        <v>55</v>
      </c>
      <c r="Q13" s="125">
        <v>64</v>
      </c>
      <c r="R13" s="181">
        <v>147</v>
      </c>
      <c r="S13" s="181">
        <v>122</v>
      </c>
      <c r="T13" s="181">
        <v>396</v>
      </c>
      <c r="U13" s="181">
        <v>1342</v>
      </c>
      <c r="V13" s="101">
        <f t="shared" si="2"/>
        <v>0.2427908259201601</v>
      </c>
      <c r="W13" s="21">
        <f t="shared" si="7"/>
        <v>0.08</v>
      </c>
      <c r="X13" s="131">
        <f t="shared" si="8"/>
        <v>1449.3600000000001</v>
      </c>
      <c r="Y13" s="131">
        <f t="shared" ref="Y13:AG13" si="25">X13*(1+$W13)</f>
        <v>1565.3088000000002</v>
      </c>
      <c r="Z13" s="131">
        <f t="shared" si="25"/>
        <v>1690.5335040000004</v>
      </c>
      <c r="AA13" s="131">
        <f t="shared" si="25"/>
        <v>1825.7761843200005</v>
      </c>
      <c r="AB13" s="131">
        <f t="shared" si="25"/>
        <v>1971.8382790656008</v>
      </c>
      <c r="AC13" s="131">
        <f t="shared" si="25"/>
        <v>2129.585341390849</v>
      </c>
      <c r="AD13" s="131">
        <f t="shared" si="25"/>
        <v>2299.952168702117</v>
      </c>
      <c r="AE13" s="131">
        <f t="shared" si="25"/>
        <v>2483.9483421982864</v>
      </c>
      <c r="AF13" s="131">
        <f t="shared" si="25"/>
        <v>2682.6642095741495</v>
      </c>
      <c r="AG13" s="131">
        <f t="shared" si="25"/>
        <v>2897.2773463400817</v>
      </c>
      <c r="AH13" s="116">
        <f t="shared" si="20"/>
        <v>0.31865536857025201</v>
      </c>
      <c r="AI13" s="21">
        <f t="shared" si="18"/>
        <v>0.05</v>
      </c>
      <c r="AJ13" s="124">
        <f t="shared" si="1"/>
        <v>30421.412136570863</v>
      </c>
    </row>
    <row r="14" spans="2:36">
      <c r="B14" s="10" t="s">
        <v>318</v>
      </c>
      <c r="C14" s="119"/>
      <c r="D14" s="119"/>
      <c r="E14" s="125"/>
      <c r="F14" s="125"/>
      <c r="G14" s="125">
        <v>262</v>
      </c>
      <c r="H14" s="125">
        <v>330</v>
      </c>
      <c r="I14" s="125">
        <v>419</v>
      </c>
      <c r="J14" s="125">
        <v>638</v>
      </c>
      <c r="K14" s="125">
        <v>715</v>
      </c>
      <c r="L14" s="125">
        <v>630</v>
      </c>
      <c r="M14" s="125">
        <v>992</v>
      </c>
      <c r="N14" s="125">
        <v>1753</v>
      </c>
      <c r="O14" s="125">
        <v>1999</v>
      </c>
      <c r="P14" s="125">
        <v>2031</v>
      </c>
      <c r="Q14" s="125">
        <v>2066</v>
      </c>
      <c r="R14" s="181">
        <v>1778</v>
      </c>
      <c r="S14" s="181">
        <v>1945</v>
      </c>
      <c r="T14" s="181">
        <v>2645</v>
      </c>
      <c r="U14" s="181">
        <v>2945</v>
      </c>
      <c r="V14" s="101">
        <f t="shared" si="2"/>
        <v>0.18865548998412396</v>
      </c>
      <c r="W14" s="21">
        <f t="shared" si="7"/>
        <v>0.08</v>
      </c>
      <c r="X14" s="131">
        <f t="shared" si="8"/>
        <v>3180.6000000000004</v>
      </c>
      <c r="Y14" s="131">
        <f t="shared" ref="Y14" si="26">X14*(1+$W14)</f>
        <v>3435.0480000000007</v>
      </c>
      <c r="Z14" s="131">
        <f t="shared" ref="Z14" si="27">Y14*(1+$W14)</f>
        <v>3709.8518400000012</v>
      </c>
      <c r="AA14" s="131">
        <f t="shared" ref="AA14" si="28">Z14*(1+$W14)</f>
        <v>4006.6399872000015</v>
      </c>
      <c r="AB14" s="131">
        <f t="shared" ref="AB14" si="29">AA14*(1+$W14)</f>
        <v>4327.1711861760023</v>
      </c>
      <c r="AC14" s="131">
        <f t="shared" ref="AC14" si="30">AB14*(1+$W14)</f>
        <v>4673.3448810700829</v>
      </c>
      <c r="AD14" s="131">
        <f t="shared" ref="AD14" si="31">AC14*(1+$W14)</f>
        <v>5047.2124715556902</v>
      </c>
      <c r="AE14" s="131">
        <f t="shared" ref="AE14" si="32">AD14*(1+$W14)</f>
        <v>5450.9894692801454</v>
      </c>
      <c r="AF14" s="131">
        <f t="shared" ref="AF14" si="33">AE14*(1+$W14)</f>
        <v>5887.0686268225572</v>
      </c>
      <c r="AG14" s="131">
        <f t="shared" ref="AG14" si="34">AF14*(1+$W14)</f>
        <v>6358.0341169683625</v>
      </c>
      <c r="AH14" s="116">
        <f t="shared" ref="AH14" si="35">((AG14/J14)^(1/($AG$3-$K$1) ))-1</f>
        <v>0.10512941363753359</v>
      </c>
      <c r="AI14" s="21">
        <f t="shared" si="18"/>
        <v>0.05</v>
      </c>
      <c r="AJ14" s="124">
        <f t="shared" ref="AJ14" si="36">(AG14*(1+AI14))/($C$1-AI14)</f>
        <v>66759.358228167825</v>
      </c>
    </row>
    <row r="15" spans="2:36">
      <c r="B15" s="10" t="s">
        <v>11</v>
      </c>
      <c r="C15" s="119"/>
      <c r="D15" s="119"/>
      <c r="E15" s="125"/>
      <c r="F15" s="125"/>
      <c r="G15" s="125">
        <v>442</v>
      </c>
      <c r="H15" s="125">
        <v>581</v>
      </c>
      <c r="I15" s="125">
        <v>690</v>
      </c>
      <c r="J15" s="125">
        <v>1159</v>
      </c>
      <c r="K15" s="125">
        <v>1199</v>
      </c>
      <c r="L15" s="125">
        <v>1043</v>
      </c>
      <c r="M15" s="125">
        <v>2063</v>
      </c>
      <c r="N15" s="125">
        <v>2894</v>
      </c>
      <c r="O15" s="125">
        <v>3317</v>
      </c>
      <c r="P15" s="125">
        <v>3356</v>
      </c>
      <c r="Q15" s="125">
        <v>3763</v>
      </c>
      <c r="R15" s="181">
        <v>3331</v>
      </c>
      <c r="S15" s="181">
        <v>3623</v>
      </c>
      <c r="T15" s="181">
        <v>4109</v>
      </c>
      <c r="U15" s="181">
        <v>4979</v>
      </c>
      <c r="V15" s="101">
        <f t="shared" si="2"/>
        <v>0.1888384612593359</v>
      </c>
      <c r="W15" s="21">
        <f t="shared" si="7"/>
        <v>0.08</v>
      </c>
      <c r="X15" s="131">
        <f t="shared" si="8"/>
        <v>5377.3200000000006</v>
      </c>
      <c r="Y15" s="131">
        <f t="shared" ref="Y15:AG15" si="37">X15*(1+$W15)</f>
        <v>5807.5056000000013</v>
      </c>
      <c r="Z15" s="131">
        <f t="shared" si="37"/>
        <v>6272.1060480000015</v>
      </c>
      <c r="AA15" s="131">
        <f t="shared" si="37"/>
        <v>6773.8745318400024</v>
      </c>
      <c r="AB15" s="131">
        <f t="shared" si="37"/>
        <v>7315.7844943872033</v>
      </c>
      <c r="AC15" s="131">
        <f t="shared" si="37"/>
        <v>7901.0472539381799</v>
      </c>
      <c r="AD15" s="131">
        <f t="shared" si="37"/>
        <v>8533.1310342532342</v>
      </c>
      <c r="AE15" s="131">
        <f t="shared" si="37"/>
        <v>9215.7815169934929</v>
      </c>
      <c r="AF15" s="131">
        <f t="shared" si="37"/>
        <v>9953.0440383529731</v>
      </c>
      <c r="AG15" s="131">
        <f t="shared" si="37"/>
        <v>10749.287561421212</v>
      </c>
      <c r="AH15" s="116">
        <f t="shared" si="20"/>
        <v>0.1016822658045391</v>
      </c>
      <c r="AI15" s="21">
        <f t="shared" si="18"/>
        <v>0.05</v>
      </c>
      <c r="AJ15" s="124">
        <f t="shared" si="1"/>
        <v>112867.51939492274</v>
      </c>
    </row>
    <row r="16" spans="2:36">
      <c r="B16" s="10" t="s">
        <v>12</v>
      </c>
      <c r="C16" s="119"/>
      <c r="D16" s="119"/>
      <c r="E16" s="125"/>
      <c r="F16" s="125"/>
      <c r="G16" s="125">
        <v>213</v>
      </c>
      <c r="H16" s="125">
        <v>240</v>
      </c>
      <c r="I16" s="125">
        <v>465</v>
      </c>
      <c r="J16" s="125">
        <v>380</v>
      </c>
      <c r="K16" s="125">
        <v>502</v>
      </c>
      <c r="L16" s="125">
        <v>528</v>
      </c>
      <c r="M16" s="125">
        <v>573</v>
      </c>
      <c r="N16" s="125">
        <v>860</v>
      </c>
      <c r="O16" s="125">
        <v>880</v>
      </c>
      <c r="P16" s="125">
        <v>995</v>
      </c>
      <c r="Q16" s="125">
        <v>859</v>
      </c>
      <c r="R16" s="181">
        <v>1092</v>
      </c>
      <c r="S16" s="181">
        <v>1634</v>
      </c>
      <c r="T16" s="181">
        <v>531</v>
      </c>
      <c r="U16" s="181">
        <v>172</v>
      </c>
      <c r="V16" s="101">
        <f t="shared" si="2"/>
        <v>-1.5155249061342357E-2</v>
      </c>
      <c r="W16" s="21">
        <f t="shared" si="7"/>
        <v>0.08</v>
      </c>
      <c r="X16" s="131">
        <f t="shared" si="8"/>
        <v>185.76000000000002</v>
      </c>
      <c r="Y16" s="131">
        <f t="shared" ref="Y16:AG16" si="38">X16*(1+$W16)</f>
        <v>200.62080000000003</v>
      </c>
      <c r="Z16" s="131">
        <f t="shared" si="38"/>
        <v>216.67046400000004</v>
      </c>
      <c r="AA16" s="131">
        <f t="shared" si="38"/>
        <v>234.00410112000006</v>
      </c>
      <c r="AB16" s="131">
        <f t="shared" si="38"/>
        <v>252.72442920960009</v>
      </c>
      <c r="AC16" s="131">
        <f t="shared" si="38"/>
        <v>272.94238354636809</v>
      </c>
      <c r="AD16" s="131">
        <f t="shared" si="38"/>
        <v>294.77777423007757</v>
      </c>
      <c r="AE16" s="131">
        <f t="shared" si="38"/>
        <v>318.3599961684838</v>
      </c>
      <c r="AF16" s="131">
        <f t="shared" si="38"/>
        <v>343.82879586196253</v>
      </c>
      <c r="AG16" s="131">
        <f t="shared" si="38"/>
        <v>371.33509953091954</v>
      </c>
      <c r="AH16" s="116">
        <f t="shared" si="20"/>
        <v>-1.0023826935237068E-3</v>
      </c>
      <c r="AI16" s="21">
        <f t="shared" si="18"/>
        <v>0.05</v>
      </c>
      <c r="AJ16" s="124">
        <f t="shared" si="1"/>
        <v>3899.0185450746558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81"/>
      <c r="U17" s="181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v>648</v>
      </c>
      <c r="H18" s="125">
        <v>786</v>
      </c>
      <c r="I18" s="125">
        <v>840</v>
      </c>
      <c r="J18" s="125">
        <v>1292</v>
      </c>
      <c r="K18" s="125">
        <v>1226</v>
      </c>
      <c r="L18" s="125">
        <v>1425</v>
      </c>
      <c r="M18" s="125">
        <v>2560</v>
      </c>
      <c r="N18" s="125">
        <v>3519</v>
      </c>
      <c r="O18" s="125">
        <v>4157</v>
      </c>
      <c r="P18" s="125">
        <v>4312</v>
      </c>
      <c r="Q18" s="125">
        <v>4502</v>
      </c>
      <c r="R18" s="181">
        <v>4381</v>
      </c>
      <c r="S18" s="181">
        <v>4797</v>
      </c>
      <c r="T18" s="181">
        <v>6691</v>
      </c>
      <c r="U18" s="181">
        <v>6489</v>
      </c>
      <c r="V18" s="101">
        <f t="shared" si="2"/>
        <v>0.17888550078506738</v>
      </c>
      <c r="W18" s="21">
        <f t="shared" si="7"/>
        <v>0.08</v>
      </c>
      <c r="X18" s="131">
        <f t="shared" si="8"/>
        <v>7008.1200000000008</v>
      </c>
      <c r="Y18" s="131">
        <f t="shared" ref="Y18:Y34" si="39">X18*(1+$W18)</f>
        <v>7568.7696000000014</v>
      </c>
      <c r="Z18" s="131">
        <f t="shared" ref="Z18:Z34" si="40">Y18*(1+$W18)</f>
        <v>8174.271168000002</v>
      </c>
      <c r="AA18" s="131">
        <f t="shared" ref="AA18:AA34" si="41">Z18*(1+$W18)</f>
        <v>8828.2128614400026</v>
      </c>
      <c r="AB18" s="131">
        <f t="shared" ref="AB18:AB51" si="42">AA18*(1+$W18)</f>
        <v>9534.4698903552035</v>
      </c>
      <c r="AC18" s="131">
        <f t="shared" ref="AC18:AC51" si="43">AB18*(1+$W18)</f>
        <v>10297.227481583621</v>
      </c>
      <c r="AD18" s="131">
        <f t="shared" ref="AD18:AD51" si="44">AC18*(1+$W18)</f>
        <v>11121.005680110311</v>
      </c>
      <c r="AE18" s="131">
        <f t="shared" ref="AE18:AE51" si="45">AD18*(1+$W18)</f>
        <v>12010.686134519137</v>
      </c>
      <c r="AF18" s="131">
        <f t="shared" ref="AF18:AF51" si="46">AE18*(1+$W18)</f>
        <v>12971.541025280669</v>
      </c>
      <c r="AG18" s="131">
        <f t="shared" ref="AG18:AG51" si="47">AF18*(1+$W18)</f>
        <v>14009.264307303123</v>
      </c>
      <c r="AH18" s="116">
        <f t="shared" si="20"/>
        <v>0.10919178433898624</v>
      </c>
      <c r="AI18" s="21">
        <f t="shared" si="18"/>
        <v>0.05</v>
      </c>
      <c r="AJ18" s="124">
        <f t="shared" si="1"/>
        <v>147097.2752266828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81"/>
      <c r="U19" s="181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>
        <v>108</v>
      </c>
      <c r="H20" s="125">
        <v>109</v>
      </c>
      <c r="I20" s="125">
        <v>78</v>
      </c>
      <c r="J20" s="125">
        <v>357</v>
      </c>
      <c r="K20" s="125">
        <v>428</v>
      </c>
      <c r="L20" s="125">
        <v>325</v>
      </c>
      <c r="M20" s="125">
        <v>702</v>
      </c>
      <c r="N20" s="125">
        <v>152</v>
      </c>
      <c r="O20" s="125">
        <v>543</v>
      </c>
      <c r="P20" s="125">
        <v>770</v>
      </c>
      <c r="Q20" s="125">
        <v>1126</v>
      </c>
      <c r="R20" s="181">
        <v>951</v>
      </c>
      <c r="S20" s="181">
        <v>1784</v>
      </c>
      <c r="T20" s="181">
        <v>329</v>
      </c>
      <c r="U20" s="181">
        <v>329</v>
      </c>
      <c r="V20" s="101">
        <f t="shared" si="2"/>
        <v>8.2817218283342875E-2</v>
      </c>
      <c r="W20" s="21">
        <f t="shared" si="7"/>
        <v>0.08</v>
      </c>
      <c r="X20" s="131">
        <f t="shared" si="8"/>
        <v>355.32000000000005</v>
      </c>
      <c r="Y20" s="131">
        <f t="shared" ref="Y20:Y22" si="48">X20*(1+$W20)</f>
        <v>383.74560000000008</v>
      </c>
      <c r="Z20" s="131">
        <f t="shared" ref="Z20:Z22" si="49">Y20*(1+$W20)</f>
        <v>414.44524800000011</v>
      </c>
      <c r="AA20" s="131">
        <f t="shared" ref="AA20:AA22" si="50">Z20*(1+$W20)</f>
        <v>447.60086784000015</v>
      </c>
      <c r="AB20" s="131">
        <f t="shared" ref="AB20:AB22" si="51">AA20*(1+$W20)</f>
        <v>483.4089372672002</v>
      </c>
      <c r="AC20" s="131">
        <f t="shared" ref="AC20:AC22" si="52">AB20*(1+$W20)</f>
        <v>522.08165224857623</v>
      </c>
      <c r="AD20" s="131">
        <f t="shared" ref="AD20:AD22" si="53">AC20*(1+$W20)</f>
        <v>563.84818442846233</v>
      </c>
      <c r="AE20" s="131">
        <f t="shared" ref="AE20:AE22" si="54">AD20*(1+$W20)</f>
        <v>608.95603918273935</v>
      </c>
      <c r="AF20" s="131">
        <f t="shared" ref="AF20:AF22" si="55">AE20*(1+$W20)</f>
        <v>657.67252231735858</v>
      </c>
      <c r="AG20" s="131">
        <f t="shared" ref="AG20:AG22" si="56">AF20*(1+$W20)</f>
        <v>710.28632410274736</v>
      </c>
      <c r="AH20" s="116">
        <f t="shared" ref="AH20:AH22" si="57">((AG20/J20)^(1/($AG$3-$K$1) ))-1</f>
        <v>3.0361903854274841E-2</v>
      </c>
      <c r="AI20" s="21">
        <f t="shared" si="18"/>
        <v>0.05</v>
      </c>
      <c r="AJ20" s="124">
        <f t="shared" si="1"/>
        <v>7458.006403078849</v>
      </c>
    </row>
    <row r="21" spans="2:36">
      <c r="B21" s="10" t="s">
        <v>235</v>
      </c>
      <c r="C21" s="119"/>
      <c r="D21" s="119"/>
      <c r="E21" s="125"/>
      <c r="F21" s="125"/>
      <c r="G21" s="125">
        <v>-305</v>
      </c>
      <c r="H21" s="125">
        <v>-163</v>
      </c>
      <c r="I21" s="125">
        <v>-91</v>
      </c>
      <c r="J21" s="125">
        <v>-400</v>
      </c>
      <c r="K21" s="125">
        <v>-169</v>
      </c>
      <c r="L21" s="125">
        <v>-482</v>
      </c>
      <c r="M21" s="125">
        <v>-1053</v>
      </c>
      <c r="N21" s="125">
        <v>-854</v>
      </c>
      <c r="O21" s="125">
        <v>-547</v>
      </c>
      <c r="P21" s="125">
        <v>-407</v>
      </c>
      <c r="Q21" s="125">
        <v>-202</v>
      </c>
      <c r="R21" s="125">
        <v>-356</v>
      </c>
      <c r="S21" s="125">
        <v>-1077</v>
      </c>
      <c r="T21" s="181">
        <v>-1395</v>
      </c>
      <c r="U21" s="181">
        <v>1395</v>
      </c>
      <c r="V21" s="101" t="e">
        <f t="shared" si="2"/>
        <v>#NUM!</v>
      </c>
      <c r="W21" s="21">
        <f t="shared" si="7"/>
        <v>0.08</v>
      </c>
      <c r="X21" s="131">
        <f t="shared" si="8"/>
        <v>1506.6000000000001</v>
      </c>
      <c r="Y21" s="131">
        <f t="shared" si="48"/>
        <v>1627.1280000000002</v>
      </c>
      <c r="Z21" s="131">
        <f t="shared" si="49"/>
        <v>1757.2982400000003</v>
      </c>
      <c r="AA21" s="131">
        <f t="shared" si="50"/>
        <v>1897.8820992000005</v>
      </c>
      <c r="AB21" s="131">
        <f t="shared" si="51"/>
        <v>2049.7126671360006</v>
      </c>
      <c r="AC21" s="131">
        <f t="shared" si="52"/>
        <v>2213.6896805068809</v>
      </c>
      <c r="AD21" s="131">
        <f t="shared" si="53"/>
        <v>2390.7848549474315</v>
      </c>
      <c r="AE21" s="131">
        <f t="shared" si="54"/>
        <v>2582.0476433432264</v>
      </c>
      <c r="AF21" s="131">
        <f t="shared" si="55"/>
        <v>2788.6114548106848</v>
      </c>
      <c r="AG21" s="131">
        <f t="shared" si="56"/>
        <v>3011.7003711955399</v>
      </c>
      <c r="AH21" s="116">
        <f t="shared" si="57"/>
        <v>-2.0917410548393884</v>
      </c>
      <c r="AI21" s="21">
        <f t="shared" si="18"/>
        <v>0.05</v>
      </c>
      <c r="AJ21" s="124">
        <f t="shared" si="1"/>
        <v>31622.85389755317</v>
      </c>
    </row>
    <row r="22" spans="2:36">
      <c r="B22" s="10" t="s">
        <v>236</v>
      </c>
      <c r="C22" s="119"/>
      <c r="D22" s="119"/>
      <c r="E22" s="125"/>
      <c r="F22" s="125"/>
      <c r="G22" s="125">
        <v>206</v>
      </c>
      <c r="H22" s="125">
        <v>59</v>
      </c>
      <c r="I22" s="125">
        <v>133</v>
      </c>
      <c r="J22" s="125">
        <v>-17</v>
      </c>
      <c r="K22" s="125">
        <v>-165</v>
      </c>
      <c r="L22" s="125">
        <v>180</v>
      </c>
      <c r="M22" s="125">
        <v>327</v>
      </c>
      <c r="N22" s="125">
        <v>587</v>
      </c>
      <c r="O22" s="125">
        <v>-20</v>
      </c>
      <c r="P22" s="125">
        <v>-321</v>
      </c>
      <c r="Q22" s="125">
        <v>-857</v>
      </c>
      <c r="R22" s="125">
        <v>-607</v>
      </c>
      <c r="S22" s="125">
        <v>-640</v>
      </c>
      <c r="T22" s="181">
        <v>900</v>
      </c>
      <c r="U22" s="181">
        <v>900</v>
      </c>
      <c r="V22" s="101">
        <f t="shared" si="2"/>
        <v>0.11106915756390312</v>
      </c>
      <c r="W22" s="21">
        <f t="shared" si="7"/>
        <v>0.08</v>
      </c>
      <c r="X22" s="131">
        <f t="shared" si="8"/>
        <v>972.00000000000011</v>
      </c>
      <c r="Y22" s="131">
        <f t="shared" si="48"/>
        <v>1049.7600000000002</v>
      </c>
      <c r="Z22" s="131">
        <f t="shared" si="49"/>
        <v>1133.7408000000003</v>
      </c>
      <c r="AA22" s="131">
        <f t="shared" si="50"/>
        <v>1224.4400640000003</v>
      </c>
      <c r="AB22" s="131">
        <f t="shared" si="51"/>
        <v>1322.3952691200004</v>
      </c>
      <c r="AC22" s="131">
        <f t="shared" si="52"/>
        <v>1428.1868906496006</v>
      </c>
      <c r="AD22" s="131">
        <f t="shared" si="53"/>
        <v>1542.4418419015688</v>
      </c>
      <c r="AE22" s="131">
        <f t="shared" si="54"/>
        <v>1665.8371892536943</v>
      </c>
      <c r="AF22" s="131">
        <f t="shared" si="55"/>
        <v>1799.10416439399</v>
      </c>
      <c r="AG22" s="131">
        <f t="shared" si="56"/>
        <v>1943.0324975455094</v>
      </c>
      <c r="AH22" s="116">
        <f t="shared" si="57"/>
        <v>-2.2287955075245027</v>
      </c>
      <c r="AI22" s="21">
        <f t="shared" si="18"/>
        <v>0.05</v>
      </c>
      <c r="AJ22" s="124">
        <f t="shared" si="1"/>
        <v>20401.84122422785</v>
      </c>
    </row>
    <row r="23" spans="2:36">
      <c r="B23" s="10" t="s">
        <v>245</v>
      </c>
      <c r="C23" s="119"/>
      <c r="D23" s="119"/>
      <c r="E23" s="125"/>
      <c r="F23" s="125"/>
      <c r="G23" s="125">
        <v>106</v>
      </c>
      <c r="H23" s="125">
        <v>110</v>
      </c>
      <c r="I23" s="125">
        <v>232</v>
      </c>
      <c r="J23" s="125">
        <v>172</v>
      </c>
      <c r="K23" s="125">
        <v>266</v>
      </c>
      <c r="L23" s="125">
        <v>273</v>
      </c>
      <c r="M23" s="125">
        <v>249</v>
      </c>
      <c r="N23" s="125">
        <v>134</v>
      </c>
      <c r="O23" s="125">
        <v>106</v>
      </c>
      <c r="P23" s="125">
        <v>144</v>
      </c>
      <c r="Q23" s="125">
        <v>212</v>
      </c>
      <c r="R23" s="181">
        <v>-12</v>
      </c>
      <c r="S23" s="181">
        <v>66</v>
      </c>
      <c r="T23" s="181">
        <v>-159</v>
      </c>
      <c r="U23" s="181">
        <v>-159</v>
      </c>
      <c r="V23" s="101" t="e">
        <f t="shared" si="2"/>
        <v>#NUM!</v>
      </c>
      <c r="W23" s="21">
        <f t="shared" si="7"/>
        <v>0.08</v>
      </c>
      <c r="X23" s="131">
        <f t="shared" si="8"/>
        <v>-171.72</v>
      </c>
      <c r="Y23" s="131">
        <f t="shared" ref="Y23" si="58">X23*(1+$W23)</f>
        <v>-185.45760000000001</v>
      </c>
      <c r="Z23" s="131">
        <f t="shared" ref="Z23" si="59">Y23*(1+$W23)</f>
        <v>-200.29420800000003</v>
      </c>
      <c r="AA23" s="131">
        <f t="shared" ref="AA23" si="60">Z23*(1+$W23)</f>
        <v>-216.31774464000003</v>
      </c>
      <c r="AB23" s="131">
        <f t="shared" ref="AB23" si="61">AA23*(1+$W23)</f>
        <v>-233.62316421120005</v>
      </c>
      <c r="AC23" s="131">
        <f t="shared" ref="AC23" si="62">AB23*(1+$W23)</f>
        <v>-252.31301734809608</v>
      </c>
      <c r="AD23" s="131">
        <f t="shared" ref="AD23" si="63">AC23*(1+$W23)</f>
        <v>-272.4980587359438</v>
      </c>
      <c r="AE23" s="131">
        <f t="shared" ref="AE23" si="64">AD23*(1+$W23)</f>
        <v>-294.29790343481932</v>
      </c>
      <c r="AF23" s="131">
        <f t="shared" ref="AF23" si="65">AE23*(1+$W23)</f>
        <v>-317.8417357096049</v>
      </c>
      <c r="AG23" s="131">
        <f t="shared" ref="AG23" si="66">AF23*(1+$W23)</f>
        <v>-343.26907456637332</v>
      </c>
      <c r="AH23" s="116">
        <f t="shared" ref="AH23" si="67">((AG23/J23)^(1/($AG$3-$K$1) ))-1</f>
        <v>-2.0305002395131124</v>
      </c>
      <c r="AI23" s="21">
        <f t="shared" si="18"/>
        <v>0.05</v>
      </c>
      <c r="AJ23" s="124">
        <f t="shared" si="1"/>
        <v>-3604.3252829469207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81"/>
      <c r="U24" s="181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v>1960</v>
      </c>
      <c r="H25" s="125">
        <v>2241</v>
      </c>
      <c r="I25" s="125">
        <v>2714</v>
      </c>
      <c r="J25" s="125">
        <v>4304</v>
      </c>
      <c r="K25" s="125">
        <v>4778</v>
      </c>
      <c r="L25" s="125">
        <v>5007</v>
      </c>
      <c r="M25" s="125">
        <v>7996</v>
      </c>
      <c r="N25" s="125">
        <v>9368</v>
      </c>
      <c r="O25" s="125">
        <v>12412</v>
      </c>
      <c r="P25" s="125">
        <v>12978</v>
      </c>
      <c r="Q25" s="125">
        <v>13494</v>
      </c>
      <c r="R25" s="181">
        <v>12669</v>
      </c>
      <c r="S25" s="181">
        <v>12972</v>
      </c>
      <c r="T25" s="181">
        <v>14557</v>
      </c>
      <c r="U25" s="181">
        <v>15359</v>
      </c>
      <c r="V25" s="101">
        <f t="shared" si="2"/>
        <v>0.15841661083873704</v>
      </c>
      <c r="W25" s="21">
        <f t="shared" si="7"/>
        <v>0.08</v>
      </c>
      <c r="X25" s="131">
        <f t="shared" si="8"/>
        <v>16587.72</v>
      </c>
      <c r="Y25" s="131">
        <f t="shared" si="39"/>
        <v>17914.737600000004</v>
      </c>
      <c r="Z25" s="131">
        <f t="shared" si="40"/>
        <v>19347.916608000007</v>
      </c>
      <c r="AA25" s="131">
        <f t="shared" si="41"/>
        <v>20895.749936640008</v>
      </c>
      <c r="AB25" s="131">
        <f t="shared" si="42"/>
        <v>22567.409931571208</v>
      </c>
      <c r="AC25" s="131">
        <f t="shared" si="43"/>
        <v>24372.802726096907</v>
      </c>
      <c r="AD25" s="131">
        <f t="shared" si="44"/>
        <v>26322.62694418466</v>
      </c>
      <c r="AE25" s="131">
        <f t="shared" si="45"/>
        <v>28428.437099719435</v>
      </c>
      <c r="AF25" s="131">
        <f t="shared" si="46"/>
        <v>30702.71206769699</v>
      </c>
      <c r="AG25" s="131">
        <f t="shared" si="47"/>
        <v>33158.929033112749</v>
      </c>
      <c r="AH25" s="116">
        <f t="shared" si="20"/>
        <v>9.2831994979488242E-2</v>
      </c>
      <c r="AI25" s="21">
        <f t="shared" si="18"/>
        <v>0.05</v>
      </c>
      <c r="AJ25" s="124">
        <f t="shared" si="1"/>
        <v>348168.75484768389</v>
      </c>
    </row>
    <row r="26" spans="2:36" s="106" customFormat="1">
      <c r="B26" s="13"/>
      <c r="C26" s="126"/>
      <c r="D26" s="126"/>
      <c r="E26" s="127"/>
      <c r="F26" s="271"/>
      <c r="G26" s="271">
        <f>(G25-F25)/G25</f>
        <v>1</v>
      </c>
      <c r="H26" s="271">
        <f>(H25-G25)/H25</f>
        <v>0.1253904506916555</v>
      </c>
      <c r="I26" s="271">
        <f t="shared" ref="I26:Q26" si="68">(I25-H25)/I25</f>
        <v>0.17428150331613854</v>
      </c>
      <c r="J26" s="271">
        <f t="shared" si="68"/>
        <v>0.36942379182156132</v>
      </c>
      <c r="K26" s="271">
        <f t="shared" si="68"/>
        <v>9.920468815403935E-2</v>
      </c>
      <c r="L26" s="271">
        <f t="shared" si="68"/>
        <v>4.5735969642500499E-2</v>
      </c>
      <c r="M26" s="271">
        <f t="shared" si="68"/>
        <v>0.37381190595297648</v>
      </c>
      <c r="N26" s="271">
        <f t="shared" si="68"/>
        <v>0.14645602049530315</v>
      </c>
      <c r="O26" s="271">
        <f t="shared" si="68"/>
        <v>0.24524653561069931</v>
      </c>
      <c r="P26" s="271">
        <f t="shared" si="68"/>
        <v>4.3612266913237788E-2</v>
      </c>
      <c r="Q26" s="271">
        <f t="shared" si="68"/>
        <v>3.8239217429968872E-2</v>
      </c>
      <c r="R26" s="128">
        <f t="shared" ref="R26:S26" si="69">(R25-Q25)/Q25</f>
        <v>-6.1138283681636284E-2</v>
      </c>
      <c r="S26" s="128">
        <f t="shared" si="69"/>
        <v>2.3916646933459625E-2</v>
      </c>
      <c r="T26" s="128">
        <f t="shared" ref="S26:U26" si="70">(T25-S25)/S25</f>
        <v>0.12218624730188098</v>
      </c>
      <c r="U26" s="128">
        <f t="shared" si="70"/>
        <v>5.5093769320601775E-2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v>1774</v>
      </c>
      <c r="H27" s="125">
        <v>2060</v>
      </c>
      <c r="I27" s="125">
        <v>2469</v>
      </c>
      <c r="J27" s="125">
        <v>3905</v>
      </c>
      <c r="K27" s="125">
        <v>4136</v>
      </c>
      <c r="L27" s="125">
        <v>4539</v>
      </c>
      <c r="M27" s="125">
        <v>6655</v>
      </c>
      <c r="N27" s="125">
        <v>8363</v>
      </c>
      <c r="O27" s="125">
        <v>11242</v>
      </c>
      <c r="P27" s="125">
        <v>11410</v>
      </c>
      <c r="Q27" s="125">
        <v>11567</v>
      </c>
      <c r="R27" s="181">
        <v>10767</v>
      </c>
      <c r="S27" s="181">
        <v>9856</v>
      </c>
      <c r="T27" s="181">
        <v>11566</v>
      </c>
      <c r="U27" s="181">
        <v>13336</v>
      </c>
      <c r="V27" s="101">
        <f t="shared" si="2"/>
        <v>0.15498559937887668</v>
      </c>
      <c r="W27" s="21">
        <f t="shared" si="7"/>
        <v>0.08</v>
      </c>
      <c r="X27" s="131">
        <f t="shared" si="8"/>
        <v>14402.880000000001</v>
      </c>
      <c r="Y27" s="131">
        <f t="shared" si="39"/>
        <v>15555.110400000001</v>
      </c>
      <c r="Z27" s="131">
        <f t="shared" si="40"/>
        <v>16799.519232000002</v>
      </c>
      <c r="AA27" s="131">
        <f t="shared" si="41"/>
        <v>18143.480770560003</v>
      </c>
      <c r="AB27" s="131">
        <f t="shared" si="42"/>
        <v>19594.959232204805</v>
      </c>
      <c r="AC27" s="131">
        <f t="shared" si="43"/>
        <v>21162.555970781192</v>
      </c>
      <c r="AD27" s="131">
        <f t="shared" si="44"/>
        <v>22855.560448443688</v>
      </c>
      <c r="AE27" s="131">
        <f t="shared" si="45"/>
        <v>24684.005284319184</v>
      </c>
      <c r="AF27" s="131">
        <f t="shared" si="46"/>
        <v>26658.725707064721</v>
      </c>
      <c r="AG27" s="131">
        <f t="shared" si="47"/>
        <v>28791.4237636299</v>
      </c>
      <c r="AH27" s="116">
        <f t="shared" si="20"/>
        <v>9.074585108046529E-2</v>
      </c>
      <c r="AI27" s="21">
        <f t="shared" si="18"/>
        <v>0.05</v>
      </c>
      <c r="AJ27" s="124">
        <f t="shared" si="1"/>
        <v>302309.94951811398</v>
      </c>
    </row>
    <row r="28" spans="2:36" s="106" customFormat="1">
      <c r="B28" s="13"/>
      <c r="C28" s="126"/>
      <c r="D28" s="126"/>
      <c r="E28" s="127"/>
      <c r="F28" s="271"/>
      <c r="G28" s="271">
        <f t="shared" ref="G28:Q28" si="71">(G27-F27)/G27</f>
        <v>1</v>
      </c>
      <c r="H28" s="271">
        <f t="shared" si="71"/>
        <v>0.13883495145631067</v>
      </c>
      <c r="I28" s="271">
        <f t="shared" si="71"/>
        <v>0.16565411097610369</v>
      </c>
      <c r="J28" s="271">
        <f t="shared" si="71"/>
        <v>0.36773367477592828</v>
      </c>
      <c r="K28" s="271">
        <f t="shared" si="71"/>
        <v>5.5851063829787231E-2</v>
      </c>
      <c r="L28" s="271">
        <f t="shared" si="71"/>
        <v>8.878607622824411E-2</v>
      </c>
      <c r="M28" s="271">
        <f t="shared" si="71"/>
        <v>0.3179564237415477</v>
      </c>
      <c r="N28" s="271">
        <f t="shared" si="71"/>
        <v>0.20423293076647137</v>
      </c>
      <c r="O28" s="271">
        <f t="shared" si="71"/>
        <v>0.25609322184664651</v>
      </c>
      <c r="P28" s="271">
        <f t="shared" si="71"/>
        <v>1.4723926380368098E-2</v>
      </c>
      <c r="Q28" s="271">
        <f t="shared" si="71"/>
        <v>1.3573095876199533E-2</v>
      </c>
      <c r="R28" s="128">
        <f t="shared" ref="R28:S28" si="72">(R27-Q27)/Q27</f>
        <v>-6.9162271980634557E-2</v>
      </c>
      <c r="S28" s="128">
        <f t="shared" si="72"/>
        <v>-8.4610383579455745E-2</v>
      </c>
      <c r="T28" s="128">
        <f t="shared" ref="S28:U28" si="73">(T27-S27)/S27</f>
        <v>0.17349837662337661</v>
      </c>
      <c r="U28" s="128">
        <f t="shared" si="73"/>
        <v>0.15303475704651565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v>38</v>
      </c>
      <c r="H29" s="125">
        <v>40</v>
      </c>
      <c r="I29" s="125">
        <v>50</v>
      </c>
      <c r="J29" s="125">
        <v>85</v>
      </c>
      <c r="K29" s="125">
        <v>107</v>
      </c>
      <c r="L29" s="125">
        <v>136</v>
      </c>
      <c r="M29" s="125">
        <v>183</v>
      </c>
      <c r="N29" s="125">
        <v>185</v>
      </c>
      <c r="O29" s="125">
        <v>287</v>
      </c>
      <c r="P29" s="125">
        <v>312</v>
      </c>
      <c r="Q29" s="125">
        <v>284</v>
      </c>
      <c r="R29" s="181">
        <v>183</v>
      </c>
      <c r="S29" s="181">
        <v>92</v>
      </c>
      <c r="T29" s="181">
        <v>103</v>
      </c>
      <c r="U29" s="181">
        <v>162</v>
      </c>
      <c r="V29" s="101">
        <f t="shared" si="2"/>
        <v>0.10912581988759773</v>
      </c>
      <c r="W29" s="21">
        <f t="shared" si="7"/>
        <v>0.08</v>
      </c>
      <c r="X29" s="131">
        <f t="shared" si="8"/>
        <v>174.96</v>
      </c>
      <c r="Y29" s="131">
        <f t="shared" ref="Y29" si="74">X29*(1+$W29)</f>
        <v>188.95680000000002</v>
      </c>
      <c r="Z29" s="131">
        <f t="shared" ref="Z29" si="75">Y29*(1+$W29)</f>
        <v>204.07334400000002</v>
      </c>
      <c r="AA29" s="131">
        <f t="shared" ref="AA29" si="76">Z29*(1+$W29)</f>
        <v>220.39921152000002</v>
      </c>
      <c r="AB29" s="131">
        <f t="shared" ref="AB29" si="77">AA29*(1+$W29)</f>
        <v>238.03114844160004</v>
      </c>
      <c r="AC29" s="131">
        <f t="shared" ref="AC29" si="78">AB29*(1+$W29)</f>
        <v>257.07364031692805</v>
      </c>
      <c r="AD29" s="131">
        <f t="shared" ref="AD29" si="79">AC29*(1+$W29)</f>
        <v>277.63953154228233</v>
      </c>
      <c r="AE29" s="131">
        <f t="shared" ref="AE29" si="80">AD29*(1+$W29)</f>
        <v>299.85069406566492</v>
      </c>
      <c r="AF29" s="131">
        <f t="shared" ref="AF29" si="81">AE29*(1+$W29)</f>
        <v>323.83874959091816</v>
      </c>
      <c r="AG29" s="131">
        <f t="shared" ref="AG29" si="82">AF29*(1+$W29)</f>
        <v>349.74584955819165</v>
      </c>
      <c r="AH29" s="116">
        <f t="shared" ref="AH29" si="83">((AG29/J29)^(1/($AG$3-$K$1) ))-1</f>
        <v>6.343306217833633E-2</v>
      </c>
      <c r="AI29" s="21">
        <f t="shared" si="18"/>
        <v>0.05</v>
      </c>
      <c r="AJ29" s="124">
        <f t="shared" ref="AJ29" si="84">(AG29*(1+AI29))/($C$1-AI29)</f>
        <v>3672.3314203610125</v>
      </c>
    </row>
    <row r="30" spans="2:36" s="106" customFormat="1">
      <c r="B30" s="13"/>
      <c r="C30" s="126"/>
      <c r="D30" s="126"/>
      <c r="E30" s="127"/>
      <c r="F30" s="271"/>
      <c r="G30" s="271">
        <f t="shared" ref="G30:Q30" si="85">(G29-F29)/G29</f>
        <v>1</v>
      </c>
      <c r="H30" s="271">
        <f t="shared" si="85"/>
        <v>0.05</v>
      </c>
      <c r="I30" s="271">
        <f t="shared" si="85"/>
        <v>0.2</v>
      </c>
      <c r="J30" s="271">
        <f t="shared" si="85"/>
        <v>0.41176470588235292</v>
      </c>
      <c r="K30" s="271">
        <f t="shared" si="85"/>
        <v>0.20560747663551401</v>
      </c>
      <c r="L30" s="271">
        <f t="shared" si="85"/>
        <v>0.21323529411764705</v>
      </c>
      <c r="M30" s="271">
        <f t="shared" si="85"/>
        <v>0.25683060109289618</v>
      </c>
      <c r="N30" s="271">
        <f t="shared" si="85"/>
        <v>1.0810810810810811E-2</v>
      </c>
      <c r="O30" s="271">
        <f t="shared" si="85"/>
        <v>0.35540069686411152</v>
      </c>
      <c r="P30" s="271">
        <f t="shared" si="85"/>
        <v>8.0128205128205135E-2</v>
      </c>
      <c r="Q30" s="271">
        <f t="shared" si="85"/>
        <v>-9.8591549295774641E-2</v>
      </c>
      <c r="R30" s="128">
        <f t="shared" ref="R30:S30" si="86">(R29-Q29)/Q29</f>
        <v>-0.35563380281690143</v>
      </c>
      <c r="S30" s="128">
        <f t="shared" si="86"/>
        <v>-0.49726775956284153</v>
      </c>
      <c r="T30" s="128">
        <f t="shared" ref="S30:U30" si="87">(T29-S29)/S29</f>
        <v>0.11956521739130435</v>
      </c>
      <c r="U30" s="128">
        <f t="shared" si="87"/>
        <v>0.57281553398058249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8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>
        <v>0</v>
      </c>
      <c r="H31" s="125">
        <v>0</v>
      </c>
      <c r="I31" s="125">
        <v>0</v>
      </c>
      <c r="J31" s="125">
        <v>0</v>
      </c>
      <c r="K31" s="125">
        <v>0</v>
      </c>
      <c r="L31" s="125">
        <v>0</v>
      </c>
      <c r="M31" s="125">
        <v>0</v>
      </c>
      <c r="N31" s="125">
        <v>0</v>
      </c>
      <c r="O31" s="125">
        <v>0</v>
      </c>
      <c r="P31" s="125">
        <v>0</v>
      </c>
      <c r="Q31" s="125">
        <f>P31</f>
        <v>0</v>
      </c>
      <c r="R31" s="181">
        <v>0</v>
      </c>
      <c r="S31" s="181">
        <v>0</v>
      </c>
      <c r="T31" s="181">
        <v>0</v>
      </c>
      <c r="U31" s="181">
        <v>0</v>
      </c>
      <c r="V31" s="101" t="e">
        <f t="shared" si="2"/>
        <v>#DIV/0!</v>
      </c>
      <c r="W31" s="21">
        <f t="shared" si="7"/>
        <v>0.08</v>
      </c>
      <c r="X31" s="131">
        <f t="shared" si="8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>
        <v>0</v>
      </c>
      <c r="H32" s="125">
        <v>0</v>
      </c>
      <c r="I32" s="125">
        <v>0</v>
      </c>
      <c r="J32" s="125">
        <v>0</v>
      </c>
      <c r="K32" s="125">
        <v>0</v>
      </c>
      <c r="L32" s="125">
        <v>0</v>
      </c>
      <c r="M32" s="125">
        <v>0</v>
      </c>
      <c r="N32" s="125">
        <v>0</v>
      </c>
      <c r="O32" s="125">
        <v>0</v>
      </c>
      <c r="P32" s="125">
        <v>0</v>
      </c>
      <c r="Q32" s="125">
        <f>P32</f>
        <v>0</v>
      </c>
      <c r="R32" s="181">
        <v>0</v>
      </c>
      <c r="S32" s="181">
        <v>0</v>
      </c>
      <c r="T32" s="181"/>
      <c r="U32" s="181"/>
      <c r="V32" s="101" t="e">
        <f t="shared" si="2"/>
        <v>#DIV/0!</v>
      </c>
      <c r="W32" s="21">
        <f t="shared" si="7"/>
        <v>0.08</v>
      </c>
      <c r="X32" s="131">
        <f t="shared" si="8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509</v>
      </c>
      <c r="C33" s="119"/>
      <c r="D33" s="119"/>
      <c r="E33" s="125"/>
      <c r="F33" s="125"/>
      <c r="G33" s="125">
        <v>1301</v>
      </c>
      <c r="H33" s="125">
        <v>1553</v>
      </c>
      <c r="I33" s="125">
        <v>1948</v>
      </c>
      <c r="J33" s="125">
        <v>2910</v>
      </c>
      <c r="K33" s="125">
        <v>3029</v>
      </c>
      <c r="L33" s="125">
        <v>3445</v>
      </c>
      <c r="M33" s="125">
        <v>4416</v>
      </c>
      <c r="N33" s="125">
        <v>5860</v>
      </c>
      <c r="O33" s="125">
        <v>8398</v>
      </c>
      <c r="P33" s="125">
        <v>8181</v>
      </c>
      <c r="Q33" s="125">
        <v>7993</v>
      </c>
      <c r="R33" s="181">
        <v>7090</v>
      </c>
      <c r="S33" s="181">
        <v>6071</v>
      </c>
      <c r="T33" s="181">
        <v>7255</v>
      </c>
      <c r="U33" s="181">
        <v>8681</v>
      </c>
      <c r="V33" s="101">
        <f t="shared" si="2"/>
        <v>0.14519128101158252</v>
      </c>
      <c r="W33" s="21">
        <f t="shared" si="7"/>
        <v>0.08</v>
      </c>
      <c r="X33" s="131">
        <f t="shared" si="8"/>
        <v>9375.4800000000014</v>
      </c>
      <c r="Y33" s="131">
        <f t="shared" si="39"/>
        <v>10125.518400000003</v>
      </c>
      <c r="Z33" s="131">
        <f t="shared" si="40"/>
        <v>10935.559872000003</v>
      </c>
      <c r="AA33" s="131">
        <f t="shared" si="41"/>
        <v>11810.404661760005</v>
      </c>
      <c r="AB33" s="131">
        <f t="shared" si="42"/>
        <v>12755.237034700807</v>
      </c>
      <c r="AC33" s="131">
        <f t="shared" si="43"/>
        <v>13775.655997476873</v>
      </c>
      <c r="AD33" s="131">
        <f t="shared" si="44"/>
        <v>14877.708477275024</v>
      </c>
      <c r="AE33" s="131">
        <f t="shared" si="45"/>
        <v>16067.925155457027</v>
      </c>
      <c r="AF33" s="131">
        <f t="shared" si="46"/>
        <v>17353.359167893592</v>
      </c>
      <c r="AG33" s="131">
        <f t="shared" si="47"/>
        <v>18741.627901325079</v>
      </c>
      <c r="AH33" s="116">
        <f t="shared" si="20"/>
        <v>8.43517580413502E-2</v>
      </c>
      <c r="AI33" s="21">
        <f t="shared" si="18"/>
        <v>0.05</v>
      </c>
      <c r="AJ33" s="124">
        <f t="shared" si="1"/>
        <v>196787.09296391337</v>
      </c>
    </row>
    <row r="34" spans="1:36">
      <c r="B34" s="10" t="s">
        <v>510</v>
      </c>
      <c r="C34" s="119"/>
      <c r="D34" s="119"/>
      <c r="E34" s="125"/>
      <c r="F34" s="125"/>
      <c r="G34" s="125">
        <v>133</v>
      </c>
      <c r="H34" s="125">
        <v>143</v>
      </c>
      <c r="I34" s="125">
        <v>164</v>
      </c>
      <c r="J34" s="125">
        <v>407</v>
      </c>
      <c r="K34" s="125">
        <v>440</v>
      </c>
      <c r="L34" s="125">
        <v>415</v>
      </c>
      <c r="M34" s="125">
        <v>1088</v>
      </c>
      <c r="N34" s="125">
        <v>1155</v>
      </c>
      <c r="O34" s="125">
        <v>1335</v>
      </c>
      <c r="P34" s="125">
        <v>1471</v>
      </c>
      <c r="Q34" s="125">
        <v>1614</v>
      </c>
      <c r="R34" s="181">
        <v>1607</v>
      </c>
      <c r="S34" s="181">
        <v>1570</v>
      </c>
      <c r="T34" s="181">
        <v>1926</v>
      </c>
      <c r="U34" s="181">
        <v>2156</v>
      </c>
      <c r="V34" s="101">
        <f t="shared" si="2"/>
        <v>0.22015240332389663</v>
      </c>
      <c r="W34" s="21">
        <f t="shared" si="7"/>
        <v>0.08</v>
      </c>
      <c r="X34" s="131">
        <f t="shared" si="8"/>
        <v>2328.48</v>
      </c>
      <c r="Y34" s="131">
        <f t="shared" si="39"/>
        <v>2514.7584000000002</v>
      </c>
      <c r="Z34" s="131">
        <f t="shared" si="40"/>
        <v>2715.9390720000006</v>
      </c>
      <c r="AA34" s="131">
        <f t="shared" si="41"/>
        <v>2933.2141977600008</v>
      </c>
      <c r="AB34" s="131">
        <f t="shared" si="42"/>
        <v>3167.8713335808011</v>
      </c>
      <c r="AC34" s="131">
        <f t="shared" si="43"/>
        <v>3421.3010402672653</v>
      </c>
      <c r="AD34" s="131">
        <f t="shared" si="44"/>
        <v>3695.0051234886469</v>
      </c>
      <c r="AE34" s="131">
        <f t="shared" si="45"/>
        <v>3990.6055333677386</v>
      </c>
      <c r="AF34" s="131">
        <f t="shared" si="46"/>
        <v>4309.8539760371577</v>
      </c>
      <c r="AG34" s="131">
        <f t="shared" si="47"/>
        <v>4654.6422941201308</v>
      </c>
      <c r="AH34" s="116">
        <f t="shared" si="20"/>
        <v>0.11176421591962571</v>
      </c>
      <c r="AI34" s="21">
        <f t="shared" si="18"/>
        <v>0.05</v>
      </c>
      <c r="AJ34" s="124">
        <f t="shared" si="1"/>
        <v>48873.744088261381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299" t="s">
        <v>423</v>
      </c>
      <c r="B36" s="178" t="s">
        <v>417</v>
      </c>
      <c r="C36" s="119"/>
      <c r="D36" s="119"/>
      <c r="E36" s="125"/>
      <c r="F36" s="181"/>
      <c r="G36" s="181">
        <f t="shared" ref="G36:H36" si="91">H36</f>
        <v>0</v>
      </c>
      <c r="H36" s="181">
        <f t="shared" si="91"/>
        <v>0</v>
      </c>
      <c r="I36" s="181">
        <f>J36</f>
        <v>0</v>
      </c>
      <c r="J36" s="181">
        <v>0</v>
      </c>
      <c r="K36" s="181">
        <v>0</v>
      </c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>
        <v>0</v>
      </c>
      <c r="U36" s="181">
        <v>0</v>
      </c>
      <c r="V36" s="101" t="e">
        <f t="shared" si="2"/>
        <v>#DIV/0!</v>
      </c>
      <c r="W36" s="21">
        <f t="shared" si="7"/>
        <v>0.08</v>
      </c>
      <c r="X36" s="131">
        <f t="shared" si="8"/>
        <v>0</v>
      </c>
      <c r="Y36" s="131">
        <f t="shared" ref="Y36:Y49" si="92">X36*(1+$W36)</f>
        <v>0</v>
      </c>
      <c r="Z36" s="131">
        <f t="shared" ref="Z36:Z49" si="93">Y36*(1+$W36)</f>
        <v>0</v>
      </c>
      <c r="AA36" s="131">
        <f t="shared" ref="AA36:AA49" si="94">Z36*(1+$W36)</f>
        <v>0</v>
      </c>
      <c r="AB36" s="131">
        <f t="shared" ref="AB36:AB49" si="95">AA36*(1+$W36)</f>
        <v>0</v>
      </c>
      <c r="AC36" s="131">
        <f t="shared" ref="AC36:AC49" si="96">AB36*(1+$W36)</f>
        <v>0</v>
      </c>
      <c r="AD36" s="131">
        <f t="shared" ref="AD36:AD49" si="97">AC36*(1+$W36)</f>
        <v>0</v>
      </c>
      <c r="AE36" s="131">
        <f t="shared" ref="AE36:AE49" si="98">AD36*(1+$W36)</f>
        <v>0</v>
      </c>
      <c r="AF36" s="131">
        <f t="shared" ref="AF36:AF49" si="99">AE36*(1+$W36)</f>
        <v>0</v>
      </c>
      <c r="AG36" s="131">
        <f t="shared" ref="AG36:AG49" si="100">AF36*(1+$W36)</f>
        <v>0</v>
      </c>
      <c r="AH36" s="116" t="e">
        <f t="shared" ref="AH36:AH49" si="101">((AG36/J36)^(1/($AG$3-$K$1) ))-1</f>
        <v>#DIV/0!</v>
      </c>
      <c r="AI36" s="21">
        <f t="shared" si="18"/>
        <v>0.05</v>
      </c>
      <c r="AJ36" s="124">
        <f t="shared" ref="AJ36:AJ49" si="102">(AG36*(1+AI36))/($C$1-AI36)</f>
        <v>0</v>
      </c>
    </row>
    <row r="37" spans="1:36">
      <c r="A37" s="299"/>
      <c r="B37" s="178"/>
      <c r="C37" s="119"/>
      <c r="D37" s="119"/>
      <c r="E37" s="125"/>
      <c r="F37" s="128"/>
      <c r="G37" s="128" t="e">
        <f t="shared" ref="G37:S37" si="103">(G36-F36)/F36</f>
        <v>#DIV/0!</v>
      </c>
      <c r="H37" s="128" t="e">
        <f t="shared" si="103"/>
        <v>#DIV/0!</v>
      </c>
      <c r="I37" s="128" t="e">
        <f t="shared" si="103"/>
        <v>#DIV/0!</v>
      </c>
      <c r="J37" s="128" t="e">
        <f t="shared" si="103"/>
        <v>#DIV/0!</v>
      </c>
      <c r="K37" s="128" t="e">
        <f t="shared" si="103"/>
        <v>#DIV/0!</v>
      </c>
      <c r="L37" s="128" t="e">
        <f t="shared" si="103"/>
        <v>#DIV/0!</v>
      </c>
      <c r="M37" s="128" t="e">
        <f t="shared" si="103"/>
        <v>#DIV/0!</v>
      </c>
      <c r="N37" s="128" t="e">
        <f t="shared" si="103"/>
        <v>#DIV/0!</v>
      </c>
      <c r="O37" s="128" t="e">
        <f t="shared" si="103"/>
        <v>#DIV/0!</v>
      </c>
      <c r="P37" s="128" t="e">
        <f t="shared" si="103"/>
        <v>#DIV/0!</v>
      </c>
      <c r="Q37" s="128" t="e">
        <f t="shared" si="103"/>
        <v>#DIV/0!</v>
      </c>
      <c r="R37" s="128" t="e">
        <f t="shared" si="103"/>
        <v>#DIV/0!</v>
      </c>
      <c r="S37" s="128" t="e">
        <f t="shared" si="103"/>
        <v>#DIV/0!</v>
      </c>
      <c r="T37" s="128" t="e">
        <f t="shared" ref="T37:U37" si="104">(T36-S36)/S36</f>
        <v>#DIV/0!</v>
      </c>
      <c r="U37" s="128" t="e">
        <f t="shared" si="104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299"/>
      <c r="B38" s="178" t="s">
        <v>418</v>
      </c>
      <c r="C38" s="119"/>
      <c r="D38" s="119"/>
      <c r="E38" s="125"/>
      <c r="F38" s="181"/>
      <c r="G38" s="181">
        <f t="shared" ref="G38:H38" si="105">H38</f>
        <v>0</v>
      </c>
      <c r="H38" s="181">
        <f t="shared" si="105"/>
        <v>0</v>
      </c>
      <c r="I38" s="181">
        <f>J38</f>
        <v>0</v>
      </c>
      <c r="J38" s="181">
        <v>0</v>
      </c>
      <c r="K38" s="181">
        <v>0</v>
      </c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>
        <v>0</v>
      </c>
      <c r="U38" s="181">
        <v>1</v>
      </c>
      <c r="V38" s="101" t="e">
        <f t="shared" si="2"/>
        <v>#DIV/0!</v>
      </c>
      <c r="W38" s="21">
        <f t="shared" si="7"/>
        <v>0.08</v>
      </c>
      <c r="X38" s="131">
        <f t="shared" si="8"/>
        <v>1.08</v>
      </c>
      <c r="Y38" s="131">
        <f t="shared" si="92"/>
        <v>1.1664000000000001</v>
      </c>
      <c r="Z38" s="131">
        <f t="shared" si="93"/>
        <v>1.2597120000000002</v>
      </c>
      <c r="AA38" s="131">
        <f t="shared" si="94"/>
        <v>1.3604889600000003</v>
      </c>
      <c r="AB38" s="131">
        <f t="shared" si="95"/>
        <v>1.4693280768000003</v>
      </c>
      <c r="AC38" s="131">
        <f t="shared" si="96"/>
        <v>1.5868743229440005</v>
      </c>
      <c r="AD38" s="131">
        <f t="shared" si="97"/>
        <v>1.7138242687795207</v>
      </c>
      <c r="AE38" s="131">
        <f t="shared" si="98"/>
        <v>1.8509302102818825</v>
      </c>
      <c r="AF38" s="131">
        <f t="shared" si="99"/>
        <v>1.9990046271044333</v>
      </c>
      <c r="AG38" s="131">
        <f t="shared" si="100"/>
        <v>2.1589249972727882</v>
      </c>
      <c r="AH38" s="116" t="e">
        <f t="shared" si="101"/>
        <v>#DIV/0!</v>
      </c>
      <c r="AI38" s="21">
        <f t="shared" si="18"/>
        <v>0.05</v>
      </c>
      <c r="AJ38" s="124">
        <f t="shared" si="102"/>
        <v>22.66871247136428</v>
      </c>
    </row>
    <row r="39" spans="1:36">
      <c r="A39" s="299"/>
      <c r="B39" s="178"/>
      <c r="C39" s="119"/>
      <c r="D39" s="119"/>
      <c r="E39" s="125"/>
      <c r="F39" s="128"/>
      <c r="G39" s="128" t="e">
        <f t="shared" ref="G39:S39" si="106">(G38-F38)/F38</f>
        <v>#DIV/0!</v>
      </c>
      <c r="H39" s="128" t="e">
        <f t="shared" si="106"/>
        <v>#DIV/0!</v>
      </c>
      <c r="I39" s="128" t="e">
        <f t="shared" si="106"/>
        <v>#DIV/0!</v>
      </c>
      <c r="J39" s="128" t="e">
        <f t="shared" si="106"/>
        <v>#DIV/0!</v>
      </c>
      <c r="K39" s="128" t="e">
        <f t="shared" si="106"/>
        <v>#DIV/0!</v>
      </c>
      <c r="L39" s="128" t="e">
        <f t="shared" si="106"/>
        <v>#DIV/0!</v>
      </c>
      <c r="M39" s="128" t="e">
        <f t="shared" si="106"/>
        <v>#DIV/0!</v>
      </c>
      <c r="N39" s="128" t="e">
        <f t="shared" si="106"/>
        <v>#DIV/0!</v>
      </c>
      <c r="O39" s="128" t="e">
        <f t="shared" si="106"/>
        <v>#DIV/0!</v>
      </c>
      <c r="P39" s="128" t="e">
        <f t="shared" si="106"/>
        <v>#DIV/0!</v>
      </c>
      <c r="Q39" s="128" t="e">
        <f t="shared" si="106"/>
        <v>#DIV/0!</v>
      </c>
      <c r="R39" s="128" t="e">
        <f t="shared" si="106"/>
        <v>#DIV/0!</v>
      </c>
      <c r="S39" s="128" t="e">
        <f t="shared" si="106"/>
        <v>#DIV/0!</v>
      </c>
      <c r="T39" s="128" t="e">
        <f t="shared" ref="T39:U39" si="107">(T38-S38)/S38</f>
        <v>#DIV/0!</v>
      </c>
      <c r="U39" s="128" t="e">
        <f t="shared" si="107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299"/>
      <c r="B40" s="178" t="s">
        <v>422</v>
      </c>
      <c r="C40" s="119"/>
      <c r="D40" s="119"/>
      <c r="E40" s="125"/>
      <c r="F40" s="181"/>
      <c r="G40" s="181">
        <f t="shared" ref="G40:H43" si="108">H40</f>
        <v>0</v>
      </c>
      <c r="H40" s="181">
        <f t="shared" si="108"/>
        <v>0</v>
      </c>
      <c r="I40" s="181">
        <f>J40</f>
        <v>0</v>
      </c>
      <c r="J40" s="181">
        <v>0</v>
      </c>
      <c r="K40" s="181">
        <v>0</v>
      </c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>
        <v>0</v>
      </c>
      <c r="U40" s="181">
        <v>0</v>
      </c>
      <c r="V40" s="101" t="e">
        <f t="shared" si="2"/>
        <v>#DIV/0!</v>
      </c>
      <c r="W40" s="21">
        <f t="shared" si="7"/>
        <v>0.08</v>
      </c>
      <c r="X40" s="131">
        <f t="shared" si="8"/>
        <v>0</v>
      </c>
      <c r="Y40" s="131">
        <f t="shared" si="92"/>
        <v>0</v>
      </c>
      <c r="Z40" s="131">
        <f t="shared" si="93"/>
        <v>0</v>
      </c>
      <c r="AA40" s="131">
        <f t="shared" si="94"/>
        <v>0</v>
      </c>
      <c r="AB40" s="131">
        <f t="shared" si="95"/>
        <v>0</v>
      </c>
      <c r="AC40" s="131">
        <f t="shared" si="96"/>
        <v>0</v>
      </c>
      <c r="AD40" s="131">
        <f t="shared" si="97"/>
        <v>0</v>
      </c>
      <c r="AE40" s="131">
        <f t="shared" si="98"/>
        <v>0</v>
      </c>
      <c r="AF40" s="131">
        <f t="shared" si="99"/>
        <v>0</v>
      </c>
      <c r="AG40" s="131">
        <f t="shared" si="100"/>
        <v>0</v>
      </c>
      <c r="AH40" s="116" t="e">
        <f t="shared" si="101"/>
        <v>#DIV/0!</v>
      </c>
      <c r="AI40" s="21">
        <f t="shared" si="18"/>
        <v>0.05</v>
      </c>
      <c r="AJ40" s="124">
        <f t="shared" si="102"/>
        <v>0</v>
      </c>
    </row>
    <row r="41" spans="1:36">
      <c r="A41" s="299"/>
      <c r="B41" s="178" t="s">
        <v>419</v>
      </c>
      <c r="C41" s="119"/>
      <c r="D41" s="119"/>
      <c r="E41" s="125"/>
      <c r="F41" s="181"/>
      <c r="G41" s="181">
        <f t="shared" si="108"/>
        <v>0</v>
      </c>
      <c r="H41" s="181">
        <f t="shared" si="108"/>
        <v>0</v>
      </c>
      <c r="I41" s="181">
        <f>J41</f>
        <v>0</v>
      </c>
      <c r="J41" s="181">
        <v>0</v>
      </c>
      <c r="K41" s="181">
        <v>0</v>
      </c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>
        <v>0</v>
      </c>
      <c r="U41" s="181">
        <v>0</v>
      </c>
      <c r="V41" s="101" t="e">
        <f t="shared" si="2"/>
        <v>#DIV/0!</v>
      </c>
      <c r="W41" s="21">
        <f t="shared" si="7"/>
        <v>0.08</v>
      </c>
      <c r="X41" s="131">
        <f t="shared" si="8"/>
        <v>0</v>
      </c>
      <c r="Y41" s="131">
        <f t="shared" si="92"/>
        <v>0</v>
      </c>
      <c r="Z41" s="131">
        <f t="shared" si="93"/>
        <v>0</v>
      </c>
      <c r="AA41" s="131">
        <f t="shared" si="94"/>
        <v>0</v>
      </c>
      <c r="AB41" s="131">
        <f t="shared" si="95"/>
        <v>0</v>
      </c>
      <c r="AC41" s="131">
        <f t="shared" si="96"/>
        <v>0</v>
      </c>
      <c r="AD41" s="131">
        <f t="shared" si="97"/>
        <v>0</v>
      </c>
      <c r="AE41" s="131">
        <f t="shared" si="98"/>
        <v>0</v>
      </c>
      <c r="AF41" s="131">
        <f t="shared" si="99"/>
        <v>0</v>
      </c>
      <c r="AG41" s="131">
        <f t="shared" si="100"/>
        <v>0</v>
      </c>
      <c r="AH41" s="116" t="e">
        <f t="shared" si="101"/>
        <v>#DIV/0!</v>
      </c>
      <c r="AI41" s="21">
        <f t="shared" si="18"/>
        <v>0.05</v>
      </c>
      <c r="AJ41" s="124">
        <f t="shared" si="102"/>
        <v>0</v>
      </c>
    </row>
    <row r="42" spans="1:36">
      <c r="A42" s="299"/>
      <c r="B42" s="178" t="s">
        <v>421</v>
      </c>
      <c r="C42" s="119"/>
      <c r="D42" s="119"/>
      <c r="E42" s="125"/>
      <c r="F42" s="181"/>
      <c r="G42" s="181">
        <f t="shared" si="108"/>
        <v>0</v>
      </c>
      <c r="H42" s="181">
        <f t="shared" si="108"/>
        <v>0</v>
      </c>
      <c r="I42" s="181">
        <f>J42</f>
        <v>0</v>
      </c>
      <c r="J42" s="181">
        <v>0</v>
      </c>
      <c r="K42" s="181">
        <v>0</v>
      </c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>
        <v>0</v>
      </c>
      <c r="U42" s="181">
        <v>0</v>
      </c>
      <c r="V42" s="101" t="e">
        <f t="shared" si="2"/>
        <v>#DIV/0!</v>
      </c>
      <c r="W42" s="21">
        <f t="shared" si="7"/>
        <v>0.08</v>
      </c>
      <c r="X42" s="131">
        <f t="shared" si="8"/>
        <v>0</v>
      </c>
      <c r="Y42" s="131">
        <f t="shared" si="92"/>
        <v>0</v>
      </c>
      <c r="Z42" s="131">
        <f t="shared" si="93"/>
        <v>0</v>
      </c>
      <c r="AA42" s="131">
        <f t="shared" si="94"/>
        <v>0</v>
      </c>
      <c r="AB42" s="131">
        <f t="shared" si="95"/>
        <v>0</v>
      </c>
      <c r="AC42" s="131">
        <f t="shared" si="96"/>
        <v>0</v>
      </c>
      <c r="AD42" s="131">
        <f t="shared" si="97"/>
        <v>0</v>
      </c>
      <c r="AE42" s="131">
        <f t="shared" si="98"/>
        <v>0</v>
      </c>
      <c r="AF42" s="131">
        <f t="shared" si="99"/>
        <v>0</v>
      </c>
      <c r="AG42" s="131">
        <f t="shared" si="100"/>
        <v>0</v>
      </c>
      <c r="AH42" s="116" t="e">
        <f t="shared" si="101"/>
        <v>#DIV/0!</v>
      </c>
      <c r="AI42" s="21">
        <f t="shared" si="18"/>
        <v>0.05</v>
      </c>
      <c r="AJ42" s="124">
        <f t="shared" si="102"/>
        <v>0</v>
      </c>
    </row>
    <row r="43" spans="1:36">
      <c r="A43" s="299"/>
      <c r="B43" s="178" t="s">
        <v>420</v>
      </c>
      <c r="C43" s="119"/>
      <c r="D43" s="119"/>
      <c r="E43" s="125"/>
      <c r="F43" s="181"/>
      <c r="G43" s="181">
        <f t="shared" si="108"/>
        <v>0</v>
      </c>
      <c r="H43" s="181">
        <f t="shared" si="108"/>
        <v>0</v>
      </c>
      <c r="I43" s="181">
        <f>J43</f>
        <v>0</v>
      </c>
      <c r="J43" s="181">
        <v>0</v>
      </c>
      <c r="K43" s="181">
        <v>0</v>
      </c>
      <c r="L43" s="181">
        <v>0</v>
      </c>
      <c r="M43" s="181">
        <v>0</v>
      </c>
      <c r="N43" s="181">
        <v>0</v>
      </c>
      <c r="O43" s="181">
        <v>0</v>
      </c>
      <c r="P43" s="181">
        <v>0</v>
      </c>
      <c r="Q43" s="181">
        <v>0</v>
      </c>
      <c r="R43" s="181">
        <v>0</v>
      </c>
      <c r="S43" s="181">
        <v>0</v>
      </c>
      <c r="T43" s="181">
        <v>0</v>
      </c>
      <c r="U43" s="181">
        <v>0</v>
      </c>
      <c r="V43" s="101" t="e">
        <f t="shared" si="2"/>
        <v>#DIV/0!</v>
      </c>
      <c r="W43" s="21">
        <f t="shared" si="7"/>
        <v>0.08</v>
      </c>
      <c r="X43" s="131">
        <f t="shared" si="8"/>
        <v>0</v>
      </c>
      <c r="Y43" s="131">
        <f t="shared" si="92"/>
        <v>0</v>
      </c>
      <c r="Z43" s="131">
        <f t="shared" si="93"/>
        <v>0</v>
      </c>
      <c r="AA43" s="131">
        <f t="shared" si="94"/>
        <v>0</v>
      </c>
      <c r="AB43" s="131">
        <f t="shared" si="95"/>
        <v>0</v>
      </c>
      <c r="AC43" s="131">
        <f t="shared" si="96"/>
        <v>0</v>
      </c>
      <c r="AD43" s="131">
        <f t="shared" si="97"/>
        <v>0</v>
      </c>
      <c r="AE43" s="131">
        <f t="shared" si="98"/>
        <v>0</v>
      </c>
      <c r="AF43" s="131">
        <f t="shared" si="99"/>
        <v>0</v>
      </c>
      <c r="AG43" s="131">
        <f t="shared" si="100"/>
        <v>0</v>
      </c>
      <c r="AH43" s="116" t="e">
        <f t="shared" si="101"/>
        <v>#DIV/0!</v>
      </c>
      <c r="AI43" s="21">
        <f t="shared" si="18"/>
        <v>0.05</v>
      </c>
      <c r="AJ43" s="124">
        <f t="shared" si="102"/>
        <v>0</v>
      </c>
    </row>
    <row r="44" spans="1:36">
      <c r="A44" s="299"/>
      <c r="B44" s="178"/>
      <c r="C44" s="119"/>
      <c r="D44" s="119"/>
      <c r="E44" s="125"/>
      <c r="F44" s="128"/>
      <c r="G44" s="128" t="e">
        <f t="shared" ref="G44:S44" si="109">(G43-F43)/F43</f>
        <v>#DIV/0!</v>
      </c>
      <c r="H44" s="128" t="e">
        <f t="shared" si="109"/>
        <v>#DIV/0!</v>
      </c>
      <c r="I44" s="128" t="e">
        <f t="shared" si="109"/>
        <v>#DIV/0!</v>
      </c>
      <c r="J44" s="128" t="e">
        <f t="shared" si="109"/>
        <v>#DIV/0!</v>
      </c>
      <c r="K44" s="128" t="e">
        <f t="shared" si="109"/>
        <v>#DIV/0!</v>
      </c>
      <c r="L44" s="128" t="e">
        <f t="shared" si="109"/>
        <v>#DIV/0!</v>
      </c>
      <c r="M44" s="128" t="e">
        <f t="shared" si="109"/>
        <v>#DIV/0!</v>
      </c>
      <c r="N44" s="128" t="e">
        <f t="shared" si="109"/>
        <v>#DIV/0!</v>
      </c>
      <c r="O44" s="128" t="e">
        <f t="shared" si="109"/>
        <v>#DIV/0!</v>
      </c>
      <c r="P44" s="128" t="e">
        <f t="shared" si="109"/>
        <v>#DIV/0!</v>
      </c>
      <c r="Q44" s="128" t="e">
        <f t="shared" si="109"/>
        <v>#DIV/0!</v>
      </c>
      <c r="R44" s="128" t="e">
        <f t="shared" si="109"/>
        <v>#DIV/0!</v>
      </c>
      <c r="S44" s="128" t="e">
        <f t="shared" si="109"/>
        <v>#DIV/0!</v>
      </c>
      <c r="T44" s="128" t="e">
        <f t="shared" ref="T44:U44" si="110">(T43-S43)/S43</f>
        <v>#DIV/0!</v>
      </c>
      <c r="U44" s="128" t="e">
        <f t="shared" si="110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299"/>
      <c r="B45" s="178" t="s">
        <v>191</v>
      </c>
      <c r="C45" s="119"/>
      <c r="D45" s="119"/>
      <c r="E45" s="125"/>
      <c r="F45" s="181"/>
      <c r="G45" s="181">
        <f t="shared" ref="G45:H45" si="111">H45</f>
        <v>0</v>
      </c>
      <c r="H45" s="181">
        <f t="shared" si="111"/>
        <v>0</v>
      </c>
      <c r="I45" s="181">
        <f>J45</f>
        <v>0</v>
      </c>
      <c r="J45" s="181">
        <v>0</v>
      </c>
      <c r="K45" s="181">
        <v>0</v>
      </c>
      <c r="L45" s="181">
        <v>0</v>
      </c>
      <c r="M45" s="181">
        <v>0</v>
      </c>
      <c r="N45" s="181">
        <v>0</v>
      </c>
      <c r="O45" s="181">
        <v>0</v>
      </c>
      <c r="P45" s="181">
        <v>0</v>
      </c>
      <c r="Q45" s="181">
        <v>0</v>
      </c>
      <c r="R45" s="181">
        <v>0</v>
      </c>
      <c r="S45" s="181">
        <v>0</v>
      </c>
      <c r="T45" s="181">
        <v>0</v>
      </c>
      <c r="U45" s="181">
        <v>1</v>
      </c>
      <c r="V45" s="101" t="e">
        <f t="shared" si="2"/>
        <v>#DIV/0!</v>
      </c>
      <c r="W45" s="21">
        <f t="shared" si="7"/>
        <v>0.08</v>
      </c>
      <c r="X45" s="131">
        <f t="shared" si="8"/>
        <v>1.08</v>
      </c>
      <c r="Y45" s="131">
        <f t="shared" si="92"/>
        <v>1.1664000000000001</v>
      </c>
      <c r="Z45" s="131">
        <f t="shared" si="93"/>
        <v>1.2597120000000002</v>
      </c>
      <c r="AA45" s="131">
        <f t="shared" si="94"/>
        <v>1.3604889600000003</v>
      </c>
      <c r="AB45" s="131">
        <f t="shared" si="95"/>
        <v>1.4693280768000003</v>
      </c>
      <c r="AC45" s="131">
        <f t="shared" si="96"/>
        <v>1.5868743229440005</v>
      </c>
      <c r="AD45" s="131">
        <f t="shared" si="97"/>
        <v>1.7138242687795207</v>
      </c>
      <c r="AE45" s="131">
        <f t="shared" si="98"/>
        <v>1.8509302102818825</v>
      </c>
      <c r="AF45" s="131">
        <f t="shared" si="99"/>
        <v>1.9990046271044333</v>
      </c>
      <c r="AG45" s="131">
        <f t="shared" si="100"/>
        <v>2.1589249972727882</v>
      </c>
      <c r="AH45" s="116" t="e">
        <f t="shared" si="101"/>
        <v>#DIV/0!</v>
      </c>
      <c r="AI45" s="21">
        <f t="shared" si="18"/>
        <v>0.05</v>
      </c>
      <c r="AJ45" s="124">
        <f t="shared" si="102"/>
        <v>22.66871247136428</v>
      </c>
    </row>
    <row r="46" spans="1:36">
      <c r="A46" s="179"/>
      <c r="B46" s="178"/>
      <c r="C46" s="119"/>
      <c r="D46" s="119"/>
      <c r="E46" s="125"/>
      <c r="F46" s="128"/>
      <c r="G46" s="128" t="e">
        <f t="shared" ref="G46:S46" si="112">(G45-F45)/F45</f>
        <v>#DIV/0!</v>
      </c>
      <c r="H46" s="128" t="e">
        <f t="shared" si="112"/>
        <v>#DIV/0!</v>
      </c>
      <c r="I46" s="128" t="e">
        <f t="shared" si="112"/>
        <v>#DIV/0!</v>
      </c>
      <c r="J46" s="128" t="e">
        <f t="shared" si="112"/>
        <v>#DIV/0!</v>
      </c>
      <c r="K46" s="128" t="e">
        <f t="shared" si="112"/>
        <v>#DIV/0!</v>
      </c>
      <c r="L46" s="128" t="e">
        <f t="shared" si="112"/>
        <v>#DIV/0!</v>
      </c>
      <c r="M46" s="128" t="e">
        <f t="shared" si="112"/>
        <v>#DIV/0!</v>
      </c>
      <c r="N46" s="128" t="e">
        <f t="shared" si="112"/>
        <v>#DIV/0!</v>
      </c>
      <c r="O46" s="128" t="e">
        <f t="shared" si="112"/>
        <v>#DIV/0!</v>
      </c>
      <c r="P46" s="128" t="e">
        <f t="shared" si="112"/>
        <v>#DIV/0!</v>
      </c>
      <c r="Q46" s="128" t="e">
        <f t="shared" si="112"/>
        <v>#DIV/0!</v>
      </c>
      <c r="R46" s="128" t="e">
        <f t="shared" si="112"/>
        <v>#DIV/0!</v>
      </c>
      <c r="S46" s="128" t="e">
        <f t="shared" si="112"/>
        <v>#DIV/0!</v>
      </c>
      <c r="T46" s="128" t="e">
        <f t="shared" ref="T46:U46" si="113">(T45-S45)/S45</f>
        <v>#DIV/0!</v>
      </c>
      <c r="U46" s="128" t="e">
        <f t="shared" si="113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79"/>
      <c r="B47" s="178" t="s">
        <v>433</v>
      </c>
      <c r="C47" s="119"/>
      <c r="D47" s="119"/>
      <c r="E47" s="125"/>
      <c r="F47" s="181"/>
      <c r="G47" s="181">
        <f t="shared" ref="G47:H47" si="114">H47</f>
        <v>0</v>
      </c>
      <c r="H47" s="181">
        <f t="shared" si="114"/>
        <v>0</v>
      </c>
      <c r="I47" s="181">
        <f>J47</f>
        <v>0</v>
      </c>
      <c r="J47" s="181">
        <v>0</v>
      </c>
      <c r="K47" s="181">
        <v>0</v>
      </c>
      <c r="L47" s="181">
        <v>0</v>
      </c>
      <c r="M47" s="181">
        <v>0</v>
      </c>
      <c r="N47" s="181">
        <v>0</v>
      </c>
      <c r="O47" s="181">
        <v>0</v>
      </c>
      <c r="P47" s="181">
        <v>0</v>
      </c>
      <c r="Q47" s="181">
        <v>0</v>
      </c>
      <c r="R47" s="181">
        <v>0</v>
      </c>
      <c r="S47" s="181">
        <v>0</v>
      </c>
      <c r="T47" s="181">
        <v>0</v>
      </c>
      <c r="U47" s="181">
        <v>1</v>
      </c>
      <c r="V47" s="101" t="e">
        <f t="shared" si="2"/>
        <v>#DIV/0!</v>
      </c>
      <c r="W47" s="21">
        <f t="shared" si="7"/>
        <v>0.08</v>
      </c>
      <c r="X47" s="131">
        <f t="shared" si="8"/>
        <v>1.08</v>
      </c>
      <c r="Y47" s="131">
        <f t="shared" ref="Y47" si="115">X47*(1+$W47)</f>
        <v>1.1664000000000001</v>
      </c>
      <c r="Z47" s="131">
        <f t="shared" ref="Z47" si="116">Y47*(1+$W47)</f>
        <v>1.2597120000000002</v>
      </c>
      <c r="AA47" s="131">
        <f t="shared" ref="AA47" si="117">Z47*(1+$W47)</f>
        <v>1.3604889600000003</v>
      </c>
      <c r="AB47" s="131">
        <f t="shared" ref="AB47" si="118">AA47*(1+$W47)</f>
        <v>1.4693280768000003</v>
      </c>
      <c r="AC47" s="131">
        <f t="shared" ref="AC47" si="119">AB47*(1+$W47)</f>
        <v>1.5868743229440005</v>
      </c>
      <c r="AD47" s="131">
        <f t="shared" ref="AD47" si="120">AC47*(1+$W47)</f>
        <v>1.7138242687795207</v>
      </c>
      <c r="AE47" s="131">
        <f t="shared" ref="AE47" si="121">AD47*(1+$W47)</f>
        <v>1.8509302102818825</v>
      </c>
      <c r="AF47" s="131">
        <f t="shared" ref="AF47" si="122">AE47*(1+$W47)</f>
        <v>1.9990046271044333</v>
      </c>
      <c r="AG47" s="131">
        <f t="shared" ref="AG47" si="123">AF47*(1+$W47)</f>
        <v>2.1589249972727882</v>
      </c>
      <c r="AH47" s="116" t="e">
        <f t="shared" ref="AH47" si="124">((AG47/J47)^(1/($AG$3-$K$1) ))-1</f>
        <v>#DIV/0!</v>
      </c>
      <c r="AI47" s="21">
        <f t="shared" si="18"/>
        <v>0.05</v>
      </c>
      <c r="AJ47" s="124">
        <f t="shared" si="102"/>
        <v>22.66871247136428</v>
      </c>
    </row>
    <row r="48" spans="1:36">
      <c r="A48" s="179"/>
      <c r="B48" s="178"/>
      <c r="C48" s="119"/>
      <c r="D48" s="119"/>
      <c r="E48" s="125"/>
      <c r="F48" s="128"/>
      <c r="G48" s="128" t="e">
        <f t="shared" ref="G48:S48" si="125">(G47-F47)/F47</f>
        <v>#DIV/0!</v>
      </c>
      <c r="H48" s="128" t="e">
        <f t="shared" si="125"/>
        <v>#DIV/0!</v>
      </c>
      <c r="I48" s="128" t="e">
        <f t="shared" si="125"/>
        <v>#DIV/0!</v>
      </c>
      <c r="J48" s="128" t="e">
        <f t="shared" si="125"/>
        <v>#DIV/0!</v>
      </c>
      <c r="K48" s="128" t="e">
        <f t="shared" si="125"/>
        <v>#DIV/0!</v>
      </c>
      <c r="L48" s="128" t="e">
        <f t="shared" si="125"/>
        <v>#DIV/0!</v>
      </c>
      <c r="M48" s="128" t="e">
        <f t="shared" si="125"/>
        <v>#DIV/0!</v>
      </c>
      <c r="N48" s="128" t="e">
        <f t="shared" si="125"/>
        <v>#DIV/0!</v>
      </c>
      <c r="O48" s="128" t="e">
        <f t="shared" si="125"/>
        <v>#DIV/0!</v>
      </c>
      <c r="P48" s="128" t="e">
        <f t="shared" si="125"/>
        <v>#DIV/0!</v>
      </c>
      <c r="Q48" s="128" t="e">
        <f t="shared" si="125"/>
        <v>#DIV/0!</v>
      </c>
      <c r="R48" s="128" t="e">
        <f t="shared" si="125"/>
        <v>#DIV/0!</v>
      </c>
      <c r="S48" s="128" t="e">
        <f t="shared" si="125"/>
        <v>#DIV/0!</v>
      </c>
      <c r="T48" s="128" t="e">
        <f t="shared" ref="T48:U48" si="126">(T47-S47)/S47</f>
        <v>#DIV/0!</v>
      </c>
      <c r="U48" s="128" t="e">
        <f t="shared" si="126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79"/>
      <c r="B49" s="178" t="s">
        <v>424</v>
      </c>
      <c r="C49" s="119"/>
      <c r="D49" s="119"/>
      <c r="E49" s="125"/>
      <c r="F49" s="181"/>
      <c r="G49" s="181">
        <f t="shared" ref="G49:H49" si="127">H49</f>
        <v>0</v>
      </c>
      <c r="H49" s="181">
        <f t="shared" si="127"/>
        <v>0</v>
      </c>
      <c r="I49" s="181">
        <f>J49</f>
        <v>0</v>
      </c>
      <c r="J49" s="181"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81">
        <v>1</v>
      </c>
      <c r="V49" s="101" t="e">
        <f t="shared" si="2"/>
        <v>#DIV/0!</v>
      </c>
      <c r="W49" s="21">
        <f t="shared" si="7"/>
        <v>0.08</v>
      </c>
      <c r="X49" s="131">
        <f t="shared" si="8"/>
        <v>1.08</v>
      </c>
      <c r="Y49" s="131">
        <f t="shared" si="92"/>
        <v>1.1664000000000001</v>
      </c>
      <c r="Z49" s="131">
        <f t="shared" si="93"/>
        <v>1.2597120000000002</v>
      </c>
      <c r="AA49" s="131">
        <f t="shared" si="94"/>
        <v>1.3604889600000003</v>
      </c>
      <c r="AB49" s="131">
        <f t="shared" si="95"/>
        <v>1.4693280768000003</v>
      </c>
      <c r="AC49" s="131">
        <f t="shared" si="96"/>
        <v>1.5868743229440005</v>
      </c>
      <c r="AD49" s="131">
        <f t="shared" si="97"/>
        <v>1.7138242687795207</v>
      </c>
      <c r="AE49" s="131">
        <f t="shared" si="98"/>
        <v>1.8509302102818825</v>
      </c>
      <c r="AF49" s="131">
        <f t="shared" si="99"/>
        <v>1.9990046271044333</v>
      </c>
      <c r="AG49" s="131">
        <f t="shared" si="100"/>
        <v>2.1589249972727882</v>
      </c>
      <c r="AH49" s="116" t="e">
        <f t="shared" si="101"/>
        <v>#DIV/0!</v>
      </c>
      <c r="AI49" s="21">
        <f t="shared" si="18"/>
        <v>0.05</v>
      </c>
      <c r="AJ49" s="124">
        <f t="shared" si="102"/>
        <v>22.66871247136428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v>175</v>
      </c>
      <c r="H51" s="125">
        <v>161</v>
      </c>
      <c r="I51" s="125">
        <v>231</v>
      </c>
      <c r="J51" s="125">
        <v>402</v>
      </c>
      <c r="K51" s="125">
        <v>624</v>
      </c>
      <c r="L51" s="125">
        <v>456</v>
      </c>
      <c r="M51" s="125">
        <v>1247</v>
      </c>
      <c r="N51" s="125">
        <v>978</v>
      </c>
      <c r="O51" s="125">
        <v>1167</v>
      </c>
      <c r="P51" s="125">
        <v>1456</v>
      </c>
      <c r="Q51" s="125">
        <v>1875</v>
      </c>
      <c r="R51" s="181">
        <v>1930</v>
      </c>
      <c r="S51" s="181">
        <v>3000</v>
      </c>
      <c r="T51" s="181">
        <v>2838</v>
      </c>
      <c r="U51" s="181">
        <v>1906</v>
      </c>
      <c r="V51" s="101">
        <f t="shared" si="2"/>
        <v>0.18598033816644777</v>
      </c>
      <c r="W51" s="21">
        <f t="shared" si="7"/>
        <v>0.08</v>
      </c>
      <c r="X51" s="131">
        <f t="shared" si="8"/>
        <v>2058.48</v>
      </c>
      <c r="Y51" s="131">
        <f t="shared" ref="Y51" si="128">X51*(1+$W51)</f>
        <v>2223.1584000000003</v>
      </c>
      <c r="Z51" s="131">
        <f t="shared" ref="Z51" si="129">Y51*(1+$W51)</f>
        <v>2401.0110720000002</v>
      </c>
      <c r="AA51" s="131">
        <f t="shared" ref="AA51" si="130">Z51*(1+$W51)</f>
        <v>2593.0919577600002</v>
      </c>
      <c r="AB51" s="131">
        <f t="shared" si="42"/>
        <v>2800.5393143808005</v>
      </c>
      <c r="AC51" s="131">
        <f t="shared" si="43"/>
        <v>3024.5824595312647</v>
      </c>
      <c r="AD51" s="131">
        <f t="shared" si="44"/>
        <v>3266.5490562937662</v>
      </c>
      <c r="AE51" s="131">
        <f t="shared" si="45"/>
        <v>3527.8729807972677</v>
      </c>
      <c r="AF51" s="131">
        <f t="shared" si="46"/>
        <v>3810.1028192610493</v>
      </c>
      <c r="AG51" s="131">
        <f t="shared" si="47"/>
        <v>4114.9110448019337</v>
      </c>
      <c r="AH51" s="116">
        <f t="shared" si="20"/>
        <v>0.10641711929045616</v>
      </c>
      <c r="AI51" s="21">
        <f t="shared" si="18"/>
        <v>0.05</v>
      </c>
      <c r="AJ51" s="124">
        <f t="shared" si="1"/>
        <v>43206.565970420306</v>
      </c>
    </row>
    <row r="52" spans="1:36" s="106" customFormat="1">
      <c r="B52" s="13"/>
      <c r="C52" s="126"/>
      <c r="D52" s="126"/>
      <c r="E52" s="127"/>
      <c r="F52" s="271"/>
      <c r="G52" s="271">
        <f t="shared" ref="G52:Q52" si="131">(G51-F51)/G51</f>
        <v>1</v>
      </c>
      <c r="H52" s="271">
        <f t="shared" si="131"/>
        <v>-8.6956521739130432E-2</v>
      </c>
      <c r="I52" s="271">
        <f t="shared" si="131"/>
        <v>0.30303030303030304</v>
      </c>
      <c r="J52" s="271">
        <f t="shared" si="131"/>
        <v>0.42537313432835822</v>
      </c>
      <c r="K52" s="271">
        <f t="shared" si="131"/>
        <v>0.35576923076923078</v>
      </c>
      <c r="L52" s="271">
        <f t="shared" si="131"/>
        <v>-0.36842105263157893</v>
      </c>
      <c r="M52" s="271">
        <f t="shared" si="131"/>
        <v>0.6343223736968725</v>
      </c>
      <c r="N52" s="271">
        <f t="shared" si="131"/>
        <v>-0.27505112474437626</v>
      </c>
      <c r="O52" s="271">
        <f t="shared" si="131"/>
        <v>0.16195372750642673</v>
      </c>
      <c r="P52" s="271">
        <f t="shared" si="131"/>
        <v>0.19848901098901098</v>
      </c>
      <c r="Q52" s="271">
        <f t="shared" si="131"/>
        <v>0.22346666666666667</v>
      </c>
      <c r="R52" s="128">
        <f t="shared" ref="R52:S52" si="132">(R51-Q51)/Q51</f>
        <v>2.9333333333333333E-2</v>
      </c>
      <c r="S52" s="128">
        <f t="shared" si="132"/>
        <v>0.55440414507772018</v>
      </c>
      <c r="T52" s="128">
        <f t="shared" ref="S52:U52" si="133">(T51-S51)/S51</f>
        <v>-5.3999999999999999E-2</v>
      </c>
      <c r="U52" s="128">
        <f t="shared" si="133"/>
        <v>-0.328400281888654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v>105</v>
      </c>
      <c r="H53" s="125">
        <v>83</v>
      </c>
      <c r="I53" s="125">
        <v>122</v>
      </c>
      <c r="J53" s="125">
        <v>196</v>
      </c>
      <c r="K53" s="125">
        <v>406</v>
      </c>
      <c r="L53" s="125">
        <v>203</v>
      </c>
      <c r="M53" s="125">
        <v>904</v>
      </c>
      <c r="N53" s="125">
        <v>548</v>
      </c>
      <c r="O53" s="125">
        <v>556</v>
      </c>
      <c r="P53" s="125">
        <v>858</v>
      </c>
      <c r="Q53" s="125">
        <v>1232</v>
      </c>
      <c r="R53" s="181">
        <v>1330</v>
      </c>
      <c r="S53" s="181">
        <v>2596</v>
      </c>
      <c r="T53" s="181">
        <v>2425</v>
      </c>
      <c r="U53" s="181">
        <v>1267</v>
      </c>
      <c r="V53" s="101">
        <f t="shared" si="2"/>
        <v>0.1946927738267672</v>
      </c>
      <c r="W53" s="21">
        <f t="shared" si="7"/>
        <v>0.08</v>
      </c>
      <c r="X53" s="131">
        <f t="shared" si="8"/>
        <v>1368.3600000000001</v>
      </c>
      <c r="Y53" s="131">
        <f t="shared" ref="Y53" si="134">X53*(1+$W53)</f>
        <v>1477.8288000000002</v>
      </c>
      <c r="Z53" s="131">
        <f t="shared" ref="Z53" si="135">Y53*(1+$W53)</f>
        <v>1596.0551040000003</v>
      </c>
      <c r="AA53" s="131">
        <f t="shared" ref="AA53" si="136">Z53*(1+$W53)</f>
        <v>1723.7395123200004</v>
      </c>
      <c r="AB53" s="131">
        <f t="shared" ref="AB53" si="137">AA53*(1+$W53)</f>
        <v>1861.6386733056006</v>
      </c>
      <c r="AC53" s="131">
        <f t="shared" ref="AC53" si="138">AB53*(1+$W53)</f>
        <v>2010.5697671700489</v>
      </c>
      <c r="AD53" s="131">
        <f t="shared" ref="AD53" si="139">AC53*(1+$W53)</f>
        <v>2171.4153485436527</v>
      </c>
      <c r="AE53" s="131">
        <f t="shared" ref="AE53" si="140">AD53*(1+$W53)</f>
        <v>2345.1285764271452</v>
      </c>
      <c r="AF53" s="131">
        <f t="shared" ref="AF53" si="141">AE53*(1+$W53)</f>
        <v>2532.7388625413168</v>
      </c>
      <c r="AG53" s="131">
        <f t="shared" ref="AG53" si="142">AF53*(1+$W53)</f>
        <v>2735.3579715446222</v>
      </c>
      <c r="AH53" s="116">
        <f t="shared" ref="AH53" si="143">((AG53/J53)^(1/($AG$3-$K$1) ))-1</f>
        <v>0.12142979668526777</v>
      </c>
      <c r="AI53" s="21">
        <f t="shared" si="18"/>
        <v>0.05</v>
      </c>
      <c r="AJ53" s="124">
        <f t="shared" ref="AJ53" si="144">(AG53*(1+AI53))/($C$1-AI53)</f>
        <v>28721.258701218536</v>
      </c>
    </row>
    <row r="54" spans="1:36" s="106" customFormat="1">
      <c r="B54" s="13"/>
      <c r="C54" s="126"/>
      <c r="D54" s="126"/>
      <c r="E54" s="127"/>
      <c r="F54" s="271"/>
      <c r="G54" s="271">
        <f t="shared" ref="G54:Q54" si="145">(G53-F53)/G53</f>
        <v>1</v>
      </c>
      <c r="H54" s="271">
        <f t="shared" si="145"/>
        <v>-0.26506024096385544</v>
      </c>
      <c r="I54" s="271">
        <f t="shared" si="145"/>
        <v>0.31967213114754101</v>
      </c>
      <c r="J54" s="271">
        <f t="shared" si="145"/>
        <v>0.37755102040816324</v>
      </c>
      <c r="K54" s="271">
        <f t="shared" si="145"/>
        <v>0.51724137931034486</v>
      </c>
      <c r="L54" s="271">
        <f t="shared" si="145"/>
        <v>-1</v>
      </c>
      <c r="M54" s="271">
        <f t="shared" si="145"/>
        <v>0.77544247787610621</v>
      </c>
      <c r="N54" s="271">
        <f t="shared" si="145"/>
        <v>-0.64963503649635035</v>
      </c>
      <c r="O54" s="271">
        <f t="shared" si="145"/>
        <v>1.4388489208633094E-2</v>
      </c>
      <c r="P54" s="271">
        <f t="shared" si="145"/>
        <v>0.351981351981352</v>
      </c>
      <c r="Q54" s="271">
        <f t="shared" si="145"/>
        <v>0.30357142857142855</v>
      </c>
      <c r="R54" s="128">
        <f t="shared" ref="R54:S54" si="146">(R53-Q53)/Q53</f>
        <v>7.9545454545454544E-2</v>
      </c>
      <c r="S54" s="128">
        <f t="shared" si="146"/>
        <v>0.95187969924812033</v>
      </c>
      <c r="T54" s="128">
        <f t="shared" ref="S54:U54" si="147">(T53-S53)/S53</f>
        <v>-6.587057010785824E-2</v>
      </c>
      <c r="U54" s="128">
        <f t="shared" si="147"/>
        <v>-0.4775257731958763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v>70</v>
      </c>
      <c r="H55" s="125">
        <v>63</v>
      </c>
      <c r="I55" s="125">
        <v>91</v>
      </c>
      <c r="J55" s="125">
        <v>117</v>
      </c>
      <c r="K55" s="125">
        <v>270</v>
      </c>
      <c r="L55" s="125">
        <v>139</v>
      </c>
      <c r="M55" s="125">
        <v>653</v>
      </c>
      <c r="N55" s="125">
        <v>441</v>
      </c>
      <c r="O55" s="125">
        <v>412</v>
      </c>
      <c r="P55" s="125">
        <v>614</v>
      </c>
      <c r="Q55" s="125">
        <v>1005</v>
      </c>
      <c r="R55" s="181">
        <v>977</v>
      </c>
      <c r="S55" s="181">
        <v>1126</v>
      </c>
      <c r="T55" s="181">
        <v>1099</v>
      </c>
      <c r="U55" s="181">
        <v>723</v>
      </c>
      <c r="V55" s="101">
        <f t="shared" si="2"/>
        <v>0.18149379993313963</v>
      </c>
      <c r="W55" s="21">
        <f t="shared" si="7"/>
        <v>0.08</v>
      </c>
      <c r="X55" s="131">
        <f t="shared" si="8"/>
        <v>780.84</v>
      </c>
      <c r="Y55" s="131">
        <f t="shared" ref="Y55:AG55" si="148">X55*(1+$W55)</f>
        <v>843.30720000000008</v>
      </c>
      <c r="Z55" s="131">
        <f t="shared" si="148"/>
        <v>910.77177600000016</v>
      </c>
      <c r="AA55" s="131">
        <f t="shared" si="148"/>
        <v>983.63351808000027</v>
      </c>
      <c r="AB55" s="131">
        <f t="shared" si="148"/>
        <v>1062.3241995264004</v>
      </c>
      <c r="AC55" s="131">
        <f t="shared" si="148"/>
        <v>1147.3101354885125</v>
      </c>
      <c r="AD55" s="131">
        <f t="shared" si="148"/>
        <v>1239.0949463275936</v>
      </c>
      <c r="AE55" s="131">
        <f t="shared" si="148"/>
        <v>1338.2225420338011</v>
      </c>
      <c r="AF55" s="131">
        <f t="shared" si="148"/>
        <v>1445.2803453965053</v>
      </c>
      <c r="AG55" s="131">
        <f t="shared" si="148"/>
        <v>1560.9027730282257</v>
      </c>
      <c r="AH55" s="116">
        <f t="shared" si="20"/>
        <v>0.11923505478016372</v>
      </c>
      <c r="AI55" s="21">
        <f t="shared" si="18"/>
        <v>0.05</v>
      </c>
      <c r="AJ55" s="124">
        <f t="shared" si="1"/>
        <v>16389.479116796374</v>
      </c>
    </row>
    <row r="56" spans="1:36" s="106" customFormat="1">
      <c r="B56" s="13"/>
      <c r="C56" s="126"/>
      <c r="D56" s="126"/>
      <c r="E56" s="127"/>
      <c r="F56" s="271"/>
      <c r="G56" s="271">
        <f>(G55-F55)/G55</f>
        <v>1</v>
      </c>
      <c r="H56" s="271">
        <f t="shared" ref="H56:Q56" si="149">(H55-G55)/H55</f>
        <v>-0.1111111111111111</v>
      </c>
      <c r="I56" s="271">
        <f t="shared" si="149"/>
        <v>0.30769230769230771</v>
      </c>
      <c r="J56" s="271">
        <f t="shared" si="149"/>
        <v>0.22222222222222221</v>
      </c>
      <c r="K56" s="271">
        <f t="shared" si="149"/>
        <v>0.56666666666666665</v>
      </c>
      <c r="L56" s="271">
        <f t="shared" si="149"/>
        <v>-0.94244604316546765</v>
      </c>
      <c r="M56" s="271">
        <f t="shared" si="149"/>
        <v>0.78713629402756513</v>
      </c>
      <c r="N56" s="271">
        <f t="shared" si="149"/>
        <v>-0.48072562358276644</v>
      </c>
      <c r="O56" s="271">
        <f t="shared" si="149"/>
        <v>-7.0388349514563103E-2</v>
      </c>
      <c r="P56" s="271">
        <f t="shared" si="149"/>
        <v>0.3289902280130293</v>
      </c>
      <c r="Q56" s="271">
        <f t="shared" si="149"/>
        <v>0.38905472636815919</v>
      </c>
      <c r="R56" s="128">
        <f t="shared" ref="R56:S56" si="150">(R55-Q55)/Q55</f>
        <v>-2.7860696517412936E-2</v>
      </c>
      <c r="S56" s="128">
        <f t="shared" si="150"/>
        <v>0.15250767656090072</v>
      </c>
      <c r="T56" s="128">
        <f t="shared" ref="S56:U56" si="151">(T55-S55)/S55</f>
        <v>-2.3978685612788632E-2</v>
      </c>
      <c r="U56" s="128">
        <f t="shared" si="151"/>
        <v>-0.34212920837124661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123">
        <v>3.83</v>
      </c>
      <c r="H57" s="123">
        <v>3.83</v>
      </c>
      <c r="I57" s="123">
        <v>3.83</v>
      </c>
      <c r="J57" s="123">
        <v>4.6399999999999997</v>
      </c>
      <c r="K57" s="123">
        <v>48.84</v>
      </c>
      <c r="L57" s="123">
        <v>50.4</v>
      </c>
      <c r="M57" s="123">
        <v>50.4</v>
      </c>
      <c r="N57" s="123">
        <v>50.4</v>
      </c>
      <c r="O57" s="123">
        <v>50.4</v>
      </c>
      <c r="P57" s="123">
        <v>50.4</v>
      </c>
      <c r="Q57" s="123">
        <v>50.4</v>
      </c>
      <c r="R57" s="181">
        <v>50.4</v>
      </c>
      <c r="S57" s="181">
        <v>50.4</v>
      </c>
      <c r="T57" s="123">
        <v>50.9</v>
      </c>
      <c r="U57" s="123">
        <v>57.2</v>
      </c>
      <c r="V57" s="101">
        <f t="shared" si="2"/>
        <v>0.21302913623964481</v>
      </c>
      <c r="W57" s="21">
        <v>0.02</v>
      </c>
      <c r="X57" s="131">
        <f t="shared" si="8"/>
        <v>58.344000000000001</v>
      </c>
      <c r="Y57" s="131">
        <f>X57*(1+$W57)</f>
        <v>59.51088</v>
      </c>
      <c r="Z57" s="131">
        <f t="shared" ref="Z57:AG57" si="152">Y57*(1+$W57)</f>
        <v>60.701097600000004</v>
      </c>
      <c r="AA57" s="131">
        <f t="shared" si="152"/>
        <v>61.915119552000007</v>
      </c>
      <c r="AB57" s="131">
        <f t="shared" si="152"/>
        <v>63.153421943040009</v>
      </c>
      <c r="AC57" s="131">
        <f t="shared" si="152"/>
        <v>64.416490381900815</v>
      </c>
      <c r="AD57" s="131">
        <f t="shared" si="152"/>
        <v>65.704820189538836</v>
      </c>
      <c r="AE57" s="131">
        <f t="shared" si="152"/>
        <v>67.018916593329621</v>
      </c>
      <c r="AF57" s="131">
        <f t="shared" si="152"/>
        <v>68.35929492519621</v>
      </c>
      <c r="AG57" s="131">
        <f t="shared" si="152"/>
        <v>69.726480823700129</v>
      </c>
      <c r="AH57" s="116">
        <f t="shared" si="20"/>
        <v>0.12504186961125674</v>
      </c>
      <c r="AI57" s="21">
        <f t="shared" si="18"/>
        <v>0.05</v>
      </c>
      <c r="AJ57" s="124">
        <f t="shared" si="1"/>
        <v>732.12804864885152</v>
      </c>
    </row>
    <row r="58" spans="1:36">
      <c r="B58" s="10"/>
      <c r="C58" s="120"/>
      <c r="D58" s="120"/>
      <c r="E58" s="121"/>
      <c r="F58" s="271"/>
      <c r="G58" s="271">
        <f>(G57-F57)/G57</f>
        <v>1</v>
      </c>
      <c r="H58" s="271">
        <f t="shared" ref="H58:Q58" si="153">(H57-G57)/H57</f>
        <v>0</v>
      </c>
      <c r="I58" s="271">
        <f t="shared" si="153"/>
        <v>0</v>
      </c>
      <c r="J58" s="271">
        <f t="shared" si="153"/>
        <v>0.1745689655172413</v>
      </c>
      <c r="K58" s="271">
        <f t="shared" si="153"/>
        <v>0.90499590499590499</v>
      </c>
      <c r="L58" s="271">
        <f t="shared" si="153"/>
        <v>3.0952380952380856E-2</v>
      </c>
      <c r="M58" s="271">
        <f t="shared" si="153"/>
        <v>0</v>
      </c>
      <c r="N58" s="271">
        <f t="shared" si="153"/>
        <v>0</v>
      </c>
      <c r="O58" s="271">
        <f t="shared" si="153"/>
        <v>0</v>
      </c>
      <c r="P58" s="271">
        <f t="shared" si="153"/>
        <v>0</v>
      </c>
      <c r="Q58" s="271">
        <f t="shared" si="153"/>
        <v>0</v>
      </c>
      <c r="R58" s="128">
        <f t="shared" ref="R58:S58" si="154">(R57-Q57)/Q57</f>
        <v>0</v>
      </c>
      <c r="S58" s="128">
        <f t="shared" si="154"/>
        <v>0</v>
      </c>
      <c r="T58" s="128">
        <f t="shared" ref="S58:U58" si="155">(T57-S57)/S57</f>
        <v>9.9206349206349201E-3</v>
      </c>
      <c r="U58" s="128">
        <f t="shared" si="155"/>
        <v>0.12377210216110028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123">
        <v>4.5</v>
      </c>
      <c r="H59" s="123">
        <v>4.5</v>
      </c>
      <c r="I59" s="123">
        <v>4.5</v>
      </c>
      <c r="J59" s="123">
        <v>4.5</v>
      </c>
      <c r="K59" s="123">
        <v>0.5</v>
      </c>
      <c r="L59" s="123">
        <v>0.45</v>
      </c>
      <c r="M59" s="123">
        <v>0.75</v>
      </c>
      <c r="N59" s="123">
        <v>0.5</v>
      </c>
      <c r="O59" s="123">
        <v>0.5</v>
      </c>
      <c r="P59" s="123">
        <v>0.5</v>
      </c>
      <c r="Q59" s="123">
        <v>0.75</v>
      </c>
      <c r="R59" s="181">
        <v>2</v>
      </c>
      <c r="S59" s="181">
        <v>2</v>
      </c>
      <c r="T59" s="181">
        <v>3</v>
      </c>
      <c r="U59" s="181">
        <v>3</v>
      </c>
      <c r="V59" s="101">
        <f t="shared" si="2"/>
        <v>-2.854642033934629E-2</v>
      </c>
      <c r="W59" s="21">
        <v>0.02</v>
      </c>
      <c r="X59" s="131">
        <f t="shared" si="8"/>
        <v>3.06</v>
      </c>
      <c r="Y59" s="131">
        <f t="shared" ref="Y59" si="156">X59*(1+$W59)</f>
        <v>3.1212</v>
      </c>
      <c r="Z59" s="131">
        <f t="shared" ref="Z59" si="157">Y59*(1+$W59)</f>
        <v>3.183624</v>
      </c>
      <c r="AA59" s="131">
        <f t="shared" ref="AA59" si="158">Z59*(1+$W59)</f>
        <v>3.2472964800000002</v>
      </c>
      <c r="AB59" s="131">
        <f t="shared" ref="AB59" si="159">AA59*(1+$W59)</f>
        <v>3.3122424096</v>
      </c>
      <c r="AC59" s="131">
        <f t="shared" ref="AC59" si="160">AB59*(1+$W59)</f>
        <v>3.378487257792</v>
      </c>
      <c r="AD59" s="131">
        <f t="shared" ref="AD59" si="161">AC59*(1+$W59)</f>
        <v>3.4460570029478399</v>
      </c>
      <c r="AE59" s="131">
        <f t="shared" ref="AE59" si="162">AD59*(1+$W59)</f>
        <v>3.5149781430067968</v>
      </c>
      <c r="AF59" s="131">
        <f t="shared" ref="AF59" si="163">AE59*(1+$W59)</f>
        <v>3.585277705866933</v>
      </c>
      <c r="AG59" s="131">
        <f t="shared" ref="AG59" si="164">AF59*(1+$W59)</f>
        <v>3.6569832599842718</v>
      </c>
      <c r="AH59" s="116">
        <f t="shared" ref="AH59" si="165">((AG59/J59)^(1/($AG$3-$K$1) ))-1</f>
        <v>-8.9785298880192821E-3</v>
      </c>
      <c r="AI59" s="21">
        <f t="shared" si="18"/>
        <v>0.05</v>
      </c>
      <c r="AJ59" s="124">
        <f t="shared" si="1"/>
        <v>38.398324229834856</v>
      </c>
    </row>
    <row r="60" spans="1:36">
      <c r="B60" s="10"/>
      <c r="C60" s="123"/>
      <c r="D60" s="123"/>
      <c r="E60" s="123"/>
      <c r="F60" s="128"/>
      <c r="G60" s="271">
        <f>(G59-F59)/G59</f>
        <v>1</v>
      </c>
      <c r="H60" s="271">
        <f t="shared" ref="H60:Q60" si="166">(H59-G59)/H59</f>
        <v>0</v>
      </c>
      <c r="I60" s="271">
        <f t="shared" si="166"/>
        <v>0</v>
      </c>
      <c r="J60" s="271">
        <f t="shared" si="166"/>
        <v>0</v>
      </c>
      <c r="K60" s="271">
        <f t="shared" si="166"/>
        <v>-8</v>
      </c>
      <c r="L60" s="271">
        <f t="shared" si="166"/>
        <v>-0.11111111111111108</v>
      </c>
      <c r="M60" s="271">
        <f t="shared" si="166"/>
        <v>0.39999999999999997</v>
      </c>
      <c r="N60" s="271">
        <f t="shared" si="166"/>
        <v>-0.5</v>
      </c>
      <c r="O60" s="271">
        <f t="shared" si="166"/>
        <v>0</v>
      </c>
      <c r="P60" s="271">
        <f t="shared" si="166"/>
        <v>0</v>
      </c>
      <c r="Q60" s="271">
        <f t="shared" si="166"/>
        <v>0.33333333333333331</v>
      </c>
      <c r="R60" s="128">
        <f t="shared" ref="R60:S60" si="167">(R59-Q59)/Q59</f>
        <v>1.6666666666666667</v>
      </c>
      <c r="S60" s="128">
        <f t="shared" si="167"/>
        <v>0</v>
      </c>
      <c r="T60" s="128">
        <f t="shared" ref="J60:U60" si="168">(T59-S59)/S59</f>
        <v>0.5</v>
      </c>
      <c r="U60" s="128">
        <f t="shared" si="168"/>
        <v>0</v>
      </c>
      <c r="V60" s="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 t="s">
        <v>514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01" t="e">
        <f t="shared" si="2"/>
        <v>#DIV/0!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01" t="e">
        <f t="shared" si="2"/>
        <v>#DIV/0!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01" t="e">
        <f t="shared" si="2"/>
        <v>#DIV/0!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169">G25/G57</f>
        <v>511.74934725848561</v>
      </c>
      <c r="H66" s="112">
        <f t="shared" ref="H66:I66" si="170">H25/H57</f>
        <v>585.1174934725849</v>
      </c>
      <c r="I66" s="112">
        <f t="shared" si="170"/>
        <v>708.61618798955612</v>
      </c>
      <c r="J66" s="112">
        <f t="shared" ref="J66:S66" si="171">J25/J57</f>
        <v>927.58620689655174</v>
      </c>
      <c r="K66" s="112">
        <f t="shared" si="171"/>
        <v>97.829647829647826</v>
      </c>
      <c r="L66" s="112">
        <f t="shared" si="171"/>
        <v>99.345238095238102</v>
      </c>
      <c r="M66" s="112">
        <f t="shared" si="171"/>
        <v>158.65079365079364</v>
      </c>
      <c r="N66" s="112">
        <f t="shared" si="171"/>
        <v>185.87301587301587</v>
      </c>
      <c r="O66" s="112">
        <f t="shared" si="171"/>
        <v>246.26984126984127</v>
      </c>
      <c r="P66" s="112">
        <f t="shared" si="171"/>
        <v>257.5</v>
      </c>
      <c r="Q66" s="112">
        <f t="shared" si="171"/>
        <v>267.73809523809524</v>
      </c>
      <c r="R66" s="112">
        <f t="shared" si="171"/>
        <v>251.36904761904762</v>
      </c>
      <c r="S66" s="112">
        <f t="shared" si="171"/>
        <v>257.38095238095241</v>
      </c>
      <c r="T66" s="112">
        <f t="shared" ref="T66:U66" si="172">T25/T57</f>
        <v>285.99214145383104</v>
      </c>
      <c r="U66" s="112">
        <f t="shared" si="172"/>
        <v>268.51398601398603</v>
      </c>
      <c r="V66" s="101">
        <f t="shared" si="2"/>
        <v>-4.5021610585715077E-2</v>
      </c>
      <c r="W66" s="110"/>
      <c r="X66" s="135">
        <f t="shared" ref="X66:AG66" si="173">X25/X57</f>
        <v>284.3089263677499</v>
      </c>
      <c r="Y66" s="135">
        <f t="shared" si="173"/>
        <v>301.03298085997056</v>
      </c>
      <c r="Z66" s="135">
        <f t="shared" si="173"/>
        <v>318.74080326349826</v>
      </c>
      <c r="AA66" s="135">
        <f t="shared" si="173"/>
        <v>337.49026227899816</v>
      </c>
      <c r="AB66" s="135">
        <f t="shared" si="173"/>
        <v>357.34263064835096</v>
      </c>
      <c r="AC66" s="135">
        <f t="shared" si="173"/>
        <v>378.36278539237156</v>
      </c>
      <c r="AD66" s="135">
        <f t="shared" si="173"/>
        <v>400.61941982721697</v>
      </c>
      <c r="AE66" s="135">
        <f t="shared" si="173"/>
        <v>424.18526805234734</v>
      </c>
      <c r="AF66" s="135">
        <f t="shared" si="173"/>
        <v>449.13734264366195</v>
      </c>
      <c r="AG66" s="135">
        <f t="shared" si="173"/>
        <v>475.55718632858321</v>
      </c>
      <c r="AH66" s="116">
        <f t="shared" ref="AH66" si="174">((AG66/J66)^(1/($AG$3-$K$1) ))-1</f>
        <v>-2.8629934140049662E-2</v>
      </c>
      <c r="AI66" s="21">
        <f t="shared" si="18"/>
        <v>0.05</v>
      </c>
      <c r="AJ66" s="124">
        <f t="shared" ref="AJ66:AJ67" si="175">(AG66*(1+AI66))/($C$1-AI66)</f>
        <v>4993.3504564501245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176">G27/G57</f>
        <v>463.1853785900783</v>
      </c>
      <c r="H67" s="112">
        <f t="shared" ref="H67:I67" si="177">H27/H57</f>
        <v>537.85900783289821</v>
      </c>
      <c r="I67" s="112">
        <f t="shared" si="177"/>
        <v>644.64751958224542</v>
      </c>
      <c r="J67" s="112">
        <f t="shared" ref="J67:S67" si="178">J27/J57</f>
        <v>841.59482758620697</v>
      </c>
      <c r="K67" s="112">
        <f t="shared" si="178"/>
        <v>84.684684684684683</v>
      </c>
      <c r="L67" s="112">
        <f t="shared" si="178"/>
        <v>90.05952380952381</v>
      </c>
      <c r="M67" s="112">
        <f t="shared" si="178"/>
        <v>132.04365079365078</v>
      </c>
      <c r="N67" s="112">
        <f t="shared" si="178"/>
        <v>165.9325396825397</v>
      </c>
      <c r="O67" s="112">
        <f t="shared" si="178"/>
        <v>223.05555555555557</v>
      </c>
      <c r="P67" s="112">
        <f t="shared" si="178"/>
        <v>226.38888888888889</v>
      </c>
      <c r="Q67" s="112">
        <f t="shared" si="178"/>
        <v>229.50396825396825</v>
      </c>
      <c r="R67" s="112">
        <f t="shared" si="178"/>
        <v>213.63095238095238</v>
      </c>
      <c r="S67" s="112">
        <f t="shared" si="178"/>
        <v>195.55555555555557</v>
      </c>
      <c r="T67" s="112">
        <f t="shared" ref="T67:U67" si="179">T27/T57</f>
        <v>227.22986247544205</v>
      </c>
      <c r="U67" s="112">
        <f t="shared" si="179"/>
        <v>233.14685314685315</v>
      </c>
      <c r="V67" s="101">
        <f t="shared" si="2"/>
        <v>-4.7850076413416875E-2</v>
      </c>
      <c r="W67" s="110"/>
      <c r="X67" s="135">
        <f t="shared" ref="X67:AG67" si="180">X27/X57</f>
        <v>246.86137392019745</v>
      </c>
      <c r="Y67" s="135">
        <f t="shared" si="180"/>
        <v>261.38263120962085</v>
      </c>
      <c r="Z67" s="135">
        <f t="shared" si="180"/>
        <v>276.75808010430444</v>
      </c>
      <c r="AA67" s="135">
        <f t="shared" si="180"/>
        <v>293.03796716926348</v>
      </c>
      <c r="AB67" s="135">
        <f t="shared" si="180"/>
        <v>310.27549464980842</v>
      </c>
      <c r="AC67" s="135">
        <f t="shared" si="180"/>
        <v>328.52699433509127</v>
      </c>
      <c r="AD67" s="135">
        <f t="shared" si="180"/>
        <v>347.85211164892019</v>
      </c>
      <c r="AE67" s="135">
        <f t="shared" si="180"/>
        <v>368.31400056944489</v>
      </c>
      <c r="AF67" s="135">
        <f t="shared" si="180"/>
        <v>389.97953001470637</v>
      </c>
      <c r="AG67" s="135">
        <f t="shared" si="180"/>
        <v>412.91950236851267</v>
      </c>
      <c r="AH67" s="116">
        <f t="shared" ref="AH67" si="181">((AG67/J67)^(1/($AG$3-$K$1) ))-1</f>
        <v>-3.0484215260932479E-2</v>
      </c>
      <c r="AI67" s="21">
        <f t="shared" si="18"/>
        <v>0.05</v>
      </c>
      <c r="AJ67" s="124">
        <f t="shared" si="175"/>
        <v>4335.6547748693838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182">G53-G55</f>
        <v>35</v>
      </c>
      <c r="H68" s="112">
        <f t="shared" ref="H68:I68" si="183">H53-H55</f>
        <v>20</v>
      </c>
      <c r="I68" s="112">
        <f t="shared" si="183"/>
        <v>31</v>
      </c>
      <c r="J68" s="112">
        <f>J53-J55</f>
        <v>79</v>
      </c>
      <c r="K68" s="112">
        <f t="shared" ref="K68:S68" si="184">K53-K55</f>
        <v>136</v>
      </c>
      <c r="L68" s="112">
        <f t="shared" si="184"/>
        <v>64</v>
      </c>
      <c r="M68" s="112">
        <f t="shared" si="184"/>
        <v>251</v>
      </c>
      <c r="N68" s="112">
        <f t="shared" si="184"/>
        <v>107</v>
      </c>
      <c r="O68" s="112">
        <f t="shared" si="184"/>
        <v>144</v>
      </c>
      <c r="P68" s="112">
        <f t="shared" si="184"/>
        <v>244</v>
      </c>
      <c r="Q68" s="112">
        <f t="shared" si="184"/>
        <v>227</v>
      </c>
      <c r="R68" s="112">
        <f t="shared" si="184"/>
        <v>353</v>
      </c>
      <c r="S68" s="112">
        <f t="shared" si="184"/>
        <v>1470</v>
      </c>
      <c r="T68" s="112">
        <f t="shared" ref="T68:U68" si="185">T53-T55</f>
        <v>1326</v>
      </c>
      <c r="U68" s="112">
        <f t="shared" si="185"/>
        <v>544</v>
      </c>
      <c r="V68" s="101">
        <f t="shared" si="2"/>
        <v>0.21649225091849611</v>
      </c>
      <c r="W68" s="110"/>
      <c r="X68" s="112">
        <f t="shared" ref="X68:AG68" si="186">X53-X55</f>
        <v>587.5200000000001</v>
      </c>
      <c r="Y68" s="112">
        <f t="shared" si="186"/>
        <v>634.52160000000015</v>
      </c>
      <c r="Z68" s="112">
        <f t="shared" si="186"/>
        <v>685.2833280000001</v>
      </c>
      <c r="AA68" s="112">
        <f t="shared" si="186"/>
        <v>740.10599424000009</v>
      </c>
      <c r="AB68" s="112">
        <f t="shared" si="186"/>
        <v>799.31447377920017</v>
      </c>
      <c r="AC68" s="112">
        <f t="shared" si="186"/>
        <v>863.25963168153635</v>
      </c>
      <c r="AD68" s="112">
        <f t="shared" si="186"/>
        <v>932.32040221605916</v>
      </c>
      <c r="AE68" s="112">
        <f t="shared" si="186"/>
        <v>1006.906034393344</v>
      </c>
      <c r="AF68" s="112">
        <f t="shared" si="186"/>
        <v>1087.4585171448116</v>
      </c>
      <c r="AG68" s="112">
        <f t="shared" si="186"/>
        <v>1174.4551985163964</v>
      </c>
      <c r="AH68" s="116">
        <f t="shared" ref="AH68" si="187">((AG68/J68)^(1/($AG$3-$K$1) ))-1</f>
        <v>0.1245159621538543</v>
      </c>
      <c r="AI68" s="21">
        <f t="shared" si="18"/>
        <v>0.05</v>
      </c>
      <c r="AJ68" s="124">
        <f t="shared" ref="AJ68" si="188">(AG68*(1+AI68))/($C$1-AI68)</f>
        <v>12331.779584422164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0"/>
      <c r="W69" s="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189">G51/G57</f>
        <v>45.691906005221931</v>
      </c>
      <c r="H70" s="15">
        <f t="shared" ref="H70:I70" si="190">H51/H57</f>
        <v>42.036553524804177</v>
      </c>
      <c r="I70" s="15">
        <f t="shared" si="190"/>
        <v>60.313315926892948</v>
      </c>
      <c r="J70" s="15">
        <f t="shared" ref="J70:S70" si="191">J51/J57</f>
        <v>86.637931034482762</v>
      </c>
      <c r="K70" s="15">
        <f t="shared" si="191"/>
        <v>12.776412776412776</v>
      </c>
      <c r="L70" s="15">
        <f t="shared" si="191"/>
        <v>9.0476190476190474</v>
      </c>
      <c r="M70" s="15">
        <f t="shared" si="191"/>
        <v>24.742063492063494</v>
      </c>
      <c r="N70" s="15">
        <f t="shared" si="191"/>
        <v>19.404761904761905</v>
      </c>
      <c r="O70" s="15">
        <f t="shared" si="191"/>
        <v>23.154761904761905</v>
      </c>
      <c r="P70" s="15">
        <f t="shared" si="191"/>
        <v>28.888888888888889</v>
      </c>
      <c r="Q70" s="15">
        <f t="shared" si="191"/>
        <v>37.202380952380956</v>
      </c>
      <c r="R70" s="15">
        <f t="shared" si="191"/>
        <v>38.293650793650798</v>
      </c>
      <c r="S70" s="15">
        <f t="shared" si="191"/>
        <v>59.523809523809526</v>
      </c>
      <c r="T70" s="15">
        <f>T51/T57</f>
        <v>55.756385068762278</v>
      </c>
      <c r="U70" s="15">
        <f>U51/U57</f>
        <v>33.32167832167832</v>
      </c>
      <c r="V70" s="101">
        <f t="shared" si="2"/>
        <v>-2.2298555958059962E-2</v>
      </c>
      <c r="W70" s="110"/>
      <c r="X70" s="96">
        <f>X51/X57</f>
        <v>35.281777046482929</v>
      </c>
      <c r="Y70" s="96">
        <f t="shared" ref="Y70:AG70" si="192">Y51/Y57</f>
        <v>37.357175696276045</v>
      </c>
      <c r="Z70" s="96">
        <f t="shared" si="192"/>
        <v>39.554656619586396</v>
      </c>
      <c r="AA70" s="96">
        <f t="shared" si="192"/>
        <v>41.881401126620894</v>
      </c>
      <c r="AB70" s="96">
        <f t="shared" si="192"/>
        <v>44.345012957598591</v>
      </c>
      <c r="AC70" s="96">
        <f t="shared" si="192"/>
        <v>46.953543131574982</v>
      </c>
      <c r="AD70" s="96">
        <f t="shared" si="192"/>
        <v>49.715516256961742</v>
      </c>
      <c r="AE70" s="96">
        <f t="shared" si="192"/>
        <v>52.639958389724193</v>
      </c>
      <c r="AF70" s="96">
        <f t="shared" si="192"/>
        <v>55.736426530296214</v>
      </c>
      <c r="AG70" s="96">
        <f t="shared" si="192"/>
        <v>59.015039855607768</v>
      </c>
      <c r="AH70" s="116">
        <f t="shared" ref="AH70:AH71" si="193">((AG70/J70)^(1/($AG$3-$K$1) ))-1</f>
        <v>-1.6554717494412952E-2</v>
      </c>
      <c r="AI70" s="21">
        <f t="shared" si="18"/>
        <v>0.05</v>
      </c>
      <c r="AJ70" s="124">
        <f t="shared" ref="AJ70:AJ71" si="194">(AG70*(1+AI70))/($C$1-AI70)</f>
        <v>619.65791848388164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195">G53/G57</f>
        <v>27.41514360313316</v>
      </c>
      <c r="H71" s="15">
        <f t="shared" ref="H71:I71" si="196">H53/H57</f>
        <v>21.671018276762403</v>
      </c>
      <c r="I71" s="15">
        <f t="shared" si="196"/>
        <v>31.85378590078329</v>
      </c>
      <c r="J71" s="15">
        <f t="shared" ref="J71:S71" si="197">J53/J57</f>
        <v>42.241379310344833</v>
      </c>
      <c r="K71" s="15">
        <f t="shared" si="197"/>
        <v>8.312858312858312</v>
      </c>
      <c r="L71" s="15">
        <f t="shared" si="197"/>
        <v>4.0277777777777777</v>
      </c>
      <c r="M71" s="15">
        <f t="shared" si="197"/>
        <v>17.936507936507937</v>
      </c>
      <c r="N71" s="15">
        <f t="shared" si="197"/>
        <v>10.873015873015873</v>
      </c>
      <c r="O71" s="15">
        <f t="shared" si="197"/>
        <v>11.031746031746032</v>
      </c>
      <c r="P71" s="15">
        <f t="shared" si="197"/>
        <v>17.023809523809526</v>
      </c>
      <c r="Q71" s="15">
        <f t="shared" si="197"/>
        <v>24.444444444444446</v>
      </c>
      <c r="R71" s="15">
        <f t="shared" si="197"/>
        <v>26.388888888888889</v>
      </c>
      <c r="S71" s="15">
        <f t="shared" si="197"/>
        <v>51.507936507936506</v>
      </c>
      <c r="T71" s="15">
        <f>T53/T57</f>
        <v>47.642436149312381</v>
      </c>
      <c r="U71" s="15">
        <f>U53/U57</f>
        <v>22.15034965034965</v>
      </c>
      <c r="V71" s="101">
        <f t="shared" ref="V71:V134" si="198">((U71/G71)^(1/($K$2-$K$1) ))-1</f>
        <v>-1.5116176409183057E-2</v>
      </c>
      <c r="W71" s="110"/>
      <c r="X71" s="96">
        <f>X53/X57</f>
        <v>23.453311394487866</v>
      </c>
      <c r="Y71" s="96">
        <f t="shared" ref="Y71:AG71" si="199">Y53/Y57</f>
        <v>24.832917947104804</v>
      </c>
      <c r="Z71" s="96">
        <f t="shared" si="199"/>
        <v>26.293677826346258</v>
      </c>
      <c r="AA71" s="96">
        <f t="shared" si="199"/>
        <v>27.840364757307803</v>
      </c>
      <c r="AB71" s="96">
        <f t="shared" si="199"/>
        <v>29.478033272443561</v>
      </c>
      <c r="AC71" s="96">
        <f t="shared" si="199"/>
        <v>31.212035229646123</v>
      </c>
      <c r="AD71" s="96">
        <f t="shared" si="199"/>
        <v>33.048037301978248</v>
      </c>
      <c r="AE71" s="96">
        <f t="shared" si="199"/>
        <v>34.992039496212257</v>
      </c>
      <c r="AF71" s="96">
        <f t="shared" si="199"/>
        <v>37.050394760695333</v>
      </c>
      <c r="AG71" s="96">
        <f t="shared" si="199"/>
        <v>39.229829746618591</v>
      </c>
      <c r="AH71" s="116">
        <f t="shared" si="193"/>
        <v>-3.2106119990336079E-3</v>
      </c>
      <c r="AI71" s="21">
        <f t="shared" si="18"/>
        <v>0.05</v>
      </c>
      <c r="AJ71" s="124">
        <f t="shared" si="194"/>
        <v>411.91321233949526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00">G55/G57</f>
        <v>18.276762402088771</v>
      </c>
      <c r="H72" s="112">
        <f t="shared" ref="H72:I72" si="201">H55/H57</f>
        <v>16.449086161879894</v>
      </c>
      <c r="I72" s="112">
        <f t="shared" si="201"/>
        <v>23.759791122715406</v>
      </c>
      <c r="J72" s="112">
        <f t="shared" ref="J72:S72" si="202">J55/J57</f>
        <v>25.215517241379313</v>
      </c>
      <c r="K72" s="112">
        <f t="shared" si="202"/>
        <v>5.5282555282555279</v>
      </c>
      <c r="L72" s="112">
        <f t="shared" si="202"/>
        <v>2.7579365079365079</v>
      </c>
      <c r="M72" s="112">
        <f t="shared" si="202"/>
        <v>12.956349206349207</v>
      </c>
      <c r="N72" s="112">
        <f t="shared" si="202"/>
        <v>8.75</v>
      </c>
      <c r="O72" s="112">
        <f t="shared" si="202"/>
        <v>8.174603174603174</v>
      </c>
      <c r="P72" s="112">
        <f t="shared" si="202"/>
        <v>12.182539682539684</v>
      </c>
      <c r="Q72" s="112">
        <f t="shared" si="202"/>
        <v>19.94047619047619</v>
      </c>
      <c r="R72" s="112">
        <f t="shared" si="202"/>
        <v>19.384920634920636</v>
      </c>
      <c r="S72" s="112">
        <f t="shared" si="202"/>
        <v>22.341269841269842</v>
      </c>
      <c r="T72" s="112">
        <f t="shared" ref="T72:U72" si="203">T55/T57</f>
        <v>21.591355599214147</v>
      </c>
      <c r="U72" s="112">
        <f t="shared" si="203"/>
        <v>12.63986013986014</v>
      </c>
      <c r="V72" s="101">
        <f t="shared" si="198"/>
        <v>-2.5997179593116537E-2</v>
      </c>
      <c r="W72" s="110"/>
      <c r="X72" s="135">
        <f t="shared" ref="X72:AG72" si="204">X55/X57</f>
        <v>13.383381324557796</v>
      </c>
      <c r="Y72" s="135">
        <f t="shared" si="204"/>
        <v>14.170639049531784</v>
      </c>
      <c r="Z72" s="135">
        <f t="shared" si="204"/>
        <v>15.004206052445419</v>
      </c>
      <c r="AA72" s="135">
        <f t="shared" si="204"/>
        <v>15.886806408471621</v>
      </c>
      <c r="AB72" s="135">
        <f t="shared" si="204"/>
        <v>16.821324432499367</v>
      </c>
      <c r="AC72" s="135">
        <f t="shared" si="204"/>
        <v>17.810814104999327</v>
      </c>
      <c r="AD72" s="135">
        <f t="shared" si="204"/>
        <v>18.858509052352229</v>
      </c>
      <c r="AE72" s="135">
        <f t="shared" si="204"/>
        <v>19.967833114255299</v>
      </c>
      <c r="AF72" s="135">
        <f t="shared" si="204"/>
        <v>21.142411532740905</v>
      </c>
      <c r="AG72" s="135">
        <f t="shared" si="204"/>
        <v>22.386082799372726</v>
      </c>
      <c r="AH72" s="116">
        <f t="shared" ref="AH72:AH86" si="205">((AG72/J72)^(1/($AG$3-$K$1) ))-1</f>
        <v>-5.1614210883542677E-3</v>
      </c>
      <c r="AI72" s="21">
        <f t="shared" si="18"/>
        <v>0.05</v>
      </c>
      <c r="AJ72" s="124">
        <f t="shared" ref="AJ72:AJ100" si="206">(AG72*(1+AI72))/($C$1-AI72)</f>
        <v>235.05386939341366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07">G20/G57</f>
        <v>28.198433420365536</v>
      </c>
      <c r="H73" s="112">
        <f t="shared" ref="H73:I73" si="208">H20/H57</f>
        <v>28.459530026109661</v>
      </c>
      <c r="I73" s="112">
        <f t="shared" si="208"/>
        <v>20.365535248041777</v>
      </c>
      <c r="J73" s="112">
        <f>J20/J57</f>
        <v>76.939655172413794</v>
      </c>
      <c r="K73" s="112">
        <f t="shared" ref="K73:S73" si="209">K20/K57</f>
        <v>8.7633087633087623</v>
      </c>
      <c r="L73" s="112">
        <f t="shared" si="209"/>
        <v>6.4484126984126986</v>
      </c>
      <c r="M73" s="112">
        <f t="shared" si="209"/>
        <v>13.928571428571429</v>
      </c>
      <c r="N73" s="112">
        <f t="shared" si="209"/>
        <v>3.0158730158730158</v>
      </c>
      <c r="O73" s="112">
        <f t="shared" si="209"/>
        <v>10.773809523809524</v>
      </c>
      <c r="P73" s="112">
        <f t="shared" si="209"/>
        <v>15.277777777777779</v>
      </c>
      <c r="Q73" s="112">
        <f t="shared" si="209"/>
        <v>22.341269841269842</v>
      </c>
      <c r="R73" s="112">
        <f t="shared" si="209"/>
        <v>18.86904761904762</v>
      </c>
      <c r="S73" s="112">
        <f t="shared" si="209"/>
        <v>35.396825396825399</v>
      </c>
      <c r="T73" s="112">
        <f t="shared" ref="T73:U73" si="210">T20/T57</f>
        <v>6.4636542239685664</v>
      </c>
      <c r="U73" s="112">
        <f t="shared" si="210"/>
        <v>5.7517482517482517</v>
      </c>
      <c r="V73" s="101">
        <f t="shared" si="198"/>
        <v>-0.1073444273234484</v>
      </c>
      <c r="W73" s="110"/>
      <c r="X73" s="112">
        <f t="shared" ref="X73:AG73" si="211">X20/X57</f>
        <v>6.0900863842040316</v>
      </c>
      <c r="Y73" s="112">
        <f t="shared" si="211"/>
        <v>6.4483267597454459</v>
      </c>
      <c r="Z73" s="112">
        <f t="shared" si="211"/>
        <v>6.827640098554002</v>
      </c>
      <c r="AA73" s="112">
        <f t="shared" si="211"/>
        <v>7.2292659867042373</v>
      </c>
      <c r="AB73" s="112">
        <f t="shared" si="211"/>
        <v>7.6545169270986051</v>
      </c>
      <c r="AC73" s="112">
        <f t="shared" si="211"/>
        <v>8.1047826286926394</v>
      </c>
      <c r="AD73" s="112">
        <f t="shared" si="211"/>
        <v>8.5815345480275003</v>
      </c>
      <c r="AE73" s="112">
        <f t="shared" si="211"/>
        <v>9.0863306979114711</v>
      </c>
      <c r="AF73" s="112">
        <f t="shared" si="211"/>
        <v>9.6208207389650884</v>
      </c>
      <c r="AG73" s="112">
        <f t="shared" si="211"/>
        <v>10.186751370668919</v>
      </c>
      <c r="AH73" s="116">
        <f t="shared" ref="AH73" si="212">((AG73/J73)^(1/($AG$3-$K$1) ))-1</f>
        <v>-8.4156837460366951E-2</v>
      </c>
      <c r="AI73" s="21">
        <f t="shared" si="18"/>
        <v>0.05</v>
      </c>
      <c r="AJ73" s="124">
        <f t="shared" si="206"/>
        <v>106.96088939202366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13">G7/G57</f>
        <v>149.34725848563968</v>
      </c>
      <c r="H74" s="112">
        <f t="shared" ref="H74:I74" si="214">H7/H57</f>
        <v>156.91906005221932</v>
      </c>
      <c r="I74" s="112">
        <f t="shared" si="214"/>
        <v>165.53524804177545</v>
      </c>
      <c r="J74" s="112">
        <f t="shared" ref="J74:S74" si="215">J7/J57</f>
        <v>201.50862068965517</v>
      </c>
      <c r="K74" s="112">
        <f t="shared" si="215"/>
        <v>24.201474201474198</v>
      </c>
      <c r="L74" s="112">
        <f t="shared" si="215"/>
        <v>26.765873015873016</v>
      </c>
      <c r="M74" s="112">
        <f t="shared" si="215"/>
        <v>39.027777777777779</v>
      </c>
      <c r="N74" s="112">
        <f t="shared" si="215"/>
        <v>47.857142857142861</v>
      </c>
      <c r="O74" s="112">
        <f t="shared" si="215"/>
        <v>56.19047619047619</v>
      </c>
      <c r="P74" s="112">
        <f t="shared" si="215"/>
        <v>67.460317460317455</v>
      </c>
      <c r="Q74" s="112">
        <f t="shared" si="215"/>
        <v>90.753968253968253</v>
      </c>
      <c r="R74" s="112">
        <f t="shared" si="215"/>
        <v>99.980158730158735</v>
      </c>
      <c r="S74" s="112">
        <f t="shared" si="215"/>
        <v>122.59920634920636</v>
      </c>
      <c r="T74" s="112">
        <f t="shared" ref="T74:U74" si="216">T7/T57</f>
        <v>143.20235756385068</v>
      </c>
      <c r="U74" s="112">
        <f t="shared" si="216"/>
        <v>170.90909090909091</v>
      </c>
      <c r="V74" s="101">
        <f t="shared" si="198"/>
        <v>9.6792289857878799E-3</v>
      </c>
      <c r="W74" s="110"/>
      <c r="X74" s="135">
        <f t="shared" ref="X74:AG74" si="217">X7/X57</f>
        <v>180.96256684491979</v>
      </c>
      <c r="Y74" s="135">
        <f t="shared" si="217"/>
        <v>191.60742371815039</v>
      </c>
      <c r="Z74" s="135">
        <f t="shared" si="217"/>
        <v>202.87844864274746</v>
      </c>
      <c r="AA74" s="135">
        <f t="shared" si="217"/>
        <v>214.81247503349732</v>
      </c>
      <c r="AB74" s="135">
        <f t="shared" si="217"/>
        <v>227.44850297664422</v>
      </c>
      <c r="AC74" s="135">
        <f t="shared" si="217"/>
        <v>240.82782668115271</v>
      </c>
      <c r="AD74" s="135">
        <f t="shared" si="217"/>
        <v>254.99416942710283</v>
      </c>
      <c r="AE74" s="135">
        <f t="shared" si="217"/>
        <v>269.99382645222653</v>
      </c>
      <c r="AF74" s="135">
        <f t="shared" si="217"/>
        <v>285.87581624353402</v>
      </c>
      <c r="AG74" s="135">
        <f t="shared" si="217"/>
        <v>302.69204072844781</v>
      </c>
      <c r="AH74" s="116">
        <f t="shared" si="205"/>
        <v>1.7848003651307121E-2</v>
      </c>
      <c r="AI74" s="21">
        <f t="shared" si="18"/>
        <v>0.05</v>
      </c>
      <c r="AJ74" s="124">
        <f t="shared" si="206"/>
        <v>3178.2664276487021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18">G6/G57</f>
        <v>138.38120104438642</v>
      </c>
      <c r="H75" s="122">
        <f t="shared" ref="H75:I75" si="219">H6/H57</f>
        <v>145.95300261096605</v>
      </c>
      <c r="I75" s="122">
        <f t="shared" si="219"/>
        <v>154.56919060052218</v>
      </c>
      <c r="J75" s="122">
        <f t="shared" ref="J75:S75" si="220">J6/J57</f>
        <v>188.14655172413794</v>
      </c>
      <c r="K75" s="122">
        <f t="shared" si="220"/>
        <v>23.034398034398034</v>
      </c>
      <c r="L75" s="122">
        <f t="shared" si="220"/>
        <v>25.714285714285715</v>
      </c>
      <c r="M75" s="122">
        <f t="shared" si="220"/>
        <v>37.976190476190474</v>
      </c>
      <c r="N75" s="122">
        <f t="shared" si="220"/>
        <v>46.845238095238095</v>
      </c>
      <c r="O75" s="122">
        <f t="shared" si="220"/>
        <v>55.198412698412703</v>
      </c>
      <c r="P75" s="122">
        <f t="shared" si="220"/>
        <v>66.25</v>
      </c>
      <c r="Q75" s="122">
        <f t="shared" si="220"/>
        <v>89.543650793650798</v>
      </c>
      <c r="R75" s="122">
        <f t="shared" si="220"/>
        <v>98.968253968253975</v>
      </c>
      <c r="S75" s="122">
        <f t="shared" si="220"/>
        <v>121.5873015873016</v>
      </c>
      <c r="T75" s="122">
        <f t="shared" ref="T75:U75" si="221">T6/T57</f>
        <v>142.22003929273086</v>
      </c>
      <c r="U75" s="122">
        <f t="shared" si="221"/>
        <v>169.91258741258741</v>
      </c>
      <c r="V75" s="101">
        <f t="shared" si="198"/>
        <v>1.4770297772344287E-2</v>
      </c>
      <c r="W75" s="110"/>
      <c r="X75" s="134">
        <f t="shared" ref="X75:AG75" si="222">X6/X57</f>
        <v>179.9074454956808</v>
      </c>
      <c r="Y75" s="134">
        <f t="shared" si="222"/>
        <v>190.49023640719145</v>
      </c>
      <c r="Z75" s="134">
        <f t="shared" si="222"/>
        <v>201.6955444311439</v>
      </c>
      <c r="AA75" s="134">
        <f t="shared" si="222"/>
        <v>213.55998822121117</v>
      </c>
      <c r="AB75" s="134">
        <f t="shared" si="222"/>
        <v>226.12234046951772</v>
      </c>
      <c r="AC75" s="134">
        <f t="shared" si="222"/>
        <v>239.42365461478349</v>
      </c>
      <c r="AD75" s="134">
        <f t="shared" si="222"/>
        <v>253.50739900388839</v>
      </c>
      <c r="AE75" s="134">
        <f t="shared" si="222"/>
        <v>268.41959894529361</v>
      </c>
      <c r="AF75" s="134">
        <f t="shared" si="222"/>
        <v>284.20898711854613</v>
      </c>
      <c r="AG75" s="134">
        <f t="shared" si="222"/>
        <v>300.92716283140186</v>
      </c>
      <c r="AH75" s="116">
        <f t="shared" si="205"/>
        <v>2.0629340453833134E-2</v>
      </c>
      <c r="AI75" s="21">
        <f t="shared" si="18"/>
        <v>0.05</v>
      </c>
      <c r="AJ75" s="124">
        <f t="shared" si="206"/>
        <v>3159.7352097297203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23">G10/G57</f>
        <v>109.92167101827675</v>
      </c>
      <c r="H76" s="122">
        <f t="shared" ref="H76:I76" si="224">H10/H57</f>
        <v>142.03655352480416</v>
      </c>
      <c r="I76" s="122">
        <f t="shared" si="224"/>
        <v>195.822454308094</v>
      </c>
      <c r="J76" s="122">
        <f t="shared" ref="J76:S76" si="225">J10/J57</f>
        <v>177.37068965517241</v>
      </c>
      <c r="K76" s="122">
        <f t="shared" si="225"/>
        <v>13.226863226863227</v>
      </c>
      <c r="L76" s="122">
        <f t="shared" si="225"/>
        <v>17.658730158730158</v>
      </c>
      <c r="M76" s="122">
        <f t="shared" si="225"/>
        <v>33.86904761904762</v>
      </c>
      <c r="N76" s="122">
        <f t="shared" si="225"/>
        <v>49.206349206349209</v>
      </c>
      <c r="O76" s="122">
        <f t="shared" si="225"/>
        <v>50.57539682539683</v>
      </c>
      <c r="P76" s="122">
        <f t="shared" si="225"/>
        <v>45.257936507936506</v>
      </c>
      <c r="Q76" s="122">
        <f t="shared" si="225"/>
        <v>19.603174603174605</v>
      </c>
      <c r="R76" s="122">
        <f t="shared" si="225"/>
        <v>15.873015873015873</v>
      </c>
      <c r="S76" s="122">
        <f t="shared" si="225"/>
        <v>26.765873015873016</v>
      </c>
      <c r="T76" s="122">
        <f t="shared" ref="T76:U76" si="226">T10/T57</f>
        <v>63.732809430255408</v>
      </c>
      <c r="U76" s="122">
        <f t="shared" si="226"/>
        <v>77.709790209790199</v>
      </c>
      <c r="V76" s="101">
        <f t="shared" si="198"/>
        <v>-2.4466213394801151E-2</v>
      </c>
      <c r="W76" s="110"/>
      <c r="X76" s="134">
        <f t="shared" ref="X76:AG76" si="227">X10/X57</f>
        <v>82.280954339777878</v>
      </c>
      <c r="Y76" s="134">
        <f t="shared" si="227"/>
        <v>87.121010477411872</v>
      </c>
      <c r="Z76" s="134">
        <f t="shared" si="227"/>
        <v>92.245775799612574</v>
      </c>
      <c r="AA76" s="134">
        <f t="shared" si="227"/>
        <v>97.671997905472139</v>
      </c>
      <c r="AB76" s="134">
        <f t="shared" si="227"/>
        <v>103.41740954697052</v>
      </c>
      <c r="AC76" s="134">
        <f t="shared" si="227"/>
        <v>109.50078657914526</v>
      </c>
      <c r="AD76" s="134">
        <f t="shared" si="227"/>
        <v>115.94200931909496</v>
      </c>
      <c r="AE76" s="134">
        <f t="shared" si="227"/>
        <v>122.76212751433583</v>
      </c>
      <c r="AF76" s="134">
        <f t="shared" si="227"/>
        <v>129.98342913282619</v>
      </c>
      <c r="AG76" s="134">
        <f t="shared" si="227"/>
        <v>137.62951319946305</v>
      </c>
      <c r="AH76" s="116">
        <f t="shared" si="205"/>
        <v>-1.0968809768231891E-2</v>
      </c>
      <c r="AI76" s="21">
        <f t="shared" si="18"/>
        <v>0.05</v>
      </c>
      <c r="AJ76" s="124">
        <f t="shared" si="206"/>
        <v>1445.109888594362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0"/>
      <c r="W77" s="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28">(G7-G10)/G57</f>
        <v>39.425587467362924</v>
      </c>
      <c r="H78" s="122">
        <f t="shared" ref="H78:I78" si="229">(H7-H10)/H57</f>
        <v>14.882506527415144</v>
      </c>
      <c r="I78" s="122">
        <f t="shared" si="229"/>
        <v>-30.287206266318538</v>
      </c>
      <c r="J78" s="122">
        <f t="shared" ref="J78:S78" si="230">(J7-J10)/J57</f>
        <v>24.137931034482762</v>
      </c>
      <c r="K78" s="122">
        <f t="shared" si="230"/>
        <v>10.974610974610973</v>
      </c>
      <c r="L78" s="122">
        <f t="shared" si="230"/>
        <v>9.1071428571428577</v>
      </c>
      <c r="M78" s="122">
        <f t="shared" si="230"/>
        <v>5.1587301587301591</v>
      </c>
      <c r="N78" s="122">
        <f t="shared" si="230"/>
        <v>-1.3492063492063493</v>
      </c>
      <c r="O78" s="122">
        <f t="shared" si="230"/>
        <v>5.6150793650793656</v>
      </c>
      <c r="P78" s="122">
        <f t="shared" si="230"/>
        <v>22.202380952380953</v>
      </c>
      <c r="Q78" s="122">
        <f t="shared" si="230"/>
        <v>71.150793650793659</v>
      </c>
      <c r="R78" s="122">
        <f t="shared" si="230"/>
        <v>84.107142857142861</v>
      </c>
      <c r="S78" s="122">
        <f t="shared" si="230"/>
        <v>95.833333333333343</v>
      </c>
      <c r="T78" s="122">
        <f t="shared" ref="T78:U78" si="231">(T7-T10)/T57</f>
        <v>79.469548133595282</v>
      </c>
      <c r="U78" s="122">
        <f t="shared" si="231"/>
        <v>93.199300699300693</v>
      </c>
      <c r="V78" s="101">
        <f t="shared" si="198"/>
        <v>6.3379239260735076E-2</v>
      </c>
      <c r="W78" s="110"/>
      <c r="X78" s="134">
        <f t="shared" ref="X78:AG78" si="232">(X7-X10)/X57</f>
        <v>98.681612505141914</v>
      </c>
      <c r="Y78" s="134">
        <f t="shared" si="232"/>
        <v>104.4864132407385</v>
      </c>
      <c r="Z78" s="134">
        <f t="shared" si="232"/>
        <v>110.63267284313488</v>
      </c>
      <c r="AA78" s="134">
        <f t="shared" si="232"/>
        <v>117.14047712802517</v>
      </c>
      <c r="AB78" s="134">
        <f t="shared" si="232"/>
        <v>124.03109342967372</v>
      </c>
      <c r="AC78" s="134">
        <f t="shared" si="232"/>
        <v>131.32704010200746</v>
      </c>
      <c r="AD78" s="134">
        <f t="shared" si="232"/>
        <v>139.05216010800785</v>
      </c>
      <c r="AE78" s="134">
        <f t="shared" si="232"/>
        <v>147.23169893789068</v>
      </c>
      <c r="AF78" s="134">
        <f t="shared" si="232"/>
        <v>155.8923871107078</v>
      </c>
      <c r="AG78" s="134">
        <f t="shared" si="232"/>
        <v>165.06252752898473</v>
      </c>
      <c r="AH78" s="116">
        <f t="shared" si="205"/>
        <v>8.7181632294951017E-2</v>
      </c>
      <c r="AI78" s="21">
        <f t="shared" si="18"/>
        <v>0.05</v>
      </c>
      <c r="AJ78" s="124">
        <f t="shared" si="206"/>
        <v>1733.1565390543399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33">(G7-G10-G9)/G57</f>
        <v>-57.963446475195823</v>
      </c>
      <c r="H79" s="122">
        <f t="shared" ref="H79:I79" si="234">(H7-H10-H9)/H57</f>
        <v>-112.53263707571801</v>
      </c>
      <c r="I79" s="122">
        <f t="shared" si="234"/>
        <v>-168.40731070496082</v>
      </c>
      <c r="J79" s="122">
        <f t="shared" ref="J79:S79" si="235">(J7-J10-J9)/J57</f>
        <v>-189.22413793103451</v>
      </c>
      <c r="K79" s="122">
        <f t="shared" si="235"/>
        <v>-7.2481572481572476</v>
      </c>
      <c r="L79" s="122">
        <f t="shared" si="235"/>
        <v>-6.8055555555555554</v>
      </c>
      <c r="M79" s="122">
        <f t="shared" si="235"/>
        <v>-26.746031746031747</v>
      </c>
      <c r="N79" s="122">
        <f t="shared" si="235"/>
        <v>-41.587301587301589</v>
      </c>
      <c r="O79" s="122">
        <f t="shared" si="235"/>
        <v>-44.146825396825399</v>
      </c>
      <c r="P79" s="122">
        <f t="shared" si="235"/>
        <v>-22.539682539682541</v>
      </c>
      <c r="Q79" s="122">
        <f t="shared" si="235"/>
        <v>15.892857142857144</v>
      </c>
      <c r="R79" s="122">
        <f t="shared" si="235"/>
        <v>43.353174603174601</v>
      </c>
      <c r="S79" s="122">
        <f t="shared" si="235"/>
        <v>40.892857142857146</v>
      </c>
      <c r="T79" s="122">
        <f t="shared" ref="T79:U79" si="236">(T7-T10-T9)/T57</f>
        <v>-5.442043222003929</v>
      </c>
      <c r="U79" s="122">
        <f t="shared" si="236"/>
        <v>-3.2342657342657342</v>
      </c>
      <c r="V79" s="101">
        <f t="shared" si="198"/>
        <v>-0.18628379640237058</v>
      </c>
      <c r="W79" s="110"/>
      <c r="X79" s="134">
        <f t="shared" ref="X79:AG79" si="237">(X7-X10-X9)/X57</f>
        <v>-3.4245166598107959</v>
      </c>
      <c r="Y79" s="134">
        <f t="shared" si="237"/>
        <v>-3.6259588162702445</v>
      </c>
      <c r="Z79" s="134">
        <f t="shared" si="237"/>
        <v>-3.8392505113449737</v>
      </c>
      <c r="AA79" s="134">
        <f t="shared" si="237"/>
        <v>-4.0650887767182118</v>
      </c>
      <c r="AB79" s="134">
        <f t="shared" si="237"/>
        <v>-4.3042116459369284</v>
      </c>
      <c r="AC79" s="134">
        <f t="shared" si="237"/>
        <v>-4.5574005662861659</v>
      </c>
      <c r="AD79" s="134">
        <f t="shared" si="237"/>
        <v>-4.8254829525383149</v>
      </c>
      <c r="AE79" s="134">
        <f t="shared" si="237"/>
        <v>-5.1093348909229013</v>
      </c>
      <c r="AF79" s="134">
        <f t="shared" si="237"/>
        <v>-5.4098840021536736</v>
      </c>
      <c r="AG79" s="134">
        <f t="shared" si="237"/>
        <v>-5.728112472868613</v>
      </c>
      <c r="AH79" s="116">
        <f t="shared" si="205"/>
        <v>-0.14106946233102591</v>
      </c>
      <c r="AI79" s="21">
        <f t="shared" si="18"/>
        <v>0.05</v>
      </c>
      <c r="AJ79" s="124">
        <f t="shared" si="206"/>
        <v>-60.145180965120439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238">(G7+G15-G10-G9)/G57</f>
        <v>57.441253263707573</v>
      </c>
      <c r="H80" s="122">
        <f t="shared" ref="H80:I80" si="239">(H7+H15-H10-H9)/H57</f>
        <v>39.164490861618795</v>
      </c>
      <c r="I80" s="122">
        <f t="shared" si="239"/>
        <v>11.74934725848564</v>
      </c>
      <c r="J80" s="122">
        <f t="shared" ref="J80:S80" si="240">(J7+J15-J10-J9)/J57</f>
        <v>60.560344827586214</v>
      </c>
      <c r="K80" s="122">
        <f t="shared" si="240"/>
        <v>17.301392301392301</v>
      </c>
      <c r="L80" s="122">
        <f t="shared" si="240"/>
        <v>13.888888888888889</v>
      </c>
      <c r="M80" s="122">
        <f t="shared" si="240"/>
        <v>14.186507936507937</v>
      </c>
      <c r="N80" s="122">
        <f t="shared" si="240"/>
        <v>15.833333333333334</v>
      </c>
      <c r="O80" s="122">
        <f t="shared" si="240"/>
        <v>21.666666666666668</v>
      </c>
      <c r="P80" s="122">
        <f t="shared" si="240"/>
        <v>44.047619047619051</v>
      </c>
      <c r="Q80" s="122">
        <f t="shared" si="240"/>
        <v>90.555555555555557</v>
      </c>
      <c r="R80" s="122">
        <f t="shared" si="240"/>
        <v>109.44444444444444</v>
      </c>
      <c r="S80" s="122">
        <f t="shared" si="240"/>
        <v>112.77777777777779</v>
      </c>
      <c r="T80" s="122">
        <f t="shared" ref="T80:U80" si="241">(T7+T15-T10-T9)/T57</f>
        <v>75.284872298624762</v>
      </c>
      <c r="U80" s="122">
        <f t="shared" si="241"/>
        <v>83.811188811188813</v>
      </c>
      <c r="V80" s="101">
        <f t="shared" si="198"/>
        <v>2.73534030900624E-2</v>
      </c>
      <c r="W80" s="110"/>
      <c r="X80" s="134">
        <f t="shared" ref="X80:AG80" si="242">(X7+X15-X10-X9)/X57</f>
        <v>88.741258741258747</v>
      </c>
      <c r="Y80" s="134">
        <f t="shared" si="242"/>
        <v>93.961332784862222</v>
      </c>
      <c r="Z80" s="134">
        <f t="shared" si="242"/>
        <v>99.488470007501135</v>
      </c>
      <c r="AA80" s="134">
        <f t="shared" si="242"/>
        <v>105.34073294911889</v>
      </c>
      <c r="AB80" s="134">
        <f t="shared" si="242"/>
        <v>111.53724665200819</v>
      </c>
      <c r="AC80" s="134">
        <f t="shared" si="242"/>
        <v>118.09826116094986</v>
      </c>
      <c r="AD80" s="134">
        <f t="shared" si="242"/>
        <v>125.04521769982924</v>
      </c>
      <c r="AE80" s="134">
        <f t="shared" si="242"/>
        <v>132.4008187409957</v>
      </c>
      <c r="AF80" s="134">
        <f t="shared" si="242"/>
        <v>140.1891021963483</v>
      </c>
      <c r="AG80" s="134">
        <f t="shared" si="242"/>
        <v>148.43551997260417</v>
      </c>
      <c r="AH80" s="116">
        <f t="shared" si="205"/>
        <v>3.9748348162790048E-2</v>
      </c>
      <c r="AI80" s="21">
        <f t="shared" si="18"/>
        <v>0.05</v>
      </c>
      <c r="AJ80" s="124">
        <f t="shared" si="206"/>
        <v>1558.5729597123438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0"/>
      <c r="W81" s="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243">G12/G57</f>
        <v>28.720626631853786</v>
      </c>
      <c r="H82" s="122">
        <f t="shared" ref="H82:I82" si="244">H12/H57</f>
        <v>31.592689295039165</v>
      </c>
      <c r="I82" s="122">
        <f t="shared" si="244"/>
        <v>60.313315926892948</v>
      </c>
      <c r="J82" s="122">
        <f t="shared" ref="J82:S82" si="245">J12/J57</f>
        <v>41.594827586206897</v>
      </c>
      <c r="K82" s="122">
        <f t="shared" si="245"/>
        <v>5.8353808353808354</v>
      </c>
      <c r="L82" s="122">
        <f t="shared" si="245"/>
        <v>7.162698412698413</v>
      </c>
      <c r="M82" s="122">
        <f t="shared" si="245"/>
        <v>6.9047619047619051</v>
      </c>
      <c r="N82" s="122">
        <f t="shared" si="245"/>
        <v>3.78968253968254</v>
      </c>
      <c r="O82" s="122">
        <f t="shared" si="245"/>
        <v>3.4325396825396828</v>
      </c>
      <c r="P82" s="122">
        <f t="shared" si="245"/>
        <v>6.6468253968253972</v>
      </c>
      <c r="Q82" s="122">
        <f t="shared" si="245"/>
        <v>12.976190476190476</v>
      </c>
      <c r="R82" s="122">
        <f t="shared" si="245"/>
        <v>11.805555555555555</v>
      </c>
      <c r="S82" s="122">
        <f t="shared" si="245"/>
        <v>11.805555555555555</v>
      </c>
      <c r="T82" s="122">
        <f t="shared" ref="T82:U82" si="246">T12/T57</f>
        <v>6.601178781925344</v>
      </c>
      <c r="U82" s="122">
        <f t="shared" si="246"/>
        <v>10.472027972027972</v>
      </c>
      <c r="V82" s="101">
        <f t="shared" si="198"/>
        <v>-6.9529444693015696E-2</v>
      </c>
      <c r="W82" s="110"/>
      <c r="X82" s="134">
        <f t="shared" ref="X82:AG82" si="247">X12/X57</f>
        <v>11.088029617441384</v>
      </c>
      <c r="Y82" s="134">
        <f t="shared" si="247"/>
        <v>11.740266653761465</v>
      </c>
      <c r="Z82" s="134">
        <f t="shared" si="247"/>
        <v>12.430870574570962</v>
      </c>
      <c r="AA82" s="134">
        <f t="shared" si="247"/>
        <v>13.162098255428079</v>
      </c>
      <c r="AB82" s="134">
        <f t="shared" si="247"/>
        <v>13.936339329276789</v>
      </c>
      <c r="AC82" s="134">
        <f t="shared" si="247"/>
        <v>14.756123995704835</v>
      </c>
      <c r="AD82" s="134">
        <f t="shared" si="247"/>
        <v>15.624131289569826</v>
      </c>
      <c r="AE82" s="134">
        <f t="shared" si="247"/>
        <v>16.543197836015111</v>
      </c>
      <c r="AF82" s="134">
        <f t="shared" si="247"/>
        <v>17.51632712048659</v>
      </c>
      <c r="AG82" s="134">
        <f t="shared" si="247"/>
        <v>18.546699304044623</v>
      </c>
      <c r="AH82" s="116">
        <f t="shared" si="205"/>
        <v>-3.450725847265268E-2</v>
      </c>
      <c r="AI82" s="21">
        <f t="shared" si="18"/>
        <v>0.05</v>
      </c>
      <c r="AJ82" s="124">
        <f t="shared" si="206"/>
        <v>194.74034269246854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248">G13/G57</f>
        <v>16.710182767624019</v>
      </c>
      <c r="H83" s="122">
        <f t="shared" ref="H83:I83" si="249">H13/H57</f>
        <v>0.78328981723237601</v>
      </c>
      <c r="I83" s="122">
        <f t="shared" si="249"/>
        <v>0.10443864229765014</v>
      </c>
      <c r="J83" s="122">
        <f t="shared" ref="J83:S83" si="250">J13/J57</f>
        <v>1.0775862068965518</v>
      </c>
      <c r="K83" s="122">
        <f t="shared" si="250"/>
        <v>0.10237510237510236</v>
      </c>
      <c r="L83" s="122">
        <f t="shared" si="250"/>
        <v>9.9206349206349215E-2</v>
      </c>
      <c r="M83" s="122">
        <f t="shared" si="250"/>
        <v>0.11904761904761905</v>
      </c>
      <c r="N83" s="122">
        <f t="shared" si="250"/>
        <v>0.21825396825396826</v>
      </c>
      <c r="O83" s="122">
        <f t="shared" si="250"/>
        <v>0.31746031746031744</v>
      </c>
      <c r="P83" s="122">
        <f t="shared" si="250"/>
        <v>1.0912698412698414</v>
      </c>
      <c r="Q83" s="122">
        <f t="shared" si="250"/>
        <v>1.2698412698412698</v>
      </c>
      <c r="R83" s="122">
        <f t="shared" si="250"/>
        <v>2.916666666666667</v>
      </c>
      <c r="S83" s="122">
        <f t="shared" si="250"/>
        <v>2.4206349206349209</v>
      </c>
      <c r="T83" s="122">
        <f t="shared" ref="T83:U83" si="251">T13/T57</f>
        <v>7.7799607072691552</v>
      </c>
      <c r="U83" s="122">
        <f t="shared" si="251"/>
        <v>23.46153846153846</v>
      </c>
      <c r="V83" s="101">
        <f t="shared" si="198"/>
        <v>2.4535016341632021E-2</v>
      </c>
      <c r="W83" s="110"/>
      <c r="X83" s="134">
        <f t="shared" ref="X83:AG83" si="252">X13/X57</f>
        <v>24.841628959276019</v>
      </c>
      <c r="Y83" s="134">
        <f t="shared" si="252"/>
        <v>26.30290125099814</v>
      </c>
      <c r="Z83" s="134">
        <f t="shared" si="252"/>
        <v>27.850130736350973</v>
      </c>
      <c r="AA83" s="134">
        <f t="shared" si="252"/>
        <v>29.488373720842208</v>
      </c>
      <c r="AB83" s="134">
        <f t="shared" si="252"/>
        <v>31.222983939715281</v>
      </c>
      <c r="AC83" s="134">
        <f t="shared" si="252"/>
        <v>33.059630053816178</v>
      </c>
      <c r="AD83" s="134">
        <f t="shared" si="252"/>
        <v>35.004314174628895</v>
      </c>
      <c r="AE83" s="134">
        <f t="shared" si="252"/>
        <v>37.063391479018826</v>
      </c>
      <c r="AF83" s="134">
        <f t="shared" si="252"/>
        <v>39.243590977784642</v>
      </c>
      <c r="AG83" s="134">
        <f t="shared" si="252"/>
        <v>41.552037505889629</v>
      </c>
      <c r="AH83" s="116">
        <f t="shared" si="205"/>
        <v>0.1720944830487916</v>
      </c>
      <c r="AI83" s="21">
        <f t="shared" si="18"/>
        <v>0.05</v>
      </c>
      <c r="AJ83" s="124">
        <f t="shared" si="206"/>
        <v>436.29639381184114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253">(G82+G83)</f>
        <v>45.430809399477809</v>
      </c>
      <c r="H84" s="122">
        <f t="shared" ref="H84:I84" si="254">(H82+H83)</f>
        <v>32.375979112271544</v>
      </c>
      <c r="I84" s="122">
        <f t="shared" si="254"/>
        <v>60.417754569190599</v>
      </c>
      <c r="J84" s="122">
        <f t="shared" ref="J84:S84" si="255">(J82+J83)</f>
        <v>42.672413793103452</v>
      </c>
      <c r="K84" s="122">
        <f t="shared" si="255"/>
        <v>5.9377559377559379</v>
      </c>
      <c r="L84" s="122">
        <f t="shared" si="255"/>
        <v>7.2619047619047619</v>
      </c>
      <c r="M84" s="122">
        <f t="shared" si="255"/>
        <v>7.0238095238095237</v>
      </c>
      <c r="N84" s="122">
        <f t="shared" si="255"/>
        <v>4.0079365079365079</v>
      </c>
      <c r="O84" s="122">
        <f t="shared" si="255"/>
        <v>3.75</v>
      </c>
      <c r="P84" s="122">
        <f t="shared" si="255"/>
        <v>7.738095238095239</v>
      </c>
      <c r="Q84" s="122">
        <f t="shared" si="255"/>
        <v>14.246031746031747</v>
      </c>
      <c r="R84" s="122">
        <f t="shared" ref="R84" si="256">(R82+R83)</f>
        <v>14.722222222222221</v>
      </c>
      <c r="S84" s="122">
        <f t="shared" si="255"/>
        <v>14.226190476190476</v>
      </c>
      <c r="T84" s="122">
        <f t="shared" ref="T84:U84" si="257">(T82+T83)</f>
        <v>14.381139489194499</v>
      </c>
      <c r="U84" s="122">
        <f t="shared" si="257"/>
        <v>33.933566433566433</v>
      </c>
      <c r="V84" s="101">
        <f t="shared" si="198"/>
        <v>-2.0626153495498567E-2</v>
      </c>
      <c r="W84" s="110"/>
      <c r="X84" s="134">
        <f t="shared" ref="X84:AG84" si="258">(X82+X83)</f>
        <v>35.929658576717401</v>
      </c>
      <c r="Y84" s="134">
        <f t="shared" si="258"/>
        <v>38.043167904759606</v>
      </c>
      <c r="Z84" s="134">
        <f t="shared" si="258"/>
        <v>40.281001310921937</v>
      </c>
      <c r="AA84" s="134">
        <f t="shared" si="258"/>
        <v>42.650471976270289</v>
      </c>
      <c r="AB84" s="134">
        <f t="shared" si="258"/>
        <v>45.159323268992068</v>
      </c>
      <c r="AC84" s="134">
        <f t="shared" si="258"/>
        <v>47.815754049521011</v>
      </c>
      <c r="AD84" s="134">
        <f t="shared" si="258"/>
        <v>50.62844546419872</v>
      </c>
      <c r="AE84" s="134">
        <f t="shared" si="258"/>
        <v>53.606589315033936</v>
      </c>
      <c r="AF84" s="134">
        <f t="shared" si="258"/>
        <v>56.759918098271228</v>
      </c>
      <c r="AG84" s="134">
        <f t="shared" si="258"/>
        <v>60.098736809934252</v>
      </c>
      <c r="AH84" s="116">
        <f t="shared" si="205"/>
        <v>1.4999914888727872E-2</v>
      </c>
      <c r="AI84" s="21">
        <f t="shared" si="18"/>
        <v>0.05</v>
      </c>
      <c r="AJ84" s="124">
        <f t="shared" si="206"/>
        <v>631.03673650430972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259">G15/G57</f>
        <v>115.40469973890339</v>
      </c>
      <c r="H85" s="122">
        <f t="shared" ref="H85:I85" si="260">H15/H57</f>
        <v>151.6971279373368</v>
      </c>
      <c r="I85" s="122">
        <f t="shared" si="260"/>
        <v>180.15665796344646</v>
      </c>
      <c r="J85" s="122">
        <f t="shared" ref="J85:S85" si="261">J15/J57</f>
        <v>249.7844827586207</v>
      </c>
      <c r="K85" s="122">
        <f t="shared" si="261"/>
        <v>24.549549549549546</v>
      </c>
      <c r="L85" s="122">
        <f t="shared" si="261"/>
        <v>20.694444444444446</v>
      </c>
      <c r="M85" s="122">
        <f t="shared" si="261"/>
        <v>40.932539682539684</v>
      </c>
      <c r="N85" s="122">
        <f t="shared" si="261"/>
        <v>57.420634920634924</v>
      </c>
      <c r="O85" s="122">
        <f t="shared" si="261"/>
        <v>65.813492063492063</v>
      </c>
      <c r="P85" s="122">
        <f t="shared" si="261"/>
        <v>66.587301587301596</v>
      </c>
      <c r="Q85" s="122">
        <f t="shared" si="261"/>
        <v>74.662698412698418</v>
      </c>
      <c r="R85" s="122">
        <f t="shared" si="261"/>
        <v>66.091269841269849</v>
      </c>
      <c r="S85" s="122">
        <f t="shared" si="261"/>
        <v>71.884920634920633</v>
      </c>
      <c r="T85" s="122">
        <f t="shared" ref="T85:U85" si="262">T15/T57</f>
        <v>80.72691552062868</v>
      </c>
      <c r="U85" s="122">
        <f t="shared" si="262"/>
        <v>87.045454545454547</v>
      </c>
      <c r="V85" s="101">
        <f t="shared" si="198"/>
        <v>-1.9942369278366456E-2</v>
      </c>
      <c r="W85" s="110"/>
      <c r="X85" s="134">
        <f t="shared" ref="X85:AG85" si="263">X15/X57</f>
        <v>92.165775401069524</v>
      </c>
      <c r="Y85" s="134">
        <f t="shared" si="263"/>
        <v>97.587291601132449</v>
      </c>
      <c r="Z85" s="134">
        <f t="shared" si="263"/>
        <v>103.32772051884612</v>
      </c>
      <c r="AA85" s="134">
        <f t="shared" si="263"/>
        <v>109.40582172583707</v>
      </c>
      <c r="AB85" s="134">
        <f t="shared" si="263"/>
        <v>115.84145829794515</v>
      </c>
      <c r="AC85" s="134">
        <f t="shared" si="263"/>
        <v>122.65566172723604</v>
      </c>
      <c r="AD85" s="134">
        <f t="shared" si="263"/>
        <v>129.87070065236756</v>
      </c>
      <c r="AE85" s="134">
        <f t="shared" si="263"/>
        <v>137.51015363191857</v>
      </c>
      <c r="AF85" s="134">
        <f t="shared" si="263"/>
        <v>145.59898619850205</v>
      </c>
      <c r="AG85" s="134">
        <f t="shared" si="263"/>
        <v>154.16363244547276</v>
      </c>
      <c r="AH85" s="116">
        <f t="shared" si="205"/>
        <v>-2.076331951520094E-2</v>
      </c>
      <c r="AI85" s="21">
        <f t="shared" si="18"/>
        <v>0.05</v>
      </c>
      <c r="AJ85" s="124">
        <f t="shared" si="206"/>
        <v>1618.7181406774644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264">G16/G57</f>
        <v>55.613577023498692</v>
      </c>
      <c r="H86" s="122">
        <f t="shared" ref="H86:I86" si="265">H16/H57</f>
        <v>62.663185378590079</v>
      </c>
      <c r="I86" s="122">
        <f t="shared" si="265"/>
        <v>121.40992167101828</v>
      </c>
      <c r="J86" s="122">
        <f t="shared" ref="J86:S86" si="266">J16/J57</f>
        <v>81.896551724137936</v>
      </c>
      <c r="K86" s="122">
        <f t="shared" si="266"/>
        <v>10.278460278460278</v>
      </c>
      <c r="L86" s="122">
        <f t="shared" si="266"/>
        <v>10.476190476190476</v>
      </c>
      <c r="M86" s="122">
        <f t="shared" si="266"/>
        <v>11.369047619047619</v>
      </c>
      <c r="N86" s="122">
        <f t="shared" si="266"/>
        <v>17.063492063492063</v>
      </c>
      <c r="O86" s="122">
        <f t="shared" si="266"/>
        <v>17.460317460317462</v>
      </c>
      <c r="P86" s="122">
        <f t="shared" si="266"/>
        <v>19.742063492063494</v>
      </c>
      <c r="Q86" s="122">
        <f t="shared" si="266"/>
        <v>17.043650793650794</v>
      </c>
      <c r="R86" s="122">
        <f t="shared" si="266"/>
        <v>21.666666666666668</v>
      </c>
      <c r="S86" s="122">
        <f t="shared" si="266"/>
        <v>32.420634920634924</v>
      </c>
      <c r="T86" s="122">
        <f t="shared" ref="T86:U86" si="267">T16/T57</f>
        <v>10.432220039292732</v>
      </c>
      <c r="U86" s="122">
        <f t="shared" si="267"/>
        <v>3.0069930069930066</v>
      </c>
      <c r="V86" s="101">
        <f t="shared" si="198"/>
        <v>-0.1881112155379483</v>
      </c>
      <c r="W86" s="110"/>
      <c r="X86" s="134">
        <f t="shared" ref="X86:AG86" si="268">X16/X57</f>
        <v>3.1838749485808311</v>
      </c>
      <c r="Y86" s="134">
        <f t="shared" si="268"/>
        <v>3.3711617102620566</v>
      </c>
      <c r="Z86" s="134">
        <f t="shared" si="268"/>
        <v>3.5694653402774716</v>
      </c>
      <c r="AA86" s="134">
        <f t="shared" si="268"/>
        <v>3.7794338897055586</v>
      </c>
      <c r="AB86" s="134">
        <f t="shared" si="268"/>
        <v>4.0017535302764742</v>
      </c>
      <c r="AC86" s="134">
        <f t="shared" si="268"/>
        <v>4.2371507967633253</v>
      </c>
      <c r="AD86" s="134">
        <f t="shared" si="268"/>
        <v>4.4863949612788145</v>
      </c>
      <c r="AE86" s="134">
        <f t="shared" si="268"/>
        <v>4.7503005472363915</v>
      </c>
      <c r="AF86" s="134">
        <f t="shared" si="268"/>
        <v>5.0297299911914743</v>
      </c>
      <c r="AG86" s="134">
        <f t="shared" si="268"/>
        <v>5.3255964612615614</v>
      </c>
      <c r="AH86" s="116">
        <f t="shared" si="205"/>
        <v>-0.11203516572083971</v>
      </c>
      <c r="AI86" s="115"/>
      <c r="AJ86" s="124">
        <f t="shared" si="206"/>
        <v>35.503976408410409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0"/>
      <c r="W87" s="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06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269">G59</f>
        <v>4.5</v>
      </c>
      <c r="H88" s="136">
        <f t="shared" ref="H88:I88" si="270">H59</f>
        <v>4.5</v>
      </c>
      <c r="I88" s="136">
        <f t="shared" si="270"/>
        <v>4.5</v>
      </c>
      <c r="J88" s="136">
        <f t="shared" ref="J88:S88" si="271">J59</f>
        <v>4.5</v>
      </c>
      <c r="K88" s="136">
        <f t="shared" si="271"/>
        <v>0.5</v>
      </c>
      <c r="L88" s="136">
        <f t="shared" si="271"/>
        <v>0.45</v>
      </c>
      <c r="M88" s="136">
        <f t="shared" si="271"/>
        <v>0.75</v>
      </c>
      <c r="N88" s="136">
        <f t="shared" si="271"/>
        <v>0.5</v>
      </c>
      <c r="O88" s="136">
        <f t="shared" si="271"/>
        <v>0.5</v>
      </c>
      <c r="P88" s="136">
        <f t="shared" si="271"/>
        <v>0.5</v>
      </c>
      <c r="Q88" s="136">
        <f t="shared" si="271"/>
        <v>0.75</v>
      </c>
      <c r="R88" s="136">
        <f t="shared" si="271"/>
        <v>2</v>
      </c>
      <c r="S88" s="136">
        <f t="shared" si="271"/>
        <v>2</v>
      </c>
      <c r="T88" s="136">
        <f t="shared" ref="T88:U88" si="272">T59</f>
        <v>3</v>
      </c>
      <c r="U88" s="136">
        <f t="shared" si="272"/>
        <v>3</v>
      </c>
      <c r="V88" s="101">
        <f t="shared" si="198"/>
        <v>-2.854642033934629E-2</v>
      </c>
      <c r="W88" s="110"/>
      <c r="X88" s="136">
        <f t="shared" ref="X88:AG88" si="273">X59</f>
        <v>3.06</v>
      </c>
      <c r="Y88" s="136">
        <f t="shared" si="273"/>
        <v>3.1212</v>
      </c>
      <c r="Z88" s="136">
        <f t="shared" si="273"/>
        <v>3.183624</v>
      </c>
      <c r="AA88" s="136">
        <f t="shared" si="273"/>
        <v>3.2472964800000002</v>
      </c>
      <c r="AB88" s="136">
        <f t="shared" si="273"/>
        <v>3.3122424096</v>
      </c>
      <c r="AC88" s="136">
        <f t="shared" si="273"/>
        <v>3.378487257792</v>
      </c>
      <c r="AD88" s="136">
        <f t="shared" si="273"/>
        <v>3.4460570029478399</v>
      </c>
      <c r="AE88" s="136">
        <f t="shared" si="273"/>
        <v>3.5149781430067968</v>
      </c>
      <c r="AF88" s="136">
        <f t="shared" si="273"/>
        <v>3.585277705866933</v>
      </c>
      <c r="AG88" s="136">
        <f t="shared" si="273"/>
        <v>3.6569832599842718</v>
      </c>
      <c r="AH88" s="116">
        <f t="shared" ref="AH88" si="274">((AG88/J88)^(1/($AG$3-$K$1) ))-1</f>
        <v>-8.9785298880192821E-3</v>
      </c>
      <c r="AI88" s="21">
        <f t="shared" si="18"/>
        <v>0.05</v>
      </c>
      <c r="AJ88" s="124">
        <f t="shared" si="206"/>
        <v>38.398324229834856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0"/>
      <c r="W89" s="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275">G20+G21</f>
        <v>-197</v>
      </c>
      <c r="H90" s="122">
        <f t="shared" ref="H90:I90" si="276">H20+H21</f>
        <v>-54</v>
      </c>
      <c r="I90" s="122">
        <f t="shared" si="276"/>
        <v>-13</v>
      </c>
      <c r="J90" s="122">
        <f t="shared" ref="J90:S90" si="277">J20+J21</f>
        <v>-43</v>
      </c>
      <c r="K90" s="122">
        <f t="shared" si="277"/>
        <v>259</v>
      </c>
      <c r="L90" s="122">
        <f t="shared" si="277"/>
        <v>-157</v>
      </c>
      <c r="M90" s="122">
        <f t="shared" si="277"/>
        <v>-351</v>
      </c>
      <c r="N90" s="122">
        <f t="shared" si="277"/>
        <v>-702</v>
      </c>
      <c r="O90" s="122">
        <f t="shared" si="277"/>
        <v>-4</v>
      </c>
      <c r="P90" s="122">
        <f t="shared" si="277"/>
        <v>363</v>
      </c>
      <c r="Q90" s="122">
        <f t="shared" si="277"/>
        <v>924</v>
      </c>
      <c r="R90" s="122">
        <f t="shared" si="277"/>
        <v>595</v>
      </c>
      <c r="S90" s="122">
        <f t="shared" si="277"/>
        <v>707</v>
      </c>
      <c r="T90" s="122">
        <f t="shared" ref="T90:U90" si="278">T20+T21</f>
        <v>-1066</v>
      </c>
      <c r="U90" s="122">
        <f t="shared" si="278"/>
        <v>1724</v>
      </c>
      <c r="V90" s="101" t="e">
        <f t="shared" si="198"/>
        <v>#NUM!</v>
      </c>
      <c r="W90" s="110"/>
      <c r="X90" s="122">
        <f t="shared" ref="X90:AG90" si="279">X20+X21</f>
        <v>1861.92</v>
      </c>
      <c r="Y90" s="122">
        <f t="shared" si="279"/>
        <v>2010.8736000000004</v>
      </c>
      <c r="Z90" s="122">
        <f t="shared" si="279"/>
        <v>2171.7434880000005</v>
      </c>
      <c r="AA90" s="122">
        <f t="shared" si="279"/>
        <v>2345.4829670400009</v>
      </c>
      <c r="AB90" s="122">
        <f t="shared" si="279"/>
        <v>2533.1216044032008</v>
      </c>
      <c r="AC90" s="122">
        <f t="shared" si="279"/>
        <v>2735.771332755457</v>
      </c>
      <c r="AD90" s="122">
        <f t="shared" si="279"/>
        <v>2954.633039375894</v>
      </c>
      <c r="AE90" s="122">
        <f t="shared" si="279"/>
        <v>3191.0036825259658</v>
      </c>
      <c r="AF90" s="122">
        <f t="shared" si="279"/>
        <v>3446.2839771280433</v>
      </c>
      <c r="AG90" s="122">
        <f t="shared" si="279"/>
        <v>3721.9866952982875</v>
      </c>
      <c r="AH90" s="116">
        <f t="shared" ref="AH90:AH95" si="280">((AG90/J90)^(1/($AG$3-$K$1) ))-1</f>
        <v>-2.2140336132873886</v>
      </c>
      <c r="AI90" s="21">
        <f t="shared" si="18"/>
        <v>0.05</v>
      </c>
      <c r="AJ90" s="124">
        <f t="shared" si="206"/>
        <v>39080.860300632026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0"/>
      <c r="W91" s="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281">G90/G57</f>
        <v>-51.436031331592687</v>
      </c>
      <c r="H92" s="122">
        <f t="shared" ref="H92:I92" si="282">H90/H57</f>
        <v>-14.099216710182768</v>
      </c>
      <c r="I92" s="122">
        <f t="shared" si="282"/>
        <v>-3.3942558746736293</v>
      </c>
      <c r="J92" s="122">
        <f t="shared" ref="J92:S92" si="283">J90/J57</f>
        <v>-9.2672413793103452</v>
      </c>
      <c r="K92" s="122">
        <f t="shared" si="283"/>
        <v>5.3030303030303028</v>
      </c>
      <c r="L92" s="122">
        <f t="shared" si="283"/>
        <v>-3.1150793650793651</v>
      </c>
      <c r="M92" s="122">
        <f t="shared" si="283"/>
        <v>-6.9642857142857144</v>
      </c>
      <c r="N92" s="122">
        <f t="shared" si="283"/>
        <v>-13.928571428571429</v>
      </c>
      <c r="O92" s="122">
        <f t="shared" si="283"/>
        <v>-7.9365079365079361E-2</v>
      </c>
      <c r="P92" s="122">
        <f t="shared" si="283"/>
        <v>7.2023809523809526</v>
      </c>
      <c r="Q92" s="122">
        <f t="shared" si="283"/>
        <v>18.333333333333332</v>
      </c>
      <c r="R92" s="122">
        <f t="shared" si="283"/>
        <v>11.805555555555555</v>
      </c>
      <c r="S92" s="122">
        <f t="shared" si="283"/>
        <v>14.027777777777779</v>
      </c>
      <c r="T92" s="122">
        <f t="shared" ref="T92:U92" si="284">T90/T57</f>
        <v>-20.943025540275048</v>
      </c>
      <c r="U92" s="122">
        <f t="shared" si="284"/>
        <v>30.13986013986014</v>
      </c>
      <c r="V92" s="101" t="e">
        <f t="shared" si="198"/>
        <v>#NUM!</v>
      </c>
      <c r="W92" s="110"/>
      <c r="X92" s="124">
        <f t="shared" ref="X92:AG92" si="285">X90/X57</f>
        <v>31.91279308926368</v>
      </c>
      <c r="Y92" s="124">
        <f t="shared" si="285"/>
        <v>33.790016212161547</v>
      </c>
      <c r="Z92" s="124">
        <f t="shared" si="285"/>
        <v>35.77766422464164</v>
      </c>
      <c r="AA92" s="124">
        <f t="shared" si="285"/>
        <v>37.882232708444093</v>
      </c>
      <c r="AB92" s="124">
        <f t="shared" si="285"/>
        <v>40.110599338352564</v>
      </c>
      <c r="AC92" s="124">
        <f t="shared" si="285"/>
        <v>42.470046358255651</v>
      </c>
      <c r="AD92" s="124">
        <f t="shared" si="285"/>
        <v>44.968284379329518</v>
      </c>
      <c r="AE92" s="124">
        <f t="shared" si="285"/>
        <v>47.613477578113603</v>
      </c>
      <c r="AF92" s="124">
        <f t="shared" si="285"/>
        <v>50.414270376826174</v>
      </c>
      <c r="AG92" s="124">
        <f t="shared" si="285"/>
        <v>53.379815693110082</v>
      </c>
      <c r="AH92" s="116">
        <f t="shared" si="280"/>
        <v>-2.0791008282268475</v>
      </c>
      <c r="AI92" s="21">
        <f t="shared" si="18"/>
        <v>0.05</v>
      </c>
      <c r="AJ92" s="124">
        <f t="shared" si="206"/>
        <v>560.48806477765595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286">G20/G57</f>
        <v>28.198433420365536</v>
      </c>
      <c r="H93" s="122">
        <f t="shared" ref="H93:I93" si="287">H20/H57</f>
        <v>28.459530026109661</v>
      </c>
      <c r="I93" s="122">
        <f t="shared" si="287"/>
        <v>20.365535248041777</v>
      </c>
      <c r="J93" s="122">
        <f t="shared" ref="J93:S93" si="288">J20/J57</f>
        <v>76.939655172413794</v>
      </c>
      <c r="K93" s="122">
        <f t="shared" si="288"/>
        <v>8.7633087633087623</v>
      </c>
      <c r="L93" s="122">
        <f t="shared" si="288"/>
        <v>6.4484126984126986</v>
      </c>
      <c r="M93" s="122">
        <f t="shared" si="288"/>
        <v>13.928571428571429</v>
      </c>
      <c r="N93" s="122">
        <f t="shared" si="288"/>
        <v>3.0158730158730158</v>
      </c>
      <c r="O93" s="122">
        <f t="shared" si="288"/>
        <v>10.773809523809524</v>
      </c>
      <c r="P93" s="122">
        <f t="shared" si="288"/>
        <v>15.277777777777779</v>
      </c>
      <c r="Q93" s="122">
        <f t="shared" si="288"/>
        <v>22.341269841269842</v>
      </c>
      <c r="R93" s="122">
        <f t="shared" si="288"/>
        <v>18.86904761904762</v>
      </c>
      <c r="S93" s="122">
        <f t="shared" si="288"/>
        <v>35.396825396825399</v>
      </c>
      <c r="T93" s="122">
        <f t="shared" ref="T93:U93" si="289">T20/T57</f>
        <v>6.4636542239685664</v>
      </c>
      <c r="U93" s="122">
        <f t="shared" si="289"/>
        <v>5.7517482517482517</v>
      </c>
      <c r="V93" s="101">
        <f t="shared" si="198"/>
        <v>-0.1073444273234484</v>
      </c>
      <c r="W93" s="110"/>
      <c r="X93" s="124">
        <f t="shared" ref="X93:AG93" si="290">X20/X57</f>
        <v>6.0900863842040316</v>
      </c>
      <c r="Y93" s="124">
        <f t="shared" si="290"/>
        <v>6.4483267597454459</v>
      </c>
      <c r="Z93" s="124">
        <f t="shared" si="290"/>
        <v>6.827640098554002</v>
      </c>
      <c r="AA93" s="124">
        <f t="shared" si="290"/>
        <v>7.2292659867042373</v>
      </c>
      <c r="AB93" s="124">
        <f t="shared" si="290"/>
        <v>7.6545169270986051</v>
      </c>
      <c r="AC93" s="124">
        <f t="shared" si="290"/>
        <v>8.1047826286926394</v>
      </c>
      <c r="AD93" s="124">
        <f t="shared" si="290"/>
        <v>8.5815345480275003</v>
      </c>
      <c r="AE93" s="124">
        <f t="shared" si="290"/>
        <v>9.0863306979114711</v>
      </c>
      <c r="AF93" s="124">
        <f t="shared" si="290"/>
        <v>9.6208207389650884</v>
      </c>
      <c r="AG93" s="124">
        <f t="shared" si="290"/>
        <v>10.186751370668919</v>
      </c>
      <c r="AH93" s="116">
        <f t="shared" si="280"/>
        <v>-8.4156837460366951E-2</v>
      </c>
      <c r="AI93" s="21">
        <f t="shared" si="18"/>
        <v>0.05</v>
      </c>
      <c r="AJ93" s="124">
        <f t="shared" si="206"/>
        <v>106.96088939202366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291">G21/G57</f>
        <v>-79.63446475195822</v>
      </c>
      <c r="H94" s="122">
        <f t="shared" ref="H94:I94" si="292">H21/H57</f>
        <v>-42.558746736292427</v>
      </c>
      <c r="I94" s="122">
        <f t="shared" si="292"/>
        <v>-23.759791122715406</v>
      </c>
      <c r="J94" s="122">
        <f t="shared" ref="J94:S94" si="293">J21/J57</f>
        <v>-86.206896551724142</v>
      </c>
      <c r="K94" s="122">
        <f t="shared" si="293"/>
        <v>-3.46027846027846</v>
      </c>
      <c r="L94" s="122">
        <f t="shared" si="293"/>
        <v>-9.5634920634920633</v>
      </c>
      <c r="M94" s="122">
        <f t="shared" si="293"/>
        <v>-20.892857142857142</v>
      </c>
      <c r="N94" s="122">
        <f t="shared" si="293"/>
        <v>-16.944444444444446</v>
      </c>
      <c r="O94" s="122">
        <f t="shared" si="293"/>
        <v>-10.853174603174603</v>
      </c>
      <c r="P94" s="122">
        <f t="shared" si="293"/>
        <v>-8.075396825396826</v>
      </c>
      <c r="Q94" s="122">
        <f t="shared" si="293"/>
        <v>-4.0079365079365079</v>
      </c>
      <c r="R94" s="122">
        <f t="shared" si="293"/>
        <v>-7.0634920634920633</v>
      </c>
      <c r="S94" s="122">
        <f t="shared" si="293"/>
        <v>-21.36904761904762</v>
      </c>
      <c r="T94" s="122">
        <f t="shared" ref="T94:U94" si="294">T21/T57</f>
        <v>-27.406679764243616</v>
      </c>
      <c r="U94" s="122">
        <f t="shared" si="294"/>
        <v>24.388111888111887</v>
      </c>
      <c r="V94" s="101" t="e">
        <f t="shared" si="198"/>
        <v>#NUM!</v>
      </c>
      <c r="W94" s="110"/>
      <c r="X94" s="124">
        <f t="shared" ref="X94:AG94" si="295">X21/X57</f>
        <v>25.822706705059648</v>
      </c>
      <c r="Y94" s="124">
        <f t="shared" si="295"/>
        <v>27.341689452416098</v>
      </c>
      <c r="Z94" s="124">
        <f t="shared" si="295"/>
        <v>28.950024126087634</v>
      </c>
      <c r="AA94" s="124">
        <f t="shared" si="295"/>
        <v>30.652966721739851</v>
      </c>
      <c r="AB94" s="124">
        <f t="shared" si="295"/>
        <v>32.456082411253959</v>
      </c>
      <c r="AC94" s="124">
        <f t="shared" si="295"/>
        <v>34.365263729563019</v>
      </c>
      <c r="AD94" s="124">
        <f t="shared" si="295"/>
        <v>36.386749831302019</v>
      </c>
      <c r="AE94" s="124">
        <f t="shared" si="295"/>
        <v>38.527146880202132</v>
      </c>
      <c r="AF94" s="124">
        <f t="shared" si="295"/>
        <v>40.793449637861087</v>
      </c>
      <c r="AG94" s="124">
        <f t="shared" si="295"/>
        <v>43.19306432244116</v>
      </c>
      <c r="AH94" s="116">
        <f t="shared" si="280"/>
        <v>-1.9704003773802881</v>
      </c>
      <c r="AI94" s="21">
        <f t="shared" si="18"/>
        <v>0.05</v>
      </c>
      <c r="AJ94" s="124">
        <f t="shared" si="206"/>
        <v>453.52717538563223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296">G22/G57</f>
        <v>53.785900783289819</v>
      </c>
      <c r="H95" s="122">
        <f t="shared" ref="H95:I95" si="297">H22/H57</f>
        <v>15.404699738903394</v>
      </c>
      <c r="I95" s="122">
        <f t="shared" si="297"/>
        <v>34.725848563968668</v>
      </c>
      <c r="J95" s="122">
        <f t="shared" ref="J95:S95" si="298">J22/J57</f>
        <v>-3.6637931034482762</v>
      </c>
      <c r="K95" s="122">
        <f t="shared" si="298"/>
        <v>-3.3783783783783781</v>
      </c>
      <c r="L95" s="122">
        <f t="shared" si="298"/>
        <v>3.5714285714285716</v>
      </c>
      <c r="M95" s="122">
        <f t="shared" si="298"/>
        <v>6.4880952380952381</v>
      </c>
      <c r="N95" s="122">
        <f t="shared" si="298"/>
        <v>11.646825396825397</v>
      </c>
      <c r="O95" s="122">
        <f t="shared" si="298"/>
        <v>-0.39682539682539686</v>
      </c>
      <c r="P95" s="122">
        <f t="shared" si="298"/>
        <v>-6.3690476190476195</v>
      </c>
      <c r="Q95" s="122">
        <f t="shared" si="298"/>
        <v>-17.003968253968253</v>
      </c>
      <c r="R95" s="122">
        <f t="shared" si="298"/>
        <v>-12.043650793650794</v>
      </c>
      <c r="S95" s="122">
        <f t="shared" si="298"/>
        <v>-12.698412698412699</v>
      </c>
      <c r="T95" s="122">
        <f t="shared" ref="T95:U95" si="299">T22/T57</f>
        <v>17.68172888015717</v>
      </c>
      <c r="U95" s="122">
        <f t="shared" si="299"/>
        <v>15.734265734265733</v>
      </c>
      <c r="V95" s="101">
        <f t="shared" si="198"/>
        <v>-8.4054022800981065E-2</v>
      </c>
      <c r="W95" s="110"/>
      <c r="X95" s="124">
        <f t="shared" ref="X95:AG95" si="300">X22/X57</f>
        <v>16.659810777457839</v>
      </c>
      <c r="Y95" s="124">
        <f t="shared" si="300"/>
        <v>17.639799646720064</v>
      </c>
      <c r="Z95" s="124">
        <f t="shared" si="300"/>
        <v>18.677434920056537</v>
      </c>
      <c r="AA95" s="124">
        <f t="shared" si="300"/>
        <v>19.776107562412808</v>
      </c>
      <c r="AB95" s="124">
        <f t="shared" si="300"/>
        <v>20.939408007260617</v>
      </c>
      <c r="AC95" s="124">
        <f t="shared" si="300"/>
        <v>22.171137890040654</v>
      </c>
      <c r="AD95" s="124">
        <f t="shared" si="300"/>
        <v>23.475322471807754</v>
      </c>
      <c r="AE95" s="124">
        <f t="shared" si="300"/>
        <v>24.856223793678794</v>
      </c>
      <c r="AF95" s="124">
        <f t="shared" si="300"/>
        <v>26.318354605071669</v>
      </c>
      <c r="AG95" s="124">
        <f t="shared" si="300"/>
        <v>27.86649311125236</v>
      </c>
      <c r="AH95" s="116">
        <f t="shared" si="280"/>
        <v>-2.0922220236559701</v>
      </c>
      <c r="AI95" s="21">
        <f t="shared" si="18"/>
        <v>0.05</v>
      </c>
      <c r="AJ95" s="124">
        <f t="shared" si="206"/>
        <v>292.59817766814984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01">G23/G57</f>
        <v>27.676240208877285</v>
      </c>
      <c r="H96" s="122">
        <f t="shared" ref="H96:I96" si="302">H23/H57</f>
        <v>28.720626631853786</v>
      </c>
      <c r="I96" s="122">
        <f t="shared" si="302"/>
        <v>60.574412532637076</v>
      </c>
      <c r="J96" s="122">
        <f t="shared" ref="J96:S96" si="303">J23/J57</f>
        <v>37.068965517241381</v>
      </c>
      <c r="K96" s="122">
        <f t="shared" si="303"/>
        <v>5.4463554463554456</v>
      </c>
      <c r="L96" s="122">
        <f t="shared" si="303"/>
        <v>5.416666666666667</v>
      </c>
      <c r="M96" s="122">
        <f t="shared" si="303"/>
        <v>4.9404761904761907</v>
      </c>
      <c r="N96" s="122">
        <f t="shared" si="303"/>
        <v>2.6587301587301586</v>
      </c>
      <c r="O96" s="122">
        <f t="shared" si="303"/>
        <v>2.1031746031746033</v>
      </c>
      <c r="P96" s="122">
        <f t="shared" si="303"/>
        <v>2.8571428571428572</v>
      </c>
      <c r="Q96" s="122">
        <f t="shared" si="303"/>
        <v>4.2063492063492065</v>
      </c>
      <c r="R96" s="122">
        <f t="shared" si="303"/>
        <v>-0.23809523809523811</v>
      </c>
      <c r="S96" s="122">
        <f t="shared" si="303"/>
        <v>1.3095238095238095</v>
      </c>
      <c r="T96" s="122">
        <f t="shared" ref="T96:U96" si="304">T23/T57</f>
        <v>-3.1237721021611002</v>
      </c>
      <c r="U96" s="122">
        <f t="shared" si="304"/>
        <v>-2.7797202797202796</v>
      </c>
      <c r="V96" s="101" t="e">
        <f t="shared" si="198"/>
        <v>#NUM!</v>
      </c>
      <c r="W96" s="110"/>
      <c r="X96" s="124">
        <f t="shared" ref="X96:AG96" si="305">X23/X57</f>
        <v>-2.9432332373508845</v>
      </c>
      <c r="Y96" s="124">
        <f t="shared" si="305"/>
        <v>-3.116364604253878</v>
      </c>
      <c r="Z96" s="124">
        <f t="shared" si="305"/>
        <v>-3.2996801692099882</v>
      </c>
      <c r="AA96" s="124">
        <f t="shared" si="305"/>
        <v>-3.4937790026929285</v>
      </c>
      <c r="AB96" s="124">
        <f t="shared" si="305"/>
        <v>-3.6992954146160422</v>
      </c>
      <c r="AC96" s="124">
        <f t="shared" si="305"/>
        <v>-3.9169010272405154</v>
      </c>
      <c r="AD96" s="124">
        <f t="shared" si="305"/>
        <v>-4.1473069700193692</v>
      </c>
      <c r="AE96" s="124">
        <f t="shared" si="305"/>
        <v>-4.3912662035499199</v>
      </c>
      <c r="AF96" s="124">
        <f t="shared" si="305"/>
        <v>-4.6495759802293284</v>
      </c>
      <c r="AG96" s="124">
        <f t="shared" si="305"/>
        <v>-4.9230804496545835</v>
      </c>
      <c r="AH96" s="116">
        <f t="shared" ref="AH96" si="306">((AG96/J96)^(1/($AG$3-$K$1) ))-1</f>
        <v>-1.9159661229934382</v>
      </c>
      <c r="AI96" s="21">
        <f t="shared" si="18"/>
        <v>0.05</v>
      </c>
      <c r="AJ96" s="124">
        <f t="shared" si="206"/>
        <v>-51.692344721373132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07">G51/G57</f>
        <v>45.691906005221931</v>
      </c>
      <c r="H98" s="122">
        <f t="shared" ref="H98:I98" si="308">H51/H57</f>
        <v>42.036553524804177</v>
      </c>
      <c r="I98" s="122">
        <f t="shared" si="308"/>
        <v>60.313315926892948</v>
      </c>
      <c r="J98" s="122">
        <f t="shared" ref="J98:S98" si="309">J51/J57</f>
        <v>86.637931034482762</v>
      </c>
      <c r="K98" s="122">
        <f t="shared" si="309"/>
        <v>12.776412776412776</v>
      </c>
      <c r="L98" s="122">
        <f t="shared" si="309"/>
        <v>9.0476190476190474</v>
      </c>
      <c r="M98" s="122">
        <f t="shared" si="309"/>
        <v>24.742063492063494</v>
      </c>
      <c r="N98" s="122">
        <f t="shared" si="309"/>
        <v>19.404761904761905</v>
      </c>
      <c r="O98" s="122">
        <f t="shared" si="309"/>
        <v>23.154761904761905</v>
      </c>
      <c r="P98" s="122">
        <f t="shared" si="309"/>
        <v>28.888888888888889</v>
      </c>
      <c r="Q98" s="122">
        <f t="shared" si="309"/>
        <v>37.202380952380956</v>
      </c>
      <c r="R98" s="122">
        <f t="shared" si="309"/>
        <v>38.293650793650798</v>
      </c>
      <c r="S98" s="122">
        <f t="shared" si="309"/>
        <v>59.523809523809526</v>
      </c>
      <c r="T98" s="122">
        <f t="shared" ref="T98:U98" si="310">T51/T57</f>
        <v>55.756385068762278</v>
      </c>
      <c r="U98" s="122">
        <f t="shared" si="310"/>
        <v>33.32167832167832</v>
      </c>
      <c r="V98" s="101">
        <f t="shared" si="198"/>
        <v>-2.2298555958059962E-2</v>
      </c>
      <c r="W98" s="110"/>
      <c r="X98" s="122">
        <f t="shared" ref="X98:AG98" si="311">X51/X57</f>
        <v>35.281777046482929</v>
      </c>
      <c r="Y98" s="122">
        <f t="shared" si="311"/>
        <v>37.357175696276045</v>
      </c>
      <c r="Z98" s="122">
        <f t="shared" si="311"/>
        <v>39.554656619586396</v>
      </c>
      <c r="AA98" s="122">
        <f t="shared" si="311"/>
        <v>41.881401126620894</v>
      </c>
      <c r="AB98" s="122">
        <f t="shared" si="311"/>
        <v>44.345012957598591</v>
      </c>
      <c r="AC98" s="122">
        <f t="shared" si="311"/>
        <v>46.953543131574982</v>
      </c>
      <c r="AD98" s="122">
        <f t="shared" si="311"/>
        <v>49.715516256961742</v>
      </c>
      <c r="AE98" s="122">
        <f t="shared" si="311"/>
        <v>52.639958389724193</v>
      </c>
      <c r="AF98" s="122">
        <f t="shared" si="311"/>
        <v>55.736426530296214</v>
      </c>
      <c r="AG98" s="122">
        <f t="shared" si="311"/>
        <v>59.015039855607768</v>
      </c>
      <c r="AH98" s="116">
        <f t="shared" ref="AH98:AH100" si="312">((AG98/J98)^(1/($AG$3-$K$1) ))-1</f>
        <v>-1.6554717494412952E-2</v>
      </c>
      <c r="AI98" s="21">
        <f t="shared" si="18"/>
        <v>0.05</v>
      </c>
      <c r="AJ98" s="124">
        <f t="shared" si="206"/>
        <v>619.65791848388164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13">G55/G57</f>
        <v>18.276762402088771</v>
      </c>
      <c r="H99" s="122">
        <f t="shared" ref="H99:I99" si="314">H55/H57</f>
        <v>16.449086161879894</v>
      </c>
      <c r="I99" s="122">
        <f t="shared" si="314"/>
        <v>23.759791122715406</v>
      </c>
      <c r="J99" s="122">
        <f t="shared" ref="J99:S99" si="315">J55/J57</f>
        <v>25.215517241379313</v>
      </c>
      <c r="K99" s="122">
        <f t="shared" si="315"/>
        <v>5.5282555282555279</v>
      </c>
      <c r="L99" s="122">
        <f t="shared" si="315"/>
        <v>2.7579365079365079</v>
      </c>
      <c r="M99" s="122">
        <f t="shared" si="315"/>
        <v>12.956349206349207</v>
      </c>
      <c r="N99" s="122">
        <f t="shared" si="315"/>
        <v>8.75</v>
      </c>
      <c r="O99" s="122">
        <f t="shared" si="315"/>
        <v>8.174603174603174</v>
      </c>
      <c r="P99" s="122">
        <f t="shared" si="315"/>
        <v>12.182539682539684</v>
      </c>
      <c r="Q99" s="122">
        <f t="shared" si="315"/>
        <v>19.94047619047619</v>
      </c>
      <c r="R99" s="122">
        <f t="shared" si="315"/>
        <v>19.384920634920636</v>
      </c>
      <c r="S99" s="122">
        <f t="shared" si="315"/>
        <v>22.341269841269842</v>
      </c>
      <c r="T99" s="122">
        <f t="shared" ref="T99:U99" si="316">T55/T57</f>
        <v>21.591355599214147</v>
      </c>
      <c r="U99" s="122">
        <f t="shared" si="316"/>
        <v>12.63986013986014</v>
      </c>
      <c r="V99" s="101">
        <f t="shared" si="198"/>
        <v>-2.5997179593116537E-2</v>
      </c>
      <c r="W99" s="110"/>
      <c r="X99" s="122">
        <f t="shared" ref="X99:AG99" si="317">X55/X57</f>
        <v>13.383381324557796</v>
      </c>
      <c r="Y99" s="122">
        <f t="shared" si="317"/>
        <v>14.170639049531784</v>
      </c>
      <c r="Z99" s="122">
        <f t="shared" si="317"/>
        <v>15.004206052445419</v>
      </c>
      <c r="AA99" s="122">
        <f t="shared" si="317"/>
        <v>15.886806408471621</v>
      </c>
      <c r="AB99" s="122">
        <f t="shared" si="317"/>
        <v>16.821324432499367</v>
      </c>
      <c r="AC99" s="122">
        <f t="shared" si="317"/>
        <v>17.810814104999327</v>
      </c>
      <c r="AD99" s="122">
        <f t="shared" si="317"/>
        <v>18.858509052352229</v>
      </c>
      <c r="AE99" s="122">
        <f t="shared" si="317"/>
        <v>19.967833114255299</v>
      </c>
      <c r="AF99" s="122">
        <f t="shared" si="317"/>
        <v>21.142411532740905</v>
      </c>
      <c r="AG99" s="122">
        <f t="shared" si="317"/>
        <v>22.386082799372726</v>
      </c>
      <c r="AH99" s="116">
        <f t="shared" si="312"/>
        <v>-5.1614210883542677E-3</v>
      </c>
      <c r="AI99" s="21">
        <f t="shared" si="18"/>
        <v>0.05</v>
      </c>
      <c r="AJ99" s="124">
        <f t="shared" si="206"/>
        <v>235.05386939341366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18">G6/G57</f>
        <v>138.38120104438642</v>
      </c>
      <c r="H100" s="122">
        <f t="shared" ref="H100:I100" si="319">H6/H57</f>
        <v>145.95300261096605</v>
      </c>
      <c r="I100" s="122">
        <f t="shared" si="319"/>
        <v>154.56919060052218</v>
      </c>
      <c r="J100" s="122">
        <f t="shared" ref="J100:S100" si="320">J6/J57</f>
        <v>188.14655172413794</v>
      </c>
      <c r="K100" s="122">
        <f t="shared" si="320"/>
        <v>23.034398034398034</v>
      </c>
      <c r="L100" s="122">
        <f t="shared" si="320"/>
        <v>25.714285714285715</v>
      </c>
      <c r="M100" s="122">
        <f t="shared" si="320"/>
        <v>37.976190476190474</v>
      </c>
      <c r="N100" s="122">
        <f t="shared" si="320"/>
        <v>46.845238095238095</v>
      </c>
      <c r="O100" s="122">
        <f t="shared" si="320"/>
        <v>55.198412698412703</v>
      </c>
      <c r="P100" s="122">
        <f t="shared" si="320"/>
        <v>66.25</v>
      </c>
      <c r="Q100" s="122">
        <f t="shared" si="320"/>
        <v>89.543650793650798</v>
      </c>
      <c r="R100" s="122">
        <f t="shared" si="320"/>
        <v>98.968253968253975</v>
      </c>
      <c r="S100" s="122">
        <f t="shared" si="320"/>
        <v>121.5873015873016</v>
      </c>
      <c r="T100" s="122">
        <f t="shared" ref="T100:U100" si="321">T6/T57</f>
        <v>142.22003929273086</v>
      </c>
      <c r="U100" s="122">
        <f t="shared" si="321"/>
        <v>169.91258741258741</v>
      </c>
      <c r="V100" s="101">
        <f t="shared" si="198"/>
        <v>1.4770297772344287E-2</v>
      </c>
      <c r="W100" s="110"/>
      <c r="X100" s="122">
        <f t="shared" ref="X100:AG100" si="322">X6/X57</f>
        <v>179.9074454956808</v>
      </c>
      <c r="Y100" s="122">
        <f t="shared" si="322"/>
        <v>190.49023640719145</v>
      </c>
      <c r="Z100" s="122">
        <f t="shared" si="322"/>
        <v>201.6955444311439</v>
      </c>
      <c r="AA100" s="122">
        <f t="shared" si="322"/>
        <v>213.55998822121117</v>
      </c>
      <c r="AB100" s="122">
        <f t="shared" si="322"/>
        <v>226.12234046951772</v>
      </c>
      <c r="AC100" s="122">
        <f t="shared" si="322"/>
        <v>239.42365461478349</v>
      </c>
      <c r="AD100" s="122">
        <f t="shared" si="322"/>
        <v>253.50739900388839</v>
      </c>
      <c r="AE100" s="122">
        <f t="shared" si="322"/>
        <v>268.41959894529361</v>
      </c>
      <c r="AF100" s="122">
        <f t="shared" si="322"/>
        <v>284.20898711854613</v>
      </c>
      <c r="AG100" s="122">
        <f t="shared" si="322"/>
        <v>300.92716283140186</v>
      </c>
      <c r="AH100" s="116">
        <f t="shared" si="312"/>
        <v>2.0629340453833134E-2</v>
      </c>
      <c r="AI100" s="21">
        <f t="shared" ref="AI100" si="323">$O$1</f>
        <v>0.05</v>
      </c>
      <c r="AJ100" s="124">
        <f t="shared" si="206"/>
        <v>3159.7352097297203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:T102" si="324">G55/$U$57</f>
        <v>1.2237762237762237</v>
      </c>
      <c r="H102" s="122">
        <f t="shared" si="324"/>
        <v>1.1013986013986012</v>
      </c>
      <c r="I102" s="122">
        <f t="shared" si="324"/>
        <v>1.5909090909090908</v>
      </c>
      <c r="J102" s="122">
        <f t="shared" si="324"/>
        <v>2.0454545454545454</v>
      </c>
      <c r="K102" s="122">
        <f t="shared" si="324"/>
        <v>4.72027972027972</v>
      </c>
      <c r="L102" s="122">
        <f t="shared" si="324"/>
        <v>2.43006993006993</v>
      </c>
      <c r="M102" s="122">
        <f t="shared" si="324"/>
        <v>11.416083916083915</v>
      </c>
      <c r="N102" s="122">
        <f t="shared" si="324"/>
        <v>7.7097902097902091</v>
      </c>
      <c r="O102" s="122">
        <f t="shared" si="324"/>
        <v>7.2027972027972025</v>
      </c>
      <c r="P102" s="122">
        <f t="shared" si="324"/>
        <v>10.734265734265733</v>
      </c>
      <c r="Q102" s="122">
        <f t="shared" si="324"/>
        <v>17.56993006993007</v>
      </c>
      <c r="R102" s="122">
        <f t="shared" si="324"/>
        <v>17.08041958041958</v>
      </c>
      <c r="S102" s="122">
        <f t="shared" si="324"/>
        <v>19.685314685314683</v>
      </c>
      <c r="T102" s="122">
        <f t="shared" si="324"/>
        <v>19.213286713286713</v>
      </c>
      <c r="U102" s="122">
        <f>U55/$U$57</f>
        <v>12.63986013986014</v>
      </c>
      <c r="V102" s="101">
        <f t="shared" si="198"/>
        <v>0.18149379993313963</v>
      </c>
      <c r="W102" s="110"/>
      <c r="X102" s="122">
        <f t="shared" ref="X102:AG102" si="325">X55/X57</f>
        <v>13.383381324557796</v>
      </c>
      <c r="Y102" s="122">
        <f t="shared" si="325"/>
        <v>14.170639049531784</v>
      </c>
      <c r="Z102" s="122">
        <f t="shared" si="325"/>
        <v>15.004206052445419</v>
      </c>
      <c r="AA102" s="122">
        <f t="shared" si="325"/>
        <v>15.886806408471621</v>
      </c>
      <c r="AB102" s="122">
        <f t="shared" si="325"/>
        <v>16.821324432499367</v>
      </c>
      <c r="AC102" s="122">
        <f t="shared" si="325"/>
        <v>17.810814104999327</v>
      </c>
      <c r="AD102" s="122">
        <f t="shared" si="325"/>
        <v>18.858509052352229</v>
      </c>
      <c r="AE102" s="122">
        <f t="shared" si="325"/>
        <v>19.967833114255299</v>
      </c>
      <c r="AF102" s="122">
        <f t="shared" si="325"/>
        <v>21.142411532740905</v>
      </c>
      <c r="AG102" s="122">
        <f t="shared" si="325"/>
        <v>22.386082799372726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2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26">G51/G25</f>
        <v>8.9285714285714288E-2</v>
      </c>
      <c r="H105" s="129">
        <f t="shared" ref="H105:I105" si="327">H51/H25</f>
        <v>7.1842927264614012E-2</v>
      </c>
      <c r="I105" s="129">
        <f t="shared" si="327"/>
        <v>8.5114222549742075E-2</v>
      </c>
      <c r="J105" s="129">
        <f t="shared" ref="J105:S105" si="328">J51/J25</f>
        <v>9.3401486988847579E-2</v>
      </c>
      <c r="K105" s="129">
        <f t="shared" si="328"/>
        <v>0.13059857681038092</v>
      </c>
      <c r="L105" s="129">
        <f t="shared" si="328"/>
        <v>9.107249850209706E-2</v>
      </c>
      <c r="M105" s="129">
        <f t="shared" si="328"/>
        <v>0.15595297648824413</v>
      </c>
      <c r="N105" s="129">
        <f t="shared" si="328"/>
        <v>0.10439795046968403</v>
      </c>
      <c r="O105" s="129">
        <f t="shared" si="328"/>
        <v>9.4021914276506607E-2</v>
      </c>
      <c r="P105" s="129">
        <f t="shared" si="328"/>
        <v>0.1121898597626753</v>
      </c>
      <c r="Q105" s="129">
        <f t="shared" si="328"/>
        <v>0.13895064473099156</v>
      </c>
      <c r="R105" s="129">
        <f t="shared" si="328"/>
        <v>0.15234035835503987</v>
      </c>
      <c r="S105" s="129">
        <f t="shared" si="328"/>
        <v>0.23126734505087881</v>
      </c>
      <c r="T105" s="129">
        <f t="shared" ref="T105:U105" si="329">T51/T25</f>
        <v>0.19495775228412449</v>
      </c>
      <c r="U105" s="129">
        <f t="shared" si="329"/>
        <v>0.1240966208737548</v>
      </c>
      <c r="V105" s="101">
        <f t="shared" si="198"/>
        <v>2.3794312918004046E-2</v>
      </c>
      <c r="W105" s="129"/>
      <c r="X105" s="129">
        <f t="shared" ref="X105:AG105" si="330">X51/X25</f>
        <v>0.1240966208737548</v>
      </c>
      <c r="Y105" s="129">
        <f t="shared" si="330"/>
        <v>0.12409662087375478</v>
      </c>
      <c r="Z105" s="129">
        <f t="shared" si="330"/>
        <v>0.12409662087375477</v>
      </c>
      <c r="AA105" s="129">
        <f t="shared" si="330"/>
        <v>0.12409662087375477</v>
      </c>
      <c r="AB105" s="129">
        <f t="shared" si="330"/>
        <v>0.12409662087375478</v>
      </c>
      <c r="AC105" s="129">
        <f t="shared" si="330"/>
        <v>0.12409662087375478</v>
      </c>
      <c r="AD105" s="129">
        <f t="shared" si="330"/>
        <v>0.12409662087375478</v>
      </c>
      <c r="AE105" s="129">
        <f t="shared" si="330"/>
        <v>0.12409662087375478</v>
      </c>
      <c r="AF105" s="129">
        <f t="shared" si="330"/>
        <v>0.12409662087375478</v>
      </c>
      <c r="AG105" s="129">
        <f t="shared" si="330"/>
        <v>0.12409662087375481</v>
      </c>
      <c r="AH105" s="116">
        <f t="shared" ref="AH105:AH154" si="331">((AG105/J105)^(1/($AG$3-$K$1) ))-1</f>
        <v>1.2431118756934811E-2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32">G55/G25</f>
        <v>3.5714285714285712E-2</v>
      </c>
      <c r="H106" s="129">
        <f t="shared" ref="H106:I106" si="333">H55/H25</f>
        <v>2.8112449799196786E-2</v>
      </c>
      <c r="I106" s="129">
        <f t="shared" si="333"/>
        <v>3.3529845246868091E-2</v>
      </c>
      <c r="J106" s="129">
        <f t="shared" ref="J106:S106" si="334">J55/J25</f>
        <v>2.7184014869888477E-2</v>
      </c>
      <c r="K106" s="129">
        <f t="shared" si="334"/>
        <v>5.6508999581414816E-2</v>
      </c>
      <c r="L106" s="129">
        <f t="shared" si="334"/>
        <v>2.7761134411823447E-2</v>
      </c>
      <c r="M106" s="129">
        <f t="shared" si="334"/>
        <v>8.1665832916458223E-2</v>
      </c>
      <c r="N106" s="129">
        <f t="shared" si="334"/>
        <v>4.7075149444918876E-2</v>
      </c>
      <c r="O106" s="129">
        <f t="shared" si="334"/>
        <v>3.319368353206574E-2</v>
      </c>
      <c r="P106" s="129">
        <f t="shared" si="334"/>
        <v>4.731083371860071E-2</v>
      </c>
      <c r="Q106" s="129">
        <f t="shared" si="334"/>
        <v>7.4477545575811474E-2</v>
      </c>
      <c r="R106" s="129">
        <f t="shared" si="334"/>
        <v>7.7117373115478727E-2</v>
      </c>
      <c r="S106" s="129">
        <f t="shared" si="334"/>
        <v>8.6802343509096519E-2</v>
      </c>
      <c r="T106" s="129">
        <f t="shared" ref="T106:U106" si="335">T55/T25</f>
        <v>7.5496324792196201E-2</v>
      </c>
      <c r="U106" s="129">
        <f t="shared" si="335"/>
        <v>4.7073377172993036E-2</v>
      </c>
      <c r="V106" s="101">
        <f t="shared" si="198"/>
        <v>1.9921320946609811E-2</v>
      </c>
      <c r="W106" s="129"/>
      <c r="X106" s="129">
        <f t="shared" ref="X106:AG106" si="336">X55/X25</f>
        <v>4.7073377172993029E-2</v>
      </c>
      <c r="Y106" s="129">
        <f t="shared" si="336"/>
        <v>4.7073377172993029E-2</v>
      </c>
      <c r="Z106" s="129">
        <f t="shared" si="336"/>
        <v>4.7073377172993022E-2</v>
      </c>
      <c r="AA106" s="129">
        <f t="shared" si="336"/>
        <v>4.7073377172993029E-2</v>
      </c>
      <c r="AB106" s="129">
        <f t="shared" si="336"/>
        <v>4.7073377172993036E-2</v>
      </c>
      <c r="AC106" s="129">
        <f t="shared" si="336"/>
        <v>4.7073377172993036E-2</v>
      </c>
      <c r="AD106" s="129">
        <f t="shared" si="336"/>
        <v>4.7073377172993036E-2</v>
      </c>
      <c r="AE106" s="129">
        <f t="shared" si="336"/>
        <v>4.7073377172993036E-2</v>
      </c>
      <c r="AF106" s="129">
        <f t="shared" si="336"/>
        <v>4.7073377172993036E-2</v>
      </c>
      <c r="AG106" s="129">
        <f t="shared" si="336"/>
        <v>4.7073377172993036E-2</v>
      </c>
      <c r="AH106" s="116">
        <f t="shared" si="331"/>
        <v>2.4160218516635856E-2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337">G55/G7</f>
        <v>0.12237762237762238</v>
      </c>
      <c r="H107" s="129">
        <f t="shared" ref="H107:I107" si="338">H55/H7</f>
        <v>0.1048252911813644</v>
      </c>
      <c r="I107" s="129">
        <f t="shared" si="338"/>
        <v>0.14353312302839116</v>
      </c>
      <c r="J107" s="129">
        <f>J55/J7</f>
        <v>0.12513368983957218</v>
      </c>
      <c r="K107" s="129">
        <f t="shared" ref="K107:R107" si="339">K55/K7</f>
        <v>0.22842639593908629</v>
      </c>
      <c r="L107" s="129">
        <f t="shared" si="339"/>
        <v>0.10303928836174944</v>
      </c>
      <c r="M107" s="129">
        <f t="shared" si="339"/>
        <v>0.33197763091001525</v>
      </c>
      <c r="N107" s="129">
        <f t="shared" si="339"/>
        <v>0.18283582089552239</v>
      </c>
      <c r="O107" s="129">
        <f t="shared" si="339"/>
        <v>0.14548022598870056</v>
      </c>
      <c r="P107" s="129">
        <f t="shared" si="339"/>
        <v>0.18058823529411766</v>
      </c>
      <c r="Q107" s="129">
        <f t="shared" si="339"/>
        <v>0.21972015741145606</v>
      </c>
      <c r="R107" s="129">
        <f t="shared" si="339"/>
        <v>0.19388767612621552</v>
      </c>
      <c r="S107" s="129">
        <f t="shared" ref="S107:T107" si="340">S55/S7</f>
        <v>0.18223013432594271</v>
      </c>
      <c r="T107" s="129">
        <f t="shared" si="340"/>
        <v>0.15077514062285635</v>
      </c>
      <c r="U107" s="129">
        <f t="shared" ref="U107" si="341">U55/U7</f>
        <v>7.3956628477905073E-2</v>
      </c>
      <c r="V107" s="101">
        <f t="shared" si="198"/>
        <v>-3.5334398841442849E-2</v>
      </c>
      <c r="W107" s="10"/>
      <c r="X107" s="129">
        <f t="shared" ref="X107" si="342">X55/X7</f>
        <v>7.3956628477905073E-2</v>
      </c>
      <c r="Y107" s="129">
        <f t="shared" ref="Y107:AG107" si="343">Y55/Y7</f>
        <v>7.3956628477905073E-2</v>
      </c>
      <c r="Z107" s="129">
        <f t="shared" si="343"/>
        <v>7.3956628477905073E-2</v>
      </c>
      <c r="AA107" s="129">
        <f t="shared" si="343"/>
        <v>7.3956628477905073E-2</v>
      </c>
      <c r="AB107" s="129">
        <f t="shared" si="343"/>
        <v>7.3956628477905087E-2</v>
      </c>
      <c r="AC107" s="129">
        <f t="shared" si="343"/>
        <v>7.3956628477905087E-2</v>
      </c>
      <c r="AD107" s="129">
        <f t="shared" si="343"/>
        <v>7.3956628477905087E-2</v>
      </c>
      <c r="AE107" s="129">
        <f t="shared" si="343"/>
        <v>7.3956628477905087E-2</v>
      </c>
      <c r="AF107" s="129">
        <f t="shared" si="343"/>
        <v>7.3956628477905087E-2</v>
      </c>
      <c r="AG107" s="129">
        <f t="shared" si="343"/>
        <v>7.3956628477905087E-2</v>
      </c>
      <c r="AH107" s="116">
        <f t="shared" si="331"/>
        <v>-2.260595359731532E-2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344">(G55)/(G7+G10)</f>
        <v>7.0493454179254789E-2</v>
      </c>
      <c r="H108" s="129">
        <f t="shared" ref="H108:I108" si="345">(H55)/(H7+H10)</f>
        <v>5.5021834061135373E-2</v>
      </c>
      <c r="I108" s="129">
        <f t="shared" si="345"/>
        <v>6.5751445086705204E-2</v>
      </c>
      <c r="J108" s="129">
        <f>(J55)/(J7+J10)</f>
        <v>6.655290102389079E-2</v>
      </c>
      <c r="K108" s="129">
        <f t="shared" ref="K108:R108" si="346">(K55)/(K7+K10)</f>
        <v>0.14770240700218817</v>
      </c>
      <c r="L108" s="129">
        <f t="shared" si="346"/>
        <v>6.2081286288521664E-2</v>
      </c>
      <c r="M108" s="129">
        <f t="shared" si="346"/>
        <v>0.17773543821448012</v>
      </c>
      <c r="N108" s="129">
        <f t="shared" si="346"/>
        <v>9.0147179067865901E-2</v>
      </c>
      <c r="O108" s="129">
        <f t="shared" si="346"/>
        <v>7.6565694108901697E-2</v>
      </c>
      <c r="P108" s="129">
        <f t="shared" si="346"/>
        <v>0.10807956345713783</v>
      </c>
      <c r="Q108" s="129">
        <f t="shared" si="346"/>
        <v>0.18069039913700108</v>
      </c>
      <c r="R108" s="129">
        <f t="shared" si="346"/>
        <v>0.16732317177598904</v>
      </c>
      <c r="S108" s="129">
        <f t="shared" ref="S108:T108" si="347">(S55)/(S7+S10)</f>
        <v>0.14957492029755579</v>
      </c>
      <c r="T108" s="129">
        <f t="shared" si="347"/>
        <v>0.10433874489699041</v>
      </c>
      <c r="U108" s="129">
        <f t="shared" ref="U108" si="348">(U55)/(U7+U10)</f>
        <v>5.0840306588847479E-2</v>
      </c>
      <c r="V108" s="101">
        <f t="shared" si="198"/>
        <v>-2.3074640162745075E-2</v>
      </c>
      <c r="W108" s="10"/>
      <c r="X108" s="129">
        <f t="shared" ref="X108:AG108" si="349">(X55)/(X7+X10)</f>
        <v>5.0840306588847479E-2</v>
      </c>
      <c r="Y108" s="129">
        <f t="shared" si="349"/>
        <v>5.0840306588847479E-2</v>
      </c>
      <c r="Z108" s="129">
        <f t="shared" si="349"/>
        <v>5.0840306588847479E-2</v>
      </c>
      <c r="AA108" s="129">
        <f t="shared" si="349"/>
        <v>5.0840306588847473E-2</v>
      </c>
      <c r="AB108" s="129">
        <f t="shared" si="349"/>
        <v>5.0840306588847486E-2</v>
      </c>
      <c r="AC108" s="129">
        <f t="shared" si="349"/>
        <v>5.0840306588847479E-2</v>
      </c>
      <c r="AD108" s="129">
        <f t="shared" si="349"/>
        <v>5.0840306588847486E-2</v>
      </c>
      <c r="AE108" s="129">
        <f t="shared" si="349"/>
        <v>5.0840306588847479E-2</v>
      </c>
      <c r="AF108" s="129">
        <f t="shared" si="349"/>
        <v>5.0840306588847479E-2</v>
      </c>
      <c r="AG108" s="129">
        <f t="shared" si="349"/>
        <v>5.0840306588847479E-2</v>
      </c>
      <c r="AH108" s="116">
        <f t="shared" si="331"/>
        <v>-1.1640744738728448E-2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350">G20/G25</f>
        <v>5.5102040816326532E-2</v>
      </c>
      <c r="H109" s="129">
        <f t="shared" ref="H109:I109" si="351">H20/H25</f>
        <v>4.8639000446229361E-2</v>
      </c>
      <c r="I109" s="129">
        <f t="shared" si="351"/>
        <v>2.8739867354458364E-2</v>
      </c>
      <c r="J109" s="129">
        <f>J20/J25</f>
        <v>8.2946096654275089E-2</v>
      </c>
      <c r="K109" s="129">
        <f t="shared" ref="K109:S109" si="352">K20/K25</f>
        <v>8.9577228966094602E-2</v>
      </c>
      <c r="L109" s="129">
        <f t="shared" si="352"/>
        <v>6.4909127221889351E-2</v>
      </c>
      <c r="M109" s="129">
        <f t="shared" si="352"/>
        <v>8.779389694847424E-2</v>
      </c>
      <c r="N109" s="129">
        <f t="shared" si="352"/>
        <v>1.6225448334756618E-2</v>
      </c>
      <c r="O109" s="129">
        <f t="shared" si="352"/>
        <v>4.3747985820174022E-2</v>
      </c>
      <c r="P109" s="129">
        <f t="shared" si="352"/>
        <v>5.9331175836030203E-2</v>
      </c>
      <c r="Q109" s="129">
        <f t="shared" si="352"/>
        <v>8.3444493849118132E-2</v>
      </c>
      <c r="R109" s="129">
        <f t="shared" si="352"/>
        <v>7.5065119583234668E-2</v>
      </c>
      <c r="S109" s="129">
        <f t="shared" si="352"/>
        <v>0.13752698119025594</v>
      </c>
      <c r="T109" s="129">
        <f t="shared" ref="T109:U109" si="353">T20/T25</f>
        <v>2.2600810606581027E-2</v>
      </c>
      <c r="U109" s="129">
        <f t="shared" si="353"/>
        <v>2.142066540790416E-2</v>
      </c>
      <c r="V109" s="101">
        <f t="shared" si="198"/>
        <v>-6.5260970749251856E-2</v>
      </c>
      <c r="W109" s="10"/>
      <c r="X109" s="129">
        <f t="shared" ref="X109:AG109" si="354">X20/X25</f>
        <v>2.142066540790416E-2</v>
      </c>
      <c r="Y109" s="129">
        <f t="shared" si="354"/>
        <v>2.142066540790416E-2</v>
      </c>
      <c r="Z109" s="129">
        <f t="shared" si="354"/>
        <v>2.1420665407904157E-2</v>
      </c>
      <c r="AA109" s="129">
        <f t="shared" si="354"/>
        <v>2.142066540790416E-2</v>
      </c>
      <c r="AB109" s="129">
        <f t="shared" si="354"/>
        <v>2.142066540790416E-2</v>
      </c>
      <c r="AC109" s="129">
        <f t="shared" si="354"/>
        <v>2.142066540790416E-2</v>
      </c>
      <c r="AD109" s="129">
        <f t="shared" si="354"/>
        <v>2.142066540790416E-2</v>
      </c>
      <c r="AE109" s="129">
        <f t="shared" si="354"/>
        <v>2.142066540790416E-2</v>
      </c>
      <c r="AF109" s="129">
        <f t="shared" si="354"/>
        <v>2.1420665407904164E-2</v>
      </c>
      <c r="AG109" s="129">
        <f t="shared" si="354"/>
        <v>2.1420665407904164E-2</v>
      </c>
      <c r="AH109" s="116">
        <f t="shared" si="331"/>
        <v>-5.7163490282315377E-2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355">G68/G25</f>
        <v>1.7857142857142856E-2</v>
      </c>
      <c r="H110" s="129">
        <f t="shared" ref="H110:I110" si="356">H68/H25</f>
        <v>8.9245872378402504E-3</v>
      </c>
      <c r="I110" s="129">
        <f t="shared" si="356"/>
        <v>1.1422254974207811E-2</v>
      </c>
      <c r="J110" s="129">
        <f>J68/J25</f>
        <v>1.8355018587360595E-2</v>
      </c>
      <c r="K110" s="129">
        <f t="shared" ref="K110:S110" si="357">K68/K25</f>
        <v>2.8463792381749686E-2</v>
      </c>
      <c r="L110" s="129">
        <f t="shared" si="357"/>
        <v>1.2782105052925903E-2</v>
      </c>
      <c r="M110" s="129">
        <f t="shared" si="357"/>
        <v>3.1390695347673837E-2</v>
      </c>
      <c r="N110" s="129">
        <f t="shared" si="357"/>
        <v>1.1421861656703673E-2</v>
      </c>
      <c r="O110" s="129">
        <f t="shared" si="357"/>
        <v>1.1601675797615211E-2</v>
      </c>
      <c r="P110" s="129">
        <f t="shared" si="357"/>
        <v>1.8801047927261519E-2</v>
      </c>
      <c r="Q110" s="129">
        <f t="shared" si="357"/>
        <v>1.6822291388765377E-2</v>
      </c>
      <c r="R110" s="129">
        <f t="shared" si="357"/>
        <v>2.786328834162128E-2</v>
      </c>
      <c r="S110" s="129">
        <f t="shared" si="357"/>
        <v>0.11332099907493062</v>
      </c>
      <c r="T110" s="129">
        <f t="shared" ref="T110:U110" si="358">T68/T25</f>
        <v>9.1090197156007413E-2</v>
      </c>
      <c r="U110" s="129">
        <f t="shared" si="358"/>
        <v>3.5418972589361289E-2</v>
      </c>
      <c r="V110" s="101">
        <f t="shared" si="198"/>
        <v>5.0133638913991474E-2</v>
      </c>
      <c r="W110" s="10"/>
      <c r="X110" s="129">
        <f t="shared" ref="X110:AG110" si="359">X68/X25</f>
        <v>3.5418972589361289E-2</v>
      </c>
      <c r="Y110" s="129">
        <f t="shared" si="359"/>
        <v>3.5418972589361289E-2</v>
      </c>
      <c r="Z110" s="129">
        <f t="shared" si="359"/>
        <v>3.5418972589361282E-2</v>
      </c>
      <c r="AA110" s="129">
        <f t="shared" si="359"/>
        <v>3.5418972589361275E-2</v>
      </c>
      <c r="AB110" s="129">
        <f t="shared" si="359"/>
        <v>3.5418972589361282E-2</v>
      </c>
      <c r="AC110" s="129">
        <f t="shared" si="359"/>
        <v>3.5418972589361289E-2</v>
      </c>
      <c r="AD110" s="129">
        <f t="shared" si="359"/>
        <v>3.5418972589361282E-2</v>
      </c>
      <c r="AE110" s="129">
        <f t="shared" si="359"/>
        <v>3.5418972589361282E-2</v>
      </c>
      <c r="AF110" s="129">
        <f t="shared" si="359"/>
        <v>3.5418972589361282E-2</v>
      </c>
      <c r="AG110" s="129">
        <f t="shared" si="359"/>
        <v>3.5418972589361282E-2</v>
      </c>
      <c r="AH110" s="116">
        <f t="shared" si="331"/>
        <v>2.8992532539240612E-2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2"/>
      <c r="V111" s="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360">G29/G25</f>
        <v>1.9387755102040816E-2</v>
      </c>
      <c r="H112" s="129">
        <f t="shared" ref="H112:I112" si="361">H29/H25</f>
        <v>1.7849174475680501E-2</v>
      </c>
      <c r="I112" s="129">
        <f t="shared" si="361"/>
        <v>1.8422991893883568E-2</v>
      </c>
      <c r="J112" s="129">
        <f>J29/J25</f>
        <v>1.9749070631970261E-2</v>
      </c>
      <c r="K112" s="129">
        <f t="shared" ref="K112:S112" si="362">K29/K25</f>
        <v>2.239430724152365E-2</v>
      </c>
      <c r="L112" s="129">
        <f t="shared" si="362"/>
        <v>2.7161973237467545E-2</v>
      </c>
      <c r="M112" s="129">
        <f t="shared" si="362"/>
        <v>2.2886443221610805E-2</v>
      </c>
      <c r="N112" s="129">
        <f t="shared" si="362"/>
        <v>1.9748078565328779E-2</v>
      </c>
      <c r="O112" s="129">
        <f t="shared" si="362"/>
        <v>2.3122784402191426E-2</v>
      </c>
      <c r="P112" s="129">
        <f t="shared" si="362"/>
        <v>2.4040684234858993E-2</v>
      </c>
      <c r="Q112" s="129">
        <f t="shared" si="362"/>
        <v>2.1046390988587519E-2</v>
      </c>
      <c r="R112" s="129">
        <f t="shared" si="362"/>
        <v>1.4444707553871654E-2</v>
      </c>
      <c r="S112" s="129">
        <f t="shared" si="362"/>
        <v>7.0921985815602835E-3</v>
      </c>
      <c r="T112" s="129">
        <f t="shared" ref="T112:U112" si="363">T29/T25</f>
        <v>7.0756337157381333E-3</v>
      </c>
      <c r="U112" s="129">
        <f t="shared" si="363"/>
        <v>1.0547561690214207E-2</v>
      </c>
      <c r="V112" s="101">
        <f t="shared" si="198"/>
        <v>-4.2550141710632983E-2</v>
      </c>
      <c r="W112" s="10"/>
      <c r="X112" s="129">
        <f t="shared" ref="X112:AG112" si="364">X29/X25</f>
        <v>1.0547561690214206E-2</v>
      </c>
      <c r="Y112" s="129">
        <f t="shared" si="364"/>
        <v>1.0547561690214206E-2</v>
      </c>
      <c r="Z112" s="129">
        <f t="shared" si="364"/>
        <v>1.0547561690214204E-2</v>
      </c>
      <c r="AA112" s="129">
        <f t="shared" si="364"/>
        <v>1.0547561690214204E-2</v>
      </c>
      <c r="AB112" s="129">
        <f t="shared" si="364"/>
        <v>1.0547561690214204E-2</v>
      </c>
      <c r="AC112" s="129">
        <f t="shared" si="364"/>
        <v>1.0547561690214204E-2</v>
      </c>
      <c r="AD112" s="129">
        <f t="shared" si="364"/>
        <v>1.0547561690214206E-2</v>
      </c>
      <c r="AE112" s="129">
        <f t="shared" si="364"/>
        <v>1.0547561690214204E-2</v>
      </c>
      <c r="AF112" s="129">
        <f t="shared" si="364"/>
        <v>1.0547561690214206E-2</v>
      </c>
      <c r="AG112" s="129">
        <f t="shared" si="364"/>
        <v>1.0547561690214207E-2</v>
      </c>
      <c r="AH112" s="116">
        <f t="shared" si="331"/>
        <v>-2.6901603298779442E-2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365">G29/G51</f>
        <v>0.21714285714285714</v>
      </c>
      <c r="H113" s="129">
        <f t="shared" ref="H113:I113" si="366">H29/H51</f>
        <v>0.2484472049689441</v>
      </c>
      <c r="I113" s="129">
        <f t="shared" si="366"/>
        <v>0.21645021645021645</v>
      </c>
      <c r="J113" s="129">
        <f>J29/J51</f>
        <v>0.21144278606965175</v>
      </c>
      <c r="K113" s="129">
        <f t="shared" ref="K113:S113" si="367">K29/K51</f>
        <v>0.17147435897435898</v>
      </c>
      <c r="L113" s="129">
        <f t="shared" si="367"/>
        <v>0.2982456140350877</v>
      </c>
      <c r="M113" s="129">
        <f t="shared" si="367"/>
        <v>0.1467522052927025</v>
      </c>
      <c r="N113" s="129">
        <f t="shared" si="367"/>
        <v>0.18916155419222905</v>
      </c>
      <c r="O113" s="129">
        <f t="shared" si="367"/>
        <v>0.24592973436161097</v>
      </c>
      <c r="P113" s="129">
        <f t="shared" si="367"/>
        <v>0.21428571428571427</v>
      </c>
      <c r="Q113" s="129">
        <f t="shared" si="367"/>
        <v>0.15146666666666667</v>
      </c>
      <c r="R113" s="129">
        <f t="shared" si="367"/>
        <v>9.4818652849740934E-2</v>
      </c>
      <c r="S113" s="129">
        <f t="shared" si="367"/>
        <v>3.0666666666666665E-2</v>
      </c>
      <c r="T113" s="129">
        <f t="shared" ref="T113:U113" si="368">T29/T51</f>
        <v>3.6293164200140941E-2</v>
      </c>
      <c r="U113" s="129">
        <f t="shared" si="368"/>
        <v>8.4994753410283314E-2</v>
      </c>
      <c r="V113" s="101">
        <f t="shared" si="198"/>
        <v>-6.4802523115744859E-2</v>
      </c>
      <c r="W113" s="10"/>
      <c r="X113" s="129">
        <f t="shared" ref="X113:AG113" si="369">X29/X51</f>
        <v>8.4994753410283314E-2</v>
      </c>
      <c r="Y113" s="129">
        <f t="shared" si="369"/>
        <v>8.4994753410283314E-2</v>
      </c>
      <c r="Z113" s="129">
        <f t="shared" si="369"/>
        <v>8.4994753410283314E-2</v>
      </c>
      <c r="AA113" s="129">
        <f t="shared" si="369"/>
        <v>8.4994753410283314E-2</v>
      </c>
      <c r="AB113" s="129">
        <f t="shared" si="369"/>
        <v>8.4994753410283314E-2</v>
      </c>
      <c r="AC113" s="129">
        <f t="shared" si="369"/>
        <v>8.4994753410283314E-2</v>
      </c>
      <c r="AD113" s="129">
        <f t="shared" si="369"/>
        <v>8.4994753410283314E-2</v>
      </c>
      <c r="AE113" s="129">
        <f t="shared" si="369"/>
        <v>8.4994753410283314E-2</v>
      </c>
      <c r="AF113" s="129">
        <f t="shared" si="369"/>
        <v>8.4994753410283314E-2</v>
      </c>
      <c r="AG113" s="129">
        <f t="shared" si="369"/>
        <v>8.4994753410283314E-2</v>
      </c>
      <c r="AH113" s="116">
        <f t="shared" ref="AH113" si="370">((AG113/J113)^(1/($AG$3-$K$1) ))-1</f>
        <v>-3.8849775878093351E-2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7"/>
      <c r="G114" s="147">
        <f t="shared" ref="G114" si="371">G29/G55</f>
        <v>0.54285714285714282</v>
      </c>
      <c r="H114" s="147">
        <f t="shared" ref="H114:I114" si="372">H29/H55</f>
        <v>0.63492063492063489</v>
      </c>
      <c r="I114" s="147">
        <f t="shared" si="372"/>
        <v>0.5494505494505495</v>
      </c>
      <c r="J114" s="147">
        <f t="shared" ref="J114:S114" si="373">J29/J55</f>
        <v>0.72649572649572647</v>
      </c>
      <c r="K114" s="147">
        <f t="shared" si="373"/>
        <v>0.39629629629629631</v>
      </c>
      <c r="L114" s="147">
        <f t="shared" si="373"/>
        <v>0.97841726618705038</v>
      </c>
      <c r="M114" s="147">
        <f t="shared" si="373"/>
        <v>0.28024502297090353</v>
      </c>
      <c r="N114" s="147">
        <f t="shared" si="373"/>
        <v>0.41950113378684806</v>
      </c>
      <c r="O114" s="147">
        <f t="shared" si="373"/>
        <v>0.69660194174757284</v>
      </c>
      <c r="P114" s="147">
        <f t="shared" si="373"/>
        <v>0.50814332247557004</v>
      </c>
      <c r="Q114" s="147">
        <f t="shared" si="373"/>
        <v>0.28258706467661693</v>
      </c>
      <c r="R114" s="147">
        <f t="shared" si="373"/>
        <v>0.18730808597748208</v>
      </c>
      <c r="S114" s="147">
        <f t="shared" si="373"/>
        <v>8.1705150976909419E-2</v>
      </c>
      <c r="T114" s="147">
        <f t="shared" ref="T114:U114" si="374">T29/T55</f>
        <v>9.3721565059144682E-2</v>
      </c>
      <c r="U114" s="147">
        <f t="shared" si="374"/>
        <v>0.22406639004149378</v>
      </c>
      <c r="V114" s="101">
        <f t="shared" si="198"/>
        <v>-6.1251256713862778E-2</v>
      </c>
      <c r="W114" s="10"/>
      <c r="X114" s="147">
        <f t="shared" ref="X114:AG114" si="375">X29/X55</f>
        <v>0.22406639004149378</v>
      </c>
      <c r="Y114" s="147">
        <f t="shared" si="375"/>
        <v>0.22406639004149378</v>
      </c>
      <c r="Z114" s="147">
        <f t="shared" si="375"/>
        <v>0.22406639004149376</v>
      </c>
      <c r="AA114" s="147">
        <f t="shared" si="375"/>
        <v>0.22406639004149373</v>
      </c>
      <c r="AB114" s="147">
        <f t="shared" si="375"/>
        <v>0.22406639004149373</v>
      </c>
      <c r="AC114" s="147">
        <f t="shared" si="375"/>
        <v>0.22406639004149373</v>
      </c>
      <c r="AD114" s="147">
        <f t="shared" si="375"/>
        <v>0.22406639004149373</v>
      </c>
      <c r="AE114" s="147">
        <f t="shared" si="375"/>
        <v>0.22406639004149373</v>
      </c>
      <c r="AF114" s="147">
        <f t="shared" si="375"/>
        <v>0.22406639004149376</v>
      </c>
      <c r="AG114" s="147">
        <f t="shared" si="375"/>
        <v>0.22406639004149376</v>
      </c>
      <c r="AH114" s="116">
        <f t="shared" ref="AH114" si="376">((AG114/J114)^(1/($AG$3-$K$1) ))-1</f>
        <v>-4.9857259530517339E-2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7"/>
      <c r="G115" s="147">
        <f t="shared" ref="G115" si="377">G29/G12</f>
        <v>0.34545454545454546</v>
      </c>
      <c r="H115" s="147">
        <f t="shared" ref="H115:I115" si="378">H29/H12</f>
        <v>0.33057851239669422</v>
      </c>
      <c r="I115" s="147">
        <f t="shared" si="378"/>
        <v>0.21645021645021645</v>
      </c>
      <c r="J115" s="147">
        <f t="shared" ref="J115:S115" si="379">J29/J12</f>
        <v>0.44041450777202074</v>
      </c>
      <c r="K115" s="147">
        <f t="shared" si="379"/>
        <v>0.37543859649122807</v>
      </c>
      <c r="L115" s="147">
        <f t="shared" si="379"/>
        <v>0.37673130193905818</v>
      </c>
      <c r="M115" s="147">
        <f t="shared" si="379"/>
        <v>0.52586206896551724</v>
      </c>
      <c r="N115" s="147">
        <f t="shared" si="379"/>
        <v>0.96858638743455494</v>
      </c>
      <c r="O115" s="147">
        <f t="shared" si="379"/>
        <v>1.6589595375722543</v>
      </c>
      <c r="P115" s="147">
        <f t="shared" si="379"/>
        <v>0.93134328358208951</v>
      </c>
      <c r="Q115" s="147">
        <f t="shared" si="379"/>
        <v>0.43425076452599387</v>
      </c>
      <c r="R115" s="147">
        <f t="shared" si="379"/>
        <v>0.30756302521008405</v>
      </c>
      <c r="S115" s="147">
        <f t="shared" si="379"/>
        <v>0.1546218487394958</v>
      </c>
      <c r="T115" s="147">
        <f t="shared" ref="T115:U115" si="380">T29/T12</f>
        <v>0.30654761904761907</v>
      </c>
      <c r="U115" s="147">
        <f t="shared" si="380"/>
        <v>0.27045075125208679</v>
      </c>
      <c r="V115" s="101">
        <f t="shared" si="198"/>
        <v>-1.7331694808492504E-2</v>
      </c>
      <c r="W115" s="10"/>
      <c r="X115" s="129">
        <f t="shared" ref="X115:AG115" si="381">X29/X12</f>
        <v>0.27045075125208679</v>
      </c>
      <c r="Y115" s="129">
        <f t="shared" si="381"/>
        <v>0.27045075125208679</v>
      </c>
      <c r="Z115" s="129">
        <f t="shared" si="381"/>
        <v>0.27045075125208679</v>
      </c>
      <c r="AA115" s="129">
        <f t="shared" si="381"/>
        <v>0.27045075125208679</v>
      </c>
      <c r="AB115" s="129">
        <f t="shared" si="381"/>
        <v>0.27045075125208679</v>
      </c>
      <c r="AC115" s="129">
        <f t="shared" si="381"/>
        <v>0.27045075125208679</v>
      </c>
      <c r="AD115" s="129">
        <f t="shared" si="381"/>
        <v>0.27045075125208679</v>
      </c>
      <c r="AE115" s="129">
        <f t="shared" si="381"/>
        <v>0.27045075125208673</v>
      </c>
      <c r="AF115" s="129">
        <f t="shared" si="381"/>
        <v>0.27045075125208679</v>
      </c>
      <c r="AG115" s="129">
        <f t="shared" si="381"/>
        <v>0.27045075125208679</v>
      </c>
      <c r="AH115" s="116">
        <f t="shared" si="331"/>
        <v>-2.0977980428345755E-2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7"/>
      <c r="G116" s="147">
        <f t="shared" ref="G116" si="382">G29/G23</f>
        <v>0.35849056603773582</v>
      </c>
      <c r="H116" s="147">
        <f t="shared" ref="H116:I116" si="383">H29/H23</f>
        <v>0.36363636363636365</v>
      </c>
      <c r="I116" s="147">
        <f t="shared" si="383"/>
        <v>0.21551724137931033</v>
      </c>
      <c r="J116" s="147">
        <f>J29/J23</f>
        <v>0.4941860465116279</v>
      </c>
      <c r="K116" s="147">
        <f t="shared" ref="K116:S116" si="384">K29/K23</f>
        <v>0.40225563909774437</v>
      </c>
      <c r="L116" s="147">
        <f t="shared" si="384"/>
        <v>0.49816849816849818</v>
      </c>
      <c r="M116" s="147">
        <f t="shared" si="384"/>
        <v>0.73493975903614461</v>
      </c>
      <c r="N116" s="147">
        <f t="shared" si="384"/>
        <v>1.3805970149253732</v>
      </c>
      <c r="O116" s="147">
        <f t="shared" si="384"/>
        <v>2.7075471698113209</v>
      </c>
      <c r="P116" s="147">
        <f t="shared" si="384"/>
        <v>2.1666666666666665</v>
      </c>
      <c r="Q116" s="147">
        <f t="shared" si="384"/>
        <v>1.3396226415094339</v>
      </c>
      <c r="R116" s="147">
        <f t="shared" si="384"/>
        <v>-15.25</v>
      </c>
      <c r="S116" s="147">
        <f t="shared" si="384"/>
        <v>1.393939393939394</v>
      </c>
      <c r="T116" s="147">
        <f t="shared" ref="T116:U116" si="385">T29/T23</f>
        <v>-0.64779874213836475</v>
      </c>
      <c r="U116" s="147">
        <f t="shared" si="385"/>
        <v>-1.0188679245283019</v>
      </c>
      <c r="V116" s="101" t="e">
        <f t="shared" si="198"/>
        <v>#NUM!</v>
      </c>
      <c r="W116" s="10"/>
      <c r="X116" s="147">
        <f t="shared" ref="X116:AG116" si="386">X29/X23</f>
        <v>-1.0188679245283019</v>
      </c>
      <c r="Y116" s="147">
        <f t="shared" si="386"/>
        <v>-1.0188679245283019</v>
      </c>
      <c r="Z116" s="147">
        <f t="shared" si="386"/>
        <v>-1.0188679245283019</v>
      </c>
      <c r="AA116" s="147">
        <f t="shared" si="386"/>
        <v>-1.0188679245283019</v>
      </c>
      <c r="AB116" s="147">
        <f t="shared" si="386"/>
        <v>-1.0188679245283019</v>
      </c>
      <c r="AC116" s="147">
        <f t="shared" si="386"/>
        <v>-1.0188679245283017</v>
      </c>
      <c r="AD116" s="147">
        <f t="shared" si="386"/>
        <v>-1.0188679245283017</v>
      </c>
      <c r="AE116" s="147">
        <f t="shared" si="386"/>
        <v>-1.0188679245283017</v>
      </c>
      <c r="AF116" s="147">
        <f t="shared" si="386"/>
        <v>-1.0188679245283017</v>
      </c>
      <c r="AG116" s="147">
        <f t="shared" si="386"/>
        <v>-1.0188679245283019</v>
      </c>
      <c r="AH116" s="116">
        <f t="shared" ref="AH116" si="387">((AG116/J116)^(1/($AG$3-$K$1) ))-1</f>
        <v>-2.0319580931691821</v>
      </c>
      <c r="AI116" s="124"/>
      <c r="AJ116" s="124"/>
    </row>
    <row r="117" spans="1:36" ht="12" customHeight="1">
      <c r="B117" s="10"/>
      <c r="C117" s="129"/>
      <c r="D117" s="129"/>
      <c r="E117" s="129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22"/>
      <c r="V117" s="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388">1/G112</f>
        <v>51.578947368421055</v>
      </c>
      <c r="H118" s="109">
        <f t="shared" ref="H118:I118" si="389">1/H112</f>
        <v>56.024999999999999</v>
      </c>
      <c r="I118" s="109">
        <f t="shared" si="389"/>
        <v>54.279999999999994</v>
      </c>
      <c r="J118" s="109">
        <f>1/J112</f>
        <v>50.635294117647057</v>
      </c>
      <c r="K118" s="109">
        <f t="shared" ref="K118:S118" si="390">1/K112</f>
        <v>44.654205607476634</v>
      </c>
      <c r="L118" s="109">
        <f t="shared" si="390"/>
        <v>36.816176470588239</v>
      </c>
      <c r="M118" s="109">
        <f t="shared" si="390"/>
        <v>43.693989071038253</v>
      </c>
      <c r="N118" s="109">
        <f t="shared" si="390"/>
        <v>50.637837837837836</v>
      </c>
      <c r="O118" s="109">
        <f t="shared" si="390"/>
        <v>43.247386759581886</v>
      </c>
      <c r="P118" s="109">
        <f t="shared" si="390"/>
        <v>41.596153846153847</v>
      </c>
      <c r="Q118" s="109">
        <f t="shared" si="390"/>
        <v>47.514084507042256</v>
      </c>
      <c r="R118" s="109">
        <f t="shared" si="390"/>
        <v>69.229508196721312</v>
      </c>
      <c r="S118" s="109">
        <f t="shared" si="390"/>
        <v>141</v>
      </c>
      <c r="T118" s="109">
        <f t="shared" ref="T118:U118" si="391">1/T112</f>
        <v>141.33009708737862</v>
      </c>
      <c r="U118" s="109">
        <f t="shared" si="391"/>
        <v>94.808641975308632</v>
      </c>
      <c r="V118" s="101">
        <f t="shared" si="198"/>
        <v>4.4441117560616084E-2</v>
      </c>
      <c r="W118" s="10"/>
      <c r="X118" s="109">
        <f t="shared" ref="X118:AG118" si="392">1/X112</f>
        <v>94.808641975308646</v>
      </c>
      <c r="Y118" s="109">
        <f t="shared" si="392"/>
        <v>94.808641975308646</v>
      </c>
      <c r="Z118" s="109">
        <f t="shared" si="392"/>
        <v>94.80864197530866</v>
      </c>
      <c r="AA118" s="109">
        <f t="shared" si="392"/>
        <v>94.80864197530866</v>
      </c>
      <c r="AB118" s="109">
        <f t="shared" si="392"/>
        <v>94.80864197530866</v>
      </c>
      <c r="AC118" s="109">
        <f t="shared" si="392"/>
        <v>94.80864197530866</v>
      </c>
      <c r="AD118" s="109">
        <f t="shared" si="392"/>
        <v>94.808641975308646</v>
      </c>
      <c r="AE118" s="109">
        <f t="shared" si="392"/>
        <v>94.80864197530866</v>
      </c>
      <c r="AF118" s="109">
        <f t="shared" si="392"/>
        <v>94.808641975308646</v>
      </c>
      <c r="AG118" s="109">
        <f t="shared" si="392"/>
        <v>94.808641975308632</v>
      </c>
      <c r="AH118" s="116">
        <f t="shared" si="331"/>
        <v>2.7645306363647482E-2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393">1/G113</f>
        <v>4.6052631578947372</v>
      </c>
      <c r="H119" s="109">
        <f t="shared" ref="H119:I119" si="394">1/H113</f>
        <v>4.0250000000000004</v>
      </c>
      <c r="I119" s="109">
        <f t="shared" si="394"/>
        <v>4.62</v>
      </c>
      <c r="J119" s="109">
        <f t="shared" ref="J119:S122" si="395">1/J113</f>
        <v>4.7294117647058824</v>
      </c>
      <c r="K119" s="109">
        <f t="shared" si="395"/>
        <v>5.8317757009345792</v>
      </c>
      <c r="L119" s="109">
        <f t="shared" si="395"/>
        <v>3.3529411764705883</v>
      </c>
      <c r="M119" s="109">
        <f t="shared" si="395"/>
        <v>6.8142076502732234</v>
      </c>
      <c r="N119" s="109">
        <f t="shared" si="395"/>
        <v>5.2864864864864867</v>
      </c>
      <c r="O119" s="109">
        <f t="shared" si="395"/>
        <v>4.0662020905923342</v>
      </c>
      <c r="P119" s="109">
        <f t="shared" si="395"/>
        <v>4.666666666666667</v>
      </c>
      <c r="Q119" s="109">
        <f t="shared" si="395"/>
        <v>6.602112676056338</v>
      </c>
      <c r="R119" s="109">
        <f t="shared" si="395"/>
        <v>10.546448087431694</v>
      </c>
      <c r="S119" s="109">
        <f t="shared" si="395"/>
        <v>32.608695652173914</v>
      </c>
      <c r="T119" s="109">
        <f t="shared" ref="T119:U119" si="396">1/T113</f>
        <v>27.55339805825243</v>
      </c>
      <c r="U119" s="109">
        <f t="shared" si="396"/>
        <v>11.765432098765432</v>
      </c>
      <c r="V119" s="101">
        <f t="shared" si="198"/>
        <v>6.9292876336283227E-2</v>
      </c>
      <c r="W119" s="10"/>
      <c r="X119" s="109">
        <f t="shared" ref="X119:AG119" si="397">1/X113</f>
        <v>11.765432098765432</v>
      </c>
      <c r="Y119" s="109">
        <f t="shared" si="397"/>
        <v>11.765432098765432</v>
      </c>
      <c r="Z119" s="109">
        <f t="shared" si="397"/>
        <v>11.765432098765432</v>
      </c>
      <c r="AA119" s="109">
        <f t="shared" si="397"/>
        <v>11.765432098765432</v>
      </c>
      <c r="AB119" s="109">
        <f t="shared" si="397"/>
        <v>11.765432098765432</v>
      </c>
      <c r="AC119" s="109">
        <f t="shared" si="397"/>
        <v>11.765432098765432</v>
      </c>
      <c r="AD119" s="109">
        <f t="shared" si="397"/>
        <v>11.765432098765432</v>
      </c>
      <c r="AE119" s="109">
        <f t="shared" si="397"/>
        <v>11.765432098765432</v>
      </c>
      <c r="AF119" s="109">
        <f t="shared" si="397"/>
        <v>11.765432098765432</v>
      </c>
      <c r="AG119" s="109">
        <f t="shared" si="397"/>
        <v>11.765432098765432</v>
      </c>
      <c r="AH119" s="116">
        <f t="shared" si="331"/>
        <v>4.0420087207060584E-2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398">1/G114</f>
        <v>1.8421052631578949</v>
      </c>
      <c r="H120" s="109">
        <f t="shared" ref="H120:I120" si="399">1/H114</f>
        <v>1.5750000000000002</v>
      </c>
      <c r="I120" s="109">
        <f t="shared" si="399"/>
        <v>1.8199999999999998</v>
      </c>
      <c r="J120" s="109">
        <f t="shared" si="395"/>
        <v>1.3764705882352941</v>
      </c>
      <c r="K120" s="109">
        <f t="shared" si="395"/>
        <v>2.5233644859813085</v>
      </c>
      <c r="L120" s="109">
        <f t="shared" si="395"/>
        <v>1.0220588235294117</v>
      </c>
      <c r="M120" s="109">
        <f t="shared" si="395"/>
        <v>3.5683060109289615</v>
      </c>
      <c r="N120" s="109">
        <f t="shared" si="395"/>
        <v>2.3837837837837839</v>
      </c>
      <c r="O120" s="109">
        <f t="shared" si="395"/>
        <v>1.4355400696864111</v>
      </c>
      <c r="P120" s="109">
        <f t="shared" si="395"/>
        <v>1.9679487179487178</v>
      </c>
      <c r="Q120" s="109">
        <f t="shared" si="395"/>
        <v>3.538732394366197</v>
      </c>
      <c r="R120" s="109">
        <f t="shared" si="395"/>
        <v>5.3387978142076502</v>
      </c>
      <c r="S120" s="109">
        <f t="shared" si="395"/>
        <v>12.239130434782608</v>
      </c>
      <c r="T120" s="109">
        <f t="shared" ref="T120:U120" si="400">1/T114</f>
        <v>10.669902912621358</v>
      </c>
      <c r="U120" s="109">
        <f t="shared" si="400"/>
        <v>4.4629629629629628</v>
      </c>
      <c r="V120" s="101">
        <f t="shared" si="198"/>
        <v>6.5247764273376863E-2</v>
      </c>
      <c r="W120" s="10"/>
      <c r="X120" s="109">
        <f t="shared" ref="X120:AG120" si="401">1/X114</f>
        <v>4.4629629629629628</v>
      </c>
      <c r="Y120" s="109">
        <f t="shared" si="401"/>
        <v>4.4629629629629628</v>
      </c>
      <c r="Z120" s="109">
        <f t="shared" si="401"/>
        <v>4.4629629629629637</v>
      </c>
      <c r="AA120" s="109">
        <f t="shared" si="401"/>
        <v>4.4629629629629637</v>
      </c>
      <c r="AB120" s="109">
        <f t="shared" si="401"/>
        <v>4.4629629629629637</v>
      </c>
      <c r="AC120" s="109">
        <f t="shared" si="401"/>
        <v>4.4629629629629637</v>
      </c>
      <c r="AD120" s="109">
        <f t="shared" si="401"/>
        <v>4.4629629629629637</v>
      </c>
      <c r="AE120" s="109">
        <f t="shared" si="401"/>
        <v>4.4629629629629637</v>
      </c>
      <c r="AF120" s="109">
        <f t="shared" si="401"/>
        <v>4.4629629629629637</v>
      </c>
      <c r="AG120" s="109">
        <f t="shared" si="401"/>
        <v>4.4629629629629637</v>
      </c>
      <c r="AH120" s="116">
        <f t="shared" si="331"/>
        <v>5.2473441522988384E-2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402">1/G115</f>
        <v>2.8947368421052633</v>
      </c>
      <c r="H121" s="109">
        <f t="shared" ref="H121:I121" si="403">1/H115</f>
        <v>3.0249999999999999</v>
      </c>
      <c r="I121" s="109">
        <f t="shared" si="403"/>
        <v>4.62</v>
      </c>
      <c r="J121" s="109">
        <f t="shared" si="395"/>
        <v>2.2705882352941176</v>
      </c>
      <c r="K121" s="109">
        <f t="shared" si="395"/>
        <v>2.6635514018691588</v>
      </c>
      <c r="L121" s="109">
        <f t="shared" si="395"/>
        <v>2.6544117647058822</v>
      </c>
      <c r="M121" s="109">
        <f t="shared" si="395"/>
        <v>1.9016393442622952</v>
      </c>
      <c r="N121" s="109">
        <f t="shared" si="395"/>
        <v>1.0324324324324325</v>
      </c>
      <c r="O121" s="109">
        <f t="shared" si="395"/>
        <v>0.60278745644599308</v>
      </c>
      <c r="P121" s="109">
        <f t="shared" si="395"/>
        <v>1.0737179487179487</v>
      </c>
      <c r="Q121" s="109">
        <f t="shared" si="395"/>
        <v>2.302816901408451</v>
      </c>
      <c r="R121" s="109">
        <f t="shared" si="395"/>
        <v>3.2513661202185791</v>
      </c>
      <c r="S121" s="109">
        <f t="shared" si="395"/>
        <v>6.4673913043478262</v>
      </c>
      <c r="T121" s="109">
        <f t="shared" ref="T121:U121" si="404">1/T115</f>
        <v>3.262135922330097</v>
      </c>
      <c r="U121" s="109">
        <f t="shared" si="404"/>
        <v>3.6975308641975313</v>
      </c>
      <c r="V121" s="101">
        <f t="shared" si="198"/>
        <v>1.7637380504619937E-2</v>
      </c>
      <c r="W121" s="10"/>
      <c r="X121" s="109">
        <f t="shared" ref="X121:AG121" si="405">1/X115</f>
        <v>3.6975308641975313</v>
      </c>
      <c r="Y121" s="109">
        <f t="shared" si="405"/>
        <v>3.6975308641975313</v>
      </c>
      <c r="Z121" s="109">
        <f t="shared" si="405"/>
        <v>3.6975308641975313</v>
      </c>
      <c r="AA121" s="109">
        <f t="shared" si="405"/>
        <v>3.6975308641975313</v>
      </c>
      <c r="AB121" s="109">
        <f t="shared" si="405"/>
        <v>3.6975308641975313</v>
      </c>
      <c r="AC121" s="109">
        <f t="shared" si="405"/>
        <v>3.6975308641975313</v>
      </c>
      <c r="AD121" s="109">
        <f t="shared" si="405"/>
        <v>3.6975308641975313</v>
      </c>
      <c r="AE121" s="109">
        <f t="shared" si="405"/>
        <v>3.6975308641975322</v>
      </c>
      <c r="AF121" s="109">
        <f t="shared" si="405"/>
        <v>3.6975308641975313</v>
      </c>
      <c r="AG121" s="109">
        <f t="shared" si="405"/>
        <v>3.6975308641975313</v>
      </c>
      <c r="AH121" s="116">
        <f t="shared" si="331"/>
        <v>2.1427485806217117E-2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>
        <f t="shared" ref="G122" si="406">1/G116</f>
        <v>2.7894736842105265</v>
      </c>
      <c r="H122" s="109">
        <f t="shared" ref="H122:I122" si="407">1/H116</f>
        <v>2.75</v>
      </c>
      <c r="I122" s="109">
        <f t="shared" si="407"/>
        <v>4.6400000000000006</v>
      </c>
      <c r="J122" s="109">
        <f t="shared" si="395"/>
        <v>2.0235294117647058</v>
      </c>
      <c r="K122" s="109">
        <f t="shared" si="395"/>
        <v>2.485981308411215</v>
      </c>
      <c r="L122" s="109">
        <f t="shared" si="395"/>
        <v>2.0073529411764706</v>
      </c>
      <c r="M122" s="109">
        <f t="shared" si="395"/>
        <v>1.360655737704918</v>
      </c>
      <c r="N122" s="109">
        <f t="shared" si="395"/>
        <v>0.72432432432432425</v>
      </c>
      <c r="O122" s="109">
        <f t="shared" si="395"/>
        <v>0.36933797909407662</v>
      </c>
      <c r="P122" s="109">
        <f t="shared" si="395"/>
        <v>0.46153846153846156</v>
      </c>
      <c r="Q122" s="109">
        <f t="shared" si="395"/>
        <v>0.74647887323943662</v>
      </c>
      <c r="R122" s="109">
        <f t="shared" si="395"/>
        <v>-6.5573770491803282E-2</v>
      </c>
      <c r="S122" s="109">
        <f t="shared" si="395"/>
        <v>0.71739130434782605</v>
      </c>
      <c r="T122" s="109">
        <f t="shared" ref="T122:U122" si="408">1/T116</f>
        <v>-1.5436893203883495</v>
      </c>
      <c r="U122" s="109">
        <f t="shared" si="408"/>
        <v>-0.98148148148148151</v>
      </c>
      <c r="V122" s="101" t="e">
        <f t="shared" si="198"/>
        <v>#NUM!</v>
      </c>
      <c r="W122" s="10"/>
      <c r="X122" s="109">
        <f t="shared" ref="X122:AG122" si="409">1/X116</f>
        <v>-0.98148148148148151</v>
      </c>
      <c r="Y122" s="109">
        <f t="shared" si="409"/>
        <v>-0.98148148148148151</v>
      </c>
      <c r="Z122" s="109">
        <f t="shared" si="409"/>
        <v>-0.98148148148148151</v>
      </c>
      <c r="AA122" s="109">
        <f t="shared" si="409"/>
        <v>-0.98148148148148151</v>
      </c>
      <c r="AB122" s="109">
        <f t="shared" si="409"/>
        <v>-0.98148148148148151</v>
      </c>
      <c r="AC122" s="109">
        <f t="shared" si="409"/>
        <v>-0.98148148148148173</v>
      </c>
      <c r="AD122" s="109">
        <f t="shared" si="409"/>
        <v>-0.98148148148148173</v>
      </c>
      <c r="AE122" s="109">
        <f t="shared" si="409"/>
        <v>-0.98148148148148173</v>
      </c>
      <c r="AF122" s="109">
        <f t="shared" si="409"/>
        <v>-0.98148148148148173</v>
      </c>
      <c r="AG122" s="109">
        <f t="shared" si="409"/>
        <v>-0.98148148148148151</v>
      </c>
      <c r="AH122" s="116">
        <f t="shared" si="331"/>
        <v>-1.9690315979101076</v>
      </c>
      <c r="AI122" s="124"/>
      <c r="AJ122" s="124"/>
    </row>
    <row r="123" spans="1:36" ht="12" customHeight="1">
      <c r="B123" s="10"/>
      <c r="C123" s="129"/>
      <c r="D123" s="129"/>
      <c r="E123" s="129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22"/>
      <c r="V123" s="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299" t="s">
        <v>423</v>
      </c>
      <c r="B124" s="178" t="s">
        <v>430</v>
      </c>
      <c r="C124" s="129"/>
      <c r="D124" s="129"/>
      <c r="E124" s="129"/>
      <c r="F124" s="147"/>
      <c r="G124" s="147" t="e">
        <f t="shared" ref="G124" si="410">G25/(G36+G38)</f>
        <v>#DIV/0!</v>
      </c>
      <c r="H124" s="147" t="e">
        <f t="shared" ref="H124:I124" si="411">H25/(H36+H38)</f>
        <v>#DIV/0!</v>
      </c>
      <c r="I124" s="147" t="e">
        <f t="shared" si="411"/>
        <v>#DIV/0!</v>
      </c>
      <c r="J124" s="147" t="e">
        <f t="shared" ref="J124:T124" si="412">J25/(J36+J38)</f>
        <v>#DIV/0!</v>
      </c>
      <c r="K124" s="147" t="e">
        <f t="shared" si="412"/>
        <v>#DIV/0!</v>
      </c>
      <c r="L124" s="147" t="e">
        <f t="shared" si="412"/>
        <v>#DIV/0!</v>
      </c>
      <c r="M124" s="147" t="e">
        <f t="shared" si="412"/>
        <v>#DIV/0!</v>
      </c>
      <c r="N124" s="147" t="e">
        <f t="shared" si="412"/>
        <v>#DIV/0!</v>
      </c>
      <c r="O124" s="147" t="e">
        <f t="shared" si="412"/>
        <v>#DIV/0!</v>
      </c>
      <c r="P124" s="147" t="e">
        <f t="shared" si="412"/>
        <v>#DIV/0!</v>
      </c>
      <c r="Q124" s="147" t="e">
        <f t="shared" si="412"/>
        <v>#DIV/0!</v>
      </c>
      <c r="R124" s="147" t="e">
        <f t="shared" si="412"/>
        <v>#DIV/0!</v>
      </c>
      <c r="S124" s="147" t="e">
        <f t="shared" si="412"/>
        <v>#DIV/0!</v>
      </c>
      <c r="T124" s="147" t="e">
        <f t="shared" si="412"/>
        <v>#DIV/0!</v>
      </c>
      <c r="U124" s="147">
        <f t="shared" ref="U124" si="413">U25/(U36+U38)</f>
        <v>15359</v>
      </c>
      <c r="V124" s="101" t="e">
        <f t="shared" si="198"/>
        <v>#DIV/0!</v>
      </c>
      <c r="W124" s="10"/>
      <c r="X124" s="147">
        <f t="shared" ref="X124:AG124" si="414">X25/(X36+X38)</f>
        <v>15359</v>
      </c>
      <c r="Y124" s="147">
        <f t="shared" si="414"/>
        <v>15359.000000000002</v>
      </c>
      <c r="Z124" s="147">
        <f t="shared" si="414"/>
        <v>15359.000000000004</v>
      </c>
      <c r="AA124" s="147">
        <f t="shared" si="414"/>
        <v>15359.000000000002</v>
      </c>
      <c r="AB124" s="147">
        <f t="shared" si="414"/>
        <v>15359.000000000002</v>
      </c>
      <c r="AC124" s="147">
        <f t="shared" si="414"/>
        <v>15359.000000000002</v>
      </c>
      <c r="AD124" s="147">
        <f t="shared" si="414"/>
        <v>15359.000000000002</v>
      </c>
      <c r="AE124" s="147">
        <f t="shared" si="414"/>
        <v>15359</v>
      </c>
      <c r="AF124" s="147">
        <f t="shared" si="414"/>
        <v>15359</v>
      </c>
      <c r="AG124" s="147">
        <f t="shared" si="414"/>
        <v>15358.999999999998</v>
      </c>
      <c r="AH124" s="116" t="e">
        <f t="shared" ref="AH124:AH132" si="415">((AG124/J124)^(1/($AG$3-$K$1) ))-1</f>
        <v>#DIV/0!</v>
      </c>
      <c r="AI124" s="124"/>
      <c r="AJ124" s="124"/>
    </row>
    <row r="125" spans="1:36" ht="12" customHeight="1">
      <c r="A125" s="299"/>
      <c r="B125" s="178" t="s">
        <v>425</v>
      </c>
      <c r="C125" s="129"/>
      <c r="D125" s="129"/>
      <c r="E125" s="129"/>
      <c r="F125" s="147"/>
      <c r="G125" s="147" t="e">
        <f t="shared" ref="G125" si="416">G25/G43</f>
        <v>#DIV/0!</v>
      </c>
      <c r="H125" s="147" t="e">
        <f t="shared" ref="H125:I125" si="417">H25/H43</f>
        <v>#DIV/0!</v>
      </c>
      <c r="I125" s="147" t="e">
        <f t="shared" si="417"/>
        <v>#DIV/0!</v>
      </c>
      <c r="J125" s="147" t="e">
        <f t="shared" ref="J125:T125" si="418">J25/J43</f>
        <v>#DIV/0!</v>
      </c>
      <c r="K125" s="147" t="e">
        <f t="shared" si="418"/>
        <v>#DIV/0!</v>
      </c>
      <c r="L125" s="147" t="e">
        <f t="shared" si="418"/>
        <v>#DIV/0!</v>
      </c>
      <c r="M125" s="147" t="e">
        <f t="shared" si="418"/>
        <v>#DIV/0!</v>
      </c>
      <c r="N125" s="147" t="e">
        <f t="shared" si="418"/>
        <v>#DIV/0!</v>
      </c>
      <c r="O125" s="147" t="e">
        <f t="shared" si="418"/>
        <v>#DIV/0!</v>
      </c>
      <c r="P125" s="147" t="e">
        <f t="shared" si="418"/>
        <v>#DIV/0!</v>
      </c>
      <c r="Q125" s="147" t="e">
        <f t="shared" si="418"/>
        <v>#DIV/0!</v>
      </c>
      <c r="R125" s="147" t="e">
        <f t="shared" si="418"/>
        <v>#DIV/0!</v>
      </c>
      <c r="S125" s="147" t="e">
        <f t="shared" si="418"/>
        <v>#DIV/0!</v>
      </c>
      <c r="T125" s="147" t="e">
        <f t="shared" si="418"/>
        <v>#DIV/0!</v>
      </c>
      <c r="U125" s="147" t="e">
        <f t="shared" ref="U125" si="419">U25/U43</f>
        <v>#DIV/0!</v>
      </c>
      <c r="V125" s="101" t="e">
        <f t="shared" si="198"/>
        <v>#DIV/0!</v>
      </c>
      <c r="W125" s="10"/>
      <c r="X125" s="147" t="e">
        <f t="shared" ref="X125:AG125" si="420">X25/X43</f>
        <v>#DIV/0!</v>
      </c>
      <c r="Y125" s="147" t="e">
        <f t="shared" si="420"/>
        <v>#DIV/0!</v>
      </c>
      <c r="Z125" s="147" t="e">
        <f t="shared" si="420"/>
        <v>#DIV/0!</v>
      </c>
      <c r="AA125" s="147" t="e">
        <f t="shared" si="420"/>
        <v>#DIV/0!</v>
      </c>
      <c r="AB125" s="147" t="e">
        <f t="shared" si="420"/>
        <v>#DIV/0!</v>
      </c>
      <c r="AC125" s="147" t="e">
        <f t="shared" si="420"/>
        <v>#DIV/0!</v>
      </c>
      <c r="AD125" s="147" t="e">
        <f t="shared" si="420"/>
        <v>#DIV/0!</v>
      </c>
      <c r="AE125" s="147" t="e">
        <f t="shared" si="420"/>
        <v>#DIV/0!</v>
      </c>
      <c r="AF125" s="147" t="e">
        <f t="shared" si="420"/>
        <v>#DIV/0!</v>
      </c>
      <c r="AG125" s="147" t="e">
        <f t="shared" si="420"/>
        <v>#DIV/0!</v>
      </c>
      <c r="AH125" s="116" t="e">
        <f t="shared" si="415"/>
        <v>#DIV/0!</v>
      </c>
      <c r="AI125" s="124"/>
      <c r="AJ125" s="124"/>
    </row>
    <row r="126" spans="1:36" ht="12" customHeight="1">
      <c r="A126" s="299"/>
      <c r="B126" s="178" t="s">
        <v>431</v>
      </c>
      <c r="C126" s="129"/>
      <c r="D126" s="129"/>
      <c r="E126" s="129"/>
      <c r="F126" s="147"/>
      <c r="G126" s="147" t="e">
        <f t="shared" ref="G126" si="421">G43/(G36)</f>
        <v>#DIV/0!</v>
      </c>
      <c r="H126" s="147" t="e">
        <f t="shared" ref="H126:I126" si="422">H43/(H36)</f>
        <v>#DIV/0!</v>
      </c>
      <c r="I126" s="147" t="e">
        <f t="shared" si="422"/>
        <v>#DIV/0!</v>
      </c>
      <c r="J126" s="147" t="e">
        <f t="shared" ref="J126:T126" si="423">J43/(J36)</f>
        <v>#DIV/0!</v>
      </c>
      <c r="K126" s="147" t="e">
        <f t="shared" si="423"/>
        <v>#DIV/0!</v>
      </c>
      <c r="L126" s="147" t="e">
        <f t="shared" si="423"/>
        <v>#DIV/0!</v>
      </c>
      <c r="M126" s="147" t="e">
        <f t="shared" si="423"/>
        <v>#DIV/0!</v>
      </c>
      <c r="N126" s="147" t="e">
        <f t="shared" si="423"/>
        <v>#DIV/0!</v>
      </c>
      <c r="O126" s="147" t="e">
        <f t="shared" si="423"/>
        <v>#DIV/0!</v>
      </c>
      <c r="P126" s="147" t="e">
        <f t="shared" si="423"/>
        <v>#DIV/0!</v>
      </c>
      <c r="Q126" s="147" t="e">
        <f t="shared" si="423"/>
        <v>#DIV/0!</v>
      </c>
      <c r="R126" s="147" t="e">
        <f t="shared" si="423"/>
        <v>#DIV/0!</v>
      </c>
      <c r="S126" s="147" t="e">
        <f t="shared" si="423"/>
        <v>#DIV/0!</v>
      </c>
      <c r="T126" s="147" t="e">
        <f t="shared" si="423"/>
        <v>#DIV/0!</v>
      </c>
      <c r="U126" s="147" t="e">
        <f t="shared" ref="U126" si="424">U43/(U36)</f>
        <v>#DIV/0!</v>
      </c>
      <c r="V126" s="101" t="e">
        <f t="shared" si="198"/>
        <v>#DIV/0!</v>
      </c>
      <c r="W126" s="10"/>
      <c r="X126" s="147">
        <f t="shared" ref="X126:AG126" si="425">X43/(X36+X38)</f>
        <v>0</v>
      </c>
      <c r="Y126" s="147">
        <f t="shared" si="425"/>
        <v>0</v>
      </c>
      <c r="Z126" s="147">
        <f t="shared" si="425"/>
        <v>0</v>
      </c>
      <c r="AA126" s="147">
        <f t="shared" si="425"/>
        <v>0</v>
      </c>
      <c r="AB126" s="147">
        <f t="shared" si="425"/>
        <v>0</v>
      </c>
      <c r="AC126" s="147">
        <f t="shared" si="425"/>
        <v>0</v>
      </c>
      <c r="AD126" s="147">
        <f t="shared" si="425"/>
        <v>0</v>
      </c>
      <c r="AE126" s="147">
        <f t="shared" si="425"/>
        <v>0</v>
      </c>
      <c r="AF126" s="147">
        <f t="shared" si="425"/>
        <v>0</v>
      </c>
      <c r="AG126" s="147">
        <f t="shared" si="425"/>
        <v>0</v>
      </c>
      <c r="AH126" s="116" t="e">
        <f t="shared" si="415"/>
        <v>#DIV/0!</v>
      </c>
      <c r="AI126" s="124"/>
      <c r="AJ126" s="124"/>
    </row>
    <row r="127" spans="1:36" ht="12" customHeight="1">
      <c r="A127" s="299"/>
      <c r="B127" s="178" t="s">
        <v>429</v>
      </c>
      <c r="C127" s="129"/>
      <c r="D127" s="129"/>
      <c r="E127" s="129"/>
      <c r="F127" s="147"/>
      <c r="G127" s="147" t="e">
        <f t="shared" ref="G127" si="426">G43/G38</f>
        <v>#DIV/0!</v>
      </c>
      <c r="H127" s="147" t="e">
        <f t="shared" ref="H127:I127" si="427">H43/H38</f>
        <v>#DIV/0!</v>
      </c>
      <c r="I127" s="147" t="e">
        <f t="shared" si="427"/>
        <v>#DIV/0!</v>
      </c>
      <c r="J127" s="147" t="e">
        <f t="shared" ref="J127:T127" si="428">J43/J38</f>
        <v>#DIV/0!</v>
      </c>
      <c r="K127" s="147" t="e">
        <f t="shared" si="428"/>
        <v>#DIV/0!</v>
      </c>
      <c r="L127" s="147" t="e">
        <f t="shared" si="428"/>
        <v>#DIV/0!</v>
      </c>
      <c r="M127" s="147" t="e">
        <f t="shared" si="428"/>
        <v>#DIV/0!</v>
      </c>
      <c r="N127" s="147" t="e">
        <f t="shared" si="428"/>
        <v>#DIV/0!</v>
      </c>
      <c r="O127" s="147" t="e">
        <f t="shared" si="428"/>
        <v>#DIV/0!</v>
      </c>
      <c r="P127" s="147" t="e">
        <f t="shared" si="428"/>
        <v>#DIV/0!</v>
      </c>
      <c r="Q127" s="147" t="e">
        <f t="shared" si="428"/>
        <v>#DIV/0!</v>
      </c>
      <c r="R127" s="147" t="e">
        <f t="shared" si="428"/>
        <v>#DIV/0!</v>
      </c>
      <c r="S127" s="147" t="e">
        <f t="shared" si="428"/>
        <v>#DIV/0!</v>
      </c>
      <c r="T127" s="147" t="e">
        <f t="shared" si="428"/>
        <v>#DIV/0!</v>
      </c>
      <c r="U127" s="147">
        <f t="shared" ref="U127" si="429">U43/U38</f>
        <v>0</v>
      </c>
      <c r="V127" s="101" t="e">
        <f t="shared" si="198"/>
        <v>#DIV/0!</v>
      </c>
      <c r="W127" s="10"/>
      <c r="X127" s="147">
        <f t="shared" ref="X127:AG127" si="430">X43/X38</f>
        <v>0</v>
      </c>
      <c r="Y127" s="147">
        <f t="shared" si="430"/>
        <v>0</v>
      </c>
      <c r="Z127" s="147">
        <f t="shared" si="430"/>
        <v>0</v>
      </c>
      <c r="AA127" s="147">
        <f t="shared" si="430"/>
        <v>0</v>
      </c>
      <c r="AB127" s="147">
        <f t="shared" si="430"/>
        <v>0</v>
      </c>
      <c r="AC127" s="147">
        <f t="shared" si="430"/>
        <v>0</v>
      </c>
      <c r="AD127" s="147">
        <f t="shared" si="430"/>
        <v>0</v>
      </c>
      <c r="AE127" s="147">
        <f t="shared" si="430"/>
        <v>0</v>
      </c>
      <c r="AF127" s="147">
        <f t="shared" si="430"/>
        <v>0</v>
      </c>
      <c r="AG127" s="147">
        <f t="shared" si="430"/>
        <v>0</v>
      </c>
      <c r="AH127" s="116" t="e">
        <f t="shared" si="415"/>
        <v>#DIV/0!</v>
      </c>
      <c r="AI127" s="124"/>
      <c r="AJ127" s="124"/>
    </row>
    <row r="128" spans="1:36" ht="12" customHeight="1">
      <c r="A128" s="299"/>
      <c r="B128" s="178" t="s">
        <v>428</v>
      </c>
      <c r="C128" s="129"/>
      <c r="D128" s="129"/>
      <c r="E128" s="129"/>
      <c r="F128" s="147"/>
      <c r="G128" s="147" t="e">
        <f t="shared" ref="G128" si="431">G43/(G36+G38)</f>
        <v>#DIV/0!</v>
      </c>
      <c r="H128" s="147" t="e">
        <f t="shared" ref="H128:I128" si="432">H43/(H36+H38)</f>
        <v>#DIV/0!</v>
      </c>
      <c r="I128" s="147" t="e">
        <f t="shared" si="432"/>
        <v>#DIV/0!</v>
      </c>
      <c r="J128" s="147" t="e">
        <f t="shared" ref="J128:T128" si="433">J43/(J36+J38)</f>
        <v>#DIV/0!</v>
      </c>
      <c r="K128" s="147" t="e">
        <f t="shared" si="433"/>
        <v>#DIV/0!</v>
      </c>
      <c r="L128" s="147" t="e">
        <f t="shared" si="433"/>
        <v>#DIV/0!</v>
      </c>
      <c r="M128" s="147" t="e">
        <f t="shared" si="433"/>
        <v>#DIV/0!</v>
      </c>
      <c r="N128" s="147" t="e">
        <f t="shared" si="433"/>
        <v>#DIV/0!</v>
      </c>
      <c r="O128" s="147" t="e">
        <f t="shared" si="433"/>
        <v>#DIV/0!</v>
      </c>
      <c r="P128" s="147" t="e">
        <f t="shared" si="433"/>
        <v>#DIV/0!</v>
      </c>
      <c r="Q128" s="147" t="e">
        <f t="shared" si="433"/>
        <v>#DIV/0!</v>
      </c>
      <c r="R128" s="147" t="e">
        <f t="shared" si="433"/>
        <v>#DIV/0!</v>
      </c>
      <c r="S128" s="147" t="e">
        <f t="shared" si="433"/>
        <v>#DIV/0!</v>
      </c>
      <c r="T128" s="147" t="e">
        <f t="shared" si="433"/>
        <v>#DIV/0!</v>
      </c>
      <c r="U128" s="147">
        <f t="shared" ref="U128" si="434">U43/(U36+U38)</f>
        <v>0</v>
      </c>
      <c r="V128" s="101" t="e">
        <f t="shared" si="198"/>
        <v>#DIV/0!</v>
      </c>
      <c r="W128" s="10"/>
      <c r="X128" s="147">
        <f t="shared" ref="X128:AG128" si="435">X43/(X36+X38)</f>
        <v>0</v>
      </c>
      <c r="Y128" s="147">
        <f t="shared" si="435"/>
        <v>0</v>
      </c>
      <c r="Z128" s="147">
        <f t="shared" si="435"/>
        <v>0</v>
      </c>
      <c r="AA128" s="147">
        <f t="shared" si="435"/>
        <v>0</v>
      </c>
      <c r="AB128" s="147">
        <f t="shared" si="435"/>
        <v>0</v>
      </c>
      <c r="AC128" s="147">
        <f t="shared" si="435"/>
        <v>0</v>
      </c>
      <c r="AD128" s="147">
        <f t="shared" si="435"/>
        <v>0</v>
      </c>
      <c r="AE128" s="147">
        <f t="shared" si="435"/>
        <v>0</v>
      </c>
      <c r="AF128" s="147">
        <f t="shared" si="435"/>
        <v>0</v>
      </c>
      <c r="AG128" s="147">
        <f t="shared" si="435"/>
        <v>0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299"/>
      <c r="B129" s="178" t="s">
        <v>434</v>
      </c>
      <c r="C129" s="129"/>
      <c r="D129" s="129"/>
      <c r="E129" s="129"/>
      <c r="F129" s="147"/>
      <c r="G129" s="147">
        <f t="shared" ref="G129" si="436">G47/G25</f>
        <v>0</v>
      </c>
      <c r="H129" s="147">
        <f t="shared" ref="H129:I129" si="437">H47/H25</f>
        <v>0</v>
      </c>
      <c r="I129" s="147">
        <f t="shared" si="437"/>
        <v>0</v>
      </c>
      <c r="J129" s="147">
        <f t="shared" ref="J129:T129" si="438">J47/J25</f>
        <v>0</v>
      </c>
      <c r="K129" s="147">
        <f t="shared" si="438"/>
        <v>0</v>
      </c>
      <c r="L129" s="147">
        <f t="shared" si="438"/>
        <v>0</v>
      </c>
      <c r="M129" s="147">
        <f t="shared" si="438"/>
        <v>0</v>
      </c>
      <c r="N129" s="147">
        <f t="shared" si="438"/>
        <v>0</v>
      </c>
      <c r="O129" s="147">
        <f t="shared" si="438"/>
        <v>0</v>
      </c>
      <c r="P129" s="147">
        <f t="shared" si="438"/>
        <v>0</v>
      </c>
      <c r="Q129" s="147">
        <f t="shared" si="438"/>
        <v>0</v>
      </c>
      <c r="R129" s="147">
        <f t="shared" si="438"/>
        <v>0</v>
      </c>
      <c r="S129" s="147">
        <f t="shared" si="438"/>
        <v>0</v>
      </c>
      <c r="T129" s="147">
        <f t="shared" si="438"/>
        <v>0</v>
      </c>
      <c r="U129" s="147">
        <f t="shared" ref="U129" si="439">U47/U25</f>
        <v>6.5108405495149422E-5</v>
      </c>
      <c r="V129" s="101" t="e">
        <f t="shared" si="198"/>
        <v>#DIV/0!</v>
      </c>
      <c r="W129" s="10"/>
      <c r="X129" s="147">
        <f t="shared" ref="X129:AG129" si="440">X47/X25</f>
        <v>6.5108405495149422E-5</v>
      </c>
      <c r="Y129" s="147">
        <f t="shared" si="440"/>
        <v>6.5108405495149408E-5</v>
      </c>
      <c r="Z129" s="147">
        <f t="shared" si="440"/>
        <v>6.5108405495149408E-5</v>
      </c>
      <c r="AA129" s="147">
        <f t="shared" si="440"/>
        <v>6.5108405495149408E-5</v>
      </c>
      <c r="AB129" s="147">
        <f t="shared" si="440"/>
        <v>6.5108405495149408E-5</v>
      </c>
      <c r="AC129" s="147">
        <f t="shared" si="440"/>
        <v>6.5108405495149422E-5</v>
      </c>
      <c r="AD129" s="147">
        <f t="shared" si="440"/>
        <v>6.5108405495149422E-5</v>
      </c>
      <c r="AE129" s="147">
        <f t="shared" si="440"/>
        <v>6.5108405495149422E-5</v>
      </c>
      <c r="AF129" s="147">
        <f t="shared" si="440"/>
        <v>6.5108405495149422E-5</v>
      </c>
      <c r="AG129" s="147">
        <f t="shared" si="440"/>
        <v>6.5108405495149435E-5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299"/>
      <c r="B130" s="178" t="s">
        <v>432</v>
      </c>
      <c r="C130" s="129"/>
      <c r="D130" s="129"/>
      <c r="E130" s="129"/>
      <c r="F130" s="182"/>
      <c r="G130" s="182" t="e">
        <f t="shared" ref="G130" si="441">G55/G49</f>
        <v>#DIV/0!</v>
      </c>
      <c r="H130" s="182" t="e">
        <f t="shared" ref="H130:I130" si="442">H55/H49</f>
        <v>#DIV/0!</v>
      </c>
      <c r="I130" s="182" t="e">
        <f t="shared" si="442"/>
        <v>#DIV/0!</v>
      </c>
      <c r="J130" s="182" t="e">
        <f t="shared" ref="J130:T130" si="443">J55/J49</f>
        <v>#DIV/0!</v>
      </c>
      <c r="K130" s="182" t="e">
        <f t="shared" si="443"/>
        <v>#DIV/0!</v>
      </c>
      <c r="L130" s="182" t="e">
        <f t="shared" si="443"/>
        <v>#DIV/0!</v>
      </c>
      <c r="M130" s="182" t="e">
        <f t="shared" si="443"/>
        <v>#DIV/0!</v>
      </c>
      <c r="N130" s="182" t="e">
        <f t="shared" si="443"/>
        <v>#DIV/0!</v>
      </c>
      <c r="O130" s="182" t="e">
        <f t="shared" si="443"/>
        <v>#DIV/0!</v>
      </c>
      <c r="P130" s="182" t="e">
        <f t="shared" si="443"/>
        <v>#DIV/0!</v>
      </c>
      <c r="Q130" s="182" t="e">
        <f t="shared" si="443"/>
        <v>#DIV/0!</v>
      </c>
      <c r="R130" s="182" t="e">
        <f t="shared" si="443"/>
        <v>#DIV/0!</v>
      </c>
      <c r="S130" s="182" t="e">
        <f t="shared" si="443"/>
        <v>#DIV/0!</v>
      </c>
      <c r="T130" s="182" t="e">
        <f t="shared" si="443"/>
        <v>#DIV/0!</v>
      </c>
      <c r="U130" s="182">
        <f t="shared" ref="U130" si="444">U55/U49</f>
        <v>723</v>
      </c>
      <c r="V130" s="101" t="e">
        <f t="shared" si="198"/>
        <v>#DIV/0!</v>
      </c>
      <c r="W130" s="10"/>
      <c r="X130" s="182">
        <f t="shared" ref="X130:AG130" si="445">X55/X49</f>
        <v>723</v>
      </c>
      <c r="Y130" s="182">
        <f t="shared" si="445"/>
        <v>723</v>
      </c>
      <c r="Z130" s="182">
        <f t="shared" si="445"/>
        <v>723</v>
      </c>
      <c r="AA130" s="182">
        <f t="shared" si="445"/>
        <v>723</v>
      </c>
      <c r="AB130" s="182">
        <f t="shared" si="445"/>
        <v>723.00000000000011</v>
      </c>
      <c r="AC130" s="182">
        <f t="shared" si="445"/>
        <v>723.00000000000011</v>
      </c>
      <c r="AD130" s="182">
        <f t="shared" si="445"/>
        <v>723.00000000000011</v>
      </c>
      <c r="AE130" s="182">
        <f t="shared" si="445"/>
        <v>723</v>
      </c>
      <c r="AF130" s="182">
        <f t="shared" si="445"/>
        <v>723</v>
      </c>
      <c r="AG130" s="182">
        <f t="shared" si="445"/>
        <v>722.99999999999989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299"/>
      <c r="B131" s="178" t="s">
        <v>426</v>
      </c>
      <c r="C131" s="129"/>
      <c r="D131" s="129"/>
      <c r="E131" s="129"/>
      <c r="F131" s="147"/>
      <c r="G131" s="147" t="e">
        <f t="shared" ref="G131" si="446">G55/G43</f>
        <v>#DIV/0!</v>
      </c>
      <c r="H131" s="147" t="e">
        <f t="shared" ref="H131:I131" si="447">H55/H43</f>
        <v>#DIV/0!</v>
      </c>
      <c r="I131" s="147" t="e">
        <f t="shared" si="447"/>
        <v>#DIV/0!</v>
      </c>
      <c r="J131" s="147" t="e">
        <f t="shared" ref="J131:T131" si="448">J55/J43</f>
        <v>#DIV/0!</v>
      </c>
      <c r="K131" s="147" t="e">
        <f t="shared" si="448"/>
        <v>#DIV/0!</v>
      </c>
      <c r="L131" s="147" t="e">
        <f t="shared" si="448"/>
        <v>#DIV/0!</v>
      </c>
      <c r="M131" s="147" t="e">
        <f t="shared" si="448"/>
        <v>#DIV/0!</v>
      </c>
      <c r="N131" s="147" t="e">
        <f t="shared" si="448"/>
        <v>#DIV/0!</v>
      </c>
      <c r="O131" s="147" t="e">
        <f t="shared" si="448"/>
        <v>#DIV/0!</v>
      </c>
      <c r="P131" s="147" t="e">
        <f t="shared" si="448"/>
        <v>#DIV/0!</v>
      </c>
      <c r="Q131" s="147" t="e">
        <f t="shared" si="448"/>
        <v>#DIV/0!</v>
      </c>
      <c r="R131" s="147" t="e">
        <f t="shared" si="448"/>
        <v>#DIV/0!</v>
      </c>
      <c r="S131" s="147" t="e">
        <f t="shared" si="448"/>
        <v>#DIV/0!</v>
      </c>
      <c r="T131" s="147" t="e">
        <f t="shared" si="448"/>
        <v>#DIV/0!</v>
      </c>
      <c r="U131" s="147" t="e">
        <f t="shared" ref="U131" si="449">U55/U43</f>
        <v>#DIV/0!</v>
      </c>
      <c r="V131" s="101" t="e">
        <f t="shared" si="198"/>
        <v>#DIV/0!</v>
      </c>
      <c r="W131" s="10"/>
      <c r="X131" s="147" t="e">
        <f t="shared" ref="X131:AG131" si="450">X55/X43</f>
        <v>#DIV/0!</v>
      </c>
      <c r="Y131" s="147" t="e">
        <f t="shared" si="450"/>
        <v>#DIV/0!</v>
      </c>
      <c r="Z131" s="147" t="e">
        <f t="shared" si="450"/>
        <v>#DIV/0!</v>
      </c>
      <c r="AA131" s="147" t="e">
        <f t="shared" si="450"/>
        <v>#DIV/0!</v>
      </c>
      <c r="AB131" s="147" t="e">
        <f t="shared" si="450"/>
        <v>#DIV/0!</v>
      </c>
      <c r="AC131" s="147" t="e">
        <f t="shared" si="450"/>
        <v>#DIV/0!</v>
      </c>
      <c r="AD131" s="147" t="e">
        <f t="shared" si="450"/>
        <v>#DIV/0!</v>
      </c>
      <c r="AE131" s="147" t="e">
        <f t="shared" si="450"/>
        <v>#DIV/0!</v>
      </c>
      <c r="AF131" s="147" t="e">
        <f t="shared" si="450"/>
        <v>#DIV/0!</v>
      </c>
      <c r="AG131" s="147" t="e">
        <f t="shared" si="450"/>
        <v>#DIV/0!</v>
      </c>
      <c r="AH131" s="116" t="e">
        <f t="shared" si="415"/>
        <v>#DIV/0!</v>
      </c>
      <c r="AI131" s="124"/>
      <c r="AJ131" s="124"/>
    </row>
    <row r="132" spans="1:36" ht="12" customHeight="1">
      <c r="A132" s="299"/>
      <c r="B132" s="178" t="s">
        <v>427</v>
      </c>
      <c r="C132" s="129"/>
      <c r="D132" s="129"/>
      <c r="E132" s="129"/>
      <c r="F132" s="147"/>
      <c r="G132" s="147" t="e">
        <f t="shared" ref="G132" si="451">G55/(G36+G38)</f>
        <v>#DIV/0!</v>
      </c>
      <c r="H132" s="147" t="e">
        <f t="shared" ref="H132:I132" si="452">H55/(H36+H38)</f>
        <v>#DIV/0!</v>
      </c>
      <c r="I132" s="147" t="e">
        <f t="shared" si="452"/>
        <v>#DIV/0!</v>
      </c>
      <c r="J132" s="147" t="e">
        <f t="shared" ref="J132:T132" si="453">J55/(J36+J38)</f>
        <v>#DIV/0!</v>
      </c>
      <c r="K132" s="147" t="e">
        <f t="shared" si="453"/>
        <v>#DIV/0!</v>
      </c>
      <c r="L132" s="147" t="e">
        <f t="shared" si="453"/>
        <v>#DIV/0!</v>
      </c>
      <c r="M132" s="147" t="e">
        <f t="shared" si="453"/>
        <v>#DIV/0!</v>
      </c>
      <c r="N132" s="147" t="e">
        <f t="shared" si="453"/>
        <v>#DIV/0!</v>
      </c>
      <c r="O132" s="147" t="e">
        <f t="shared" si="453"/>
        <v>#DIV/0!</v>
      </c>
      <c r="P132" s="147" t="e">
        <f t="shared" si="453"/>
        <v>#DIV/0!</v>
      </c>
      <c r="Q132" s="147" t="e">
        <f t="shared" si="453"/>
        <v>#DIV/0!</v>
      </c>
      <c r="R132" s="147" t="e">
        <f t="shared" si="453"/>
        <v>#DIV/0!</v>
      </c>
      <c r="S132" s="147" t="e">
        <f t="shared" si="453"/>
        <v>#DIV/0!</v>
      </c>
      <c r="T132" s="147" t="e">
        <f t="shared" si="453"/>
        <v>#DIV/0!</v>
      </c>
      <c r="U132" s="147">
        <f t="shared" ref="U132" si="454">U55/(U36+U38)</f>
        <v>723</v>
      </c>
      <c r="V132" s="101" t="e">
        <f t="shared" si="198"/>
        <v>#DIV/0!</v>
      </c>
      <c r="W132" s="10"/>
      <c r="X132" s="147">
        <f t="shared" ref="X132:AG132" si="455">X55/(X36+X38)</f>
        <v>723</v>
      </c>
      <c r="Y132" s="147">
        <f t="shared" si="455"/>
        <v>723</v>
      </c>
      <c r="Z132" s="147">
        <f t="shared" si="455"/>
        <v>723</v>
      </c>
      <c r="AA132" s="147">
        <f t="shared" si="455"/>
        <v>723</v>
      </c>
      <c r="AB132" s="147">
        <f t="shared" si="455"/>
        <v>723.00000000000011</v>
      </c>
      <c r="AC132" s="147">
        <f t="shared" si="455"/>
        <v>723.00000000000011</v>
      </c>
      <c r="AD132" s="147">
        <f t="shared" si="455"/>
        <v>723.00000000000011</v>
      </c>
      <c r="AE132" s="147">
        <f t="shared" si="455"/>
        <v>723</v>
      </c>
      <c r="AF132" s="147">
        <f t="shared" si="455"/>
        <v>723</v>
      </c>
      <c r="AG132" s="147">
        <f t="shared" si="455"/>
        <v>722.99999999999989</v>
      </c>
      <c r="AH132" s="116" t="e">
        <f t="shared" si="415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22"/>
      <c r="V133" s="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0"/>
      <c r="AI133" s="124"/>
      <c r="AJ133" s="124"/>
    </row>
    <row r="134" spans="1:36">
      <c r="B134" s="10" t="s">
        <v>271</v>
      </c>
      <c r="C134" s="129"/>
      <c r="D134" s="129"/>
      <c r="E134" s="129"/>
      <c r="F134" s="139"/>
      <c r="G134" s="139">
        <f t="shared" ref="G134" si="456">G10-(G12+G13)</f>
        <v>247</v>
      </c>
      <c r="H134" s="139">
        <f t="shared" ref="H134:I134" si="457">H10-(H12+H13)</f>
        <v>420</v>
      </c>
      <c r="I134" s="139">
        <f t="shared" si="457"/>
        <v>518.6</v>
      </c>
      <c r="J134" s="139">
        <f t="shared" ref="J134:T134" si="458">J10-(J12+J13)</f>
        <v>625</v>
      </c>
      <c r="K134" s="139">
        <f t="shared" si="458"/>
        <v>356</v>
      </c>
      <c r="L134" s="139">
        <f t="shared" si="458"/>
        <v>524</v>
      </c>
      <c r="M134" s="139">
        <f t="shared" si="458"/>
        <v>1353</v>
      </c>
      <c r="N134" s="139">
        <f t="shared" si="458"/>
        <v>2278</v>
      </c>
      <c r="O134" s="139">
        <f t="shared" si="458"/>
        <v>2360</v>
      </c>
      <c r="P134" s="139">
        <f t="shared" si="458"/>
        <v>1891</v>
      </c>
      <c r="Q134" s="139">
        <f t="shared" si="458"/>
        <v>270</v>
      </c>
      <c r="R134" s="139">
        <f t="shared" si="458"/>
        <v>58</v>
      </c>
      <c r="S134" s="139">
        <f t="shared" si="458"/>
        <v>632</v>
      </c>
      <c r="T134" s="139">
        <f t="shared" si="458"/>
        <v>2512</v>
      </c>
      <c r="U134" s="139">
        <f t="shared" ref="U134" si="459">U10-(U12+U13)</f>
        <v>2504</v>
      </c>
      <c r="V134" s="101">
        <f t="shared" si="198"/>
        <v>0.17992029006014643</v>
      </c>
      <c r="W134" s="10"/>
      <c r="X134" s="139">
        <f t="shared" ref="X134:AG134" si="460">X10-(X12+X13)</f>
        <v>2704.32</v>
      </c>
      <c r="Y134" s="139">
        <f t="shared" si="460"/>
        <v>2920.6656000000007</v>
      </c>
      <c r="Z134" s="139">
        <f t="shared" si="460"/>
        <v>3154.3188480000008</v>
      </c>
      <c r="AA134" s="139">
        <f t="shared" si="460"/>
        <v>3406.664355840001</v>
      </c>
      <c r="AB134" s="139">
        <f t="shared" si="460"/>
        <v>3679.1975043072016</v>
      </c>
      <c r="AC134" s="139">
        <f t="shared" si="460"/>
        <v>3973.5333046517785</v>
      </c>
      <c r="AD134" s="139">
        <f t="shared" si="460"/>
        <v>4291.4159690239212</v>
      </c>
      <c r="AE134" s="139">
        <f t="shared" si="460"/>
        <v>4634.729246545834</v>
      </c>
      <c r="AF134" s="139">
        <f t="shared" si="460"/>
        <v>5005.5075862695021</v>
      </c>
      <c r="AG134" s="139">
        <f t="shared" si="460"/>
        <v>5405.9481931710625</v>
      </c>
      <c r="AH134" s="116">
        <f t="shared" si="331"/>
        <v>9.8344998185160293E-2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461">G55/G18</f>
        <v>0.10802469135802469</v>
      </c>
      <c r="H135" s="129">
        <f t="shared" ref="H135:I135" si="462">H55/H18</f>
        <v>8.0152671755725186E-2</v>
      </c>
      <c r="I135" s="129">
        <f t="shared" si="462"/>
        <v>0.10833333333333334</v>
      </c>
      <c r="J135" s="129">
        <f t="shared" ref="J135:T135" si="463">J55/J18</f>
        <v>9.055727554179567E-2</v>
      </c>
      <c r="K135" s="129">
        <f t="shared" si="463"/>
        <v>0.22022838499184338</v>
      </c>
      <c r="L135" s="129">
        <f t="shared" si="463"/>
        <v>9.7543859649122808E-2</v>
      </c>
      <c r="M135" s="129">
        <f t="shared" si="463"/>
        <v>0.25507812499999999</v>
      </c>
      <c r="N135" s="129">
        <f t="shared" si="463"/>
        <v>0.12531969309462915</v>
      </c>
      <c r="O135" s="129">
        <f t="shared" si="463"/>
        <v>9.910993504931441E-2</v>
      </c>
      <c r="P135" s="129">
        <f t="shared" si="463"/>
        <v>0.14239332096474955</v>
      </c>
      <c r="Q135" s="129">
        <f t="shared" si="463"/>
        <v>0.22323411816970234</v>
      </c>
      <c r="R135" s="129">
        <f t="shared" si="463"/>
        <v>0.22300844556037436</v>
      </c>
      <c r="S135" s="129">
        <f t="shared" si="463"/>
        <v>0.23473003960808839</v>
      </c>
      <c r="T135" s="129">
        <f t="shared" si="463"/>
        <v>0.16425048572709611</v>
      </c>
      <c r="U135" s="129">
        <f t="shared" ref="U135" si="464">U55/U18</f>
        <v>0.11141932501155802</v>
      </c>
      <c r="V135" s="101">
        <f t="shared" ref="V135:V167" si="465">((U135/G135)^(1/($K$2-$K$1) ))-1</f>
        <v>2.2125127048686632E-3</v>
      </c>
      <c r="W135" s="10"/>
      <c r="X135" s="129">
        <f t="shared" ref="X135:AG135" si="466">X55/X18</f>
        <v>0.11141932501155802</v>
      </c>
      <c r="Y135" s="129">
        <f t="shared" si="466"/>
        <v>0.111419325011558</v>
      </c>
      <c r="Z135" s="129">
        <f t="shared" si="466"/>
        <v>0.11141932501155802</v>
      </c>
      <c r="AA135" s="129">
        <f t="shared" si="466"/>
        <v>0.11141932501155802</v>
      </c>
      <c r="AB135" s="129">
        <f t="shared" si="466"/>
        <v>0.11141932501155803</v>
      </c>
      <c r="AC135" s="129">
        <f t="shared" si="466"/>
        <v>0.11141932501155802</v>
      </c>
      <c r="AD135" s="129">
        <f t="shared" si="466"/>
        <v>0.11141932501155802</v>
      </c>
      <c r="AE135" s="129">
        <f t="shared" si="466"/>
        <v>0.111419325011558</v>
      </c>
      <c r="AF135" s="129">
        <f t="shared" si="466"/>
        <v>0.111419325011558</v>
      </c>
      <c r="AG135" s="129">
        <f t="shared" si="466"/>
        <v>0.111419325011558</v>
      </c>
      <c r="AH135" s="116">
        <f t="shared" si="331"/>
        <v>9.0545842323945802E-3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467">G55/G25</f>
        <v>3.5714285714285712E-2</v>
      </c>
      <c r="H136" s="129">
        <f t="shared" ref="H136:I136" si="468">H55/H25</f>
        <v>2.8112449799196786E-2</v>
      </c>
      <c r="I136" s="129">
        <f t="shared" si="468"/>
        <v>3.3529845246868091E-2</v>
      </c>
      <c r="J136" s="129">
        <f t="shared" ref="J136:T136" si="469">J55/J25</f>
        <v>2.7184014869888477E-2</v>
      </c>
      <c r="K136" s="129">
        <f t="shared" si="469"/>
        <v>5.6508999581414816E-2</v>
      </c>
      <c r="L136" s="129">
        <f t="shared" si="469"/>
        <v>2.7761134411823447E-2</v>
      </c>
      <c r="M136" s="129">
        <f t="shared" si="469"/>
        <v>8.1665832916458223E-2</v>
      </c>
      <c r="N136" s="129">
        <f t="shared" si="469"/>
        <v>4.7075149444918876E-2</v>
      </c>
      <c r="O136" s="129">
        <f t="shared" si="469"/>
        <v>3.319368353206574E-2</v>
      </c>
      <c r="P136" s="129">
        <f t="shared" si="469"/>
        <v>4.731083371860071E-2</v>
      </c>
      <c r="Q136" s="129">
        <f t="shared" si="469"/>
        <v>7.4477545575811474E-2</v>
      </c>
      <c r="R136" s="129">
        <f t="shared" si="469"/>
        <v>7.7117373115478727E-2</v>
      </c>
      <c r="S136" s="129">
        <f t="shared" si="469"/>
        <v>8.6802343509096519E-2</v>
      </c>
      <c r="T136" s="129">
        <f t="shared" si="469"/>
        <v>7.5496324792196201E-2</v>
      </c>
      <c r="U136" s="129">
        <f t="shared" ref="U136" si="470">U55/U25</f>
        <v>4.7073377172993036E-2</v>
      </c>
      <c r="V136" s="101">
        <f t="shared" si="465"/>
        <v>1.9921320946609811E-2</v>
      </c>
      <c r="W136" s="10"/>
      <c r="X136" s="129">
        <f t="shared" ref="X136:AG136" si="471">X55/X25</f>
        <v>4.7073377172993029E-2</v>
      </c>
      <c r="Y136" s="129">
        <f t="shared" si="471"/>
        <v>4.7073377172993029E-2</v>
      </c>
      <c r="Z136" s="129">
        <f t="shared" si="471"/>
        <v>4.7073377172993022E-2</v>
      </c>
      <c r="AA136" s="129">
        <f t="shared" si="471"/>
        <v>4.7073377172993029E-2</v>
      </c>
      <c r="AB136" s="129">
        <f t="shared" si="471"/>
        <v>4.7073377172993036E-2</v>
      </c>
      <c r="AC136" s="129">
        <f t="shared" si="471"/>
        <v>4.7073377172993036E-2</v>
      </c>
      <c r="AD136" s="129">
        <f t="shared" si="471"/>
        <v>4.7073377172993036E-2</v>
      </c>
      <c r="AE136" s="129">
        <f t="shared" si="471"/>
        <v>4.7073377172993036E-2</v>
      </c>
      <c r="AF136" s="129">
        <f t="shared" si="471"/>
        <v>4.7073377172993036E-2</v>
      </c>
      <c r="AG136" s="129">
        <f t="shared" si="471"/>
        <v>4.7073377172993036E-2</v>
      </c>
      <c r="AH136" s="116">
        <f t="shared" si="331"/>
        <v>2.4160218516635856E-2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472">G25/G18</f>
        <v>3.0246913580246915</v>
      </c>
      <c r="H137" s="129">
        <f t="shared" ref="H137:I137" si="473">H25/H18</f>
        <v>2.8511450381679388</v>
      </c>
      <c r="I137" s="129">
        <f t="shared" si="473"/>
        <v>3.230952380952381</v>
      </c>
      <c r="J137" s="129">
        <f t="shared" ref="J137:T137" si="474">J25/J18</f>
        <v>3.3312693498452011</v>
      </c>
      <c r="K137" s="129">
        <f t="shared" si="474"/>
        <v>3.897226753670473</v>
      </c>
      <c r="L137" s="129">
        <f t="shared" si="474"/>
        <v>3.513684210526316</v>
      </c>
      <c r="M137" s="129">
        <f t="shared" si="474"/>
        <v>3.1234375000000001</v>
      </c>
      <c r="N137" s="129">
        <f t="shared" si="474"/>
        <v>2.662119920431941</v>
      </c>
      <c r="O137" s="129">
        <f t="shared" si="474"/>
        <v>2.9858070724079866</v>
      </c>
      <c r="P137" s="129">
        <f t="shared" si="474"/>
        <v>3.0097402597402598</v>
      </c>
      <c r="Q137" s="129">
        <f t="shared" si="474"/>
        <v>2.9973345179920035</v>
      </c>
      <c r="R137" s="129">
        <f t="shared" si="474"/>
        <v>2.8918055238530016</v>
      </c>
      <c r="S137" s="129">
        <f t="shared" si="474"/>
        <v>2.7041901188242652</v>
      </c>
      <c r="T137" s="129">
        <f t="shared" si="474"/>
        <v>2.1756090270512627</v>
      </c>
      <c r="U137" s="129">
        <f t="shared" ref="U137" si="475">U25/U18</f>
        <v>2.3669286484820464</v>
      </c>
      <c r="V137" s="101">
        <f t="shared" si="465"/>
        <v>-1.7362916019154628E-2</v>
      </c>
      <c r="W137" s="10"/>
      <c r="X137" s="129">
        <f t="shared" ref="X137:AG137" si="476">X25/X18</f>
        <v>2.3669286484820464</v>
      </c>
      <c r="Y137" s="129">
        <f t="shared" si="476"/>
        <v>2.3669286484820464</v>
      </c>
      <c r="Z137" s="129">
        <f t="shared" si="476"/>
        <v>2.3669286484820469</v>
      </c>
      <c r="AA137" s="129">
        <f t="shared" si="476"/>
        <v>2.3669286484820469</v>
      </c>
      <c r="AB137" s="129">
        <f t="shared" si="476"/>
        <v>2.3669286484820464</v>
      </c>
      <c r="AC137" s="129">
        <f t="shared" si="476"/>
        <v>2.3669286484820464</v>
      </c>
      <c r="AD137" s="129">
        <f t="shared" si="476"/>
        <v>2.3669286484820464</v>
      </c>
      <c r="AE137" s="129">
        <f t="shared" si="476"/>
        <v>2.3669286484820464</v>
      </c>
      <c r="AF137" s="129">
        <f t="shared" si="476"/>
        <v>2.3669286484820464</v>
      </c>
      <c r="AG137" s="129">
        <f t="shared" si="476"/>
        <v>2.366928648482046</v>
      </c>
      <c r="AH137" s="116">
        <f t="shared" si="331"/>
        <v>-1.4749288256987514E-2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2"/>
      <c r="V138" s="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1"/>
      <c r="F139" s="141"/>
      <c r="G139" s="141">
        <f t="shared" ref="G139" si="477">G88*G57</f>
        <v>17.234999999999999</v>
      </c>
      <c r="H139" s="141">
        <f t="shared" ref="H139:I139" si="478">H88*H57</f>
        <v>17.234999999999999</v>
      </c>
      <c r="I139" s="141">
        <f t="shared" si="478"/>
        <v>17.234999999999999</v>
      </c>
      <c r="J139" s="141">
        <f t="shared" ref="J139:T139" si="479">J88*J57</f>
        <v>20.88</v>
      </c>
      <c r="K139" s="141">
        <f t="shared" si="479"/>
        <v>24.42</v>
      </c>
      <c r="L139" s="141">
        <f t="shared" si="479"/>
        <v>22.68</v>
      </c>
      <c r="M139" s="141">
        <f t="shared" si="479"/>
        <v>37.799999999999997</v>
      </c>
      <c r="N139" s="141">
        <f t="shared" si="479"/>
        <v>25.2</v>
      </c>
      <c r="O139" s="141">
        <f t="shared" si="479"/>
        <v>25.2</v>
      </c>
      <c r="P139" s="141">
        <f t="shared" si="479"/>
        <v>25.2</v>
      </c>
      <c r="Q139" s="141">
        <f t="shared" si="479"/>
        <v>37.799999999999997</v>
      </c>
      <c r="R139" s="141">
        <f t="shared" si="479"/>
        <v>100.8</v>
      </c>
      <c r="S139" s="141">
        <f t="shared" si="479"/>
        <v>100.8</v>
      </c>
      <c r="T139" s="141">
        <f t="shared" si="479"/>
        <v>152.69999999999999</v>
      </c>
      <c r="U139" s="141">
        <f t="shared" ref="U139" si="480">U88*U57</f>
        <v>171.60000000000002</v>
      </c>
      <c r="V139" s="101">
        <f t="shared" si="465"/>
        <v>0.17840149663267368</v>
      </c>
      <c r="W139" s="10"/>
      <c r="X139" s="141">
        <f t="shared" ref="X139:AG139" si="481">X88*X57</f>
        <v>178.53264000000001</v>
      </c>
      <c r="Y139" s="141">
        <f t="shared" si="481"/>
        <v>185.74535865600001</v>
      </c>
      <c r="Z139" s="141">
        <f t="shared" si="481"/>
        <v>193.24947114570242</v>
      </c>
      <c r="AA139" s="141">
        <f t="shared" si="481"/>
        <v>201.05674977998882</v>
      </c>
      <c r="AB139" s="141">
        <f t="shared" si="481"/>
        <v>209.17944247110034</v>
      </c>
      <c r="AC139" s="141">
        <f t="shared" si="481"/>
        <v>217.63029194693283</v>
      </c>
      <c r="AD139" s="141">
        <f t="shared" si="481"/>
        <v>226.42255574158892</v>
      </c>
      <c r="AE139" s="141">
        <f t="shared" si="481"/>
        <v>235.57002699354916</v>
      </c>
      <c r="AF139" s="141">
        <f t="shared" si="481"/>
        <v>245.08705608408854</v>
      </c>
      <c r="AG139" s="141">
        <f t="shared" si="481"/>
        <v>254.9885731498857</v>
      </c>
      <c r="AH139" s="116">
        <f t="shared" si="331"/>
        <v>0.11494064755967903</v>
      </c>
      <c r="AI139" s="10"/>
      <c r="AJ139" s="10"/>
    </row>
    <row r="140" spans="1:36">
      <c r="B140" s="10" t="s">
        <v>280</v>
      </c>
      <c r="C140" s="10"/>
      <c r="D140" s="10"/>
      <c r="E140" s="141"/>
      <c r="F140" s="141"/>
      <c r="G140" s="141">
        <f t="shared" ref="G140" si="482">(G139*0.17)+G139</f>
        <v>20.164950000000001</v>
      </c>
      <c r="H140" s="141">
        <f t="shared" ref="H140:I140" si="483">(H139*0.17)+H139</f>
        <v>20.164950000000001</v>
      </c>
      <c r="I140" s="141">
        <f t="shared" si="483"/>
        <v>20.164950000000001</v>
      </c>
      <c r="J140" s="141">
        <f t="shared" ref="J140:S140" si="484">(J139*0.17)+J139</f>
        <v>24.429600000000001</v>
      </c>
      <c r="K140" s="141">
        <f t="shared" si="484"/>
        <v>28.571400000000004</v>
      </c>
      <c r="L140" s="141">
        <f t="shared" si="484"/>
        <v>26.535599999999999</v>
      </c>
      <c r="M140" s="141">
        <f t="shared" si="484"/>
        <v>44.225999999999999</v>
      </c>
      <c r="N140" s="141">
        <f t="shared" si="484"/>
        <v>29.483999999999998</v>
      </c>
      <c r="O140" s="141">
        <f t="shared" si="484"/>
        <v>29.483999999999998</v>
      </c>
      <c r="P140" s="141">
        <f t="shared" si="484"/>
        <v>29.483999999999998</v>
      </c>
      <c r="Q140" s="141">
        <f t="shared" si="484"/>
        <v>44.225999999999999</v>
      </c>
      <c r="R140" s="141">
        <f t="shared" si="484"/>
        <v>117.93599999999999</v>
      </c>
      <c r="S140" s="141">
        <f t="shared" si="484"/>
        <v>117.93599999999999</v>
      </c>
      <c r="T140" s="141">
        <f t="shared" ref="T140:U140" si="485">(T139*0.17)+T139</f>
        <v>178.65899999999999</v>
      </c>
      <c r="U140" s="141">
        <f t="shared" si="485"/>
        <v>200.77200000000002</v>
      </c>
      <c r="V140" s="101">
        <f t="shared" si="465"/>
        <v>0.17840149663267368</v>
      </c>
      <c r="W140" s="10"/>
      <c r="X140" s="141">
        <f t="shared" ref="X140:AG140" si="486">(X139*0.17)+X139</f>
        <v>208.88318880000003</v>
      </c>
      <c r="Y140" s="141">
        <f t="shared" si="486"/>
        <v>217.32206962752002</v>
      </c>
      <c r="Z140" s="141">
        <f t="shared" si="486"/>
        <v>226.10188124047181</v>
      </c>
      <c r="AA140" s="141">
        <f t="shared" si="486"/>
        <v>235.23639724258692</v>
      </c>
      <c r="AB140" s="141">
        <f t="shared" si="486"/>
        <v>244.73994769118741</v>
      </c>
      <c r="AC140" s="141">
        <f t="shared" si="486"/>
        <v>254.62744157791141</v>
      </c>
      <c r="AD140" s="141">
        <f t="shared" si="486"/>
        <v>264.91439021765905</v>
      </c>
      <c r="AE140" s="141">
        <f t="shared" si="486"/>
        <v>275.61693158245254</v>
      </c>
      <c r="AF140" s="141">
        <f t="shared" si="486"/>
        <v>286.75185561838362</v>
      </c>
      <c r="AG140" s="141">
        <f t="shared" si="486"/>
        <v>298.33663058536627</v>
      </c>
      <c r="AH140" s="116">
        <f t="shared" si="331"/>
        <v>0.11494064755967903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487">G140/G55</f>
        <v>0.28807071428571429</v>
      </c>
      <c r="H141" s="129">
        <f t="shared" ref="H141:I141" si="488">H140/H55</f>
        <v>0.32007857142857143</v>
      </c>
      <c r="I141" s="129">
        <f t="shared" si="488"/>
        <v>0.22159285714285715</v>
      </c>
      <c r="J141" s="129">
        <f t="shared" ref="J141:T141" si="489">J140/J55</f>
        <v>0.20880000000000001</v>
      </c>
      <c r="K141" s="129">
        <f t="shared" si="489"/>
        <v>0.10582000000000001</v>
      </c>
      <c r="L141" s="129">
        <f t="shared" si="489"/>
        <v>0.19090359712230215</v>
      </c>
      <c r="M141" s="129">
        <f t="shared" si="489"/>
        <v>6.7727411944869836E-2</v>
      </c>
      <c r="N141" s="129">
        <f t="shared" si="489"/>
        <v>6.6857142857142851E-2</v>
      </c>
      <c r="O141" s="129">
        <f t="shared" si="489"/>
        <v>7.1563106796116507E-2</v>
      </c>
      <c r="P141" s="129">
        <f t="shared" si="489"/>
        <v>4.8019543973941363E-2</v>
      </c>
      <c r="Q141" s="129">
        <f t="shared" si="489"/>
        <v>4.4005970149253733E-2</v>
      </c>
      <c r="R141" s="129">
        <f t="shared" si="489"/>
        <v>0.12071238485158649</v>
      </c>
      <c r="S141" s="129">
        <f t="shared" si="489"/>
        <v>0.10473889875666074</v>
      </c>
      <c r="T141" s="129">
        <f t="shared" si="489"/>
        <v>0.16256505914467698</v>
      </c>
      <c r="U141" s="129">
        <f t="shared" ref="U141" si="490">U140/U55</f>
        <v>0.27769294605809131</v>
      </c>
      <c r="V141" s="101">
        <f t="shared" si="465"/>
        <v>-2.6172827150180433E-3</v>
      </c>
      <c r="W141" s="10"/>
      <c r="X141" s="129">
        <f t="shared" ref="X141:AG141" si="491">X140/X55</f>
        <v>0.26751087136929463</v>
      </c>
      <c r="Y141" s="129">
        <f t="shared" si="491"/>
        <v>0.25770213941908715</v>
      </c>
      <c r="Z141" s="129">
        <f t="shared" si="491"/>
        <v>0.24825306097372057</v>
      </c>
      <c r="AA141" s="129">
        <f t="shared" si="491"/>
        <v>0.2391504487380175</v>
      </c>
      <c r="AB141" s="129">
        <f t="shared" si="491"/>
        <v>0.23038159895095681</v>
      </c>
      <c r="AC141" s="129">
        <f t="shared" si="491"/>
        <v>0.22193427365608842</v>
      </c>
      <c r="AD141" s="129">
        <f t="shared" si="491"/>
        <v>0.21379668362203183</v>
      </c>
      <c r="AE141" s="129">
        <f t="shared" si="491"/>
        <v>0.20595747188922406</v>
      </c>
      <c r="AF141" s="129">
        <f t="shared" si="491"/>
        <v>0.1984056979199525</v>
      </c>
      <c r="AG141" s="129">
        <f t="shared" si="491"/>
        <v>0.1911308223295542</v>
      </c>
      <c r="AH141" s="116">
        <f t="shared" si="331"/>
        <v>-3.8369127219020083E-3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492">1-G141</f>
        <v>0.71192928571428571</v>
      </c>
      <c r="H142" s="129">
        <f t="shared" ref="H142:I142" si="493">1-H141</f>
        <v>0.67992142857142857</v>
      </c>
      <c r="I142" s="129">
        <f t="shared" si="493"/>
        <v>0.77840714285714285</v>
      </c>
      <c r="J142" s="129">
        <f>1-J141</f>
        <v>0.79120000000000001</v>
      </c>
      <c r="K142" s="129">
        <f t="shared" ref="K142:S142" si="494">1-K141</f>
        <v>0.89417999999999997</v>
      </c>
      <c r="L142" s="129">
        <f t="shared" si="494"/>
        <v>0.80909640287769791</v>
      </c>
      <c r="M142" s="129">
        <f t="shared" si="494"/>
        <v>0.93227258805513014</v>
      </c>
      <c r="N142" s="129">
        <f t="shared" si="494"/>
        <v>0.93314285714285716</v>
      </c>
      <c r="O142" s="129">
        <f t="shared" si="494"/>
        <v>0.92843689320388345</v>
      </c>
      <c r="P142" s="129">
        <f t="shared" si="494"/>
        <v>0.95198045602605863</v>
      </c>
      <c r="Q142" s="129">
        <f t="shared" si="494"/>
        <v>0.95599402985074622</v>
      </c>
      <c r="R142" s="129">
        <f t="shared" si="494"/>
        <v>0.87928761514841347</v>
      </c>
      <c r="S142" s="129">
        <f t="shared" si="494"/>
        <v>0.89526110124333924</v>
      </c>
      <c r="T142" s="129">
        <f t="shared" ref="T142:U142" si="495">1-T141</f>
        <v>0.837434940855323</v>
      </c>
      <c r="U142" s="129">
        <f t="shared" si="495"/>
        <v>0.72230705394190875</v>
      </c>
      <c r="V142" s="101">
        <f t="shared" si="465"/>
        <v>1.0342303256678509E-3</v>
      </c>
      <c r="W142" s="10"/>
      <c r="X142" s="129">
        <f t="shared" ref="X142:AG142" si="496">1-X141</f>
        <v>0.73248912863070537</v>
      </c>
      <c r="Y142" s="129">
        <f t="shared" si="496"/>
        <v>0.74229786058091285</v>
      </c>
      <c r="Z142" s="129">
        <f t="shared" si="496"/>
        <v>0.75174693902627943</v>
      </c>
      <c r="AA142" s="129">
        <f t="shared" si="496"/>
        <v>0.7608495512619825</v>
      </c>
      <c r="AB142" s="129">
        <f t="shared" si="496"/>
        <v>0.76961840104904322</v>
      </c>
      <c r="AC142" s="129">
        <f t="shared" si="496"/>
        <v>0.77806572634391158</v>
      </c>
      <c r="AD142" s="129">
        <f t="shared" si="496"/>
        <v>0.78620331637796814</v>
      </c>
      <c r="AE142" s="129">
        <f t="shared" si="496"/>
        <v>0.79404252811077591</v>
      </c>
      <c r="AF142" s="129">
        <f t="shared" si="496"/>
        <v>0.80159430208004756</v>
      </c>
      <c r="AG142" s="129">
        <f t="shared" si="496"/>
        <v>0.80886917767044575</v>
      </c>
      <c r="AH142" s="116">
        <f t="shared" si="331"/>
        <v>9.6074012778601947E-4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>
        <f t="shared" ref="G143" si="497">G140/G20</f>
        <v>0.1867125</v>
      </c>
      <c r="H143" s="129">
        <f t="shared" ref="H143:I143" si="498">H140/H20</f>
        <v>0.18499954128440368</v>
      </c>
      <c r="I143" s="129">
        <f t="shared" si="498"/>
        <v>0.258525</v>
      </c>
      <c r="J143" s="129">
        <f t="shared" ref="J143:T143" si="499">J140/J20</f>
        <v>6.8430252100840333E-2</v>
      </c>
      <c r="K143" s="129">
        <f t="shared" si="499"/>
        <v>6.6755607476635517E-2</v>
      </c>
      <c r="L143" s="129">
        <f t="shared" si="499"/>
        <v>8.1647999999999998E-2</v>
      </c>
      <c r="M143" s="129">
        <f t="shared" si="499"/>
        <v>6.3E-2</v>
      </c>
      <c r="N143" s="129">
        <f t="shared" si="499"/>
        <v>0.1939736842105263</v>
      </c>
      <c r="O143" s="129">
        <f t="shared" si="499"/>
        <v>5.4298342541436458E-2</v>
      </c>
      <c r="P143" s="129">
        <f t="shared" si="499"/>
        <v>3.8290909090909091E-2</v>
      </c>
      <c r="Q143" s="129">
        <f t="shared" si="499"/>
        <v>3.9277087033747778E-2</v>
      </c>
      <c r="R143" s="129">
        <f t="shared" si="499"/>
        <v>0.12401261829652996</v>
      </c>
      <c r="S143" s="129">
        <f t="shared" si="499"/>
        <v>6.6107623318385642E-2</v>
      </c>
      <c r="T143" s="129">
        <f t="shared" si="499"/>
        <v>0.5430364741641337</v>
      </c>
      <c r="U143" s="129">
        <f t="shared" ref="U143" si="500">U140/U20</f>
        <v>0.61024924012158066</v>
      </c>
      <c r="V143" s="101">
        <f t="shared" si="465"/>
        <v>8.8273696368502907E-2</v>
      </c>
      <c r="W143" s="10"/>
      <c r="X143" s="129">
        <f t="shared" ref="X143:AG143" si="501">X140/X20</f>
        <v>0.58787343465045594</v>
      </c>
      <c r="Y143" s="129">
        <f t="shared" si="501"/>
        <v>0.56631807537993917</v>
      </c>
      <c r="Z143" s="129">
        <f t="shared" si="501"/>
        <v>0.5455530792826746</v>
      </c>
      <c r="AA143" s="129">
        <f t="shared" si="501"/>
        <v>0.52554946637564326</v>
      </c>
      <c r="AB143" s="129">
        <f t="shared" si="501"/>
        <v>0.50627931927520298</v>
      </c>
      <c r="AC143" s="129">
        <f t="shared" si="501"/>
        <v>0.48771574423511221</v>
      </c>
      <c r="AD143" s="129">
        <f t="shared" si="501"/>
        <v>0.46983283361315814</v>
      </c>
      <c r="AE143" s="129">
        <f t="shared" si="501"/>
        <v>0.45260562971400908</v>
      </c>
      <c r="AF143" s="129">
        <f t="shared" si="501"/>
        <v>0.43601008995782869</v>
      </c>
      <c r="AG143" s="129">
        <f t="shared" si="501"/>
        <v>0.42002305332604151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2"/>
      <c r="V144" s="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02">G31/G25</f>
        <v>0</v>
      </c>
      <c r="H145" s="129">
        <f t="shared" ref="H145:I145" si="503">H31/H25</f>
        <v>0</v>
      </c>
      <c r="I145" s="129">
        <f t="shared" si="503"/>
        <v>0</v>
      </c>
      <c r="J145" s="129">
        <f t="shared" ref="J145:T145" si="504">J31/J25</f>
        <v>0</v>
      </c>
      <c r="K145" s="129">
        <f t="shared" si="504"/>
        <v>0</v>
      </c>
      <c r="L145" s="129">
        <f t="shared" si="504"/>
        <v>0</v>
      </c>
      <c r="M145" s="129">
        <f t="shared" si="504"/>
        <v>0</v>
      </c>
      <c r="N145" s="129">
        <f t="shared" si="504"/>
        <v>0</v>
      </c>
      <c r="O145" s="129">
        <f t="shared" si="504"/>
        <v>0</v>
      </c>
      <c r="P145" s="129">
        <f t="shared" si="504"/>
        <v>0</v>
      </c>
      <c r="Q145" s="129">
        <f t="shared" si="504"/>
        <v>0</v>
      </c>
      <c r="R145" s="129">
        <f t="shared" si="504"/>
        <v>0</v>
      </c>
      <c r="S145" s="129">
        <f t="shared" si="504"/>
        <v>0</v>
      </c>
      <c r="T145" s="129">
        <f t="shared" si="504"/>
        <v>0</v>
      </c>
      <c r="U145" s="129">
        <f t="shared" ref="U145" si="505">U31/U25</f>
        <v>0</v>
      </c>
      <c r="V145" s="101" t="e">
        <f t="shared" si="465"/>
        <v>#DIV/0!</v>
      </c>
      <c r="W145" s="10"/>
      <c r="X145" s="129">
        <f t="shared" ref="X145:AG145" si="506">X31/X25</f>
        <v>0</v>
      </c>
      <c r="Y145" s="129">
        <f t="shared" si="506"/>
        <v>0</v>
      </c>
      <c r="Z145" s="129">
        <f t="shared" si="506"/>
        <v>0</v>
      </c>
      <c r="AA145" s="129">
        <f t="shared" si="506"/>
        <v>0</v>
      </c>
      <c r="AB145" s="129">
        <f t="shared" si="506"/>
        <v>0</v>
      </c>
      <c r="AC145" s="129">
        <f t="shared" si="506"/>
        <v>0</v>
      </c>
      <c r="AD145" s="129">
        <f t="shared" si="506"/>
        <v>0</v>
      </c>
      <c r="AE145" s="129">
        <f t="shared" si="506"/>
        <v>0</v>
      </c>
      <c r="AF145" s="129">
        <f t="shared" si="506"/>
        <v>0</v>
      </c>
      <c r="AG145" s="129">
        <f t="shared" si="506"/>
        <v>0</v>
      </c>
      <c r="AH145" s="116" t="e">
        <f t="shared" si="331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07">G32/G25</f>
        <v>0</v>
      </c>
      <c r="H146" s="129">
        <f t="shared" ref="H146:I146" si="508">H32/H25</f>
        <v>0</v>
      </c>
      <c r="I146" s="129">
        <f t="shared" si="508"/>
        <v>0</v>
      </c>
      <c r="J146" s="129">
        <f t="shared" ref="J146:T146" si="509">J32/J25</f>
        <v>0</v>
      </c>
      <c r="K146" s="129">
        <f t="shared" si="509"/>
        <v>0</v>
      </c>
      <c r="L146" s="129">
        <f t="shared" si="509"/>
        <v>0</v>
      </c>
      <c r="M146" s="129">
        <f t="shared" si="509"/>
        <v>0</v>
      </c>
      <c r="N146" s="129">
        <f t="shared" si="509"/>
        <v>0</v>
      </c>
      <c r="O146" s="129">
        <f t="shared" si="509"/>
        <v>0</v>
      </c>
      <c r="P146" s="129">
        <f t="shared" si="509"/>
        <v>0</v>
      </c>
      <c r="Q146" s="129">
        <f t="shared" si="509"/>
        <v>0</v>
      </c>
      <c r="R146" s="129">
        <f t="shared" si="509"/>
        <v>0</v>
      </c>
      <c r="S146" s="129">
        <f t="shared" si="509"/>
        <v>0</v>
      </c>
      <c r="T146" s="129">
        <f t="shared" si="509"/>
        <v>0</v>
      </c>
      <c r="U146" s="129">
        <f t="shared" ref="U146" si="510">U32/U25</f>
        <v>0</v>
      </c>
      <c r="V146" s="101" t="e">
        <f t="shared" si="465"/>
        <v>#DIV/0!</v>
      </c>
      <c r="W146" s="10"/>
      <c r="X146" s="129">
        <f t="shared" ref="X146:AG146" si="511">X32/X25</f>
        <v>0</v>
      </c>
      <c r="Y146" s="129">
        <f t="shared" si="511"/>
        <v>0</v>
      </c>
      <c r="Z146" s="129">
        <f t="shared" si="511"/>
        <v>0</v>
      </c>
      <c r="AA146" s="129">
        <f t="shared" si="511"/>
        <v>0</v>
      </c>
      <c r="AB146" s="129">
        <f t="shared" si="511"/>
        <v>0</v>
      </c>
      <c r="AC146" s="129">
        <f t="shared" si="511"/>
        <v>0</v>
      </c>
      <c r="AD146" s="129">
        <f t="shared" si="511"/>
        <v>0</v>
      </c>
      <c r="AE146" s="129">
        <f t="shared" si="511"/>
        <v>0</v>
      </c>
      <c r="AF146" s="129">
        <f t="shared" si="511"/>
        <v>0</v>
      </c>
      <c r="AG146" s="129">
        <f t="shared" si="511"/>
        <v>0</v>
      </c>
      <c r="AH146" s="116" t="e">
        <f t="shared" si="331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12">(G31+G32)/G25</f>
        <v>0</v>
      </c>
      <c r="H147" s="129">
        <f t="shared" ref="H147:I147" si="513">(H31+H32)/H25</f>
        <v>0</v>
      </c>
      <c r="I147" s="129">
        <f t="shared" si="513"/>
        <v>0</v>
      </c>
      <c r="J147" s="129">
        <f t="shared" ref="J147:T147" si="514">(J31+J32)/J25</f>
        <v>0</v>
      </c>
      <c r="K147" s="129">
        <f t="shared" si="514"/>
        <v>0</v>
      </c>
      <c r="L147" s="129">
        <f t="shared" si="514"/>
        <v>0</v>
      </c>
      <c r="M147" s="129">
        <f t="shared" si="514"/>
        <v>0</v>
      </c>
      <c r="N147" s="129">
        <f t="shared" si="514"/>
        <v>0</v>
      </c>
      <c r="O147" s="129">
        <f t="shared" si="514"/>
        <v>0</v>
      </c>
      <c r="P147" s="129">
        <f t="shared" si="514"/>
        <v>0</v>
      </c>
      <c r="Q147" s="129">
        <f t="shared" si="514"/>
        <v>0</v>
      </c>
      <c r="R147" s="129">
        <f t="shared" si="514"/>
        <v>0</v>
      </c>
      <c r="S147" s="129">
        <f t="shared" si="514"/>
        <v>0</v>
      </c>
      <c r="T147" s="129">
        <f t="shared" si="514"/>
        <v>0</v>
      </c>
      <c r="U147" s="129">
        <f t="shared" ref="U147" si="515">(U31+U32)/U25</f>
        <v>0</v>
      </c>
      <c r="V147" s="101" t="e">
        <f t="shared" si="465"/>
        <v>#DIV/0!</v>
      </c>
      <c r="W147" s="10"/>
      <c r="X147" s="129">
        <f t="shared" ref="X147:AG147" si="516">(X31+X32)/X25</f>
        <v>0</v>
      </c>
      <c r="Y147" s="129">
        <f t="shared" si="516"/>
        <v>0</v>
      </c>
      <c r="Z147" s="129">
        <f t="shared" si="516"/>
        <v>0</v>
      </c>
      <c r="AA147" s="129">
        <f t="shared" si="516"/>
        <v>0</v>
      </c>
      <c r="AB147" s="129">
        <f t="shared" si="516"/>
        <v>0</v>
      </c>
      <c r="AC147" s="129">
        <f t="shared" si="516"/>
        <v>0</v>
      </c>
      <c r="AD147" s="129">
        <f t="shared" si="516"/>
        <v>0</v>
      </c>
      <c r="AE147" s="129">
        <f t="shared" si="516"/>
        <v>0</v>
      </c>
      <c r="AF147" s="129">
        <f t="shared" si="516"/>
        <v>0</v>
      </c>
      <c r="AG147" s="129">
        <f t="shared" si="516"/>
        <v>0</v>
      </c>
      <c r="AH147" s="116" t="e">
        <f t="shared" si="331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2"/>
      <c r="V148" s="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17">G27/G25</f>
        <v>0.9051020408163265</v>
      </c>
      <c r="H149" s="129">
        <f t="shared" ref="H149:I149" si="518">H27/H25</f>
        <v>0.91923248549754577</v>
      </c>
      <c r="I149" s="129">
        <f t="shared" si="518"/>
        <v>0.90972733971997055</v>
      </c>
      <c r="J149" s="129">
        <f t="shared" ref="J149:T149" si="519">J27/J25</f>
        <v>0.90729553903345728</v>
      </c>
      <c r="K149" s="129">
        <f t="shared" si="519"/>
        <v>0.86563415655085807</v>
      </c>
      <c r="L149" s="129">
        <f t="shared" si="519"/>
        <v>0.90653085680047929</v>
      </c>
      <c r="M149" s="129">
        <f t="shared" si="519"/>
        <v>0.83229114557278638</v>
      </c>
      <c r="N149" s="129">
        <f t="shared" si="519"/>
        <v>0.89271989752348424</v>
      </c>
      <c r="O149" s="129">
        <f t="shared" si="519"/>
        <v>0.90573638414437641</v>
      </c>
      <c r="P149" s="129">
        <f t="shared" si="519"/>
        <v>0.87918015102481117</v>
      </c>
      <c r="Q149" s="129">
        <f t="shared" si="519"/>
        <v>0.8571957907218023</v>
      </c>
      <c r="R149" s="129">
        <f t="shared" si="519"/>
        <v>0.84986976083353072</v>
      </c>
      <c r="S149" s="129">
        <f t="shared" si="519"/>
        <v>0.75979031760715388</v>
      </c>
      <c r="T149" s="129">
        <f t="shared" si="519"/>
        <v>0.79453184035172086</v>
      </c>
      <c r="U149" s="129">
        <f t="shared" ref="U149" si="520">U27/U25</f>
        <v>0.86828569568331271</v>
      </c>
      <c r="V149" s="101">
        <f t="shared" si="465"/>
        <v>-2.9618113446907568E-3</v>
      </c>
      <c r="W149" s="10"/>
      <c r="X149" s="129">
        <f t="shared" ref="X149:AG149" si="521">X27/X25</f>
        <v>0.86828569568331271</v>
      </c>
      <c r="Y149" s="129">
        <f t="shared" si="521"/>
        <v>0.8682856956833126</v>
      </c>
      <c r="Z149" s="129">
        <f t="shared" si="521"/>
        <v>0.86828569568331249</v>
      </c>
      <c r="AA149" s="129">
        <f t="shared" si="521"/>
        <v>0.8682856956833126</v>
      </c>
      <c r="AB149" s="129">
        <f t="shared" si="521"/>
        <v>0.8682856956833126</v>
      </c>
      <c r="AC149" s="129">
        <f t="shared" si="521"/>
        <v>0.86828569568331271</v>
      </c>
      <c r="AD149" s="129">
        <f t="shared" si="521"/>
        <v>0.86828569568331271</v>
      </c>
      <c r="AE149" s="129">
        <f t="shared" si="521"/>
        <v>0.8682856956833126</v>
      </c>
      <c r="AF149" s="129">
        <f t="shared" si="521"/>
        <v>0.86828569568331271</v>
      </c>
      <c r="AG149" s="129">
        <f t="shared" si="521"/>
        <v>0.86828569568331271</v>
      </c>
      <c r="AH149" s="116">
        <f t="shared" si="331"/>
        <v>-1.908933768966059E-3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522">G33/G25</f>
        <v>0.66377551020408165</v>
      </c>
      <c r="H150" s="129">
        <f t="shared" ref="H150:I150" si="523">H33/H25</f>
        <v>0.6929941990182954</v>
      </c>
      <c r="I150" s="129">
        <f t="shared" si="523"/>
        <v>0.71775976418570375</v>
      </c>
      <c r="J150" s="129">
        <f t="shared" ref="J150:T150" si="524">J33/J25</f>
        <v>0.6761152416356877</v>
      </c>
      <c r="K150" s="129">
        <f t="shared" si="524"/>
        <v>0.63394725826705733</v>
      </c>
      <c r="L150" s="129">
        <f t="shared" si="524"/>
        <v>0.68803674855202712</v>
      </c>
      <c r="M150" s="129">
        <f t="shared" si="524"/>
        <v>0.55227613806903453</v>
      </c>
      <c r="N150" s="129">
        <f t="shared" si="524"/>
        <v>0.625533731853117</v>
      </c>
      <c r="O150" s="129">
        <f t="shared" si="524"/>
        <v>0.676603287141476</v>
      </c>
      <c r="P150" s="129">
        <f t="shared" si="524"/>
        <v>0.63037447988904305</v>
      </c>
      <c r="Q150" s="129">
        <f t="shared" si="524"/>
        <v>0.59233733511190156</v>
      </c>
      <c r="R150" s="129">
        <f t="shared" si="524"/>
        <v>0.55963375167732254</v>
      </c>
      <c r="S150" s="129">
        <f t="shared" si="524"/>
        <v>0.46800801726796176</v>
      </c>
      <c r="T150" s="129">
        <f t="shared" si="524"/>
        <v>0.49838565638524424</v>
      </c>
      <c r="U150" s="129">
        <f t="shared" ref="U150" si="525">U33/U25</f>
        <v>0.56520606810339213</v>
      </c>
      <c r="V150" s="101">
        <f t="shared" si="465"/>
        <v>-1.1416730132675634E-2</v>
      </c>
      <c r="W150" s="10"/>
      <c r="X150" s="129">
        <f t="shared" ref="X150:AG150" si="526">X33/X25</f>
        <v>0.56520606810339225</v>
      </c>
      <c r="Y150" s="129">
        <f t="shared" si="526"/>
        <v>0.56520606810339213</v>
      </c>
      <c r="Z150" s="129">
        <f t="shared" si="526"/>
        <v>0.56520606810339213</v>
      </c>
      <c r="AA150" s="129">
        <f t="shared" si="526"/>
        <v>0.56520606810339213</v>
      </c>
      <c r="AB150" s="129">
        <f t="shared" si="526"/>
        <v>0.56520606810339225</v>
      </c>
      <c r="AC150" s="129">
        <f t="shared" si="526"/>
        <v>0.56520606810339225</v>
      </c>
      <c r="AD150" s="129">
        <f t="shared" si="526"/>
        <v>0.56520606810339236</v>
      </c>
      <c r="AE150" s="129">
        <f t="shared" si="526"/>
        <v>0.56520606810339236</v>
      </c>
      <c r="AF150" s="129">
        <f t="shared" si="526"/>
        <v>0.56520606810339236</v>
      </c>
      <c r="AG150" s="129">
        <f t="shared" si="526"/>
        <v>0.56520606810339236</v>
      </c>
      <c r="AH150" s="116">
        <f t="shared" si="331"/>
        <v>-7.7598724937562036E-3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527">G34/G25</f>
        <v>6.7857142857142852E-2</v>
      </c>
      <c r="H151" s="129">
        <f t="shared" ref="H151:I151" si="528">H34/H25</f>
        <v>6.3810798750557784E-2</v>
      </c>
      <c r="I151" s="129">
        <f t="shared" si="528"/>
        <v>6.0427413411938101E-2</v>
      </c>
      <c r="J151" s="129">
        <f t="shared" ref="J151:T151" si="529">J34/J25</f>
        <v>9.4563197026022311E-2</v>
      </c>
      <c r="K151" s="129">
        <f t="shared" si="529"/>
        <v>9.2088740058601931E-2</v>
      </c>
      <c r="L151" s="129">
        <f t="shared" si="529"/>
        <v>8.2883962452566406E-2</v>
      </c>
      <c r="M151" s="129">
        <f t="shared" si="529"/>
        <v>0.13606803401700851</v>
      </c>
      <c r="N151" s="129">
        <f t="shared" si="529"/>
        <v>0.12329205807002562</v>
      </c>
      <c r="O151" s="129">
        <f t="shared" si="529"/>
        <v>0.10755720270705768</v>
      </c>
      <c r="P151" s="129">
        <f t="shared" si="529"/>
        <v>0.1133456618893512</v>
      </c>
      <c r="Q151" s="129">
        <f t="shared" si="529"/>
        <v>0.11960871498443752</v>
      </c>
      <c r="R151" s="129">
        <f t="shared" si="529"/>
        <v>0.12684505485831557</v>
      </c>
      <c r="S151" s="129">
        <f t="shared" si="529"/>
        <v>0.12102991057662658</v>
      </c>
      <c r="T151" s="129">
        <f t="shared" si="529"/>
        <v>0.13230748093700626</v>
      </c>
      <c r="U151" s="129">
        <f t="shared" ref="U151" si="530">U34/U25</f>
        <v>0.14037372224754216</v>
      </c>
      <c r="V151" s="101">
        <f t="shared" si="465"/>
        <v>5.3293255558948482E-2</v>
      </c>
      <c r="W151" s="10"/>
      <c r="X151" s="129">
        <f t="shared" ref="X151:AG151" si="531">X34/X25</f>
        <v>0.14037372224754216</v>
      </c>
      <c r="Y151" s="129">
        <f t="shared" si="531"/>
        <v>0.14037372224754213</v>
      </c>
      <c r="Z151" s="129">
        <f t="shared" si="531"/>
        <v>0.14037372224754213</v>
      </c>
      <c r="AA151" s="129">
        <f t="shared" si="531"/>
        <v>0.14037372224754213</v>
      </c>
      <c r="AB151" s="129">
        <f t="shared" si="531"/>
        <v>0.14037372224754216</v>
      </c>
      <c r="AC151" s="129">
        <f t="shared" si="531"/>
        <v>0.14037372224754216</v>
      </c>
      <c r="AD151" s="129">
        <f t="shared" si="531"/>
        <v>0.14037372224754216</v>
      </c>
      <c r="AE151" s="129">
        <f t="shared" si="531"/>
        <v>0.14037372224754216</v>
      </c>
      <c r="AF151" s="129">
        <f t="shared" si="531"/>
        <v>0.14037372224754216</v>
      </c>
      <c r="AG151" s="129">
        <f t="shared" si="531"/>
        <v>0.14037372224754216</v>
      </c>
      <c r="AH151" s="116">
        <f t="shared" si="331"/>
        <v>1.732399950505914E-2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2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2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532">G15/G9</f>
        <v>1.1849865951742626</v>
      </c>
      <c r="H154" s="15">
        <f t="shared" ref="H154:I154" si="533">H15/H9</f>
        <v>1.1905737704918034</v>
      </c>
      <c r="I154" s="15">
        <f t="shared" si="533"/>
        <v>1.3043478260869565</v>
      </c>
      <c r="J154" s="15">
        <f t="shared" ref="J154:T154" si="534">J15/J9</f>
        <v>1.1707070707070708</v>
      </c>
      <c r="K154" s="15">
        <f t="shared" si="534"/>
        <v>1.3471910112359551</v>
      </c>
      <c r="L154" s="15">
        <f t="shared" si="534"/>
        <v>1.300498753117207</v>
      </c>
      <c r="M154" s="15">
        <f t="shared" si="534"/>
        <v>1.282960199004975</v>
      </c>
      <c r="N154" s="15">
        <f t="shared" si="534"/>
        <v>1.4270216962524656</v>
      </c>
      <c r="O154" s="15">
        <f t="shared" si="534"/>
        <v>1.3225677830940989</v>
      </c>
      <c r="P154" s="15">
        <f t="shared" si="534"/>
        <v>1.4882483370288249</v>
      </c>
      <c r="Q154" s="15">
        <f t="shared" si="534"/>
        <v>1.3511669658886893</v>
      </c>
      <c r="R154" s="15">
        <f t="shared" si="534"/>
        <v>1.6217137293086661</v>
      </c>
      <c r="S154" s="15">
        <f t="shared" si="534"/>
        <v>1.308414590104731</v>
      </c>
      <c r="T154" s="15">
        <f t="shared" si="534"/>
        <v>0.95071726052753358</v>
      </c>
      <c r="U154" s="15">
        <f t="shared" ref="U154" si="535">U15/U9</f>
        <v>0.90264684554024655</v>
      </c>
      <c r="V154" s="101">
        <f t="shared" si="465"/>
        <v>-1.9251936293530947E-2</v>
      </c>
      <c r="W154" s="10"/>
      <c r="X154" s="10">
        <f t="shared" ref="X154:AG154" si="536">X15/X9</f>
        <v>0.90264684554024655</v>
      </c>
      <c r="Y154" s="10">
        <f t="shared" si="536"/>
        <v>0.90264684554024666</v>
      </c>
      <c r="Z154" s="10">
        <f t="shared" si="536"/>
        <v>0.90264684554024655</v>
      </c>
      <c r="AA154" s="10">
        <f t="shared" si="536"/>
        <v>0.90264684554024666</v>
      </c>
      <c r="AB154" s="10">
        <f t="shared" si="536"/>
        <v>0.90264684554024666</v>
      </c>
      <c r="AC154" s="10">
        <f t="shared" si="536"/>
        <v>0.90264684554024666</v>
      </c>
      <c r="AD154" s="10">
        <f t="shared" si="536"/>
        <v>0.90264684554024655</v>
      </c>
      <c r="AE154" s="10">
        <f t="shared" si="536"/>
        <v>0.90264684554024643</v>
      </c>
      <c r="AF154" s="10">
        <f t="shared" si="536"/>
        <v>0.90264684554024655</v>
      </c>
      <c r="AG154" s="10">
        <f t="shared" si="536"/>
        <v>0.90264684554024643</v>
      </c>
      <c r="AH154" s="116">
        <f t="shared" si="331"/>
        <v>-1.1242060510932905E-2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537">G12/G9</f>
        <v>0.29490616621983912</v>
      </c>
      <c r="H155" s="15">
        <f t="shared" ref="H155:I155" si="538">H12/H9</f>
        <v>0.24795081967213115</v>
      </c>
      <c r="I155" s="15">
        <f t="shared" si="538"/>
        <v>0.43667296786389415</v>
      </c>
      <c r="J155" s="15">
        <f t="shared" ref="J155:T155" si="539">J12/J9</f>
        <v>0.19494949494949496</v>
      </c>
      <c r="K155" s="15">
        <f t="shared" si="539"/>
        <v>0.3202247191011236</v>
      </c>
      <c r="L155" s="15">
        <f t="shared" si="539"/>
        <v>0.45012468827930174</v>
      </c>
      <c r="M155" s="15">
        <f t="shared" si="539"/>
        <v>0.21641791044776118</v>
      </c>
      <c r="N155" s="15">
        <f t="shared" si="539"/>
        <v>9.4181459566074946E-2</v>
      </c>
      <c r="O155" s="15">
        <f t="shared" si="539"/>
        <v>6.8979266347687404E-2</v>
      </c>
      <c r="P155" s="15">
        <f t="shared" si="539"/>
        <v>0.14855875831485588</v>
      </c>
      <c r="Q155" s="15">
        <f t="shared" si="539"/>
        <v>0.23482944344703771</v>
      </c>
      <c r="R155" s="15">
        <f t="shared" si="539"/>
        <v>0.28967867575462514</v>
      </c>
      <c r="S155" s="15">
        <f t="shared" si="539"/>
        <v>0.21487901769591911</v>
      </c>
      <c r="T155" s="15">
        <f t="shared" si="539"/>
        <v>7.7741786210087926E-2</v>
      </c>
      <c r="U155" s="15">
        <f t="shared" ref="U155" si="540">U12/U9</f>
        <v>0.10859318346627991</v>
      </c>
      <c r="V155" s="101">
        <f t="shared" si="465"/>
        <v>-6.8873944911508889E-2</v>
      </c>
      <c r="W155" s="110"/>
      <c r="X155" s="10">
        <f t="shared" ref="X155:AG155" si="541">X12/X9</f>
        <v>0.10859318346627991</v>
      </c>
      <c r="Y155" s="10">
        <f t="shared" si="541"/>
        <v>0.10859318346627991</v>
      </c>
      <c r="Z155" s="10">
        <f t="shared" si="541"/>
        <v>0.10859318346627991</v>
      </c>
      <c r="AA155" s="10">
        <f t="shared" si="541"/>
        <v>0.1085931834662799</v>
      </c>
      <c r="AB155" s="10">
        <f t="shared" si="541"/>
        <v>0.10859318346627991</v>
      </c>
      <c r="AC155" s="10">
        <f t="shared" si="541"/>
        <v>0.10859318346627991</v>
      </c>
      <c r="AD155" s="10">
        <f t="shared" si="541"/>
        <v>0.10859318346627991</v>
      </c>
      <c r="AE155" s="10">
        <f t="shared" si="541"/>
        <v>0.10859318346627991</v>
      </c>
      <c r="AF155" s="10">
        <f t="shared" si="541"/>
        <v>0.10859318346627991</v>
      </c>
      <c r="AG155" s="10">
        <f t="shared" si="541"/>
        <v>0.1085931834662799</v>
      </c>
      <c r="AH155" s="101">
        <f t="shared" ref="AH155" si="542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543">G25/360</f>
        <v>5.4444444444444446</v>
      </c>
      <c r="H156" s="15">
        <f t="shared" ref="H156:I156" si="544">H25/360</f>
        <v>6.2249999999999996</v>
      </c>
      <c r="I156" s="15">
        <f t="shared" si="544"/>
        <v>7.5388888888888888</v>
      </c>
      <c r="J156" s="15">
        <f t="shared" ref="J156:T156" si="545">J25/360</f>
        <v>11.955555555555556</v>
      </c>
      <c r="K156" s="15">
        <f t="shared" si="545"/>
        <v>13.272222222222222</v>
      </c>
      <c r="L156" s="15">
        <f t="shared" si="545"/>
        <v>13.908333333333333</v>
      </c>
      <c r="M156" s="15">
        <f t="shared" si="545"/>
        <v>22.211111111111112</v>
      </c>
      <c r="N156" s="15">
        <f t="shared" si="545"/>
        <v>26.022222222222222</v>
      </c>
      <c r="O156" s="15">
        <f t="shared" si="545"/>
        <v>34.477777777777774</v>
      </c>
      <c r="P156" s="15">
        <f t="shared" si="545"/>
        <v>36.049999999999997</v>
      </c>
      <c r="Q156" s="15">
        <f t="shared" si="545"/>
        <v>37.483333333333334</v>
      </c>
      <c r="R156" s="15">
        <f t="shared" si="545"/>
        <v>35.19166666666667</v>
      </c>
      <c r="S156" s="15">
        <f t="shared" si="545"/>
        <v>36.033333333333331</v>
      </c>
      <c r="T156" s="15">
        <f t="shared" si="545"/>
        <v>40.43611111111111</v>
      </c>
      <c r="U156" s="15">
        <f t="shared" ref="U156" si="546">U25/360</f>
        <v>42.663888888888891</v>
      </c>
      <c r="V156" s="101">
        <f t="shared" si="465"/>
        <v>0.15841661083873704</v>
      </c>
      <c r="W156" s="110"/>
      <c r="X156" s="15">
        <f t="shared" ref="X156:AG156" si="547">X25/360</f>
        <v>46.077000000000005</v>
      </c>
      <c r="Y156" s="15">
        <f t="shared" si="547"/>
        <v>49.763160000000013</v>
      </c>
      <c r="Z156" s="15">
        <f t="shared" si="547"/>
        <v>53.744212800000021</v>
      </c>
      <c r="AA156" s="15">
        <f t="shared" si="547"/>
        <v>58.043749824000024</v>
      </c>
      <c r="AB156" s="15">
        <f t="shared" si="547"/>
        <v>62.687249809920026</v>
      </c>
      <c r="AC156" s="15">
        <f t="shared" si="547"/>
        <v>67.702229794713631</v>
      </c>
      <c r="AD156" s="15">
        <f t="shared" si="547"/>
        <v>73.118408178290721</v>
      </c>
      <c r="AE156" s="15">
        <f t="shared" si="547"/>
        <v>78.967880832553988</v>
      </c>
      <c r="AF156" s="15">
        <f t="shared" si="547"/>
        <v>85.285311299158309</v>
      </c>
      <c r="AG156" s="15">
        <f t="shared" si="547"/>
        <v>92.108136203090965</v>
      </c>
      <c r="AH156" s="101">
        <f t="shared" ref="AH156:AH167" si="548">((AG156/X156)^(1/($K$2-$K$1) ))-1</f>
        <v>5.0719276637903876E-2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549">G27/360</f>
        <v>4.927777777777778</v>
      </c>
      <c r="H157" s="15">
        <f t="shared" ref="H157:I157" si="550">H27/360</f>
        <v>5.7222222222222223</v>
      </c>
      <c r="I157" s="15">
        <f t="shared" si="550"/>
        <v>6.8583333333333334</v>
      </c>
      <c r="J157" s="15">
        <f t="shared" ref="J157:T157" si="551">J27/360</f>
        <v>10.847222222222221</v>
      </c>
      <c r="K157" s="15">
        <f t="shared" si="551"/>
        <v>11.488888888888889</v>
      </c>
      <c r="L157" s="15">
        <f t="shared" si="551"/>
        <v>12.608333333333333</v>
      </c>
      <c r="M157" s="15">
        <f t="shared" si="551"/>
        <v>18.486111111111111</v>
      </c>
      <c r="N157" s="15">
        <f t="shared" si="551"/>
        <v>23.230555555555554</v>
      </c>
      <c r="O157" s="15">
        <f t="shared" si="551"/>
        <v>31.227777777777778</v>
      </c>
      <c r="P157" s="15">
        <f t="shared" si="551"/>
        <v>31.694444444444443</v>
      </c>
      <c r="Q157" s="15">
        <f t="shared" si="551"/>
        <v>32.130555555555553</v>
      </c>
      <c r="R157" s="15">
        <f t="shared" si="551"/>
        <v>29.908333333333335</v>
      </c>
      <c r="S157" s="15">
        <f t="shared" si="551"/>
        <v>27.377777777777776</v>
      </c>
      <c r="T157" s="15">
        <f t="shared" si="551"/>
        <v>32.12777777777778</v>
      </c>
      <c r="U157" s="15">
        <f t="shared" ref="U157" si="552">U27/360</f>
        <v>37.044444444444444</v>
      </c>
      <c r="V157" s="101">
        <f t="shared" si="465"/>
        <v>0.15498559937887668</v>
      </c>
      <c r="W157" s="110"/>
      <c r="X157" s="15">
        <f t="shared" ref="X157:AG157" si="553">X27/360</f>
        <v>40.008000000000003</v>
      </c>
      <c r="Y157" s="15">
        <f t="shared" si="553"/>
        <v>43.208640000000003</v>
      </c>
      <c r="Z157" s="15">
        <f t="shared" si="553"/>
        <v>46.665331200000004</v>
      </c>
      <c r="AA157" s="15">
        <f t="shared" si="553"/>
        <v>50.398557696000012</v>
      </c>
      <c r="AB157" s="15">
        <f t="shared" si="553"/>
        <v>54.430442311680011</v>
      </c>
      <c r="AC157" s="15">
        <f t="shared" si="553"/>
        <v>58.784877696614423</v>
      </c>
      <c r="AD157" s="15">
        <f t="shared" si="553"/>
        <v>63.487667912343575</v>
      </c>
      <c r="AE157" s="15">
        <f t="shared" si="553"/>
        <v>68.566681345331062</v>
      </c>
      <c r="AF157" s="15">
        <f t="shared" si="553"/>
        <v>74.052015852957553</v>
      </c>
      <c r="AG157" s="15">
        <f t="shared" si="553"/>
        <v>79.976177121194169</v>
      </c>
      <c r="AH157" s="101">
        <f t="shared" si="548"/>
        <v>5.0719276637903876E-2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2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554">G10/G7</f>
        <v>0.73601398601398604</v>
      </c>
      <c r="H159" s="15">
        <f t="shared" ref="H159:I159" si="555">H10/H7</f>
        <v>0.90515806988352743</v>
      </c>
      <c r="I159" s="15">
        <f t="shared" si="555"/>
        <v>1.1829652996845426</v>
      </c>
      <c r="J159" s="15">
        <f t="shared" ref="J159:T159" si="556">J10/J7</f>
        <v>0.88021390374331554</v>
      </c>
      <c r="K159" s="15">
        <f t="shared" si="556"/>
        <v>0.54653130287648055</v>
      </c>
      <c r="L159" s="15">
        <f t="shared" si="556"/>
        <v>0.65974796145292813</v>
      </c>
      <c r="M159" s="15">
        <f t="shared" si="556"/>
        <v>0.86781901372648707</v>
      </c>
      <c r="N159" s="15">
        <f t="shared" si="556"/>
        <v>1.0281923714759535</v>
      </c>
      <c r="O159" s="15">
        <f t="shared" si="556"/>
        <v>0.90007062146892658</v>
      </c>
      <c r="P159" s="15">
        <f t="shared" si="556"/>
        <v>0.67088235294117649</v>
      </c>
      <c r="Q159" s="15">
        <f t="shared" si="556"/>
        <v>0.2160034980323568</v>
      </c>
      <c r="R159" s="15">
        <f t="shared" si="556"/>
        <v>0.15876165905933717</v>
      </c>
      <c r="S159" s="15">
        <f t="shared" si="556"/>
        <v>0.21832011652370933</v>
      </c>
      <c r="T159" s="15">
        <f t="shared" si="556"/>
        <v>0.44505419124708467</v>
      </c>
      <c r="U159" s="15">
        <f t="shared" ref="U159" si="557">U10/U7</f>
        <v>0.45468494271685761</v>
      </c>
      <c r="V159" s="101">
        <f t="shared" si="465"/>
        <v>-3.3818109158180509E-2</v>
      </c>
      <c r="W159" s="110"/>
      <c r="X159" s="15">
        <f t="shared" ref="X159:AG159" si="558">X10/X7</f>
        <v>0.45468494271685767</v>
      </c>
      <c r="Y159" s="15">
        <f t="shared" si="558"/>
        <v>0.45468494271685767</v>
      </c>
      <c r="Z159" s="15">
        <f t="shared" si="558"/>
        <v>0.45468494271685767</v>
      </c>
      <c r="AA159" s="15">
        <f t="shared" si="558"/>
        <v>0.45468494271685767</v>
      </c>
      <c r="AB159" s="15">
        <f t="shared" si="558"/>
        <v>0.45468494271685767</v>
      </c>
      <c r="AC159" s="15">
        <f t="shared" si="558"/>
        <v>0.45468494271685772</v>
      </c>
      <c r="AD159" s="15">
        <f t="shared" si="558"/>
        <v>0.45468494271685772</v>
      </c>
      <c r="AE159" s="15">
        <f t="shared" si="558"/>
        <v>0.45468494271685767</v>
      </c>
      <c r="AF159" s="15">
        <f t="shared" si="558"/>
        <v>0.45468494271685772</v>
      </c>
      <c r="AG159" s="15">
        <f t="shared" si="558"/>
        <v>0.45468494271685772</v>
      </c>
      <c r="AH159" s="101">
        <f t="shared" si="548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559">G10/(G10+G7)</f>
        <v>0.42396777442094663</v>
      </c>
      <c r="H160" s="15">
        <f t="shared" ref="H160:I160" si="560">H10/(H10+H7)</f>
        <v>0.47510917030567684</v>
      </c>
      <c r="I160" s="15">
        <f t="shared" si="560"/>
        <v>0.54190751445086704</v>
      </c>
      <c r="J160" s="15">
        <f t="shared" ref="J160:T160" si="561">J10/(J10+J7)</f>
        <v>0.46814562002275312</v>
      </c>
      <c r="K160" s="15">
        <f t="shared" si="561"/>
        <v>0.35339168490153172</v>
      </c>
      <c r="L160" s="15">
        <f t="shared" si="561"/>
        <v>0.3974988834301027</v>
      </c>
      <c r="M160" s="15">
        <f t="shared" si="561"/>
        <v>0.46461622210125203</v>
      </c>
      <c r="N160" s="15">
        <f t="shared" si="561"/>
        <v>0.50695012264922323</v>
      </c>
      <c r="O160" s="15">
        <f t="shared" si="561"/>
        <v>0.47370377253298646</v>
      </c>
      <c r="P160" s="15">
        <f t="shared" si="561"/>
        <v>0.40151381798979052</v>
      </c>
      <c r="Q160" s="15">
        <f t="shared" si="561"/>
        <v>0.17763394462423587</v>
      </c>
      <c r="R160" s="15">
        <f t="shared" si="561"/>
        <v>0.13700976194553863</v>
      </c>
      <c r="S160" s="15">
        <f t="shared" si="561"/>
        <v>0.17919766206163656</v>
      </c>
      <c r="T160" s="15">
        <f t="shared" si="561"/>
        <v>0.30798442988702174</v>
      </c>
      <c r="U160" s="15">
        <f t="shared" ref="U160" si="562">U10/(U10+U7)</f>
        <v>0.31256592363406233</v>
      </c>
      <c r="V160" s="101">
        <f t="shared" si="465"/>
        <v>-2.1539080231241847E-2</v>
      </c>
      <c r="W160" s="110"/>
      <c r="X160" s="15">
        <f t="shared" ref="X160:AG160" si="563">X10/(X10+X7)</f>
        <v>0.31256592363406233</v>
      </c>
      <c r="Y160" s="15">
        <f t="shared" si="563"/>
        <v>0.31256592363406238</v>
      </c>
      <c r="Z160" s="15">
        <f t="shared" si="563"/>
        <v>0.31256592363406233</v>
      </c>
      <c r="AA160" s="15">
        <f t="shared" si="563"/>
        <v>0.31256592363406233</v>
      </c>
      <c r="AB160" s="15">
        <f t="shared" si="563"/>
        <v>0.31256592363406233</v>
      </c>
      <c r="AC160" s="15">
        <f t="shared" si="563"/>
        <v>0.31256592363406233</v>
      </c>
      <c r="AD160" s="15">
        <f t="shared" si="563"/>
        <v>0.31256592363406238</v>
      </c>
      <c r="AE160" s="15">
        <f t="shared" si="563"/>
        <v>0.31256592363406233</v>
      </c>
      <c r="AF160" s="15">
        <f t="shared" si="563"/>
        <v>0.31256592363406233</v>
      </c>
      <c r="AG160" s="15">
        <f t="shared" si="563"/>
        <v>0.31256592363406238</v>
      </c>
      <c r="AH160" s="101">
        <f t="shared" si="548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2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564">G16</f>
        <v>213</v>
      </c>
      <c r="H162" s="15">
        <f t="shared" ref="H162:I162" si="565">H16</f>
        <v>240</v>
      </c>
      <c r="I162" s="15">
        <f t="shared" si="565"/>
        <v>465</v>
      </c>
      <c r="J162" s="15">
        <f t="shared" ref="J162:T162" si="566">J16</f>
        <v>380</v>
      </c>
      <c r="K162" s="15">
        <f t="shared" si="566"/>
        <v>502</v>
      </c>
      <c r="L162" s="15">
        <f t="shared" si="566"/>
        <v>528</v>
      </c>
      <c r="M162" s="15">
        <f t="shared" si="566"/>
        <v>573</v>
      </c>
      <c r="N162" s="15">
        <f t="shared" si="566"/>
        <v>860</v>
      </c>
      <c r="O162" s="15">
        <f t="shared" si="566"/>
        <v>880</v>
      </c>
      <c r="P162" s="15">
        <f t="shared" si="566"/>
        <v>995</v>
      </c>
      <c r="Q162" s="15">
        <f t="shared" si="566"/>
        <v>859</v>
      </c>
      <c r="R162" s="15">
        <f t="shared" si="566"/>
        <v>1092</v>
      </c>
      <c r="S162" s="15">
        <f t="shared" si="566"/>
        <v>1634</v>
      </c>
      <c r="T162" s="15">
        <f t="shared" si="566"/>
        <v>531</v>
      </c>
      <c r="U162" s="15">
        <f t="shared" ref="U162" si="567">U16</f>
        <v>172</v>
      </c>
      <c r="V162" s="101">
        <f t="shared" si="465"/>
        <v>-1.5155249061342357E-2</v>
      </c>
      <c r="W162" s="110"/>
      <c r="X162" s="15">
        <f t="shared" ref="X162:AG162" si="568">X16</f>
        <v>185.76000000000002</v>
      </c>
      <c r="Y162" s="15">
        <f t="shared" si="568"/>
        <v>200.62080000000003</v>
      </c>
      <c r="Z162" s="15">
        <f t="shared" si="568"/>
        <v>216.67046400000004</v>
      </c>
      <c r="AA162" s="15">
        <f t="shared" si="568"/>
        <v>234.00410112000006</v>
      </c>
      <c r="AB162" s="15">
        <f t="shared" si="568"/>
        <v>252.72442920960009</v>
      </c>
      <c r="AC162" s="15">
        <f t="shared" si="568"/>
        <v>272.94238354636809</v>
      </c>
      <c r="AD162" s="15">
        <f t="shared" si="568"/>
        <v>294.77777423007757</v>
      </c>
      <c r="AE162" s="15">
        <f t="shared" si="568"/>
        <v>318.3599961684838</v>
      </c>
      <c r="AF162" s="15">
        <f t="shared" si="568"/>
        <v>343.82879586196253</v>
      </c>
      <c r="AG162" s="15">
        <f t="shared" si="568"/>
        <v>371.33509953091954</v>
      </c>
      <c r="AH162" s="101">
        <f t="shared" si="548"/>
        <v>5.0719276637903876E-2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569">G162*365/G25</f>
        <v>39.66581632653061</v>
      </c>
      <c r="H163" s="102">
        <f t="shared" ref="H163:I163" si="570">H162*365/H25</f>
        <v>39.089692101740297</v>
      </c>
      <c r="I163" s="102">
        <f t="shared" si="570"/>
        <v>62.536845983787764</v>
      </c>
      <c r="J163" s="102">
        <f t="shared" ref="J163:T163" si="571">J162*365/J25</f>
        <v>32.225836431226767</v>
      </c>
      <c r="K163" s="102">
        <f t="shared" si="571"/>
        <v>38.348681456676431</v>
      </c>
      <c r="L163" s="102">
        <f t="shared" si="571"/>
        <v>38.490113840623131</v>
      </c>
      <c r="M163" s="102">
        <f t="shared" si="571"/>
        <v>26.156203101550776</v>
      </c>
      <c r="N163" s="102">
        <f t="shared" si="571"/>
        <v>33.507685738684884</v>
      </c>
      <c r="O163" s="102">
        <f t="shared" si="571"/>
        <v>25.878182404125042</v>
      </c>
      <c r="P163" s="102">
        <f t="shared" si="571"/>
        <v>27.983895823701648</v>
      </c>
      <c r="Q163" s="102">
        <f t="shared" si="571"/>
        <v>23.2351415443901</v>
      </c>
      <c r="R163" s="102">
        <f t="shared" si="571"/>
        <v>31.461046649301444</v>
      </c>
      <c r="S163" s="102">
        <f t="shared" si="571"/>
        <v>45.976719087264875</v>
      </c>
      <c r="T163" s="102">
        <f t="shared" si="571"/>
        <v>13.314213093357148</v>
      </c>
      <c r="U163" s="102">
        <f t="shared" ref="U163" si="572">U162*365/U25</f>
        <v>4.0875056969854811</v>
      </c>
      <c r="V163" s="101">
        <f t="shared" si="465"/>
        <v>-0.14983543767937424</v>
      </c>
      <c r="W163" s="110"/>
      <c r="X163" s="102">
        <f t="shared" ref="X163:AG163" si="573">X162*365/X25</f>
        <v>4.0875056969854811</v>
      </c>
      <c r="Y163" s="102">
        <f t="shared" si="573"/>
        <v>4.0875056969854802</v>
      </c>
      <c r="Z163" s="102">
        <f t="shared" si="573"/>
        <v>4.0875056969854802</v>
      </c>
      <c r="AA163" s="102">
        <f t="shared" si="573"/>
        <v>4.0875056969854802</v>
      </c>
      <c r="AB163" s="102">
        <f t="shared" si="573"/>
        <v>4.0875056969854811</v>
      </c>
      <c r="AC163" s="102">
        <f t="shared" si="573"/>
        <v>4.0875056969854802</v>
      </c>
      <c r="AD163" s="102">
        <f t="shared" si="573"/>
        <v>4.0875056969854811</v>
      </c>
      <c r="AE163" s="102">
        <f t="shared" si="573"/>
        <v>4.0875056969854811</v>
      </c>
      <c r="AF163" s="102">
        <f t="shared" si="573"/>
        <v>4.0875056969854811</v>
      </c>
      <c r="AG163" s="102">
        <f t="shared" si="573"/>
        <v>4.0875056969854811</v>
      </c>
      <c r="AH163" s="101">
        <f t="shared" si="548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574">G98/G29</f>
        <v>1.2024185790847877</v>
      </c>
      <c r="H164" s="112">
        <f t="shared" ref="H164:I164" si="575">H98/H29</f>
        <v>1.0509138381201044</v>
      </c>
      <c r="I164" s="112">
        <f t="shared" si="575"/>
        <v>1.206266318537859</v>
      </c>
      <c r="J164" s="112">
        <f t="shared" ref="J164:T164" si="576">J98/J29</f>
        <v>1.0192697768762677</v>
      </c>
      <c r="K164" s="112">
        <f t="shared" si="576"/>
        <v>0.1194057268823624</v>
      </c>
      <c r="L164" s="112">
        <f t="shared" si="576"/>
        <v>6.6526610644257703E-2</v>
      </c>
      <c r="M164" s="112">
        <f t="shared" si="576"/>
        <v>0.13520253274351637</v>
      </c>
      <c r="N164" s="112">
        <f t="shared" si="576"/>
        <v>0.10489060489060489</v>
      </c>
      <c r="O164" s="112">
        <f t="shared" si="576"/>
        <v>8.0678612908578071E-2</v>
      </c>
      <c r="P164" s="112">
        <f t="shared" si="576"/>
        <v>9.2592592592592587E-2</v>
      </c>
      <c r="Q164" s="112">
        <f t="shared" si="576"/>
        <v>0.13099429912810195</v>
      </c>
      <c r="R164" s="112">
        <f t="shared" si="576"/>
        <v>0.20925492236967649</v>
      </c>
      <c r="S164" s="112">
        <f t="shared" si="576"/>
        <v>0.64699792960662528</v>
      </c>
      <c r="T164" s="112">
        <f t="shared" si="576"/>
        <v>0.54132412688118714</v>
      </c>
      <c r="U164" s="112">
        <f t="shared" ref="U164" si="577">U98/U29</f>
        <v>0.20568937235603901</v>
      </c>
      <c r="V164" s="101">
        <f t="shared" si="465"/>
        <v>-0.11849365823886115</v>
      </c>
      <c r="W164" s="110"/>
      <c r="X164" s="112">
        <f t="shared" ref="X164:AG164" si="578">X98/X29</f>
        <v>0.20165624740788138</v>
      </c>
      <c r="Y164" s="112">
        <f t="shared" si="578"/>
        <v>0.1977022033410602</v>
      </c>
      <c r="Z164" s="112">
        <f t="shared" si="578"/>
        <v>0.19382568955005899</v>
      </c>
      <c r="AA164" s="112">
        <f t="shared" si="578"/>
        <v>0.19002518583339117</v>
      </c>
      <c r="AB164" s="112">
        <f t="shared" si="578"/>
        <v>0.1862992017974423</v>
      </c>
      <c r="AC164" s="112">
        <f t="shared" si="578"/>
        <v>0.18264627627200228</v>
      </c>
      <c r="AD164" s="112">
        <f t="shared" si="578"/>
        <v>0.1790649767372571</v>
      </c>
      <c r="AE164" s="112">
        <f t="shared" si="578"/>
        <v>0.17555389876201674</v>
      </c>
      <c r="AF164" s="112">
        <f t="shared" si="578"/>
        <v>0.17211166545295759</v>
      </c>
      <c r="AG164" s="112">
        <f t="shared" si="578"/>
        <v>0.16873692691466433</v>
      </c>
      <c r="AH164" s="101">
        <f t="shared" si="548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2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6"/>
      <c r="G166" s="156">
        <f t="shared" ref="G166" si="579">G25/G14</f>
        <v>7.4809160305343507</v>
      </c>
      <c r="H166" s="156">
        <f t="shared" ref="H166:I166" si="580">H25/H14</f>
        <v>6.790909090909091</v>
      </c>
      <c r="I166" s="156">
        <f t="shared" si="580"/>
        <v>6.4773269689737472</v>
      </c>
      <c r="J166" s="156">
        <f t="shared" ref="J166:T166" si="581">J25/J14</f>
        <v>6.746081504702194</v>
      </c>
      <c r="K166" s="156">
        <f t="shared" si="581"/>
        <v>6.6825174825174827</v>
      </c>
      <c r="L166" s="156">
        <f t="shared" si="581"/>
        <v>7.9476190476190478</v>
      </c>
      <c r="M166" s="156">
        <f t="shared" si="581"/>
        <v>8.060483870967742</v>
      </c>
      <c r="N166" s="156">
        <f t="shared" si="581"/>
        <v>5.3439817455790077</v>
      </c>
      <c r="O166" s="156">
        <f t="shared" si="581"/>
        <v>6.2091045522761377</v>
      </c>
      <c r="P166" s="156">
        <f t="shared" si="581"/>
        <v>6.3899556868537664</v>
      </c>
      <c r="Q166" s="156">
        <f t="shared" si="581"/>
        <v>6.5314617618586643</v>
      </c>
      <c r="R166" s="156">
        <f t="shared" si="581"/>
        <v>7.1254218222722159</v>
      </c>
      <c r="S166" s="156">
        <f t="shared" si="581"/>
        <v>6.6694087403598976</v>
      </c>
      <c r="T166" s="156">
        <f t="shared" si="581"/>
        <v>5.5035916824196596</v>
      </c>
      <c r="U166" s="156">
        <f t="shared" ref="U166" si="582">U25/U14</f>
        <v>5.2152801358234298</v>
      </c>
      <c r="V166" s="101">
        <f t="shared" si="465"/>
        <v>-2.5439565458777791E-2</v>
      </c>
      <c r="W166" s="110"/>
      <c r="X166" s="10">
        <f t="shared" ref="X166:AG166" si="583">X25/X14</f>
        <v>5.2152801358234298</v>
      </c>
      <c r="Y166" s="10">
        <f t="shared" si="583"/>
        <v>5.2152801358234298</v>
      </c>
      <c r="Z166" s="10">
        <f t="shared" si="583"/>
        <v>5.2152801358234298</v>
      </c>
      <c r="AA166" s="10">
        <f t="shared" si="583"/>
        <v>5.2152801358234298</v>
      </c>
      <c r="AB166" s="10">
        <f t="shared" si="583"/>
        <v>5.2152801358234289</v>
      </c>
      <c r="AC166" s="10">
        <f t="shared" si="583"/>
        <v>5.2152801358234289</v>
      </c>
      <c r="AD166" s="10">
        <f t="shared" si="583"/>
        <v>5.215280135823428</v>
      </c>
      <c r="AE166" s="10">
        <f t="shared" si="583"/>
        <v>5.2152801358234289</v>
      </c>
      <c r="AF166" s="10">
        <f t="shared" si="583"/>
        <v>5.215280135823428</v>
      </c>
      <c r="AG166" s="10">
        <f t="shared" si="583"/>
        <v>5.215280135823428</v>
      </c>
      <c r="AH166" s="101">
        <f t="shared" si="548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6"/>
      <c r="G167" s="156">
        <f t="shared" ref="G167" si="584">G27/G14</f>
        <v>6.770992366412214</v>
      </c>
      <c r="H167" s="156">
        <f t="shared" ref="H167:I167" si="585">H27/H14</f>
        <v>6.2424242424242422</v>
      </c>
      <c r="I167" s="156">
        <f t="shared" si="585"/>
        <v>5.892601431980907</v>
      </c>
      <c r="J167" s="156">
        <f t="shared" ref="J167:T167" si="586">J27/J14</f>
        <v>6.1206896551724137</v>
      </c>
      <c r="K167" s="156">
        <f t="shared" si="586"/>
        <v>5.7846153846153845</v>
      </c>
      <c r="L167" s="156">
        <f t="shared" si="586"/>
        <v>7.2047619047619049</v>
      </c>
      <c r="M167" s="156">
        <f t="shared" si="586"/>
        <v>6.70866935483871</v>
      </c>
      <c r="N167" s="156">
        <f t="shared" si="586"/>
        <v>4.7706788362806618</v>
      </c>
      <c r="O167" s="156">
        <f t="shared" si="586"/>
        <v>5.6238119059529765</v>
      </c>
      <c r="P167" s="156">
        <f t="shared" si="586"/>
        <v>5.6179222058099461</v>
      </c>
      <c r="Q167" s="156">
        <f t="shared" si="586"/>
        <v>5.5987415295256531</v>
      </c>
      <c r="R167" s="156">
        <f t="shared" si="586"/>
        <v>6.0556805399325082</v>
      </c>
      <c r="S167" s="156">
        <f t="shared" si="586"/>
        <v>5.0673521850899741</v>
      </c>
      <c r="T167" s="156">
        <f t="shared" si="586"/>
        <v>4.3727788279773154</v>
      </c>
      <c r="U167" s="156">
        <f t="shared" ref="U167" si="587">U27/U14</f>
        <v>4.5283531409168081</v>
      </c>
      <c r="V167" s="101">
        <f t="shared" si="465"/>
        <v>-2.8326029609888725E-2</v>
      </c>
      <c r="W167" s="110"/>
      <c r="X167" s="10">
        <f t="shared" ref="X167:AG167" si="588">X27/X14</f>
        <v>4.5283531409168081</v>
      </c>
      <c r="Y167" s="10">
        <f t="shared" si="588"/>
        <v>4.5283531409168081</v>
      </c>
      <c r="Z167" s="10">
        <f t="shared" si="588"/>
        <v>4.5283531409168072</v>
      </c>
      <c r="AA167" s="10">
        <f t="shared" si="588"/>
        <v>4.5283531409168072</v>
      </c>
      <c r="AB167" s="10">
        <f t="shared" si="588"/>
        <v>4.5283531409168072</v>
      </c>
      <c r="AC167" s="10">
        <f t="shared" si="588"/>
        <v>4.5283531409168072</v>
      </c>
      <c r="AD167" s="10">
        <f t="shared" si="588"/>
        <v>4.5283531409168063</v>
      </c>
      <c r="AE167" s="10">
        <f t="shared" si="588"/>
        <v>4.5283531409168072</v>
      </c>
      <c r="AF167" s="10">
        <f t="shared" si="588"/>
        <v>4.5283531409168072</v>
      </c>
      <c r="AG167" s="10">
        <f t="shared" si="588"/>
        <v>4.5283531409168072</v>
      </c>
      <c r="AH167" s="101">
        <f t="shared" si="548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512</v>
      </c>
      <c r="T169" s="13" t="s">
        <v>413</v>
      </c>
      <c r="U169" s="13" t="s">
        <v>413</v>
      </c>
      <c r="V169" s="13" t="s">
        <v>513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2">
        <f>AVERAGE(G102:T102)</f>
        <v>8.8374125874125866</v>
      </c>
      <c r="T170" s="112">
        <f>AVERAGE(Q102:U102)</f>
        <v>17.237762237762233</v>
      </c>
      <c r="U170" s="112">
        <f>AVERAGE(Q72:U72)</f>
        <v>19.179576481148189</v>
      </c>
      <c r="V170" s="112">
        <f>AVERAGE(L72:U72)</f>
        <v>14.071931097716952</v>
      </c>
      <c r="W170" s="10"/>
      <c r="X170" s="170" t="s">
        <v>374</v>
      </c>
      <c r="Y170" s="171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73.180501765821262</v>
      </c>
      <c r="X171" s="112">
        <f>PV($C$1, ($AG$3-$X$3), 0, -AG72)</f>
        <v>6.3635218926801089</v>
      </c>
      <c r="Y171" s="112">
        <f>PV($C$1, ($AG$3-$X$3), 0, -AJ72)</f>
        <v>66.81697987314115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89">X172+Y172</f>
        <v>989.5056504324599</v>
      </c>
      <c r="X172" s="112">
        <f>PV($C$1, ($AG$3-$X$3), 0, -AG74)</f>
        <v>86.0439696028226</v>
      </c>
      <c r="Y172" s="112">
        <f>PV($C$1, ($AG$3-$X$3), 0, -AJ74)</f>
        <v>903.46168082963732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89"/>
        <v>983.73623328079793</v>
      </c>
      <c r="X173" s="112">
        <f>PV($C$1, ($AG$3-$X$3), 0, -AG75)</f>
        <v>85.542281154851977</v>
      </c>
      <c r="Y173" s="112">
        <f>PV($C$1, ($AG$3-$X$3), 0, -AJ75)</f>
        <v>898.193952125946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89"/>
        <v>449.91331998489005</v>
      </c>
      <c r="X174" s="112">
        <f>PV($C$1, ($AG$3-$X$3), 0, -AG76)</f>
        <v>39.122897389990442</v>
      </c>
      <c r="Y174" s="112">
        <f>PV($C$1, ($AG$3-$X$3), 0, -AJ76)</f>
        <v>410.79042259489961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89"/>
        <v>60.629489014836693</v>
      </c>
      <c r="X175" s="112">
        <f>PV($C$1, ($AG$3-$X$3), 0, -AG82)</f>
        <v>5.2721294795510163</v>
      </c>
      <c r="Y175" s="112">
        <f>PV($C$1, ($AG$3-$X$3), 0, -AJ82)</f>
        <v>55.357359535285674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89"/>
        <v>539.59233044756979</v>
      </c>
      <c r="X177" s="112">
        <f>PV($C$1, ($AG$3-$X$3), 0, -AG78)</f>
        <v>46.921072212832151</v>
      </c>
      <c r="Y177" s="112">
        <f>PV($C$1, ($AG$3-$X$3), 0, -$AJ$78)</f>
        <v>492.67125823473765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89"/>
        <v>-18.725301281711069</v>
      </c>
      <c r="X178" s="112">
        <f>PV($C$1, ($AG$3-$X$3), 0, -AG79)</f>
        <v>-1.6282870679748758</v>
      </c>
      <c r="Y178" s="112">
        <f>PV($C$1, ($AG$3-$X$3), 0, -$AJ$79)</f>
        <v>-17.097014213736195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89"/>
        <v>485.2383478082254</v>
      </c>
      <c r="X179" s="112">
        <f>PV($C$1, ($AG$3-$X$3), 0, -AG80)</f>
        <v>42.194638939845689</v>
      </c>
      <c r="Y179" s="112">
        <f>PV($C$1, ($AG$3-$X$3), 0, -$AJ$80)</f>
        <v>443.04370886837972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89"/>
        <v>503.9636490899365</v>
      </c>
      <c r="X181" s="112">
        <f>PV($C$1, ($AG$3-$X$3), 0, -AG85)</f>
        <v>43.822926007820556</v>
      </c>
      <c r="Y181" s="112">
        <f>PV($C$1, ($AG$3-$X$3), 0, -AJ85)</f>
        <v>460.14072308211593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89"/>
        <v>11.606312866501849</v>
      </c>
      <c r="X182" s="112">
        <f>PV($C$1, ($AG$3-$X$3), 0, -AG86)</f>
        <v>1.513866895630676</v>
      </c>
      <c r="Y182" s="112">
        <f>PV($C$1, ($AG$3-$X$3), 0, -AJ86)</f>
        <v>10.092445970871173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90">X184+Y184</f>
        <v>4227.4809031437489</v>
      </c>
      <c r="X184" s="112">
        <f>PV($C$1, ($AG$3-$X$3), 0, -AG12)</f>
        <v>367.60703505597809</v>
      </c>
      <c r="Y184" s="112">
        <f>PV($C$1, ($AG$3-$X$3), 0, -AJ12)</f>
        <v>3859.8738680877709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83.878589348090259</v>
      </c>
      <c r="X185" s="118">
        <f>X184/S57</f>
        <v>7.2937903780948039</v>
      </c>
      <c r="Y185" s="118">
        <f>Y184/S57</f>
        <v>76.584798969995461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91">X188+Y188</f>
        <v>32.021786041928095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21.106585778055667</v>
      </c>
      <c r="Y188" s="112">
        <f>PV($C$1, ($AG$3-$X$3), 0, -AJ88)</f>
        <v>10.915200263872427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89"/>
        <v>32590.978173703043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21481.758560041406</v>
      </c>
      <c r="Y190" s="112">
        <f>PV($C$1, ($AG$3-$X$3), 0, -AJ90)</f>
        <v>11109.219613661635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92">X192+Y192</f>
        <v>467.41177510604138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308.08608589263144</v>
      </c>
      <c r="Y192" s="112">
        <f>PV($C$1, ($AG$3-$X$3), 0, -AJ92)</f>
        <v>159.32568921340993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92"/>
        <v>89.198650817800257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58.793690405264371</v>
      </c>
      <c r="Y193" s="112">
        <f>PV($C$1, ($AG$3-$X$3), 0, -AJ93)</f>
        <v>30.404960412535882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92"/>
        <v>378.21312428824115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249.29239548736712</v>
      </c>
      <c r="Y194" s="112">
        <f>PV($C$1, ($AG$3-$X$3), 0, -AJ94)</f>
        <v>128.92072880087403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92"/>
        <v>244.00846728273623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160.83380354023686</v>
      </c>
      <c r="Y195" s="112">
        <f>PV($C$1, ($AG$3-$X$3), 0, -AJ95)</f>
        <v>83.174663742499376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711.42024238877764</v>
      </c>
      <c r="X196" s="95">
        <f t="shared" ref="X196:Y196" si="593">X193+X194+X195</f>
        <v>468.91988943286833</v>
      </c>
      <c r="Y196" s="95">
        <f t="shared" si="593"/>
        <v>242.50035295590928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-43.108162553283393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-28.413971958775175</v>
      </c>
      <c r="Y198" s="112">
        <f>PV($C$1, ($AG$3-$X$3), 0, -AJ96)</f>
        <v>-14.694190594508221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9">
        <v>41729</v>
      </c>
      <c r="U199" s="10">
        <v>277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7"/>
      <c r="G200" s="177"/>
      <c r="H200" s="172">
        <v>0</v>
      </c>
      <c r="I200" s="172">
        <v>0</v>
      </c>
      <c r="J200" s="172">
        <v>0</v>
      </c>
      <c r="K200" s="172">
        <v>0</v>
      </c>
      <c r="L200" s="172">
        <v>0</v>
      </c>
      <c r="M200" s="172">
        <v>0</v>
      </c>
      <c r="N200" s="172">
        <v>0</v>
      </c>
      <c r="O200" s="172">
        <v>0</v>
      </c>
      <c r="P200" s="172">
        <v>0</v>
      </c>
      <c r="Q200" s="172">
        <v>0</v>
      </c>
      <c r="R200" s="172">
        <v>0</v>
      </c>
      <c r="S200" s="172">
        <v>0</v>
      </c>
      <c r="T200" s="13" t="s">
        <v>335</v>
      </c>
      <c r="U200" s="10">
        <v>268</v>
      </c>
      <c r="V200" s="10">
        <v>75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70</v>
      </c>
      <c r="H201" s="12">
        <v>258</v>
      </c>
      <c r="I201" s="12">
        <v>285</v>
      </c>
      <c r="J201" s="12">
        <v>255</v>
      </c>
      <c r="K201" s="12">
        <v>35</v>
      </c>
      <c r="L201" s="12">
        <v>15</v>
      </c>
      <c r="M201" s="12">
        <v>61</v>
      </c>
      <c r="N201" s="12">
        <v>63</v>
      </c>
      <c r="O201" s="12">
        <v>75</v>
      </c>
      <c r="P201" s="12">
        <v>80</v>
      </c>
      <c r="Q201" s="12">
        <v>125</v>
      </c>
      <c r="R201" s="12">
        <v>150</v>
      </c>
      <c r="S201" s="12">
        <v>150</v>
      </c>
      <c r="T201" s="12">
        <v>209</v>
      </c>
      <c r="U201" s="12">
        <v>200</v>
      </c>
      <c r="V201" s="101">
        <f t="shared" ref="V201:V232" si="594">((U201/G201)^(1/($K$2-$K$1) ))-1</f>
        <v>7.7870456029937696E-2</v>
      </c>
      <c r="W201" s="21">
        <v>0</v>
      </c>
      <c r="X201" s="173">
        <v>200</v>
      </c>
      <c r="Y201" s="102">
        <f t="shared" ref="Y201:AG201" si="595">X201*(1+$W201)</f>
        <v>200</v>
      </c>
      <c r="Z201" s="102">
        <f t="shared" si="595"/>
        <v>200</v>
      </c>
      <c r="AA201" s="102">
        <f t="shared" si="595"/>
        <v>200</v>
      </c>
      <c r="AB201" s="102">
        <f t="shared" si="595"/>
        <v>200</v>
      </c>
      <c r="AC201" s="102">
        <f t="shared" si="595"/>
        <v>200</v>
      </c>
      <c r="AD201" s="102">
        <f t="shared" si="595"/>
        <v>200</v>
      </c>
      <c r="AE201" s="102">
        <f t="shared" si="595"/>
        <v>200</v>
      </c>
      <c r="AF201" s="102">
        <f t="shared" si="595"/>
        <v>200</v>
      </c>
      <c r="AG201" s="102">
        <f t="shared" si="595"/>
        <v>200</v>
      </c>
      <c r="AH201" s="116">
        <f t="shared" ref="AH201:AH208" si="596">((AG201/J201)^(1/($AG$3-$K$1) ))-1</f>
        <v>-1.0507286048935471E-2</v>
      </c>
      <c r="AI201" s="21">
        <f t="shared" ref="AI201:AI208" si="597">$O$1</f>
        <v>0.05</v>
      </c>
      <c r="AJ201" s="109">
        <f t="shared" ref="AJ201:AJ212" si="598">(AG201*(1+AH201))/($C$1-AI201)</f>
        <v>1978.9854279021292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599">G201/G66</f>
        <v>0.13678571428571429</v>
      </c>
      <c r="H202" s="15">
        <f t="shared" ref="H202:I202" si="600">H201/H66</f>
        <v>0.4409370816599732</v>
      </c>
      <c r="I202" s="15">
        <f t="shared" si="600"/>
        <v>0.40219233603537213</v>
      </c>
      <c r="J202" s="15">
        <f t="shared" ref="J202:T202" si="601">J201/J66</f>
        <v>0.27490706319702601</v>
      </c>
      <c r="K202" s="15">
        <f t="shared" si="601"/>
        <v>0.35776475512766848</v>
      </c>
      <c r="L202" s="15">
        <f t="shared" si="601"/>
        <v>0.15098861593768723</v>
      </c>
      <c r="M202" s="15">
        <f t="shared" si="601"/>
        <v>0.38449224612306154</v>
      </c>
      <c r="N202" s="15">
        <f t="shared" si="601"/>
        <v>0.33894107600341589</v>
      </c>
      <c r="O202" s="15">
        <f t="shared" si="601"/>
        <v>0.30454398968739932</v>
      </c>
      <c r="P202" s="15">
        <f t="shared" si="601"/>
        <v>0.31067961165048541</v>
      </c>
      <c r="Q202" s="15">
        <f t="shared" si="601"/>
        <v>0.4668741662961316</v>
      </c>
      <c r="R202" s="15">
        <f t="shared" si="601"/>
        <v>0.59673218091404212</v>
      </c>
      <c r="S202" s="15">
        <f t="shared" si="601"/>
        <v>0.58279370952821452</v>
      </c>
      <c r="T202" s="15">
        <f t="shared" si="601"/>
        <v>0.73078931098440614</v>
      </c>
      <c r="U202" s="15">
        <f t="shared" ref="U202" si="602">U201/U66</f>
        <v>0.74484015886450938</v>
      </c>
      <c r="V202" s="101">
        <f t="shared" si="594"/>
        <v>0.12868570428177528</v>
      </c>
      <c r="W202" s="110"/>
      <c r="X202" s="15">
        <f t="shared" ref="X202:AG202" si="603">X201/X66</f>
        <v>0.70346015003870332</v>
      </c>
      <c r="Y202" s="15">
        <f t="shared" si="603"/>
        <v>0.66437903059210857</v>
      </c>
      <c r="Z202" s="15">
        <f t="shared" si="603"/>
        <v>0.62746908444810245</v>
      </c>
      <c r="AA202" s="15">
        <f t="shared" si="603"/>
        <v>0.59260969086765236</v>
      </c>
      <c r="AB202" s="15">
        <f t="shared" si="603"/>
        <v>0.55968693026389393</v>
      </c>
      <c r="AC202" s="15">
        <f t="shared" si="603"/>
        <v>0.52859321191589981</v>
      </c>
      <c r="AD202" s="15">
        <f t="shared" si="603"/>
        <v>0.49922692236501648</v>
      </c>
      <c r="AE202" s="15">
        <f t="shared" si="603"/>
        <v>0.47149209334473785</v>
      </c>
      <c r="AF202" s="15">
        <f t="shared" si="603"/>
        <v>0.44529808815891903</v>
      </c>
      <c r="AG202" s="15">
        <f t="shared" si="603"/>
        <v>0.42055930548342357</v>
      </c>
      <c r="AH202" s="116">
        <f t="shared" ref="AH202" si="604">((AG202/J202)^(1/($AG$3-$K$1) ))-1</f>
        <v>1.8656790782481281E-2</v>
      </c>
      <c r="AI202" s="21">
        <f t="shared" si="597"/>
        <v>0.05</v>
      </c>
      <c r="AJ202" s="109">
        <f t="shared" ref="AJ202" si="605">(AG202*(1+AH202))/($C$1-AI202)</f>
        <v>4.2840559245745347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:I203" si="606">G201/G72</f>
        <v>3.8300000000000005</v>
      </c>
      <c r="H203" s="15">
        <f t="shared" si="606"/>
        <v>15.684761904761906</v>
      </c>
      <c r="I203" s="15">
        <f t="shared" si="606"/>
        <v>11.995054945054944</v>
      </c>
      <c r="J203" s="15">
        <f t="shared" ref="J203:T203" si="607">J201/J72</f>
        <v>10.112820512820512</v>
      </c>
      <c r="K203" s="15">
        <f t="shared" si="607"/>
        <v>6.3311111111111114</v>
      </c>
      <c r="L203" s="15">
        <f t="shared" si="607"/>
        <v>5.4388489208633093</v>
      </c>
      <c r="M203" s="15">
        <f t="shared" si="607"/>
        <v>4.708116385911179</v>
      </c>
      <c r="N203" s="15">
        <f t="shared" si="607"/>
        <v>7.2</v>
      </c>
      <c r="O203" s="15">
        <f t="shared" si="607"/>
        <v>9.1747572815533989</v>
      </c>
      <c r="P203" s="15">
        <f t="shared" si="607"/>
        <v>6.5667752442996736</v>
      </c>
      <c r="Q203" s="15">
        <f t="shared" si="607"/>
        <v>6.2686567164179108</v>
      </c>
      <c r="R203" s="15">
        <f t="shared" si="607"/>
        <v>7.7379733879222101</v>
      </c>
      <c r="S203" s="15">
        <f t="shared" si="607"/>
        <v>6.714031971580817</v>
      </c>
      <c r="T203" s="15">
        <f t="shared" si="607"/>
        <v>9.6797998180163773</v>
      </c>
      <c r="U203" s="15">
        <f t="shared" ref="U203" si="608">U201/U72</f>
        <v>15.822959889349931</v>
      </c>
      <c r="V203" s="101">
        <f t="shared" si="594"/>
        <v>0.10663997418371363</v>
      </c>
      <c r="W203" s="110"/>
      <c r="X203" s="102">
        <f t="shared" ref="X203:AG203" si="609">X201/X72</f>
        <v>14.943906562163823</v>
      </c>
      <c r="Y203" s="102">
        <f t="shared" si="609"/>
        <v>14.113689530932499</v>
      </c>
      <c r="Z203" s="102">
        <f t="shared" si="609"/>
        <v>13.329595668102916</v>
      </c>
      <c r="AA203" s="102">
        <f t="shared" si="609"/>
        <v>12.58906257543053</v>
      </c>
      <c r="AB203" s="102">
        <f t="shared" si="609"/>
        <v>11.889670210128832</v>
      </c>
      <c r="AC203" s="102">
        <f t="shared" si="609"/>
        <v>11.229132976232787</v>
      </c>
      <c r="AD203" s="102">
        <f t="shared" si="609"/>
        <v>10.605292255330966</v>
      </c>
      <c r="AE203" s="102">
        <f t="shared" si="609"/>
        <v>10.016109352257024</v>
      </c>
      <c r="AF203" s="102">
        <f t="shared" si="609"/>
        <v>9.4596588326871895</v>
      </c>
      <c r="AG203" s="102">
        <f t="shared" si="609"/>
        <v>8.9341222308712336</v>
      </c>
      <c r="AH203" s="116">
        <f t="shared" si="596"/>
        <v>-5.3736003748764416E-3</v>
      </c>
      <c r="AI203" s="21">
        <f t="shared" si="597"/>
        <v>0.05</v>
      </c>
      <c r="AJ203" s="109">
        <f t="shared" si="598"/>
        <v>88.861138283022328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10">G201/G70</f>
        <v>1.532</v>
      </c>
      <c r="H204" s="15">
        <f t="shared" ref="H204:I204" si="611">H201/H70</f>
        <v>6.1375155279503106</v>
      </c>
      <c r="I204" s="15">
        <f t="shared" si="611"/>
        <v>4.7253246753246758</v>
      </c>
      <c r="J204" s="15">
        <f t="shared" ref="J204:T204" si="612">J201/J70</f>
        <v>2.9432835820895522</v>
      </c>
      <c r="K204" s="15">
        <f t="shared" si="612"/>
        <v>2.7394230769230767</v>
      </c>
      <c r="L204" s="15">
        <f t="shared" si="612"/>
        <v>1.6578947368421053</v>
      </c>
      <c r="M204" s="15">
        <f t="shared" si="612"/>
        <v>2.4654370489174018</v>
      </c>
      <c r="N204" s="15">
        <f t="shared" si="612"/>
        <v>3.2466257668711656</v>
      </c>
      <c r="O204" s="15">
        <f t="shared" si="612"/>
        <v>3.2390745501285347</v>
      </c>
      <c r="P204" s="15">
        <f t="shared" si="612"/>
        <v>2.7692307692307692</v>
      </c>
      <c r="Q204" s="15">
        <f t="shared" si="612"/>
        <v>3.36</v>
      </c>
      <c r="R204" s="15">
        <f t="shared" si="612"/>
        <v>3.9170984455958546</v>
      </c>
      <c r="S204" s="15">
        <f t="shared" si="612"/>
        <v>2.52</v>
      </c>
      <c r="T204" s="15">
        <f t="shared" si="612"/>
        <v>3.748449612403101</v>
      </c>
      <c r="U204" s="15">
        <f t="shared" ref="U204" si="613">U201/U70</f>
        <v>6.0020986358866741</v>
      </c>
      <c r="V204" s="101">
        <f t="shared" si="594"/>
        <v>0.10245357884906703</v>
      </c>
      <c r="W204" s="110"/>
      <c r="X204" s="15">
        <f t="shared" ref="X204:AG204" si="614">X201/X70</f>
        <v>5.6686487116707474</v>
      </c>
      <c r="Y204" s="15">
        <f t="shared" si="614"/>
        <v>5.3537237832445941</v>
      </c>
      <c r="Z204" s="15">
        <f t="shared" si="614"/>
        <v>5.0562946841754508</v>
      </c>
      <c r="AA204" s="15">
        <f t="shared" si="614"/>
        <v>4.7753894239434809</v>
      </c>
      <c r="AB204" s="15">
        <f t="shared" si="614"/>
        <v>4.5100900115021769</v>
      </c>
      <c r="AC204" s="15">
        <f t="shared" si="614"/>
        <v>4.2595294553076108</v>
      </c>
      <c r="AD204" s="15">
        <f t="shared" si="614"/>
        <v>4.0228889300127442</v>
      </c>
      <c r="AE204" s="15">
        <f t="shared" si="614"/>
        <v>3.7993951005675917</v>
      </c>
      <c r="AF204" s="15">
        <f t="shared" si="614"/>
        <v>3.5883175949805026</v>
      </c>
      <c r="AG204" s="15">
        <f t="shared" si="614"/>
        <v>3.3889666174815853</v>
      </c>
      <c r="AH204" s="116">
        <f t="shared" ref="AH204:AH205" si="615">((AG204/J204)^(1/($AG$3-$K$1) ))-1</f>
        <v>6.1492302144865452E-3</v>
      </c>
      <c r="AI204" s="21">
        <f t="shared" si="597"/>
        <v>0.05</v>
      </c>
      <c r="AJ204" s="109">
        <f t="shared" ref="AJ204:AJ205" si="616">(AG204*(1+AH204))/($C$1-AI204)</f>
        <v>34.098061534016892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17">G201/G71</f>
        <v>2.5533333333333332</v>
      </c>
      <c r="H205" s="15">
        <f t="shared" ref="H205:I205" si="618">H201/H71</f>
        <v>11.905301204819276</v>
      </c>
      <c r="I205" s="15">
        <f t="shared" si="618"/>
        <v>8.9471311475409827</v>
      </c>
      <c r="J205" s="15">
        <f t="shared" ref="J205:T205" si="619">J201/J71</f>
        <v>6.0367346938775501</v>
      </c>
      <c r="K205" s="15">
        <f t="shared" si="619"/>
        <v>4.2103448275862076</v>
      </c>
      <c r="L205" s="15">
        <f t="shared" si="619"/>
        <v>3.7241379310344827</v>
      </c>
      <c r="M205" s="15">
        <f t="shared" si="619"/>
        <v>3.4008849557522125</v>
      </c>
      <c r="N205" s="15">
        <f t="shared" si="619"/>
        <v>5.7941605839416059</v>
      </c>
      <c r="O205" s="15">
        <f t="shared" si="619"/>
        <v>6.7985611510791371</v>
      </c>
      <c r="P205" s="15">
        <f t="shared" si="619"/>
        <v>4.6993006993006992</v>
      </c>
      <c r="Q205" s="15">
        <f t="shared" si="619"/>
        <v>5.1136363636363633</v>
      </c>
      <c r="R205" s="15">
        <f t="shared" si="619"/>
        <v>5.6842105263157894</v>
      </c>
      <c r="S205" s="15">
        <f t="shared" si="619"/>
        <v>2.9121725731895225</v>
      </c>
      <c r="T205" s="15">
        <f t="shared" si="619"/>
        <v>4.3868453608247417</v>
      </c>
      <c r="U205" s="15">
        <f t="shared" ref="U205" si="620">U201/U71</f>
        <v>9.029202841357538</v>
      </c>
      <c r="V205" s="101">
        <f t="shared" si="594"/>
        <v>9.4413808219631523E-2</v>
      </c>
      <c r="W205" s="110"/>
      <c r="X205" s="15">
        <f t="shared" ref="X205:AG205" si="621">X201/X71</f>
        <v>8.5275804612821187</v>
      </c>
      <c r="Y205" s="15">
        <f t="shared" si="621"/>
        <v>8.0538259912108874</v>
      </c>
      <c r="Z205" s="15">
        <f t="shared" si="621"/>
        <v>7.6063912139213956</v>
      </c>
      <c r="AA205" s="15">
        <f t="shared" si="621"/>
        <v>7.1838139242590957</v>
      </c>
      <c r="AB205" s="15">
        <f t="shared" si="621"/>
        <v>6.7847131506891447</v>
      </c>
      <c r="AC205" s="15">
        <f t="shared" si="621"/>
        <v>6.4077846423175258</v>
      </c>
      <c r="AD205" s="15">
        <f t="shared" si="621"/>
        <v>6.0517966066332187</v>
      </c>
      <c r="AE205" s="15">
        <f t="shared" si="621"/>
        <v>5.7155856840424857</v>
      </c>
      <c r="AF205" s="15">
        <f t="shared" si="621"/>
        <v>5.3980531460401249</v>
      </c>
      <c r="AG205" s="15">
        <f t="shared" si="621"/>
        <v>5.0981613045934511</v>
      </c>
      <c r="AH205" s="116">
        <f t="shared" si="615"/>
        <v>-7.32017629575199E-3</v>
      </c>
      <c r="AI205" s="21">
        <f t="shared" si="597"/>
        <v>0.05</v>
      </c>
      <c r="AJ205" s="109">
        <f t="shared" si="616"/>
        <v>50.608418650596462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22">G201/G75</f>
        <v>0.50584905660377366</v>
      </c>
      <c r="H206" s="15">
        <f t="shared" ref="H206:I206" si="623">H201/H75</f>
        <v>1.7676923076923077</v>
      </c>
      <c r="I206" s="15">
        <f t="shared" si="623"/>
        <v>1.8438344594594596</v>
      </c>
      <c r="J206" s="15">
        <f t="shared" ref="J206:T206" si="624">J201/J75</f>
        <v>1.3553264604810997</v>
      </c>
      <c r="K206" s="15">
        <f t="shared" si="624"/>
        <v>1.5194666666666667</v>
      </c>
      <c r="L206" s="15">
        <f t="shared" si="624"/>
        <v>0.58333333333333326</v>
      </c>
      <c r="M206" s="15">
        <f t="shared" si="624"/>
        <v>1.6062695924764891</v>
      </c>
      <c r="N206" s="15">
        <f t="shared" si="624"/>
        <v>1.3448538754764929</v>
      </c>
      <c r="O206" s="15">
        <f t="shared" si="624"/>
        <v>1.3587347232207043</v>
      </c>
      <c r="P206" s="15">
        <f t="shared" si="624"/>
        <v>1.2075471698113207</v>
      </c>
      <c r="Q206" s="15">
        <f t="shared" si="624"/>
        <v>1.3959672058497672</v>
      </c>
      <c r="R206" s="15">
        <f t="shared" si="624"/>
        <v>1.5156375300721732</v>
      </c>
      <c r="S206" s="15">
        <f t="shared" si="624"/>
        <v>1.2336814621409922</v>
      </c>
      <c r="T206" s="15">
        <f t="shared" si="624"/>
        <v>1.4695538057742781</v>
      </c>
      <c r="U206" s="15">
        <f t="shared" ref="U206" si="625">U201/U75</f>
        <v>1.177075830846795</v>
      </c>
      <c r="V206" s="101">
        <f t="shared" si="594"/>
        <v>6.2181715799243253E-2</v>
      </c>
      <c r="W206" s="110"/>
      <c r="X206" s="319">
        <f t="shared" ref="X206:AG206" si="626">X201/X75</f>
        <v>1.111682729133084</v>
      </c>
      <c r="Y206" s="102">
        <f t="shared" si="626"/>
        <v>1.0499225775145793</v>
      </c>
      <c r="Z206" s="102">
        <f t="shared" si="626"/>
        <v>0.99159354543043599</v>
      </c>
      <c r="AA206" s="102">
        <f t="shared" si="626"/>
        <v>0.93650501512874518</v>
      </c>
      <c r="AB206" s="102">
        <f t="shared" si="626"/>
        <v>0.88447695873270371</v>
      </c>
      <c r="AC206" s="102">
        <f t="shared" si="626"/>
        <v>0.8353393499142201</v>
      </c>
      <c r="AD206" s="102">
        <f t="shared" si="626"/>
        <v>0.78893160825231901</v>
      </c>
      <c r="AE206" s="102">
        <f t="shared" si="626"/>
        <v>0.74510207446052346</v>
      </c>
      <c r="AF206" s="102">
        <f t="shared" si="626"/>
        <v>0.7037075147682722</v>
      </c>
      <c r="AG206" s="102">
        <f t="shared" si="626"/>
        <v>0.66461265283670146</v>
      </c>
      <c r="AH206" s="116">
        <f t="shared" si="596"/>
        <v>-3.0507281408276299E-2</v>
      </c>
      <c r="AI206" s="21">
        <f t="shared" si="597"/>
        <v>0.05</v>
      </c>
      <c r="AJ206" s="109">
        <f t="shared" si="598"/>
        <v>6.4433712760911126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27">G201/G84</f>
        <v>1.5408045977011493</v>
      </c>
      <c r="H207" s="15">
        <f t="shared" ref="H207:I207" si="628">H201/H84</f>
        <v>7.9688709677419345</v>
      </c>
      <c r="I207" s="15">
        <f t="shared" si="628"/>
        <v>4.7171564390665512</v>
      </c>
      <c r="J207" s="15">
        <f t="shared" ref="J207:T207" si="629">J201/J84</f>
        <v>5.9757575757575756</v>
      </c>
      <c r="K207" s="15">
        <f t="shared" si="629"/>
        <v>5.8944827586206898</v>
      </c>
      <c r="L207" s="15">
        <f t="shared" si="629"/>
        <v>2.0655737704918034</v>
      </c>
      <c r="M207" s="15">
        <f t="shared" si="629"/>
        <v>8.6847457627118647</v>
      </c>
      <c r="N207" s="15">
        <f t="shared" si="629"/>
        <v>15.718811881188119</v>
      </c>
      <c r="O207" s="15">
        <f t="shared" si="629"/>
        <v>20</v>
      </c>
      <c r="P207" s="15">
        <f t="shared" si="629"/>
        <v>10.338461538461537</v>
      </c>
      <c r="Q207" s="15">
        <f t="shared" si="629"/>
        <v>8.7743732590529238</v>
      </c>
      <c r="R207" s="15">
        <f t="shared" si="629"/>
        <v>10.188679245283019</v>
      </c>
      <c r="S207" s="15">
        <f t="shared" si="629"/>
        <v>10.543933054393305</v>
      </c>
      <c r="T207" s="15">
        <f t="shared" si="629"/>
        <v>14.53292349726776</v>
      </c>
      <c r="U207" s="15">
        <f t="shared" ref="U207" si="630">U201/U84</f>
        <v>5.8938691396187535</v>
      </c>
      <c r="V207" s="101">
        <f t="shared" si="594"/>
        <v>0.10057100245935913</v>
      </c>
      <c r="W207" s="110"/>
      <c r="X207" s="102">
        <f t="shared" ref="X207:AG207" si="631">X201/X84</f>
        <v>5.5664319651954894</v>
      </c>
      <c r="Y207" s="102">
        <f t="shared" si="631"/>
        <v>5.2571857449068498</v>
      </c>
      <c r="Z207" s="102">
        <f t="shared" si="631"/>
        <v>4.9651198701898025</v>
      </c>
      <c r="AA207" s="102">
        <f t="shared" si="631"/>
        <v>4.6892798774014803</v>
      </c>
      <c r="AB207" s="102">
        <f t="shared" si="631"/>
        <v>4.4287643286569534</v>
      </c>
      <c r="AC207" s="102">
        <f t="shared" si="631"/>
        <v>4.1827218659537895</v>
      </c>
      <c r="AD207" s="102">
        <f t="shared" si="631"/>
        <v>3.9503484289563566</v>
      </c>
      <c r="AE207" s="102">
        <f t="shared" si="631"/>
        <v>3.7308846273476703</v>
      </c>
      <c r="AF207" s="102">
        <f t="shared" si="631"/>
        <v>3.5236132591616887</v>
      </c>
      <c r="AG207" s="102">
        <f t="shared" si="631"/>
        <v>3.3278569669860389</v>
      </c>
      <c r="AH207" s="116">
        <f t="shared" si="596"/>
        <v>-2.5130249336483557E-2</v>
      </c>
      <c r="AI207" s="21">
        <f t="shared" si="597"/>
        <v>0.05</v>
      </c>
      <c r="AJ207" s="109">
        <f t="shared" si="598"/>
        <v>32.442270916495261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632">G201/G86</f>
        <v>1.2586854460093897</v>
      </c>
      <c r="H208" s="15">
        <f t="shared" ref="H208:I208" si="633">H201/H86</f>
        <v>4.1172500000000003</v>
      </c>
      <c r="I208" s="15">
        <f t="shared" si="633"/>
        <v>2.3474193548387094</v>
      </c>
      <c r="J208" s="15">
        <f t="shared" ref="J208:T208" si="634">J201/J86</f>
        <v>3.1136842105263156</v>
      </c>
      <c r="K208" s="15">
        <f t="shared" si="634"/>
        <v>3.4051792828685259</v>
      </c>
      <c r="L208" s="15">
        <f t="shared" si="634"/>
        <v>1.4318181818181819</v>
      </c>
      <c r="M208" s="15">
        <f t="shared" si="634"/>
        <v>5.3654450261780111</v>
      </c>
      <c r="N208" s="15">
        <f t="shared" si="634"/>
        <v>3.692093023255814</v>
      </c>
      <c r="O208" s="15">
        <f t="shared" si="634"/>
        <v>4.295454545454545</v>
      </c>
      <c r="P208" s="15">
        <f t="shared" si="634"/>
        <v>4.0522613065326629</v>
      </c>
      <c r="Q208" s="15">
        <f t="shared" si="634"/>
        <v>7.3341094295692661</v>
      </c>
      <c r="R208" s="15">
        <f t="shared" si="634"/>
        <v>6.9230769230769225</v>
      </c>
      <c r="S208" s="15">
        <f t="shared" si="634"/>
        <v>4.6266829865361068</v>
      </c>
      <c r="T208" s="15">
        <f t="shared" si="634"/>
        <v>20.03408662900188</v>
      </c>
      <c r="U208" s="15">
        <f t="shared" ref="U208" si="635">U201/U86</f>
        <v>66.511627906976756</v>
      </c>
      <c r="V208" s="101">
        <f t="shared" si="594"/>
        <v>0.3276085058178535</v>
      </c>
      <c r="W208" s="110"/>
      <c r="X208" s="102">
        <f t="shared" ref="X208:AG208" si="636">X201/X86</f>
        <v>62.816537467700257</v>
      </c>
      <c r="Y208" s="102">
        <f t="shared" si="636"/>
        <v>59.326729830605792</v>
      </c>
      <c r="Z208" s="102">
        <f t="shared" si="636"/>
        <v>56.030800395572136</v>
      </c>
      <c r="AA208" s="102">
        <f t="shared" si="636"/>
        <v>52.917978151373681</v>
      </c>
      <c r="AB208" s="102">
        <f t="shared" si="636"/>
        <v>49.978090476297361</v>
      </c>
      <c r="AC208" s="102">
        <f t="shared" si="636"/>
        <v>47.201529894280846</v>
      </c>
      <c r="AD208" s="102">
        <f t="shared" si="636"/>
        <v>44.579222677931917</v>
      </c>
      <c r="AE208" s="102">
        <f t="shared" si="636"/>
        <v>42.102599195824588</v>
      </c>
      <c r="AF208" s="102">
        <f t="shared" si="636"/>
        <v>39.76356590716766</v>
      </c>
      <c r="AG208" s="102">
        <f t="shared" si="636"/>
        <v>37.55447891232501</v>
      </c>
      <c r="AH208" s="116">
        <f t="shared" si="596"/>
        <v>0.11433772572122569</v>
      </c>
      <c r="AI208" s="21">
        <f t="shared" si="597"/>
        <v>0.05</v>
      </c>
      <c r="AJ208" s="109">
        <f t="shared" si="598"/>
        <v>418.48372621805981</v>
      </c>
    </row>
    <row r="209" spans="2:36">
      <c r="B209" s="10" t="s">
        <v>232</v>
      </c>
      <c r="C209" s="15"/>
      <c r="D209" s="15"/>
      <c r="E209" s="15"/>
      <c r="F209" s="15"/>
      <c r="G209" s="158">
        <f t="shared" ref="G209" si="637">G201/G80</f>
        <v>1.2186363636363635</v>
      </c>
      <c r="H209" s="158">
        <f t="shared" ref="H209:I209" si="638">H201/H80</f>
        <v>6.587600000000001</v>
      </c>
      <c r="I209" s="158">
        <f t="shared" si="638"/>
        <v>24.256666666666664</v>
      </c>
      <c r="J209" s="158">
        <f t="shared" ref="J209:T209" si="639">J201/J80</f>
        <v>4.210676156583629</v>
      </c>
      <c r="K209" s="158">
        <f t="shared" si="639"/>
        <v>2.0229585798816569</v>
      </c>
      <c r="L209" s="158">
        <f t="shared" si="639"/>
        <v>1.08</v>
      </c>
      <c r="M209" s="158">
        <f t="shared" si="639"/>
        <v>4.2998601398601402</v>
      </c>
      <c r="N209" s="158">
        <f t="shared" si="639"/>
        <v>3.9789473684210526</v>
      </c>
      <c r="O209" s="158">
        <f t="shared" si="639"/>
        <v>3.4615384615384612</v>
      </c>
      <c r="P209" s="158">
        <f t="shared" si="639"/>
        <v>1.8162162162162161</v>
      </c>
      <c r="Q209" s="158">
        <f t="shared" si="639"/>
        <v>1.3803680981595092</v>
      </c>
      <c r="R209" s="158">
        <f t="shared" si="639"/>
        <v>1.3705583756345179</v>
      </c>
      <c r="S209" s="158">
        <f t="shared" si="639"/>
        <v>1.3300492610837438</v>
      </c>
      <c r="T209" s="158">
        <f t="shared" si="639"/>
        <v>2.7761221294363252</v>
      </c>
      <c r="U209" s="158">
        <f t="shared" ref="U209" si="640">U201/U80</f>
        <v>2.3863162286191071</v>
      </c>
      <c r="V209" s="101">
        <f t="shared" si="594"/>
        <v>4.9172030567018687E-2</v>
      </c>
      <c r="W209" s="110"/>
      <c r="X209" s="113">
        <f t="shared" ref="X209:AG209" si="641">X201/X80</f>
        <v>2.2537431048069343</v>
      </c>
      <c r="Y209" s="113">
        <f t="shared" si="641"/>
        <v>2.1285351545398821</v>
      </c>
      <c r="Z209" s="113">
        <f t="shared" si="641"/>
        <v>2.0102832015098895</v>
      </c>
      <c r="AA209" s="113">
        <f t="shared" si="641"/>
        <v>1.8986008014260061</v>
      </c>
      <c r="AB209" s="113">
        <f t="shared" si="641"/>
        <v>1.793122979124562</v>
      </c>
      <c r="AC209" s="113">
        <f t="shared" si="641"/>
        <v>1.693505035839864</v>
      </c>
      <c r="AD209" s="113">
        <f t="shared" si="641"/>
        <v>1.5994214227376495</v>
      </c>
      <c r="AE209" s="113">
        <f t="shared" si="641"/>
        <v>1.5105646770300019</v>
      </c>
      <c r="AF209" s="113">
        <f t="shared" si="641"/>
        <v>1.4266444171950028</v>
      </c>
      <c r="AG209" s="113">
        <f t="shared" si="641"/>
        <v>1.3473863940175017</v>
      </c>
      <c r="AH209" s="116">
        <f t="shared" ref="AH209" si="642">((AG209/J209)^(1/($AG$3-$K$1) ))-1</f>
        <v>-4.8334420824544644E-2</v>
      </c>
      <c r="AI209" s="21">
        <f t="shared" ref="AI209:AI212" si="643">$O$1</f>
        <v>0.05</v>
      </c>
      <c r="AJ209" s="109">
        <f t="shared" si="598"/>
        <v>12.82261253035794</v>
      </c>
    </row>
    <row r="210" spans="2:36">
      <c r="B210" s="10"/>
      <c r="C210" s="15"/>
      <c r="D210" s="15"/>
      <c r="E210" s="15"/>
      <c r="F210" s="15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43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>
        <f t="shared" ref="G211" si="644">G59/G201</f>
        <v>6.4285714285714279E-2</v>
      </c>
      <c r="H211" s="129">
        <f t="shared" ref="H211:I211" si="645">H59/H201</f>
        <v>1.7441860465116279E-2</v>
      </c>
      <c r="I211" s="129">
        <f t="shared" si="645"/>
        <v>1.5789473684210527E-2</v>
      </c>
      <c r="J211" s="129">
        <f t="shared" ref="J211:T211" si="646">J59/J201</f>
        <v>1.7647058823529412E-2</v>
      </c>
      <c r="K211" s="129">
        <f t="shared" si="646"/>
        <v>1.4285714285714285E-2</v>
      </c>
      <c r="L211" s="129">
        <f t="shared" si="646"/>
        <v>3.0000000000000002E-2</v>
      </c>
      <c r="M211" s="129">
        <f t="shared" si="646"/>
        <v>1.2295081967213115E-2</v>
      </c>
      <c r="N211" s="129">
        <f t="shared" si="646"/>
        <v>7.9365079365079361E-3</v>
      </c>
      <c r="O211" s="129">
        <f t="shared" si="646"/>
        <v>6.6666666666666671E-3</v>
      </c>
      <c r="P211" s="129">
        <f t="shared" si="646"/>
        <v>6.2500000000000003E-3</v>
      </c>
      <c r="Q211" s="129">
        <f t="shared" si="646"/>
        <v>6.0000000000000001E-3</v>
      </c>
      <c r="R211" s="129">
        <f t="shared" si="646"/>
        <v>1.3333333333333334E-2</v>
      </c>
      <c r="S211" s="129">
        <f t="shared" si="646"/>
        <v>1.3333333333333334E-2</v>
      </c>
      <c r="T211" s="129">
        <f t="shared" si="646"/>
        <v>1.4354066985645933E-2</v>
      </c>
      <c r="U211" s="129">
        <f t="shared" ref="U211" si="647">U59/U201</f>
        <v>1.4999999999999999E-2</v>
      </c>
      <c r="V211" s="101">
        <f t="shared" si="594"/>
        <v>-9.8728818267497132E-2</v>
      </c>
      <c r="W211" s="110"/>
      <c r="X211" s="129">
        <f t="shared" ref="X211:AG211" si="648">X59/X201</f>
        <v>1.5300000000000001E-2</v>
      </c>
      <c r="Y211" s="129">
        <f t="shared" si="648"/>
        <v>1.5606E-2</v>
      </c>
      <c r="Z211" s="129">
        <f t="shared" si="648"/>
        <v>1.5918120000000001E-2</v>
      </c>
      <c r="AA211" s="129">
        <f t="shared" si="648"/>
        <v>1.6236482400000002E-2</v>
      </c>
      <c r="AB211" s="129">
        <f t="shared" si="648"/>
        <v>1.6561212047999999E-2</v>
      </c>
      <c r="AC211" s="129">
        <f t="shared" si="648"/>
        <v>1.6892436288959999E-2</v>
      </c>
      <c r="AD211" s="129">
        <f t="shared" si="648"/>
        <v>1.7230285014739201E-2</v>
      </c>
      <c r="AE211" s="129">
        <f t="shared" si="648"/>
        <v>1.7574890715033983E-2</v>
      </c>
      <c r="AF211" s="129">
        <f t="shared" si="648"/>
        <v>1.7926388529334664E-2</v>
      </c>
      <c r="AG211" s="129">
        <f t="shared" si="648"/>
        <v>1.828491629992136E-2</v>
      </c>
      <c r="AH211" s="116">
        <f t="shared" ref="AH211:AH216" si="649">((AG211/J211)^(1/($AG$3-$K$1) ))-1</f>
        <v>1.5449898108008675E-3</v>
      </c>
      <c r="AI211" s="21">
        <f t="shared" si="643"/>
        <v>0.05</v>
      </c>
      <c r="AJ211" s="109">
        <f t="shared" si="598"/>
        <v>0.18313166309296086</v>
      </c>
    </row>
    <row r="212" spans="2:36">
      <c r="B212" s="10" t="s">
        <v>132</v>
      </c>
      <c r="C212" s="129"/>
      <c r="D212" s="129"/>
      <c r="E212" s="129"/>
      <c r="F212" s="129"/>
      <c r="G212" s="141">
        <f t="shared" ref="G212" si="650">G201*G57</f>
        <v>268.10000000000002</v>
      </c>
      <c r="H212" s="141">
        <f t="shared" ref="H212:I212" si="651">H201*H57</f>
        <v>988.14</v>
      </c>
      <c r="I212" s="141">
        <f t="shared" si="651"/>
        <v>1091.55</v>
      </c>
      <c r="J212" s="141">
        <f t="shared" ref="J212:T212" si="652">J201*J57</f>
        <v>1183.1999999999998</v>
      </c>
      <c r="K212" s="141">
        <f t="shared" si="652"/>
        <v>1709.4</v>
      </c>
      <c r="L212" s="141">
        <f t="shared" si="652"/>
        <v>756</v>
      </c>
      <c r="M212" s="141">
        <f t="shared" si="652"/>
        <v>3074.4</v>
      </c>
      <c r="N212" s="141">
        <f t="shared" si="652"/>
        <v>3175.2</v>
      </c>
      <c r="O212" s="141">
        <f t="shared" si="652"/>
        <v>3780</v>
      </c>
      <c r="P212" s="141">
        <f t="shared" si="652"/>
        <v>4032</v>
      </c>
      <c r="Q212" s="141">
        <f t="shared" si="652"/>
        <v>6300</v>
      </c>
      <c r="R212" s="141">
        <f t="shared" si="652"/>
        <v>7560</v>
      </c>
      <c r="S212" s="141">
        <f t="shared" si="652"/>
        <v>7560</v>
      </c>
      <c r="T212" s="141">
        <f t="shared" si="652"/>
        <v>10638.1</v>
      </c>
      <c r="U212" s="141">
        <f t="shared" ref="U212" si="653">U201*U57</f>
        <v>11440</v>
      </c>
      <c r="V212" s="101">
        <f t="shared" si="594"/>
        <v>0.30748826825622722</v>
      </c>
      <c r="W212" s="110"/>
      <c r="X212" s="141">
        <f t="shared" ref="X212:AG212" si="654">X201*X57</f>
        <v>11668.800000000001</v>
      </c>
      <c r="Y212" s="141">
        <f t="shared" si="654"/>
        <v>11902.175999999999</v>
      </c>
      <c r="Z212" s="141">
        <f t="shared" si="654"/>
        <v>12140.219520000001</v>
      </c>
      <c r="AA212" s="141">
        <f t="shared" si="654"/>
        <v>12383.023910400001</v>
      </c>
      <c r="AB212" s="141">
        <f t="shared" si="654"/>
        <v>12630.684388608002</v>
      </c>
      <c r="AC212" s="141">
        <f t="shared" si="654"/>
        <v>12883.298076380162</v>
      </c>
      <c r="AD212" s="141">
        <f t="shared" si="654"/>
        <v>13140.964037907766</v>
      </c>
      <c r="AE212" s="141">
        <f t="shared" si="654"/>
        <v>13403.783318665925</v>
      </c>
      <c r="AF212" s="141">
        <f t="shared" si="654"/>
        <v>13671.858985039242</v>
      </c>
      <c r="AG212" s="141">
        <f t="shared" si="654"/>
        <v>13945.296164740026</v>
      </c>
      <c r="AH212" s="116">
        <f t="shared" si="649"/>
        <v>0.11322073287022216</v>
      </c>
      <c r="AI212" s="21">
        <f t="shared" si="643"/>
        <v>0.05</v>
      </c>
      <c r="AJ212" s="109">
        <f t="shared" si="598"/>
        <v>155241.92816604191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58"/>
      <c r="V213" s="158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7"/>
      <c r="D214" s="137"/>
      <c r="E214" s="137"/>
      <c r="F214" s="137"/>
      <c r="G214" s="137">
        <f t="shared" ref="G214" si="655">G72/G201</f>
        <v>0.2610966057441253</v>
      </c>
      <c r="H214" s="137">
        <f t="shared" ref="H214:I214" si="656">H72/H201</f>
        <v>6.375614791426315E-2</v>
      </c>
      <c r="I214" s="137">
        <f t="shared" si="656"/>
        <v>8.3367688149878619E-2</v>
      </c>
      <c r="J214" s="137">
        <f t="shared" ref="J214:T214" si="657">J72/J201</f>
        <v>9.8884381338742403E-2</v>
      </c>
      <c r="K214" s="137">
        <f t="shared" si="657"/>
        <v>0.15795015795015793</v>
      </c>
      <c r="L214" s="137">
        <f t="shared" si="657"/>
        <v>0.18386243386243387</v>
      </c>
      <c r="M214" s="137">
        <f t="shared" si="657"/>
        <v>0.21239916731720013</v>
      </c>
      <c r="N214" s="137">
        <f t="shared" si="657"/>
        <v>0.1388888888888889</v>
      </c>
      <c r="O214" s="137">
        <f t="shared" si="657"/>
        <v>0.10899470899470899</v>
      </c>
      <c r="P214" s="137">
        <f t="shared" si="657"/>
        <v>0.15228174603174605</v>
      </c>
      <c r="Q214" s="137">
        <f t="shared" si="657"/>
        <v>0.15952380952380951</v>
      </c>
      <c r="R214" s="137">
        <f t="shared" si="657"/>
        <v>0.12923280423280425</v>
      </c>
      <c r="S214" s="137">
        <f t="shared" si="657"/>
        <v>0.14894179894179896</v>
      </c>
      <c r="T214" s="137">
        <f t="shared" si="657"/>
        <v>0.10330792152734042</v>
      </c>
      <c r="U214" s="137">
        <f t="shared" ref="U214" si="658">U72/U201</f>
        <v>6.3199300699300701E-2</v>
      </c>
      <c r="V214" s="101">
        <f t="shared" si="594"/>
        <v>-9.6363746721126686E-2</v>
      </c>
      <c r="W214" s="110"/>
      <c r="X214" s="137">
        <f t="shared" ref="X214:AG214" si="659">X72/X201</f>
        <v>6.6916906622788985E-2</v>
      </c>
      <c r="Y214" s="137">
        <f t="shared" si="659"/>
        <v>7.0853195247658929E-2</v>
      </c>
      <c r="Z214" s="137">
        <f t="shared" si="659"/>
        <v>7.502103026222709E-2</v>
      </c>
      <c r="AA214" s="137">
        <f t="shared" si="659"/>
        <v>7.9434032042358105E-2</v>
      </c>
      <c r="AB214" s="137">
        <f t="shared" si="659"/>
        <v>8.4106622162496827E-2</v>
      </c>
      <c r="AC214" s="137">
        <f t="shared" si="659"/>
        <v>8.9054070524996642E-2</v>
      </c>
      <c r="AD214" s="137">
        <f t="shared" si="659"/>
        <v>9.4292545261761146E-2</v>
      </c>
      <c r="AE214" s="137">
        <f t="shared" si="659"/>
        <v>9.9839165571276492E-2</v>
      </c>
      <c r="AF214" s="137">
        <f t="shared" si="659"/>
        <v>0.10571205766370452</v>
      </c>
      <c r="AG214" s="137">
        <f t="shared" si="659"/>
        <v>0.11193041399686363</v>
      </c>
      <c r="AH214" s="116">
        <f t="shared" ref="AH214" si="660">((AG214/J214)^(1/($AG$3-$K$1) ))-1</f>
        <v>5.4026319600020134E-3</v>
      </c>
      <c r="AI214" s="21">
        <f t="shared" ref="AI214" si="661">$O$1</f>
        <v>0.05</v>
      </c>
      <c r="AJ214" s="109">
        <f t="shared" ref="AJ214" si="662">(AG214*(1+AH214))/($C$1-AI214)</f>
        <v>1.1253513282881935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7">
        <f t="shared" ref="G215" si="663">G203</f>
        <v>3.8300000000000005</v>
      </c>
      <c r="H215" s="157">
        <f t="shared" ref="H215:I215" si="664">H203</f>
        <v>15.684761904761906</v>
      </c>
      <c r="I215" s="157">
        <f t="shared" si="664"/>
        <v>11.995054945054944</v>
      </c>
      <c r="J215" s="157">
        <f t="shared" ref="J215:T215" si="665">J203</f>
        <v>10.112820512820512</v>
      </c>
      <c r="K215" s="157">
        <f t="shared" si="665"/>
        <v>6.3311111111111114</v>
      </c>
      <c r="L215" s="157">
        <f t="shared" si="665"/>
        <v>5.4388489208633093</v>
      </c>
      <c r="M215" s="157">
        <f t="shared" si="665"/>
        <v>4.708116385911179</v>
      </c>
      <c r="N215" s="157">
        <f t="shared" si="665"/>
        <v>7.2</v>
      </c>
      <c r="O215" s="157">
        <f t="shared" si="665"/>
        <v>9.1747572815533989</v>
      </c>
      <c r="P215" s="157">
        <f t="shared" si="665"/>
        <v>6.5667752442996736</v>
      </c>
      <c r="Q215" s="157">
        <f t="shared" si="665"/>
        <v>6.2686567164179108</v>
      </c>
      <c r="R215" s="157">
        <f t="shared" si="665"/>
        <v>7.7379733879222101</v>
      </c>
      <c r="S215" s="157">
        <f t="shared" si="665"/>
        <v>6.714031971580817</v>
      </c>
      <c r="T215" s="157">
        <f t="shared" si="665"/>
        <v>9.6797998180163773</v>
      </c>
      <c r="U215" s="157">
        <f t="shared" ref="U215" si="666">U203</f>
        <v>15.822959889349931</v>
      </c>
      <c r="V215" s="101">
        <f t="shared" si="594"/>
        <v>0.10663997418371363</v>
      </c>
      <c r="W215" s="110"/>
      <c r="X215" s="129">
        <f t="shared" ref="X215:AG215" si="667">X203</f>
        <v>14.943906562163823</v>
      </c>
      <c r="Y215" s="129">
        <f t="shared" si="667"/>
        <v>14.113689530932499</v>
      </c>
      <c r="Z215" s="129">
        <f t="shared" si="667"/>
        <v>13.329595668102916</v>
      </c>
      <c r="AA215" s="129">
        <f t="shared" si="667"/>
        <v>12.58906257543053</v>
      </c>
      <c r="AB215" s="129">
        <f t="shared" si="667"/>
        <v>11.889670210128832</v>
      </c>
      <c r="AC215" s="129">
        <f t="shared" si="667"/>
        <v>11.229132976232787</v>
      </c>
      <c r="AD215" s="129">
        <f t="shared" si="667"/>
        <v>10.605292255330966</v>
      </c>
      <c r="AE215" s="129">
        <f t="shared" si="667"/>
        <v>10.016109352257024</v>
      </c>
      <c r="AF215" s="129">
        <f t="shared" si="667"/>
        <v>9.4596588326871895</v>
      </c>
      <c r="AG215" s="129">
        <f t="shared" si="667"/>
        <v>8.9341222308712336</v>
      </c>
      <c r="AH215" s="116">
        <f t="shared" ref="AH215" si="668">((AG215/J215)^(1/($AG$3-$K$1) ))-1</f>
        <v>-5.3736003748764416E-3</v>
      </c>
      <c r="AI215" s="21">
        <f t="shared" ref="AI215:AI217" si="669">$O$1</f>
        <v>0.05</v>
      </c>
      <c r="AJ215" s="157">
        <f>(AJ202)/($O$2*100)</f>
        <v>0.53550699057181683</v>
      </c>
    </row>
    <row r="216" spans="2:36">
      <c r="B216" s="10" t="s">
        <v>437</v>
      </c>
      <c r="C216" s="157"/>
      <c r="D216" s="157"/>
      <c r="E216" s="157"/>
      <c r="F216" s="157"/>
      <c r="G216" s="157">
        <f t="shared" ref="G216" si="670">(G203)/($O$2*100)</f>
        <v>0.47875000000000006</v>
      </c>
      <c r="H216" s="157">
        <f t="shared" ref="H216:I216" si="671">(H203)/($O$2*100)</f>
        <v>1.9605952380952383</v>
      </c>
      <c r="I216" s="157">
        <f t="shared" si="671"/>
        <v>1.499381868131868</v>
      </c>
      <c r="J216" s="157">
        <f t="shared" ref="J216:T216" si="672">(J203)/($O$2*100)</f>
        <v>1.2641025641025641</v>
      </c>
      <c r="K216" s="157">
        <f t="shared" si="672"/>
        <v>0.79138888888888892</v>
      </c>
      <c r="L216" s="157">
        <f t="shared" si="672"/>
        <v>0.67985611510791366</v>
      </c>
      <c r="M216" s="157">
        <f t="shared" si="672"/>
        <v>0.58851454823889737</v>
      </c>
      <c r="N216" s="157">
        <f t="shared" si="672"/>
        <v>0.9</v>
      </c>
      <c r="O216" s="157">
        <f t="shared" si="672"/>
        <v>1.1468446601941749</v>
      </c>
      <c r="P216" s="157">
        <f t="shared" si="672"/>
        <v>0.8208469055374592</v>
      </c>
      <c r="Q216" s="157">
        <f t="shared" si="672"/>
        <v>0.78358208955223885</v>
      </c>
      <c r="R216" s="157">
        <f t="shared" si="672"/>
        <v>0.96724667349027627</v>
      </c>
      <c r="S216" s="157">
        <f t="shared" si="672"/>
        <v>0.83925399644760212</v>
      </c>
      <c r="T216" s="157">
        <f t="shared" si="672"/>
        <v>1.2099749772520472</v>
      </c>
      <c r="U216" s="157">
        <f t="shared" ref="U216" si="673">(U203)/($O$2*100)</f>
        <v>1.9778699861687414</v>
      </c>
      <c r="V216" s="101">
        <f t="shared" si="594"/>
        <v>0.10663997418371363</v>
      </c>
      <c r="W216" s="110"/>
      <c r="X216" s="157">
        <f t="shared" ref="X216:AG216" si="674">(X203)/($O$2*100)</f>
        <v>1.8679883202704779</v>
      </c>
      <c r="Y216" s="157">
        <f t="shared" si="674"/>
        <v>1.7642111913665623</v>
      </c>
      <c r="Z216" s="157">
        <f t="shared" si="674"/>
        <v>1.6661994585128646</v>
      </c>
      <c r="AA216" s="157">
        <f t="shared" si="674"/>
        <v>1.5736328219288163</v>
      </c>
      <c r="AB216" s="157">
        <f t="shared" si="674"/>
        <v>1.486208776266104</v>
      </c>
      <c r="AC216" s="157">
        <f t="shared" si="674"/>
        <v>1.4036416220290984</v>
      </c>
      <c r="AD216" s="157">
        <f t="shared" si="674"/>
        <v>1.3256615319163707</v>
      </c>
      <c r="AE216" s="157">
        <f t="shared" si="674"/>
        <v>1.252013669032128</v>
      </c>
      <c r="AF216" s="157">
        <f t="shared" si="674"/>
        <v>1.1824573540858987</v>
      </c>
      <c r="AG216" s="157">
        <f t="shared" si="674"/>
        <v>1.1167652788589042</v>
      </c>
      <c r="AH216" s="116">
        <f t="shared" si="649"/>
        <v>-5.3736003748764416E-3</v>
      </c>
      <c r="AI216" s="21">
        <f t="shared" si="669"/>
        <v>0.05</v>
      </c>
      <c r="AJ216" s="157">
        <f>(AJ203)/($O$2*100)</f>
        <v>11.107642285377791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675">G216-1</f>
        <v>-0.52124999999999999</v>
      </c>
      <c r="H217" s="129">
        <f t="shared" ref="H217:I217" si="676">H216-1</f>
        <v>0.96059523809523828</v>
      </c>
      <c r="I217" s="129">
        <f t="shared" si="676"/>
        <v>0.49938186813186802</v>
      </c>
      <c r="J217" s="129">
        <f t="shared" ref="J217:S217" si="677">J216-1</f>
        <v>0.26410256410256405</v>
      </c>
      <c r="K217" s="129">
        <f t="shared" si="677"/>
        <v>-0.20861111111111108</v>
      </c>
      <c r="L217" s="129">
        <f t="shared" si="677"/>
        <v>-0.32014388489208634</v>
      </c>
      <c r="M217" s="129">
        <f t="shared" si="677"/>
        <v>-0.41148545176110263</v>
      </c>
      <c r="N217" s="129">
        <f t="shared" si="677"/>
        <v>-9.9999999999999978E-2</v>
      </c>
      <c r="O217" s="129">
        <f t="shared" si="677"/>
        <v>0.14684466019417486</v>
      </c>
      <c r="P217" s="129">
        <f t="shared" si="677"/>
        <v>-0.1791530944625408</v>
      </c>
      <c r="Q217" s="129">
        <f t="shared" si="677"/>
        <v>-0.21641791044776115</v>
      </c>
      <c r="R217" s="129">
        <f t="shared" si="677"/>
        <v>-3.2753326509723735E-2</v>
      </c>
      <c r="S217" s="129">
        <f t="shared" si="677"/>
        <v>-0.16074600355239788</v>
      </c>
      <c r="T217" s="129">
        <f>T216-1</f>
        <v>0.20997497725204717</v>
      </c>
      <c r="U217" s="129">
        <f>U216-1</f>
        <v>0.97786998616874143</v>
      </c>
      <c r="V217" s="101" t="e">
        <f t="shared" si="594"/>
        <v>#NUM!</v>
      </c>
      <c r="W217" s="110"/>
      <c r="X217" s="129">
        <f t="shared" ref="X217:AG217" si="678">X216-1</f>
        <v>0.8679883202704779</v>
      </c>
      <c r="Y217" s="129">
        <f t="shared" si="678"/>
        <v>0.76421119136656235</v>
      </c>
      <c r="Z217" s="129">
        <f t="shared" si="678"/>
        <v>0.66619945851286455</v>
      </c>
      <c r="AA217" s="129">
        <f t="shared" si="678"/>
        <v>0.57363282192881626</v>
      </c>
      <c r="AB217" s="129">
        <f t="shared" si="678"/>
        <v>0.48620877626610404</v>
      </c>
      <c r="AC217" s="129">
        <f t="shared" si="678"/>
        <v>0.40364162202909837</v>
      </c>
      <c r="AD217" s="129">
        <f t="shared" si="678"/>
        <v>0.32566153191637071</v>
      </c>
      <c r="AE217" s="129">
        <f t="shared" si="678"/>
        <v>0.25201366903212796</v>
      </c>
      <c r="AF217" s="129">
        <f t="shared" si="678"/>
        <v>0.18245735408589869</v>
      </c>
      <c r="AG217" s="129">
        <f t="shared" si="678"/>
        <v>0.1167652788589042</v>
      </c>
      <c r="AH217" s="116">
        <f t="shared" ref="AH217" si="679">((AG217/J217)^(1/($AG$3-$K$1) ))-1</f>
        <v>-3.4863492612099978E-2</v>
      </c>
      <c r="AI217" s="21">
        <f t="shared" si="669"/>
        <v>0.05</v>
      </c>
      <c r="AJ217" s="157">
        <f>(AJ204)/($O$2*100)</f>
        <v>4.2622576917521116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58"/>
      <c r="V218" s="158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>
        <f t="shared" ref="G219:S219" si="680">1/G220</f>
        <v>0.12624875124875123</v>
      </c>
      <c r="H219" s="129">
        <f t="shared" si="680"/>
        <v>3.4253537160513901E-2</v>
      </c>
      <c r="I219" s="129">
        <f t="shared" si="680"/>
        <v>3.1008465218991536E-2</v>
      </c>
      <c r="J219" s="129">
        <f t="shared" si="680"/>
        <v>3.4656519950637593E-2</v>
      </c>
      <c r="K219" s="129">
        <f t="shared" si="680"/>
        <v>0.25249750249750247</v>
      </c>
      <c r="L219" s="129">
        <f t="shared" si="680"/>
        <v>0.58916083916083906</v>
      </c>
      <c r="M219" s="129">
        <f t="shared" si="680"/>
        <v>0.14487561618709158</v>
      </c>
      <c r="N219" s="129">
        <f t="shared" si="680"/>
        <v>0.14027639027639027</v>
      </c>
      <c r="O219" s="129">
        <f t="shared" si="680"/>
        <v>0.11783216783216781</v>
      </c>
      <c r="P219" s="129">
        <f t="shared" si="680"/>
        <v>0.11046765734265733</v>
      </c>
      <c r="Q219" s="129">
        <f t="shared" si="680"/>
        <v>7.0699300699300693E-2</v>
      </c>
      <c r="R219" s="129">
        <f t="shared" si="680"/>
        <v>5.8916083916083904E-2</v>
      </c>
      <c r="S219" s="129">
        <f t="shared" si="680"/>
        <v>5.8916083916083904E-2</v>
      </c>
      <c r="T219" s="129">
        <f>1/T220</f>
        <v>4.2284270753170275E-2</v>
      </c>
      <c r="U219" s="129">
        <f>1/U220</f>
        <v>4.4187062937062933E-2</v>
      </c>
      <c r="V219" s="101">
        <f t="shared" si="594"/>
        <v>-7.2244726251013303E-2</v>
      </c>
      <c r="W219" s="110"/>
      <c r="X219" s="129">
        <f t="shared" ref="X219:AG219" si="681">1/X220</f>
        <v>4.4187062937062933E-2</v>
      </c>
      <c r="Y219" s="129">
        <f t="shared" si="681"/>
        <v>4.4187062937062933E-2</v>
      </c>
      <c r="Z219" s="129">
        <f t="shared" si="681"/>
        <v>4.4187062937062933E-2</v>
      </c>
      <c r="AA219" s="129">
        <f t="shared" si="681"/>
        <v>4.4187062937062933E-2</v>
      </c>
      <c r="AB219" s="129">
        <f t="shared" si="681"/>
        <v>4.4187062937062933E-2</v>
      </c>
      <c r="AC219" s="129">
        <f t="shared" si="681"/>
        <v>4.4187062937062933E-2</v>
      </c>
      <c r="AD219" s="129">
        <f t="shared" si="681"/>
        <v>4.4187062937062933E-2</v>
      </c>
      <c r="AE219" s="129">
        <f t="shared" si="681"/>
        <v>4.4187062937062933E-2</v>
      </c>
      <c r="AF219" s="129">
        <f t="shared" si="681"/>
        <v>4.4187062937062933E-2</v>
      </c>
      <c r="AG219" s="129">
        <f t="shared" si="681"/>
        <v>4.4187062937062933E-2</v>
      </c>
      <c r="AH219" s="116">
        <f t="shared" ref="AH219" si="682">((AG219/J219)^(1/($AG$3-$K$1) ))-1</f>
        <v>1.0618861463850049E-2</v>
      </c>
      <c r="AI219" s="21">
        <f t="shared" ref="AI219:AI222" si="683">$O$1</f>
        <v>0.05</v>
      </c>
      <c r="AJ219" s="157">
        <f>(AJ206)/($O$2*100)</f>
        <v>0.80542140951138907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:U220" si="684">G201/$S$170</f>
        <v>7.920870425321465</v>
      </c>
      <c r="H220" s="113">
        <f t="shared" si="684"/>
        <v>29.194065281899114</v>
      </c>
      <c r="I220" s="113">
        <f t="shared" si="684"/>
        <v>32.249258160237389</v>
      </c>
      <c r="J220" s="113">
        <f t="shared" si="684"/>
        <v>28.854599406528191</v>
      </c>
      <c r="K220" s="113">
        <f t="shared" si="684"/>
        <v>3.9604352126607325</v>
      </c>
      <c r="L220" s="113">
        <f t="shared" si="684"/>
        <v>1.6973293768545996</v>
      </c>
      <c r="M220" s="113">
        <f t="shared" si="684"/>
        <v>6.9024727992087049</v>
      </c>
      <c r="N220" s="113">
        <f t="shared" si="684"/>
        <v>7.1287833827893179</v>
      </c>
      <c r="O220" s="113">
        <f t="shared" si="684"/>
        <v>8.4866468842729983</v>
      </c>
      <c r="P220" s="113">
        <f t="shared" si="684"/>
        <v>9.0524233432245307</v>
      </c>
      <c r="Q220" s="113">
        <f t="shared" si="684"/>
        <v>14.144411473788329</v>
      </c>
      <c r="R220" s="113">
        <f t="shared" si="684"/>
        <v>16.973293768545997</v>
      </c>
      <c r="S220" s="113">
        <f t="shared" si="684"/>
        <v>16.973293768545997</v>
      </c>
      <c r="T220" s="113">
        <f t="shared" si="684"/>
        <v>23.649455984174086</v>
      </c>
      <c r="U220" s="113">
        <f t="shared" si="684"/>
        <v>22.631058358061328</v>
      </c>
      <c r="V220" s="101">
        <f t="shared" si="594"/>
        <v>7.7870456029937696E-2</v>
      </c>
      <c r="W220" s="110"/>
      <c r="X220" s="113">
        <f t="shared" ref="X220:AG220" si="685">X201/$S$170</f>
        <v>22.631058358061328</v>
      </c>
      <c r="Y220" s="113">
        <f t="shared" si="685"/>
        <v>22.631058358061328</v>
      </c>
      <c r="Z220" s="113">
        <f t="shared" si="685"/>
        <v>22.631058358061328</v>
      </c>
      <c r="AA220" s="113">
        <f t="shared" si="685"/>
        <v>22.631058358061328</v>
      </c>
      <c r="AB220" s="113">
        <f t="shared" si="685"/>
        <v>22.631058358061328</v>
      </c>
      <c r="AC220" s="113">
        <f t="shared" si="685"/>
        <v>22.631058358061328</v>
      </c>
      <c r="AD220" s="113">
        <f t="shared" si="685"/>
        <v>22.631058358061328</v>
      </c>
      <c r="AE220" s="113">
        <f t="shared" si="685"/>
        <v>22.631058358061328</v>
      </c>
      <c r="AF220" s="113">
        <f t="shared" si="685"/>
        <v>22.631058358061328</v>
      </c>
      <c r="AG220" s="113">
        <f t="shared" si="685"/>
        <v>22.631058358061328</v>
      </c>
      <c r="AH220" s="116">
        <f t="shared" ref="AH220:AH222" si="686">((AG220/J220)^(1/($AG$3-$K$1) ))-1</f>
        <v>-1.0507286048935471E-2</v>
      </c>
      <c r="AI220" s="21">
        <f t="shared" si="683"/>
        <v>0.05</v>
      </c>
      <c r="AJ220" s="157">
        <f>(AJ206)/($O$2*100)</f>
        <v>0.80542140951138907</v>
      </c>
    </row>
    <row r="221" spans="2:36">
      <c r="B221" s="10" t="s">
        <v>437</v>
      </c>
      <c r="C221" s="111"/>
      <c r="D221" s="111"/>
      <c r="E221" s="111"/>
      <c r="F221" s="111"/>
      <c r="G221" s="157">
        <f t="shared" ref="G221" si="687">(G220)/($O$2*100)</f>
        <v>0.99010880316518313</v>
      </c>
      <c r="H221" s="157">
        <f t="shared" ref="H221:I221" si="688">(H220)/($O$2*100)</f>
        <v>3.6492581602373892</v>
      </c>
      <c r="I221" s="157">
        <f t="shared" si="688"/>
        <v>4.0311572700296736</v>
      </c>
      <c r="J221" s="157">
        <f t="shared" ref="J221:T221" si="689">(J220)/($O$2*100)</f>
        <v>3.6068249258160239</v>
      </c>
      <c r="K221" s="157">
        <f t="shared" si="689"/>
        <v>0.49505440158259156</v>
      </c>
      <c r="L221" s="157">
        <f t="shared" si="689"/>
        <v>0.21216617210682495</v>
      </c>
      <c r="M221" s="157">
        <f t="shared" si="689"/>
        <v>0.86280909990108812</v>
      </c>
      <c r="N221" s="157">
        <f t="shared" si="689"/>
        <v>0.89109792284866474</v>
      </c>
      <c r="O221" s="157">
        <f t="shared" si="689"/>
        <v>1.0608308605341248</v>
      </c>
      <c r="P221" s="157">
        <f t="shared" si="689"/>
        <v>1.1315529179030663</v>
      </c>
      <c r="Q221" s="157">
        <f t="shared" si="689"/>
        <v>1.7680514342235412</v>
      </c>
      <c r="R221" s="157">
        <f t="shared" si="689"/>
        <v>2.1216617210682496</v>
      </c>
      <c r="S221" s="157">
        <f t="shared" si="689"/>
        <v>2.1216617210682496</v>
      </c>
      <c r="T221" s="157">
        <f t="shared" si="689"/>
        <v>2.9561819980217607</v>
      </c>
      <c r="U221" s="157">
        <f t="shared" ref="U221" si="690">(U220)/($O$2*100)</f>
        <v>2.8288822947576659</v>
      </c>
      <c r="V221" s="101">
        <f t="shared" si="594"/>
        <v>7.7870456029937696E-2</v>
      </c>
      <c r="W221" s="110"/>
      <c r="X221" s="157">
        <f t="shared" ref="X221:AG221" si="691">(X220)/($O$2*100)</f>
        <v>2.8288822947576659</v>
      </c>
      <c r="Y221" s="157">
        <f t="shared" si="691"/>
        <v>2.8288822947576659</v>
      </c>
      <c r="Z221" s="157">
        <f t="shared" si="691"/>
        <v>2.8288822947576659</v>
      </c>
      <c r="AA221" s="157">
        <f t="shared" si="691"/>
        <v>2.8288822947576659</v>
      </c>
      <c r="AB221" s="157">
        <f t="shared" si="691"/>
        <v>2.8288822947576659</v>
      </c>
      <c r="AC221" s="157">
        <f t="shared" si="691"/>
        <v>2.8288822947576659</v>
      </c>
      <c r="AD221" s="157">
        <f t="shared" si="691"/>
        <v>2.8288822947576659</v>
      </c>
      <c r="AE221" s="157">
        <f t="shared" si="691"/>
        <v>2.8288822947576659</v>
      </c>
      <c r="AF221" s="157">
        <f t="shared" si="691"/>
        <v>2.8288822947576659</v>
      </c>
      <c r="AG221" s="157">
        <f t="shared" si="691"/>
        <v>2.8288822947576659</v>
      </c>
      <c r="AH221" s="116">
        <f t="shared" si="686"/>
        <v>-1.0507286048935471E-2</v>
      </c>
      <c r="AI221" s="21">
        <f t="shared" si="683"/>
        <v>0.05</v>
      </c>
      <c r="AJ221" s="157">
        <f>(AJ207)/($O$2*100)</f>
        <v>4.0552838645619076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692">G221-1</f>
        <v>-9.8911968348168733E-3</v>
      </c>
      <c r="H222" s="129">
        <f t="shared" ref="H222:I222" si="693">H221-1</f>
        <v>2.6492581602373892</v>
      </c>
      <c r="I222" s="129">
        <f t="shared" si="693"/>
        <v>3.0311572700296736</v>
      </c>
      <c r="J222" s="129">
        <f t="shared" ref="J222:T222" si="694">J221-1</f>
        <v>2.6068249258160239</v>
      </c>
      <c r="K222" s="129">
        <f t="shared" si="694"/>
        <v>-0.50494559841740849</v>
      </c>
      <c r="L222" s="129">
        <f t="shared" si="694"/>
        <v>-0.78783382789317502</v>
      </c>
      <c r="M222" s="129">
        <f t="shared" si="694"/>
        <v>-0.13719090009891188</v>
      </c>
      <c r="N222" s="129">
        <f t="shared" si="694"/>
        <v>-0.10890207715133526</v>
      </c>
      <c r="O222" s="129">
        <f t="shared" si="694"/>
        <v>6.0830860534124787E-2</v>
      </c>
      <c r="P222" s="129">
        <f t="shared" si="694"/>
        <v>0.13155291790306634</v>
      </c>
      <c r="Q222" s="129">
        <f t="shared" si="694"/>
        <v>0.76805143422354116</v>
      </c>
      <c r="R222" s="129">
        <f t="shared" si="694"/>
        <v>1.1216617210682496</v>
      </c>
      <c r="S222" s="129">
        <f t="shared" si="694"/>
        <v>1.1216617210682496</v>
      </c>
      <c r="T222" s="129">
        <f t="shared" si="694"/>
        <v>1.9561819980217607</v>
      </c>
      <c r="U222" s="129">
        <f t="shared" ref="U222" si="695">U221-1</f>
        <v>1.8288822947576659</v>
      </c>
      <c r="V222" s="101" t="e">
        <f t="shared" si="594"/>
        <v>#NUM!</v>
      </c>
      <c r="W222" s="110"/>
      <c r="X222" s="129">
        <f t="shared" ref="X222:AG222" si="696">X221-1</f>
        <v>1.8288822947576659</v>
      </c>
      <c r="Y222" s="129">
        <f t="shared" si="696"/>
        <v>1.8288822947576659</v>
      </c>
      <c r="Z222" s="129">
        <f t="shared" si="696"/>
        <v>1.8288822947576659</v>
      </c>
      <c r="AA222" s="129">
        <f t="shared" si="696"/>
        <v>1.8288822947576659</v>
      </c>
      <c r="AB222" s="129">
        <f t="shared" si="696"/>
        <v>1.8288822947576659</v>
      </c>
      <c r="AC222" s="129">
        <f t="shared" si="696"/>
        <v>1.8288822947576659</v>
      </c>
      <c r="AD222" s="129">
        <f t="shared" si="696"/>
        <v>1.8288822947576659</v>
      </c>
      <c r="AE222" s="129">
        <f t="shared" si="696"/>
        <v>1.8288822947576659</v>
      </c>
      <c r="AF222" s="129">
        <f t="shared" si="696"/>
        <v>1.8288822947576659</v>
      </c>
      <c r="AG222" s="129">
        <f t="shared" si="696"/>
        <v>1.8288822947576659</v>
      </c>
      <c r="AH222" s="116">
        <f t="shared" si="686"/>
        <v>-1.5291786375631444E-2</v>
      </c>
      <c r="AI222" s="21">
        <f t="shared" si="683"/>
        <v>0.05</v>
      </c>
      <c r="AJ222" s="157">
        <f>(AJ208)/($O$2*100)</f>
        <v>52.310465777257477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5"/>
      <c r="O223" s="176"/>
      <c r="P223" s="113"/>
      <c r="Q223" s="113"/>
      <c r="R223" s="113"/>
      <c r="S223" s="113"/>
      <c r="T223" s="113"/>
      <c r="U223" s="158"/>
      <c r="V223" s="158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>
        <f t="shared" ref="G224:U224" si="697">1/G225</f>
        <v>0.24625374625374619</v>
      </c>
      <c r="H224" s="129">
        <f t="shared" si="697"/>
        <v>6.6813031929310984E-2</v>
      </c>
      <c r="I224" s="129">
        <f t="shared" si="697"/>
        <v>6.0483376272849942E-2</v>
      </c>
      <c r="J224" s="129">
        <f t="shared" si="697"/>
        <v>6.7599067599067572E-2</v>
      </c>
      <c r="K224" s="129">
        <f t="shared" si="697"/>
        <v>0.49250749250749237</v>
      </c>
      <c r="L224" s="129">
        <f t="shared" si="697"/>
        <v>1.1491841491841488</v>
      </c>
      <c r="M224" s="129">
        <f t="shared" si="697"/>
        <v>0.28258626619282345</v>
      </c>
      <c r="N224" s="129">
        <f t="shared" si="697"/>
        <v>0.27361527361527355</v>
      </c>
      <c r="O224" s="129">
        <f t="shared" si="697"/>
        <v>0.22983682983682979</v>
      </c>
      <c r="P224" s="129">
        <f t="shared" si="697"/>
        <v>0.21547202797202791</v>
      </c>
      <c r="Q224" s="129">
        <f t="shared" si="697"/>
        <v>0.13790209790209787</v>
      </c>
      <c r="R224" s="129">
        <f t="shared" si="697"/>
        <v>0.1149184149184149</v>
      </c>
      <c r="S224" s="129">
        <f t="shared" si="697"/>
        <v>0.1149184149184149</v>
      </c>
      <c r="T224" s="129">
        <f t="shared" si="697"/>
        <v>8.2477331281159014E-2</v>
      </c>
      <c r="U224" s="129">
        <f t="shared" si="697"/>
        <v>8.6188811188811165E-2</v>
      </c>
      <c r="V224" s="101">
        <f t="shared" si="594"/>
        <v>-7.2244726251013303E-2</v>
      </c>
      <c r="W224" s="110"/>
      <c r="X224" s="129">
        <f t="shared" ref="X224:AG224" si="698">1/X225</f>
        <v>8.6188811188811165E-2</v>
      </c>
      <c r="Y224" s="129">
        <f t="shared" si="698"/>
        <v>8.6188811188811165E-2</v>
      </c>
      <c r="Z224" s="129">
        <f t="shared" si="698"/>
        <v>8.6188811188811165E-2</v>
      </c>
      <c r="AA224" s="129">
        <f t="shared" si="698"/>
        <v>8.6188811188811165E-2</v>
      </c>
      <c r="AB224" s="129">
        <f t="shared" si="698"/>
        <v>8.6188811188811165E-2</v>
      </c>
      <c r="AC224" s="129">
        <f t="shared" si="698"/>
        <v>8.6188811188811165E-2</v>
      </c>
      <c r="AD224" s="129">
        <f t="shared" si="698"/>
        <v>8.6188811188811165E-2</v>
      </c>
      <c r="AE224" s="129">
        <f t="shared" si="698"/>
        <v>8.6188811188811165E-2</v>
      </c>
      <c r="AF224" s="129">
        <f t="shared" si="698"/>
        <v>8.6188811188811165E-2</v>
      </c>
      <c r="AG224" s="129">
        <f t="shared" si="698"/>
        <v>8.6188811188811165E-2</v>
      </c>
      <c r="AH224" s="116">
        <f t="shared" ref="AH224" si="699">((AG224/J224)^(1/($AG$3-$K$1) ))-1</f>
        <v>1.0618861463850049E-2</v>
      </c>
      <c r="AI224" s="21">
        <f t="shared" ref="AI224" si="700">$O$1</f>
        <v>0.05</v>
      </c>
      <c r="AJ224" s="157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01">G201/$T$170</f>
        <v>4.0608519269776888</v>
      </c>
      <c r="H225" s="113">
        <f t="shared" ref="H225:I225" si="702">H201/$T$170</f>
        <v>14.967139959432053</v>
      </c>
      <c r="I225" s="113">
        <f t="shared" si="702"/>
        <v>16.533468559837733</v>
      </c>
      <c r="J225" s="113">
        <f t="shared" ref="J225:S225" si="703">J201/$T$170</f>
        <v>14.793103448275867</v>
      </c>
      <c r="K225" s="113">
        <f t="shared" si="703"/>
        <v>2.0304259634888444</v>
      </c>
      <c r="L225" s="113">
        <f t="shared" si="703"/>
        <v>0.87018255578093329</v>
      </c>
      <c r="M225" s="113">
        <f t="shared" si="703"/>
        <v>3.5387423935091289</v>
      </c>
      <c r="N225" s="113">
        <f t="shared" si="703"/>
        <v>3.6547667342799199</v>
      </c>
      <c r="O225" s="113">
        <f t="shared" si="703"/>
        <v>4.3509127789046662</v>
      </c>
      <c r="P225" s="113">
        <f t="shared" si="703"/>
        <v>4.6409736308316445</v>
      </c>
      <c r="Q225" s="113">
        <f t="shared" si="703"/>
        <v>7.2515212981744446</v>
      </c>
      <c r="R225" s="113">
        <f t="shared" si="703"/>
        <v>8.7018255578093324</v>
      </c>
      <c r="S225" s="113">
        <f t="shared" si="703"/>
        <v>8.7018255578093324</v>
      </c>
      <c r="T225" s="113">
        <f>T201/$T$170</f>
        <v>12.12454361054767</v>
      </c>
      <c r="U225" s="113">
        <f>U201/$T$170</f>
        <v>11.60243407707911</v>
      </c>
      <c r="V225" s="101">
        <f t="shared" si="594"/>
        <v>7.7870456029937696E-2</v>
      </c>
      <c r="W225" s="110"/>
      <c r="X225" s="113">
        <f t="shared" ref="X225:AG225" si="704">X201/$T$170</f>
        <v>11.60243407707911</v>
      </c>
      <c r="Y225" s="113">
        <f t="shared" si="704"/>
        <v>11.60243407707911</v>
      </c>
      <c r="Z225" s="113">
        <f t="shared" si="704"/>
        <v>11.60243407707911</v>
      </c>
      <c r="AA225" s="113">
        <f t="shared" si="704"/>
        <v>11.60243407707911</v>
      </c>
      <c r="AB225" s="113">
        <f t="shared" si="704"/>
        <v>11.60243407707911</v>
      </c>
      <c r="AC225" s="113">
        <f t="shared" si="704"/>
        <v>11.60243407707911</v>
      </c>
      <c r="AD225" s="113">
        <f t="shared" si="704"/>
        <v>11.60243407707911</v>
      </c>
      <c r="AE225" s="113">
        <f t="shared" si="704"/>
        <v>11.60243407707911</v>
      </c>
      <c r="AF225" s="113">
        <f t="shared" si="704"/>
        <v>11.60243407707911</v>
      </c>
      <c r="AG225" s="113">
        <f t="shared" si="704"/>
        <v>11.60243407707911</v>
      </c>
      <c r="AH225" s="116">
        <f t="shared" ref="AH225:AH227" si="705">((AG225/J225)^(1/($AG$3-$K$1) ))-1</f>
        <v>-1.0507286048935471E-2</v>
      </c>
      <c r="AI225" s="21">
        <f t="shared" ref="AI225:AI227" si="706">$O$1</f>
        <v>0.05</v>
      </c>
      <c r="AJ225" s="157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7">
        <f t="shared" ref="G226" si="707">(G225)/($O$2*100)</f>
        <v>0.5076064908722111</v>
      </c>
      <c r="H226" s="157">
        <f t="shared" ref="H226:I226" si="708">(H225)/($O$2*100)</f>
        <v>1.8708924949290067</v>
      </c>
      <c r="I226" s="157">
        <f t="shared" si="708"/>
        <v>2.0666835699797166</v>
      </c>
      <c r="J226" s="157">
        <f t="shared" ref="J226:T226" si="709">(J225)/($O$2*100)</f>
        <v>1.8491379310344833</v>
      </c>
      <c r="K226" s="157">
        <f t="shared" si="709"/>
        <v>0.25380324543610555</v>
      </c>
      <c r="L226" s="157">
        <f t="shared" si="709"/>
        <v>0.10877281947261666</v>
      </c>
      <c r="M226" s="157">
        <f t="shared" si="709"/>
        <v>0.44234279918864111</v>
      </c>
      <c r="N226" s="157">
        <f t="shared" si="709"/>
        <v>0.45684584178498999</v>
      </c>
      <c r="O226" s="157">
        <f t="shared" si="709"/>
        <v>0.54386409736308328</v>
      </c>
      <c r="P226" s="157">
        <f t="shared" si="709"/>
        <v>0.58012170385395556</v>
      </c>
      <c r="Q226" s="157">
        <f t="shared" si="709"/>
        <v>0.90644016227180557</v>
      </c>
      <c r="R226" s="157">
        <f t="shared" si="709"/>
        <v>1.0877281947261666</v>
      </c>
      <c r="S226" s="157">
        <f t="shared" si="709"/>
        <v>1.0877281947261666</v>
      </c>
      <c r="T226" s="157">
        <f t="shared" si="709"/>
        <v>1.5155679513184588</v>
      </c>
      <c r="U226" s="157">
        <f t="shared" ref="U226" si="710">(U225)/($O$2*100)</f>
        <v>1.4503042596348887</v>
      </c>
      <c r="V226" s="101">
        <f t="shared" si="594"/>
        <v>7.7870456029937696E-2</v>
      </c>
      <c r="W226" s="110"/>
      <c r="X226" s="157">
        <f t="shared" ref="X226:AG226" si="711">(X225)/($O$2*100)</f>
        <v>1.4503042596348887</v>
      </c>
      <c r="Y226" s="157">
        <f t="shared" si="711"/>
        <v>1.4503042596348887</v>
      </c>
      <c r="Z226" s="157">
        <f t="shared" si="711"/>
        <v>1.4503042596348887</v>
      </c>
      <c r="AA226" s="157">
        <f t="shared" si="711"/>
        <v>1.4503042596348887</v>
      </c>
      <c r="AB226" s="157">
        <f t="shared" si="711"/>
        <v>1.4503042596348887</v>
      </c>
      <c r="AC226" s="157">
        <f t="shared" si="711"/>
        <v>1.4503042596348887</v>
      </c>
      <c r="AD226" s="157">
        <f t="shared" si="711"/>
        <v>1.4503042596348887</v>
      </c>
      <c r="AE226" s="157">
        <f t="shared" si="711"/>
        <v>1.4503042596348887</v>
      </c>
      <c r="AF226" s="157">
        <f t="shared" si="711"/>
        <v>1.4503042596348887</v>
      </c>
      <c r="AG226" s="157">
        <f t="shared" si="711"/>
        <v>1.4503042596348887</v>
      </c>
      <c r="AH226" s="116">
        <f t="shared" si="705"/>
        <v>-1.0507286048935471E-2</v>
      </c>
      <c r="AI226" s="21">
        <f t="shared" si="706"/>
        <v>0.05</v>
      </c>
      <c r="AJ226" s="157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12">G226-1</f>
        <v>-0.4923935091277889</v>
      </c>
      <c r="H227" s="129">
        <f t="shared" ref="H227:I227" si="713">H226-1</f>
        <v>0.87089249492900667</v>
      </c>
      <c r="I227" s="129">
        <f t="shared" si="713"/>
        <v>1.0666835699797166</v>
      </c>
      <c r="J227" s="129">
        <f t="shared" ref="J227:T227" si="714">J226-1</f>
        <v>0.84913793103448332</v>
      </c>
      <c r="K227" s="129">
        <f t="shared" si="714"/>
        <v>-0.74619675456389445</v>
      </c>
      <c r="L227" s="129">
        <f t="shared" si="714"/>
        <v>-0.89122718052738337</v>
      </c>
      <c r="M227" s="129">
        <f t="shared" si="714"/>
        <v>-0.55765720081135894</v>
      </c>
      <c r="N227" s="129">
        <f t="shared" si="714"/>
        <v>-0.54315415821501001</v>
      </c>
      <c r="O227" s="129">
        <f t="shared" si="714"/>
        <v>-0.45613590263691672</v>
      </c>
      <c r="P227" s="129">
        <f t="shared" si="714"/>
        <v>-0.41987829614604444</v>
      </c>
      <c r="Q227" s="129">
        <f t="shared" si="714"/>
        <v>-9.3559837728194428E-2</v>
      </c>
      <c r="R227" s="129">
        <f t="shared" si="714"/>
        <v>8.7728194726166553E-2</v>
      </c>
      <c r="S227" s="129">
        <f t="shared" si="714"/>
        <v>8.7728194726166553E-2</v>
      </c>
      <c r="T227" s="129">
        <f t="shared" si="714"/>
        <v>0.51556795131845878</v>
      </c>
      <c r="U227" s="129">
        <f t="shared" ref="U227" si="715">U226-1</f>
        <v>0.45030425963488874</v>
      </c>
      <c r="V227" s="101" t="e">
        <f t="shared" si="594"/>
        <v>#NUM!</v>
      </c>
      <c r="W227" s="110"/>
      <c r="X227" s="129">
        <f t="shared" ref="X227:AG227" si="716">X226-1</f>
        <v>0.45030425963488874</v>
      </c>
      <c r="Y227" s="129">
        <f t="shared" si="716"/>
        <v>0.45030425963488874</v>
      </c>
      <c r="Z227" s="129">
        <f t="shared" si="716"/>
        <v>0.45030425963488874</v>
      </c>
      <c r="AA227" s="129">
        <f t="shared" si="716"/>
        <v>0.45030425963488874</v>
      </c>
      <c r="AB227" s="129">
        <f t="shared" si="716"/>
        <v>0.45030425963488874</v>
      </c>
      <c r="AC227" s="129">
        <f t="shared" si="716"/>
        <v>0.45030425963488874</v>
      </c>
      <c r="AD227" s="129">
        <f t="shared" si="716"/>
        <v>0.45030425963488874</v>
      </c>
      <c r="AE227" s="129">
        <f t="shared" si="716"/>
        <v>0.45030425963488874</v>
      </c>
      <c r="AF227" s="129">
        <f t="shared" si="716"/>
        <v>0.45030425963488874</v>
      </c>
      <c r="AG227" s="129">
        <f t="shared" si="716"/>
        <v>0.45030425963488874</v>
      </c>
      <c r="AH227" s="116">
        <f t="shared" si="705"/>
        <v>-2.7201374207045492E-2</v>
      </c>
      <c r="AI227" s="21">
        <f t="shared" si="706"/>
        <v>0.05</v>
      </c>
      <c r="AJ227" s="157">
        <f>(AJ211)/($O$2*100)</f>
        <v>2.2891457886620108E-2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5"/>
      <c r="O228" s="176"/>
      <c r="P228" s="113"/>
      <c r="Q228" s="113"/>
      <c r="R228" s="113"/>
      <c r="S228" s="113"/>
      <c r="T228" s="113"/>
      <c r="U228" s="158"/>
      <c r="V228" s="158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>
        <f t="shared" ref="G229:S229" si="717">1/G230</f>
        <v>9.0907455609715832E-2</v>
      </c>
      <c r="H229" s="129">
        <f t="shared" si="717"/>
        <v>2.46648135375198E-2</v>
      </c>
      <c r="I229" s="129">
        <f t="shared" si="717"/>
        <v>2.2328146991860032E-2</v>
      </c>
      <c r="J229" s="129">
        <f t="shared" si="717"/>
        <v>2.4954987814431798E-2</v>
      </c>
      <c r="K229" s="129">
        <f t="shared" si="717"/>
        <v>0.18181491121943166</v>
      </c>
      <c r="L229" s="129">
        <f t="shared" si="717"/>
        <v>0.42423479284534055</v>
      </c>
      <c r="M229" s="129">
        <f t="shared" si="717"/>
        <v>0.10432003102754277</v>
      </c>
      <c r="N229" s="129">
        <f t="shared" si="717"/>
        <v>0.10100828401079538</v>
      </c>
      <c r="O229" s="129">
        <f t="shared" si="717"/>
        <v>8.4846958569068126E-2</v>
      </c>
      <c r="P229" s="129">
        <f t="shared" si="717"/>
        <v>7.9544023658501356E-2</v>
      </c>
      <c r="Q229" s="129">
        <f t="shared" si="717"/>
        <v>5.0908175141440873E-2</v>
      </c>
      <c r="R229" s="129">
        <f t="shared" si="717"/>
        <v>4.2423479284534063E-2</v>
      </c>
      <c r="S229" s="129">
        <f t="shared" si="717"/>
        <v>4.2423479284534063E-2</v>
      </c>
      <c r="T229" s="129">
        <f>1/T230</f>
        <v>3.0447473170718227E-2</v>
      </c>
      <c r="U229" s="129">
        <f>1/U230</f>
        <v>3.1817609463400544E-2</v>
      </c>
      <c r="V229" s="101">
        <f t="shared" si="594"/>
        <v>-7.2244726251013303E-2</v>
      </c>
      <c r="W229" s="110"/>
      <c r="X229" s="129">
        <f t="shared" ref="X229:AG229" si="718">1/X230</f>
        <v>15.506008851288572</v>
      </c>
      <c r="Y229" s="129">
        <f t="shared" si="718"/>
        <v>16.418127019011425</v>
      </c>
      <c r="Z229" s="129">
        <f t="shared" si="718"/>
        <v>17.383899196600336</v>
      </c>
      <c r="AA229" s="129">
        <f t="shared" si="718"/>
        <v>18.406481502282706</v>
      </c>
      <c r="AB229" s="129">
        <f t="shared" si="718"/>
        <v>19.489215708299337</v>
      </c>
      <c r="AC229" s="129">
        <f t="shared" si="718"/>
        <v>20.635640161728709</v>
      </c>
      <c r="AD229" s="129">
        <f t="shared" si="718"/>
        <v>21.849501347712749</v>
      </c>
      <c r="AE229" s="129">
        <f t="shared" si="718"/>
        <v>23.134766132872329</v>
      </c>
      <c r="AF229" s="129">
        <f t="shared" si="718"/>
        <v>24.495634728923637</v>
      </c>
      <c r="AG229" s="129">
        <f t="shared" si="718"/>
        <v>25.936554418860325</v>
      </c>
      <c r="AH229" s="116">
        <f t="shared" ref="AH229:AH232" si="719">((AG229/J229)^(1/($AG$3-$K$1) ))-1</f>
        <v>0.35258092164675836</v>
      </c>
      <c r="AI229" s="21">
        <f t="shared" ref="AI229:AI232" si="720">$O$1</f>
        <v>0.05</v>
      </c>
      <c r="AJ229" s="157">
        <f>(AJ215)/($O$2*100)</f>
        <v>6.6938373821477104E-2</v>
      </c>
    </row>
    <row r="230" spans="2:36">
      <c r="B230" s="10" t="s">
        <v>511</v>
      </c>
      <c r="C230" s="111"/>
      <c r="D230" s="111"/>
      <c r="E230" s="111"/>
      <c r="F230" s="111"/>
      <c r="G230" s="113">
        <f t="shared" ref="G230" si="721">G201/$X$171</f>
        <v>11.000197874783813</v>
      </c>
      <c r="H230" s="113">
        <f t="shared" ref="H230:S230" si="722">H201/$X$171</f>
        <v>40.543586452774626</v>
      </c>
      <c r="I230" s="113">
        <f t="shared" si="722"/>
        <v>44.786519918762664</v>
      </c>
      <c r="J230" s="113">
        <f t="shared" si="722"/>
        <v>40.072149400998178</v>
      </c>
      <c r="K230" s="113">
        <f t="shared" si="722"/>
        <v>5.5000989373919067</v>
      </c>
      <c r="L230" s="113">
        <f t="shared" si="722"/>
        <v>2.3571852588822457</v>
      </c>
      <c r="M230" s="113">
        <f t="shared" si="722"/>
        <v>9.5858867194544661</v>
      </c>
      <c r="N230" s="113">
        <f t="shared" si="722"/>
        <v>9.9001780873054308</v>
      </c>
      <c r="O230" s="113">
        <f t="shared" si="722"/>
        <v>11.785926294411228</v>
      </c>
      <c r="P230" s="113">
        <f t="shared" si="722"/>
        <v>12.571654714038644</v>
      </c>
      <c r="Q230" s="113">
        <f t="shared" si="722"/>
        <v>19.64321049068538</v>
      </c>
      <c r="R230" s="113">
        <f t="shared" si="722"/>
        <v>23.571852588822455</v>
      </c>
      <c r="S230" s="113">
        <f t="shared" si="722"/>
        <v>23.571852588822455</v>
      </c>
      <c r="T230" s="113">
        <f>T201/$X$171</f>
        <v>32.843447940425953</v>
      </c>
      <c r="U230" s="113">
        <f>U201/$X$171</f>
        <v>31.429136785096606</v>
      </c>
      <c r="V230" s="101">
        <f t="shared" si="594"/>
        <v>7.7870456029937696E-2</v>
      </c>
      <c r="W230" s="110"/>
      <c r="X230" s="113">
        <f t="shared" ref="X230:AG230" si="723">X206/$T$170</f>
        <v>6.4491127896969994E-2</v>
      </c>
      <c r="Y230" s="113">
        <f t="shared" si="723"/>
        <v>6.0908287458249444E-2</v>
      </c>
      <c r="Z230" s="113">
        <f t="shared" si="723"/>
        <v>5.7524493710568919E-2</v>
      </c>
      <c r="AA230" s="113">
        <f t="shared" si="723"/>
        <v>5.4328688504426209E-2</v>
      </c>
      <c r="AB230" s="113">
        <f t="shared" si="723"/>
        <v>5.131042803195808E-2</v>
      </c>
      <c r="AC230" s="113">
        <f t="shared" si="723"/>
        <v>4.8459848696849293E-2</v>
      </c>
      <c r="AD230" s="113">
        <f t="shared" si="723"/>
        <v>4.576763488035767E-2</v>
      </c>
      <c r="AE230" s="113">
        <f t="shared" si="723"/>
        <v>4.3224988498115569E-2</v>
      </c>
      <c r="AF230" s="113">
        <f t="shared" si="723"/>
        <v>4.0823600248220265E-2</v>
      </c>
      <c r="AG230" s="113">
        <f t="shared" si="723"/>
        <v>3.8555622456652471E-2</v>
      </c>
      <c r="AH230" s="116">
        <f t="shared" si="719"/>
        <v>-0.2606727006155708</v>
      </c>
      <c r="AI230" s="21">
        <f t="shared" si="720"/>
        <v>0.05</v>
      </c>
      <c r="AJ230" s="157">
        <f>(AJ215)/($O$2*100)</f>
        <v>6.6938373821477104E-2</v>
      </c>
    </row>
    <row r="231" spans="2:36">
      <c r="B231" s="10" t="s">
        <v>437</v>
      </c>
      <c r="C231" s="111"/>
      <c r="D231" s="111"/>
      <c r="E231" s="111"/>
      <c r="F231" s="111"/>
      <c r="G231" s="157">
        <f t="shared" ref="G231" si="724">(G230)/($O$2*100)</f>
        <v>1.3750247343479767</v>
      </c>
      <c r="H231" s="157">
        <f t="shared" ref="H231:T231" si="725">(H230)/($O$2*100)</f>
        <v>5.0679483065968283</v>
      </c>
      <c r="I231" s="157">
        <f t="shared" si="725"/>
        <v>5.598314989845333</v>
      </c>
      <c r="J231" s="157">
        <f t="shared" si="725"/>
        <v>5.0090186751247723</v>
      </c>
      <c r="K231" s="157">
        <f t="shared" si="725"/>
        <v>0.68751236717398834</v>
      </c>
      <c r="L231" s="157">
        <f t="shared" si="725"/>
        <v>0.29464815736028072</v>
      </c>
      <c r="M231" s="157">
        <f t="shared" si="725"/>
        <v>1.1982358399318083</v>
      </c>
      <c r="N231" s="157">
        <f t="shared" si="725"/>
        <v>1.2375222609131789</v>
      </c>
      <c r="O231" s="157">
        <f t="shared" si="725"/>
        <v>1.4732407868014035</v>
      </c>
      <c r="P231" s="157">
        <f t="shared" si="725"/>
        <v>1.5714568392548305</v>
      </c>
      <c r="Q231" s="157">
        <f t="shared" si="725"/>
        <v>2.4554013113356725</v>
      </c>
      <c r="R231" s="157">
        <f t="shared" si="725"/>
        <v>2.9464815736028069</v>
      </c>
      <c r="S231" s="157">
        <f t="shared" si="725"/>
        <v>2.9464815736028069</v>
      </c>
      <c r="T231" s="157">
        <f t="shared" si="725"/>
        <v>4.1054309925532442</v>
      </c>
      <c r="U231" s="157">
        <f t="shared" ref="U231" si="726">(U230)/($O$2*100)</f>
        <v>3.9286420981370758</v>
      </c>
      <c r="V231" s="101">
        <f t="shared" si="594"/>
        <v>7.7870456029937696E-2</v>
      </c>
      <c r="W231" s="110"/>
      <c r="X231" s="157">
        <f t="shared" ref="X231:AG231" si="727">(X230)/($O$2*100)</f>
        <v>8.0613909871212492E-3</v>
      </c>
      <c r="Y231" s="157">
        <f t="shared" si="727"/>
        <v>7.6135359322811805E-3</v>
      </c>
      <c r="Z231" s="157">
        <f t="shared" si="727"/>
        <v>7.1905617138211149E-3</v>
      </c>
      <c r="AA231" s="157">
        <f t="shared" si="727"/>
        <v>6.7910860630532761E-3</v>
      </c>
      <c r="AB231" s="157">
        <f t="shared" si="727"/>
        <v>6.41380350399476E-3</v>
      </c>
      <c r="AC231" s="157">
        <f t="shared" si="727"/>
        <v>6.0574810871061617E-3</v>
      </c>
      <c r="AD231" s="157">
        <f t="shared" si="727"/>
        <v>5.7209543600447088E-3</v>
      </c>
      <c r="AE231" s="157">
        <f t="shared" si="727"/>
        <v>5.4031235622644461E-3</v>
      </c>
      <c r="AF231" s="157">
        <f t="shared" si="727"/>
        <v>5.1029500310275332E-3</v>
      </c>
      <c r="AG231" s="157">
        <f t="shared" si="727"/>
        <v>4.8194528070815588E-3</v>
      </c>
      <c r="AH231" s="116">
        <f t="shared" si="719"/>
        <v>-0.2606727006155708</v>
      </c>
      <c r="AI231" s="21">
        <f t="shared" si="720"/>
        <v>0.05</v>
      </c>
      <c r="AJ231" s="157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28">G231-1</f>
        <v>0.37502473434797667</v>
      </c>
      <c r="H232" s="129">
        <f t="shared" ref="H232:T232" si="729">H231-1</f>
        <v>4.0679483065968283</v>
      </c>
      <c r="I232" s="129">
        <f t="shared" si="729"/>
        <v>4.598314989845333</v>
      </c>
      <c r="J232" s="129">
        <f t="shared" si="729"/>
        <v>4.0090186751247723</v>
      </c>
      <c r="K232" s="129">
        <f t="shared" si="729"/>
        <v>-0.31248763282601166</v>
      </c>
      <c r="L232" s="129">
        <f t="shared" si="729"/>
        <v>-0.70535184263971928</v>
      </c>
      <c r="M232" s="129">
        <f t="shared" si="729"/>
        <v>0.19823583993180827</v>
      </c>
      <c r="N232" s="129">
        <f t="shared" si="729"/>
        <v>0.23752226091317885</v>
      </c>
      <c r="O232" s="129">
        <f t="shared" si="729"/>
        <v>0.47324078680140347</v>
      </c>
      <c r="P232" s="129">
        <f t="shared" si="729"/>
        <v>0.57145683925483048</v>
      </c>
      <c r="Q232" s="129">
        <f t="shared" si="729"/>
        <v>1.4554013113356725</v>
      </c>
      <c r="R232" s="129">
        <f t="shared" si="729"/>
        <v>1.9464815736028069</v>
      </c>
      <c r="S232" s="129">
        <f t="shared" si="729"/>
        <v>1.9464815736028069</v>
      </c>
      <c r="T232" s="129">
        <f t="shared" si="729"/>
        <v>3.1054309925532442</v>
      </c>
      <c r="U232" s="129">
        <f t="shared" ref="U232" si="730">U231-1</f>
        <v>2.9286420981370758</v>
      </c>
      <c r="V232" s="101">
        <f t="shared" si="594"/>
        <v>0.15813076681423488</v>
      </c>
      <c r="W232" s="110"/>
      <c r="X232" s="129">
        <f t="shared" ref="X232:AG232" si="731">X231-1</f>
        <v>-0.99193860901287878</v>
      </c>
      <c r="Y232" s="129">
        <f t="shared" si="731"/>
        <v>-0.9923864640677188</v>
      </c>
      <c r="Z232" s="129">
        <f t="shared" si="731"/>
        <v>-0.99280943828617885</v>
      </c>
      <c r="AA232" s="129">
        <f t="shared" si="731"/>
        <v>-0.99320891393694677</v>
      </c>
      <c r="AB232" s="129">
        <f t="shared" si="731"/>
        <v>-0.99358619649600521</v>
      </c>
      <c r="AC232" s="129">
        <f t="shared" si="731"/>
        <v>-0.99394251891289387</v>
      </c>
      <c r="AD232" s="129">
        <f t="shared" si="731"/>
        <v>-0.99427904563995528</v>
      </c>
      <c r="AE232" s="129">
        <f t="shared" si="731"/>
        <v>-0.99459687643773553</v>
      </c>
      <c r="AF232" s="129">
        <f t="shared" si="731"/>
        <v>-0.99489704996897244</v>
      </c>
      <c r="AG232" s="129">
        <f t="shared" si="731"/>
        <v>-0.99518054719291849</v>
      </c>
      <c r="AH232" s="116">
        <f t="shared" si="719"/>
        <v>-1.9412169300157731</v>
      </c>
      <c r="AI232" s="21">
        <f t="shared" si="720"/>
        <v>0.05</v>
      </c>
      <c r="AJ232" s="157">
        <f>(AJ216)/($O$2*100)</f>
        <v>1.3884552856722239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5"/>
      <c r="O233" s="176"/>
      <c r="P233" s="113"/>
      <c r="Q233" s="113"/>
      <c r="R233" s="113"/>
      <c r="S233" s="113"/>
      <c r="T233" s="113"/>
      <c r="U233" s="158"/>
      <c r="V233" s="158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5"/>
      <c r="O234" s="176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0" t="s">
        <v>296</v>
      </c>
      <c r="O236" s="311"/>
      <c r="P236" s="10"/>
      <c r="Q236" s="10"/>
      <c r="R236" s="10"/>
      <c r="S236" s="93" t="s">
        <v>375</v>
      </c>
      <c r="T236" s="170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(U201-Y188)/U201</f>
        <v>0.94542399868063787</v>
      </c>
      <c r="T237" s="110">
        <f>(U201-X188)/U201</f>
        <v>0.89446707110972168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8">
        <f>$O$237</f>
        <v>1</v>
      </c>
      <c r="O238" s="10"/>
      <c r="P238" s="110">
        <f>(S201-(N238*W179))/S201</f>
        <v>-2.2349223187215026</v>
      </c>
      <c r="Q238" s="10"/>
      <c r="R238" s="10"/>
      <c r="S238" s="110">
        <f>(U201-Y179)/U201</f>
        <v>-1.2152185443418986</v>
      </c>
      <c r="T238" s="110">
        <f>(U201-X179)/U201</f>
        <v>0.78902680530077163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8">
        <f>$O$237</f>
        <v>1</v>
      </c>
      <c r="O239" s="10"/>
      <c r="P239" s="110">
        <f>(S201-(N239*W172))/S201</f>
        <v>-5.5967043362163995</v>
      </c>
      <c r="Q239" s="10"/>
      <c r="R239" s="10"/>
      <c r="S239" s="110">
        <f>(U201-Y172)/U201</f>
        <v>-3.5173084041481868</v>
      </c>
      <c r="T239" s="110">
        <f>(U201-X172)/U201</f>
        <v>0.56978015198588705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8">
        <f>$O$237</f>
        <v>1</v>
      </c>
      <c r="O240" s="10"/>
      <c r="P240" s="110">
        <f>(S201-(N240*W185))/S201</f>
        <v>0.44080940434606491</v>
      </c>
      <c r="Q240" s="10"/>
      <c r="R240" s="10"/>
      <c r="S240" s="110">
        <f>(U201-Y185)/U201</f>
        <v>0.6170760051500227</v>
      </c>
      <c r="T240" s="110">
        <f>(U201-X185)/U201</f>
        <v>0.96353104810952606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8">
        <f>$O$237</f>
        <v>1</v>
      </c>
      <c r="O241" s="10"/>
      <c r="P241" s="110">
        <f>(S201-(N241*W198))/S201</f>
        <v>1.2873877503552227</v>
      </c>
      <c r="Q241" s="10"/>
      <c r="R241" s="10"/>
      <c r="S241" s="110">
        <f>(U201-Y198)/U201</f>
        <v>1.0734709529725412</v>
      </c>
      <c r="T241" s="110">
        <f>(U201-X198)/U201</f>
        <v>1.1420698597938759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2.993251122390153</v>
      </c>
      <c r="T242" s="15">
        <f>U201/X171</f>
        <v>31.429136785096606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5" t="s">
        <v>391</v>
      </c>
      <c r="K243" s="166"/>
      <c r="L243" s="165" t="s">
        <v>392</v>
      </c>
      <c r="M243" s="166"/>
      <c r="N243" s="10"/>
      <c r="O243" s="165" t="s">
        <v>393</v>
      </c>
      <c r="P243" s="166"/>
      <c r="Q243" s="165" t="s">
        <v>394</v>
      </c>
      <c r="R243" s="166"/>
      <c r="S243" s="129">
        <f>1/S242</f>
        <v>0.33408489936570573</v>
      </c>
      <c r="T243" s="129">
        <f>1/T242</f>
        <v>3.1817609463400544E-2</v>
      </c>
      <c r="U243" s="129"/>
      <c r="V243" s="10"/>
      <c r="W243" s="10"/>
      <c r="X243" s="111">
        <f>U201-X244</f>
        <v>183.81727923762551</v>
      </c>
      <c r="Y243" s="161">
        <f>X243-Y244</f>
        <v>165.20715036089484</v>
      </c>
      <c r="Z243" s="161">
        <f t="shared" ref="Z243:AB243" si="732">Y243-Z244</f>
        <v>143.80550215265458</v>
      </c>
      <c r="AA243" s="161">
        <f t="shared" si="732"/>
        <v>119.19360671317828</v>
      </c>
      <c r="AB243" s="161">
        <f t="shared" si="732"/>
        <v>90.889926957780546</v>
      </c>
      <c r="AC243" s="161">
        <f>AB243-AC244</f>
        <v>58.340695239073142</v>
      </c>
      <c r="AD243" s="161">
        <f t="shared" ref="AD243:AG243" si="733">AC243-AD244</f>
        <v>20.909078762559631</v>
      </c>
      <c r="AE243" s="161">
        <f t="shared" si="733"/>
        <v>-22.137280185430903</v>
      </c>
      <c r="AF243" s="161">
        <f t="shared" si="733"/>
        <v>-71.640592975620024</v>
      </c>
      <c r="AG243" s="161">
        <f t="shared" si="733"/>
        <v>-128.56940268433749</v>
      </c>
      <c r="AH243" s="161">
        <f t="shared" ref="AH243" si="734">AG243-AH244</f>
        <v>-194.03753384936257</v>
      </c>
      <c r="AI243" s="161">
        <f t="shared" ref="AI243" si="735">AH243-AI244</f>
        <v>-269.32588468914139</v>
      </c>
      <c r="AJ243" s="161">
        <f t="shared" ref="AJ243" si="736">AI243-AJ244</f>
        <v>-355.90748815488706</v>
      </c>
      <c r="AK243" s="161">
        <f t="shared" ref="AK243" si="737">AJ243-AK244</f>
        <v>-455.47633214049455</v>
      </c>
      <c r="AL243" s="161">
        <f t="shared" ref="AL243" si="738">AK243-AL244</f>
        <v>-569.98050272394312</v>
      </c>
      <c r="AM243" s="161">
        <f t="shared" ref="AM243" si="739">AL243-AM244</f>
        <v>-701.66029889490903</v>
      </c>
      <c r="AN243" s="161">
        <f t="shared" ref="AN243" si="740">AM243-AN244</f>
        <v>-853.09206449151975</v>
      </c>
      <c r="AO243" s="161">
        <f t="shared" ref="AO243" si="741">AN243-AO244</f>
        <v>-1027.2385949276222</v>
      </c>
      <c r="AP243" s="161">
        <f t="shared" ref="AP243" si="742">AO243-AP244</f>
        <v>-1227.5071049291398</v>
      </c>
      <c r="AQ243" s="161">
        <f t="shared" ref="AQ243" si="743">AP243-AQ244</f>
        <v>-1457.8158914308851</v>
      </c>
      <c r="AR243" s="161">
        <f t="shared" ref="AR243" si="744">AQ243-AR244</f>
        <v>-1722.6709959078921</v>
      </c>
      <c r="AS243" s="161">
        <f t="shared" ref="AS243" si="745">AR243-AS244</f>
        <v>-2027.2543660564502</v>
      </c>
      <c r="AT243" s="161">
        <f t="shared" ref="AT243" si="746">AS243-AT244</f>
        <v>-2377.5252417272918</v>
      </c>
      <c r="AU243" s="161">
        <f t="shared" ref="AU243" si="747">AT243-AU244</f>
        <v>-2780.3367487487599</v>
      </c>
      <c r="AV243" s="161">
        <f t="shared" ref="AV243" si="748">AU243-AV244</f>
        <v>-3243.569981823448</v>
      </c>
      <c r="AW243" s="161">
        <f t="shared" ref="AW243" si="749">AV243-AW244</f>
        <v>-3776.2881998593393</v>
      </c>
      <c r="AX243" s="161">
        <f t="shared" ref="AX243" si="750">AW243-AX244</f>
        <v>-4388.9141506006144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7">
        <v>0</v>
      </c>
      <c r="K244" s="166"/>
      <c r="L244" s="167">
        <v>0.05</v>
      </c>
      <c r="M244" s="166"/>
      <c r="N244" s="160">
        <v>0.15</v>
      </c>
      <c r="O244" s="167">
        <v>0.12</v>
      </c>
      <c r="P244" s="166"/>
      <c r="Q244" s="167">
        <v>0.2</v>
      </c>
      <c r="R244" s="174" t="s">
        <v>231</v>
      </c>
      <c r="S244" s="157">
        <f>U201/S170</f>
        <v>22.631058358061328</v>
      </c>
      <c r="T244" s="157" t="s">
        <v>412</v>
      </c>
      <c r="U244" s="157"/>
      <c r="V244" s="10"/>
      <c r="W244" s="10"/>
      <c r="X244" s="162">
        <f>V170*(1+$N$244)</f>
        <v>16.182720762374494</v>
      </c>
      <c r="Y244" s="162">
        <f>X244*(1+$N$244)</f>
        <v>18.610128876730666</v>
      </c>
      <c r="Z244" s="162">
        <f t="shared" ref="Z244:AG244" si="751">Y244*(1+$N$244)</f>
        <v>21.401648208240264</v>
      </c>
      <c r="AA244" s="162">
        <f t="shared" si="751"/>
        <v>24.611895439476303</v>
      </c>
      <c r="AB244" s="162">
        <f t="shared" si="751"/>
        <v>28.303679755397745</v>
      </c>
      <c r="AC244" s="162">
        <f t="shared" si="751"/>
        <v>32.549231718707404</v>
      </c>
      <c r="AD244" s="162">
        <f t="shared" si="751"/>
        <v>37.431616476513511</v>
      </c>
      <c r="AE244" s="162">
        <f t="shared" si="751"/>
        <v>43.046358947990534</v>
      </c>
      <c r="AF244" s="162">
        <f t="shared" si="751"/>
        <v>49.503312790189113</v>
      </c>
      <c r="AG244" s="162">
        <f t="shared" si="751"/>
        <v>56.928809708717473</v>
      </c>
      <c r="AH244" s="162">
        <f t="shared" ref="AH244" si="752">AG244*(1+$N$244)</f>
        <v>65.468131165025085</v>
      </c>
      <c r="AI244" s="162">
        <f t="shared" ref="AI244" si="753">AH244*(1+$N$244)</f>
        <v>75.288350839778843</v>
      </c>
      <c r="AJ244" s="162">
        <f t="shared" ref="AJ244" si="754">AI244*(1+$N$244)</f>
        <v>86.581603465745658</v>
      </c>
      <c r="AK244" s="162">
        <f t="shared" ref="AK244" si="755">AJ244*(1+$N$244)</f>
        <v>99.568843985607501</v>
      </c>
      <c r="AL244" s="162">
        <f t="shared" ref="AL244" si="756">AK244*(1+$N$244)</f>
        <v>114.50417058344861</v>
      </c>
      <c r="AM244" s="162">
        <f t="shared" ref="AM244" si="757">AL244*(1+$N$244)</f>
        <v>131.67979617096589</v>
      </c>
      <c r="AN244" s="162">
        <f t="shared" ref="AN244" si="758">AM244*(1+$N$244)</f>
        <v>151.43176559661075</v>
      </c>
      <c r="AO244" s="162">
        <f t="shared" ref="AO244" si="759">AN244*(1+$N$244)</f>
        <v>174.14653043610235</v>
      </c>
      <c r="AP244" s="162">
        <f t="shared" ref="AP244" si="760">AO244*(1+$N$244)</f>
        <v>200.26851000151768</v>
      </c>
      <c r="AQ244" s="162">
        <f t="shared" ref="AQ244" si="761">AP244*(1+$N$244)</f>
        <v>230.30878650174532</v>
      </c>
      <c r="AR244" s="162">
        <f t="shared" ref="AR244" si="762">AQ244*(1+$N$244)</f>
        <v>264.8551044770071</v>
      </c>
      <c r="AS244" s="162">
        <f t="shared" ref="AS244" si="763">AR244*(1+$N$244)</f>
        <v>304.58337014855812</v>
      </c>
      <c r="AT244" s="162">
        <f t="shared" ref="AT244" si="764">AS244*(1+$N$244)</f>
        <v>350.2708756708418</v>
      </c>
      <c r="AU244" s="162">
        <f t="shared" ref="AU244" si="765">AT244*(1+$N$244)</f>
        <v>402.81150702146806</v>
      </c>
      <c r="AV244" s="162">
        <f t="shared" ref="AV244" si="766">AU244*(1+$N$244)</f>
        <v>463.23323307468826</v>
      </c>
      <c r="AW244" s="162">
        <f t="shared" ref="AW244" si="767">AV244*(1+$N$244)</f>
        <v>532.71821803589148</v>
      </c>
      <c r="AX244" s="162">
        <f t="shared" ref="AX244" si="768">AW244*(1+$N$244)</f>
        <v>612.62595074127512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7">
        <v>0</v>
      </c>
      <c r="K245" s="168">
        <f>T203</f>
        <v>9.6797998180163773</v>
      </c>
      <c r="L245" s="167">
        <v>0.05</v>
      </c>
      <c r="M245" s="166"/>
      <c r="N245" s="160">
        <v>0.15</v>
      </c>
      <c r="O245" s="167">
        <v>0.12</v>
      </c>
      <c r="P245" s="166"/>
      <c r="Q245" s="167">
        <v>0.2</v>
      </c>
      <c r="R245" s="174" t="s">
        <v>411</v>
      </c>
      <c r="S245" s="157">
        <f>U201/U72</f>
        <v>15.822959889349931</v>
      </c>
      <c r="T245" s="157" t="s">
        <v>412</v>
      </c>
      <c r="U245" s="157"/>
      <c r="V245" s="10"/>
      <c r="W245" s="10"/>
      <c r="X245" s="162">
        <f>T72*(1+$N$245)</f>
        <v>24.830058939096268</v>
      </c>
      <c r="Y245" s="162">
        <f>X245*(1+$N$245)</f>
        <v>28.554567779960706</v>
      </c>
      <c r="Z245" s="162">
        <f t="shared" ref="Z245:AG245" si="769">Y245*(1+$N$245)</f>
        <v>32.837752946954808</v>
      </c>
      <c r="AA245" s="162">
        <f t="shared" si="769"/>
        <v>37.763415888998026</v>
      </c>
      <c r="AB245" s="162">
        <f t="shared" si="769"/>
        <v>43.427928272347728</v>
      </c>
      <c r="AC245" s="162">
        <f t="shared" si="769"/>
        <v>49.942117513199882</v>
      </c>
      <c r="AD245" s="162">
        <f t="shared" si="769"/>
        <v>57.43343514017986</v>
      </c>
      <c r="AE245" s="162">
        <f t="shared" si="769"/>
        <v>66.048450411206829</v>
      </c>
      <c r="AF245" s="162">
        <f t="shared" si="769"/>
        <v>75.955717972887854</v>
      </c>
      <c r="AG245" s="162">
        <f t="shared" si="769"/>
        <v>87.34907566882103</v>
      </c>
      <c r="AH245" s="162">
        <f t="shared" ref="AH245" si="770">AG245*(1+$N$245)</f>
        <v>100.45143701914418</v>
      </c>
      <c r="AI245" s="162">
        <f t="shared" ref="AI245" si="771">AH245*(1+$N$245)</f>
        <v>115.5191525720158</v>
      </c>
      <c r="AJ245" s="162">
        <f t="shared" ref="AJ245" si="772">AI245*(1+$N$245)</f>
        <v>132.84702545781815</v>
      </c>
      <c r="AK245" s="162">
        <f t="shared" ref="AK245" si="773">AJ245*(1+$N$245)</f>
        <v>152.77407927649085</v>
      </c>
      <c r="AL245" s="162">
        <f t="shared" ref="AL245" si="774">AK245*(1+$N$245)</f>
        <v>175.69019116796446</v>
      </c>
      <c r="AM245" s="162">
        <f t="shared" ref="AM245" si="775">AL245*(1+$N$245)</f>
        <v>202.04371984315912</v>
      </c>
      <c r="AN245" s="162">
        <f t="shared" ref="AN245" si="776">AM245*(1+$N$245)</f>
        <v>232.35027781963296</v>
      </c>
      <c r="AO245" s="162">
        <f t="shared" ref="AO245" si="777">AN245*(1+$N$245)</f>
        <v>267.20281949257787</v>
      </c>
      <c r="AP245" s="162">
        <f t="shared" ref="AP245" si="778">AO245*(1+$N$245)</f>
        <v>307.28324241646453</v>
      </c>
      <c r="AQ245" s="162">
        <f t="shared" ref="AQ245" si="779">AP245*(1+$N$245)</f>
        <v>353.37572877893416</v>
      </c>
      <c r="AR245" s="162">
        <f t="shared" ref="AR245" si="780">AQ245*(1+$N$245)</f>
        <v>406.38208809577424</v>
      </c>
      <c r="AS245" s="162">
        <f t="shared" ref="AS245" si="781">AR245*(1+$N$245)</f>
        <v>467.33940131014032</v>
      </c>
      <c r="AT245" s="162">
        <f t="shared" ref="AT245" si="782">AS245*(1+$N$245)</f>
        <v>537.44031150666137</v>
      </c>
      <c r="AU245" s="162">
        <f t="shared" ref="AU245" si="783">AT245*(1+$N$245)</f>
        <v>618.0563582326605</v>
      </c>
      <c r="AV245" s="162">
        <f t="shared" ref="AV245" si="784">AU245*(1+$N$245)</f>
        <v>710.76481196755947</v>
      </c>
      <c r="AW245" s="162">
        <f t="shared" ref="AW245" si="785">AV245*(1+$N$245)</f>
        <v>817.37953376269331</v>
      </c>
      <c r="AX245" s="162">
        <f t="shared" ref="AX245" si="786">AW245*(1+$N$245)</f>
        <v>939.98646382709728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7">
        <v>0</v>
      </c>
      <c r="K246" s="168"/>
      <c r="L246" s="167">
        <v>0.05</v>
      </c>
      <c r="M246" s="166"/>
      <c r="N246" s="166"/>
      <c r="O246" s="167">
        <v>0.12</v>
      </c>
      <c r="P246" s="166"/>
      <c r="Q246" s="167">
        <v>0.2</v>
      </c>
      <c r="R246" s="10"/>
      <c r="S246" s="10"/>
      <c r="T246" s="10"/>
      <c r="U246" s="10"/>
      <c r="V246" s="10"/>
      <c r="W246" s="10"/>
      <c r="X246" s="111">
        <f>U201-X245</f>
        <v>175.16994106090374</v>
      </c>
      <c r="Y246" s="161">
        <f>X246-Y245</f>
        <v>146.61537328094303</v>
      </c>
      <c r="Z246" s="161">
        <f t="shared" ref="Z246:AE246" si="787">Y246-Z245</f>
        <v>113.77762033398822</v>
      </c>
      <c r="AA246" s="161">
        <f t="shared" si="787"/>
        <v>76.014204444990199</v>
      </c>
      <c r="AB246" s="161">
        <f t="shared" si="787"/>
        <v>32.586276172642471</v>
      </c>
      <c r="AC246" s="161">
        <f t="shared" si="787"/>
        <v>-17.355841340557411</v>
      </c>
      <c r="AD246" s="161">
        <f t="shared" si="787"/>
        <v>-74.789276480737271</v>
      </c>
      <c r="AE246" s="161">
        <f t="shared" si="787"/>
        <v>-140.8377268919441</v>
      </c>
      <c r="AF246" s="161">
        <f>AE246-AF245</f>
        <v>-216.79344486483194</v>
      </c>
      <c r="AG246" s="161">
        <f t="shared" ref="AG246" si="788">AF246-AG245</f>
        <v>-304.14252053365294</v>
      </c>
      <c r="AH246" s="161">
        <f t="shared" ref="AH246" si="789">AG246-AH245</f>
        <v>-404.59395755279712</v>
      </c>
      <c r="AI246" s="161">
        <f t="shared" ref="AI246" si="790">AH246-AI245</f>
        <v>-520.11311012481292</v>
      </c>
      <c r="AJ246" s="161">
        <f t="shared" ref="AJ246" si="791">AI246-AJ245</f>
        <v>-652.9601355826311</v>
      </c>
      <c r="AK246" s="161">
        <f t="shared" ref="AK246" si="792">AJ246-AK245</f>
        <v>-805.73421485912195</v>
      </c>
      <c r="AL246" s="161">
        <f t="shared" ref="AL246" si="793">AK246-AL245</f>
        <v>-981.42440602708643</v>
      </c>
      <c r="AM246" s="161">
        <f t="shared" ref="AM246" si="794">AL246-AM245</f>
        <v>-1183.4681258702456</v>
      </c>
      <c r="AN246" s="161">
        <f t="shared" ref="AN246" si="795">AM246-AN245</f>
        <v>-1415.8184036898786</v>
      </c>
      <c r="AO246" s="161">
        <f t="shared" ref="AO246" si="796">AN246-AO245</f>
        <v>-1683.0212231824564</v>
      </c>
      <c r="AP246" s="161">
        <f t="shared" ref="AP246" si="797">AO246-AP245</f>
        <v>-1990.3044655989211</v>
      </c>
      <c r="AQ246" s="161">
        <f t="shared" ref="AQ246" si="798">AP246-AQ245</f>
        <v>-2343.6801943778551</v>
      </c>
      <c r="AR246" s="161">
        <f t="shared" ref="AR246" si="799">AQ246-AR245</f>
        <v>-2750.0622824736292</v>
      </c>
      <c r="AS246" s="161">
        <f t="shared" ref="AS246" si="800">AR246-AS245</f>
        <v>-3217.4016837837694</v>
      </c>
      <c r="AT246" s="161">
        <f t="shared" ref="AT246" si="801">AS246-AT245</f>
        <v>-3754.8419952904305</v>
      </c>
      <c r="AU246" s="161">
        <f t="shared" ref="AU246" si="802">AT246-AU245</f>
        <v>-4372.8983535230909</v>
      </c>
      <c r="AV246" s="161">
        <f t="shared" ref="AV246" si="803">AU246-AV245</f>
        <v>-5083.6631654906505</v>
      </c>
      <c r="AW246" s="161">
        <f t="shared" ref="AW246" si="804">AV246-AW245</f>
        <v>-5901.0426992533439</v>
      </c>
      <c r="AX246" s="161">
        <f t="shared" ref="AX246" si="805">AW246-AX245</f>
        <v>-6841.0291630804413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>
        <f t="shared" ref="H248:I248" si="806">H10/H7</f>
        <v>0.90515806988352743</v>
      </c>
      <c r="I248" s="15">
        <f t="shared" si="806"/>
        <v>1.1829652996845426</v>
      </c>
      <c r="J248" s="15">
        <f t="shared" ref="J248:T248" si="807">J10/J7</f>
        <v>0.88021390374331554</v>
      </c>
      <c r="K248" s="15">
        <f t="shared" si="807"/>
        <v>0.54653130287648055</v>
      </c>
      <c r="L248" s="15">
        <f t="shared" si="807"/>
        <v>0.65974796145292813</v>
      </c>
      <c r="M248" s="15">
        <f t="shared" si="807"/>
        <v>0.86781901372648707</v>
      </c>
      <c r="N248" s="15">
        <f t="shared" si="807"/>
        <v>1.0281923714759535</v>
      </c>
      <c r="O248" s="15">
        <f t="shared" si="807"/>
        <v>0.90007062146892658</v>
      </c>
      <c r="P248" s="15">
        <f t="shared" si="807"/>
        <v>0.67088235294117649</v>
      </c>
      <c r="Q248" s="15">
        <f t="shared" si="807"/>
        <v>0.2160034980323568</v>
      </c>
      <c r="R248" s="15">
        <f t="shared" si="807"/>
        <v>0.15876165905933717</v>
      </c>
      <c r="S248" s="15">
        <f t="shared" si="807"/>
        <v>0.21832011652370933</v>
      </c>
      <c r="T248" s="15">
        <f t="shared" si="807"/>
        <v>0.44505419124708467</v>
      </c>
      <c r="U248" s="15">
        <f t="shared" ref="U248" si="808">U10/U7</f>
        <v>0.45468494271685761</v>
      </c>
      <c r="V248" s="101" t="e">
        <f t="shared" ref="V248:V250" si="809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>
        <f t="shared" ref="H249:I249" si="810">H10/H12</f>
        <v>4.4958677685950414</v>
      </c>
      <c r="I249" s="96">
        <f t="shared" si="810"/>
        <v>3.2467532467532467</v>
      </c>
      <c r="J249" s="96">
        <f t="shared" ref="J249:T249" si="811">J10/J12</f>
        <v>4.2642487046632125</v>
      </c>
      <c r="K249" s="96">
        <f t="shared" si="811"/>
        <v>2.2666666666666666</v>
      </c>
      <c r="L249" s="96">
        <f t="shared" si="811"/>
        <v>2.4653739612188366</v>
      </c>
      <c r="M249" s="96">
        <f t="shared" si="811"/>
        <v>4.9051724137931032</v>
      </c>
      <c r="N249" s="96">
        <f t="shared" si="811"/>
        <v>12.984293193717278</v>
      </c>
      <c r="O249" s="96">
        <f t="shared" si="811"/>
        <v>14.734104046242775</v>
      </c>
      <c r="P249" s="96">
        <f t="shared" si="811"/>
        <v>6.8089552238805968</v>
      </c>
      <c r="Q249" s="96">
        <f t="shared" si="811"/>
        <v>1.510703363914373</v>
      </c>
      <c r="R249" s="96">
        <f t="shared" si="811"/>
        <v>1.3445378151260505</v>
      </c>
      <c r="S249" s="96">
        <f t="shared" si="811"/>
        <v>2.2672268907563025</v>
      </c>
      <c r="T249" s="96">
        <f t="shared" si="811"/>
        <v>9.6547619047619051</v>
      </c>
      <c r="U249" s="96">
        <f t="shared" ref="U249" si="812">U10/U12</f>
        <v>7.4207011686143574</v>
      </c>
      <c r="V249" s="101" t="e">
        <f t="shared" si="809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>
        <f t="shared" ref="H250:I250" si="813">H10/(H12+H13)</f>
        <v>4.387096774193548</v>
      </c>
      <c r="I250" s="15">
        <f t="shared" si="813"/>
        <v>3.2411408815903195</v>
      </c>
      <c r="J250" s="15">
        <f t="shared" ref="J250:T250" si="814">J10/(J12+J13)</f>
        <v>4.1565656565656566</v>
      </c>
      <c r="K250" s="15">
        <f t="shared" si="814"/>
        <v>2.2275862068965515</v>
      </c>
      <c r="L250" s="15">
        <f t="shared" si="814"/>
        <v>2.4316939890710381</v>
      </c>
      <c r="M250" s="15">
        <f t="shared" si="814"/>
        <v>4.8220338983050848</v>
      </c>
      <c r="N250" s="15">
        <f t="shared" si="814"/>
        <v>12.277227722772277</v>
      </c>
      <c r="O250" s="15">
        <f t="shared" si="814"/>
        <v>13.486772486772487</v>
      </c>
      <c r="P250" s="15">
        <f t="shared" si="814"/>
        <v>5.8487179487179484</v>
      </c>
      <c r="Q250" s="15">
        <f t="shared" si="814"/>
        <v>1.3760445682451254</v>
      </c>
      <c r="R250" s="15">
        <f t="shared" si="814"/>
        <v>1.0781671159029649</v>
      </c>
      <c r="S250" s="15">
        <f t="shared" si="814"/>
        <v>1.8814504881450489</v>
      </c>
      <c r="T250" s="15">
        <f t="shared" si="814"/>
        <v>4.4316939890710385</v>
      </c>
      <c r="U250" s="15">
        <f t="shared" ref="U250" si="815">U10/(U12+U13)</f>
        <v>2.2900566718186504</v>
      </c>
      <c r="V250" s="101" t="e">
        <f t="shared" si="809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0" t="s">
        <v>322</v>
      </c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0"/>
      <c r="O253" s="307" t="s">
        <v>282</v>
      </c>
      <c r="P253" s="308"/>
      <c r="Q253" s="309"/>
      <c r="R253" s="13" t="s">
        <v>285</v>
      </c>
      <c r="S253" s="10"/>
      <c r="T253" s="115"/>
      <c r="U253" s="115"/>
      <c r="V253" s="307" t="s">
        <v>283</v>
      </c>
      <c r="W253" s="308"/>
      <c r="X253" s="309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2" t="s">
        <v>284</v>
      </c>
      <c r="D254" s="142" t="s">
        <v>0</v>
      </c>
      <c r="E254" s="142" t="s">
        <v>323</v>
      </c>
      <c r="F254" s="142"/>
      <c r="G254" s="142" t="s">
        <v>324</v>
      </c>
      <c r="H254" s="142" t="s">
        <v>325</v>
      </c>
      <c r="I254" s="142" t="s">
        <v>326</v>
      </c>
      <c r="J254" s="142" t="s">
        <v>327</v>
      </c>
      <c r="K254" s="142" t="s">
        <v>328</v>
      </c>
      <c r="L254" s="10"/>
      <c r="M254" s="142" t="s">
        <v>284</v>
      </c>
      <c r="N254" s="142"/>
      <c r="O254" s="142" t="s">
        <v>0</v>
      </c>
      <c r="P254" s="142" t="s">
        <v>317</v>
      </c>
      <c r="Q254" s="10"/>
      <c r="R254" s="10"/>
      <c r="S254" s="142" t="s">
        <v>284</v>
      </c>
      <c r="T254" s="142"/>
      <c r="U254" s="142"/>
      <c r="V254" s="142" t="s">
        <v>0</v>
      </c>
      <c r="W254" s="142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3" t="s">
        <v>286</v>
      </c>
      <c r="D255" s="11">
        <v>250</v>
      </c>
      <c r="E255" s="152" t="s">
        <v>329</v>
      </c>
      <c r="F255" s="152"/>
      <c r="G255" s="12">
        <v>1</v>
      </c>
      <c r="H255" s="12">
        <v>1</v>
      </c>
      <c r="I255" s="143">
        <f>G255/H255</f>
        <v>1</v>
      </c>
      <c r="J255" s="143">
        <f>I255*D256</f>
        <v>1</v>
      </c>
      <c r="K255" s="153">
        <f>J255+D256</f>
        <v>2</v>
      </c>
      <c r="L255" s="10"/>
      <c r="M255" s="143" t="s">
        <v>286</v>
      </c>
      <c r="N255" s="143"/>
      <c r="O255" s="11">
        <v>1</v>
      </c>
      <c r="P255" s="149">
        <f>O255</f>
        <v>1</v>
      </c>
      <c r="Q255" s="10"/>
      <c r="R255" s="10"/>
      <c r="S255" s="143" t="s">
        <v>286</v>
      </c>
      <c r="T255" s="143"/>
      <c r="U255" s="143"/>
      <c r="V255" s="11">
        <v>1</v>
      </c>
      <c r="W255" s="149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3" t="s">
        <v>287</v>
      </c>
      <c r="D256" s="11">
        <v>1</v>
      </c>
      <c r="E256" s="152" t="s">
        <v>330</v>
      </c>
      <c r="F256" s="152"/>
      <c r="G256" s="12">
        <v>0</v>
      </c>
      <c r="H256" s="12">
        <v>1</v>
      </c>
      <c r="I256" s="143">
        <f>G256/H256</f>
        <v>0</v>
      </c>
      <c r="J256" s="143">
        <f>I256*K255</f>
        <v>0</v>
      </c>
      <c r="K256" s="143">
        <f>J256+K255</f>
        <v>2</v>
      </c>
      <c r="L256" s="10"/>
      <c r="M256" s="143" t="s">
        <v>287</v>
      </c>
      <c r="N256" s="143"/>
      <c r="O256" s="11">
        <v>1</v>
      </c>
      <c r="P256" s="149">
        <f>O256</f>
        <v>1</v>
      </c>
      <c r="Q256" s="10"/>
      <c r="R256" s="10"/>
      <c r="S256" s="143" t="s">
        <v>287</v>
      </c>
      <c r="T256" s="143"/>
      <c r="U256" s="143"/>
      <c r="V256" s="11">
        <v>1</v>
      </c>
      <c r="W256" s="149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3" t="s">
        <v>289</v>
      </c>
      <c r="D257" s="144">
        <f>D255*D256</f>
        <v>250</v>
      </c>
      <c r="E257" s="152" t="s">
        <v>342</v>
      </c>
      <c r="F257" s="152"/>
      <c r="G257" s="12">
        <v>0</v>
      </c>
      <c r="H257" s="12">
        <v>1</v>
      </c>
      <c r="I257" s="143">
        <f>G257/H257</f>
        <v>0</v>
      </c>
      <c r="J257" s="143">
        <f>I257*K256</f>
        <v>0</v>
      </c>
      <c r="K257" s="143">
        <f>J257+K256</f>
        <v>2</v>
      </c>
      <c r="L257" s="10"/>
      <c r="M257" s="143" t="s">
        <v>288</v>
      </c>
      <c r="N257" s="143"/>
      <c r="O257" s="144">
        <f>O255*O256</f>
        <v>1</v>
      </c>
      <c r="P257" s="149">
        <f>O257</f>
        <v>1</v>
      </c>
      <c r="Q257" s="10"/>
      <c r="R257" s="10"/>
      <c r="S257" s="143" t="s">
        <v>289</v>
      </c>
      <c r="T257" s="143"/>
      <c r="U257" s="143"/>
      <c r="V257" s="144">
        <f>V255*V256</f>
        <v>1</v>
      </c>
      <c r="W257" s="149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3"/>
      <c r="D258" s="144"/>
      <c r="E258" s="152" t="s">
        <v>398</v>
      </c>
      <c r="F258" s="152"/>
      <c r="G258" s="12">
        <v>0</v>
      </c>
      <c r="H258" s="12">
        <v>1</v>
      </c>
      <c r="I258" s="143">
        <f t="shared" ref="I258:I261" si="816">G258/H258</f>
        <v>0</v>
      </c>
      <c r="J258" s="143">
        <f t="shared" ref="J258:J260" si="817">I258*K257</f>
        <v>0</v>
      </c>
      <c r="K258" s="143">
        <f t="shared" ref="K258:K260" si="818">J258+K257</f>
        <v>2</v>
      </c>
      <c r="L258" s="10"/>
      <c r="M258" s="143" t="s">
        <v>290</v>
      </c>
      <c r="N258" s="143"/>
      <c r="O258" s="11">
        <v>1</v>
      </c>
      <c r="P258" s="11">
        <v>1</v>
      </c>
      <c r="Q258" s="10"/>
      <c r="R258" s="10"/>
      <c r="S258" s="143" t="s">
        <v>290</v>
      </c>
      <c r="T258" s="143"/>
      <c r="U258" s="143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3"/>
      <c r="D259" s="144"/>
      <c r="E259" s="152" t="s">
        <v>399</v>
      </c>
      <c r="F259" s="152"/>
      <c r="G259" s="12">
        <v>0</v>
      </c>
      <c r="H259" s="12">
        <v>1</v>
      </c>
      <c r="I259" s="143">
        <f t="shared" si="816"/>
        <v>0</v>
      </c>
      <c r="J259" s="143">
        <f t="shared" si="817"/>
        <v>0</v>
      </c>
      <c r="K259" s="143">
        <f t="shared" si="818"/>
        <v>2</v>
      </c>
      <c r="L259" s="10"/>
      <c r="M259" s="143" t="s">
        <v>291</v>
      </c>
      <c r="N259" s="143"/>
      <c r="O259" s="144">
        <f>O258*O256</f>
        <v>1</v>
      </c>
      <c r="P259" s="144">
        <f>P258*P256</f>
        <v>1</v>
      </c>
      <c r="Q259" s="10"/>
      <c r="R259" s="10"/>
      <c r="S259" s="143" t="s">
        <v>287</v>
      </c>
      <c r="T259" s="143"/>
      <c r="U259" s="143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3"/>
      <c r="D260" s="144"/>
      <c r="E260" s="152" t="s">
        <v>400</v>
      </c>
      <c r="F260" s="152"/>
      <c r="G260" s="12">
        <v>0</v>
      </c>
      <c r="H260" s="12">
        <v>1</v>
      </c>
      <c r="I260" s="143">
        <f t="shared" si="816"/>
        <v>0</v>
      </c>
      <c r="J260" s="143">
        <f t="shared" si="817"/>
        <v>0</v>
      </c>
      <c r="K260" s="143">
        <f t="shared" si="818"/>
        <v>2</v>
      </c>
      <c r="L260" s="10"/>
      <c r="M260" s="143"/>
      <c r="N260" s="143"/>
      <c r="O260" s="144"/>
      <c r="P260" s="144"/>
      <c r="Q260" s="10"/>
      <c r="R260" s="10"/>
      <c r="S260" s="143" t="s">
        <v>289</v>
      </c>
      <c r="T260" s="143"/>
      <c r="U260" s="143"/>
      <c r="V260" s="144">
        <f>V259*V258</f>
        <v>1</v>
      </c>
      <c r="W260" s="144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3"/>
      <c r="D261" s="144"/>
      <c r="E261" s="152" t="s">
        <v>331</v>
      </c>
      <c r="F261" s="152"/>
      <c r="G261" s="12">
        <v>10</v>
      </c>
      <c r="H261" s="12">
        <v>1</v>
      </c>
      <c r="I261" s="143">
        <f t="shared" si="816"/>
        <v>10</v>
      </c>
      <c r="J261" s="143">
        <f>I261*K260</f>
        <v>20</v>
      </c>
      <c r="K261" s="143">
        <f>J261</f>
        <v>20</v>
      </c>
      <c r="L261" s="10"/>
      <c r="M261" s="143"/>
      <c r="N261" s="143"/>
      <c r="O261" s="144"/>
      <c r="P261" s="144"/>
      <c r="Q261" s="10"/>
      <c r="R261" s="10"/>
      <c r="S261" s="143"/>
      <c r="T261" s="143"/>
      <c r="U261" s="143"/>
      <c r="V261" s="144"/>
      <c r="W261" s="144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3"/>
      <c r="D262" s="144"/>
      <c r="E262" s="152" t="s">
        <v>401</v>
      </c>
      <c r="F262" s="152"/>
      <c r="G262" s="12">
        <v>0</v>
      </c>
      <c r="H262" s="12">
        <v>1</v>
      </c>
      <c r="I262" s="143">
        <f>G262/H262</f>
        <v>0</v>
      </c>
      <c r="J262" s="143">
        <f>I262*K261</f>
        <v>0</v>
      </c>
      <c r="K262" s="143">
        <f>J262</f>
        <v>0</v>
      </c>
      <c r="L262" s="10"/>
      <c r="M262" s="145" t="s">
        <v>292</v>
      </c>
      <c r="N262" s="145"/>
      <c r="O262" s="146">
        <f>O259/O257</f>
        <v>1</v>
      </c>
      <c r="P262" s="146">
        <f>P259/P257</f>
        <v>1</v>
      </c>
      <c r="Q262" s="10"/>
      <c r="R262" s="10"/>
      <c r="S262" s="145" t="s">
        <v>292</v>
      </c>
      <c r="T262" s="145"/>
      <c r="U262" s="145"/>
      <c r="V262" s="146">
        <f>V260/V257</f>
        <v>1</v>
      </c>
      <c r="W262" s="146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3" t="s">
        <v>290</v>
      </c>
      <c r="D263" s="11">
        <v>230</v>
      </c>
      <c r="E263" s="152"/>
      <c r="F263" s="152"/>
      <c r="G263" s="143"/>
      <c r="H263" s="143"/>
      <c r="I263" s="145" t="s">
        <v>332</v>
      </c>
      <c r="J263" s="143"/>
      <c r="K263" s="143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3" t="s">
        <v>287</v>
      </c>
      <c r="D264" s="11">
        <v>10</v>
      </c>
      <c r="E264" s="152" t="s">
        <v>331</v>
      </c>
      <c r="F264" s="152"/>
      <c r="G264" s="12">
        <v>10</v>
      </c>
      <c r="H264" s="12">
        <v>2</v>
      </c>
      <c r="I264" s="143">
        <f>G264/H264</f>
        <v>5</v>
      </c>
      <c r="J264" s="153">
        <f>I264*D256</f>
        <v>5</v>
      </c>
      <c r="K264" s="153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3" t="s">
        <v>289</v>
      </c>
      <c r="D265" s="144">
        <f>D264*D263</f>
        <v>2300</v>
      </c>
      <c r="E265" s="143"/>
      <c r="F265" s="143"/>
      <c r="G265" s="143"/>
      <c r="H265" s="143"/>
      <c r="I265" s="145" t="s">
        <v>332</v>
      </c>
      <c r="J265" s="143"/>
      <c r="K265" s="143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3"/>
      <c r="D266" s="144"/>
      <c r="E266" s="152" t="s">
        <v>331</v>
      </c>
      <c r="F266" s="152"/>
      <c r="G266" s="12">
        <v>10</v>
      </c>
      <c r="H266" s="12">
        <v>2</v>
      </c>
      <c r="I266" s="143">
        <f>G266/H266</f>
        <v>5</v>
      </c>
      <c r="J266" s="143">
        <f>I266*K265</f>
        <v>25</v>
      </c>
      <c r="K266" s="143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5" t="s">
        <v>292</v>
      </c>
      <c r="D267" s="146">
        <f>D265/D257</f>
        <v>9.1999999999999993</v>
      </c>
      <c r="E267" s="152"/>
      <c r="F267" s="152"/>
      <c r="G267" s="143"/>
      <c r="H267" s="143"/>
      <c r="I267" s="145" t="s">
        <v>332</v>
      </c>
      <c r="J267" s="143"/>
      <c r="K267" s="143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4"/>
      <c r="F269" s="154"/>
      <c r="G269" s="154"/>
      <c r="H269" s="154"/>
      <c r="I269" s="154"/>
      <c r="J269" s="155"/>
      <c r="K269" s="10"/>
      <c r="L269" s="115"/>
      <c r="M269" s="154"/>
      <c r="N269" s="155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0" t="s">
        <v>15</v>
      </c>
      <c r="E270" s="301"/>
      <c r="F270" s="301"/>
      <c r="G270" s="301"/>
      <c r="H270" s="301"/>
      <c r="I270" s="301"/>
      <c r="J270" s="302"/>
      <c r="K270" s="10"/>
      <c r="L270" s="300" t="s">
        <v>337</v>
      </c>
      <c r="M270" s="301"/>
      <c r="N270" s="302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250</v>
      </c>
      <c r="H271" s="11">
        <f>D257</f>
        <v>250</v>
      </c>
      <c r="I271" s="10"/>
      <c r="J271" s="10"/>
      <c r="K271" s="10"/>
      <c r="L271" s="10" t="s">
        <v>16</v>
      </c>
      <c r="M271" s="109"/>
      <c r="N271" s="11">
        <f>H271</f>
        <v>250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2300</v>
      </c>
      <c r="H272" s="11">
        <f>D265</f>
        <v>2300</v>
      </c>
      <c r="I272" s="10"/>
      <c r="J272" s="10"/>
      <c r="K272" s="10"/>
      <c r="L272" s="10" t="s">
        <v>17</v>
      </c>
      <c r="M272" s="10"/>
      <c r="N272" s="11">
        <f>H272</f>
        <v>2300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0.24847193112378707</v>
      </c>
      <c r="H274" s="3">
        <f>((H272/H271)^(1/H273))-1</f>
        <v>0.24847193112378707</v>
      </c>
      <c r="I274" s="10"/>
      <c r="J274" s="10"/>
      <c r="K274" s="10"/>
      <c r="L274" s="13" t="s">
        <v>338</v>
      </c>
      <c r="M274" s="13"/>
      <c r="N274" s="169">
        <f>(N272-N271)/N271</f>
        <v>8.1999999999999993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1"/>
      <c r="F275" s="141"/>
      <c r="G275" s="141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2">
        <f>N272/N271</f>
        <v>9.1999999999999993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0.24847193112378707</v>
      </c>
      <c r="H277" s="3">
        <f>((H272/H271)^(1/H276))-1</f>
        <v>0.24847193112378707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3" t="s">
        <v>15</v>
      </c>
      <c r="K5" s="273"/>
      <c r="M5" s="273" t="s">
        <v>53</v>
      </c>
      <c r="N5" s="273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3" t="s">
        <v>24</v>
      </c>
      <c r="K14" s="273"/>
      <c r="L14" s="273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3" t="s">
        <v>15</v>
      </c>
      <c r="S5" s="273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3" t="s">
        <v>24</v>
      </c>
      <c r="S14" s="273"/>
      <c r="T14" s="273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3" t="s">
        <v>15</v>
      </c>
      <c r="C2" s="273"/>
      <c r="E2" s="273" t="s">
        <v>53</v>
      </c>
      <c r="F2" s="273"/>
      <c r="H2" s="315" t="s">
        <v>24</v>
      </c>
      <c r="I2" s="316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2" t="s">
        <v>56</v>
      </c>
      <c r="E10" s="313"/>
      <c r="F10" s="313"/>
      <c r="G10" s="313"/>
      <c r="H10" s="314"/>
      <c r="I10" s="312" t="s">
        <v>60</v>
      </c>
      <c r="J10" s="313"/>
      <c r="K10" s="313"/>
      <c r="L10" s="314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3"/>
    <col min="2" max="2" width="16.5703125" style="163" customWidth="1"/>
    <col min="3" max="3" width="39.7109375" style="163" customWidth="1"/>
    <col min="4" max="5" width="9.140625" style="163"/>
    <col min="6" max="6" width="19" style="163" bestFit="1" customWidth="1"/>
    <col min="7" max="7" width="49" style="163" customWidth="1"/>
    <col min="8" max="16384" width="9.140625" style="163"/>
  </cols>
  <sheetData>
    <row r="3" spans="2:7">
      <c r="B3" s="317" t="s">
        <v>376</v>
      </c>
      <c r="C3" s="318"/>
      <c r="F3" s="317" t="s">
        <v>377</v>
      </c>
      <c r="G3" s="318"/>
    </row>
    <row r="4" spans="2:7">
      <c r="B4" s="164" t="s">
        <v>378</v>
      </c>
      <c r="C4" s="164"/>
      <c r="F4" s="164" t="s">
        <v>379</v>
      </c>
      <c r="G4" s="164"/>
    </row>
    <row r="5" spans="2:7">
      <c r="B5" s="164" t="s">
        <v>380</v>
      </c>
      <c r="C5" s="164"/>
      <c r="F5" s="164" t="s">
        <v>242</v>
      </c>
      <c r="G5" s="164"/>
    </row>
    <row r="6" spans="2:7">
      <c r="B6" s="164" t="s">
        <v>381</v>
      </c>
      <c r="C6" s="164"/>
      <c r="F6" s="164" t="s">
        <v>382</v>
      </c>
      <c r="G6" s="164"/>
    </row>
    <row r="7" spans="2:7">
      <c r="B7" s="164" t="s">
        <v>383</v>
      </c>
      <c r="C7" s="164"/>
      <c r="F7" s="164" t="s">
        <v>384</v>
      </c>
      <c r="G7" s="164"/>
    </row>
    <row r="8" spans="2:7">
      <c r="B8" s="164" t="s">
        <v>385</v>
      </c>
      <c r="C8" s="164"/>
      <c r="F8" s="164" t="s">
        <v>386</v>
      </c>
      <c r="G8" s="164"/>
    </row>
    <row r="9" spans="2:7">
      <c r="B9" s="164" t="s">
        <v>387</v>
      </c>
      <c r="C9" s="164"/>
      <c r="F9" s="164" t="s">
        <v>388</v>
      </c>
      <c r="G9" s="164"/>
    </row>
    <row r="10" spans="2:7">
      <c r="B10" s="164" t="s">
        <v>386</v>
      </c>
      <c r="C10" s="164"/>
      <c r="F10" s="164"/>
      <c r="G10" s="164"/>
    </row>
    <row r="11" spans="2:7">
      <c r="B11" s="164" t="s">
        <v>389</v>
      </c>
      <c r="C11" s="164"/>
      <c r="F11" s="164"/>
      <c r="G11" s="164"/>
    </row>
    <row r="12" spans="2:7">
      <c r="B12" s="164" t="s">
        <v>390</v>
      </c>
      <c r="C12" s="164"/>
      <c r="F12" s="164"/>
      <c r="G12" s="164"/>
    </row>
    <row r="13" spans="2:7">
      <c r="B13" s="164"/>
      <c r="C13" s="164"/>
      <c r="F13" s="164"/>
      <c r="G13" s="16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2018-07-14T14:42:03Z</dcterms:modified>
</cp:coreProperties>
</file>
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25725"/>
</workbook>
</file>

<file path=xl/calcChain.xml><?xml version="1.0" encoding="utf-8"?>
<calcChain xmlns="http://schemas.openxmlformats.org/spreadsheetml/2006/main">
  <c r="S60" i="18"/>
  <c r="S58"/>
  <c r="S56"/>
  <c r="S54"/>
  <c r="S52"/>
  <c r="S48"/>
  <c r="S46"/>
  <c r="S44"/>
  <c r="S39"/>
  <c r="S37"/>
  <c r="S30"/>
  <c r="S28"/>
  <c r="S26"/>
  <c r="S11"/>
  <c r="S8"/>
  <c r="V253"/>
  <c r="W252"/>
  <c r="W253" s="1"/>
  <c r="V250"/>
  <c r="W250" s="1"/>
  <c r="W249"/>
  <c r="W248"/>
  <c r="P252"/>
  <c r="P250"/>
  <c r="Q250" s="1"/>
  <c r="Q249"/>
  <c r="Q252" s="1"/>
  <c r="Q248"/>
  <c r="H268"/>
  <c r="H269"/>
  <c r="Q60"/>
  <c r="P60"/>
  <c r="O60"/>
  <c r="N60"/>
  <c r="M60"/>
  <c r="L60"/>
  <c r="K60"/>
  <c r="J60"/>
  <c r="I60"/>
  <c r="H60"/>
  <c r="G60"/>
  <c r="Q58"/>
  <c r="P58"/>
  <c r="O58"/>
  <c r="N58"/>
  <c r="M58"/>
  <c r="L58"/>
  <c r="K58"/>
  <c r="J58"/>
  <c r="I58"/>
  <c r="H58"/>
  <c r="G58"/>
  <c r="Q56"/>
  <c r="P56"/>
  <c r="O56"/>
  <c r="N56"/>
  <c r="M56"/>
  <c r="L56"/>
  <c r="K56"/>
  <c r="J56"/>
  <c r="I56"/>
  <c r="H56"/>
  <c r="G56"/>
  <c r="Q54"/>
  <c r="P54"/>
  <c r="O54"/>
  <c r="N54"/>
  <c r="M54"/>
  <c r="L54"/>
  <c r="K54"/>
  <c r="J54"/>
  <c r="I54"/>
  <c r="H54"/>
  <c r="G54"/>
  <c r="Q52"/>
  <c r="P52"/>
  <c r="O52"/>
  <c r="N52"/>
  <c r="M52"/>
  <c r="L52"/>
  <c r="K52"/>
  <c r="J52"/>
  <c r="I52"/>
  <c r="H52"/>
  <c r="G52"/>
  <c r="Q32"/>
  <c r="Q31"/>
  <c r="Q30"/>
  <c r="P30"/>
  <c r="O30"/>
  <c r="N30"/>
  <c r="M30"/>
  <c r="L30"/>
  <c r="K30"/>
  <c r="J30"/>
  <c r="I30"/>
  <c r="H30"/>
  <c r="G30"/>
  <c r="Q28"/>
  <c r="P28"/>
  <c r="O28"/>
  <c r="N28"/>
  <c r="M28"/>
  <c r="L28"/>
  <c r="K28"/>
  <c r="J28"/>
  <c r="I28"/>
  <c r="H28"/>
  <c r="G28"/>
  <c r="Q26"/>
  <c r="P26"/>
  <c r="O26"/>
  <c r="N26"/>
  <c r="M26"/>
  <c r="L26"/>
  <c r="K26"/>
  <c r="J26"/>
  <c r="I26"/>
  <c r="H26"/>
  <c r="G26"/>
  <c r="N12"/>
  <c r="M12"/>
  <c r="L12"/>
  <c r="K12"/>
  <c r="J12"/>
  <c r="I12"/>
  <c r="H12"/>
  <c r="Q11"/>
  <c r="P11"/>
  <c r="O11"/>
  <c r="N11"/>
  <c r="M11"/>
  <c r="L11"/>
  <c r="K11"/>
  <c r="J11"/>
  <c r="I11"/>
  <c r="H11"/>
  <c r="G11"/>
  <c r="Q8"/>
  <c r="P8"/>
  <c r="O8"/>
  <c r="N8"/>
  <c r="M8"/>
  <c r="L8"/>
  <c r="K8"/>
  <c r="J8"/>
  <c r="I8"/>
  <c r="H8"/>
  <c r="G8"/>
  <c r="T201" l="1"/>
  <c r="T59"/>
  <c r="T57"/>
  <c r="T55"/>
  <c r="T53"/>
  <c r="T51"/>
  <c r="T49"/>
  <c r="T47"/>
  <c r="T45"/>
  <c r="T41"/>
  <c r="T42"/>
  <c r="T43"/>
  <c r="T40"/>
  <c r="T38"/>
  <c r="T36"/>
  <c r="T34"/>
  <c r="T33"/>
  <c r="T32"/>
  <c r="T31"/>
  <c r="T29"/>
  <c r="T27"/>
  <c r="T25"/>
  <c r="T21"/>
  <c r="T22"/>
  <c r="T23"/>
  <c r="T20"/>
  <c r="T18"/>
  <c r="T13"/>
  <c r="T14"/>
  <c r="T15"/>
  <c r="T16"/>
  <c r="T12"/>
  <c r="T10"/>
  <c r="T9"/>
  <c r="T7"/>
  <c r="T6"/>
  <c r="G241"/>
  <c r="H241"/>
  <c r="G242"/>
  <c r="H242"/>
  <c r="G243"/>
  <c r="H243"/>
  <c r="G211"/>
  <c r="H211"/>
  <c r="G212"/>
  <c r="H212"/>
  <c r="G36"/>
  <c r="H37" s="1"/>
  <c r="H36"/>
  <c r="G37"/>
  <c r="G38"/>
  <c r="H39" s="1"/>
  <c r="H38"/>
  <c r="G39"/>
  <c r="G40"/>
  <c r="H40"/>
  <c r="G41"/>
  <c r="H41"/>
  <c r="G42"/>
  <c r="H42"/>
  <c r="G43"/>
  <c r="H44" s="1"/>
  <c r="H43"/>
  <c r="G44"/>
  <c r="G45"/>
  <c r="H46" s="1"/>
  <c r="H45"/>
  <c r="G46"/>
  <c r="G47"/>
  <c r="H48" s="1"/>
  <c r="H47"/>
  <c r="G48"/>
  <c r="G49"/>
  <c r="H49"/>
  <c r="G66"/>
  <c r="H66"/>
  <c r="H202" s="1"/>
  <c r="G67"/>
  <c r="H67"/>
  <c r="G68"/>
  <c r="H68"/>
  <c r="G70"/>
  <c r="G204" s="1"/>
  <c r="H70"/>
  <c r="H204" s="1"/>
  <c r="G71"/>
  <c r="G205" s="1"/>
  <c r="H71"/>
  <c r="H205" s="1"/>
  <c r="G72"/>
  <c r="H72"/>
  <c r="H203" s="1"/>
  <c r="G73"/>
  <c r="H73"/>
  <c r="G74"/>
  <c r="H74"/>
  <c r="H75"/>
  <c r="H206" s="1"/>
  <c r="G76"/>
  <c r="H76"/>
  <c r="G78"/>
  <c r="H78"/>
  <c r="G79"/>
  <c r="H79"/>
  <c r="G80"/>
  <c r="H80"/>
  <c r="H209" s="1"/>
  <c r="G82"/>
  <c r="H82"/>
  <c r="G83"/>
  <c r="H83"/>
  <c r="G84"/>
  <c r="H84"/>
  <c r="H207" s="1"/>
  <c r="G85"/>
  <c r="H85"/>
  <c r="G86"/>
  <c r="H86"/>
  <c r="H208" s="1"/>
  <c r="G88"/>
  <c r="H88"/>
  <c r="H139" s="1"/>
  <c r="H140" s="1"/>
  <c r="G90"/>
  <c r="H90"/>
  <c r="G92"/>
  <c r="H92"/>
  <c r="G93"/>
  <c r="H93"/>
  <c r="G94"/>
  <c r="H94"/>
  <c r="G95"/>
  <c r="H95"/>
  <c r="G96"/>
  <c r="H96"/>
  <c r="G98"/>
  <c r="H98"/>
  <c r="G99"/>
  <c r="H99"/>
  <c r="H100"/>
  <c r="G102"/>
  <c r="H102"/>
  <c r="G105"/>
  <c r="H105"/>
  <c r="G106"/>
  <c r="H106"/>
  <c r="G107"/>
  <c r="H107"/>
  <c r="G108"/>
  <c r="H108"/>
  <c r="G109"/>
  <c r="H109"/>
  <c r="G110"/>
  <c r="H110"/>
  <c r="G112"/>
  <c r="H112"/>
  <c r="G113"/>
  <c r="H113"/>
  <c r="G114"/>
  <c r="H114"/>
  <c r="G115"/>
  <c r="H115"/>
  <c r="G116"/>
  <c r="H116"/>
  <c r="G118"/>
  <c r="H118"/>
  <c r="G119"/>
  <c r="H119"/>
  <c r="G120"/>
  <c r="H120"/>
  <c r="G121"/>
  <c r="H121"/>
  <c r="G122"/>
  <c r="H122"/>
  <c r="G124"/>
  <c r="H124"/>
  <c r="G125"/>
  <c r="H125"/>
  <c r="G126"/>
  <c r="H126"/>
  <c r="G127"/>
  <c r="H127"/>
  <c r="G128"/>
  <c r="H128"/>
  <c r="G129"/>
  <c r="H129"/>
  <c r="G130"/>
  <c r="H130"/>
  <c r="G131"/>
  <c r="H131"/>
  <c r="G132"/>
  <c r="H132"/>
  <c r="G134"/>
  <c r="H134"/>
  <c r="G135"/>
  <c r="H135"/>
  <c r="G136"/>
  <c r="H136"/>
  <c r="G137"/>
  <c r="H137"/>
  <c r="G139"/>
  <c r="G145"/>
  <c r="H145"/>
  <c r="G146"/>
  <c r="H146"/>
  <c r="G147"/>
  <c r="H147"/>
  <c r="G149"/>
  <c r="H149"/>
  <c r="G150"/>
  <c r="H150"/>
  <c r="G151"/>
  <c r="H151"/>
  <c r="G154"/>
  <c r="H154"/>
  <c r="G155"/>
  <c r="H155"/>
  <c r="G156"/>
  <c r="H156"/>
  <c r="G157"/>
  <c r="H157"/>
  <c r="G159"/>
  <c r="H159"/>
  <c r="G160"/>
  <c r="H160"/>
  <c r="G162"/>
  <c r="H162"/>
  <c r="G163"/>
  <c r="H163"/>
  <c r="G164"/>
  <c r="H164"/>
  <c r="G166"/>
  <c r="H166"/>
  <c r="G167"/>
  <c r="H167"/>
  <c r="I47"/>
  <c r="I45"/>
  <c r="I43"/>
  <c r="I42"/>
  <c r="I41"/>
  <c r="I40"/>
  <c r="I38"/>
  <c r="I36"/>
  <c r="G140" l="1"/>
  <c r="H141"/>
  <c r="H142" s="1"/>
  <c r="H143"/>
  <c r="H215"/>
  <c r="H216"/>
  <c r="H217" s="1"/>
  <c r="H214"/>
  <c r="G214"/>
  <c r="G203"/>
  <c r="G209"/>
  <c r="G208"/>
  <c r="G207"/>
  <c r="G202"/>
  <c r="G100"/>
  <c r="G75"/>
  <c r="S129"/>
  <c r="T129" s="1"/>
  <c r="R129"/>
  <c r="Q129"/>
  <c r="P129"/>
  <c r="O129"/>
  <c r="N129"/>
  <c r="M129"/>
  <c r="L129"/>
  <c r="K129"/>
  <c r="J129"/>
  <c r="I129"/>
  <c r="AG47"/>
  <c r="U47"/>
  <c r="V47" s="1"/>
  <c r="W47" s="1"/>
  <c r="X47" s="1"/>
  <c r="Y47" s="1"/>
  <c r="Z47" s="1"/>
  <c r="AA47" s="1"/>
  <c r="AB47" s="1"/>
  <c r="AC47" s="1"/>
  <c r="AD47" s="1"/>
  <c r="AE47" s="1"/>
  <c r="R48"/>
  <c r="Q48"/>
  <c r="P48"/>
  <c r="O48"/>
  <c r="N48"/>
  <c r="M48"/>
  <c r="L48"/>
  <c r="K48"/>
  <c r="J48"/>
  <c r="I48"/>
  <c r="S130"/>
  <c r="T130" s="1"/>
  <c r="R130"/>
  <c r="Q130"/>
  <c r="P130"/>
  <c r="O130"/>
  <c r="N130"/>
  <c r="M130"/>
  <c r="L130"/>
  <c r="K130"/>
  <c r="J130"/>
  <c r="I130"/>
  <c r="V57"/>
  <c r="G141" l="1"/>
  <c r="G143"/>
  <c r="G215"/>
  <c r="G216"/>
  <c r="G206"/>
  <c r="AF47"/>
  <c r="AH47"/>
  <c r="S126"/>
  <c r="T126" s="1"/>
  <c r="R126"/>
  <c r="Q126"/>
  <c r="P126"/>
  <c r="O126"/>
  <c r="N126"/>
  <c r="M126"/>
  <c r="L126"/>
  <c r="K126"/>
  <c r="J126"/>
  <c r="J46"/>
  <c r="U49"/>
  <c r="I49"/>
  <c r="R46"/>
  <c r="Q46"/>
  <c r="P46"/>
  <c r="O46"/>
  <c r="N46"/>
  <c r="M46"/>
  <c r="L46"/>
  <c r="K46"/>
  <c r="I46"/>
  <c r="R44"/>
  <c r="Q44"/>
  <c r="P44"/>
  <c r="O44"/>
  <c r="N44"/>
  <c r="M44"/>
  <c r="L44"/>
  <c r="K44"/>
  <c r="I44"/>
  <c r="R39"/>
  <c r="Q39"/>
  <c r="P39"/>
  <c r="O39"/>
  <c r="N39"/>
  <c r="M39"/>
  <c r="L39"/>
  <c r="K39"/>
  <c r="J39"/>
  <c r="R37"/>
  <c r="Q37"/>
  <c r="P37"/>
  <c r="O37"/>
  <c r="N37"/>
  <c r="M37"/>
  <c r="L37"/>
  <c r="K37"/>
  <c r="J44"/>
  <c r="I39"/>
  <c r="I126"/>
  <c r="G142" l="1"/>
  <c r="G217"/>
  <c r="I37"/>
  <c r="J37"/>
  <c r="S132"/>
  <c r="T132" s="1"/>
  <c r="S131"/>
  <c r="T131" s="1"/>
  <c r="S128"/>
  <c r="T128" s="1"/>
  <c r="S127"/>
  <c r="T127" s="1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31"/>
  <c r="J128"/>
  <c r="J127"/>
  <c r="I132"/>
  <c r="I128"/>
  <c r="I131"/>
  <c r="I127"/>
  <c r="S125"/>
  <c r="T125" s="1"/>
  <c r="R125"/>
  <c r="Q125"/>
  <c r="P125"/>
  <c r="O125"/>
  <c r="N125"/>
  <c r="M125"/>
  <c r="L125"/>
  <c r="K125"/>
  <c r="J125"/>
  <c r="I125"/>
  <c r="S124"/>
  <c r="T124" s="1"/>
  <c r="R124"/>
  <c r="Q124"/>
  <c r="P124"/>
  <c r="O124"/>
  <c r="N124"/>
  <c r="M124"/>
  <c r="L124"/>
  <c r="K124"/>
  <c r="J124"/>
  <c r="I124"/>
  <c r="AG49"/>
  <c r="AG45"/>
  <c r="AG43"/>
  <c r="AG42"/>
  <c r="AG41"/>
  <c r="AG40"/>
  <c r="AG38"/>
  <c r="AG36"/>
  <c r="U40"/>
  <c r="V40" s="1"/>
  <c r="W40" s="1"/>
  <c r="X40" s="1"/>
  <c r="Y40" s="1"/>
  <c r="Z40" s="1"/>
  <c r="AA40" s="1"/>
  <c r="AB40" s="1"/>
  <c r="AC40" s="1"/>
  <c r="AD40" s="1"/>
  <c r="AE40" s="1"/>
  <c r="V49"/>
  <c r="W49" s="1"/>
  <c r="X49" s="1"/>
  <c r="Y49" s="1"/>
  <c r="Z49" s="1"/>
  <c r="AA49" s="1"/>
  <c r="AB49" s="1"/>
  <c r="AC49" s="1"/>
  <c r="AD49" s="1"/>
  <c r="AE49" s="1"/>
  <c r="U45"/>
  <c r="V45" s="1"/>
  <c r="W45" s="1"/>
  <c r="X45" s="1"/>
  <c r="Y45" s="1"/>
  <c r="Z45" s="1"/>
  <c r="AA45" s="1"/>
  <c r="AB45" s="1"/>
  <c r="AC45" s="1"/>
  <c r="AD45" s="1"/>
  <c r="AE45" s="1"/>
  <c r="AF49" l="1"/>
  <c r="AF45"/>
  <c r="AF40"/>
  <c r="U43"/>
  <c r="V43" s="1"/>
  <c r="W43" s="1"/>
  <c r="X43" s="1"/>
  <c r="Y43" s="1"/>
  <c r="Z43" s="1"/>
  <c r="AA43" s="1"/>
  <c r="AB43" s="1"/>
  <c r="AC43" s="1"/>
  <c r="AD43" s="1"/>
  <c r="AE43" s="1"/>
  <c r="AF43" s="1"/>
  <c r="U42"/>
  <c r="V42" s="1"/>
  <c r="W42" s="1"/>
  <c r="X42" s="1"/>
  <c r="Y42" s="1"/>
  <c r="Z42" s="1"/>
  <c r="AA42" s="1"/>
  <c r="AB42" s="1"/>
  <c r="AC42" s="1"/>
  <c r="AD42" s="1"/>
  <c r="AE42" s="1"/>
  <c r="AF42" s="1"/>
  <c r="U41"/>
  <c r="V41" s="1"/>
  <c r="W41" s="1"/>
  <c r="X41" s="1"/>
  <c r="Y41" s="1"/>
  <c r="Z41" s="1"/>
  <c r="AA41" s="1"/>
  <c r="AB41" s="1"/>
  <c r="AC41" s="1"/>
  <c r="AD41" s="1"/>
  <c r="AE41" s="1"/>
  <c r="U38"/>
  <c r="V38" s="1"/>
  <c r="U36"/>
  <c r="V36" s="1"/>
  <c r="W38" l="1"/>
  <c r="V127"/>
  <c r="W36"/>
  <c r="V126"/>
  <c r="V128"/>
  <c r="AF41"/>
  <c r="B215"/>
  <c r="AG227"/>
  <c r="AG224"/>
  <c r="AG226"/>
  <c r="AG225"/>
  <c r="AG222"/>
  <c r="AG221"/>
  <c r="AG220"/>
  <c r="AG219"/>
  <c r="AG214"/>
  <c r="AG217"/>
  <c r="AG216"/>
  <c r="AG215"/>
  <c r="AG212"/>
  <c r="AG211"/>
  <c r="AG208"/>
  <c r="AG207"/>
  <c r="AG210"/>
  <c r="AG209"/>
  <c r="AG206"/>
  <c r="AG205"/>
  <c r="AG204"/>
  <c r="AG203"/>
  <c r="AG202"/>
  <c r="AG201"/>
  <c r="AH224"/>
  <c r="X38" l="1"/>
  <c r="W127"/>
  <c r="X36"/>
  <c r="W126"/>
  <c r="W128"/>
  <c r="AH225"/>
  <c r="S212"/>
  <c r="T212" s="1"/>
  <c r="R212"/>
  <c r="Q212"/>
  <c r="P212"/>
  <c r="O212"/>
  <c r="N212"/>
  <c r="M212"/>
  <c r="L212"/>
  <c r="K212"/>
  <c r="J212"/>
  <c r="I212"/>
  <c r="Y38" l="1"/>
  <c r="X127"/>
  <c r="Y36"/>
  <c r="X128"/>
  <c r="X126"/>
  <c r="R60"/>
  <c r="R58"/>
  <c r="R56"/>
  <c r="R54"/>
  <c r="R52"/>
  <c r="R30"/>
  <c r="R28"/>
  <c r="R26"/>
  <c r="R11"/>
  <c r="R8"/>
  <c r="Z38" l="1"/>
  <c r="Y127"/>
  <c r="Z36"/>
  <c r="Y128"/>
  <c r="Y126"/>
  <c r="S102"/>
  <c r="T102" s="1"/>
  <c r="R102"/>
  <c r="Q102"/>
  <c r="P102"/>
  <c r="O102"/>
  <c r="N102"/>
  <c r="M102"/>
  <c r="L102"/>
  <c r="K102"/>
  <c r="J102"/>
  <c r="I102"/>
  <c r="AA38" l="1"/>
  <c r="Z127"/>
  <c r="AA36"/>
  <c r="Z126"/>
  <c r="Z128"/>
  <c r="U170"/>
  <c r="S170"/>
  <c r="C1"/>
  <c r="V225" l="1"/>
  <c r="V224" s="1"/>
  <c r="G225"/>
  <c r="H225"/>
  <c r="V220"/>
  <c r="V221" s="1"/>
  <c r="V222" s="1"/>
  <c r="G220"/>
  <c r="H220"/>
  <c r="AB38"/>
  <c r="AA127"/>
  <c r="AB36"/>
  <c r="AA126"/>
  <c r="AA128"/>
  <c r="AH45"/>
  <c r="AH40"/>
  <c r="AH49"/>
  <c r="AH41"/>
  <c r="AH42"/>
  <c r="AH43"/>
  <c r="M225"/>
  <c r="M226" s="1"/>
  <c r="M227" s="1"/>
  <c r="V219"/>
  <c r="S225"/>
  <c r="R225"/>
  <c r="R224" s="1"/>
  <c r="V226"/>
  <c r="V227" s="1"/>
  <c r="Q225"/>
  <c r="L225"/>
  <c r="K225"/>
  <c r="P225"/>
  <c r="J225"/>
  <c r="O225"/>
  <c r="I225"/>
  <c r="N225"/>
  <c r="R237"/>
  <c r="O220"/>
  <c r="R220"/>
  <c r="R219" s="1"/>
  <c r="N220"/>
  <c r="J220"/>
  <c r="Q220"/>
  <c r="M220"/>
  <c r="I220"/>
  <c r="P220"/>
  <c r="L220"/>
  <c r="S220"/>
  <c r="T220" s="1"/>
  <c r="K220"/>
  <c r="AG71"/>
  <c r="AG70"/>
  <c r="AG68"/>
  <c r="I71"/>
  <c r="I205" s="1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S71"/>
  <c r="I70"/>
  <c r="I204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5" l="1"/>
  <c r="T205" s="1"/>
  <c r="T71"/>
  <c r="S204"/>
  <c r="T204" s="1"/>
  <c r="T70"/>
  <c r="T225"/>
  <c r="G219"/>
  <c r="G221"/>
  <c r="G222" s="1"/>
  <c r="H224"/>
  <c r="H226"/>
  <c r="H227" s="1"/>
  <c r="H219"/>
  <c r="H221"/>
  <c r="H222" s="1"/>
  <c r="G224"/>
  <c r="G226"/>
  <c r="G227" s="1"/>
  <c r="AC38"/>
  <c r="AB127"/>
  <c r="AC36"/>
  <c r="AB128"/>
  <c r="AB126"/>
  <c r="M224"/>
  <c r="R226"/>
  <c r="R227" s="1"/>
  <c r="L221"/>
  <c r="L222" s="1"/>
  <c r="L219"/>
  <c r="Q221"/>
  <c r="Q222" s="1"/>
  <c r="Q219"/>
  <c r="O221"/>
  <c r="O222" s="1"/>
  <c r="O219"/>
  <c r="N226"/>
  <c r="N227" s="1"/>
  <c r="N224"/>
  <c r="P226"/>
  <c r="P227" s="1"/>
  <c r="P224"/>
  <c r="P221"/>
  <c r="P222" s="1"/>
  <c r="P219"/>
  <c r="J221"/>
  <c r="J222" s="1"/>
  <c r="J219"/>
  <c r="I226"/>
  <c r="I227" s="1"/>
  <c r="I224"/>
  <c r="K226"/>
  <c r="K227" s="1"/>
  <c r="K224"/>
  <c r="K221"/>
  <c r="K222" s="1"/>
  <c r="K219"/>
  <c r="I221"/>
  <c r="I222" s="1"/>
  <c r="I219"/>
  <c r="N221"/>
  <c r="N222" s="1"/>
  <c r="N219"/>
  <c r="O226"/>
  <c r="O227" s="1"/>
  <c r="O224"/>
  <c r="L226"/>
  <c r="L227" s="1"/>
  <c r="L224"/>
  <c r="S221"/>
  <c r="S219"/>
  <c r="T219" s="1"/>
  <c r="M221"/>
  <c r="M222" s="1"/>
  <c r="M219"/>
  <c r="J226"/>
  <c r="J227" s="1"/>
  <c r="J224"/>
  <c r="Q226"/>
  <c r="Q227" s="1"/>
  <c r="Q224"/>
  <c r="S226"/>
  <c r="S224"/>
  <c r="T224" s="1"/>
  <c r="R221"/>
  <c r="R205"/>
  <c r="S227" l="1"/>
  <c r="T227" s="1"/>
  <c r="T226"/>
  <c r="S222"/>
  <c r="T222" s="1"/>
  <c r="T221"/>
  <c r="AD38"/>
  <c r="AC127"/>
  <c r="AD36"/>
  <c r="AC128"/>
  <c r="AC126"/>
  <c r="R222"/>
  <c r="I147"/>
  <c r="J147"/>
  <c r="K147"/>
  <c r="L147"/>
  <c r="M147"/>
  <c r="N147"/>
  <c r="O147"/>
  <c r="P147"/>
  <c r="Q147"/>
  <c r="R147"/>
  <c r="S147"/>
  <c r="T147" s="1"/>
  <c r="S146"/>
  <c r="T146" s="1"/>
  <c r="AE38" l="1"/>
  <c r="AD127"/>
  <c r="AE36"/>
  <c r="AD126"/>
  <c r="AD128"/>
  <c r="J254"/>
  <c r="J251"/>
  <c r="J252"/>
  <c r="J253"/>
  <c r="AF38" l="1"/>
  <c r="AE127"/>
  <c r="AF127" s="1"/>
  <c r="AH38"/>
  <c r="AE126"/>
  <c r="AF126" s="1"/>
  <c r="AE128"/>
  <c r="AF128" s="1"/>
  <c r="AF36"/>
  <c r="AH36"/>
  <c r="S243"/>
  <c r="S242"/>
  <c r="S241"/>
  <c r="S211"/>
  <c r="T211" s="1"/>
  <c r="S66"/>
  <c r="S67"/>
  <c r="T67" s="1"/>
  <c r="S68"/>
  <c r="S72"/>
  <c r="S73"/>
  <c r="T73" s="1"/>
  <c r="S74"/>
  <c r="T74" s="1"/>
  <c r="S75"/>
  <c r="S76"/>
  <c r="T76" s="1"/>
  <c r="S78"/>
  <c r="T78" s="1"/>
  <c r="S79"/>
  <c r="T79" s="1"/>
  <c r="S80"/>
  <c r="S82"/>
  <c r="T82" s="1"/>
  <c r="S83"/>
  <c r="T83" s="1"/>
  <c r="S85"/>
  <c r="T85" s="1"/>
  <c r="S86"/>
  <c r="S88"/>
  <c r="S90"/>
  <c r="S93"/>
  <c r="T93" s="1"/>
  <c r="S94"/>
  <c r="T94" s="1"/>
  <c r="S95"/>
  <c r="T95" s="1"/>
  <c r="S96"/>
  <c r="T96" s="1"/>
  <c r="S98"/>
  <c r="S99"/>
  <c r="T99" s="1"/>
  <c r="S100"/>
  <c r="T100" s="1"/>
  <c r="S105"/>
  <c r="T105" s="1"/>
  <c r="S106"/>
  <c r="T106" s="1"/>
  <c r="S107"/>
  <c r="T107" s="1"/>
  <c r="S108"/>
  <c r="T108" s="1"/>
  <c r="S109"/>
  <c r="T109" s="1"/>
  <c r="S112"/>
  <c r="S113"/>
  <c r="S114"/>
  <c r="S115"/>
  <c r="S116"/>
  <c r="S134"/>
  <c r="T134" s="1"/>
  <c r="S135"/>
  <c r="T135" s="1"/>
  <c r="S136"/>
  <c r="T136" s="1"/>
  <c r="S137"/>
  <c r="T137" s="1"/>
  <c r="S145"/>
  <c r="T145" s="1"/>
  <c r="S149"/>
  <c r="T149" s="1"/>
  <c r="S150"/>
  <c r="T150" s="1"/>
  <c r="S151"/>
  <c r="T151" s="1"/>
  <c r="S154"/>
  <c r="T154" s="1"/>
  <c r="S155"/>
  <c r="T155" s="1"/>
  <c r="S156"/>
  <c r="T156" s="1"/>
  <c r="S157"/>
  <c r="T157" s="1"/>
  <c r="S159"/>
  <c r="T159" s="1"/>
  <c r="S160"/>
  <c r="T160" s="1"/>
  <c r="S162"/>
  <c r="S166"/>
  <c r="T166" s="1"/>
  <c r="S167"/>
  <c r="T167" s="1"/>
  <c r="V17"/>
  <c r="V19"/>
  <c r="V24"/>
  <c r="S122" l="1"/>
  <c r="T122" s="1"/>
  <c r="T116"/>
  <c r="S120"/>
  <c r="T120" s="1"/>
  <c r="T114"/>
  <c r="S118"/>
  <c r="T118" s="1"/>
  <c r="T112"/>
  <c r="S164"/>
  <c r="T164" s="1"/>
  <c r="T98"/>
  <c r="S214"/>
  <c r="T214" s="1"/>
  <c r="T72"/>
  <c r="S163"/>
  <c r="T163" s="1"/>
  <c r="T162"/>
  <c r="S121"/>
  <c r="T121" s="1"/>
  <c r="T115"/>
  <c r="S119"/>
  <c r="T119" s="1"/>
  <c r="T113"/>
  <c r="S92"/>
  <c r="T92" s="1"/>
  <c r="T90"/>
  <c r="S208"/>
  <c r="T208" s="1"/>
  <c r="T86"/>
  <c r="S209"/>
  <c r="T209" s="1"/>
  <c r="T80"/>
  <c r="S206"/>
  <c r="T206" s="1"/>
  <c r="T75"/>
  <c r="S110"/>
  <c r="T110" s="1"/>
  <c r="T68"/>
  <c r="S202"/>
  <c r="T202" s="1"/>
  <c r="T66"/>
  <c r="S139"/>
  <c r="T88"/>
  <c r="R238"/>
  <c r="S203"/>
  <c r="T203" s="1"/>
  <c r="S84"/>
  <c r="J68"/>
  <c r="J110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I68"/>
  <c r="I110" s="1"/>
  <c r="S207" l="1"/>
  <c r="T207" s="1"/>
  <c r="T84"/>
  <c r="S140"/>
  <c r="T139"/>
  <c r="S216"/>
  <c r="S215"/>
  <c r="T215" s="1"/>
  <c r="J238"/>
  <c r="U59"/>
  <c r="V59" s="1"/>
  <c r="T140" l="1"/>
  <c r="S141"/>
  <c r="S143"/>
  <c r="T143" s="1"/>
  <c r="S217"/>
  <c r="T217" s="1"/>
  <c r="T216"/>
  <c r="M234"/>
  <c r="M233"/>
  <c r="M232"/>
  <c r="M231"/>
  <c r="S142" l="1"/>
  <c r="T142" s="1"/>
  <c r="T141"/>
  <c r="AG53"/>
  <c r="U53"/>
  <c r="V53" l="1"/>
  <c r="W53" l="1"/>
  <c r="M238"/>
  <c r="V238" s="1"/>
  <c r="V239" s="1"/>
  <c r="M237"/>
  <c r="X53" l="1"/>
  <c r="D250"/>
  <c r="J250"/>
  <c r="N134"/>
  <c r="L134"/>
  <c r="J134"/>
  <c r="I134"/>
  <c r="K134"/>
  <c r="M134"/>
  <c r="O134"/>
  <c r="P134"/>
  <c r="Q134"/>
  <c r="R134"/>
  <c r="J167"/>
  <c r="K167"/>
  <c r="L167"/>
  <c r="M167"/>
  <c r="N167"/>
  <c r="O167"/>
  <c r="P167"/>
  <c r="Q167"/>
  <c r="R167"/>
  <c r="J166"/>
  <c r="K166"/>
  <c r="L166"/>
  <c r="M166"/>
  <c r="N166"/>
  <c r="O166"/>
  <c r="P166"/>
  <c r="Q166"/>
  <c r="R166"/>
  <c r="I268"/>
  <c r="I269" s="1"/>
  <c r="AG73"/>
  <c r="J73"/>
  <c r="K73"/>
  <c r="L73"/>
  <c r="M73"/>
  <c r="N73"/>
  <c r="O73"/>
  <c r="P73"/>
  <c r="Q73"/>
  <c r="R73"/>
  <c r="I73"/>
  <c r="J259"/>
  <c r="D258"/>
  <c r="J257"/>
  <c r="K257" s="1"/>
  <c r="L257" s="1"/>
  <c r="L258" s="1"/>
  <c r="J255"/>
  <c r="J249"/>
  <c r="J248"/>
  <c r="K248" s="1"/>
  <c r="L248" s="1"/>
  <c r="H264" l="1"/>
  <c r="I264"/>
  <c r="M264" s="1"/>
  <c r="H265"/>
  <c r="I265"/>
  <c r="I267" s="1"/>
  <c r="Y53"/>
  <c r="I270"/>
  <c r="D260"/>
  <c r="K249"/>
  <c r="L249" s="1"/>
  <c r="K259"/>
  <c r="L259" s="1"/>
  <c r="L260" s="1"/>
  <c r="J109"/>
  <c r="K109"/>
  <c r="L109"/>
  <c r="M109"/>
  <c r="N109"/>
  <c r="O109"/>
  <c r="P109"/>
  <c r="Q109"/>
  <c r="R109"/>
  <c r="I109"/>
  <c r="I167"/>
  <c r="I166"/>
  <c r="AG14"/>
  <c r="U14"/>
  <c r="J116"/>
  <c r="J122" s="1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I116"/>
  <c r="I122" s="1"/>
  <c r="J113"/>
  <c r="J119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I113"/>
  <c r="I119" s="1"/>
  <c r="J114"/>
  <c r="J120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I114"/>
  <c r="I120" s="1"/>
  <c r="J162"/>
  <c r="J163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I162"/>
  <c r="I163" s="1"/>
  <c r="H267" l="1"/>
  <c r="H270"/>
  <c r="M265"/>
  <c r="Z53"/>
  <c r="V14"/>
  <c r="W14" s="1"/>
  <c r="X14" s="1"/>
  <c r="Y14" s="1"/>
  <c r="Z14" s="1"/>
  <c r="AA14" s="1"/>
  <c r="AB14" s="1"/>
  <c r="AC14" s="1"/>
  <c r="AD14" s="1"/>
  <c r="AE14" s="1"/>
  <c r="K250"/>
  <c r="L250" s="1"/>
  <c r="R108"/>
  <c r="R107"/>
  <c r="J108"/>
  <c r="K108"/>
  <c r="L108"/>
  <c r="M108"/>
  <c r="N108"/>
  <c r="O108"/>
  <c r="P108"/>
  <c r="Q108"/>
  <c r="I108"/>
  <c r="I107"/>
  <c r="J160"/>
  <c r="K160"/>
  <c r="L160"/>
  <c r="M160"/>
  <c r="N160"/>
  <c r="O160"/>
  <c r="P160"/>
  <c r="Q160"/>
  <c r="R160"/>
  <c r="I160"/>
  <c r="J159"/>
  <c r="K159"/>
  <c r="L159"/>
  <c r="M159"/>
  <c r="N159"/>
  <c r="O159"/>
  <c r="P159"/>
  <c r="Q159"/>
  <c r="R159"/>
  <c r="I159"/>
  <c r="J156"/>
  <c r="K156"/>
  <c r="L156"/>
  <c r="M156"/>
  <c r="N156"/>
  <c r="O156"/>
  <c r="P156"/>
  <c r="Q156"/>
  <c r="R156"/>
  <c r="I156"/>
  <c r="J157"/>
  <c r="K157"/>
  <c r="L157"/>
  <c r="M157"/>
  <c r="N157"/>
  <c r="O157"/>
  <c r="P157"/>
  <c r="Q157"/>
  <c r="R157"/>
  <c r="I157"/>
  <c r="J155"/>
  <c r="K155"/>
  <c r="L155"/>
  <c r="M155"/>
  <c r="N155"/>
  <c r="O155"/>
  <c r="P155"/>
  <c r="Q155"/>
  <c r="R155"/>
  <c r="I155"/>
  <c r="J154"/>
  <c r="K154"/>
  <c r="L154"/>
  <c r="M154"/>
  <c r="N154"/>
  <c r="O154"/>
  <c r="P154"/>
  <c r="Q154"/>
  <c r="R154"/>
  <c r="I154"/>
  <c r="J151"/>
  <c r="K151"/>
  <c r="L151"/>
  <c r="M151"/>
  <c r="N151"/>
  <c r="O151"/>
  <c r="P151"/>
  <c r="Q151"/>
  <c r="R151"/>
  <c r="I151"/>
  <c r="J150"/>
  <c r="K150"/>
  <c r="L150"/>
  <c r="M150"/>
  <c r="N150"/>
  <c r="O150"/>
  <c r="P150"/>
  <c r="Q150"/>
  <c r="R150"/>
  <c r="I150"/>
  <c r="J149"/>
  <c r="K149"/>
  <c r="L149"/>
  <c r="M149"/>
  <c r="N149"/>
  <c r="O149"/>
  <c r="P149"/>
  <c r="Q149"/>
  <c r="R149"/>
  <c r="I149"/>
  <c r="B151"/>
  <c r="B150"/>
  <c r="AG32"/>
  <c r="U32"/>
  <c r="I137"/>
  <c r="J137"/>
  <c r="K137"/>
  <c r="L137"/>
  <c r="M137"/>
  <c r="N137"/>
  <c r="O137"/>
  <c r="P137"/>
  <c r="Q137"/>
  <c r="R137"/>
  <c r="W255"/>
  <c r="Q255"/>
  <c r="J146"/>
  <c r="K146"/>
  <c r="L146"/>
  <c r="M146"/>
  <c r="N146"/>
  <c r="O146"/>
  <c r="P146"/>
  <c r="Q146"/>
  <c r="R146"/>
  <c r="I146"/>
  <c r="J145"/>
  <c r="K145"/>
  <c r="L145"/>
  <c r="M145"/>
  <c r="N145"/>
  <c r="O145"/>
  <c r="P145"/>
  <c r="Q145"/>
  <c r="R145"/>
  <c r="I145"/>
  <c r="M268" l="1"/>
  <c r="M267"/>
  <c r="K251"/>
  <c r="L251" s="1"/>
  <c r="K252" s="1"/>
  <c r="L252" s="1"/>
  <c r="K253" s="1"/>
  <c r="L253" s="1"/>
  <c r="K254" s="1"/>
  <c r="L254" s="1"/>
  <c r="K255" s="1"/>
  <c r="L255" s="1"/>
  <c r="L256" s="1"/>
  <c r="AA53"/>
  <c r="AF14"/>
  <c r="AH14"/>
  <c r="V32"/>
  <c r="W32" s="1"/>
  <c r="X32" s="1"/>
  <c r="Y32" s="1"/>
  <c r="Z32" s="1"/>
  <c r="AA32" s="1"/>
  <c r="AB32" s="1"/>
  <c r="AC32" s="1"/>
  <c r="AD32" s="1"/>
  <c r="AE32" s="1"/>
  <c r="AF32" s="1"/>
  <c r="P255"/>
  <c r="V255"/>
  <c r="U9"/>
  <c r="V9" s="1"/>
  <c r="U10"/>
  <c r="V10" s="1"/>
  <c r="U12"/>
  <c r="V12" s="1"/>
  <c r="U13"/>
  <c r="V13" s="1"/>
  <c r="U15"/>
  <c r="V15" s="1"/>
  <c r="U16"/>
  <c r="V16" s="1"/>
  <c r="U18"/>
  <c r="V18" s="1"/>
  <c r="U20"/>
  <c r="V20" s="1"/>
  <c r="U21"/>
  <c r="V21" s="1"/>
  <c r="U22"/>
  <c r="V22" s="1"/>
  <c r="U23"/>
  <c r="V23" s="1"/>
  <c r="U25"/>
  <c r="V25" s="1"/>
  <c r="V129" s="1"/>
  <c r="U27"/>
  <c r="V27" s="1"/>
  <c r="U29"/>
  <c r="V29" s="1"/>
  <c r="U31"/>
  <c r="U33"/>
  <c r="V33" s="1"/>
  <c r="U34"/>
  <c r="V34" s="1"/>
  <c r="U51"/>
  <c r="V51" s="1"/>
  <c r="U55"/>
  <c r="V55" s="1"/>
  <c r="V130" s="1"/>
  <c r="U7"/>
  <c r="V7" s="1"/>
  <c r="U6"/>
  <c r="V6" s="1"/>
  <c r="AG9"/>
  <c r="AG10"/>
  <c r="AG11"/>
  <c r="AG12"/>
  <c r="AG13"/>
  <c r="AG15"/>
  <c r="AG16"/>
  <c r="AG18"/>
  <c r="AG20"/>
  <c r="AG21"/>
  <c r="AG22"/>
  <c r="AG23"/>
  <c r="AG25"/>
  <c r="AG27"/>
  <c r="AG29"/>
  <c r="AG31"/>
  <c r="AG33"/>
  <c r="AG34"/>
  <c r="AG51"/>
  <c r="AG55"/>
  <c r="AG57"/>
  <c r="AG59"/>
  <c r="AG66"/>
  <c r="AG67"/>
  <c r="AG72"/>
  <c r="AG74"/>
  <c r="AG75"/>
  <c r="AG76"/>
  <c r="AG78"/>
  <c r="AG79"/>
  <c r="AG80"/>
  <c r="AG82"/>
  <c r="AG83"/>
  <c r="AG84"/>
  <c r="AG85"/>
  <c r="AG87"/>
  <c r="AG88"/>
  <c r="AG90"/>
  <c r="AG92"/>
  <c r="AG93"/>
  <c r="AG94"/>
  <c r="AG95"/>
  <c r="AG96"/>
  <c r="AG98"/>
  <c r="AG99"/>
  <c r="AG100"/>
  <c r="AG7"/>
  <c r="AG6"/>
  <c r="V132" l="1"/>
  <c r="V131"/>
  <c r="V124"/>
  <c r="V125"/>
  <c r="V68"/>
  <c r="V110" s="1"/>
  <c r="AB53"/>
  <c r="AH32"/>
  <c r="V31"/>
  <c r="J112"/>
  <c r="J118" s="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J115"/>
  <c r="J121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I115"/>
  <c r="I121" s="1"/>
  <c r="I112"/>
  <c r="I118" s="1"/>
  <c r="AC53" l="1"/>
  <c r="W31"/>
  <c r="V147"/>
  <c r="W29"/>
  <c r="J136"/>
  <c r="K136"/>
  <c r="L136"/>
  <c r="M136"/>
  <c r="N136"/>
  <c r="O136"/>
  <c r="P136"/>
  <c r="Q136"/>
  <c r="R136"/>
  <c r="I136"/>
  <c r="J135"/>
  <c r="K135"/>
  <c r="L135"/>
  <c r="M135"/>
  <c r="N135"/>
  <c r="O135"/>
  <c r="P135"/>
  <c r="Q135"/>
  <c r="R135"/>
  <c r="I135"/>
  <c r="AD53" l="1"/>
  <c r="X31"/>
  <c r="X29"/>
  <c r="AH87"/>
  <c r="AE53" l="1"/>
  <c r="Y31"/>
  <c r="Y29"/>
  <c r="I211"/>
  <c r="J211"/>
  <c r="K211"/>
  <c r="L211"/>
  <c r="M211"/>
  <c r="N211"/>
  <c r="O211"/>
  <c r="P211"/>
  <c r="Q211"/>
  <c r="R211"/>
  <c r="C9" i="15"/>
  <c r="I88" i="18"/>
  <c r="I139" s="1"/>
  <c r="I140" s="1"/>
  <c r="I143" s="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AF53" l="1"/>
  <c r="AH53"/>
  <c r="Z31"/>
  <c r="V88"/>
  <c r="Z29"/>
  <c r="P141"/>
  <c r="P142" s="1"/>
  <c r="L141"/>
  <c r="L142" s="1"/>
  <c r="N141"/>
  <c r="N142" s="1"/>
  <c r="J141"/>
  <c r="J142" s="1"/>
  <c r="O141"/>
  <c r="O142" s="1"/>
  <c r="K141"/>
  <c r="K142" s="1"/>
  <c r="Q141"/>
  <c r="Q142" s="1"/>
  <c r="M141"/>
  <c r="M142" s="1"/>
  <c r="I141"/>
  <c r="I142" s="1"/>
  <c r="R140"/>
  <c r="R143" s="1"/>
  <c r="W59"/>
  <c r="AA31" l="1"/>
  <c r="X59"/>
  <c r="AA29"/>
  <c r="R141"/>
  <c r="W88"/>
  <c r="I98"/>
  <c r="I164" s="1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I99"/>
  <c r="J99"/>
  <c r="K99"/>
  <c r="L99"/>
  <c r="M99"/>
  <c r="N99"/>
  <c r="O99"/>
  <c r="P99"/>
  <c r="Q99"/>
  <c r="I100"/>
  <c r="J100"/>
  <c r="K100"/>
  <c r="L100"/>
  <c r="M100"/>
  <c r="N100"/>
  <c r="O100"/>
  <c r="P100"/>
  <c r="Q100"/>
  <c r="R100"/>
  <c r="R99"/>
  <c r="R98"/>
  <c r="R164" s="1"/>
  <c r="J107"/>
  <c r="K107"/>
  <c r="L107"/>
  <c r="M107"/>
  <c r="N107"/>
  <c r="O107"/>
  <c r="P107"/>
  <c r="Q107"/>
  <c r="I106"/>
  <c r="J106"/>
  <c r="K106"/>
  <c r="L106"/>
  <c r="M106"/>
  <c r="N106"/>
  <c r="O106"/>
  <c r="P106"/>
  <c r="Q106"/>
  <c r="I105"/>
  <c r="J105"/>
  <c r="K105"/>
  <c r="L105"/>
  <c r="M105"/>
  <c r="N105"/>
  <c r="O105"/>
  <c r="P105"/>
  <c r="Q105"/>
  <c r="R106"/>
  <c r="AB31" l="1"/>
  <c r="Y59"/>
  <c r="X88"/>
  <c r="AB29"/>
  <c r="R105"/>
  <c r="J243"/>
  <c r="K243"/>
  <c r="L243"/>
  <c r="M243"/>
  <c r="N243"/>
  <c r="O243"/>
  <c r="P243"/>
  <c r="Q243"/>
  <c r="R243"/>
  <c r="I243"/>
  <c r="J242"/>
  <c r="K242"/>
  <c r="L242"/>
  <c r="M242"/>
  <c r="N242"/>
  <c r="O242"/>
  <c r="P242"/>
  <c r="Q242"/>
  <c r="R242"/>
  <c r="I242"/>
  <c r="J241"/>
  <c r="K241"/>
  <c r="L241"/>
  <c r="M241"/>
  <c r="N241"/>
  <c r="O241"/>
  <c r="P241"/>
  <c r="Q241"/>
  <c r="R241"/>
  <c r="I241"/>
  <c r="J67"/>
  <c r="K67"/>
  <c r="L67"/>
  <c r="M67"/>
  <c r="N67"/>
  <c r="O67"/>
  <c r="P67"/>
  <c r="Q67"/>
  <c r="R67"/>
  <c r="I67"/>
  <c r="I72"/>
  <c r="I214" s="1"/>
  <c r="J66"/>
  <c r="J202" s="1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I66"/>
  <c r="I202" s="1"/>
  <c r="V113"/>
  <c r="V119" s="1"/>
  <c r="AC31" l="1"/>
  <c r="Z59"/>
  <c r="Y88"/>
  <c r="AC29"/>
  <c r="W51"/>
  <c r="T243"/>
  <c r="T242"/>
  <c r="T241"/>
  <c r="W113" l="1"/>
  <c r="W119" s="1"/>
  <c r="AD31"/>
  <c r="AA59"/>
  <c r="Z88"/>
  <c r="AD29"/>
  <c r="X51"/>
  <c r="K95"/>
  <c r="L95"/>
  <c r="M95"/>
  <c r="N95"/>
  <c r="O95"/>
  <c r="P95"/>
  <c r="Q95"/>
  <c r="R95"/>
  <c r="K96"/>
  <c r="L96"/>
  <c r="M96"/>
  <c r="N96"/>
  <c r="O96"/>
  <c r="P96"/>
  <c r="Q96"/>
  <c r="R96"/>
  <c r="K90"/>
  <c r="K92" s="1"/>
  <c r="L90"/>
  <c r="L92" s="1"/>
  <c r="M90"/>
  <c r="M92" s="1"/>
  <c r="N90"/>
  <c r="N92" s="1"/>
  <c r="O90"/>
  <c r="O92" s="1"/>
  <c r="P90"/>
  <c r="P92" s="1"/>
  <c r="Q90"/>
  <c r="Q92" s="1"/>
  <c r="R90"/>
  <c r="R92" s="1"/>
  <c r="K93"/>
  <c r="L93"/>
  <c r="M93"/>
  <c r="N93"/>
  <c r="O93"/>
  <c r="P93"/>
  <c r="Q93"/>
  <c r="R93"/>
  <c r="K94"/>
  <c r="L94"/>
  <c r="M94"/>
  <c r="N94"/>
  <c r="O94"/>
  <c r="P94"/>
  <c r="Q94"/>
  <c r="R94"/>
  <c r="I93"/>
  <c r="I94"/>
  <c r="I95"/>
  <c r="I96"/>
  <c r="J96"/>
  <c r="J95"/>
  <c r="W22"/>
  <c r="X22" s="1"/>
  <c r="Y22" s="1"/>
  <c r="Z22" s="1"/>
  <c r="AA22" s="1"/>
  <c r="AB22" s="1"/>
  <c r="AC22" s="1"/>
  <c r="AD22" s="1"/>
  <c r="AE22" s="1"/>
  <c r="I90"/>
  <c r="I92" s="1"/>
  <c r="J90"/>
  <c r="J92" s="1"/>
  <c r="J94"/>
  <c r="J93"/>
  <c r="X113" l="1"/>
  <c r="X119" s="1"/>
  <c r="AE31"/>
  <c r="AF31" s="1"/>
  <c r="AB59"/>
  <c r="AA88"/>
  <c r="W23"/>
  <c r="V116"/>
  <c r="V122" s="1"/>
  <c r="AE29"/>
  <c r="AF22"/>
  <c r="AH22"/>
  <c r="Y51"/>
  <c r="W21"/>
  <c r="AH31" l="1"/>
  <c r="Y113"/>
  <c r="Y119" s="1"/>
  <c r="AB88"/>
  <c r="AC59"/>
  <c r="X23"/>
  <c r="W116"/>
  <c r="W122" s="1"/>
  <c r="AH29"/>
  <c r="AF29"/>
  <c r="W20"/>
  <c r="V90"/>
  <c r="X21"/>
  <c r="C19" i="15"/>
  <c r="W9" i="18"/>
  <c r="X9" s="1"/>
  <c r="Y9" s="1"/>
  <c r="Z9" s="1"/>
  <c r="AA9" s="1"/>
  <c r="AB9" s="1"/>
  <c r="AC9" s="1"/>
  <c r="AD9" s="1"/>
  <c r="AE9" s="1"/>
  <c r="AH9" s="1"/>
  <c r="V109"/>
  <c r="W33"/>
  <c r="X33" s="1"/>
  <c r="Y33" s="1"/>
  <c r="Z33" s="1"/>
  <c r="AA33" s="1"/>
  <c r="AB33" s="1"/>
  <c r="AC33" s="1"/>
  <c r="AD33" s="1"/>
  <c r="AE33" s="1"/>
  <c r="AH33" s="1"/>
  <c r="W34"/>
  <c r="X34" s="1"/>
  <c r="Y34" s="1"/>
  <c r="Z34" s="1"/>
  <c r="AA34" s="1"/>
  <c r="AB34" s="1"/>
  <c r="AC34" s="1"/>
  <c r="AD34" s="1"/>
  <c r="AE34" s="1"/>
  <c r="AH34" s="1"/>
  <c r="Z51"/>
  <c r="Q86"/>
  <c r="Q208" s="1"/>
  <c r="Q85"/>
  <c r="Q83"/>
  <c r="Q82"/>
  <c r="Q80"/>
  <c r="Q209" s="1"/>
  <c r="Q79"/>
  <c r="Q78"/>
  <c r="Q76"/>
  <c r="Q75"/>
  <c r="Q206" s="1"/>
  <c r="Q74"/>
  <c r="Q72"/>
  <c r="Q214" s="1"/>
  <c r="Z113" l="1"/>
  <c r="Z119" s="1"/>
  <c r="AC88"/>
  <c r="AD59"/>
  <c r="W90"/>
  <c r="V156"/>
  <c r="V166"/>
  <c r="V157"/>
  <c r="V167"/>
  <c r="Y23"/>
  <c r="X116"/>
  <c r="X122" s="1"/>
  <c r="V150"/>
  <c r="V151"/>
  <c r="V149"/>
  <c r="V137"/>
  <c r="R142"/>
  <c r="V112"/>
  <c r="V118" s="1"/>
  <c r="V146"/>
  <c r="V145"/>
  <c r="W18"/>
  <c r="Q203"/>
  <c r="X20"/>
  <c r="W27"/>
  <c r="AA51"/>
  <c r="W25"/>
  <c r="W129" s="1"/>
  <c r="V105"/>
  <c r="Y21"/>
  <c r="AF33"/>
  <c r="AF34"/>
  <c r="AF9"/>
  <c r="Q84"/>
  <c r="Q207" s="1"/>
  <c r="I80"/>
  <c r="I209" s="1"/>
  <c r="J80"/>
  <c r="J209" s="1"/>
  <c r="K80"/>
  <c r="K209" s="1"/>
  <c r="L80"/>
  <c r="L209" s="1"/>
  <c r="M80"/>
  <c r="M209" s="1"/>
  <c r="N80"/>
  <c r="N209" s="1"/>
  <c r="O80"/>
  <c r="O209" s="1"/>
  <c r="P80"/>
  <c r="P209" s="1"/>
  <c r="R80"/>
  <c r="W124" l="1"/>
  <c r="W125"/>
  <c r="Q216"/>
  <c r="Q217" s="1"/>
  <c r="Q215"/>
  <c r="AA113"/>
  <c r="AA119" s="1"/>
  <c r="W109"/>
  <c r="W147"/>
  <c r="AE59"/>
  <c r="AD88"/>
  <c r="W157"/>
  <c r="W167"/>
  <c r="W156"/>
  <c r="W166"/>
  <c r="Z23"/>
  <c r="Y116"/>
  <c r="Y122" s="1"/>
  <c r="W149"/>
  <c r="W151"/>
  <c r="W150"/>
  <c r="W137"/>
  <c r="W112"/>
  <c r="W118" s="1"/>
  <c r="W146"/>
  <c r="W145"/>
  <c r="X18"/>
  <c r="Y20"/>
  <c r="X90"/>
  <c r="X27"/>
  <c r="X25"/>
  <c r="W105"/>
  <c r="AB51"/>
  <c r="Z21"/>
  <c r="R209"/>
  <c r="I79"/>
  <c r="J79"/>
  <c r="K79"/>
  <c r="L79"/>
  <c r="M79"/>
  <c r="N79"/>
  <c r="O79"/>
  <c r="P79"/>
  <c r="R79"/>
  <c r="I78"/>
  <c r="J78"/>
  <c r="K78"/>
  <c r="L78"/>
  <c r="M78"/>
  <c r="N78"/>
  <c r="O78"/>
  <c r="P78"/>
  <c r="R78"/>
  <c r="X125" l="1"/>
  <c r="X129"/>
  <c r="X147"/>
  <c r="X124"/>
  <c r="AB113"/>
  <c r="AB119" s="1"/>
  <c r="AH59"/>
  <c r="AE88"/>
  <c r="AF59"/>
  <c r="X156"/>
  <c r="X166"/>
  <c r="X157"/>
  <c r="X167"/>
  <c r="X109"/>
  <c r="AA23"/>
  <c r="Z116"/>
  <c r="Z122" s="1"/>
  <c r="X151"/>
  <c r="X150"/>
  <c r="X149"/>
  <c r="X137"/>
  <c r="X112"/>
  <c r="X118" s="1"/>
  <c r="X146"/>
  <c r="X145"/>
  <c r="Y18"/>
  <c r="Z20"/>
  <c r="Y90"/>
  <c r="Y27"/>
  <c r="Y25"/>
  <c r="Y129" s="1"/>
  <c r="X105"/>
  <c r="AC51"/>
  <c r="AA21"/>
  <c r="C46" i="15"/>
  <c r="Y124" i="18" l="1"/>
  <c r="Y125"/>
  <c r="AC113"/>
  <c r="AC119" s="1"/>
  <c r="Y109"/>
  <c r="Y147"/>
  <c r="V188"/>
  <c r="S230" s="1"/>
  <c r="AH88"/>
  <c r="W188" s="1"/>
  <c r="AF88"/>
  <c r="Y157"/>
  <c r="Y167"/>
  <c r="Y156"/>
  <c r="Y166"/>
  <c r="AB23"/>
  <c r="AA116"/>
  <c r="AA122" s="1"/>
  <c r="Y137"/>
  <c r="Y151"/>
  <c r="Y150"/>
  <c r="Y149"/>
  <c r="Y112"/>
  <c r="Y118" s="1"/>
  <c r="Y146"/>
  <c r="Y145"/>
  <c r="Z18"/>
  <c r="AA20"/>
  <c r="Z90"/>
  <c r="Z27"/>
  <c r="Z25"/>
  <c r="Y105"/>
  <c r="AD51"/>
  <c r="AB21"/>
  <c r="J72"/>
  <c r="J214" s="1"/>
  <c r="K72"/>
  <c r="K214" s="1"/>
  <c r="L72"/>
  <c r="L214" s="1"/>
  <c r="M72"/>
  <c r="M214" s="1"/>
  <c r="N72"/>
  <c r="N214" s="1"/>
  <c r="O72"/>
  <c r="O214" s="1"/>
  <c r="P72"/>
  <c r="P214" s="1"/>
  <c r="R72"/>
  <c r="R214" s="1"/>
  <c r="I86"/>
  <c r="J86"/>
  <c r="J208" s="1"/>
  <c r="K86"/>
  <c r="K208" s="1"/>
  <c r="L86"/>
  <c r="L208" s="1"/>
  <c r="M86"/>
  <c r="M208" s="1"/>
  <c r="N86"/>
  <c r="N208" s="1"/>
  <c r="O86"/>
  <c r="O208" s="1"/>
  <c r="P86"/>
  <c r="R86"/>
  <c r="I85"/>
  <c r="J85"/>
  <c r="K85"/>
  <c r="L85"/>
  <c r="M85"/>
  <c r="N85"/>
  <c r="O85"/>
  <c r="P85"/>
  <c r="R85"/>
  <c r="I83"/>
  <c r="J83"/>
  <c r="K83"/>
  <c r="L83"/>
  <c r="M83"/>
  <c r="N83"/>
  <c r="O83"/>
  <c r="P83"/>
  <c r="R83"/>
  <c r="I82"/>
  <c r="J82"/>
  <c r="K82"/>
  <c r="L82"/>
  <c r="M82"/>
  <c r="N82"/>
  <c r="O82"/>
  <c r="P82"/>
  <c r="R82"/>
  <c r="I76"/>
  <c r="J76"/>
  <c r="K76"/>
  <c r="L76"/>
  <c r="M76"/>
  <c r="N76"/>
  <c r="O76"/>
  <c r="P76"/>
  <c r="R76"/>
  <c r="I75"/>
  <c r="J75"/>
  <c r="J206" s="1"/>
  <c r="K75"/>
  <c r="K206" s="1"/>
  <c r="L75"/>
  <c r="L206" s="1"/>
  <c r="M75"/>
  <c r="M206" s="1"/>
  <c r="N75"/>
  <c r="N206" s="1"/>
  <c r="O75"/>
  <c r="O206" s="1"/>
  <c r="P75"/>
  <c r="R75"/>
  <c r="I74"/>
  <c r="J74"/>
  <c r="K74"/>
  <c r="L74"/>
  <c r="M74"/>
  <c r="N74"/>
  <c r="O74"/>
  <c r="P74"/>
  <c r="R74"/>
  <c r="V154"/>
  <c r="V162"/>
  <c r="V163" s="1"/>
  <c r="V114"/>
  <c r="V120" s="1"/>
  <c r="Z125" l="1"/>
  <c r="Z129"/>
  <c r="Z147"/>
  <c r="Z124"/>
  <c r="T170"/>
  <c r="V237" s="1"/>
  <c r="V236" s="1"/>
  <c r="V211"/>
  <c r="AD113"/>
  <c r="AD119" s="1"/>
  <c r="V134"/>
  <c r="U188"/>
  <c r="R230" s="1"/>
  <c r="Z156"/>
  <c r="Z166"/>
  <c r="Z109"/>
  <c r="Z157"/>
  <c r="Z167"/>
  <c r="AC23"/>
  <c r="AB116"/>
  <c r="AB122" s="1"/>
  <c r="V107"/>
  <c r="V108"/>
  <c r="V160"/>
  <c r="V159"/>
  <c r="V115"/>
  <c r="V121" s="1"/>
  <c r="V155"/>
  <c r="J203"/>
  <c r="Z137"/>
  <c r="Z150"/>
  <c r="Z149"/>
  <c r="Z151"/>
  <c r="V136"/>
  <c r="Z112"/>
  <c r="Z118" s="1"/>
  <c r="Z146"/>
  <c r="Z145"/>
  <c r="V135"/>
  <c r="AA18"/>
  <c r="R203"/>
  <c r="M203"/>
  <c r="L203"/>
  <c r="O203"/>
  <c r="K203"/>
  <c r="AB20"/>
  <c r="AA90"/>
  <c r="J84"/>
  <c r="J207" s="1"/>
  <c r="AA27"/>
  <c r="W12"/>
  <c r="W15"/>
  <c r="W154" s="1"/>
  <c r="W13"/>
  <c r="W10"/>
  <c r="W16"/>
  <c r="W162" s="1"/>
  <c r="W163" s="1"/>
  <c r="W6"/>
  <c r="W7"/>
  <c r="AA25"/>
  <c r="AA129" s="1"/>
  <c r="Z105"/>
  <c r="W55"/>
  <c r="W130" s="1"/>
  <c r="V106"/>
  <c r="AE51"/>
  <c r="N84"/>
  <c r="N207" s="1"/>
  <c r="M84"/>
  <c r="M207" s="1"/>
  <c r="L84"/>
  <c r="L207" s="1"/>
  <c r="AC21"/>
  <c r="W201"/>
  <c r="K84"/>
  <c r="K207" s="1"/>
  <c r="I206"/>
  <c r="I203"/>
  <c r="I208"/>
  <c r="I84"/>
  <c r="P206"/>
  <c r="P203"/>
  <c r="P208"/>
  <c r="R206"/>
  <c r="N203"/>
  <c r="P84"/>
  <c r="O84"/>
  <c r="O207" s="1"/>
  <c r="R208"/>
  <c r="R84"/>
  <c r="C6" i="12"/>
  <c r="C26" i="15"/>
  <c r="C58"/>
  <c r="C57"/>
  <c r="C54"/>
  <c r="C53"/>
  <c r="C50"/>
  <c r="C49"/>
  <c r="C45"/>
  <c r="W132" i="18" l="1"/>
  <c r="W131"/>
  <c r="AA124"/>
  <c r="AA125"/>
  <c r="W211"/>
  <c r="W220"/>
  <c r="W225"/>
  <c r="I216"/>
  <c r="I217" s="1"/>
  <c r="I215"/>
  <c r="O216"/>
  <c r="O217" s="1"/>
  <c r="O215"/>
  <c r="M216"/>
  <c r="M217" s="1"/>
  <c r="M215"/>
  <c r="P216"/>
  <c r="P217" s="1"/>
  <c r="P215"/>
  <c r="J216"/>
  <c r="J217" s="1"/>
  <c r="J215"/>
  <c r="K216"/>
  <c r="K217" s="1"/>
  <c r="K215"/>
  <c r="L216"/>
  <c r="L217" s="1"/>
  <c r="L215"/>
  <c r="R216"/>
  <c r="R217" s="1"/>
  <c r="R215"/>
  <c r="N216"/>
  <c r="N217" s="1"/>
  <c r="N215"/>
  <c r="AA109"/>
  <c r="AA147"/>
  <c r="W114"/>
  <c r="W120" s="1"/>
  <c r="W68"/>
  <c r="W110" s="1"/>
  <c r="W238"/>
  <c r="X238" s="1"/>
  <c r="Y238" s="1"/>
  <c r="Z238" s="1"/>
  <c r="AA238" s="1"/>
  <c r="AB238" s="1"/>
  <c r="AC238" s="1"/>
  <c r="AD238" s="1"/>
  <c r="AE238" s="1"/>
  <c r="AF238" s="1"/>
  <c r="AG238" s="1"/>
  <c r="AH238" s="1"/>
  <c r="AI238" s="1"/>
  <c r="AJ238" s="1"/>
  <c r="AK238" s="1"/>
  <c r="AL238" s="1"/>
  <c r="AM238" s="1"/>
  <c r="AN238" s="1"/>
  <c r="AO238" s="1"/>
  <c r="AP238" s="1"/>
  <c r="AQ238" s="1"/>
  <c r="AR238" s="1"/>
  <c r="AS238" s="1"/>
  <c r="AT238" s="1"/>
  <c r="AU238" s="1"/>
  <c r="AV238" s="1"/>
  <c r="W134"/>
  <c r="AA156"/>
  <c r="AA166"/>
  <c r="AA157"/>
  <c r="AA167"/>
  <c r="AH51"/>
  <c r="AE113"/>
  <c r="AD23"/>
  <c r="AC116"/>
  <c r="AC122" s="1"/>
  <c r="W160"/>
  <c r="W159"/>
  <c r="W115"/>
  <c r="W121" s="1"/>
  <c r="W155"/>
  <c r="W108"/>
  <c r="AA149"/>
  <c r="AA150"/>
  <c r="AA151"/>
  <c r="AA137"/>
  <c r="AA112"/>
  <c r="AA118" s="1"/>
  <c r="AA146"/>
  <c r="AA145"/>
  <c r="W135"/>
  <c r="W136"/>
  <c r="AB18"/>
  <c r="AC20"/>
  <c r="AB90"/>
  <c r="AB27"/>
  <c r="X15"/>
  <c r="X154" s="1"/>
  <c r="X13"/>
  <c r="X12"/>
  <c r="X16"/>
  <c r="X162" s="1"/>
  <c r="X163" s="1"/>
  <c r="X10"/>
  <c r="X7"/>
  <c r="X6"/>
  <c r="AF51"/>
  <c r="AB25"/>
  <c r="AB129" s="1"/>
  <c r="AA105"/>
  <c r="X55"/>
  <c r="X130" s="1"/>
  <c r="W107"/>
  <c r="W106"/>
  <c r="AD21"/>
  <c r="X201"/>
  <c r="I207"/>
  <c r="P207"/>
  <c r="R207"/>
  <c r="C16" i="15"/>
  <c r="C21"/>
  <c r="C10"/>
  <c r="X131" i="18" l="1"/>
  <c r="X132"/>
  <c r="AB124"/>
  <c r="AB125"/>
  <c r="W226"/>
  <c r="W227" s="1"/>
  <c r="W224"/>
  <c r="W221"/>
  <c r="W222" s="1"/>
  <c r="W219"/>
  <c r="X211"/>
  <c r="X225"/>
  <c r="X220"/>
  <c r="AB109"/>
  <c r="AB147"/>
  <c r="X114"/>
  <c r="X120" s="1"/>
  <c r="X68"/>
  <c r="X110" s="1"/>
  <c r="W239"/>
  <c r="X239" s="1"/>
  <c r="Y239" s="1"/>
  <c r="Z239" s="1"/>
  <c r="AA239" s="1"/>
  <c r="AB239" s="1"/>
  <c r="AC239" s="1"/>
  <c r="AD239" s="1"/>
  <c r="AE239" s="1"/>
  <c r="AF239" s="1"/>
  <c r="AG239" s="1"/>
  <c r="AH239" s="1"/>
  <c r="AI239" s="1"/>
  <c r="AJ239" s="1"/>
  <c r="AK239" s="1"/>
  <c r="AL239" s="1"/>
  <c r="AM239" s="1"/>
  <c r="AN239" s="1"/>
  <c r="AO239" s="1"/>
  <c r="AP239" s="1"/>
  <c r="AQ239" s="1"/>
  <c r="AR239" s="1"/>
  <c r="AS239" s="1"/>
  <c r="AT239" s="1"/>
  <c r="AU239" s="1"/>
  <c r="AV239" s="1"/>
  <c r="AF113"/>
  <c r="AE119"/>
  <c r="AF119" s="1"/>
  <c r="W237"/>
  <c r="X237" s="1"/>
  <c r="Y237" s="1"/>
  <c r="Z237" s="1"/>
  <c r="AA237" s="1"/>
  <c r="AB237" s="1"/>
  <c r="AC237" s="1"/>
  <c r="AD237" s="1"/>
  <c r="AE237" s="1"/>
  <c r="AF237" s="1"/>
  <c r="X134"/>
  <c r="AB156"/>
  <c r="AB166"/>
  <c r="AB157"/>
  <c r="AB167"/>
  <c r="AE23"/>
  <c r="AD116"/>
  <c r="AD122" s="1"/>
  <c r="X115"/>
  <c r="X121" s="1"/>
  <c r="X155"/>
  <c r="X160"/>
  <c r="X159"/>
  <c r="X108"/>
  <c r="AB151"/>
  <c r="AB150"/>
  <c r="AB149"/>
  <c r="AB137"/>
  <c r="AB112"/>
  <c r="AB118" s="1"/>
  <c r="AB146"/>
  <c r="AB145"/>
  <c r="X135"/>
  <c r="X136"/>
  <c r="AC18"/>
  <c r="AD20"/>
  <c r="AC90"/>
  <c r="AC27"/>
  <c r="Y13"/>
  <c r="Y12"/>
  <c r="Y15"/>
  <c r="Y154" s="1"/>
  <c r="Y10"/>
  <c r="Y16"/>
  <c r="Y162" s="1"/>
  <c r="Y163" s="1"/>
  <c r="Y6"/>
  <c r="Y7"/>
  <c r="Y55"/>
  <c r="Y130" s="1"/>
  <c r="X107"/>
  <c r="X106"/>
  <c r="AC25"/>
  <c r="AC129" s="1"/>
  <c r="AB105"/>
  <c r="AE21"/>
  <c r="AH21" s="1"/>
  <c r="Y201"/>
  <c r="D31" i="8"/>
  <c r="D29"/>
  <c r="D28"/>
  <c r="D13"/>
  <c r="D30" s="1"/>
  <c r="E14"/>
  <c r="F14" s="1"/>
  <c r="G14" s="1"/>
  <c r="H14" s="1"/>
  <c r="I14" s="1"/>
  <c r="Y132" i="18" l="1"/>
  <c r="Y131"/>
  <c r="AC124"/>
  <c r="AC125"/>
  <c r="X221"/>
  <c r="X222" s="1"/>
  <c r="X219"/>
  <c r="X226"/>
  <c r="X227" s="1"/>
  <c r="X224"/>
  <c r="Y211"/>
  <c r="Y220"/>
  <c r="Y225"/>
  <c r="AC109"/>
  <c r="AC147"/>
  <c r="Y114"/>
  <c r="Y120" s="1"/>
  <c r="Y68"/>
  <c r="Y110" s="1"/>
  <c r="W236"/>
  <c r="X236" s="1"/>
  <c r="Y236" s="1"/>
  <c r="Z236" s="1"/>
  <c r="AA236" s="1"/>
  <c r="AB236" s="1"/>
  <c r="AC236" s="1"/>
  <c r="AD236" s="1"/>
  <c r="AE236" s="1"/>
  <c r="AF236" s="1"/>
  <c r="AG237"/>
  <c r="AH237" s="1"/>
  <c r="AI237" s="1"/>
  <c r="AJ237" s="1"/>
  <c r="AK237" s="1"/>
  <c r="AL237" s="1"/>
  <c r="AM237" s="1"/>
  <c r="AN237" s="1"/>
  <c r="AO237" s="1"/>
  <c r="AP237" s="1"/>
  <c r="AQ237" s="1"/>
  <c r="AR237" s="1"/>
  <c r="AS237" s="1"/>
  <c r="AT237" s="1"/>
  <c r="AU237" s="1"/>
  <c r="AV237" s="1"/>
  <c r="Y134"/>
  <c r="AC156"/>
  <c r="AC166"/>
  <c r="AC157"/>
  <c r="AC167"/>
  <c r="AH23"/>
  <c r="AE116"/>
  <c r="AF23"/>
  <c r="Y108"/>
  <c r="Y159"/>
  <c r="Y160"/>
  <c r="Y115"/>
  <c r="Y121" s="1"/>
  <c r="Y155"/>
  <c r="AC151"/>
  <c r="AC150"/>
  <c r="AC149"/>
  <c r="AC137"/>
  <c r="AC112"/>
  <c r="AC118" s="1"/>
  <c r="AC146"/>
  <c r="AC145"/>
  <c r="Y136"/>
  <c r="Y135"/>
  <c r="AD18"/>
  <c r="AE20"/>
  <c r="AD90"/>
  <c r="AD27"/>
  <c r="Z12"/>
  <c r="Z15"/>
  <c r="Z154" s="1"/>
  <c r="Z13"/>
  <c r="Z16"/>
  <c r="Z162" s="1"/>
  <c r="Z163" s="1"/>
  <c r="Z10"/>
  <c r="Z7"/>
  <c r="Z6"/>
  <c r="AD25"/>
  <c r="AC105"/>
  <c r="Z55"/>
  <c r="Z130" s="1"/>
  <c r="Y106"/>
  <c r="Y107"/>
  <c r="AF21"/>
  <c r="Z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D125" i="18" l="1"/>
  <c r="AD129"/>
  <c r="Z132"/>
  <c r="Z131"/>
  <c r="AD147"/>
  <c r="AD124"/>
  <c r="Y226"/>
  <c r="Y227" s="1"/>
  <c r="Y224"/>
  <c r="Y221"/>
  <c r="Y222" s="1"/>
  <c r="Y219"/>
  <c r="Z211"/>
  <c r="Z225"/>
  <c r="Z220"/>
  <c r="Z114"/>
  <c r="Z120" s="1"/>
  <c r="Z68"/>
  <c r="Z110" s="1"/>
  <c r="AG236"/>
  <c r="AH236" s="1"/>
  <c r="AI236" s="1"/>
  <c r="AJ236" s="1"/>
  <c r="AK236" s="1"/>
  <c r="AL236" s="1"/>
  <c r="AM236" s="1"/>
  <c r="AN236" s="1"/>
  <c r="AO236" s="1"/>
  <c r="AP236" s="1"/>
  <c r="AQ236" s="1"/>
  <c r="AR236" s="1"/>
  <c r="AS236" s="1"/>
  <c r="AT236" s="1"/>
  <c r="AU236" s="1"/>
  <c r="AV236" s="1"/>
  <c r="AF116"/>
  <c r="AE122"/>
  <c r="AF122" s="1"/>
  <c r="Z134"/>
  <c r="AD156"/>
  <c r="AD166"/>
  <c r="AD157"/>
  <c r="AD167"/>
  <c r="AH20"/>
  <c r="AD109"/>
  <c r="Z160"/>
  <c r="Z159"/>
  <c r="Z115"/>
  <c r="Z121" s="1"/>
  <c r="Z155"/>
  <c r="Z108"/>
  <c r="AD150"/>
  <c r="AD149"/>
  <c r="AD151"/>
  <c r="AD137"/>
  <c r="AD112"/>
  <c r="AD118" s="1"/>
  <c r="AD146"/>
  <c r="AD145"/>
  <c r="Z136"/>
  <c r="Z135"/>
  <c r="AE18"/>
  <c r="AF20"/>
  <c r="AE90"/>
  <c r="AE27"/>
  <c r="AE167" s="1"/>
  <c r="AF167" s="1"/>
  <c r="AA15"/>
  <c r="AA154" s="1"/>
  <c r="AA13"/>
  <c r="AA12"/>
  <c r="AA10"/>
  <c r="AA16"/>
  <c r="AA162" s="1"/>
  <c r="AA163" s="1"/>
  <c r="AA6"/>
  <c r="AA7"/>
  <c r="AA55"/>
  <c r="AA130" s="1"/>
  <c r="Z107"/>
  <c r="Z106"/>
  <c r="AE25"/>
  <c r="AE129" s="1"/>
  <c r="AF129" s="1"/>
  <c r="AD105"/>
  <c r="AA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A132" i="18" l="1"/>
  <c r="AA131"/>
  <c r="AE124"/>
  <c r="AF124" s="1"/>
  <c r="AE125"/>
  <c r="AF125" s="1"/>
  <c r="Z221"/>
  <c r="Z222" s="1"/>
  <c r="Z219"/>
  <c r="Z226"/>
  <c r="Z227" s="1"/>
  <c r="Z224"/>
  <c r="AA211"/>
  <c r="AA225"/>
  <c r="AA220"/>
  <c r="AE109"/>
  <c r="AF109" s="1"/>
  <c r="AE147"/>
  <c r="AF147" s="1"/>
  <c r="AA114"/>
  <c r="AA120" s="1"/>
  <c r="AA68"/>
  <c r="AA110" s="1"/>
  <c r="AA134"/>
  <c r="AE156"/>
  <c r="AF156" s="1"/>
  <c r="AE166"/>
  <c r="AF166" s="1"/>
  <c r="AA115"/>
  <c r="AA121" s="1"/>
  <c r="AA155"/>
  <c r="AA160"/>
  <c r="AA159"/>
  <c r="AH27"/>
  <c r="AE157"/>
  <c r="AF157" s="1"/>
  <c r="AA108"/>
  <c r="AE149"/>
  <c r="AF149" s="1"/>
  <c r="AE151"/>
  <c r="AF151" s="1"/>
  <c r="AE150"/>
  <c r="AF150" s="1"/>
  <c r="N32" i="9"/>
  <c r="N33" s="1"/>
  <c r="N34" s="1"/>
  <c r="N35" s="1"/>
  <c r="N36" s="1"/>
  <c r="N37" s="1"/>
  <c r="N38" s="1"/>
  <c r="N39" s="1"/>
  <c r="N40" s="1"/>
  <c r="N41" s="1"/>
  <c r="N42" s="1"/>
  <c r="M45"/>
  <c r="AE137" i="18"/>
  <c r="AF137" s="1"/>
  <c r="AE112"/>
  <c r="AE146"/>
  <c r="AF146" s="1"/>
  <c r="AE145"/>
  <c r="AF145" s="1"/>
  <c r="AA136"/>
  <c r="AA135"/>
  <c r="AH25"/>
  <c r="AH18"/>
  <c r="AF18"/>
  <c r="V190"/>
  <c r="AH90"/>
  <c r="AF90"/>
  <c r="M32" i="9"/>
  <c r="M33" s="1"/>
  <c r="M34" s="1"/>
  <c r="M35" s="1"/>
  <c r="M36" s="1"/>
  <c r="M37" s="1"/>
  <c r="M38" s="1"/>
  <c r="M39" s="1"/>
  <c r="M40" s="1"/>
  <c r="M41" s="1"/>
  <c r="P32"/>
  <c r="AF27" i="18"/>
  <c r="AB12"/>
  <c r="AB15"/>
  <c r="AB154" s="1"/>
  <c r="AB13"/>
  <c r="AB10"/>
  <c r="AB16"/>
  <c r="AB162" s="1"/>
  <c r="AB163" s="1"/>
  <c r="AB7"/>
  <c r="AB6"/>
  <c r="AF25"/>
  <c r="AE105"/>
  <c r="AF105" s="1"/>
  <c r="AB55"/>
  <c r="AB130" s="1"/>
  <c r="AA107"/>
  <c r="AA106"/>
  <c r="O31" i="9"/>
  <c r="O32" s="1"/>
  <c r="AB201" i="18"/>
  <c r="P31" i="11"/>
  <c r="N32"/>
  <c r="T19" i="9"/>
  <c r="D22"/>
  <c r="AB131" i="18" l="1"/>
  <c r="AB132"/>
  <c r="AA221"/>
  <c r="AA222" s="1"/>
  <c r="AA219"/>
  <c r="AA226"/>
  <c r="AA227" s="1"/>
  <c r="AA224"/>
  <c r="AB211"/>
  <c r="AB220"/>
  <c r="AB225"/>
  <c r="AB114"/>
  <c r="AB120" s="1"/>
  <c r="AB68"/>
  <c r="AB110" s="1"/>
  <c r="AF112"/>
  <c r="AE118"/>
  <c r="AF118" s="1"/>
  <c r="AB134"/>
  <c r="AB160"/>
  <c r="AB159"/>
  <c r="AB115"/>
  <c r="AB121" s="1"/>
  <c r="AB155"/>
  <c r="AB108"/>
  <c r="AB135"/>
  <c r="AB136"/>
  <c r="W190"/>
  <c r="U190" s="1"/>
  <c r="AC13"/>
  <c r="AC12"/>
  <c r="AC15"/>
  <c r="AC154" s="1"/>
  <c r="AC10"/>
  <c r="AC16"/>
  <c r="AC162" s="1"/>
  <c r="AC163" s="1"/>
  <c r="AC6"/>
  <c r="AC7"/>
  <c r="AC55"/>
  <c r="AC130" s="1"/>
  <c r="AB107"/>
  <c r="AB106"/>
  <c r="AC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C132" i="18" l="1"/>
  <c r="AC131"/>
  <c r="AB226"/>
  <c r="AB227" s="1"/>
  <c r="AB224"/>
  <c r="AB221"/>
  <c r="AB222" s="1"/>
  <c r="AB219"/>
  <c r="AC211"/>
  <c r="AC225"/>
  <c r="AC220"/>
  <c r="AC114"/>
  <c r="AC120" s="1"/>
  <c r="AC68"/>
  <c r="AC110" s="1"/>
  <c r="AC134"/>
  <c r="AC115"/>
  <c r="AC121" s="1"/>
  <c r="AC155"/>
  <c r="AC159"/>
  <c r="AC160"/>
  <c r="AC108"/>
  <c r="AC135"/>
  <c r="AC136"/>
  <c r="AD12"/>
  <c r="AD15"/>
  <c r="AD154" s="1"/>
  <c r="AD13"/>
  <c r="AD10"/>
  <c r="AD16"/>
  <c r="AD162" s="1"/>
  <c r="AD163" s="1"/>
  <c r="AD7"/>
  <c r="AD6"/>
  <c r="AD55"/>
  <c r="AD130" s="1"/>
  <c r="AC106"/>
  <c r="AC107"/>
  <c r="AD201"/>
  <c r="N34" i="11"/>
  <c r="O33"/>
  <c r="D25" i="8"/>
  <c r="D23"/>
  <c r="AD132" i="18" l="1"/>
  <c r="AD131"/>
  <c r="AC221"/>
  <c r="AC222" s="1"/>
  <c r="AC219"/>
  <c r="AC226"/>
  <c r="AC227" s="1"/>
  <c r="AC224"/>
  <c r="AD211"/>
  <c r="AD225"/>
  <c r="AD220"/>
  <c r="AD114"/>
  <c r="AD120" s="1"/>
  <c r="AD68"/>
  <c r="AD110" s="1"/>
  <c r="AD134"/>
  <c r="AD108"/>
  <c r="AD159"/>
  <c r="AD160"/>
  <c r="AD115"/>
  <c r="AD121" s="1"/>
  <c r="AD155"/>
  <c r="AD135"/>
  <c r="AD136"/>
  <c r="AE15"/>
  <c r="AE13"/>
  <c r="AH13" s="1"/>
  <c r="AE12"/>
  <c r="AE155" s="1"/>
  <c r="AF155" s="1"/>
  <c r="AE10"/>
  <c r="AE16"/>
  <c r="AE6"/>
  <c r="AH6" s="1"/>
  <c r="AE7"/>
  <c r="AH7" s="1"/>
  <c r="AE55"/>
  <c r="AE130" s="1"/>
  <c r="AF130" s="1"/>
  <c r="AD107"/>
  <c r="AD106"/>
  <c r="AE201"/>
  <c r="N35" i="11"/>
  <c r="O34"/>
  <c r="D35" i="8"/>
  <c r="E5"/>
  <c r="E18" s="1"/>
  <c r="D18"/>
  <c r="D19"/>
  <c r="D21"/>
  <c r="D20"/>
  <c r="AE132" i="18" l="1"/>
  <c r="AF132" s="1"/>
  <c r="AE131"/>
  <c r="AF131" s="1"/>
  <c r="AD221"/>
  <c r="AD222" s="1"/>
  <c r="AD219"/>
  <c r="AD226"/>
  <c r="AD227" s="1"/>
  <c r="AD224"/>
  <c r="AE211"/>
  <c r="AF211" s="1"/>
  <c r="AH211" s="1"/>
  <c r="AH227" s="1"/>
  <c r="AE225"/>
  <c r="AE224" s="1"/>
  <c r="AF224" s="1"/>
  <c r="AE220"/>
  <c r="AE219" s="1"/>
  <c r="AF219" s="1"/>
  <c r="AE114"/>
  <c r="AE120" s="1"/>
  <c r="AF120" s="1"/>
  <c r="AE68"/>
  <c r="AE134"/>
  <c r="AF134" s="1"/>
  <c r="AH16"/>
  <c r="AE162"/>
  <c r="AE160"/>
  <c r="AF160" s="1"/>
  <c r="AE159"/>
  <c r="AF159" s="1"/>
  <c r="AH15"/>
  <c r="AE154"/>
  <c r="AF154" s="1"/>
  <c r="AE108"/>
  <c r="AF108" s="1"/>
  <c r="AH10"/>
  <c r="AH12"/>
  <c r="AE115"/>
  <c r="AH55"/>
  <c r="AE135"/>
  <c r="AF135" s="1"/>
  <c r="AE136"/>
  <c r="AF136" s="1"/>
  <c r="AF15"/>
  <c r="AF13"/>
  <c r="V184"/>
  <c r="AF12"/>
  <c r="AF10"/>
  <c r="AF16"/>
  <c r="AF7"/>
  <c r="AF6"/>
  <c r="AE107"/>
  <c r="AF107" s="1"/>
  <c r="AE106"/>
  <c r="AF106" s="1"/>
  <c r="AF55"/>
  <c r="AF201"/>
  <c r="AH201" s="1"/>
  <c r="N36" i="11"/>
  <c r="O35"/>
  <c r="F5" i="8"/>
  <c r="G5" s="1"/>
  <c r="H5" s="1"/>
  <c r="I5" s="1"/>
  <c r="AE221" i="18" l="1"/>
  <c r="AF220"/>
  <c r="AF225"/>
  <c r="AE226"/>
  <c r="AF68"/>
  <c r="AH68"/>
  <c r="AF114"/>
  <c r="AE110"/>
  <c r="AF110" s="1"/>
  <c r="AF115"/>
  <c r="AE121"/>
  <c r="AF121" s="1"/>
  <c r="AF162"/>
  <c r="AE163"/>
  <c r="AF163" s="1"/>
  <c r="W184"/>
  <c r="W185" s="1"/>
  <c r="V185"/>
  <c r="S233" s="1"/>
  <c r="N37" i="11"/>
  <c r="O36"/>
  <c r="F18" i="8"/>
  <c r="G18"/>
  <c r="AF221" i="18" l="1"/>
  <c r="AE222"/>
  <c r="AF222" s="1"/>
  <c r="AE227"/>
  <c r="AF227" s="1"/>
  <c r="AF226"/>
  <c r="U184"/>
  <c r="U185"/>
  <c r="N38" i="11"/>
  <c r="O37"/>
  <c r="H18" i="8"/>
  <c r="O233" i="18" l="1"/>
  <c r="R233"/>
  <c r="N39" i="11"/>
  <c r="O38"/>
  <c r="I18" i="8"/>
  <c r="N40" i="11" l="1"/>
  <c r="O39"/>
  <c r="N41" l="1"/>
  <c r="O40"/>
  <c r="N42" l="1"/>
  <c r="O41"/>
  <c r="V212" i="18"/>
  <c r="V93"/>
  <c r="V74"/>
  <c r="V79"/>
  <c r="V100"/>
  <c r="V102"/>
  <c r="V95"/>
  <c r="V92"/>
  <c r="V78"/>
  <c r="V73"/>
  <c r="V67"/>
  <c r="V85"/>
  <c r="V99"/>
  <c r="V83"/>
  <c r="V76"/>
  <c r="V94"/>
  <c r="V96"/>
  <c r="V80"/>
  <c r="V209" s="1"/>
  <c r="V66"/>
  <c r="V202" s="1"/>
  <c r="V71"/>
  <c r="V205" s="1"/>
  <c r="V86"/>
  <c r="V208" s="1"/>
  <c r="V98"/>
  <c r="V164" s="1"/>
  <c r="V70"/>
  <c r="V204" s="1"/>
  <c r="V82"/>
  <c r="V139"/>
  <c r="V140" s="1"/>
  <c r="V72"/>
  <c r="V214" s="1"/>
  <c r="V75"/>
  <c r="V206" s="1"/>
  <c r="W57"/>
  <c r="V84" l="1"/>
  <c r="V207" s="1"/>
  <c r="W76"/>
  <c r="W99"/>
  <c r="W83"/>
  <c r="W95"/>
  <c r="W79"/>
  <c r="W78"/>
  <c r="W212"/>
  <c r="W94"/>
  <c r="W74"/>
  <c r="W98"/>
  <c r="W164" s="1"/>
  <c r="W86"/>
  <c r="W208" s="1"/>
  <c r="W70"/>
  <c r="W204" s="1"/>
  <c r="W139"/>
  <c r="W140" s="1"/>
  <c r="W92"/>
  <c r="W73"/>
  <c r="W102"/>
  <c r="W85"/>
  <c r="W100"/>
  <c r="W93"/>
  <c r="W96"/>
  <c r="W67"/>
  <c r="W75"/>
  <c r="W206" s="1"/>
  <c r="W66"/>
  <c r="W202" s="1"/>
  <c r="W80"/>
  <c r="W209" s="1"/>
  <c r="W71"/>
  <c r="W205" s="1"/>
  <c r="W72"/>
  <c r="W214" s="1"/>
  <c r="X57"/>
  <c r="W82"/>
  <c r="V141"/>
  <c r="V142" s="1"/>
  <c r="V143"/>
  <c r="V203"/>
  <c r="W84" l="1"/>
  <c r="W207" s="1"/>
  <c r="V216"/>
  <c r="V217" s="1"/>
  <c r="V215"/>
  <c r="X93"/>
  <c r="X70"/>
  <c r="X204" s="1"/>
  <c r="X94"/>
  <c r="X95"/>
  <c r="X99"/>
  <c r="X79"/>
  <c r="X76"/>
  <c r="X102"/>
  <c r="X85"/>
  <c r="X83"/>
  <c r="X66"/>
  <c r="X202" s="1"/>
  <c r="X75"/>
  <c r="X206" s="1"/>
  <c r="X71"/>
  <c r="X205" s="1"/>
  <c r="X74"/>
  <c r="X73"/>
  <c r="X92"/>
  <c r="X96"/>
  <c r="X67"/>
  <c r="X80"/>
  <c r="X209" s="1"/>
  <c r="X100"/>
  <c r="X78"/>
  <c r="X212"/>
  <c r="X98"/>
  <c r="X164" s="1"/>
  <c r="X86"/>
  <c r="X208" s="1"/>
  <c r="X82"/>
  <c r="X139"/>
  <c r="X140" s="1"/>
  <c r="X72"/>
  <c r="X214" s="1"/>
  <c r="Y57"/>
  <c r="W203"/>
  <c r="W143"/>
  <c r="W141"/>
  <c r="W142" s="1"/>
  <c r="W216" l="1"/>
  <c r="W217" s="1"/>
  <c r="W215"/>
  <c r="Y93"/>
  <c r="Y212"/>
  <c r="Y67"/>
  <c r="Y94"/>
  <c r="Y79"/>
  <c r="Y74"/>
  <c r="Y78"/>
  <c r="Y92"/>
  <c r="Y98"/>
  <c r="Y164" s="1"/>
  <c r="Y70"/>
  <c r="Y204" s="1"/>
  <c r="Y71"/>
  <c r="Y205" s="1"/>
  <c r="Y86"/>
  <c r="Y208" s="1"/>
  <c r="Y102"/>
  <c r="Y73"/>
  <c r="Y96"/>
  <c r="Y100"/>
  <c r="Y99"/>
  <c r="Y76"/>
  <c r="Y95"/>
  <c r="Y85"/>
  <c r="Y83"/>
  <c r="Y80"/>
  <c r="Y209" s="1"/>
  <c r="Y66"/>
  <c r="Y202" s="1"/>
  <c r="Y139"/>
  <c r="Y140" s="1"/>
  <c r="Y72"/>
  <c r="Y214" s="1"/>
  <c r="Y75"/>
  <c r="Y206" s="1"/>
  <c r="Z57"/>
  <c r="Y82"/>
  <c r="X203"/>
  <c r="X141"/>
  <c r="X142" s="1"/>
  <c r="X143"/>
  <c r="X84"/>
  <c r="X207" s="1"/>
  <c r="X216" l="1"/>
  <c r="X217" s="1"/>
  <c r="X215"/>
  <c r="Y203"/>
  <c r="Y84"/>
  <c r="Y207" s="1"/>
  <c r="Y143"/>
  <c r="Y141"/>
  <c r="Y142" s="1"/>
  <c r="Z73"/>
  <c r="Z94"/>
  <c r="Z83"/>
  <c r="Z93"/>
  <c r="Z92"/>
  <c r="Z78"/>
  <c r="Z67"/>
  <c r="Z76"/>
  <c r="Z75"/>
  <c r="Z206" s="1"/>
  <c r="Z66"/>
  <c r="Z202" s="1"/>
  <c r="Z98"/>
  <c r="Z164" s="1"/>
  <c r="Z212"/>
  <c r="Z96"/>
  <c r="Z74"/>
  <c r="Z102"/>
  <c r="Z95"/>
  <c r="Z79"/>
  <c r="Z85"/>
  <c r="Z99"/>
  <c r="Z100"/>
  <c r="Z70"/>
  <c r="Z204" s="1"/>
  <c r="Z71"/>
  <c r="Z205" s="1"/>
  <c r="Z86"/>
  <c r="Z208" s="1"/>
  <c r="Z80"/>
  <c r="Z209" s="1"/>
  <c r="Z82"/>
  <c r="Z72"/>
  <c r="Z214" s="1"/>
  <c r="Z139"/>
  <c r="Z140" s="1"/>
  <c r="AA57"/>
  <c r="Z84" l="1"/>
  <c r="Z207" s="1"/>
  <c r="Y216"/>
  <c r="Y217" s="1"/>
  <c r="Y215"/>
  <c r="AA73"/>
  <c r="AA76"/>
  <c r="AA78"/>
  <c r="AA67"/>
  <c r="AA80"/>
  <c r="AA209" s="1"/>
  <c r="AA92"/>
  <c r="AA85"/>
  <c r="AA93"/>
  <c r="AA83"/>
  <c r="AA71"/>
  <c r="AA205" s="1"/>
  <c r="AA66"/>
  <c r="AA202" s="1"/>
  <c r="AA75"/>
  <c r="AA206" s="1"/>
  <c r="AA95"/>
  <c r="AA94"/>
  <c r="AA74"/>
  <c r="AA100"/>
  <c r="AA86"/>
  <c r="AA208" s="1"/>
  <c r="AA102"/>
  <c r="AA212"/>
  <c r="AA99"/>
  <c r="AA96"/>
  <c r="AA79"/>
  <c r="AA98"/>
  <c r="AA164" s="1"/>
  <c r="AA70"/>
  <c r="AA204" s="1"/>
  <c r="AB57"/>
  <c r="AA139"/>
  <c r="AA140" s="1"/>
  <c r="AA82"/>
  <c r="AA72"/>
  <c r="AA214" s="1"/>
  <c r="Z141"/>
  <c r="Z142" s="1"/>
  <c r="Z143"/>
  <c r="Z203"/>
  <c r="Z216" l="1"/>
  <c r="Z217" s="1"/>
  <c r="Z215"/>
  <c r="AA84"/>
  <c r="AA207" s="1"/>
  <c r="AB92"/>
  <c r="AB79"/>
  <c r="AB212"/>
  <c r="AB78"/>
  <c r="AB80"/>
  <c r="AB209" s="1"/>
  <c r="AB95"/>
  <c r="AB67"/>
  <c r="AB83"/>
  <c r="AB100"/>
  <c r="AB98"/>
  <c r="AB164" s="1"/>
  <c r="AB66"/>
  <c r="AB202" s="1"/>
  <c r="AB99"/>
  <c r="AB74"/>
  <c r="AB76"/>
  <c r="AB96"/>
  <c r="AB86"/>
  <c r="AB208" s="1"/>
  <c r="AB73"/>
  <c r="AB102"/>
  <c r="AB94"/>
  <c r="AB93"/>
  <c r="AB85"/>
  <c r="AB70"/>
  <c r="AB204" s="1"/>
  <c r="AB71"/>
  <c r="AB205" s="1"/>
  <c r="AB75"/>
  <c r="AB206" s="1"/>
  <c r="AB139"/>
  <c r="AB140" s="1"/>
  <c r="AB72"/>
  <c r="AB214" s="1"/>
  <c r="AB82"/>
  <c r="AC57"/>
  <c r="AA203"/>
  <c r="AA141"/>
  <c r="AA142" s="1"/>
  <c r="AA143"/>
  <c r="AA216" l="1"/>
  <c r="AA217" s="1"/>
  <c r="AA215"/>
  <c r="AB84"/>
  <c r="AB207" s="1"/>
  <c r="AB143"/>
  <c r="AB141"/>
  <c r="AB142" s="1"/>
  <c r="AC92"/>
  <c r="AC94"/>
  <c r="AC76"/>
  <c r="AC96"/>
  <c r="AC66"/>
  <c r="AC202" s="1"/>
  <c r="AC74"/>
  <c r="AC83"/>
  <c r="AC100"/>
  <c r="AC95"/>
  <c r="AC70"/>
  <c r="AC204" s="1"/>
  <c r="AC80"/>
  <c r="AC209" s="1"/>
  <c r="AC85"/>
  <c r="AC79"/>
  <c r="AC212"/>
  <c r="AC99"/>
  <c r="AC102"/>
  <c r="AC93"/>
  <c r="AC67"/>
  <c r="AC73"/>
  <c r="AC78"/>
  <c r="AC71"/>
  <c r="AC205" s="1"/>
  <c r="AC86"/>
  <c r="AC208" s="1"/>
  <c r="AC98"/>
  <c r="AC164" s="1"/>
  <c r="AC75"/>
  <c r="AC206" s="1"/>
  <c r="AC139"/>
  <c r="AC140" s="1"/>
  <c r="AC82"/>
  <c r="AC72"/>
  <c r="AC214" s="1"/>
  <c r="AD57"/>
  <c r="AB203"/>
  <c r="AB216" l="1"/>
  <c r="AB217" s="1"/>
  <c r="AB215"/>
  <c r="AC203"/>
  <c r="AC84"/>
  <c r="AC207" s="1"/>
  <c r="AC141"/>
  <c r="AC142" s="1"/>
  <c r="AC143"/>
  <c r="AD79"/>
  <c r="AD92"/>
  <c r="AD83"/>
  <c r="AD73"/>
  <c r="AD98"/>
  <c r="AD164" s="1"/>
  <c r="AD100"/>
  <c r="AD93"/>
  <c r="AD99"/>
  <c r="AD76"/>
  <c r="AD66"/>
  <c r="AD202" s="1"/>
  <c r="AD86"/>
  <c r="AD208" s="1"/>
  <c r="AD96"/>
  <c r="AD71"/>
  <c r="AD205" s="1"/>
  <c r="AD102"/>
  <c r="AD94"/>
  <c r="AD95"/>
  <c r="AD85"/>
  <c r="AD78"/>
  <c r="AD67"/>
  <c r="AD212"/>
  <c r="AD74"/>
  <c r="AD70"/>
  <c r="AD204" s="1"/>
  <c r="AD80"/>
  <c r="AD209" s="1"/>
  <c r="AD75"/>
  <c r="AD206" s="1"/>
  <c r="AD139"/>
  <c r="AD140" s="1"/>
  <c r="AD72"/>
  <c r="AD214" s="1"/>
  <c r="AE57"/>
  <c r="AD82"/>
  <c r="AC216" l="1"/>
  <c r="AC217" s="1"/>
  <c r="AC215"/>
  <c r="AD84"/>
  <c r="AD207" s="1"/>
  <c r="AD203"/>
  <c r="AE212"/>
  <c r="AE99"/>
  <c r="AE100"/>
  <c r="AE67"/>
  <c r="AF57"/>
  <c r="AE73"/>
  <c r="AH57"/>
  <c r="AE102"/>
  <c r="AE98"/>
  <c r="AE70"/>
  <c r="AE66"/>
  <c r="AE71"/>
  <c r="AE75"/>
  <c r="AE85"/>
  <c r="AE72"/>
  <c r="AE214" s="1"/>
  <c r="AE86"/>
  <c r="AE93"/>
  <c r="AE95"/>
  <c r="AE80"/>
  <c r="AE82"/>
  <c r="AE78"/>
  <c r="AE83"/>
  <c r="AE94"/>
  <c r="AE92"/>
  <c r="AE76"/>
  <c r="AE96"/>
  <c r="AE139"/>
  <c r="AE74"/>
  <c r="AE79"/>
  <c r="AD143"/>
  <c r="AD141"/>
  <c r="AD142" s="1"/>
  <c r="AD216" l="1"/>
  <c r="AD217" s="1"/>
  <c r="AD215"/>
  <c r="AE140"/>
  <c r="AF139"/>
  <c r="AF94"/>
  <c r="V194"/>
  <c r="AH94"/>
  <c r="W194" s="1"/>
  <c r="AH80"/>
  <c r="W179" s="1"/>
  <c r="AE209"/>
  <c r="AF80"/>
  <c r="V179"/>
  <c r="AF72"/>
  <c r="AH72"/>
  <c r="W171" s="1"/>
  <c r="V171"/>
  <c r="AE203"/>
  <c r="AE215" s="1"/>
  <c r="AF215" s="1"/>
  <c r="AH66"/>
  <c r="AF66"/>
  <c r="AE202"/>
  <c r="AF100"/>
  <c r="AH100"/>
  <c r="V198"/>
  <c r="AH96"/>
  <c r="W198" s="1"/>
  <c r="AF96"/>
  <c r="AH83"/>
  <c r="AF83"/>
  <c r="AH95"/>
  <c r="W195" s="1"/>
  <c r="AF95"/>
  <c r="V195"/>
  <c r="AF85"/>
  <c r="V181"/>
  <c r="AH85"/>
  <c r="W181" s="1"/>
  <c r="AF70"/>
  <c r="AH70"/>
  <c r="AE204"/>
  <c r="AF73"/>
  <c r="AH73"/>
  <c r="AH99"/>
  <c r="AF99"/>
  <c r="AF79"/>
  <c r="AH79"/>
  <c r="W178" s="1"/>
  <c r="V178"/>
  <c r="AF76"/>
  <c r="V174"/>
  <c r="AH76"/>
  <c r="W174" s="1"/>
  <c r="V177"/>
  <c r="AF78"/>
  <c r="AH78"/>
  <c r="W177" s="1"/>
  <c r="AF93"/>
  <c r="V193"/>
  <c r="AH93"/>
  <c r="W193" s="1"/>
  <c r="AF75"/>
  <c r="AH75"/>
  <c r="W173" s="1"/>
  <c r="AE206"/>
  <c r="V173"/>
  <c r="AH98"/>
  <c r="AF98"/>
  <c r="AE164"/>
  <c r="AF164" s="1"/>
  <c r="AF212"/>
  <c r="AH212" s="1"/>
  <c r="V172"/>
  <c r="AH74"/>
  <c r="W172" s="1"/>
  <c r="AF74"/>
  <c r="AF92"/>
  <c r="V192"/>
  <c r="AH92"/>
  <c r="W192" s="1"/>
  <c r="AF82"/>
  <c r="AH82"/>
  <c r="W175" s="1"/>
  <c r="V175"/>
  <c r="AE84"/>
  <c r="AF86"/>
  <c r="AE208"/>
  <c r="V182"/>
  <c r="AH86"/>
  <c r="W182" s="1"/>
  <c r="AF71"/>
  <c r="AH71"/>
  <c r="AE205"/>
  <c r="AF67"/>
  <c r="AH67"/>
  <c r="U175" l="1"/>
  <c r="W196"/>
  <c r="AF214"/>
  <c r="AH214" s="1"/>
  <c r="U192"/>
  <c r="U177"/>
  <c r="U173"/>
  <c r="U181"/>
  <c r="AH84"/>
  <c r="AE207"/>
  <c r="AF84"/>
  <c r="AF206"/>
  <c r="AH206" s="1"/>
  <c r="V196"/>
  <c r="U193"/>
  <c r="U178"/>
  <c r="S234"/>
  <c r="U198"/>
  <c r="AH226"/>
  <c r="U194"/>
  <c r="AF205"/>
  <c r="AH205" s="1"/>
  <c r="U182"/>
  <c r="S232"/>
  <c r="U172"/>
  <c r="U195"/>
  <c r="AF209"/>
  <c r="AH209" s="1"/>
  <c r="AF208"/>
  <c r="AH208" s="1"/>
  <c r="AH222" s="1"/>
  <c r="U174"/>
  <c r="AE216"/>
  <c r="AF203"/>
  <c r="AH203" s="1"/>
  <c r="AH216" s="1"/>
  <c r="AF204"/>
  <c r="AH204" s="1"/>
  <c r="AH217" s="1"/>
  <c r="AF202"/>
  <c r="AH202" s="1"/>
  <c r="AH215" s="1"/>
  <c r="U171"/>
  <c r="R235" s="1"/>
  <c r="R236" s="1"/>
  <c r="S235"/>
  <c r="S236" s="1"/>
  <c r="U179"/>
  <c r="S231"/>
  <c r="AE143"/>
  <c r="AF140"/>
  <c r="AE141"/>
  <c r="AH220" l="1"/>
  <c r="AH219"/>
  <c r="AF216"/>
  <c r="AE217"/>
  <c r="AF217" s="1"/>
  <c r="U196"/>
  <c r="AF141"/>
  <c r="AE142"/>
  <c r="AF142" s="1"/>
  <c r="R231"/>
  <c r="O231"/>
  <c r="O232"/>
  <c r="R232"/>
  <c r="O234"/>
  <c r="R234"/>
  <c r="AF207"/>
  <c r="AH207" s="1"/>
  <c r="AH221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U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<sst xmlns="http://schemas.openxmlformats.org/spreadsheetml/2006/main" count="698" uniqueCount="496">
  <si>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</si>
  <si>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</si>
  <si>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</si>
  <si>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</si>
  <si>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</si>
  <si>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</si>
  <si>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</si>
  <si>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</si>
  <si>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</si>
  <si>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</si>
  <si>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</si>
  <si>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</si>
  <si>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</si>
  <si>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</si>
  <si>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</si>
  <si>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</si>
  <si>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</si>
  <si>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</si>
  <si>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</si>
  <si>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</si>
  <si>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</si>
  <si>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</si>
  <si>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</si>
  <si>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</si>
  <si>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</si>
  <si>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</si>
  <si>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</si>
  <si>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</si>
  <si>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</si>
  <si>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</si>
  <si>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</si>
  <si>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</si>
  <si>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</si>
  <si>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</si>
  <si>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</si>
  <si>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</si>
  <si>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</si>
  <si>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</si>
  <si>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</si>
  <si>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</si>
  <si>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</si>
  <si>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</si>
  <si>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</si>
  <si>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</si>
  <si>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</si>
  <si>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</si>
  <si>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</si>
  <si>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</si>
  <si>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</si>
  <si>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</si>
  <si>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</si>
  <si>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</si>
  <si>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</si>
  <si>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</si>
  <si>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</si>
  <si>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</si>
  <si>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</si>
  <si>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</si>
  <si>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</si>
  <si>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</si>
  <si>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</si>
  <si>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</si>
  <si>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</si>
  <si>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</si>
  <si>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</si>
  <si>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</si>
  <si>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</si>
  <si>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</si>
  <si>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</si>
  <si>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</si>
  <si>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</si>
  <si>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</si>
  <si>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</si>
  <si>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</si>
  <si>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</si>
  <si>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</si>
  <si>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</si>
  <si>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</si>
  <si>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</si>
  <si>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</si>
  <si>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</si>
  <si>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</si>
  <si>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</si>
  <si>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</si>
  <si>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</si>
  <si>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</si>
  <si>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</si>
  <si>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</si>
  <si>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</si>
  <si>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</si>
  <si>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</si>
  <si>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</si>
  <si>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</si>
  <si>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</si>
  <si>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</si>
  <si>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</si>
  <si>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</si>
  <si>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</si>
  <si>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</si>
  <si>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</si>
  <si>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</si>
  <si>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</si>
  <si>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</si>
  <si>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</si>
  <si>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</si>
  <si>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</si>
  <si>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</si>
  <si>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</si>
  <si>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</si>
  <si>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</si>
  <si>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</si>
  <si>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</si>
  <si>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</si>
  <si>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</si>
  <si>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</si>
  <si>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</si>
  <si>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</si>
  <si>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</si>
  <si>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</si>
  <si>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</si>
  <si>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</si>
  <si>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</si>
  <si>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</si>
  <si>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</si>
  <si>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</si>
  <si>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</si>
  <si>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</si>
  <si>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</si>
  <si>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</si>
  <si>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</si>
  <si>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</si>
  <si>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</si>
  <si>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</si>
  <si>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</si>
  <si>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</si>
  <si>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</si>
  <si>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</si>
  <si>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</si>
  <si>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</si>
  <si>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</si>
  <si>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</si>
  <si>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</si>
  <si>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</si>
  <si>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</si>
  <si>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</si>
  <si>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</si>
  <si>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</si>
  <si>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</si>
  <si>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</si>
  <si>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</si>
  <si>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</si>
  <si>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</si>
  <si>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</si>
  <si>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</si>
  <si>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</si>
  <si>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</si>
  <si>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</si>
  <si>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</si>
  <si>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</si>
  <si>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</si>
  <si>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</si>
  <si>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</si>
  <si>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</si>
  <si>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</si>
  <si>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</si>
  <si>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</si>
  <si>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</si>
  <si>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</si>
  <si>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</si>
  <si>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</si>
  <si>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</si>
  <si>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</si>
  <si>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</si>
  <si>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</si>
  <si>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</si>
  <si>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</si>
  <si>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</si>
  <si>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</si>
  <si>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</si>
  <si>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</si>
  <si>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</si>
  <si>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</si>
  <si>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</si>
  <si>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</si>
  <si>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</si>
  <si>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</si>
  <si>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</si>
  <si>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</si>
  <si>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</si>
  <si>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</si>
  <si>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</si>
  <si>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</si>
  <si>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</si>
  <si>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</si>
  <si>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</si>
  <si>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</si>
  <si>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</si>
  <si>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</si>
  <si>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</si>
  <si>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</si>
  <si>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</si>
  <si>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</si>
  <si>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</si>
  <si>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</si>
  <si>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</si>
  <si>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</si>
  <si>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</si>
  <si>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</si>
  <si>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</si>
  <si>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</si>
  <si>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</si>
  <si>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</si>
  <si>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</si>
  <si>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</si>
  <si>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</si>
  <si>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</si>
  <si>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</si>
  <si>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</si>
  <si>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</si>
  <si>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</si>
  <si>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</si>
  <si>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</si>
  <si>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</si>
  <si>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</si>
  <si>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</si>
  <si>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</si>
  <si>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</si>
  <si>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</si>
  <si>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</si>
  <si>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</si>
  <si>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</si>
  <si>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</si>
  <si>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</si>
  <si>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</si>
  <si>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</si>
  <si>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</si>
  <si>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</si>
  <si>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</si>
  <si>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</si>
  <si>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</si>
  <si>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</si>
  <si>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</si>
  <si>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</si>
  <si>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</si>
  <si>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</si>
  <si>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</si>
  <si>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</si>
  <si>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</si>
  <si>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</si>
  <si>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</si>
  <si>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</si>
  <si>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</si>
  <si>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</si>
  <si>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</si>
  <si>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</si>
  <si>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</si>
  <si>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</si>
  <si>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</si>
  <si>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</si>
  <si>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</si>
  <si>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</si>
  <si>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</si>
  <si>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</si>
  <si>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</si>
  <si>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</si>
  <si>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</si>
  <si>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</si>
  <si>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</si>
  <si>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</si>
  <si>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</si>
  <si>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</si>
  <si>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</si>
  <si>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</si>
  <si>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</si>
  <si>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</si>
  <si>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</si>
  <si>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</si>
  <si>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</si>
  <si>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</si>
  <si>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</si>
  <si>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</si>
  <si>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</si>
  <si>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</si>
  <si>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</si>
  <si>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</si>
  <si>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</si>
  <si>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</si>
  <si>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</si>
  <si>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</si>
  <si>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</si>
  <si>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</si>
  <si>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</si>
  <si>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</si>
  <si>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</si>
  <si>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</si>
  <si>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</si>
  <si>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</si>
  <si>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</si>
  <si>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</si>
  <si>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</si>
  <si>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</si>
  <si>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</si>
  <si>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</si>
  <si>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</si>
  <si>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</si>
  <si>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</si>
  <si>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</si>
  <si>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</si>
  <si>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</si>
  <si>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</si>
  <si>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</si>
  <si>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</si>
  <si>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</si>
  <si>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</si>
  <si>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</si>
  <si>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</si>
  <si>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</si>
  <si>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</si>
  <si>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</si>
  <si>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</si>
  <si>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</si>
  <si>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</si>
  <si>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</si>
  <si>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</si>
  <si>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</si>
  <si>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</si>
  <si>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</si>
  <si>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</si>
  <si>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</si>
  <si>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</si>
  <si>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</si>
  <si>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</si>
  <si>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</si>
  <si>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</si>
  <si>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</si>
  <si>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</si>
  <si>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</si>
  <si>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</si>
  <si>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</si>
  <si>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</si>
  <si>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</si>
  <si>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</si>
  <si>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</si>
  <si>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</si>
  <si>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</si>
  <si>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</si>
  <si>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</si>
  <si>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</si>
  <si>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</si>
  <si>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</si>
  <si>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</si>
  <si>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</si>
  <si>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</si>
  <si>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</si>
  <si>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</si>
  <si>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</si>
  <si>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</si>
  <si>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</si>
  <si>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</si>
  <si>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</si>
  <si>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</si>
  <si>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</si>
  <si>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</si>
  <si>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</si>
  <si>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</si>
  <si>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</si>
  <si>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</si>
  <si>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</si>
  <si>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</si>
  <si>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</si>
  <si>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</si>
  <si>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</si>
  <si>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</si>
  <si>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</si>
  <si>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</si>
  <si>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</si>
  <si>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</si>
  <si>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</si>
  <si>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</si>
  <si>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</si>
  <si>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</si>
  <si>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</si>
  <si>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</si>
  <si>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</si>
  <si>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</si>
  <si>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</si>
  <si>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</si>
  <si>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</si>
  <si>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</si>
  <si>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</si>
  <si>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</si>
  <si>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</si>
  <si>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</si>
  <si>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</si>
  <si>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</si>
  <si>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</si>
  <si>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</si>
  <si>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</si>
  <si>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</si>
  <si>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</si>
  <si>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</si>
  <si>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</si>
  <si>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</si>
  <si>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</si>
  <si>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</si>
  <si>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</si>
  <si>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</si>
  <si>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</si>
  <si>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</si>
  <si>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</si>
  <si>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</si>
  <si>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</si>
  <si>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</si>
  <si>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</si>
  <si>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</si>
  <si>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</si>
  <si>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</si>
  <si>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</si>
  <si>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</si>
  <si>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</si>
  <si>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</si>
  <si>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</si>
  <si>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</si>
  <si>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</si>
  <si>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</si>
  <si>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</si>
  <si>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</si>
  <si>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</si>
  <si>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</si>
  <si>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</si>
  <si>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</si>
  <si>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</si>
  <si>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</si>
  <si>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</si>
  <si>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</si>
  <si>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</si>
  <si>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</si>
  <si>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</si>
  <si>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</si>
  <si>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</si>
  <si>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</si>
  <si>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</si>
  <si>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</si>
  <si>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</si>
  <si>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</si>
  <si>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</si>
  <si>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</si>
  <si>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</si>
  <si>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</si>
  <si>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</si>
  <si>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</si>
  <si>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</si>
  <si>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</si>
  <si>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</si>
  <si>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</si>
  <si>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</si>
  <si>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</si>
  <si>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</si>
  <si>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</si>
  <si>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</si>
  <si>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</si>
  <si>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</si>
  <si>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</si>
  <si>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</si>
  <si>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</si>
  <si>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</si>
  <si>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</si>
  <si>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</si>
  <si>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</si>
  <si>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</si>
  <si>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</si>
  <si>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</si>
  <si>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</si>
  <si>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</si>
  <si>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</si>
  <si>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</si>
  <si>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</si>
  <si>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</si>
  <si>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</si>
  <si>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</si>
  <si>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</si>
  <si>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</si>
  <si>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</si>
  <si>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</si>
  <si>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</si>
  <si>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</si>
  <si>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</si>
  <si>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</si>
  <si>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</si>
  <si>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</si>
  <si>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</si>
  <si>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</si>
  <si>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</si>
  <si>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</si>
  <si>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10x1</t>
  </si>
  <si>
    <t>Top Expenses ( raw materials)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</si>
</sst>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0" fontId="21" fillId="5" borderId="1" xfId="0" applyFont="1" applyFill="1" applyBorder="1"/>
    <xf numFmtId="0" fontId="4" fillId="14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8" fillId="5" borderId="1" xfId="2" applyNumberFormat="1" applyFont="1" applyFill="1" applyBorder="1"/>
    <xf numFmtId="0" fontId="4" fillId="5" borderId="1" xfId="1" applyNumberFormat="1" applyFont="1" applyFill="1" applyBorder="1"/>
    <xf numFmtId="9" fontId="9" fillId="5" borderId="1" xfId="1" applyFont="1" applyFill="1" applyBorder="1"/>
    <xf numFmtId="0" fontId="4" fillId="14" borderId="18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46673280"/>
        <c:axId val="79172736"/>
      </c:lineChart>
      <c:catAx>
        <c:axId val="46673280"/>
        <c:scaling>
          <c:orientation val="minMax"/>
        </c:scaling>
        <c:axPos val="b"/>
        <c:tickLblPos val="nextTo"/>
        <c:crossAx val="79172736"/>
        <c:crosses val="autoZero"/>
        <c:auto val="1"/>
        <c:lblAlgn val="ctr"/>
        <c:lblOffset val="100"/>
      </c:catAx>
      <c:valAx>
        <c:axId val="79172736"/>
        <c:scaling>
          <c:orientation val="minMax"/>
        </c:scaling>
        <c:axPos val="l"/>
        <c:majorGridlines/>
        <c:numFmt formatCode="General" sourceLinked="1"/>
        <c:tickLblPos val="nextTo"/>
        <c:crossAx val="46673280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317</v>
      </c>
      <c r="C9" s="150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72"/>
  <sheetViews>
    <sheetView tabSelected="1" zoomScale="80" zoomScaleNormal="80" workbookViewId="0">
      <pane xSplit="2" ySplit="3" topLeftCell="I4" activePane="bottomRight" state="frozen"/>
      <selection pane="topRight" activeCell="C1" sqref="C1"/>
      <selection pane="bottomLeft" activeCell="A5" sqref="A5"/>
      <selection pane="bottomRight" activeCell="R15" sqref="R15"/>
    </sheetView>
  </sheetViews>
  <sheetFormatPr defaultRowHeight="12.75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8.42578125" style="104" customWidth="1"/>
    <col min="7" max="7" width="9.7109375" style="104" customWidth="1"/>
    <col min="8" max="8" width="9" style="104" bestFit="1" customWidth="1"/>
    <col min="9" max="9" width="13.5703125" style="104" bestFit="1" customWidth="1"/>
    <col min="10" max="10" width="11.28515625" style="104" bestFit="1" customWidth="1"/>
    <col min="11" max="18" width="12.28515625" style="104" bestFit="1" customWidth="1"/>
    <col min="19" max="19" width="10.7109375" style="104" customWidth="1"/>
    <col min="20" max="20" width="9.42578125" style="104" bestFit="1" customWidth="1"/>
    <col min="21" max="21" width="10.85546875" style="104" bestFit="1" customWidth="1"/>
    <col min="22" max="23" width="9.7109375" style="104" bestFit="1" customWidth="1"/>
    <col min="24" max="30" width="8" style="104" bestFit="1" customWidth="1"/>
    <col min="31" max="31" width="11.28515625" style="104" bestFit="1" customWidth="1"/>
    <col min="32" max="32" width="9.28515625" style="104" bestFit="1" customWidth="1"/>
    <col min="33" max="33" width="9" style="104" customWidth="1"/>
    <col min="34" max="34" width="10.7109375" style="104" customWidth="1"/>
    <col min="35" max="16384" width="9.140625" style="104"/>
  </cols>
  <sheetData>
    <row r="1" spans="2:34">
      <c r="B1" s="123" t="s">
        <v>241</v>
      </c>
      <c r="C1" s="124">
        <f>R2</f>
        <v>0.22</v>
      </c>
      <c r="H1" s="104" t="s">
        <v>252</v>
      </c>
      <c r="J1" s="126">
        <v>2004</v>
      </c>
      <c r="L1" s="104" t="s">
        <v>325</v>
      </c>
      <c r="N1" s="162">
        <v>0.05</v>
      </c>
      <c r="P1" s="104" t="s">
        <v>396</v>
      </c>
      <c r="R1" s="162">
        <v>0.05</v>
      </c>
    </row>
    <row r="2" spans="2:34">
      <c r="B2" s="151" t="s">
        <v>314</v>
      </c>
      <c r="C2" s="120"/>
      <c r="H2" s="104" t="s">
        <v>253</v>
      </c>
      <c r="J2" s="126">
        <v>2016</v>
      </c>
      <c r="L2" s="104" t="s">
        <v>326</v>
      </c>
      <c r="N2" s="162">
        <v>0.15</v>
      </c>
      <c r="P2" s="104" t="s">
        <v>464</v>
      </c>
      <c r="R2" s="162">
        <v>0.22</v>
      </c>
      <c r="V2" s="115" t="s">
        <v>11</v>
      </c>
      <c r="W2" s="115" t="s">
        <v>12</v>
      </c>
      <c r="X2" s="115" t="s">
        <v>13</v>
      </c>
      <c r="Y2" s="115" t="s">
        <v>14</v>
      </c>
      <c r="Z2" s="115" t="s">
        <v>15</v>
      </c>
      <c r="AA2" s="115" t="s">
        <v>234</v>
      </c>
      <c r="AB2" s="115" t="s">
        <v>235</v>
      </c>
      <c r="AC2" s="115" t="s">
        <v>236</v>
      </c>
      <c r="AD2" s="115" t="s">
        <v>237</v>
      </c>
      <c r="AE2" s="115" t="s">
        <v>238</v>
      </c>
      <c r="AG2" s="210" t="s">
        <v>290</v>
      </c>
      <c r="AH2" s="211"/>
    </row>
    <row r="3" spans="2:34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4">
        <v>2015</v>
      </c>
      <c r="S3" s="114">
        <v>2016</v>
      </c>
      <c r="T3" s="116" t="s">
        <v>1</v>
      </c>
      <c r="U3" s="116" t="s">
        <v>254</v>
      </c>
      <c r="V3" s="115">
        <v>2016</v>
      </c>
      <c r="W3" s="115">
        <v>2017</v>
      </c>
      <c r="X3" s="115">
        <v>2018</v>
      </c>
      <c r="Y3" s="115">
        <v>2019</v>
      </c>
      <c r="Z3" s="115">
        <v>2020</v>
      </c>
      <c r="AA3" s="115">
        <v>2021</v>
      </c>
      <c r="AB3" s="115">
        <v>2022</v>
      </c>
      <c r="AC3" s="115">
        <v>2023</v>
      </c>
      <c r="AD3" s="115">
        <v>2024</v>
      </c>
      <c r="AE3" s="115">
        <v>2025</v>
      </c>
      <c r="AF3" s="135" t="s">
        <v>1</v>
      </c>
      <c r="AG3" s="212" t="s">
        <v>291</v>
      </c>
      <c r="AH3" s="213"/>
    </row>
    <row r="4" spans="2:34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36"/>
      <c r="AG4" s="20"/>
      <c r="AH4" s="20"/>
    </row>
    <row r="5" spans="2:34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20"/>
      <c r="T5" s="20"/>
      <c r="U5" s="20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36"/>
      <c r="AG5" s="20"/>
      <c r="AH5" s="152"/>
    </row>
    <row r="6" spans="2:34">
      <c r="B6" s="20" t="s">
        <v>16</v>
      </c>
      <c r="C6" s="140"/>
      <c r="D6" s="140"/>
      <c r="E6" s="146"/>
      <c r="F6" s="146"/>
      <c r="G6" s="146">
        <v>530</v>
      </c>
      <c r="H6" s="146">
        <v>559</v>
      </c>
      <c r="I6" s="146">
        <v>592</v>
      </c>
      <c r="J6" s="146">
        <v>873</v>
      </c>
      <c r="K6" s="146">
        <v>1125</v>
      </c>
      <c r="L6" s="146">
        <v>1296</v>
      </c>
      <c r="M6" s="146">
        <v>1914</v>
      </c>
      <c r="N6" s="146">
        <v>2361</v>
      </c>
      <c r="O6" s="146">
        <v>2782</v>
      </c>
      <c r="P6" s="146">
        <v>3339</v>
      </c>
      <c r="Q6" s="146">
        <v>4513</v>
      </c>
      <c r="R6" s="203">
        <v>4988</v>
      </c>
      <c r="S6" s="203">
        <v>6128</v>
      </c>
      <c r="T6" s="118">
        <f>((S6/G6)^(1/($J$2-$J$1) ))-1</f>
        <v>0.22627226911731269</v>
      </c>
      <c r="U6" s="31">
        <f>$N$2</f>
        <v>0.15</v>
      </c>
      <c r="V6" s="152">
        <f>S6*(1+$U6)</f>
        <v>7047.2</v>
      </c>
      <c r="W6" s="152">
        <f>V6*(1+$U6)</f>
        <v>8104.2799999999988</v>
      </c>
      <c r="X6" s="152">
        <f t="shared" ref="X6:AE6" si="0">W6*(1+$U6)</f>
        <v>9319.9219999999987</v>
      </c>
      <c r="Y6" s="152">
        <f t="shared" si="0"/>
        <v>10717.910299999998</v>
      </c>
      <c r="Z6" s="152">
        <f t="shared" si="0"/>
        <v>12325.596844999996</v>
      </c>
      <c r="AA6" s="152">
        <f t="shared" si="0"/>
        <v>14174.436371749995</v>
      </c>
      <c r="AB6" s="152">
        <f t="shared" si="0"/>
        <v>16300.601827512493</v>
      </c>
      <c r="AC6" s="152">
        <f t="shared" si="0"/>
        <v>18745.692101639364</v>
      </c>
      <c r="AD6" s="152">
        <f t="shared" si="0"/>
        <v>21557.545916885269</v>
      </c>
      <c r="AE6" s="152">
        <f t="shared" si="0"/>
        <v>24791.177804418057</v>
      </c>
      <c r="AF6" s="137">
        <f>((AE6/I6)^(1/($AE$3-$J$1) ))-1</f>
        <v>0.19463965413377138</v>
      </c>
      <c r="AG6" s="31">
        <f>$N$1</f>
        <v>0.05</v>
      </c>
      <c r="AH6" s="145">
        <f t="shared" ref="AH6:AH59" si="1">(AE6*(1+AG6))/($C$1-AG6)</f>
        <v>153121.9805566998</v>
      </c>
    </row>
    <row r="7" spans="2:34">
      <c r="B7" s="20" t="s">
        <v>240</v>
      </c>
      <c r="C7" s="140"/>
      <c r="D7" s="140"/>
      <c r="E7" s="146"/>
      <c r="F7" s="146"/>
      <c r="G7" s="146">
        <v>572</v>
      </c>
      <c r="H7" s="146">
        <v>601</v>
      </c>
      <c r="I7" s="146">
        <v>634</v>
      </c>
      <c r="J7" s="146">
        <v>935</v>
      </c>
      <c r="K7" s="146">
        <v>1182</v>
      </c>
      <c r="L7" s="146">
        <v>1349</v>
      </c>
      <c r="M7" s="146">
        <v>1967</v>
      </c>
      <c r="N7" s="146">
        <v>2412</v>
      </c>
      <c r="O7" s="146">
        <v>2832</v>
      </c>
      <c r="P7" s="146">
        <v>3400</v>
      </c>
      <c r="Q7" s="146">
        <v>4574</v>
      </c>
      <c r="R7" s="203">
        <v>5039</v>
      </c>
      <c r="S7" s="203">
        <v>6179</v>
      </c>
      <c r="T7" s="118">
        <f>((S7/G7)^(1/($J$2-$J$1) ))-1</f>
        <v>0.21934568911138475</v>
      </c>
      <c r="U7" s="31">
        <f>$N$2</f>
        <v>0.15</v>
      </c>
      <c r="V7" s="152">
        <f t="shared" ref="V7:V59" si="2">S7*(1+$U7)</f>
        <v>7105.8499999999995</v>
      </c>
      <c r="W7" s="152">
        <f t="shared" ref="W7:AE7" si="3">V7*(1+$U7)</f>
        <v>8171.7274999999991</v>
      </c>
      <c r="X7" s="152">
        <f t="shared" si="3"/>
        <v>9397.4866249999977</v>
      </c>
      <c r="Y7" s="152">
        <f t="shared" si="3"/>
        <v>10807.109618749997</v>
      </c>
      <c r="Z7" s="152">
        <f t="shared" si="3"/>
        <v>12428.176061562495</v>
      </c>
      <c r="AA7" s="152">
        <f t="shared" si="3"/>
        <v>14292.402470796869</v>
      </c>
      <c r="AB7" s="152">
        <f t="shared" si="3"/>
        <v>16436.262841416399</v>
      </c>
      <c r="AC7" s="152">
        <f t="shared" si="3"/>
        <v>18901.702267628858</v>
      </c>
      <c r="AD7" s="152">
        <f t="shared" si="3"/>
        <v>21736.957607773184</v>
      </c>
      <c r="AE7" s="152">
        <f t="shared" si="3"/>
        <v>24997.501248939159</v>
      </c>
      <c r="AF7" s="137">
        <f>((AE7/I7)^(1/($AE$3-$J$1) ))-1</f>
        <v>0.19121684392728122</v>
      </c>
      <c r="AG7" s="31">
        <f>$N$1</f>
        <v>0.05</v>
      </c>
      <c r="AH7" s="145">
        <f t="shared" si="1"/>
        <v>154396.33124344776</v>
      </c>
    </row>
    <row r="8" spans="2:34">
      <c r="B8" s="20"/>
      <c r="C8" s="140"/>
      <c r="D8" s="140"/>
      <c r="E8" s="146"/>
      <c r="F8" s="146"/>
      <c r="G8" s="205">
        <f>(G7-F7)/G7</f>
        <v>1</v>
      </c>
      <c r="H8" s="149">
        <f>(H7-G7)/H7</f>
        <v>4.8252911813643926E-2</v>
      </c>
      <c r="I8" s="149">
        <f t="shared" ref="I8:Q8" si="4">(I7-H7)/I7</f>
        <v>5.2050473186119876E-2</v>
      </c>
      <c r="J8" s="149">
        <f t="shared" si="4"/>
        <v>0.32192513368983955</v>
      </c>
      <c r="K8" s="149">
        <f t="shared" si="4"/>
        <v>0.20896785109983079</v>
      </c>
      <c r="L8" s="149">
        <f t="shared" si="4"/>
        <v>0.12379540400296515</v>
      </c>
      <c r="M8" s="149">
        <f t="shared" si="4"/>
        <v>0.31418403660396543</v>
      </c>
      <c r="N8" s="149">
        <f t="shared" si="4"/>
        <v>0.18449419568822553</v>
      </c>
      <c r="O8" s="149">
        <f t="shared" si="4"/>
        <v>0.14830508474576271</v>
      </c>
      <c r="P8" s="149">
        <f t="shared" si="4"/>
        <v>0.16705882352941176</v>
      </c>
      <c r="Q8" s="149">
        <f t="shared" si="4"/>
        <v>0.25666812418014867</v>
      </c>
      <c r="R8" s="149">
        <f t="shared" ref="R8:S8" si="5">(R7-Q7)/Q7</f>
        <v>0.10166156536947966</v>
      </c>
      <c r="S8" s="149">
        <f t="shared" si="5"/>
        <v>0.22623536415955547</v>
      </c>
      <c r="T8" s="128"/>
      <c r="U8" s="20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36"/>
      <c r="AG8" s="136"/>
      <c r="AH8" s="145"/>
    </row>
    <row r="9" spans="2:34">
      <c r="B9" s="20" t="s">
        <v>269</v>
      </c>
      <c r="C9" s="140"/>
      <c r="D9" s="140"/>
      <c r="E9" s="146"/>
      <c r="F9" s="146"/>
      <c r="G9" s="146">
        <v>373</v>
      </c>
      <c r="H9" s="146">
        <v>488</v>
      </c>
      <c r="I9" s="146">
        <v>529</v>
      </c>
      <c r="J9" s="146">
        <v>990</v>
      </c>
      <c r="K9" s="146">
        <v>890</v>
      </c>
      <c r="L9" s="146">
        <v>802</v>
      </c>
      <c r="M9" s="146">
        <v>1608</v>
      </c>
      <c r="N9" s="146">
        <v>2028</v>
      </c>
      <c r="O9" s="146">
        <v>2508</v>
      </c>
      <c r="P9" s="146">
        <v>2255</v>
      </c>
      <c r="Q9" s="146">
        <v>2785</v>
      </c>
      <c r="R9" s="203">
        <v>2054</v>
      </c>
      <c r="S9" s="203">
        <v>2769</v>
      </c>
      <c r="T9" s="118">
        <f>((S9/G9)^(1/($J$2-$J$1) ))-1</f>
        <v>0.18181956923110953</v>
      </c>
      <c r="U9" s="31">
        <f t="shared" ref="U9:U55" si="6">$N$2</f>
        <v>0.15</v>
      </c>
      <c r="V9" s="152">
        <f t="shared" si="2"/>
        <v>3184.35</v>
      </c>
      <c r="W9" s="152">
        <f t="shared" ref="W9" si="7">V9*(1+$U9)</f>
        <v>3662.0024999999996</v>
      </c>
      <c r="X9" s="152">
        <f t="shared" ref="X9" si="8">W9*(1+$U9)</f>
        <v>4211.3028749999994</v>
      </c>
      <c r="Y9" s="152">
        <f t="shared" ref="Y9" si="9">X9*(1+$U9)</f>
        <v>4842.9983062499987</v>
      </c>
      <c r="Z9" s="152">
        <f t="shared" ref="Z9" si="10">Y9*(1+$U9)</f>
        <v>5569.4480521874984</v>
      </c>
      <c r="AA9" s="152">
        <f t="shared" ref="AA9" si="11">Z9*(1+$U9)</f>
        <v>6404.8652600156229</v>
      </c>
      <c r="AB9" s="152">
        <f t="shared" ref="AB9" si="12">AA9*(1+$U9)</f>
        <v>7365.5950490179657</v>
      </c>
      <c r="AC9" s="152">
        <f t="shared" ref="AC9" si="13">AB9*(1+$U9)</f>
        <v>8470.4343063706601</v>
      </c>
      <c r="AD9" s="152">
        <f t="shared" ref="AD9" si="14">AC9*(1+$U9)</f>
        <v>9740.9994523262576</v>
      </c>
      <c r="AE9" s="152">
        <f t="shared" ref="AE9" si="15">AD9*(1+$U9)</f>
        <v>11202.149370175195</v>
      </c>
      <c r="AF9" s="137">
        <f>((AE9/I9)^(1/($AE$3-$J$1) ))-1</f>
        <v>0.15647302955528741</v>
      </c>
      <c r="AG9" s="31">
        <f t="shared" ref="AG9:AG99" si="16">$N$1</f>
        <v>0.05</v>
      </c>
      <c r="AH9" s="145">
        <f t="shared" si="1"/>
        <v>69189.746109905624</v>
      </c>
    </row>
    <row r="10" spans="2:34">
      <c r="B10" s="20" t="s">
        <v>4</v>
      </c>
      <c r="C10" s="140"/>
      <c r="D10" s="140"/>
      <c r="E10" s="146"/>
      <c r="F10" s="146"/>
      <c r="G10" s="146">
        <v>421</v>
      </c>
      <c r="H10" s="146">
        <v>544</v>
      </c>
      <c r="I10" s="146">
        <v>750</v>
      </c>
      <c r="J10" s="146">
        <v>823</v>
      </c>
      <c r="K10" s="146">
        <v>646</v>
      </c>
      <c r="L10" s="146">
        <v>890</v>
      </c>
      <c r="M10" s="146">
        <v>1707</v>
      </c>
      <c r="N10" s="146">
        <v>2480</v>
      </c>
      <c r="O10" s="146">
        <v>2549</v>
      </c>
      <c r="P10" s="146">
        <v>2281</v>
      </c>
      <c r="Q10" s="146">
        <v>988</v>
      </c>
      <c r="R10" s="203">
        <v>800</v>
      </c>
      <c r="S10" s="203">
        <v>1349</v>
      </c>
      <c r="T10" s="118">
        <f>((S10/G10)^(1/($J$2-$J$1) ))-1</f>
        <v>0.1019050019382195</v>
      </c>
      <c r="U10" s="31">
        <f t="shared" si="6"/>
        <v>0.15</v>
      </c>
      <c r="V10" s="152">
        <f t="shared" si="2"/>
        <v>1551.35</v>
      </c>
      <c r="W10" s="152">
        <f t="shared" ref="W10:AE10" si="17">V10*(1+$U10)</f>
        <v>1784.0524999999998</v>
      </c>
      <c r="X10" s="152">
        <f t="shared" si="17"/>
        <v>2051.6603749999995</v>
      </c>
      <c r="Y10" s="152">
        <f t="shared" si="17"/>
        <v>2359.4094312499992</v>
      </c>
      <c r="Z10" s="152">
        <f t="shared" si="17"/>
        <v>2713.3208459374987</v>
      </c>
      <c r="AA10" s="152">
        <f t="shared" si="17"/>
        <v>3120.3189728281232</v>
      </c>
      <c r="AB10" s="152">
        <f t="shared" si="17"/>
        <v>3588.3668187523413</v>
      </c>
      <c r="AC10" s="152">
        <f t="shared" si="17"/>
        <v>4126.621841565192</v>
      </c>
      <c r="AD10" s="152">
        <f t="shared" si="17"/>
        <v>4745.61511779997</v>
      </c>
      <c r="AE10" s="152">
        <f t="shared" si="17"/>
        <v>5457.4573854699647</v>
      </c>
      <c r="AF10" s="137">
        <f t="shared" ref="AF10:AF57" si="18">((AE10/I10)^(1/($AE$3-$J$1) ))-1</f>
        <v>9.9117802867822569E-2</v>
      </c>
      <c r="AG10" s="31">
        <f t="shared" si="16"/>
        <v>0.05</v>
      </c>
      <c r="AH10" s="145">
        <f t="shared" si="1"/>
        <v>33707.825027902727</v>
      </c>
    </row>
    <row r="11" spans="2:34">
      <c r="B11" s="20"/>
      <c r="C11" s="140"/>
      <c r="D11" s="140"/>
      <c r="E11" s="146"/>
      <c r="F11" s="146"/>
      <c r="G11" s="205">
        <f>(G10-F10)/G10</f>
        <v>1</v>
      </c>
      <c r="H11" s="205">
        <f t="shared" ref="H11:Q11" si="19">(H10-G10)/H10</f>
        <v>0.22610294117647059</v>
      </c>
      <c r="I11" s="205">
        <f t="shared" si="19"/>
        <v>0.27466666666666667</v>
      </c>
      <c r="J11" s="205">
        <f t="shared" si="19"/>
        <v>8.8699878493317133E-2</v>
      </c>
      <c r="K11" s="205">
        <f t="shared" si="19"/>
        <v>-0.2739938080495356</v>
      </c>
      <c r="L11" s="205">
        <f t="shared" si="19"/>
        <v>0.27415730337078653</v>
      </c>
      <c r="M11" s="205">
        <f t="shared" si="19"/>
        <v>0.47861745752782658</v>
      </c>
      <c r="N11" s="205">
        <f t="shared" si="19"/>
        <v>0.31169354838709679</v>
      </c>
      <c r="O11" s="205">
        <f t="shared" si="19"/>
        <v>2.7069438995684581E-2</v>
      </c>
      <c r="P11" s="205">
        <f t="shared" si="19"/>
        <v>-0.11749232792634809</v>
      </c>
      <c r="Q11" s="205">
        <f t="shared" si="19"/>
        <v>-1.3087044534412955</v>
      </c>
      <c r="R11" s="149">
        <f t="shared" ref="R11:S11" si="20">(R10-Q10)/Q10</f>
        <v>-0.19028340080971659</v>
      </c>
      <c r="S11" s="149">
        <f t="shared" si="20"/>
        <v>0.68625000000000003</v>
      </c>
      <c r="T11" s="128"/>
      <c r="U11" s="20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19"/>
      <c r="AG11" s="31">
        <f t="shared" si="16"/>
        <v>0.05</v>
      </c>
      <c r="AH11" s="152"/>
    </row>
    <row r="12" spans="2:34">
      <c r="B12" s="20" t="s">
        <v>2</v>
      </c>
      <c r="C12" s="140"/>
      <c r="D12" s="140"/>
      <c r="E12" s="146"/>
      <c r="F12" s="146"/>
      <c r="G12" s="146">
        <v>110</v>
      </c>
      <c r="H12" s="146">
        <f>95+26</f>
        <v>121</v>
      </c>
      <c r="I12" s="146">
        <f>96+135</f>
        <v>231</v>
      </c>
      <c r="J12" s="146">
        <f>153+40</f>
        <v>193</v>
      </c>
      <c r="K12" s="146">
        <f>172+113</f>
        <v>285</v>
      </c>
      <c r="L12" s="146">
        <f>188+173</f>
        <v>361</v>
      </c>
      <c r="M12" s="146">
        <f>283+65</f>
        <v>348</v>
      </c>
      <c r="N12" s="146">
        <f>191</f>
        <v>191</v>
      </c>
      <c r="O12" s="146">
        <v>173</v>
      </c>
      <c r="P12" s="146">
        <v>335</v>
      </c>
      <c r="Q12" s="146">
        <v>654</v>
      </c>
      <c r="R12" s="203">
        <v>595</v>
      </c>
      <c r="S12" s="203">
        <v>595</v>
      </c>
      <c r="T12" s="118">
        <f>((S12/G12)^(1/($J$2-$J$1) ))-1</f>
        <v>0.15104867709515757</v>
      </c>
      <c r="U12" s="31">
        <f t="shared" si="6"/>
        <v>0.15</v>
      </c>
      <c r="V12" s="152">
        <f t="shared" si="2"/>
        <v>684.25</v>
      </c>
      <c r="W12" s="152">
        <f t="shared" ref="W12:AE12" si="21">V12*(1+$U12)</f>
        <v>786.88749999999993</v>
      </c>
      <c r="X12" s="152">
        <f t="shared" si="21"/>
        <v>904.92062499999986</v>
      </c>
      <c r="Y12" s="152">
        <f t="shared" si="21"/>
        <v>1040.6587187499997</v>
      </c>
      <c r="Z12" s="152">
        <f t="shared" si="21"/>
        <v>1196.7575265624996</v>
      </c>
      <c r="AA12" s="152">
        <f t="shared" si="21"/>
        <v>1376.2711555468745</v>
      </c>
      <c r="AB12" s="152">
        <f t="shared" si="21"/>
        <v>1582.7118288789056</v>
      </c>
      <c r="AC12" s="152">
        <f t="shared" si="21"/>
        <v>1820.1186032107414</v>
      </c>
      <c r="AD12" s="152">
        <f t="shared" si="21"/>
        <v>2093.1363936923526</v>
      </c>
      <c r="AE12" s="152">
        <f t="shared" si="21"/>
        <v>2407.1068527462053</v>
      </c>
      <c r="AF12" s="137">
        <f t="shared" si="18"/>
        <v>0.1180742296456414</v>
      </c>
      <c r="AG12" s="31">
        <f t="shared" si="16"/>
        <v>0.05</v>
      </c>
      <c r="AH12" s="145">
        <f t="shared" si="1"/>
        <v>14867.424678726566</v>
      </c>
    </row>
    <row r="13" spans="2:34">
      <c r="B13" s="20" t="s">
        <v>218</v>
      </c>
      <c r="C13" s="140"/>
      <c r="D13" s="140"/>
      <c r="E13" s="146"/>
      <c r="F13" s="146"/>
      <c r="G13" s="146">
        <v>64</v>
      </c>
      <c r="H13" s="146">
        <v>3</v>
      </c>
      <c r="I13" s="146">
        <v>0.4</v>
      </c>
      <c r="J13" s="146">
        <v>5</v>
      </c>
      <c r="K13" s="146">
        <v>5</v>
      </c>
      <c r="L13" s="146">
        <v>5</v>
      </c>
      <c r="M13" s="146">
        <v>6</v>
      </c>
      <c r="N13" s="146">
        <v>11</v>
      </c>
      <c r="O13" s="146">
        <v>16</v>
      </c>
      <c r="P13" s="146">
        <v>55</v>
      </c>
      <c r="Q13" s="146">
        <v>64</v>
      </c>
      <c r="R13" s="203">
        <v>147</v>
      </c>
      <c r="S13" s="203">
        <v>122</v>
      </c>
      <c r="T13" s="118">
        <f t="shared" ref="T13:T59" si="22">((S13/G13)^(1/($J$2-$J$1) ))-1</f>
        <v>5.523289569759382E-2</v>
      </c>
      <c r="U13" s="31">
        <f t="shared" si="6"/>
        <v>0.15</v>
      </c>
      <c r="V13" s="152">
        <f t="shared" si="2"/>
        <v>140.29999999999998</v>
      </c>
      <c r="W13" s="152">
        <f t="shared" ref="W13:AE13" si="23">V13*(1+$U13)</f>
        <v>161.34499999999997</v>
      </c>
      <c r="X13" s="152">
        <f t="shared" si="23"/>
        <v>185.54674999999995</v>
      </c>
      <c r="Y13" s="152">
        <f t="shared" si="23"/>
        <v>213.37876249999991</v>
      </c>
      <c r="Z13" s="152">
        <f t="shared" si="23"/>
        <v>245.38557687499988</v>
      </c>
      <c r="AA13" s="152">
        <f t="shared" si="23"/>
        <v>282.19341340624982</v>
      </c>
      <c r="AB13" s="152">
        <f t="shared" si="23"/>
        <v>324.52242541718726</v>
      </c>
      <c r="AC13" s="152">
        <f t="shared" si="23"/>
        <v>373.20078922976535</v>
      </c>
      <c r="AD13" s="152">
        <f t="shared" si="23"/>
        <v>429.18090761423014</v>
      </c>
      <c r="AE13" s="152">
        <f t="shared" si="23"/>
        <v>493.55804375636461</v>
      </c>
      <c r="AF13" s="137">
        <f t="shared" si="18"/>
        <v>0.40347191338177302</v>
      </c>
      <c r="AG13" s="31">
        <f t="shared" si="16"/>
        <v>0.05</v>
      </c>
      <c r="AH13" s="145">
        <f t="shared" si="1"/>
        <v>3048.4467408481346</v>
      </c>
    </row>
    <row r="14" spans="2:34">
      <c r="B14" s="20" t="s">
        <v>371</v>
      </c>
      <c r="C14" s="140"/>
      <c r="D14" s="140"/>
      <c r="E14" s="146"/>
      <c r="F14" s="146"/>
      <c r="G14" s="146">
        <v>262</v>
      </c>
      <c r="H14" s="146">
        <v>330</v>
      </c>
      <c r="I14" s="146">
        <v>419</v>
      </c>
      <c r="J14" s="146">
        <v>638</v>
      </c>
      <c r="K14" s="146">
        <v>715</v>
      </c>
      <c r="L14" s="146">
        <v>630</v>
      </c>
      <c r="M14" s="146">
        <v>992</v>
      </c>
      <c r="N14" s="146">
        <v>1753</v>
      </c>
      <c r="O14" s="146">
        <v>1999</v>
      </c>
      <c r="P14" s="146">
        <v>2031</v>
      </c>
      <c r="Q14" s="146">
        <v>2066</v>
      </c>
      <c r="R14" s="203">
        <v>1778</v>
      </c>
      <c r="S14" s="203">
        <v>1945</v>
      </c>
      <c r="T14" s="118">
        <f t="shared" si="22"/>
        <v>0.1818205194896978</v>
      </c>
      <c r="U14" s="31">
        <f t="shared" si="6"/>
        <v>0.15</v>
      </c>
      <c r="V14" s="152">
        <f t="shared" si="2"/>
        <v>2236.75</v>
      </c>
      <c r="W14" s="152">
        <f t="shared" ref="W14" si="24">V14*(1+$U14)</f>
        <v>2572.2624999999998</v>
      </c>
      <c r="X14" s="152">
        <f t="shared" ref="X14" si="25">W14*(1+$U14)</f>
        <v>2958.1018749999994</v>
      </c>
      <c r="Y14" s="152">
        <f t="shared" ref="Y14" si="26">X14*(1+$U14)</f>
        <v>3401.8171562499992</v>
      </c>
      <c r="Z14" s="152">
        <f t="shared" ref="Z14" si="27">Y14*(1+$U14)</f>
        <v>3912.0897296874987</v>
      </c>
      <c r="AA14" s="152">
        <f t="shared" ref="AA14" si="28">Z14*(1+$U14)</f>
        <v>4498.903189140623</v>
      </c>
      <c r="AB14" s="152">
        <f t="shared" ref="AB14" si="29">AA14*(1+$U14)</f>
        <v>5173.7386675117159</v>
      </c>
      <c r="AC14" s="152">
        <f t="shared" ref="AC14" si="30">AB14*(1+$U14)</f>
        <v>5949.7994676384724</v>
      </c>
      <c r="AD14" s="152">
        <f t="shared" ref="AD14" si="31">AC14*(1+$U14)</f>
        <v>6842.269387784243</v>
      </c>
      <c r="AE14" s="152">
        <f t="shared" ref="AE14" si="32">AD14*(1+$U14)</f>
        <v>7868.6097959518793</v>
      </c>
      <c r="AF14" s="137">
        <f t="shared" ref="AF14" si="33">((AE14/I14)^(1/($AE$3-$J$1) ))-1</f>
        <v>0.14987761201319283</v>
      </c>
      <c r="AG14" s="31">
        <f t="shared" si="16"/>
        <v>0.05</v>
      </c>
      <c r="AH14" s="145">
        <f t="shared" ref="AH14" si="34">(AE14*(1+AG14))/($C$1-AG14)</f>
        <v>48600.236974996908</v>
      </c>
    </row>
    <row r="15" spans="2:34">
      <c r="B15" s="20" t="s">
        <v>19</v>
      </c>
      <c r="C15" s="140"/>
      <c r="D15" s="140"/>
      <c r="E15" s="146"/>
      <c r="F15" s="146"/>
      <c r="G15" s="146">
        <v>442</v>
      </c>
      <c r="H15" s="146">
        <v>581</v>
      </c>
      <c r="I15" s="146">
        <v>690</v>
      </c>
      <c r="J15" s="146">
        <v>1159</v>
      </c>
      <c r="K15" s="146">
        <v>1199</v>
      </c>
      <c r="L15" s="146">
        <v>1043</v>
      </c>
      <c r="M15" s="146">
        <v>2063</v>
      </c>
      <c r="N15" s="146">
        <v>2894</v>
      </c>
      <c r="O15" s="146">
        <v>3317</v>
      </c>
      <c r="P15" s="146">
        <v>3356</v>
      </c>
      <c r="Q15" s="146">
        <v>3763</v>
      </c>
      <c r="R15" s="203">
        <v>3331</v>
      </c>
      <c r="S15" s="203">
        <v>3623</v>
      </c>
      <c r="T15" s="118">
        <f t="shared" si="22"/>
        <v>0.19161832163962855</v>
      </c>
      <c r="U15" s="31">
        <f t="shared" si="6"/>
        <v>0.15</v>
      </c>
      <c r="V15" s="152">
        <f t="shared" si="2"/>
        <v>4166.45</v>
      </c>
      <c r="W15" s="152">
        <f t="shared" ref="W15:AE15" si="35">V15*(1+$U15)</f>
        <v>4791.4174999999996</v>
      </c>
      <c r="X15" s="152">
        <f t="shared" si="35"/>
        <v>5510.1301249999988</v>
      </c>
      <c r="Y15" s="152">
        <f t="shared" si="35"/>
        <v>6336.6496437499982</v>
      </c>
      <c r="Z15" s="152">
        <f t="shared" si="35"/>
        <v>7287.1470903124973</v>
      </c>
      <c r="AA15" s="152">
        <f t="shared" si="35"/>
        <v>8380.2191538593706</v>
      </c>
      <c r="AB15" s="152">
        <f t="shared" si="35"/>
        <v>9637.2520269382749</v>
      </c>
      <c r="AC15" s="152">
        <f t="shared" si="35"/>
        <v>11082.839830979015</v>
      </c>
      <c r="AD15" s="152">
        <f t="shared" si="35"/>
        <v>12745.265805625866</v>
      </c>
      <c r="AE15" s="152">
        <f t="shared" si="35"/>
        <v>14657.055676469745</v>
      </c>
      <c r="AF15" s="137">
        <f t="shared" si="18"/>
        <v>0.15664447573115514</v>
      </c>
      <c r="AG15" s="31">
        <f t="shared" si="16"/>
        <v>0.05</v>
      </c>
      <c r="AH15" s="145">
        <f t="shared" si="1"/>
        <v>90528.873295842553</v>
      </c>
    </row>
    <row r="16" spans="2:34">
      <c r="B16" s="20" t="s">
        <v>23</v>
      </c>
      <c r="C16" s="140"/>
      <c r="D16" s="140"/>
      <c r="E16" s="146"/>
      <c r="F16" s="146"/>
      <c r="G16" s="146">
        <v>213</v>
      </c>
      <c r="H16" s="146">
        <v>240</v>
      </c>
      <c r="I16" s="146">
        <v>465</v>
      </c>
      <c r="J16" s="146">
        <v>380</v>
      </c>
      <c r="K16" s="146">
        <v>502</v>
      </c>
      <c r="L16" s="146">
        <v>528</v>
      </c>
      <c r="M16" s="146">
        <v>573</v>
      </c>
      <c r="N16" s="146">
        <v>860</v>
      </c>
      <c r="O16" s="146">
        <v>880</v>
      </c>
      <c r="P16" s="146">
        <v>995</v>
      </c>
      <c r="Q16" s="146">
        <v>859</v>
      </c>
      <c r="R16" s="203">
        <v>1092</v>
      </c>
      <c r="S16" s="203">
        <v>1634</v>
      </c>
      <c r="T16" s="118">
        <f t="shared" si="22"/>
        <v>0.18505735683626634</v>
      </c>
      <c r="U16" s="31">
        <f t="shared" si="6"/>
        <v>0.15</v>
      </c>
      <c r="V16" s="152">
        <f t="shared" si="2"/>
        <v>1879.1</v>
      </c>
      <c r="W16" s="152">
        <f t="shared" ref="W16:AE16" si="36">V16*(1+$U16)</f>
        <v>2160.9649999999997</v>
      </c>
      <c r="X16" s="152">
        <f t="shared" si="36"/>
        <v>2485.1097499999996</v>
      </c>
      <c r="Y16" s="152">
        <f t="shared" si="36"/>
        <v>2857.8762124999994</v>
      </c>
      <c r="Z16" s="152">
        <f t="shared" si="36"/>
        <v>3286.5576443749992</v>
      </c>
      <c r="AA16" s="152">
        <f t="shared" si="36"/>
        <v>3779.5412910312489</v>
      </c>
      <c r="AB16" s="152">
        <f t="shared" si="36"/>
        <v>4346.4724846859363</v>
      </c>
      <c r="AC16" s="152">
        <f t="shared" si="36"/>
        <v>4998.4433573888264</v>
      </c>
      <c r="AD16" s="152">
        <f t="shared" si="36"/>
        <v>5748.2098609971499</v>
      </c>
      <c r="AE16" s="152">
        <f t="shared" si="36"/>
        <v>6610.4413401467218</v>
      </c>
      <c r="AF16" s="137">
        <f t="shared" si="18"/>
        <v>0.13473425864865884</v>
      </c>
      <c r="AG16" s="31">
        <f t="shared" si="16"/>
        <v>0.05</v>
      </c>
      <c r="AH16" s="145">
        <f t="shared" si="1"/>
        <v>40829.19651267094</v>
      </c>
    </row>
    <row r="17" spans="2:34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28"/>
      <c r="U17" s="20"/>
      <c r="V17" s="152">
        <f t="shared" si="2"/>
        <v>0</v>
      </c>
      <c r="W17" s="152"/>
      <c r="X17" s="152"/>
      <c r="Y17" s="152"/>
      <c r="Z17" s="152"/>
      <c r="AA17" s="152"/>
      <c r="AB17" s="152"/>
      <c r="AC17" s="152"/>
      <c r="AD17" s="152"/>
      <c r="AE17" s="152"/>
      <c r="AF17" s="138"/>
      <c r="AG17" s="136"/>
      <c r="AH17" s="152"/>
    </row>
    <row r="18" spans="2:34">
      <c r="B18" s="20" t="s">
        <v>277</v>
      </c>
      <c r="C18" s="140"/>
      <c r="D18" s="140"/>
      <c r="E18" s="146"/>
      <c r="F18" s="146"/>
      <c r="G18" s="146">
        <v>648</v>
      </c>
      <c r="H18" s="146">
        <v>786</v>
      </c>
      <c r="I18" s="146">
        <v>840</v>
      </c>
      <c r="J18" s="146">
        <v>1292</v>
      </c>
      <c r="K18" s="146">
        <v>1226</v>
      </c>
      <c r="L18" s="146">
        <v>1425</v>
      </c>
      <c r="M18" s="146">
        <v>2560</v>
      </c>
      <c r="N18" s="146">
        <v>3519</v>
      </c>
      <c r="O18" s="146">
        <v>4157</v>
      </c>
      <c r="P18" s="146">
        <v>4312</v>
      </c>
      <c r="Q18" s="146">
        <v>4502</v>
      </c>
      <c r="R18" s="203">
        <v>4381</v>
      </c>
      <c r="S18" s="203">
        <v>4797</v>
      </c>
      <c r="T18" s="118">
        <f t="shared" si="22"/>
        <v>0.18154307565739503</v>
      </c>
      <c r="U18" s="31">
        <f t="shared" si="6"/>
        <v>0.15</v>
      </c>
      <c r="V18" s="152">
        <f t="shared" si="2"/>
        <v>5516.5499999999993</v>
      </c>
      <c r="W18" s="152">
        <f t="shared" ref="W18:W34" si="37">V18*(1+$U18)</f>
        <v>6344.0324999999984</v>
      </c>
      <c r="X18" s="152">
        <f t="shared" ref="X18:X34" si="38">W18*(1+$U18)</f>
        <v>7295.6373749999975</v>
      </c>
      <c r="Y18" s="152">
        <f t="shared" ref="Y18:Y34" si="39">X18*(1+$U18)</f>
        <v>8389.9829812499956</v>
      </c>
      <c r="Z18" s="152">
        <f t="shared" ref="Z18:Z51" si="40">Y18*(1+$U18)</f>
        <v>9648.480428437495</v>
      </c>
      <c r="AA18" s="152">
        <f t="shared" ref="AA18:AA51" si="41">Z18*(1+$U18)</f>
        <v>11095.752492703119</v>
      </c>
      <c r="AB18" s="152">
        <f t="shared" ref="AB18:AB51" si="42">AA18*(1+$U18)</f>
        <v>12760.115366608587</v>
      </c>
      <c r="AC18" s="152">
        <f t="shared" ref="AC18:AC51" si="43">AB18*(1+$U18)</f>
        <v>14674.132671599873</v>
      </c>
      <c r="AD18" s="152">
        <f t="shared" ref="AD18:AD51" si="44">AC18*(1+$U18)</f>
        <v>16875.252572339854</v>
      </c>
      <c r="AE18" s="152">
        <f t="shared" ref="AE18:AE51" si="45">AD18*(1+$U18)</f>
        <v>19406.54045819083</v>
      </c>
      <c r="AF18" s="137">
        <f t="shared" si="18"/>
        <v>0.16127910346577257</v>
      </c>
      <c r="AG18" s="31">
        <f t="shared" si="16"/>
        <v>0.05</v>
      </c>
      <c r="AH18" s="145">
        <f t="shared" si="1"/>
        <v>119863.92635941396</v>
      </c>
    </row>
    <row r="19" spans="2:34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28"/>
      <c r="U19" s="20"/>
      <c r="V19" s="152">
        <f t="shared" si="2"/>
        <v>0</v>
      </c>
      <c r="W19" s="152"/>
      <c r="X19" s="152"/>
      <c r="Y19" s="152"/>
      <c r="Z19" s="152"/>
      <c r="AA19" s="152"/>
      <c r="AB19" s="152"/>
      <c r="AC19" s="152"/>
      <c r="AD19" s="152"/>
      <c r="AE19" s="152"/>
      <c r="AF19" s="138"/>
      <c r="AG19" s="136"/>
      <c r="AH19" s="152"/>
    </row>
    <row r="20" spans="2:34">
      <c r="B20" s="20" t="s">
        <v>283</v>
      </c>
      <c r="C20" s="140"/>
      <c r="D20" s="140"/>
      <c r="E20" s="146"/>
      <c r="F20" s="146"/>
      <c r="G20" s="146">
        <v>108</v>
      </c>
      <c r="H20" s="146">
        <v>109</v>
      </c>
      <c r="I20" s="146">
        <v>78</v>
      </c>
      <c r="J20" s="146">
        <v>357</v>
      </c>
      <c r="K20" s="146">
        <v>428</v>
      </c>
      <c r="L20" s="146">
        <v>325</v>
      </c>
      <c r="M20" s="146">
        <v>702</v>
      </c>
      <c r="N20" s="146">
        <v>152</v>
      </c>
      <c r="O20" s="146">
        <v>543</v>
      </c>
      <c r="P20" s="146">
        <v>770</v>
      </c>
      <c r="Q20" s="146">
        <v>1126</v>
      </c>
      <c r="R20" s="203">
        <v>951</v>
      </c>
      <c r="S20" s="203">
        <v>1792</v>
      </c>
      <c r="T20" s="118">
        <f t="shared" si="22"/>
        <v>0.26374520514994071</v>
      </c>
      <c r="U20" s="31">
        <f t="shared" si="6"/>
        <v>0.15</v>
      </c>
      <c r="V20" s="152">
        <f t="shared" si="2"/>
        <v>2060.7999999999997</v>
      </c>
      <c r="W20" s="152">
        <f t="shared" ref="W20:W22" si="46">V20*(1+$U20)</f>
        <v>2369.9199999999996</v>
      </c>
      <c r="X20" s="152">
        <f t="shared" ref="X20:X22" si="47">W20*(1+$U20)</f>
        <v>2725.4079999999994</v>
      </c>
      <c r="Y20" s="152">
        <f t="shared" ref="Y20:Y22" si="48">X20*(1+$U20)</f>
        <v>3134.2191999999991</v>
      </c>
      <c r="Z20" s="152">
        <f t="shared" ref="Z20:Z22" si="49">Y20*(1+$U20)</f>
        <v>3604.3520799999988</v>
      </c>
      <c r="AA20" s="152">
        <f t="shared" ref="AA20:AA22" si="50">Z20*(1+$U20)</f>
        <v>4145.0048919999981</v>
      </c>
      <c r="AB20" s="152">
        <f t="shared" ref="AB20:AB22" si="51">AA20*(1+$U20)</f>
        <v>4766.7556257999977</v>
      </c>
      <c r="AC20" s="152">
        <f t="shared" ref="AC20:AC22" si="52">AB20*(1+$U20)</f>
        <v>5481.7689696699972</v>
      </c>
      <c r="AD20" s="152">
        <f t="shared" ref="AD20:AD22" si="53">AC20*(1+$U20)</f>
        <v>6304.0343151204961</v>
      </c>
      <c r="AE20" s="152">
        <f t="shared" ref="AE20:AE22" si="54">AD20*(1+$U20)</f>
        <v>7249.6394623885699</v>
      </c>
      <c r="AF20" s="137">
        <f t="shared" ref="AF20:AF22" si="55">((AE20/I20)^(1/($AE$3-$J$1) ))-1</f>
        <v>0.24086589414486959</v>
      </c>
      <c r="AG20" s="31">
        <f t="shared" si="16"/>
        <v>0.05</v>
      </c>
      <c r="AH20" s="145">
        <f t="shared" si="1"/>
        <v>44777.184914752936</v>
      </c>
    </row>
    <row r="21" spans="2:34">
      <c r="B21" s="20" t="s">
        <v>284</v>
      </c>
      <c r="C21" s="140"/>
      <c r="D21" s="140"/>
      <c r="E21" s="146"/>
      <c r="F21" s="146"/>
      <c r="G21" s="146">
        <v>-305</v>
      </c>
      <c r="H21" s="146">
        <v>-163</v>
      </c>
      <c r="I21" s="146">
        <v>-91</v>
      </c>
      <c r="J21" s="146">
        <v>-400</v>
      </c>
      <c r="K21" s="146">
        <v>-169</v>
      </c>
      <c r="L21" s="146">
        <v>-482</v>
      </c>
      <c r="M21" s="146">
        <v>-1053</v>
      </c>
      <c r="N21" s="146">
        <v>-854</v>
      </c>
      <c r="O21" s="146">
        <v>-547</v>
      </c>
      <c r="P21" s="146">
        <v>-407</v>
      </c>
      <c r="Q21" s="146">
        <v>-202</v>
      </c>
      <c r="R21" s="146">
        <v>-356</v>
      </c>
      <c r="S21" s="146">
        <v>-1081</v>
      </c>
      <c r="T21" s="118">
        <f t="shared" si="22"/>
        <v>0.11120406436365116</v>
      </c>
      <c r="U21" s="31">
        <f t="shared" si="6"/>
        <v>0.15</v>
      </c>
      <c r="V21" s="152">
        <f t="shared" si="2"/>
        <v>-1243.1499999999999</v>
      </c>
      <c r="W21" s="152">
        <f t="shared" si="46"/>
        <v>-1429.6224999999997</v>
      </c>
      <c r="X21" s="152">
        <f t="shared" si="47"/>
        <v>-1644.0658749999996</v>
      </c>
      <c r="Y21" s="152">
        <f t="shared" si="48"/>
        <v>-1890.6757562499993</v>
      </c>
      <c r="Z21" s="152">
        <f t="shared" si="49"/>
        <v>-2174.2771196874992</v>
      </c>
      <c r="AA21" s="152">
        <f t="shared" si="50"/>
        <v>-2500.4186876406238</v>
      </c>
      <c r="AB21" s="152">
        <f t="shared" si="51"/>
        <v>-2875.4814907867171</v>
      </c>
      <c r="AC21" s="152">
        <f t="shared" si="52"/>
        <v>-3306.8037144047244</v>
      </c>
      <c r="AD21" s="152">
        <f t="shared" si="53"/>
        <v>-3802.8242715654328</v>
      </c>
      <c r="AE21" s="152">
        <f t="shared" si="54"/>
        <v>-4373.2479123002477</v>
      </c>
      <c r="AF21" s="137">
        <f t="shared" si="55"/>
        <v>0.20249682494154886</v>
      </c>
      <c r="AG21" s="31">
        <f t="shared" si="16"/>
        <v>0.05</v>
      </c>
      <c r="AH21" s="145">
        <f t="shared" si="1"/>
        <v>-27011.237105383887</v>
      </c>
    </row>
    <row r="22" spans="2:34">
      <c r="B22" s="20" t="s">
        <v>285</v>
      </c>
      <c r="C22" s="140"/>
      <c r="D22" s="140"/>
      <c r="E22" s="146"/>
      <c r="F22" s="146"/>
      <c r="G22" s="146">
        <v>206</v>
      </c>
      <c r="H22" s="146">
        <v>59</v>
      </c>
      <c r="I22" s="146">
        <v>133</v>
      </c>
      <c r="J22" s="146">
        <v>-17</v>
      </c>
      <c r="K22" s="146">
        <v>-165</v>
      </c>
      <c r="L22" s="146">
        <v>180</v>
      </c>
      <c r="M22" s="146">
        <v>327</v>
      </c>
      <c r="N22" s="146">
        <v>587</v>
      </c>
      <c r="O22" s="146">
        <v>-20</v>
      </c>
      <c r="P22" s="146">
        <v>-321</v>
      </c>
      <c r="Q22" s="146">
        <v>-857</v>
      </c>
      <c r="R22" s="146">
        <v>-607</v>
      </c>
      <c r="S22" s="146">
        <v>-626</v>
      </c>
      <c r="T22" s="118" t="e">
        <f t="shared" si="22"/>
        <v>#NUM!</v>
      </c>
      <c r="U22" s="31">
        <f t="shared" si="6"/>
        <v>0.15</v>
      </c>
      <c r="V22" s="152">
        <f t="shared" si="2"/>
        <v>-719.9</v>
      </c>
      <c r="W22" s="152">
        <f t="shared" si="46"/>
        <v>-827.88499999999988</v>
      </c>
      <c r="X22" s="152">
        <f t="shared" si="47"/>
        <v>-952.06774999999982</v>
      </c>
      <c r="Y22" s="152">
        <f t="shared" si="48"/>
        <v>-1094.8779124999996</v>
      </c>
      <c r="Z22" s="152">
        <f t="shared" si="49"/>
        <v>-1259.1095993749996</v>
      </c>
      <c r="AA22" s="152">
        <f t="shared" si="50"/>
        <v>-1447.9760392812493</v>
      </c>
      <c r="AB22" s="152">
        <f t="shared" si="51"/>
        <v>-1665.1724451734365</v>
      </c>
      <c r="AC22" s="152">
        <f t="shared" si="52"/>
        <v>-1914.9483119494519</v>
      </c>
      <c r="AD22" s="152">
        <f t="shared" si="53"/>
        <v>-2202.1905587418696</v>
      </c>
      <c r="AE22" s="152">
        <f t="shared" si="54"/>
        <v>-2532.5191425531498</v>
      </c>
      <c r="AF22" s="137">
        <f t="shared" si="55"/>
        <v>-2.150636502664979</v>
      </c>
      <c r="AG22" s="31">
        <f t="shared" si="16"/>
        <v>0.05</v>
      </c>
      <c r="AH22" s="145">
        <f t="shared" si="1"/>
        <v>-15642.029998122398</v>
      </c>
    </row>
    <row r="23" spans="2:34">
      <c r="B23" s="20" t="s">
        <v>294</v>
      </c>
      <c r="C23" s="140"/>
      <c r="D23" s="140"/>
      <c r="E23" s="146"/>
      <c r="F23" s="146"/>
      <c r="G23" s="146">
        <v>106</v>
      </c>
      <c r="H23" s="146">
        <v>110</v>
      </c>
      <c r="I23" s="146">
        <v>232</v>
      </c>
      <c r="J23" s="146">
        <v>172</v>
      </c>
      <c r="K23" s="146">
        <v>266</v>
      </c>
      <c r="L23" s="146">
        <v>273</v>
      </c>
      <c r="M23" s="146">
        <v>249</v>
      </c>
      <c r="N23" s="146">
        <v>134</v>
      </c>
      <c r="O23" s="146">
        <v>106</v>
      </c>
      <c r="P23" s="146">
        <v>144</v>
      </c>
      <c r="Q23" s="146">
        <v>212</v>
      </c>
      <c r="R23" s="203">
        <v>200</v>
      </c>
      <c r="S23" s="203">
        <v>285</v>
      </c>
      <c r="T23" s="118">
        <f t="shared" si="22"/>
        <v>8.5912709743703131E-2</v>
      </c>
      <c r="U23" s="31">
        <f t="shared" si="6"/>
        <v>0.15</v>
      </c>
      <c r="V23" s="152">
        <f t="shared" si="2"/>
        <v>327.75</v>
      </c>
      <c r="W23" s="152">
        <f t="shared" ref="W23" si="56">V23*(1+$U23)</f>
        <v>376.91249999999997</v>
      </c>
      <c r="X23" s="152">
        <f t="shared" ref="X23" si="57">W23*(1+$U23)</f>
        <v>433.44937499999992</v>
      </c>
      <c r="Y23" s="152">
        <f t="shared" ref="Y23" si="58">X23*(1+$U23)</f>
        <v>498.46678124999988</v>
      </c>
      <c r="Z23" s="152">
        <f t="shared" ref="Z23" si="59">Y23*(1+$U23)</f>
        <v>573.23679843749983</v>
      </c>
      <c r="AA23" s="152">
        <f t="shared" ref="AA23" si="60">Z23*(1+$U23)</f>
        <v>659.2223182031247</v>
      </c>
      <c r="AB23" s="152">
        <f t="shared" ref="AB23" si="61">AA23*(1+$U23)</f>
        <v>758.1056659335934</v>
      </c>
      <c r="AC23" s="152">
        <f t="shared" ref="AC23" si="62">AB23*(1+$U23)</f>
        <v>871.82151582363235</v>
      </c>
      <c r="AD23" s="152">
        <f t="shared" ref="AD23" si="63">AC23*(1+$U23)</f>
        <v>1002.5947431971771</v>
      </c>
      <c r="AE23" s="152">
        <f t="shared" ref="AE23" si="64">AD23*(1+$U23)</f>
        <v>1152.9839546767535</v>
      </c>
      <c r="AF23" s="137">
        <f t="shared" ref="AF23" si="65">((AE23/I23)^(1/($AE$3-$J$1) ))-1</f>
        <v>7.9341368435567272E-2</v>
      </c>
      <c r="AG23" s="31">
        <f t="shared" si="16"/>
        <v>0.05</v>
      </c>
      <c r="AH23" s="145">
        <f t="shared" si="1"/>
        <v>7121.3714847681849</v>
      </c>
    </row>
    <row r="24" spans="2:34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28"/>
      <c r="U24" s="20"/>
      <c r="V24" s="152">
        <f t="shared" si="2"/>
        <v>0</v>
      </c>
      <c r="W24" s="152"/>
      <c r="X24" s="152"/>
      <c r="Y24" s="152"/>
      <c r="Z24" s="152"/>
      <c r="AA24" s="152"/>
      <c r="AB24" s="152"/>
      <c r="AC24" s="152"/>
      <c r="AD24" s="152"/>
      <c r="AE24" s="152"/>
      <c r="AF24" s="119"/>
      <c r="AG24" s="136"/>
      <c r="AH24" s="152"/>
    </row>
    <row r="25" spans="2:34">
      <c r="B25" s="20" t="s">
        <v>89</v>
      </c>
      <c r="C25" s="140"/>
      <c r="D25" s="140"/>
      <c r="E25" s="146"/>
      <c r="F25" s="146"/>
      <c r="G25" s="146">
        <v>1960</v>
      </c>
      <c r="H25" s="146">
        <v>2241</v>
      </c>
      <c r="I25" s="146">
        <v>2714</v>
      </c>
      <c r="J25" s="146">
        <v>4304</v>
      </c>
      <c r="K25" s="146">
        <v>4778</v>
      </c>
      <c r="L25" s="146">
        <v>5007</v>
      </c>
      <c r="M25" s="146">
        <v>7996</v>
      </c>
      <c r="N25" s="146">
        <v>9368</v>
      </c>
      <c r="O25" s="146">
        <v>12412</v>
      </c>
      <c r="P25" s="146">
        <v>12978</v>
      </c>
      <c r="Q25" s="146">
        <v>13494</v>
      </c>
      <c r="R25" s="203">
        <v>12669</v>
      </c>
      <c r="S25" s="203">
        <v>11863</v>
      </c>
      <c r="T25" s="118">
        <f t="shared" si="22"/>
        <v>0.16188070148117317</v>
      </c>
      <c r="U25" s="31">
        <f t="shared" si="6"/>
        <v>0.15</v>
      </c>
      <c r="V25" s="152">
        <f t="shared" si="2"/>
        <v>13642.449999999999</v>
      </c>
      <c r="W25" s="152">
        <f t="shared" si="37"/>
        <v>15688.817499999997</v>
      </c>
      <c r="X25" s="152">
        <f t="shared" si="38"/>
        <v>18042.140124999994</v>
      </c>
      <c r="Y25" s="152">
        <f t="shared" si="39"/>
        <v>20748.461143749992</v>
      </c>
      <c r="Z25" s="152">
        <f t="shared" si="40"/>
        <v>23860.730315312489</v>
      </c>
      <c r="AA25" s="152">
        <f t="shared" si="41"/>
        <v>27439.839862609359</v>
      </c>
      <c r="AB25" s="152">
        <f t="shared" si="42"/>
        <v>31555.81584200076</v>
      </c>
      <c r="AC25" s="152">
        <f t="shared" si="43"/>
        <v>36289.188218300871</v>
      </c>
      <c r="AD25" s="152">
        <f t="shared" si="44"/>
        <v>41732.566451045997</v>
      </c>
      <c r="AE25" s="152">
        <f t="shared" si="45"/>
        <v>47992.451418702891</v>
      </c>
      <c r="AF25" s="137">
        <f t="shared" si="18"/>
        <v>0.14658898743396787</v>
      </c>
      <c r="AG25" s="31">
        <f t="shared" si="16"/>
        <v>0.05</v>
      </c>
      <c r="AH25" s="145">
        <f t="shared" si="1"/>
        <v>296423.96464492969</v>
      </c>
    </row>
    <row r="26" spans="2:34" s="123" customFormat="1">
      <c r="B26" s="23"/>
      <c r="C26" s="147"/>
      <c r="D26" s="147"/>
      <c r="E26" s="148"/>
      <c r="F26" s="148"/>
      <c r="G26" s="205">
        <f>(G25-F25)/G25</f>
        <v>1</v>
      </c>
      <c r="H26" s="205">
        <f>(H25-G25)/H25</f>
        <v>0.1253904506916555</v>
      </c>
      <c r="I26" s="205">
        <f t="shared" ref="I26:Q26" si="66">(I25-H25)/I25</f>
        <v>0.17428150331613854</v>
      </c>
      <c r="J26" s="205">
        <f t="shared" si="66"/>
        <v>0.36942379182156132</v>
      </c>
      <c r="K26" s="205">
        <f t="shared" si="66"/>
        <v>9.920468815403935E-2</v>
      </c>
      <c r="L26" s="205">
        <f t="shared" si="66"/>
        <v>4.5735969642500499E-2</v>
      </c>
      <c r="M26" s="205">
        <f t="shared" si="66"/>
        <v>0.37381190595297648</v>
      </c>
      <c r="N26" s="205">
        <f t="shared" si="66"/>
        <v>0.14645602049530315</v>
      </c>
      <c r="O26" s="205">
        <f t="shared" si="66"/>
        <v>0.24524653561069931</v>
      </c>
      <c r="P26" s="205">
        <f t="shared" si="66"/>
        <v>4.3612266913237788E-2</v>
      </c>
      <c r="Q26" s="205">
        <f t="shared" si="66"/>
        <v>3.8239217429968872E-2</v>
      </c>
      <c r="R26" s="149">
        <f t="shared" ref="R26:S26" si="67">(R25-Q25)/Q25</f>
        <v>-6.1138283681636284E-2</v>
      </c>
      <c r="S26" s="149">
        <f t="shared" si="67"/>
        <v>-6.3619859499565876E-2</v>
      </c>
      <c r="T26" s="128"/>
      <c r="U26" s="20"/>
      <c r="V26" s="152"/>
      <c r="W26" s="153"/>
      <c r="X26" s="153"/>
      <c r="Y26" s="153"/>
      <c r="Z26" s="153"/>
      <c r="AA26" s="153"/>
      <c r="AB26" s="153"/>
      <c r="AC26" s="153"/>
      <c r="AD26" s="153"/>
      <c r="AE26" s="153"/>
      <c r="AF26" s="119"/>
      <c r="AG26" s="136"/>
      <c r="AH26" s="152"/>
    </row>
    <row r="27" spans="2:34">
      <c r="B27" s="20" t="s">
        <v>261</v>
      </c>
      <c r="C27" s="140"/>
      <c r="D27" s="140"/>
      <c r="E27" s="146"/>
      <c r="F27" s="146"/>
      <c r="G27" s="146">
        <v>1774</v>
      </c>
      <c r="H27" s="146">
        <v>2060</v>
      </c>
      <c r="I27" s="146">
        <v>2469</v>
      </c>
      <c r="J27" s="146">
        <v>3905</v>
      </c>
      <c r="K27" s="146">
        <v>4136</v>
      </c>
      <c r="L27" s="146">
        <v>4539</v>
      </c>
      <c r="M27" s="146">
        <v>6655</v>
      </c>
      <c r="N27" s="146">
        <v>8363</v>
      </c>
      <c r="O27" s="146">
        <v>11242</v>
      </c>
      <c r="P27" s="146">
        <v>11410</v>
      </c>
      <c r="Q27" s="146">
        <v>11567</v>
      </c>
      <c r="R27" s="203">
        <v>10767</v>
      </c>
      <c r="S27" s="203">
        <v>10340</v>
      </c>
      <c r="T27" s="118">
        <f t="shared" si="22"/>
        <v>0.15823649115975824</v>
      </c>
      <c r="U27" s="31">
        <f t="shared" si="6"/>
        <v>0.15</v>
      </c>
      <c r="V27" s="152">
        <f t="shared" si="2"/>
        <v>11890.999999999998</v>
      </c>
      <c r="W27" s="152">
        <f t="shared" si="37"/>
        <v>13674.649999999996</v>
      </c>
      <c r="X27" s="152">
        <f t="shared" si="38"/>
        <v>15725.847499999994</v>
      </c>
      <c r="Y27" s="152">
        <f t="shared" si="39"/>
        <v>18084.724624999992</v>
      </c>
      <c r="Z27" s="152">
        <f t="shared" si="40"/>
        <v>20797.433318749991</v>
      </c>
      <c r="AA27" s="152">
        <f t="shared" si="41"/>
        <v>23917.048316562486</v>
      </c>
      <c r="AB27" s="152">
        <f t="shared" si="42"/>
        <v>27504.605564046858</v>
      </c>
      <c r="AC27" s="152">
        <f t="shared" si="43"/>
        <v>31630.296398653885</v>
      </c>
      <c r="AD27" s="152">
        <f t="shared" si="44"/>
        <v>36374.840858451964</v>
      </c>
      <c r="AE27" s="152">
        <f t="shared" si="45"/>
        <v>41831.066987219754</v>
      </c>
      <c r="AF27" s="137">
        <f t="shared" si="18"/>
        <v>0.14425483151782292</v>
      </c>
      <c r="AG27" s="31">
        <f t="shared" si="16"/>
        <v>0.05</v>
      </c>
      <c r="AH27" s="145">
        <f t="shared" si="1"/>
        <v>258368.35492106323</v>
      </c>
    </row>
    <row r="28" spans="2:34" s="123" customFormat="1">
      <c r="B28" s="23"/>
      <c r="C28" s="147"/>
      <c r="D28" s="147"/>
      <c r="E28" s="148"/>
      <c r="F28" s="148"/>
      <c r="G28" s="205">
        <f t="shared" ref="G28:Q28" si="68">(G27-F27)/G27</f>
        <v>1</v>
      </c>
      <c r="H28" s="205">
        <f t="shared" si="68"/>
        <v>0.13883495145631067</v>
      </c>
      <c r="I28" s="205">
        <f t="shared" si="68"/>
        <v>0.16565411097610369</v>
      </c>
      <c r="J28" s="205">
        <f t="shared" si="68"/>
        <v>0.36773367477592828</v>
      </c>
      <c r="K28" s="205">
        <f t="shared" si="68"/>
        <v>5.5851063829787231E-2</v>
      </c>
      <c r="L28" s="205">
        <f t="shared" si="68"/>
        <v>8.878607622824411E-2</v>
      </c>
      <c r="M28" s="205">
        <f t="shared" si="68"/>
        <v>0.3179564237415477</v>
      </c>
      <c r="N28" s="205">
        <f t="shared" si="68"/>
        <v>0.20423293076647137</v>
      </c>
      <c r="O28" s="205">
        <f t="shared" si="68"/>
        <v>0.25609322184664651</v>
      </c>
      <c r="P28" s="205">
        <f t="shared" si="68"/>
        <v>1.4723926380368098E-2</v>
      </c>
      <c r="Q28" s="205">
        <f t="shared" si="68"/>
        <v>1.3573095876199533E-2</v>
      </c>
      <c r="R28" s="149">
        <f t="shared" ref="R28:S28" si="69">(R27-Q27)/Q27</f>
        <v>-6.9162271980634557E-2</v>
      </c>
      <c r="S28" s="149">
        <f t="shared" si="69"/>
        <v>-3.9658214915946878E-2</v>
      </c>
      <c r="T28" s="128"/>
      <c r="U28" s="20"/>
      <c r="V28" s="152"/>
      <c r="W28" s="153"/>
      <c r="X28" s="153"/>
      <c r="Y28" s="153"/>
      <c r="Z28" s="153"/>
      <c r="AA28" s="153"/>
      <c r="AB28" s="153"/>
      <c r="AC28" s="153"/>
      <c r="AD28" s="153"/>
      <c r="AE28" s="153"/>
      <c r="AF28" s="119"/>
      <c r="AG28" s="136"/>
      <c r="AH28" s="152"/>
    </row>
    <row r="29" spans="2:34" s="123" customFormat="1">
      <c r="B29" s="20" t="s">
        <v>322</v>
      </c>
      <c r="C29" s="147"/>
      <c r="D29" s="147"/>
      <c r="E29" s="148"/>
      <c r="F29" s="148"/>
      <c r="G29" s="146">
        <v>38</v>
      </c>
      <c r="H29" s="146">
        <v>40</v>
      </c>
      <c r="I29" s="146">
        <v>50</v>
      </c>
      <c r="J29" s="146">
        <v>85</v>
      </c>
      <c r="K29" s="146">
        <v>107</v>
      </c>
      <c r="L29" s="146">
        <v>136</v>
      </c>
      <c r="M29" s="146">
        <v>183</v>
      </c>
      <c r="N29" s="146">
        <v>185</v>
      </c>
      <c r="O29" s="146">
        <v>287</v>
      </c>
      <c r="P29" s="146">
        <v>312</v>
      </c>
      <c r="Q29" s="146">
        <v>284</v>
      </c>
      <c r="R29" s="203">
        <v>183</v>
      </c>
      <c r="S29" s="203">
        <v>92</v>
      </c>
      <c r="T29" s="118">
        <f t="shared" si="22"/>
        <v>7.6466087505810965E-2</v>
      </c>
      <c r="U29" s="31">
        <f t="shared" si="6"/>
        <v>0.15</v>
      </c>
      <c r="V29" s="152">
        <f t="shared" si="2"/>
        <v>105.8</v>
      </c>
      <c r="W29" s="152">
        <f t="shared" ref="W29" si="70">V29*(1+$U29)</f>
        <v>121.66999999999999</v>
      </c>
      <c r="X29" s="152">
        <f t="shared" ref="X29" si="71">W29*(1+$U29)</f>
        <v>139.92049999999998</v>
      </c>
      <c r="Y29" s="152">
        <f t="shared" ref="Y29" si="72">X29*(1+$U29)</f>
        <v>160.90857499999996</v>
      </c>
      <c r="Z29" s="152">
        <f t="shared" ref="Z29" si="73">Y29*(1+$U29)</f>
        <v>185.04486124999994</v>
      </c>
      <c r="AA29" s="152">
        <f t="shared" ref="AA29" si="74">Z29*(1+$U29)</f>
        <v>212.80159043749993</v>
      </c>
      <c r="AB29" s="152">
        <f t="shared" ref="AB29" si="75">AA29*(1+$U29)</f>
        <v>244.7218290031249</v>
      </c>
      <c r="AC29" s="152">
        <f t="shared" ref="AC29" si="76">AB29*(1+$U29)</f>
        <v>281.43010335359361</v>
      </c>
      <c r="AD29" s="152">
        <f t="shared" ref="AD29" si="77">AC29*(1+$U29)</f>
        <v>323.64461885663263</v>
      </c>
      <c r="AE29" s="152">
        <f t="shared" ref="AE29" si="78">AD29*(1+$U29)</f>
        <v>372.19131168512752</v>
      </c>
      <c r="AF29" s="137">
        <f t="shared" ref="AF29" si="79">((AE29/I29)^(1/($AE$3-$J$1) ))-1</f>
        <v>0.10030758306340881</v>
      </c>
      <c r="AG29" s="31">
        <f t="shared" si="16"/>
        <v>0.05</v>
      </c>
      <c r="AH29" s="145">
        <f t="shared" ref="AH29" si="80">(AE29*(1+AG29))/($C$1-AG29)</f>
        <v>2298.8286898199058</v>
      </c>
    </row>
    <row r="30" spans="2:34" s="123" customFormat="1">
      <c r="B30" s="23"/>
      <c r="C30" s="147"/>
      <c r="D30" s="147"/>
      <c r="E30" s="148"/>
      <c r="F30" s="148"/>
      <c r="G30" s="205">
        <f t="shared" ref="G30:Q30" si="81">(G29-F29)/G29</f>
        <v>1</v>
      </c>
      <c r="H30" s="205">
        <f t="shared" si="81"/>
        <v>0.05</v>
      </c>
      <c r="I30" s="205">
        <f t="shared" si="81"/>
        <v>0.2</v>
      </c>
      <c r="J30" s="205">
        <f t="shared" si="81"/>
        <v>0.41176470588235292</v>
      </c>
      <c r="K30" s="205">
        <f t="shared" si="81"/>
        <v>0.20560747663551401</v>
      </c>
      <c r="L30" s="205">
        <f t="shared" si="81"/>
        <v>0.21323529411764705</v>
      </c>
      <c r="M30" s="205">
        <f t="shared" si="81"/>
        <v>0.25683060109289618</v>
      </c>
      <c r="N30" s="205">
        <f t="shared" si="81"/>
        <v>1.0810810810810811E-2</v>
      </c>
      <c r="O30" s="205">
        <f t="shared" si="81"/>
        <v>0.35540069686411152</v>
      </c>
      <c r="P30" s="205">
        <f t="shared" si="81"/>
        <v>8.0128205128205135E-2</v>
      </c>
      <c r="Q30" s="205">
        <f t="shared" si="81"/>
        <v>-9.8591549295774641E-2</v>
      </c>
      <c r="R30" s="149">
        <f t="shared" ref="R30:S30" si="82">(R29-Q29)/Q29</f>
        <v>-0.35563380281690143</v>
      </c>
      <c r="S30" s="149">
        <f t="shared" si="82"/>
        <v>-0.49726775956284153</v>
      </c>
      <c r="T30" s="128"/>
      <c r="U30" s="20"/>
      <c r="V30" s="152"/>
      <c r="W30" s="153"/>
      <c r="X30" s="153"/>
      <c r="Y30" s="153"/>
      <c r="Z30" s="153"/>
      <c r="AA30" s="153"/>
      <c r="AB30" s="153"/>
      <c r="AC30" s="153"/>
      <c r="AD30" s="153"/>
      <c r="AE30" s="153"/>
      <c r="AF30" s="160"/>
      <c r="AG30" s="136"/>
      <c r="AH30" s="152"/>
    </row>
    <row r="31" spans="2:34">
      <c r="B31" s="20" t="s">
        <v>330</v>
      </c>
      <c r="C31" s="140"/>
      <c r="D31" s="140"/>
      <c r="E31" s="146"/>
      <c r="F31" s="146"/>
      <c r="G31" s="146">
        <v>0</v>
      </c>
      <c r="H31" s="146">
        <v>0</v>
      </c>
      <c r="I31" s="146">
        <v>0</v>
      </c>
      <c r="J31" s="146">
        <v>0</v>
      </c>
      <c r="K31" s="146">
        <v>0</v>
      </c>
      <c r="L31" s="146">
        <v>0</v>
      </c>
      <c r="M31" s="146">
        <v>0</v>
      </c>
      <c r="N31" s="146">
        <v>0</v>
      </c>
      <c r="O31" s="146">
        <v>0</v>
      </c>
      <c r="P31" s="146">
        <v>0</v>
      </c>
      <c r="Q31" s="146">
        <f>P31</f>
        <v>0</v>
      </c>
      <c r="R31" s="203">
        <v>0</v>
      </c>
      <c r="S31" s="203">
        <v>0</v>
      </c>
      <c r="T31" s="118" t="e">
        <f t="shared" si="22"/>
        <v>#DIV/0!</v>
      </c>
      <c r="U31" s="31">
        <f t="shared" si="6"/>
        <v>0.15</v>
      </c>
      <c r="V31" s="152">
        <f t="shared" si="2"/>
        <v>0</v>
      </c>
      <c r="W31" s="152">
        <f>V31*(1+$U31)</f>
        <v>0</v>
      </c>
      <c r="X31" s="152">
        <f t="shared" ref="X31:AE32" si="83">W31*(1+$U31)</f>
        <v>0</v>
      </c>
      <c r="Y31" s="152">
        <f t="shared" si="83"/>
        <v>0</v>
      </c>
      <c r="Z31" s="152">
        <f t="shared" si="83"/>
        <v>0</v>
      </c>
      <c r="AA31" s="152">
        <f t="shared" si="83"/>
        <v>0</v>
      </c>
      <c r="AB31" s="152">
        <f t="shared" si="83"/>
        <v>0</v>
      </c>
      <c r="AC31" s="152">
        <f t="shared" si="83"/>
        <v>0</v>
      </c>
      <c r="AD31" s="152">
        <f t="shared" si="83"/>
        <v>0</v>
      </c>
      <c r="AE31" s="152">
        <f t="shared" si="83"/>
        <v>0</v>
      </c>
      <c r="AF31" s="137" t="e">
        <f t="shared" ref="AF31" si="84">((AE31/I31)^(1/($AE$3-$J$1) ))-1</f>
        <v>#DIV/0!</v>
      </c>
      <c r="AG31" s="31">
        <f t="shared" si="16"/>
        <v>0.05</v>
      </c>
      <c r="AH31" s="145">
        <f t="shared" si="1"/>
        <v>0</v>
      </c>
    </row>
    <row r="32" spans="2:34">
      <c r="B32" s="20" t="s">
        <v>329</v>
      </c>
      <c r="C32" s="140"/>
      <c r="D32" s="140"/>
      <c r="E32" s="146"/>
      <c r="F32" s="146"/>
      <c r="G32" s="146">
        <v>0</v>
      </c>
      <c r="H32" s="146">
        <v>0</v>
      </c>
      <c r="I32" s="146">
        <v>0</v>
      </c>
      <c r="J32" s="146">
        <v>0</v>
      </c>
      <c r="K32" s="146">
        <v>0</v>
      </c>
      <c r="L32" s="146">
        <v>0</v>
      </c>
      <c r="M32" s="146">
        <v>0</v>
      </c>
      <c r="N32" s="146">
        <v>0</v>
      </c>
      <c r="O32" s="146">
        <v>0</v>
      </c>
      <c r="P32" s="146">
        <v>0</v>
      </c>
      <c r="Q32" s="146">
        <f>P32</f>
        <v>0</v>
      </c>
      <c r="R32" s="203">
        <v>0</v>
      </c>
      <c r="S32" s="203">
        <v>0</v>
      </c>
      <c r="T32" s="118" t="e">
        <f t="shared" si="22"/>
        <v>#DIV/0!</v>
      </c>
      <c r="U32" s="31">
        <f t="shared" si="6"/>
        <v>0.15</v>
      </c>
      <c r="V32" s="152">
        <f t="shared" si="2"/>
        <v>0</v>
      </c>
      <c r="W32" s="152">
        <f>V32*(1+$U32)</f>
        <v>0</v>
      </c>
      <c r="X32" s="152">
        <f t="shared" si="83"/>
        <v>0</v>
      </c>
      <c r="Y32" s="152">
        <f t="shared" si="83"/>
        <v>0</v>
      </c>
      <c r="Z32" s="152">
        <f t="shared" si="83"/>
        <v>0</v>
      </c>
      <c r="AA32" s="152">
        <f t="shared" si="83"/>
        <v>0</v>
      </c>
      <c r="AB32" s="152">
        <f t="shared" si="83"/>
        <v>0</v>
      </c>
      <c r="AC32" s="152">
        <f t="shared" si="83"/>
        <v>0</v>
      </c>
      <c r="AD32" s="152">
        <f t="shared" si="83"/>
        <v>0</v>
      </c>
      <c r="AE32" s="152">
        <f t="shared" si="83"/>
        <v>0</v>
      </c>
      <c r="AF32" s="137" t="e">
        <f t="shared" ref="AF32" si="85">((AE32/I32)^(1/($AE$3-$J$1) ))-1</f>
        <v>#DIV/0!</v>
      </c>
      <c r="AG32" s="31">
        <f t="shared" si="16"/>
        <v>0.05</v>
      </c>
      <c r="AH32" s="145">
        <f t="shared" si="1"/>
        <v>0</v>
      </c>
    </row>
    <row r="33" spans="1:34">
      <c r="B33" s="20" t="s">
        <v>495</v>
      </c>
      <c r="C33" s="140"/>
      <c r="D33" s="140"/>
      <c r="E33" s="146"/>
      <c r="F33" s="146"/>
      <c r="G33" s="146">
        <v>1301</v>
      </c>
      <c r="H33" s="146">
        <v>1553</v>
      </c>
      <c r="I33" s="146">
        <v>1948</v>
      </c>
      <c r="J33" s="146">
        <v>2910</v>
      </c>
      <c r="K33" s="146">
        <v>3029</v>
      </c>
      <c r="L33" s="146">
        <v>3445</v>
      </c>
      <c r="M33" s="146">
        <v>4416</v>
      </c>
      <c r="N33" s="146">
        <v>5860</v>
      </c>
      <c r="O33" s="146">
        <v>8398</v>
      </c>
      <c r="P33" s="146">
        <v>8181</v>
      </c>
      <c r="Q33" s="146">
        <v>7993</v>
      </c>
      <c r="R33" s="203">
        <v>7090</v>
      </c>
      <c r="S33" s="203">
        <v>5362</v>
      </c>
      <c r="T33" s="118">
        <f t="shared" si="22"/>
        <v>0.12526322570289938</v>
      </c>
      <c r="U33" s="31">
        <f t="shared" si="6"/>
        <v>0.15</v>
      </c>
      <c r="V33" s="152">
        <f t="shared" si="2"/>
        <v>6166.2999999999993</v>
      </c>
      <c r="W33" s="152">
        <f t="shared" si="37"/>
        <v>7091.244999999999</v>
      </c>
      <c r="X33" s="152">
        <f t="shared" si="38"/>
        <v>8154.9317499999979</v>
      </c>
      <c r="Y33" s="152">
        <f t="shared" si="39"/>
        <v>9378.1715124999973</v>
      </c>
      <c r="Z33" s="152">
        <f t="shared" si="40"/>
        <v>10784.897239374995</v>
      </c>
      <c r="AA33" s="152">
        <f t="shared" si="41"/>
        <v>12402.631825281243</v>
      </c>
      <c r="AB33" s="152">
        <f t="shared" si="42"/>
        <v>14263.02659907343</v>
      </c>
      <c r="AC33" s="152">
        <f t="shared" si="43"/>
        <v>16402.480588934442</v>
      </c>
      <c r="AD33" s="152">
        <f t="shared" si="44"/>
        <v>18862.852677274608</v>
      </c>
      <c r="AE33" s="152">
        <f t="shared" si="45"/>
        <v>21692.280578865797</v>
      </c>
      <c r="AF33" s="137">
        <f t="shared" si="18"/>
        <v>0.12161454217680379</v>
      </c>
      <c r="AG33" s="31">
        <f t="shared" si="16"/>
        <v>0.05</v>
      </c>
      <c r="AH33" s="145">
        <f t="shared" si="1"/>
        <v>133981.73298711231</v>
      </c>
    </row>
    <row r="34" spans="1:34">
      <c r="B34" s="20" t="s">
        <v>307</v>
      </c>
      <c r="C34" s="140"/>
      <c r="D34" s="140"/>
      <c r="E34" s="146"/>
      <c r="F34" s="146"/>
      <c r="G34" s="146">
        <v>133</v>
      </c>
      <c r="H34" s="146">
        <v>143</v>
      </c>
      <c r="I34" s="146">
        <v>164</v>
      </c>
      <c r="J34" s="146">
        <v>407</v>
      </c>
      <c r="K34" s="146">
        <v>440</v>
      </c>
      <c r="L34" s="146">
        <v>415</v>
      </c>
      <c r="M34" s="146">
        <v>1088</v>
      </c>
      <c r="N34" s="146">
        <v>1155</v>
      </c>
      <c r="O34" s="146">
        <v>1335</v>
      </c>
      <c r="P34" s="146">
        <v>1471</v>
      </c>
      <c r="Q34" s="146">
        <v>1614</v>
      </c>
      <c r="R34" s="203">
        <v>1607</v>
      </c>
      <c r="S34" s="203">
        <v>1587</v>
      </c>
      <c r="T34" s="118">
        <f t="shared" si="22"/>
        <v>0.22949596317035637</v>
      </c>
      <c r="U34" s="31">
        <f t="shared" si="6"/>
        <v>0.15</v>
      </c>
      <c r="V34" s="152">
        <f t="shared" si="2"/>
        <v>1825.05</v>
      </c>
      <c r="W34" s="152">
        <f t="shared" si="37"/>
        <v>2098.8074999999999</v>
      </c>
      <c r="X34" s="152">
        <f t="shared" si="38"/>
        <v>2413.6286249999998</v>
      </c>
      <c r="Y34" s="152">
        <f t="shared" si="39"/>
        <v>2775.6729187499996</v>
      </c>
      <c r="Z34" s="152">
        <f t="shared" si="40"/>
        <v>3192.0238565624991</v>
      </c>
      <c r="AA34" s="152">
        <f t="shared" si="41"/>
        <v>3670.8274350468737</v>
      </c>
      <c r="AB34" s="152">
        <f t="shared" si="42"/>
        <v>4221.4515503039047</v>
      </c>
      <c r="AC34" s="152">
        <f t="shared" si="43"/>
        <v>4854.6692828494897</v>
      </c>
      <c r="AD34" s="152">
        <f t="shared" si="44"/>
        <v>5582.8696752769129</v>
      </c>
      <c r="AE34" s="152">
        <f t="shared" si="45"/>
        <v>6420.3001265684497</v>
      </c>
      <c r="AF34" s="137">
        <f t="shared" si="18"/>
        <v>0.19081255240830042</v>
      </c>
      <c r="AG34" s="31">
        <f t="shared" si="16"/>
        <v>0.05</v>
      </c>
      <c r="AH34" s="145">
        <f t="shared" si="1"/>
        <v>39654.794899393368</v>
      </c>
    </row>
    <row r="35" spans="1:34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38"/>
      <c r="AG35" s="136"/>
      <c r="AH35" s="152"/>
    </row>
    <row r="36" spans="1:34">
      <c r="A36" s="206" t="s">
        <v>482</v>
      </c>
      <c r="B36" s="200" t="s">
        <v>476</v>
      </c>
      <c r="C36" s="140"/>
      <c r="D36" s="140"/>
      <c r="E36" s="146"/>
      <c r="F36" s="146"/>
      <c r="G36" s="203">
        <f t="shared" ref="G36:H36" si="86">H36</f>
        <v>0</v>
      </c>
      <c r="H36" s="203">
        <f t="shared" si="86"/>
        <v>0</v>
      </c>
      <c r="I36" s="203">
        <f>J36</f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203">
        <v>0</v>
      </c>
      <c r="T36" s="118" t="e">
        <f t="shared" si="22"/>
        <v>#DIV/0!</v>
      </c>
      <c r="U36" s="31">
        <f t="shared" si="6"/>
        <v>0.15</v>
      </c>
      <c r="V36" s="152">
        <f t="shared" ref="V36:V49" si="87">S36*(1+$U36)</f>
        <v>0</v>
      </c>
      <c r="W36" s="152">
        <f t="shared" ref="W36:W49" si="88">V36*(1+$U36)</f>
        <v>0</v>
      </c>
      <c r="X36" s="152">
        <f t="shared" ref="X36:X49" si="89">W36*(1+$U36)</f>
        <v>0</v>
      </c>
      <c r="Y36" s="152">
        <f t="shared" ref="Y36:Y49" si="90">X36*(1+$U36)</f>
        <v>0</v>
      </c>
      <c r="Z36" s="152">
        <f t="shared" ref="Z36:Z49" si="91">Y36*(1+$U36)</f>
        <v>0</v>
      </c>
      <c r="AA36" s="152">
        <f t="shared" ref="AA36:AA49" si="92">Z36*(1+$U36)</f>
        <v>0</v>
      </c>
      <c r="AB36" s="152">
        <f t="shared" ref="AB36:AB49" si="93">AA36*(1+$U36)</f>
        <v>0</v>
      </c>
      <c r="AC36" s="152">
        <f t="shared" ref="AC36:AC49" si="94">AB36*(1+$U36)</f>
        <v>0</v>
      </c>
      <c r="AD36" s="152">
        <f t="shared" ref="AD36:AD49" si="95">AC36*(1+$U36)</f>
        <v>0</v>
      </c>
      <c r="AE36" s="152">
        <f t="shared" ref="AE36:AE49" si="96">AD36*(1+$U36)</f>
        <v>0</v>
      </c>
      <c r="AF36" s="137" t="e">
        <f t="shared" ref="AF36:AF49" si="97">((AE36/I36)^(1/($AE$3-$J$1) ))-1</f>
        <v>#DIV/0!</v>
      </c>
      <c r="AG36" s="31">
        <f t="shared" si="16"/>
        <v>0.05</v>
      </c>
      <c r="AH36" s="145">
        <f t="shared" ref="AH36:AH49" si="98">(AE36*(1+AG36))/($C$1-AG36)</f>
        <v>0</v>
      </c>
    </row>
    <row r="37" spans="1:34">
      <c r="A37" s="206"/>
      <c r="B37" s="200"/>
      <c r="C37" s="140"/>
      <c r="D37" s="140"/>
      <c r="E37" s="146"/>
      <c r="F37" s="146"/>
      <c r="G37" s="149" t="e">
        <f t="shared" ref="G37" si="99">(G36-F36)/F36</f>
        <v>#DIV/0!</v>
      </c>
      <c r="H37" s="149" t="e">
        <f t="shared" ref="H37" si="100">(H36-G36)/G36</f>
        <v>#DIV/0!</v>
      </c>
      <c r="I37" s="149" t="e">
        <f t="shared" ref="I37" si="101">(I36-H36)/H36</f>
        <v>#DIV/0!</v>
      </c>
      <c r="J37" s="149" t="e">
        <f t="shared" ref="J37" si="102">(J36-I36)/I36</f>
        <v>#DIV/0!</v>
      </c>
      <c r="K37" s="149" t="e">
        <f t="shared" ref="K37" si="103">(K36-J36)/J36</f>
        <v>#DIV/0!</v>
      </c>
      <c r="L37" s="149" t="e">
        <f t="shared" ref="L37" si="104">(L36-K36)/K36</f>
        <v>#DIV/0!</v>
      </c>
      <c r="M37" s="149" t="e">
        <f t="shared" ref="M37" si="105">(M36-L36)/L36</f>
        <v>#DIV/0!</v>
      </c>
      <c r="N37" s="149" t="e">
        <f t="shared" ref="N37" si="106">(N36-M36)/M36</f>
        <v>#DIV/0!</v>
      </c>
      <c r="O37" s="149" t="e">
        <f t="shared" ref="O37" si="107">(O36-N36)/N36</f>
        <v>#DIV/0!</v>
      </c>
      <c r="P37" s="149" t="e">
        <f t="shared" ref="P37" si="108">(P36-O36)/O36</f>
        <v>#DIV/0!</v>
      </c>
      <c r="Q37" s="149" t="e">
        <f t="shared" ref="Q37" si="109">(Q36-P36)/P36</f>
        <v>#DIV/0!</v>
      </c>
      <c r="R37" s="149" t="e">
        <f t="shared" ref="R37:S37" si="110">(R36-Q36)/Q36</f>
        <v>#DIV/0!</v>
      </c>
      <c r="S37" s="149" t="e">
        <f t="shared" si="110"/>
        <v>#DIV/0!</v>
      </c>
      <c r="T37" s="128"/>
      <c r="U37" s="20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45"/>
    </row>
    <row r="38" spans="1:34">
      <c r="A38" s="206"/>
      <c r="B38" s="200" t="s">
        <v>477</v>
      </c>
      <c r="C38" s="140"/>
      <c r="D38" s="140"/>
      <c r="E38" s="146"/>
      <c r="F38" s="146"/>
      <c r="G38" s="203">
        <f t="shared" ref="G38:H38" si="111">H38</f>
        <v>0</v>
      </c>
      <c r="H38" s="203">
        <f t="shared" si="111"/>
        <v>0</v>
      </c>
      <c r="I38" s="203">
        <f>J38</f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203">
        <v>0</v>
      </c>
      <c r="T38" s="118" t="e">
        <f t="shared" si="22"/>
        <v>#DIV/0!</v>
      </c>
      <c r="U38" s="31">
        <f t="shared" si="6"/>
        <v>0.15</v>
      </c>
      <c r="V38" s="152">
        <f t="shared" si="87"/>
        <v>0</v>
      </c>
      <c r="W38" s="152">
        <f t="shared" si="88"/>
        <v>0</v>
      </c>
      <c r="X38" s="152">
        <f t="shared" si="89"/>
        <v>0</v>
      </c>
      <c r="Y38" s="152">
        <f t="shared" si="90"/>
        <v>0</v>
      </c>
      <c r="Z38" s="152">
        <f t="shared" si="91"/>
        <v>0</v>
      </c>
      <c r="AA38" s="152">
        <f t="shared" si="92"/>
        <v>0</v>
      </c>
      <c r="AB38" s="152">
        <f t="shared" si="93"/>
        <v>0</v>
      </c>
      <c r="AC38" s="152">
        <f t="shared" si="94"/>
        <v>0</v>
      </c>
      <c r="AD38" s="152">
        <f t="shared" si="95"/>
        <v>0</v>
      </c>
      <c r="AE38" s="152">
        <f t="shared" si="96"/>
        <v>0</v>
      </c>
      <c r="AF38" s="137" t="e">
        <f t="shared" si="97"/>
        <v>#DIV/0!</v>
      </c>
      <c r="AG38" s="31">
        <f t="shared" si="16"/>
        <v>0.05</v>
      </c>
      <c r="AH38" s="145">
        <f t="shared" si="98"/>
        <v>0</v>
      </c>
    </row>
    <row r="39" spans="1:34">
      <c r="A39" s="206"/>
      <c r="B39" s="200"/>
      <c r="C39" s="140"/>
      <c r="D39" s="140"/>
      <c r="E39" s="146"/>
      <c r="F39" s="146"/>
      <c r="G39" s="149" t="e">
        <f t="shared" ref="G39" si="112">(G38-F38)/F38</f>
        <v>#DIV/0!</v>
      </c>
      <c r="H39" s="149" t="e">
        <f t="shared" ref="H39" si="113">(H38-G38)/G38</f>
        <v>#DIV/0!</v>
      </c>
      <c r="I39" s="149" t="e">
        <f t="shared" ref="I39" si="114">(I38-H38)/H38</f>
        <v>#DIV/0!</v>
      </c>
      <c r="J39" s="149" t="e">
        <f t="shared" ref="J39" si="115">(J38-I38)/I38</f>
        <v>#DIV/0!</v>
      </c>
      <c r="K39" s="149" t="e">
        <f t="shared" ref="K39" si="116">(K38-J38)/J38</f>
        <v>#DIV/0!</v>
      </c>
      <c r="L39" s="149" t="e">
        <f t="shared" ref="L39" si="117">(L38-K38)/K38</f>
        <v>#DIV/0!</v>
      </c>
      <c r="M39" s="149" t="e">
        <f t="shared" ref="M39" si="118">(M38-L38)/L38</f>
        <v>#DIV/0!</v>
      </c>
      <c r="N39" s="149" t="e">
        <f t="shared" ref="N39" si="119">(N38-M38)/M38</f>
        <v>#DIV/0!</v>
      </c>
      <c r="O39" s="149" t="e">
        <f t="shared" ref="O39" si="120">(O38-N38)/N38</f>
        <v>#DIV/0!</v>
      </c>
      <c r="P39" s="149" t="e">
        <f t="shared" ref="P39" si="121">(P38-O38)/O38</f>
        <v>#DIV/0!</v>
      </c>
      <c r="Q39" s="149" t="e">
        <f t="shared" ref="Q39" si="122">(Q38-P38)/P38</f>
        <v>#DIV/0!</v>
      </c>
      <c r="R39" s="149" t="e">
        <f t="shared" ref="R39:S39" si="123">(R38-Q38)/Q38</f>
        <v>#DIV/0!</v>
      </c>
      <c r="S39" s="149" t="e">
        <f t="shared" si="123"/>
        <v>#DIV/0!</v>
      </c>
      <c r="T39" s="128"/>
      <c r="U39" s="20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45"/>
    </row>
    <row r="40" spans="1:34">
      <c r="A40" s="206"/>
      <c r="B40" s="200" t="s">
        <v>481</v>
      </c>
      <c r="C40" s="140"/>
      <c r="D40" s="140"/>
      <c r="E40" s="146"/>
      <c r="F40" s="146"/>
      <c r="G40" s="203">
        <f t="shared" ref="G40:H40" si="124">H40</f>
        <v>0</v>
      </c>
      <c r="H40" s="203">
        <f t="shared" si="124"/>
        <v>0</v>
      </c>
      <c r="I40" s="203">
        <f>J40</f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203">
        <v>0</v>
      </c>
      <c r="T40" s="118" t="e">
        <f t="shared" si="22"/>
        <v>#DIV/0!</v>
      </c>
      <c r="U40" s="31">
        <f t="shared" si="6"/>
        <v>0.15</v>
      </c>
      <c r="V40" s="152">
        <f t="shared" si="87"/>
        <v>0</v>
      </c>
      <c r="W40" s="152">
        <f t="shared" si="88"/>
        <v>0</v>
      </c>
      <c r="X40" s="152">
        <f t="shared" si="89"/>
        <v>0</v>
      </c>
      <c r="Y40" s="152">
        <f t="shared" si="90"/>
        <v>0</v>
      </c>
      <c r="Z40" s="152">
        <f t="shared" si="91"/>
        <v>0</v>
      </c>
      <c r="AA40" s="152">
        <f t="shared" si="92"/>
        <v>0</v>
      </c>
      <c r="AB40" s="152">
        <f t="shared" si="93"/>
        <v>0</v>
      </c>
      <c r="AC40" s="152">
        <f t="shared" si="94"/>
        <v>0</v>
      </c>
      <c r="AD40" s="152">
        <f t="shared" si="95"/>
        <v>0</v>
      </c>
      <c r="AE40" s="152">
        <f t="shared" si="96"/>
        <v>0</v>
      </c>
      <c r="AF40" s="137" t="e">
        <f t="shared" si="97"/>
        <v>#DIV/0!</v>
      </c>
      <c r="AG40" s="31">
        <f t="shared" si="16"/>
        <v>0.05</v>
      </c>
      <c r="AH40" s="145">
        <f t="shared" si="98"/>
        <v>0</v>
      </c>
    </row>
    <row r="41" spans="1:34">
      <c r="A41" s="206"/>
      <c r="B41" s="200" t="s">
        <v>478</v>
      </c>
      <c r="C41" s="140"/>
      <c r="D41" s="140"/>
      <c r="E41" s="146"/>
      <c r="F41" s="146"/>
      <c r="G41" s="203">
        <f t="shared" ref="G41:H41" si="125">H41</f>
        <v>0</v>
      </c>
      <c r="H41" s="203">
        <f t="shared" si="125"/>
        <v>0</v>
      </c>
      <c r="I41" s="203">
        <f>J41</f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203">
        <v>0</v>
      </c>
      <c r="S41" s="203">
        <v>0</v>
      </c>
      <c r="T41" s="118" t="e">
        <f t="shared" si="22"/>
        <v>#DIV/0!</v>
      </c>
      <c r="U41" s="31">
        <f t="shared" si="6"/>
        <v>0.15</v>
      </c>
      <c r="V41" s="152">
        <f t="shared" si="87"/>
        <v>0</v>
      </c>
      <c r="W41" s="152">
        <f t="shared" si="88"/>
        <v>0</v>
      </c>
      <c r="X41" s="152">
        <f t="shared" si="89"/>
        <v>0</v>
      </c>
      <c r="Y41" s="152">
        <f t="shared" si="90"/>
        <v>0</v>
      </c>
      <c r="Z41" s="152">
        <f t="shared" si="91"/>
        <v>0</v>
      </c>
      <c r="AA41" s="152">
        <f t="shared" si="92"/>
        <v>0</v>
      </c>
      <c r="AB41" s="152">
        <f t="shared" si="93"/>
        <v>0</v>
      </c>
      <c r="AC41" s="152">
        <f t="shared" si="94"/>
        <v>0</v>
      </c>
      <c r="AD41" s="152">
        <f t="shared" si="95"/>
        <v>0</v>
      </c>
      <c r="AE41" s="152">
        <f t="shared" si="96"/>
        <v>0</v>
      </c>
      <c r="AF41" s="137" t="e">
        <f t="shared" si="97"/>
        <v>#DIV/0!</v>
      </c>
      <c r="AG41" s="31">
        <f t="shared" si="16"/>
        <v>0.05</v>
      </c>
      <c r="AH41" s="145">
        <f t="shared" si="98"/>
        <v>0</v>
      </c>
    </row>
    <row r="42" spans="1:34">
      <c r="A42" s="206"/>
      <c r="B42" s="200" t="s">
        <v>480</v>
      </c>
      <c r="C42" s="140"/>
      <c r="D42" s="140"/>
      <c r="E42" s="146"/>
      <c r="F42" s="146"/>
      <c r="G42" s="203">
        <f t="shared" ref="G42:H42" si="126">H42</f>
        <v>0</v>
      </c>
      <c r="H42" s="203">
        <f t="shared" si="126"/>
        <v>0</v>
      </c>
      <c r="I42" s="203">
        <f>J42</f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203">
        <v>0</v>
      </c>
      <c r="S42" s="203">
        <v>0</v>
      </c>
      <c r="T42" s="118" t="e">
        <f t="shared" si="22"/>
        <v>#DIV/0!</v>
      </c>
      <c r="U42" s="31">
        <f t="shared" si="6"/>
        <v>0.15</v>
      </c>
      <c r="V42" s="152">
        <f t="shared" si="87"/>
        <v>0</v>
      </c>
      <c r="W42" s="152">
        <f t="shared" si="88"/>
        <v>0</v>
      </c>
      <c r="X42" s="152">
        <f t="shared" si="89"/>
        <v>0</v>
      </c>
      <c r="Y42" s="152">
        <f t="shared" si="90"/>
        <v>0</v>
      </c>
      <c r="Z42" s="152">
        <f t="shared" si="91"/>
        <v>0</v>
      </c>
      <c r="AA42" s="152">
        <f t="shared" si="92"/>
        <v>0</v>
      </c>
      <c r="AB42" s="152">
        <f t="shared" si="93"/>
        <v>0</v>
      </c>
      <c r="AC42" s="152">
        <f t="shared" si="94"/>
        <v>0</v>
      </c>
      <c r="AD42" s="152">
        <f t="shared" si="95"/>
        <v>0</v>
      </c>
      <c r="AE42" s="152">
        <f t="shared" si="96"/>
        <v>0</v>
      </c>
      <c r="AF42" s="137" t="e">
        <f t="shared" si="97"/>
        <v>#DIV/0!</v>
      </c>
      <c r="AG42" s="31">
        <f t="shared" si="16"/>
        <v>0.05</v>
      </c>
      <c r="AH42" s="145">
        <f t="shared" si="98"/>
        <v>0</v>
      </c>
    </row>
    <row r="43" spans="1:34">
      <c r="A43" s="206"/>
      <c r="B43" s="200" t="s">
        <v>479</v>
      </c>
      <c r="C43" s="140"/>
      <c r="D43" s="140"/>
      <c r="E43" s="146"/>
      <c r="F43" s="146"/>
      <c r="G43" s="203">
        <f t="shared" ref="G43:H43" si="127">H43</f>
        <v>0</v>
      </c>
      <c r="H43" s="203">
        <f t="shared" si="127"/>
        <v>0</v>
      </c>
      <c r="I43" s="203">
        <f>J43</f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203">
        <v>0</v>
      </c>
      <c r="T43" s="118" t="e">
        <f t="shared" si="22"/>
        <v>#DIV/0!</v>
      </c>
      <c r="U43" s="31">
        <f t="shared" si="6"/>
        <v>0.15</v>
      </c>
      <c r="V43" s="152">
        <f t="shared" si="87"/>
        <v>0</v>
      </c>
      <c r="W43" s="152">
        <f t="shared" si="88"/>
        <v>0</v>
      </c>
      <c r="X43" s="152">
        <f t="shared" si="89"/>
        <v>0</v>
      </c>
      <c r="Y43" s="152">
        <f t="shared" si="90"/>
        <v>0</v>
      </c>
      <c r="Z43" s="152">
        <f t="shared" si="91"/>
        <v>0</v>
      </c>
      <c r="AA43" s="152">
        <f t="shared" si="92"/>
        <v>0</v>
      </c>
      <c r="AB43" s="152">
        <f t="shared" si="93"/>
        <v>0</v>
      </c>
      <c r="AC43" s="152">
        <f t="shared" si="94"/>
        <v>0</v>
      </c>
      <c r="AD43" s="152">
        <f t="shared" si="95"/>
        <v>0</v>
      </c>
      <c r="AE43" s="152">
        <f t="shared" si="96"/>
        <v>0</v>
      </c>
      <c r="AF43" s="137" t="e">
        <f t="shared" si="97"/>
        <v>#DIV/0!</v>
      </c>
      <c r="AG43" s="31">
        <f t="shared" si="16"/>
        <v>0.05</v>
      </c>
      <c r="AH43" s="145">
        <f t="shared" si="98"/>
        <v>0</v>
      </c>
    </row>
    <row r="44" spans="1:34">
      <c r="A44" s="206"/>
      <c r="B44" s="200"/>
      <c r="C44" s="140"/>
      <c r="D44" s="140"/>
      <c r="E44" s="146"/>
      <c r="F44" s="146"/>
      <c r="G44" s="149" t="e">
        <f t="shared" ref="G44" si="128">(G43-F43)/F43</f>
        <v>#DIV/0!</v>
      </c>
      <c r="H44" s="149" t="e">
        <f t="shared" ref="H44" si="129">(H43-G43)/G43</f>
        <v>#DIV/0!</v>
      </c>
      <c r="I44" s="149" t="e">
        <f t="shared" ref="I44" si="130">(I43-H43)/H43</f>
        <v>#DIV/0!</v>
      </c>
      <c r="J44" s="149" t="e">
        <f t="shared" ref="J44" si="131">(J43-I43)/I43</f>
        <v>#DIV/0!</v>
      </c>
      <c r="K44" s="149" t="e">
        <f t="shared" ref="K44" si="132">(K43-J43)/J43</f>
        <v>#DIV/0!</v>
      </c>
      <c r="L44" s="149" t="e">
        <f t="shared" ref="L44" si="133">(L43-K43)/K43</f>
        <v>#DIV/0!</v>
      </c>
      <c r="M44" s="149" t="e">
        <f t="shared" ref="M44" si="134">(M43-L43)/L43</f>
        <v>#DIV/0!</v>
      </c>
      <c r="N44" s="149" t="e">
        <f t="shared" ref="N44" si="135">(N43-M43)/M43</f>
        <v>#DIV/0!</v>
      </c>
      <c r="O44" s="149" t="e">
        <f t="shared" ref="O44" si="136">(O43-N43)/N43</f>
        <v>#DIV/0!</v>
      </c>
      <c r="P44" s="149" t="e">
        <f t="shared" ref="P44" si="137">(P43-O43)/O43</f>
        <v>#DIV/0!</v>
      </c>
      <c r="Q44" s="149" t="e">
        <f t="shared" ref="Q44" si="138">(Q43-P43)/P43</f>
        <v>#DIV/0!</v>
      </c>
      <c r="R44" s="149" t="e">
        <f t="shared" ref="R44:S44" si="139">(R43-Q43)/Q43</f>
        <v>#DIV/0!</v>
      </c>
      <c r="S44" s="149" t="e">
        <f t="shared" si="139"/>
        <v>#DIV/0!</v>
      </c>
      <c r="T44" s="128"/>
      <c r="U44" s="20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45"/>
    </row>
    <row r="45" spans="1:34">
      <c r="A45" s="206"/>
      <c r="B45" s="200" t="s">
        <v>218</v>
      </c>
      <c r="C45" s="140"/>
      <c r="D45" s="140"/>
      <c r="E45" s="146"/>
      <c r="F45" s="146"/>
      <c r="G45" s="203">
        <f t="shared" ref="G45:H45" si="140">H45</f>
        <v>0</v>
      </c>
      <c r="H45" s="203">
        <f t="shared" si="140"/>
        <v>0</v>
      </c>
      <c r="I45" s="203">
        <f>J45</f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203">
        <v>0</v>
      </c>
      <c r="T45" s="118" t="e">
        <f t="shared" si="22"/>
        <v>#DIV/0!</v>
      </c>
      <c r="U45" s="31">
        <f t="shared" si="6"/>
        <v>0.15</v>
      </c>
      <c r="V45" s="152">
        <f t="shared" si="87"/>
        <v>0</v>
      </c>
      <c r="W45" s="152">
        <f t="shared" si="88"/>
        <v>0</v>
      </c>
      <c r="X45" s="152">
        <f t="shared" si="89"/>
        <v>0</v>
      </c>
      <c r="Y45" s="152">
        <f t="shared" si="90"/>
        <v>0</v>
      </c>
      <c r="Z45" s="152">
        <f t="shared" si="91"/>
        <v>0</v>
      </c>
      <c r="AA45" s="152">
        <f t="shared" si="92"/>
        <v>0</v>
      </c>
      <c r="AB45" s="152">
        <f t="shared" si="93"/>
        <v>0</v>
      </c>
      <c r="AC45" s="152">
        <f t="shared" si="94"/>
        <v>0</v>
      </c>
      <c r="AD45" s="152">
        <f t="shared" si="95"/>
        <v>0</v>
      </c>
      <c r="AE45" s="152">
        <f t="shared" si="96"/>
        <v>0</v>
      </c>
      <c r="AF45" s="137" t="e">
        <f t="shared" si="97"/>
        <v>#DIV/0!</v>
      </c>
      <c r="AG45" s="31">
        <f t="shared" si="16"/>
        <v>0.05</v>
      </c>
      <c r="AH45" s="145">
        <f t="shared" si="98"/>
        <v>0</v>
      </c>
    </row>
    <row r="46" spans="1:34">
      <c r="A46" s="201"/>
      <c r="B46" s="200"/>
      <c r="C46" s="140"/>
      <c r="D46" s="140"/>
      <c r="E46" s="146"/>
      <c r="F46" s="146"/>
      <c r="G46" s="149" t="e">
        <f t="shared" ref="G46" si="141">(G45-F45)/F45</f>
        <v>#DIV/0!</v>
      </c>
      <c r="H46" s="149" t="e">
        <f t="shared" ref="H46" si="142">(H45-G45)/G45</f>
        <v>#DIV/0!</v>
      </c>
      <c r="I46" s="149" t="e">
        <f t="shared" ref="I46" si="143">(I45-H45)/H45</f>
        <v>#DIV/0!</v>
      </c>
      <c r="J46" s="149" t="e">
        <f t="shared" ref="J46" si="144">(J45-I45)/I45</f>
        <v>#DIV/0!</v>
      </c>
      <c r="K46" s="149" t="e">
        <f t="shared" ref="K46" si="145">(K45-J45)/J45</f>
        <v>#DIV/0!</v>
      </c>
      <c r="L46" s="149" t="e">
        <f t="shared" ref="L46" si="146">(L45-K45)/K45</f>
        <v>#DIV/0!</v>
      </c>
      <c r="M46" s="149" t="e">
        <f t="shared" ref="M46" si="147">(M45-L45)/L45</f>
        <v>#DIV/0!</v>
      </c>
      <c r="N46" s="149" t="e">
        <f t="shared" ref="N46" si="148">(N45-M45)/M45</f>
        <v>#DIV/0!</v>
      </c>
      <c r="O46" s="149" t="e">
        <f t="shared" ref="O46" si="149">(O45-N45)/N45</f>
        <v>#DIV/0!</v>
      </c>
      <c r="P46" s="149" t="e">
        <f t="shared" ref="P46" si="150">(P45-O45)/O45</f>
        <v>#DIV/0!</v>
      </c>
      <c r="Q46" s="149" t="e">
        <f t="shared" ref="Q46" si="151">(Q45-P45)/P45</f>
        <v>#DIV/0!</v>
      </c>
      <c r="R46" s="149" t="e">
        <f t="shared" ref="R46:S46" si="152">(R45-Q45)/Q45</f>
        <v>#DIV/0!</v>
      </c>
      <c r="S46" s="149" t="e">
        <f t="shared" si="152"/>
        <v>#DIV/0!</v>
      </c>
      <c r="T46" s="128"/>
      <c r="U46" s="20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45"/>
    </row>
    <row r="47" spans="1:34">
      <c r="A47" s="201"/>
      <c r="B47" s="200" t="s">
        <v>492</v>
      </c>
      <c r="C47" s="140"/>
      <c r="D47" s="140"/>
      <c r="E47" s="146"/>
      <c r="F47" s="146"/>
      <c r="G47" s="203">
        <f t="shared" ref="G47:H47" si="153">H47</f>
        <v>0</v>
      </c>
      <c r="H47" s="203">
        <f t="shared" si="153"/>
        <v>0</v>
      </c>
      <c r="I47" s="203">
        <f>J47</f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203">
        <v>0</v>
      </c>
      <c r="T47" s="118" t="e">
        <f t="shared" si="22"/>
        <v>#DIV/0!</v>
      </c>
      <c r="U47" s="31">
        <f t="shared" si="6"/>
        <v>0.15</v>
      </c>
      <c r="V47" s="152">
        <f t="shared" ref="V47" si="154">S47*(1+$U47)</f>
        <v>0</v>
      </c>
      <c r="W47" s="152">
        <f t="shared" ref="W47" si="155">V47*(1+$U47)</f>
        <v>0</v>
      </c>
      <c r="X47" s="152">
        <f t="shared" ref="X47" si="156">W47*(1+$U47)</f>
        <v>0</v>
      </c>
      <c r="Y47" s="152">
        <f t="shared" ref="Y47" si="157">X47*(1+$U47)</f>
        <v>0</v>
      </c>
      <c r="Z47" s="152">
        <f t="shared" ref="Z47" si="158">Y47*(1+$U47)</f>
        <v>0</v>
      </c>
      <c r="AA47" s="152">
        <f t="shared" ref="AA47" si="159">Z47*(1+$U47)</f>
        <v>0</v>
      </c>
      <c r="AB47" s="152">
        <f t="shared" ref="AB47" si="160">AA47*(1+$U47)</f>
        <v>0</v>
      </c>
      <c r="AC47" s="152">
        <f t="shared" ref="AC47" si="161">AB47*(1+$U47)</f>
        <v>0</v>
      </c>
      <c r="AD47" s="152">
        <f t="shared" ref="AD47" si="162">AC47*(1+$U47)</f>
        <v>0</v>
      </c>
      <c r="AE47" s="152">
        <f t="shared" ref="AE47" si="163">AD47*(1+$U47)</f>
        <v>0</v>
      </c>
      <c r="AF47" s="137" t="e">
        <f t="shared" ref="AF47" si="164">((AE47/I47)^(1/($AE$3-$J$1) ))-1</f>
        <v>#DIV/0!</v>
      </c>
      <c r="AG47" s="31">
        <f t="shared" si="16"/>
        <v>0.05</v>
      </c>
      <c r="AH47" s="145">
        <f t="shared" si="98"/>
        <v>0</v>
      </c>
    </row>
    <row r="48" spans="1:34">
      <c r="A48" s="201"/>
      <c r="B48" s="200"/>
      <c r="C48" s="140"/>
      <c r="D48" s="140"/>
      <c r="E48" s="146"/>
      <c r="F48" s="146"/>
      <c r="G48" s="149" t="e">
        <f t="shared" ref="G48" si="165">(G47-F47)/F47</f>
        <v>#DIV/0!</v>
      </c>
      <c r="H48" s="149" t="e">
        <f t="shared" ref="H48" si="166">(H47-G47)/G47</f>
        <v>#DIV/0!</v>
      </c>
      <c r="I48" s="149" t="e">
        <f t="shared" ref="I48" si="167">(I47-H47)/H47</f>
        <v>#DIV/0!</v>
      </c>
      <c r="J48" s="149" t="e">
        <f t="shared" ref="J48" si="168">(J47-I47)/I47</f>
        <v>#DIV/0!</v>
      </c>
      <c r="K48" s="149" t="e">
        <f t="shared" ref="K48" si="169">(K47-J47)/J47</f>
        <v>#DIV/0!</v>
      </c>
      <c r="L48" s="149" t="e">
        <f t="shared" ref="L48" si="170">(L47-K47)/K47</f>
        <v>#DIV/0!</v>
      </c>
      <c r="M48" s="149" t="e">
        <f t="shared" ref="M48" si="171">(M47-L47)/L47</f>
        <v>#DIV/0!</v>
      </c>
      <c r="N48" s="149" t="e">
        <f t="shared" ref="N48" si="172">(N47-M47)/M47</f>
        <v>#DIV/0!</v>
      </c>
      <c r="O48" s="149" t="e">
        <f t="shared" ref="O48" si="173">(O47-N47)/N47</f>
        <v>#DIV/0!</v>
      </c>
      <c r="P48" s="149" t="e">
        <f t="shared" ref="P48" si="174">(P47-O47)/O47</f>
        <v>#DIV/0!</v>
      </c>
      <c r="Q48" s="149" t="e">
        <f t="shared" ref="Q48" si="175">(Q47-P47)/P47</f>
        <v>#DIV/0!</v>
      </c>
      <c r="R48" s="149" t="e">
        <f t="shared" ref="R48:S48" si="176">(R47-Q47)/Q47</f>
        <v>#DIV/0!</v>
      </c>
      <c r="S48" s="149" t="e">
        <f t="shared" si="176"/>
        <v>#DIV/0!</v>
      </c>
      <c r="T48" s="128"/>
      <c r="U48" s="20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45"/>
    </row>
    <row r="49" spans="1:34">
      <c r="A49" s="201"/>
      <c r="B49" s="200" t="s">
        <v>483</v>
      </c>
      <c r="C49" s="140"/>
      <c r="D49" s="140"/>
      <c r="E49" s="146"/>
      <c r="F49" s="146"/>
      <c r="G49" s="203">
        <f t="shared" ref="G49:H49" si="177">H49</f>
        <v>0</v>
      </c>
      <c r="H49" s="203">
        <f t="shared" si="177"/>
        <v>0</v>
      </c>
      <c r="I49" s="203">
        <f>J49</f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203">
        <v>0</v>
      </c>
      <c r="T49" s="118" t="e">
        <f t="shared" si="22"/>
        <v>#DIV/0!</v>
      </c>
      <c r="U49" s="31">
        <f t="shared" si="6"/>
        <v>0.15</v>
      </c>
      <c r="V49" s="152">
        <f t="shared" si="87"/>
        <v>0</v>
      </c>
      <c r="W49" s="152">
        <f t="shared" si="88"/>
        <v>0</v>
      </c>
      <c r="X49" s="152">
        <f t="shared" si="89"/>
        <v>0</v>
      </c>
      <c r="Y49" s="152">
        <f t="shared" si="90"/>
        <v>0</v>
      </c>
      <c r="Z49" s="152">
        <f t="shared" si="91"/>
        <v>0</v>
      </c>
      <c r="AA49" s="152">
        <f t="shared" si="92"/>
        <v>0</v>
      </c>
      <c r="AB49" s="152">
        <f t="shared" si="93"/>
        <v>0</v>
      </c>
      <c r="AC49" s="152">
        <f t="shared" si="94"/>
        <v>0</v>
      </c>
      <c r="AD49" s="152">
        <f t="shared" si="95"/>
        <v>0</v>
      </c>
      <c r="AE49" s="152">
        <f t="shared" si="96"/>
        <v>0</v>
      </c>
      <c r="AF49" s="137" t="e">
        <f t="shared" si="97"/>
        <v>#DIV/0!</v>
      </c>
      <c r="AG49" s="31">
        <f t="shared" si="16"/>
        <v>0.05</v>
      </c>
      <c r="AH49" s="145">
        <f t="shared" si="98"/>
        <v>0</v>
      </c>
    </row>
    <row r="50" spans="1:34">
      <c r="B50" s="20"/>
      <c r="C50" s="140"/>
      <c r="D50" s="140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28"/>
      <c r="U50" s="20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38"/>
      <c r="AG50" s="136"/>
      <c r="AH50" s="152"/>
    </row>
    <row r="51" spans="1:34">
      <c r="B51" s="20" t="s">
        <v>278</v>
      </c>
      <c r="C51" s="140"/>
      <c r="D51" s="140"/>
      <c r="E51" s="146"/>
      <c r="F51" s="146"/>
      <c r="G51" s="146">
        <v>175</v>
      </c>
      <c r="H51" s="146">
        <v>161</v>
      </c>
      <c r="I51" s="146">
        <v>231</v>
      </c>
      <c r="J51" s="146">
        <v>402</v>
      </c>
      <c r="K51" s="146">
        <v>624</v>
      </c>
      <c r="L51" s="146">
        <v>456</v>
      </c>
      <c r="M51" s="146">
        <v>1247</v>
      </c>
      <c r="N51" s="146">
        <v>978</v>
      </c>
      <c r="O51" s="146">
        <v>1167</v>
      </c>
      <c r="P51" s="146">
        <v>1456</v>
      </c>
      <c r="Q51" s="146">
        <v>1875</v>
      </c>
      <c r="R51" s="203">
        <v>1930</v>
      </c>
      <c r="S51" s="203">
        <v>1522</v>
      </c>
      <c r="T51" s="118">
        <f t="shared" si="22"/>
        <v>0.19751616245351533</v>
      </c>
      <c r="U51" s="31">
        <f t="shared" si="6"/>
        <v>0.15</v>
      </c>
      <c r="V51" s="152">
        <f t="shared" si="2"/>
        <v>1750.3</v>
      </c>
      <c r="W51" s="152">
        <f t="shared" ref="W51" si="178">V51*(1+$U51)</f>
        <v>2012.8449999999998</v>
      </c>
      <c r="X51" s="152">
        <f t="shared" ref="X51" si="179">W51*(1+$U51)</f>
        <v>2314.7717499999994</v>
      </c>
      <c r="Y51" s="152">
        <f t="shared" ref="Y51" si="180">X51*(1+$U51)</f>
        <v>2661.987512499999</v>
      </c>
      <c r="Z51" s="152">
        <f t="shared" si="40"/>
        <v>3061.2856393749985</v>
      </c>
      <c r="AA51" s="152">
        <f t="shared" si="41"/>
        <v>3520.4784852812481</v>
      </c>
      <c r="AB51" s="152">
        <f t="shared" si="42"/>
        <v>4048.5502580734351</v>
      </c>
      <c r="AC51" s="152">
        <f t="shared" si="43"/>
        <v>4655.8327967844498</v>
      </c>
      <c r="AD51" s="152">
        <f t="shared" si="44"/>
        <v>5354.2077163021168</v>
      </c>
      <c r="AE51" s="152">
        <f t="shared" si="45"/>
        <v>6157.3388737474334</v>
      </c>
      <c r="AF51" s="137">
        <f t="shared" si="18"/>
        <v>0.16921488859280021</v>
      </c>
      <c r="AG51" s="31">
        <f t="shared" si="16"/>
        <v>0.05</v>
      </c>
      <c r="AH51" s="145">
        <f t="shared" si="1"/>
        <v>38030.622455498858</v>
      </c>
    </row>
    <row r="52" spans="1:34" s="123" customFormat="1">
      <c r="B52" s="23"/>
      <c r="C52" s="147"/>
      <c r="D52" s="147"/>
      <c r="E52" s="148"/>
      <c r="F52" s="148"/>
      <c r="G52" s="205">
        <f t="shared" ref="G52:Q52" si="181">(G51-F51)/G51</f>
        <v>1</v>
      </c>
      <c r="H52" s="205">
        <f t="shared" si="181"/>
        <v>-8.6956521739130432E-2</v>
      </c>
      <c r="I52" s="205">
        <f t="shared" si="181"/>
        <v>0.30303030303030304</v>
      </c>
      <c r="J52" s="205">
        <f t="shared" si="181"/>
        <v>0.42537313432835822</v>
      </c>
      <c r="K52" s="205">
        <f t="shared" si="181"/>
        <v>0.35576923076923078</v>
      </c>
      <c r="L52" s="205">
        <f t="shared" si="181"/>
        <v>-0.36842105263157893</v>
      </c>
      <c r="M52" s="205">
        <f t="shared" si="181"/>
        <v>0.6343223736968725</v>
      </c>
      <c r="N52" s="205">
        <f t="shared" si="181"/>
        <v>-0.27505112474437626</v>
      </c>
      <c r="O52" s="205">
        <f t="shared" si="181"/>
        <v>0.16195372750642673</v>
      </c>
      <c r="P52" s="205">
        <f t="shared" si="181"/>
        <v>0.19848901098901098</v>
      </c>
      <c r="Q52" s="205">
        <f t="shared" si="181"/>
        <v>0.22346666666666667</v>
      </c>
      <c r="R52" s="149">
        <f t="shared" ref="R52:S52" si="182">(R51-Q51)/Q51</f>
        <v>2.9333333333333333E-2</v>
      </c>
      <c r="S52" s="149">
        <f t="shared" si="182"/>
        <v>-0.21139896373056996</v>
      </c>
      <c r="T52" s="128"/>
      <c r="U52" s="20"/>
      <c r="V52" s="152"/>
      <c r="W52" s="153"/>
      <c r="X52" s="153"/>
      <c r="Y52" s="153"/>
      <c r="Z52" s="153"/>
      <c r="AA52" s="153"/>
      <c r="AB52" s="153"/>
      <c r="AC52" s="153"/>
      <c r="AD52" s="153"/>
      <c r="AE52" s="153"/>
      <c r="AF52" s="138"/>
      <c r="AG52" s="136"/>
      <c r="AH52" s="154"/>
    </row>
    <row r="53" spans="1:34" s="123" customFormat="1">
      <c r="B53" s="20" t="s">
        <v>398</v>
      </c>
      <c r="C53" s="147"/>
      <c r="D53" s="147"/>
      <c r="E53" s="148"/>
      <c r="F53" s="148"/>
      <c r="G53" s="146">
        <v>105</v>
      </c>
      <c r="H53" s="146">
        <v>83</v>
      </c>
      <c r="I53" s="146">
        <v>122</v>
      </c>
      <c r="J53" s="146">
        <v>196</v>
      </c>
      <c r="K53" s="146">
        <v>406</v>
      </c>
      <c r="L53" s="146">
        <v>203</v>
      </c>
      <c r="M53" s="146">
        <v>904</v>
      </c>
      <c r="N53" s="146">
        <v>548</v>
      </c>
      <c r="O53" s="146">
        <v>556</v>
      </c>
      <c r="P53" s="146">
        <v>858</v>
      </c>
      <c r="Q53" s="146">
        <v>1232</v>
      </c>
      <c r="R53" s="203">
        <v>1330</v>
      </c>
      <c r="S53" s="203">
        <v>1570</v>
      </c>
      <c r="T53" s="118">
        <f t="shared" si="22"/>
        <v>0.25283111086926469</v>
      </c>
      <c r="U53" s="31">
        <f t="shared" si="6"/>
        <v>0.15</v>
      </c>
      <c r="V53" s="152">
        <f t="shared" si="2"/>
        <v>1805.4999999999998</v>
      </c>
      <c r="W53" s="152">
        <f t="shared" ref="W53" si="183">V53*(1+$U53)</f>
        <v>2076.3249999999994</v>
      </c>
      <c r="X53" s="152">
        <f t="shared" ref="X53" si="184">W53*(1+$U53)</f>
        <v>2387.7737499999989</v>
      </c>
      <c r="Y53" s="152">
        <f t="shared" ref="Y53" si="185">X53*(1+$U53)</f>
        <v>2745.9398124999984</v>
      </c>
      <c r="Z53" s="152">
        <f t="shared" ref="Z53" si="186">Y53*(1+$U53)</f>
        <v>3157.8307843749981</v>
      </c>
      <c r="AA53" s="152">
        <f t="shared" ref="AA53" si="187">Z53*(1+$U53)</f>
        <v>3631.5054020312473</v>
      </c>
      <c r="AB53" s="152">
        <f t="shared" ref="AB53" si="188">AA53*(1+$U53)</f>
        <v>4176.2312123359343</v>
      </c>
      <c r="AC53" s="152">
        <f t="shared" ref="AC53" si="189">AB53*(1+$U53)</f>
        <v>4802.6658941863243</v>
      </c>
      <c r="AD53" s="152">
        <f t="shared" ref="AD53" si="190">AC53*(1+$U53)</f>
        <v>5523.0657783142724</v>
      </c>
      <c r="AE53" s="152">
        <f t="shared" ref="AE53" si="191">AD53*(1+$U53)</f>
        <v>6351.5256450614124</v>
      </c>
      <c r="AF53" s="137">
        <f t="shared" ref="AF53" si="192">((AE53/I53)^(1/($AE$3-$J$1) ))-1</f>
        <v>0.20708808506997589</v>
      </c>
      <c r="AG53" s="31">
        <f t="shared" si="16"/>
        <v>0.05</v>
      </c>
      <c r="AH53" s="145">
        <f t="shared" ref="AH53" si="193">(AE53*(1+AG53))/($C$1-AG53)</f>
        <v>39230.011337144024</v>
      </c>
    </row>
    <row r="54" spans="1:34" s="123" customFormat="1">
      <c r="B54" s="23"/>
      <c r="C54" s="147"/>
      <c r="D54" s="147"/>
      <c r="E54" s="148"/>
      <c r="F54" s="148"/>
      <c r="G54" s="205">
        <f t="shared" ref="G54:Q54" si="194">(G53-F53)/G53</f>
        <v>1</v>
      </c>
      <c r="H54" s="205">
        <f t="shared" si="194"/>
        <v>-0.26506024096385544</v>
      </c>
      <c r="I54" s="205">
        <f t="shared" si="194"/>
        <v>0.31967213114754101</v>
      </c>
      <c r="J54" s="205">
        <f t="shared" si="194"/>
        <v>0.37755102040816324</v>
      </c>
      <c r="K54" s="205">
        <f t="shared" si="194"/>
        <v>0.51724137931034486</v>
      </c>
      <c r="L54" s="205">
        <f t="shared" si="194"/>
        <v>-1</v>
      </c>
      <c r="M54" s="205">
        <f t="shared" si="194"/>
        <v>0.77544247787610621</v>
      </c>
      <c r="N54" s="205">
        <f t="shared" si="194"/>
        <v>-0.64963503649635035</v>
      </c>
      <c r="O54" s="205">
        <f t="shared" si="194"/>
        <v>1.4388489208633094E-2</v>
      </c>
      <c r="P54" s="205">
        <f t="shared" si="194"/>
        <v>0.351981351981352</v>
      </c>
      <c r="Q54" s="205">
        <f t="shared" si="194"/>
        <v>0.30357142857142855</v>
      </c>
      <c r="R54" s="149">
        <f t="shared" ref="R54:S54" si="195">(R53-Q53)/Q53</f>
        <v>7.9545454545454544E-2</v>
      </c>
      <c r="S54" s="149">
        <f t="shared" si="195"/>
        <v>0.18045112781954886</v>
      </c>
      <c r="T54" s="128"/>
      <c r="U54" s="20"/>
      <c r="V54" s="152"/>
      <c r="W54" s="153"/>
      <c r="X54" s="153"/>
      <c r="Y54" s="153"/>
      <c r="Z54" s="153"/>
      <c r="AA54" s="153"/>
      <c r="AB54" s="153"/>
      <c r="AC54" s="153"/>
      <c r="AD54" s="153"/>
      <c r="AE54" s="153"/>
      <c r="AF54" s="138"/>
      <c r="AG54" s="136"/>
      <c r="AH54" s="154"/>
    </row>
    <row r="55" spans="1:34">
      <c r="B55" s="20" t="s">
        <v>399</v>
      </c>
      <c r="C55" s="140"/>
      <c r="D55" s="140"/>
      <c r="E55" s="146"/>
      <c r="F55" s="146"/>
      <c r="G55" s="146">
        <v>70</v>
      </c>
      <c r="H55" s="146">
        <v>63</v>
      </c>
      <c r="I55" s="146">
        <v>91</v>
      </c>
      <c r="J55" s="146">
        <v>117</v>
      </c>
      <c r="K55" s="146">
        <v>270</v>
      </c>
      <c r="L55" s="146">
        <v>139</v>
      </c>
      <c r="M55" s="146">
        <v>653</v>
      </c>
      <c r="N55" s="146">
        <v>441</v>
      </c>
      <c r="O55" s="146">
        <v>412</v>
      </c>
      <c r="P55" s="146">
        <v>614</v>
      </c>
      <c r="Q55" s="146">
        <v>1005</v>
      </c>
      <c r="R55" s="203">
        <v>977</v>
      </c>
      <c r="S55" s="203">
        <v>2093</v>
      </c>
      <c r="T55" s="118">
        <f t="shared" si="22"/>
        <v>0.32731071097775133</v>
      </c>
      <c r="U55" s="31">
        <f t="shared" si="6"/>
        <v>0.15</v>
      </c>
      <c r="V55" s="152">
        <f t="shared" si="2"/>
        <v>2406.9499999999998</v>
      </c>
      <c r="W55" s="152">
        <f t="shared" ref="W55:AE55" si="196">V55*(1+$U55)</f>
        <v>2767.9924999999994</v>
      </c>
      <c r="X55" s="152">
        <f t="shared" si="196"/>
        <v>3183.191374999999</v>
      </c>
      <c r="Y55" s="152">
        <f t="shared" si="196"/>
        <v>3660.6700812499985</v>
      </c>
      <c r="Z55" s="152">
        <f t="shared" si="196"/>
        <v>4209.7705934374981</v>
      </c>
      <c r="AA55" s="152">
        <f t="shared" si="196"/>
        <v>4841.2361824531226</v>
      </c>
      <c r="AB55" s="152">
        <f t="shared" si="196"/>
        <v>5567.4216098210909</v>
      </c>
      <c r="AC55" s="152">
        <f t="shared" si="196"/>
        <v>6402.5348512942537</v>
      </c>
      <c r="AD55" s="152">
        <f t="shared" si="196"/>
        <v>7362.9150789883915</v>
      </c>
      <c r="AE55" s="152">
        <f t="shared" si="196"/>
        <v>8467.3523408366491</v>
      </c>
      <c r="AF55" s="137">
        <f t="shared" si="18"/>
        <v>0.24093180650131907</v>
      </c>
      <c r="AG55" s="31">
        <f t="shared" si="16"/>
        <v>0.05</v>
      </c>
      <c r="AH55" s="145">
        <f t="shared" si="1"/>
        <v>52298.352693402841</v>
      </c>
    </row>
    <row r="56" spans="1:34" s="123" customFormat="1">
      <c r="B56" s="23"/>
      <c r="C56" s="147"/>
      <c r="D56" s="147"/>
      <c r="E56" s="148"/>
      <c r="F56" s="148"/>
      <c r="G56" s="205">
        <f>(G55-F55)/G55</f>
        <v>1</v>
      </c>
      <c r="H56" s="205">
        <f t="shared" ref="H56:Q56" si="197">(H55-G55)/H55</f>
        <v>-0.1111111111111111</v>
      </c>
      <c r="I56" s="205">
        <f t="shared" si="197"/>
        <v>0.30769230769230771</v>
      </c>
      <c r="J56" s="205">
        <f t="shared" si="197"/>
        <v>0.22222222222222221</v>
      </c>
      <c r="K56" s="205">
        <f t="shared" si="197"/>
        <v>0.56666666666666665</v>
      </c>
      <c r="L56" s="205">
        <f t="shared" si="197"/>
        <v>-0.94244604316546765</v>
      </c>
      <c r="M56" s="205">
        <f t="shared" si="197"/>
        <v>0.78713629402756513</v>
      </c>
      <c r="N56" s="205">
        <f t="shared" si="197"/>
        <v>-0.48072562358276644</v>
      </c>
      <c r="O56" s="205">
        <f t="shared" si="197"/>
        <v>-7.0388349514563103E-2</v>
      </c>
      <c r="P56" s="205">
        <f t="shared" si="197"/>
        <v>0.3289902280130293</v>
      </c>
      <c r="Q56" s="205">
        <f t="shared" si="197"/>
        <v>0.38905472636815919</v>
      </c>
      <c r="R56" s="149">
        <f t="shared" ref="R56:S56" si="198">(R55-Q55)/Q55</f>
        <v>-2.7860696517412936E-2</v>
      </c>
      <c r="S56" s="149">
        <f t="shared" si="198"/>
        <v>1.1422722620266121</v>
      </c>
      <c r="T56" s="128"/>
      <c r="U56" s="20"/>
      <c r="V56" s="152"/>
      <c r="W56" s="153"/>
      <c r="X56" s="153"/>
      <c r="Y56" s="153"/>
      <c r="Z56" s="153"/>
      <c r="AA56" s="153"/>
      <c r="AB56" s="153"/>
      <c r="AC56" s="153"/>
      <c r="AD56" s="153"/>
      <c r="AE56" s="153"/>
      <c r="AF56" s="138"/>
      <c r="AG56" s="136"/>
      <c r="AH56" s="154"/>
    </row>
    <row r="57" spans="1:34">
      <c r="B57" s="20" t="s">
        <v>239</v>
      </c>
      <c r="C57" s="141"/>
      <c r="D57" s="141"/>
      <c r="E57" s="144"/>
      <c r="F57" s="144"/>
      <c r="G57" s="144">
        <v>3.83</v>
      </c>
      <c r="H57" s="144">
        <v>3.83</v>
      </c>
      <c r="I57" s="144">
        <v>3.83</v>
      </c>
      <c r="J57" s="144">
        <v>4.6399999999999997</v>
      </c>
      <c r="K57" s="144">
        <v>48.84</v>
      </c>
      <c r="L57" s="144">
        <v>50.4</v>
      </c>
      <c r="M57" s="144">
        <v>50.4</v>
      </c>
      <c r="N57" s="144">
        <v>50.4</v>
      </c>
      <c r="O57" s="144">
        <v>50.4</v>
      </c>
      <c r="P57" s="144">
        <v>50.4</v>
      </c>
      <c r="Q57" s="144">
        <v>50.4</v>
      </c>
      <c r="R57" s="203">
        <v>50.4</v>
      </c>
      <c r="S57" s="203">
        <v>50.4</v>
      </c>
      <c r="T57" s="118">
        <f t="shared" si="22"/>
        <v>0.23956502401290614</v>
      </c>
      <c r="U57" s="31">
        <v>0.02</v>
      </c>
      <c r="V57" s="152">
        <f t="shared" si="2"/>
        <v>51.408000000000001</v>
      </c>
      <c r="W57" s="152">
        <f>V57*(1+$U57)</f>
        <v>52.436160000000001</v>
      </c>
      <c r="X57" s="152">
        <f t="shared" ref="X57:AE57" si="199">W57*(1+$U57)</f>
        <v>53.484883199999999</v>
      </c>
      <c r="Y57" s="152">
        <f t="shared" si="199"/>
        <v>54.554580864000002</v>
      </c>
      <c r="Z57" s="152">
        <f t="shared" si="199"/>
        <v>55.645672481280002</v>
      </c>
      <c r="AA57" s="152">
        <f t="shared" si="199"/>
        <v>56.758585930905603</v>
      </c>
      <c r="AB57" s="152">
        <f t="shared" si="199"/>
        <v>57.893757649523714</v>
      </c>
      <c r="AC57" s="152">
        <f t="shared" si="199"/>
        <v>59.051632802514192</v>
      </c>
      <c r="AD57" s="152">
        <f t="shared" si="199"/>
        <v>60.232665458564476</v>
      </c>
      <c r="AE57" s="152">
        <f t="shared" si="199"/>
        <v>61.437318767735768</v>
      </c>
      <c r="AF57" s="137">
        <f t="shared" si="18"/>
        <v>0.14127964209177613</v>
      </c>
      <c r="AG57" s="31">
        <f t="shared" si="16"/>
        <v>0.05</v>
      </c>
      <c r="AH57" s="145">
        <f t="shared" si="1"/>
        <v>379.46579238895623</v>
      </c>
    </row>
    <row r="58" spans="1:34">
      <c r="B58" s="20"/>
      <c r="C58" s="141"/>
      <c r="D58" s="141"/>
      <c r="E58" s="142"/>
      <c r="F58" s="142"/>
      <c r="G58" s="205">
        <f>(G57-F57)/G57</f>
        <v>1</v>
      </c>
      <c r="H58" s="205">
        <f t="shared" ref="H58:Q58" si="200">(H57-G57)/H57</f>
        <v>0</v>
      </c>
      <c r="I58" s="205">
        <f t="shared" si="200"/>
        <v>0</v>
      </c>
      <c r="J58" s="205">
        <f t="shared" si="200"/>
        <v>0.1745689655172413</v>
      </c>
      <c r="K58" s="205">
        <f t="shared" si="200"/>
        <v>0.90499590499590499</v>
      </c>
      <c r="L58" s="205">
        <f t="shared" si="200"/>
        <v>3.0952380952380856E-2</v>
      </c>
      <c r="M58" s="205">
        <f t="shared" si="200"/>
        <v>0</v>
      </c>
      <c r="N58" s="205">
        <f t="shared" si="200"/>
        <v>0</v>
      </c>
      <c r="O58" s="205">
        <f t="shared" si="200"/>
        <v>0</v>
      </c>
      <c r="P58" s="205">
        <f t="shared" si="200"/>
        <v>0</v>
      </c>
      <c r="Q58" s="205">
        <f t="shared" si="200"/>
        <v>0</v>
      </c>
      <c r="R58" s="149">
        <f t="shared" ref="R58:S58" si="201">(R57-Q57)/Q57</f>
        <v>0</v>
      </c>
      <c r="S58" s="149">
        <f t="shared" si="201"/>
        <v>0</v>
      </c>
      <c r="T58" s="128"/>
      <c r="U58" s="20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38"/>
      <c r="AG58" s="136"/>
      <c r="AH58" s="145"/>
    </row>
    <row r="59" spans="1:34">
      <c r="B59" s="20" t="s">
        <v>282</v>
      </c>
      <c r="C59" s="144"/>
      <c r="D59" s="144"/>
      <c r="E59" s="144"/>
      <c r="F59" s="144"/>
      <c r="G59" s="144">
        <v>4.5</v>
      </c>
      <c r="H59" s="144">
        <v>4.5</v>
      </c>
      <c r="I59" s="144">
        <v>4.5</v>
      </c>
      <c r="J59" s="144">
        <v>4.5</v>
      </c>
      <c r="K59" s="144">
        <v>0.5</v>
      </c>
      <c r="L59" s="144">
        <v>0.45</v>
      </c>
      <c r="M59" s="144">
        <v>0.75</v>
      </c>
      <c r="N59" s="144">
        <v>0.5</v>
      </c>
      <c r="O59" s="144">
        <v>0.5</v>
      </c>
      <c r="P59" s="144">
        <v>0.5</v>
      </c>
      <c r="Q59" s="144">
        <v>0.75</v>
      </c>
      <c r="R59" s="203">
        <v>2</v>
      </c>
      <c r="S59" s="203">
        <v>2</v>
      </c>
      <c r="T59" s="118">
        <f t="shared" si="22"/>
        <v>-6.5344734815932837E-2</v>
      </c>
      <c r="U59" s="31">
        <f>R1</f>
        <v>0.05</v>
      </c>
      <c r="V59" s="152">
        <f t="shared" si="2"/>
        <v>2.1</v>
      </c>
      <c r="W59" s="152">
        <f t="shared" ref="W59" si="202">V59*(1+$U59)</f>
        <v>2.2050000000000001</v>
      </c>
      <c r="X59" s="152">
        <f t="shared" ref="X59" si="203">W59*(1+$U59)</f>
        <v>2.3152500000000003</v>
      </c>
      <c r="Y59" s="152">
        <f t="shared" ref="Y59" si="204">X59*(1+$U59)</f>
        <v>2.4310125000000005</v>
      </c>
      <c r="Z59" s="152">
        <f t="shared" ref="Z59" si="205">Y59*(1+$U59)</f>
        <v>2.5525631250000007</v>
      </c>
      <c r="AA59" s="152">
        <f t="shared" ref="AA59" si="206">Z59*(1+$U59)</f>
        <v>2.6801912812500008</v>
      </c>
      <c r="AB59" s="152">
        <f t="shared" ref="AB59" si="207">AA59*(1+$U59)</f>
        <v>2.8142008453125009</v>
      </c>
      <c r="AC59" s="152">
        <f t="shared" ref="AC59" si="208">AB59*(1+$U59)</f>
        <v>2.954910887578126</v>
      </c>
      <c r="AD59" s="152">
        <f t="shared" ref="AD59" si="209">AC59*(1+$U59)</f>
        <v>3.1026564319570324</v>
      </c>
      <c r="AE59" s="152">
        <f t="shared" ref="AE59" si="210">AD59*(1+$U59)</f>
        <v>3.257789253554884</v>
      </c>
      <c r="AF59" s="137">
        <f t="shared" ref="AF59" si="211">((AE59/I59)^(1/($AE$3-$J$1) ))-1</f>
        <v>-1.526460958487541E-2</v>
      </c>
      <c r="AG59" s="31">
        <f t="shared" si="16"/>
        <v>0.05</v>
      </c>
      <c r="AH59" s="145">
        <f t="shared" si="1"/>
        <v>20.121639507250759</v>
      </c>
    </row>
    <row r="60" spans="1:34">
      <c r="B60" s="20"/>
      <c r="C60" s="144"/>
      <c r="D60" s="144"/>
      <c r="E60" s="144"/>
      <c r="F60" s="144"/>
      <c r="G60" s="205">
        <f>(G59-F59)/G59</f>
        <v>1</v>
      </c>
      <c r="H60" s="205">
        <f t="shared" ref="H60" si="212">(H59-G59)/H59</f>
        <v>0</v>
      </c>
      <c r="I60" s="205">
        <f t="shared" ref="I60" si="213">(I59-H59)/I59</f>
        <v>0</v>
      </c>
      <c r="J60" s="205">
        <f t="shared" ref="J60" si="214">(J59-I59)/J59</f>
        <v>0</v>
      </c>
      <c r="K60" s="205">
        <f t="shared" ref="K60" si="215">(K59-J59)/K59</f>
        <v>-8</v>
      </c>
      <c r="L60" s="205">
        <f t="shared" ref="L60" si="216">(L59-K59)/L59</f>
        <v>-0.11111111111111108</v>
      </c>
      <c r="M60" s="205">
        <f t="shared" ref="M60" si="217">(M59-L59)/M59</f>
        <v>0.39999999999999997</v>
      </c>
      <c r="N60" s="205">
        <f t="shared" ref="N60" si="218">(N59-M59)/N59</f>
        <v>-0.5</v>
      </c>
      <c r="O60" s="205">
        <f t="shared" ref="O60" si="219">(O59-N59)/O59</f>
        <v>0</v>
      </c>
      <c r="P60" s="205">
        <f t="shared" ref="P60" si="220">(P59-O59)/P59</f>
        <v>0</v>
      </c>
      <c r="Q60" s="205">
        <f t="shared" ref="Q60" si="221">(Q59-P59)/Q59</f>
        <v>0.33333333333333331</v>
      </c>
      <c r="R60" s="149">
        <f t="shared" ref="R60:S60" si="222">(R59-Q59)/Q59</f>
        <v>1.6666666666666667</v>
      </c>
      <c r="S60" s="149">
        <f t="shared" si="222"/>
        <v>0</v>
      </c>
      <c r="T60" s="128"/>
      <c r="U60" s="20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38"/>
      <c r="AG60" s="136"/>
      <c r="AH60" s="145"/>
    </row>
    <row r="61" spans="1:34">
      <c r="B61" s="20" t="s">
        <v>424</v>
      </c>
      <c r="C61" s="20"/>
      <c r="D61" s="20"/>
      <c r="E61" s="127"/>
      <c r="F61" s="127"/>
      <c r="G61" s="146">
        <v>0</v>
      </c>
      <c r="H61" s="146">
        <v>0</v>
      </c>
      <c r="I61" s="146">
        <v>0</v>
      </c>
      <c r="J61" s="146">
        <v>0</v>
      </c>
      <c r="K61" s="146" t="s">
        <v>494</v>
      </c>
      <c r="L61" s="146">
        <v>0</v>
      </c>
      <c r="M61" s="146">
        <v>0</v>
      </c>
      <c r="N61" s="146">
        <v>0</v>
      </c>
      <c r="O61" s="146">
        <v>0</v>
      </c>
      <c r="P61" s="146">
        <v>0</v>
      </c>
      <c r="Q61" s="146">
        <v>0</v>
      </c>
      <c r="R61" s="146">
        <v>0</v>
      </c>
      <c r="S61" s="146">
        <v>0</v>
      </c>
      <c r="T61" s="146">
        <v>0</v>
      </c>
      <c r="U61" s="128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38"/>
      <c r="AG61" s="136"/>
      <c r="AH61" s="152"/>
    </row>
    <row r="62" spans="1:34">
      <c r="B62" s="20" t="s">
        <v>422</v>
      </c>
      <c r="C62" s="20"/>
      <c r="D62" s="20"/>
      <c r="E62" s="127"/>
      <c r="F62" s="127"/>
      <c r="G62" s="146">
        <v>0</v>
      </c>
      <c r="H62" s="146">
        <v>0</v>
      </c>
      <c r="I62" s="146">
        <v>0</v>
      </c>
      <c r="J62" s="146">
        <v>0</v>
      </c>
      <c r="K62" s="146">
        <v>0</v>
      </c>
      <c r="L62" s="146">
        <v>0</v>
      </c>
      <c r="M62" s="146">
        <v>0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46">
        <v>0</v>
      </c>
      <c r="T62" s="146">
        <v>0</v>
      </c>
      <c r="U62" s="128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38"/>
      <c r="AG62" s="136"/>
      <c r="AH62" s="152"/>
    </row>
    <row r="63" spans="1:34">
      <c r="B63" s="20" t="s">
        <v>423</v>
      </c>
      <c r="C63" s="20"/>
      <c r="D63" s="20"/>
      <c r="E63" s="127"/>
      <c r="F63" s="127"/>
      <c r="G63" s="146">
        <v>0</v>
      </c>
      <c r="H63" s="146">
        <v>0</v>
      </c>
      <c r="I63" s="146">
        <v>0</v>
      </c>
      <c r="J63" s="146">
        <v>0</v>
      </c>
      <c r="K63" s="146">
        <v>0</v>
      </c>
      <c r="L63" s="146">
        <v>0</v>
      </c>
      <c r="M63" s="146">
        <v>0</v>
      </c>
      <c r="N63" s="146">
        <v>0</v>
      </c>
      <c r="O63" s="146">
        <v>0</v>
      </c>
      <c r="P63" s="146">
        <v>0</v>
      </c>
      <c r="Q63" s="146">
        <v>0</v>
      </c>
      <c r="R63" s="146">
        <v>0</v>
      </c>
      <c r="S63" s="146">
        <v>0</v>
      </c>
      <c r="T63" s="146">
        <v>0</v>
      </c>
      <c r="U63" s="128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38"/>
      <c r="AG63" s="136"/>
      <c r="AH63" s="152"/>
    </row>
    <row r="64" spans="1:34">
      <c r="B64" s="20"/>
      <c r="C64" s="20"/>
      <c r="D64" s="20"/>
      <c r="E64" s="127"/>
      <c r="F64" s="127"/>
      <c r="G64" s="127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128"/>
      <c r="U64" s="128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38"/>
      <c r="AG64" s="136"/>
      <c r="AH64" s="152"/>
    </row>
    <row r="65" spans="2:34">
      <c r="B65" s="108" t="s">
        <v>243</v>
      </c>
      <c r="C65" s="20"/>
      <c r="D65" s="20"/>
      <c r="E65" s="127"/>
      <c r="F65" s="127"/>
      <c r="G65" s="127"/>
      <c r="H65" s="127"/>
      <c r="I65" s="127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128"/>
      <c r="U65" s="128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38"/>
      <c r="AG65" s="136"/>
      <c r="AH65" s="152"/>
    </row>
    <row r="66" spans="2:34">
      <c r="B66" s="20" t="s">
        <v>302</v>
      </c>
      <c r="C66" s="133"/>
      <c r="D66" s="133"/>
      <c r="E66" s="133"/>
      <c r="F66" s="133"/>
      <c r="G66" s="133">
        <f t="shared" ref="G66:H66" si="223">G25/G57</f>
        <v>511.74934725848561</v>
      </c>
      <c r="H66" s="133">
        <f t="shared" si="223"/>
        <v>585.1174934725849</v>
      </c>
      <c r="I66" s="133">
        <f t="shared" ref="I66:R66" si="224">I25/I57</f>
        <v>708.61618798955612</v>
      </c>
      <c r="J66" s="133">
        <f t="shared" si="224"/>
        <v>927.58620689655174</v>
      </c>
      <c r="K66" s="133">
        <f t="shared" si="224"/>
        <v>97.829647829647826</v>
      </c>
      <c r="L66" s="133">
        <f t="shared" si="224"/>
        <v>99.345238095238102</v>
      </c>
      <c r="M66" s="133">
        <f t="shared" si="224"/>
        <v>158.65079365079364</v>
      </c>
      <c r="N66" s="133">
        <f t="shared" si="224"/>
        <v>185.87301587301587</v>
      </c>
      <c r="O66" s="133">
        <f t="shared" si="224"/>
        <v>246.26984126984127</v>
      </c>
      <c r="P66" s="133">
        <f t="shared" si="224"/>
        <v>257.5</v>
      </c>
      <c r="Q66" s="133">
        <f t="shared" si="224"/>
        <v>267.73809523809524</v>
      </c>
      <c r="R66" s="133">
        <f t="shared" si="224"/>
        <v>251.36904761904762</v>
      </c>
      <c r="S66" s="133">
        <f t="shared" ref="S66" si="225">S25/S57</f>
        <v>235.37698412698413</v>
      </c>
      <c r="T66" s="118">
        <f t="shared" ref="T66:T68" si="226">((S66/G66)^(1/($J$2-$J$1) ))-1</f>
        <v>-6.267063125114769E-2</v>
      </c>
      <c r="U66" s="128"/>
      <c r="V66" s="156">
        <f t="shared" ref="V66:AE66" si="227">V25/V57</f>
        <v>265.37601151571738</v>
      </c>
      <c r="W66" s="156">
        <f t="shared" si="227"/>
        <v>299.19844435595581</v>
      </c>
      <c r="X66" s="156">
        <f t="shared" si="227"/>
        <v>337.33157942093055</v>
      </c>
      <c r="Y66" s="156">
        <f t="shared" si="227"/>
        <v>380.32481993536283</v>
      </c>
      <c r="Z66" s="156">
        <f t="shared" si="227"/>
        <v>428.79759110359532</v>
      </c>
      <c r="AA66" s="156">
        <f t="shared" si="227"/>
        <v>483.4482644795437</v>
      </c>
      <c r="AB66" s="156">
        <f t="shared" si="227"/>
        <v>545.06421975634828</v>
      </c>
      <c r="AC66" s="156">
        <f t="shared" si="227"/>
        <v>614.53318894098072</v>
      </c>
      <c r="AD66" s="156">
        <f t="shared" si="227"/>
        <v>692.85604635502727</v>
      </c>
      <c r="AE66" s="156">
        <f t="shared" si="227"/>
        <v>781.16122873360905</v>
      </c>
      <c r="AF66" s="137">
        <f t="shared" ref="AF66" si="228">((AE66/I66)^(1/($AE$3-$J$1) ))-1</f>
        <v>4.6520985272815452E-3</v>
      </c>
      <c r="AG66" s="31">
        <f t="shared" si="16"/>
        <v>0.05</v>
      </c>
      <c r="AH66" s="145">
        <f t="shared" ref="AH66:AH67" si="229">(AE66*(1+AG66))/($C$1-AG66)</f>
        <v>4824.8193539428803</v>
      </c>
    </row>
    <row r="67" spans="2:34">
      <c r="B67" s="20" t="s">
        <v>303</v>
      </c>
      <c r="C67" s="133"/>
      <c r="D67" s="133"/>
      <c r="E67" s="133"/>
      <c r="F67" s="133"/>
      <c r="G67" s="133">
        <f t="shared" ref="G67:H67" si="230">G27/G57</f>
        <v>463.1853785900783</v>
      </c>
      <c r="H67" s="133">
        <f t="shared" si="230"/>
        <v>537.85900783289821</v>
      </c>
      <c r="I67" s="133">
        <f t="shared" ref="I67:R67" si="231">I27/I57</f>
        <v>644.64751958224542</v>
      </c>
      <c r="J67" s="133">
        <f t="shared" si="231"/>
        <v>841.59482758620697</v>
      </c>
      <c r="K67" s="133">
        <f t="shared" si="231"/>
        <v>84.684684684684683</v>
      </c>
      <c r="L67" s="133">
        <f t="shared" si="231"/>
        <v>90.05952380952381</v>
      </c>
      <c r="M67" s="133">
        <f t="shared" si="231"/>
        <v>132.04365079365078</v>
      </c>
      <c r="N67" s="133">
        <f t="shared" si="231"/>
        <v>165.9325396825397</v>
      </c>
      <c r="O67" s="133">
        <f t="shared" si="231"/>
        <v>223.05555555555557</v>
      </c>
      <c r="P67" s="133">
        <f t="shared" si="231"/>
        <v>226.38888888888889</v>
      </c>
      <c r="Q67" s="133">
        <f t="shared" si="231"/>
        <v>229.50396825396825</v>
      </c>
      <c r="R67" s="133">
        <f t="shared" si="231"/>
        <v>213.63095238095238</v>
      </c>
      <c r="S67" s="133">
        <f t="shared" ref="S67" si="232">S27/S57</f>
        <v>205.15873015873015</v>
      </c>
      <c r="T67" s="118">
        <f t="shared" si="226"/>
        <v>-6.5610541825275814E-2</v>
      </c>
      <c r="U67" s="128"/>
      <c r="V67" s="156">
        <f t="shared" ref="V67:AE67" si="233">V27/V57</f>
        <v>231.30641145347025</v>
      </c>
      <c r="W67" s="156">
        <f t="shared" si="233"/>
        <v>260.78664036420662</v>
      </c>
      <c r="X67" s="156">
        <f t="shared" si="233"/>
        <v>294.02415335180154</v>
      </c>
      <c r="Y67" s="156">
        <f t="shared" si="233"/>
        <v>331.49781995546249</v>
      </c>
      <c r="Z67" s="156">
        <f t="shared" si="233"/>
        <v>373.74754210664889</v>
      </c>
      <c r="AA67" s="156">
        <f t="shared" si="233"/>
        <v>421.38203276730013</v>
      </c>
      <c r="AB67" s="156">
        <f t="shared" si="233"/>
        <v>475.08758596313254</v>
      </c>
      <c r="AC67" s="156">
        <f t="shared" si="233"/>
        <v>535.63796456627676</v>
      </c>
      <c r="AD67" s="156">
        <f t="shared" si="233"/>
        <v>603.90554828550808</v>
      </c>
      <c r="AE67" s="156">
        <f t="shared" si="233"/>
        <v>680.87390247875896</v>
      </c>
      <c r="AF67" s="137">
        <f t="shared" ref="AF67" si="234">((AE67/I67)^(1/($AE$3-$J$1) ))-1</f>
        <v>2.6068890711077319E-3</v>
      </c>
      <c r="AG67" s="31">
        <f t="shared" si="16"/>
        <v>0.05</v>
      </c>
      <c r="AH67" s="145">
        <f t="shared" si="229"/>
        <v>4205.3976329570414</v>
      </c>
    </row>
    <row r="68" spans="2:34">
      <c r="B68" s="20" t="s">
        <v>425</v>
      </c>
      <c r="C68" s="133"/>
      <c r="D68" s="133"/>
      <c r="E68" s="133"/>
      <c r="F68" s="133"/>
      <c r="G68" s="133">
        <f t="shared" ref="G68:H68" si="235">G53-G55</f>
        <v>35</v>
      </c>
      <c r="H68" s="133">
        <f t="shared" si="235"/>
        <v>20</v>
      </c>
      <c r="I68" s="133">
        <f>I53-I55</f>
        <v>31</v>
      </c>
      <c r="J68" s="133">
        <f t="shared" ref="J68:R68" si="236">J53-J55</f>
        <v>79</v>
      </c>
      <c r="K68" s="133">
        <f t="shared" si="236"/>
        <v>136</v>
      </c>
      <c r="L68" s="133">
        <f t="shared" si="236"/>
        <v>64</v>
      </c>
      <c r="M68" s="133">
        <f t="shared" si="236"/>
        <v>251</v>
      </c>
      <c r="N68" s="133">
        <f t="shared" si="236"/>
        <v>107</v>
      </c>
      <c r="O68" s="133">
        <f t="shared" si="236"/>
        <v>144</v>
      </c>
      <c r="P68" s="133">
        <f t="shared" si="236"/>
        <v>244</v>
      </c>
      <c r="Q68" s="133">
        <f t="shared" si="236"/>
        <v>227</v>
      </c>
      <c r="R68" s="133">
        <f t="shared" si="236"/>
        <v>353</v>
      </c>
      <c r="S68" s="133">
        <f t="shared" ref="S68" si="237">S53-S55</f>
        <v>-523</v>
      </c>
      <c r="T68" s="118" t="e">
        <f t="shared" si="226"/>
        <v>#NUM!</v>
      </c>
      <c r="U68" s="128"/>
      <c r="V68" s="133">
        <f t="shared" ref="V68:AE68" si="238">V53-V55</f>
        <v>-601.45000000000005</v>
      </c>
      <c r="W68" s="133">
        <f t="shared" si="238"/>
        <v>-691.66750000000002</v>
      </c>
      <c r="X68" s="133">
        <f t="shared" si="238"/>
        <v>-795.41762500000004</v>
      </c>
      <c r="Y68" s="133">
        <f t="shared" si="238"/>
        <v>-914.73026875000005</v>
      </c>
      <c r="Z68" s="133">
        <f t="shared" si="238"/>
        <v>-1051.9398090625</v>
      </c>
      <c r="AA68" s="133">
        <f t="shared" si="238"/>
        <v>-1209.7307804218754</v>
      </c>
      <c r="AB68" s="133">
        <f t="shared" si="238"/>
        <v>-1391.1903974851566</v>
      </c>
      <c r="AC68" s="133">
        <f t="shared" si="238"/>
        <v>-1599.8689571079294</v>
      </c>
      <c r="AD68" s="133">
        <f t="shared" si="238"/>
        <v>-1839.8493006741191</v>
      </c>
      <c r="AE68" s="133">
        <f t="shared" si="238"/>
        <v>-2115.8266957752367</v>
      </c>
      <c r="AF68" s="137">
        <f t="shared" ref="AF68" si="239">((AE68/I68)^(1/($AE$3-$J$1) ))-1</f>
        <v>-2.222753659763038</v>
      </c>
      <c r="AG68" s="31">
        <f t="shared" si="16"/>
        <v>0.05</v>
      </c>
      <c r="AH68" s="145">
        <f t="shared" ref="AH68" si="240">(AE68*(1+AG68))/($C$1-AG68)</f>
        <v>-13068.341356258818</v>
      </c>
    </row>
    <row r="69" spans="2:34">
      <c r="B69" s="20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28"/>
      <c r="U69" s="128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19"/>
      <c r="AG69" s="136"/>
      <c r="AH69" s="145"/>
    </row>
    <row r="70" spans="2:34">
      <c r="B70" s="20" t="s">
        <v>460</v>
      </c>
      <c r="C70" s="133"/>
      <c r="D70" s="133"/>
      <c r="E70" s="133"/>
      <c r="F70" s="133"/>
      <c r="G70" s="25">
        <f t="shared" ref="G70:H70" si="241">G51/G57</f>
        <v>45.691906005221931</v>
      </c>
      <c r="H70" s="25">
        <f t="shared" si="241"/>
        <v>42.036553524804177</v>
      </c>
      <c r="I70" s="25">
        <f t="shared" ref="I70:R70" si="242">I51/I57</f>
        <v>60.313315926892948</v>
      </c>
      <c r="J70" s="25">
        <f t="shared" si="242"/>
        <v>86.637931034482762</v>
      </c>
      <c r="K70" s="25">
        <f t="shared" si="242"/>
        <v>12.776412776412776</v>
      </c>
      <c r="L70" s="25">
        <f t="shared" si="242"/>
        <v>9.0476190476190474</v>
      </c>
      <c r="M70" s="25">
        <f t="shared" si="242"/>
        <v>24.742063492063494</v>
      </c>
      <c r="N70" s="25">
        <f t="shared" si="242"/>
        <v>19.404761904761905</v>
      </c>
      <c r="O70" s="25">
        <f t="shared" si="242"/>
        <v>23.154761904761905</v>
      </c>
      <c r="P70" s="25">
        <f t="shared" si="242"/>
        <v>28.888888888888889</v>
      </c>
      <c r="Q70" s="25">
        <f t="shared" si="242"/>
        <v>37.202380952380956</v>
      </c>
      <c r="R70" s="25">
        <f t="shared" si="242"/>
        <v>38.293650793650798</v>
      </c>
      <c r="S70" s="25">
        <f>S51/S57</f>
        <v>30.198412698412699</v>
      </c>
      <c r="T70" s="118">
        <f t="shared" ref="T70:T134" si="243">((S70/G70)^(1/($J$2-$J$1) ))-1</f>
        <v>-3.3922271720174701E-2</v>
      </c>
      <c r="U70" s="128"/>
      <c r="V70" s="112">
        <f>V51/V57</f>
        <v>34.047230003112354</v>
      </c>
      <c r="W70" s="112">
        <f t="shared" ref="W70:AE70" si="244">W51/W57</f>
        <v>38.386582846646277</v>
      </c>
      <c r="X70" s="112">
        <f t="shared" si="244"/>
        <v>43.278990464356092</v>
      </c>
      <c r="Y70" s="112">
        <f t="shared" si="244"/>
        <v>48.79494022942108</v>
      </c>
      <c r="Z70" s="112">
        <f t="shared" si="244"/>
        <v>55.013903199837486</v>
      </c>
      <c r="AA70" s="112">
        <f t="shared" si="244"/>
        <v>62.025479097855985</v>
      </c>
      <c r="AB70" s="112">
        <f t="shared" si="244"/>
        <v>69.930687218170959</v>
      </c>
      <c r="AC70" s="112">
        <f t="shared" si="244"/>
        <v>78.843421863624101</v>
      </c>
      <c r="AD70" s="112">
        <f t="shared" si="244"/>
        <v>88.892093277615402</v>
      </c>
      <c r="AE70" s="112">
        <f t="shared" si="244"/>
        <v>100.22147771495852</v>
      </c>
      <c r="AF70" s="137">
        <f t="shared" ref="AF70:AF71" si="245">((AE70/I70)^(1/($AE$3-$J$1) ))-1</f>
        <v>2.4477126788859049E-2</v>
      </c>
      <c r="AG70" s="31">
        <f t="shared" si="16"/>
        <v>0.05</v>
      </c>
      <c r="AH70" s="145">
        <f t="shared" ref="AH70:AH71" si="246">(AE70*(1+AG70))/($C$1-AG70)</f>
        <v>619.01500941592042</v>
      </c>
    </row>
    <row r="71" spans="2:34">
      <c r="B71" s="20" t="s">
        <v>461</v>
      </c>
      <c r="C71" s="133"/>
      <c r="D71" s="133"/>
      <c r="E71" s="133"/>
      <c r="F71" s="133"/>
      <c r="G71" s="25">
        <f t="shared" ref="G71:H71" si="247">G53/G57</f>
        <v>27.41514360313316</v>
      </c>
      <c r="H71" s="25">
        <f t="shared" si="247"/>
        <v>21.671018276762403</v>
      </c>
      <c r="I71" s="25">
        <f t="shared" ref="I71:R71" si="248">I53/I57</f>
        <v>31.85378590078329</v>
      </c>
      <c r="J71" s="25">
        <f t="shared" si="248"/>
        <v>42.241379310344833</v>
      </c>
      <c r="K71" s="25">
        <f t="shared" si="248"/>
        <v>8.312858312858312</v>
      </c>
      <c r="L71" s="25">
        <f t="shared" si="248"/>
        <v>4.0277777777777777</v>
      </c>
      <c r="M71" s="25">
        <f t="shared" si="248"/>
        <v>17.936507936507937</v>
      </c>
      <c r="N71" s="25">
        <f t="shared" si="248"/>
        <v>10.873015873015873</v>
      </c>
      <c r="O71" s="25">
        <f t="shared" si="248"/>
        <v>11.031746031746032</v>
      </c>
      <c r="P71" s="25">
        <f t="shared" si="248"/>
        <v>17.023809523809526</v>
      </c>
      <c r="Q71" s="25">
        <f t="shared" si="248"/>
        <v>24.444444444444446</v>
      </c>
      <c r="R71" s="25">
        <f t="shared" si="248"/>
        <v>26.388888888888889</v>
      </c>
      <c r="S71" s="25">
        <f>S53/S57</f>
        <v>31.150793650793652</v>
      </c>
      <c r="T71" s="118">
        <f t="shared" si="243"/>
        <v>1.070221133975835E-2</v>
      </c>
      <c r="U71" s="128"/>
      <c r="V71" s="112">
        <f>V53/V57</f>
        <v>35.120992841581071</v>
      </c>
      <c r="W71" s="112">
        <f t="shared" ref="W71:AE71" si="249">W53/W57</f>
        <v>39.597197811586497</v>
      </c>
      <c r="X71" s="112">
        <f t="shared" si="249"/>
        <v>44.643899493455358</v>
      </c>
      <c r="Y71" s="112">
        <f t="shared" si="249"/>
        <v>50.33380825242515</v>
      </c>
      <c r="Z71" s="112">
        <f t="shared" si="249"/>
        <v>56.748901461067568</v>
      </c>
      <c r="AA71" s="112">
        <f t="shared" si="249"/>
        <v>63.981604588458524</v>
      </c>
      <c r="AB71" s="112">
        <f t="shared" si="249"/>
        <v>72.136122820320878</v>
      </c>
      <c r="AC71" s="112">
        <f t="shared" si="249"/>
        <v>81.32994239545981</v>
      </c>
      <c r="AD71" s="112">
        <f t="shared" si="249"/>
        <v>91.6955232889988</v>
      </c>
      <c r="AE71" s="112">
        <f t="shared" si="249"/>
        <v>103.38220762975352</v>
      </c>
      <c r="AF71" s="137">
        <f t="shared" si="245"/>
        <v>5.7661979195198665E-2</v>
      </c>
      <c r="AG71" s="31">
        <f t="shared" si="16"/>
        <v>0.05</v>
      </c>
      <c r="AH71" s="145">
        <f t="shared" si="246"/>
        <v>638.53716477200715</v>
      </c>
    </row>
    <row r="72" spans="2:34">
      <c r="B72" s="20" t="s">
        <v>257</v>
      </c>
      <c r="C72" s="25"/>
      <c r="D72" s="25"/>
      <c r="E72" s="25"/>
      <c r="F72" s="25"/>
      <c r="G72" s="133">
        <f t="shared" ref="G72:H72" si="250">G55/G57</f>
        <v>18.276762402088771</v>
      </c>
      <c r="H72" s="133">
        <f t="shared" si="250"/>
        <v>16.449086161879894</v>
      </c>
      <c r="I72" s="133">
        <f t="shared" ref="I72:R72" si="251">I55/I57</f>
        <v>23.759791122715406</v>
      </c>
      <c r="J72" s="133">
        <f t="shared" si="251"/>
        <v>25.215517241379313</v>
      </c>
      <c r="K72" s="133">
        <f t="shared" si="251"/>
        <v>5.5282555282555279</v>
      </c>
      <c r="L72" s="133">
        <f t="shared" si="251"/>
        <v>2.7579365079365079</v>
      </c>
      <c r="M72" s="133">
        <f t="shared" si="251"/>
        <v>12.956349206349207</v>
      </c>
      <c r="N72" s="133">
        <f t="shared" si="251"/>
        <v>8.75</v>
      </c>
      <c r="O72" s="133">
        <f t="shared" si="251"/>
        <v>8.174603174603174</v>
      </c>
      <c r="P72" s="133">
        <f t="shared" si="251"/>
        <v>12.182539682539684</v>
      </c>
      <c r="Q72" s="133">
        <f t="shared" si="251"/>
        <v>19.94047619047619</v>
      </c>
      <c r="R72" s="133">
        <f t="shared" si="251"/>
        <v>19.384920634920636</v>
      </c>
      <c r="S72" s="133">
        <f t="shared" ref="S72" si="252">S55/S57</f>
        <v>41.527777777777779</v>
      </c>
      <c r="T72" s="118">
        <f t="shared" si="243"/>
        <v>7.0787482112702582E-2</v>
      </c>
      <c r="U72" s="128"/>
      <c r="V72" s="156">
        <f t="shared" ref="V72:AE72" si="253">V55/V57</f>
        <v>46.820533769063175</v>
      </c>
      <c r="W72" s="156">
        <f t="shared" si="253"/>
        <v>52.787856700414359</v>
      </c>
      <c r="X72" s="156">
        <f t="shared" si="253"/>
        <v>59.515720789682852</v>
      </c>
      <c r="Y72" s="156">
        <f t="shared" si="253"/>
        <v>67.101057753073789</v>
      </c>
      <c r="Z72" s="156">
        <f t="shared" si="253"/>
        <v>75.653153349053781</v>
      </c>
      <c r="AA72" s="156">
        <f t="shared" si="253"/>
        <v>85.295221913148865</v>
      </c>
      <c r="AB72" s="156">
        <f t="shared" si="253"/>
        <v>96.166181568746268</v>
      </c>
      <c r="AC72" s="156">
        <f t="shared" si="253"/>
        <v>108.42265569025314</v>
      </c>
      <c r="AD72" s="156">
        <f t="shared" si="253"/>
        <v>122.24122945469715</v>
      </c>
      <c r="AE72" s="156">
        <f t="shared" si="253"/>
        <v>137.82099399304087</v>
      </c>
      <c r="AF72" s="137">
        <f t="shared" ref="AF72:AF86" si="254">((AE72/I72)^(1/($AE$3-$J$1) ))-1</f>
        <v>8.7316167514297272E-2</v>
      </c>
      <c r="AG72" s="31">
        <f t="shared" si="16"/>
        <v>0.05</v>
      </c>
      <c r="AH72" s="145">
        <f t="shared" ref="AH72:AH100" si="255">(AE72*(1+AG72))/($C$1-AG72)</f>
        <v>851.24731583937023</v>
      </c>
    </row>
    <row r="73" spans="2:34">
      <c r="B73" s="20" t="s">
        <v>386</v>
      </c>
      <c r="C73" s="133"/>
      <c r="D73" s="133"/>
      <c r="E73" s="133"/>
      <c r="F73" s="133"/>
      <c r="G73" s="133">
        <f t="shared" ref="G73:H73" si="256">G20/G57</f>
        <v>28.198433420365536</v>
      </c>
      <c r="H73" s="133">
        <f t="shared" si="256"/>
        <v>28.459530026109661</v>
      </c>
      <c r="I73" s="133">
        <f>I20/I57</f>
        <v>20.365535248041777</v>
      </c>
      <c r="J73" s="133">
        <f t="shared" ref="J73:R73" si="257">J20/J57</f>
        <v>76.939655172413794</v>
      </c>
      <c r="K73" s="133">
        <f t="shared" si="257"/>
        <v>8.7633087633087623</v>
      </c>
      <c r="L73" s="133">
        <f t="shared" si="257"/>
        <v>6.4484126984126986</v>
      </c>
      <c r="M73" s="133">
        <f t="shared" si="257"/>
        <v>13.928571428571429</v>
      </c>
      <c r="N73" s="133">
        <f t="shared" si="257"/>
        <v>3.0158730158730158</v>
      </c>
      <c r="O73" s="133">
        <f t="shared" si="257"/>
        <v>10.773809523809524</v>
      </c>
      <c r="P73" s="133">
        <f t="shared" si="257"/>
        <v>15.277777777777779</v>
      </c>
      <c r="Q73" s="133">
        <f t="shared" si="257"/>
        <v>22.341269841269842</v>
      </c>
      <c r="R73" s="133">
        <f t="shared" si="257"/>
        <v>18.86904761904762</v>
      </c>
      <c r="S73" s="133">
        <f t="shared" ref="S73" si="258">S20/S57</f>
        <v>35.555555555555557</v>
      </c>
      <c r="T73" s="118">
        <f t="shared" si="243"/>
        <v>1.9506988878046139E-2</v>
      </c>
      <c r="U73" s="128"/>
      <c r="V73" s="133">
        <f t="shared" ref="V73:AE73" si="259">V20/V57</f>
        <v>40.087145969498906</v>
      </c>
      <c r="W73" s="133">
        <f t="shared" si="259"/>
        <v>45.196292024435039</v>
      </c>
      <c r="X73" s="133">
        <f t="shared" si="259"/>
        <v>50.956603753039502</v>
      </c>
      <c r="Y73" s="133">
        <f t="shared" si="259"/>
        <v>57.451072858819039</v>
      </c>
      <c r="Z73" s="133">
        <f t="shared" si="259"/>
        <v>64.773268419256752</v>
      </c>
      <c r="AA73" s="133">
        <f t="shared" si="259"/>
        <v>73.028684982495349</v>
      </c>
      <c r="AB73" s="133">
        <f t="shared" si="259"/>
        <v>82.336262480264367</v>
      </c>
      <c r="AC73" s="133">
        <f t="shared" si="259"/>
        <v>92.830099855200018</v>
      </c>
      <c r="AD73" s="133">
        <f t="shared" si="259"/>
        <v>104.66138709164707</v>
      </c>
      <c r="AE73" s="133">
        <f t="shared" si="259"/>
        <v>118.00058348568049</v>
      </c>
      <c r="AF73" s="137">
        <f t="shared" ref="AF73" si="260">((AE73/I73)^(1/($AE$3-$J$1) ))-1</f>
        <v>8.7258414485137381E-2</v>
      </c>
      <c r="AG73" s="31">
        <f t="shared" si="16"/>
        <v>0.05</v>
      </c>
      <c r="AH73" s="145">
        <f t="shared" si="255"/>
        <v>728.82713329390901</v>
      </c>
    </row>
    <row r="74" spans="2:34">
      <c r="B74" s="20" t="s">
        <v>245</v>
      </c>
      <c r="C74" s="25"/>
      <c r="D74" s="25"/>
      <c r="E74" s="25"/>
      <c r="F74" s="25"/>
      <c r="G74" s="133">
        <f t="shared" ref="G74:H74" si="261">G7/G57</f>
        <v>149.34725848563968</v>
      </c>
      <c r="H74" s="133">
        <f t="shared" si="261"/>
        <v>156.91906005221932</v>
      </c>
      <c r="I74" s="133">
        <f t="shared" ref="I74:R74" si="262">I7/I57</f>
        <v>165.53524804177545</v>
      </c>
      <c r="J74" s="133">
        <f t="shared" si="262"/>
        <v>201.50862068965517</v>
      </c>
      <c r="K74" s="133">
        <f t="shared" si="262"/>
        <v>24.201474201474198</v>
      </c>
      <c r="L74" s="133">
        <f t="shared" si="262"/>
        <v>26.765873015873016</v>
      </c>
      <c r="M74" s="133">
        <f t="shared" si="262"/>
        <v>39.027777777777779</v>
      </c>
      <c r="N74" s="133">
        <f t="shared" si="262"/>
        <v>47.857142857142861</v>
      </c>
      <c r="O74" s="133">
        <f t="shared" si="262"/>
        <v>56.19047619047619</v>
      </c>
      <c r="P74" s="133">
        <f t="shared" si="262"/>
        <v>67.460317460317455</v>
      </c>
      <c r="Q74" s="133">
        <f t="shared" si="262"/>
        <v>90.753968253968253</v>
      </c>
      <c r="R74" s="133">
        <f t="shared" si="262"/>
        <v>99.980158730158735</v>
      </c>
      <c r="S74" s="133">
        <f t="shared" ref="S74" si="263">S7/S57</f>
        <v>122.59920634920636</v>
      </c>
      <c r="T74" s="118">
        <f t="shared" si="243"/>
        <v>-1.6311637154833858E-2</v>
      </c>
      <c r="U74" s="128"/>
      <c r="V74" s="156">
        <f t="shared" ref="V74:AE74" si="264">V7/V57</f>
        <v>138.22459539371303</v>
      </c>
      <c r="W74" s="156">
        <f t="shared" si="264"/>
        <v>155.84145559095094</v>
      </c>
      <c r="X74" s="156">
        <f t="shared" si="264"/>
        <v>175.70360189175841</v>
      </c>
      <c r="Y74" s="156">
        <f t="shared" si="264"/>
        <v>198.09719821129625</v>
      </c>
      <c r="Z74" s="156">
        <f t="shared" si="264"/>
        <v>223.34488033626533</v>
      </c>
      <c r="AA74" s="156">
        <f t="shared" si="264"/>
        <v>251.81040430069132</v>
      </c>
      <c r="AB74" s="156">
        <f t="shared" si="264"/>
        <v>283.9038872017598</v>
      </c>
      <c r="AC74" s="156">
        <f t="shared" si="264"/>
        <v>320.08771596276836</v>
      </c>
      <c r="AD74" s="156">
        <f t="shared" si="264"/>
        <v>360.88320917370936</v>
      </c>
      <c r="AE74" s="156">
        <f t="shared" si="264"/>
        <v>406.8781279899664</v>
      </c>
      <c r="AF74" s="137">
        <f t="shared" si="254"/>
        <v>4.3755447826948402E-2</v>
      </c>
      <c r="AG74" s="31">
        <f t="shared" si="16"/>
        <v>0.05</v>
      </c>
      <c r="AH74" s="145">
        <f t="shared" si="255"/>
        <v>2513.0707905262634</v>
      </c>
    </row>
    <row r="75" spans="2:34">
      <c r="B75" s="20" t="s">
        <v>246</v>
      </c>
      <c r="C75" s="127"/>
      <c r="D75" s="127"/>
      <c r="E75" s="127"/>
      <c r="F75" s="127"/>
      <c r="G75" s="143">
        <f t="shared" ref="G75:H75" si="265">G6/G57</f>
        <v>138.38120104438642</v>
      </c>
      <c r="H75" s="143">
        <f t="shared" si="265"/>
        <v>145.95300261096605</v>
      </c>
      <c r="I75" s="143">
        <f t="shared" ref="I75:R75" si="266">I6/I57</f>
        <v>154.56919060052218</v>
      </c>
      <c r="J75" s="143">
        <f t="shared" si="266"/>
        <v>188.14655172413794</v>
      </c>
      <c r="K75" s="143">
        <f t="shared" si="266"/>
        <v>23.034398034398034</v>
      </c>
      <c r="L75" s="143">
        <f t="shared" si="266"/>
        <v>25.714285714285715</v>
      </c>
      <c r="M75" s="143">
        <f t="shared" si="266"/>
        <v>37.976190476190474</v>
      </c>
      <c r="N75" s="143">
        <f t="shared" si="266"/>
        <v>46.845238095238095</v>
      </c>
      <c r="O75" s="143">
        <f t="shared" si="266"/>
        <v>55.198412698412703</v>
      </c>
      <c r="P75" s="143">
        <f t="shared" si="266"/>
        <v>66.25</v>
      </c>
      <c r="Q75" s="143">
        <f t="shared" si="266"/>
        <v>89.543650793650798</v>
      </c>
      <c r="R75" s="143">
        <f t="shared" si="266"/>
        <v>98.968253968253975</v>
      </c>
      <c r="S75" s="143">
        <f t="shared" ref="S75" si="267">S6/S57</f>
        <v>121.5873015873016</v>
      </c>
      <c r="T75" s="118">
        <f t="shared" si="243"/>
        <v>-1.0723725369855996E-2</v>
      </c>
      <c r="U75" s="128"/>
      <c r="V75" s="155">
        <f t="shared" ref="V75:AE75" si="268">V6/V57</f>
        <v>137.08372237784002</v>
      </c>
      <c r="W75" s="155">
        <f t="shared" si="268"/>
        <v>154.55517719070195</v>
      </c>
      <c r="X75" s="155">
        <f t="shared" si="268"/>
        <v>174.25338604834045</v>
      </c>
      <c r="Y75" s="155">
        <f t="shared" si="268"/>
        <v>196.46215093685441</v>
      </c>
      <c r="Z75" s="155">
        <f t="shared" si="268"/>
        <v>221.5014446837084</v>
      </c>
      <c r="AA75" s="155">
        <f t="shared" si="268"/>
        <v>249.73202096692609</v>
      </c>
      <c r="AB75" s="155">
        <f t="shared" si="268"/>
        <v>281.56061187447551</v>
      </c>
      <c r="AC75" s="155">
        <f t="shared" si="268"/>
        <v>317.44578789769292</v>
      </c>
      <c r="AD75" s="155">
        <f t="shared" si="268"/>
        <v>357.90456478661451</v>
      </c>
      <c r="AE75" s="155">
        <f t="shared" si="268"/>
        <v>403.51985245549673</v>
      </c>
      <c r="AF75" s="137">
        <f t="shared" si="254"/>
        <v>4.6754546452957957E-2</v>
      </c>
      <c r="AG75" s="31">
        <f t="shared" si="16"/>
        <v>0.05</v>
      </c>
      <c r="AH75" s="145">
        <f t="shared" si="255"/>
        <v>2492.3285004604213</v>
      </c>
    </row>
    <row r="76" spans="2:34">
      <c r="B76" s="20" t="s">
        <v>247</v>
      </c>
      <c r="C76" s="127"/>
      <c r="D76" s="127"/>
      <c r="E76" s="127"/>
      <c r="F76" s="127"/>
      <c r="G76" s="143">
        <f t="shared" ref="G76:H76" si="269">G10/G57</f>
        <v>109.92167101827675</v>
      </c>
      <c r="H76" s="143">
        <f t="shared" si="269"/>
        <v>142.03655352480416</v>
      </c>
      <c r="I76" s="143">
        <f t="shared" ref="I76:R76" si="270">I10/I57</f>
        <v>195.822454308094</v>
      </c>
      <c r="J76" s="143">
        <f t="shared" si="270"/>
        <v>177.37068965517241</v>
      </c>
      <c r="K76" s="143">
        <f t="shared" si="270"/>
        <v>13.226863226863227</v>
      </c>
      <c r="L76" s="143">
        <f t="shared" si="270"/>
        <v>17.658730158730158</v>
      </c>
      <c r="M76" s="143">
        <f t="shared" si="270"/>
        <v>33.86904761904762</v>
      </c>
      <c r="N76" s="143">
        <f t="shared" si="270"/>
        <v>49.206349206349209</v>
      </c>
      <c r="O76" s="143">
        <f t="shared" si="270"/>
        <v>50.57539682539683</v>
      </c>
      <c r="P76" s="143">
        <f t="shared" si="270"/>
        <v>45.257936507936506</v>
      </c>
      <c r="Q76" s="143">
        <f t="shared" si="270"/>
        <v>19.603174603174605</v>
      </c>
      <c r="R76" s="143">
        <f t="shared" si="270"/>
        <v>15.873015873015873</v>
      </c>
      <c r="S76" s="143">
        <f t="shared" ref="S76" si="271">S10/S57</f>
        <v>26.765873015873016</v>
      </c>
      <c r="T76" s="118">
        <f t="shared" si="243"/>
        <v>-0.1110551035306182</v>
      </c>
      <c r="U76" s="128"/>
      <c r="V76" s="155">
        <f t="shared" ref="V76:AE76" si="272">V10/V57</f>
        <v>30.177209772798005</v>
      </c>
      <c r="W76" s="155">
        <f t="shared" si="272"/>
        <v>34.023324743840888</v>
      </c>
      <c r="X76" s="155">
        <f t="shared" si="272"/>
        <v>38.359630838644136</v>
      </c>
      <c r="Y76" s="155">
        <f t="shared" si="272"/>
        <v>43.248603396510539</v>
      </c>
      <c r="Z76" s="155">
        <f t="shared" si="272"/>
        <v>48.760680299987364</v>
      </c>
      <c r="AA76" s="155">
        <f t="shared" si="272"/>
        <v>54.975276808809276</v>
      </c>
      <c r="AB76" s="155">
        <f t="shared" si="272"/>
        <v>61.981929735422213</v>
      </c>
      <c r="AC76" s="155">
        <f t="shared" si="272"/>
        <v>69.881587446799543</v>
      </c>
      <c r="AD76" s="155">
        <f t="shared" si="272"/>
        <v>78.788064278254382</v>
      </c>
      <c r="AE76" s="155">
        <f t="shared" si="272"/>
        <v>88.829680313718157</v>
      </c>
      <c r="AF76" s="137">
        <f t="shared" si="254"/>
        <v>-3.6942601680581943E-2</v>
      </c>
      <c r="AG76" s="31">
        <f t="shared" si="16"/>
        <v>0.05</v>
      </c>
      <c r="AH76" s="145">
        <f t="shared" si="255"/>
        <v>548.65390782002396</v>
      </c>
    </row>
    <row r="77" spans="2:34">
      <c r="B77" s="20"/>
      <c r="C77" s="127"/>
      <c r="D77" s="127"/>
      <c r="E77" s="127"/>
      <c r="F77" s="127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28"/>
      <c r="U77" s="128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38"/>
      <c r="AG77" s="136"/>
      <c r="AH77" s="145"/>
    </row>
    <row r="78" spans="2:34">
      <c r="B78" s="20" t="s">
        <v>270</v>
      </c>
      <c r="C78" s="127"/>
      <c r="D78" s="127"/>
      <c r="E78" s="127"/>
      <c r="F78" s="127"/>
      <c r="G78" s="143">
        <f t="shared" ref="G78:H78" si="273">(G7-G10)/G57</f>
        <v>39.425587467362924</v>
      </c>
      <c r="H78" s="143">
        <f t="shared" si="273"/>
        <v>14.882506527415144</v>
      </c>
      <c r="I78" s="143">
        <f t="shared" ref="I78:R78" si="274">(I7-I10)/I57</f>
        <v>-30.287206266318538</v>
      </c>
      <c r="J78" s="143">
        <f t="shared" si="274"/>
        <v>24.137931034482762</v>
      </c>
      <c r="K78" s="143">
        <f t="shared" si="274"/>
        <v>10.974610974610973</v>
      </c>
      <c r="L78" s="143">
        <f t="shared" si="274"/>
        <v>9.1071428571428577</v>
      </c>
      <c r="M78" s="143">
        <f t="shared" si="274"/>
        <v>5.1587301587301591</v>
      </c>
      <c r="N78" s="143">
        <f t="shared" si="274"/>
        <v>-1.3492063492063493</v>
      </c>
      <c r="O78" s="143">
        <f t="shared" si="274"/>
        <v>5.6150793650793656</v>
      </c>
      <c r="P78" s="143">
        <f t="shared" si="274"/>
        <v>22.202380952380953</v>
      </c>
      <c r="Q78" s="143">
        <f t="shared" si="274"/>
        <v>71.150793650793659</v>
      </c>
      <c r="R78" s="143">
        <f t="shared" si="274"/>
        <v>84.107142857142861</v>
      </c>
      <c r="S78" s="143">
        <f t="shared" ref="S78" si="275">(S7-S10)/S57</f>
        <v>95.833333333333343</v>
      </c>
      <c r="T78" s="118">
        <f t="shared" si="243"/>
        <v>7.6824352021843456E-2</v>
      </c>
      <c r="U78" s="128"/>
      <c r="V78" s="155">
        <f t="shared" ref="V78:AE78" si="276">(V7-V10)/V57</f>
        <v>108.04738562091504</v>
      </c>
      <c r="W78" s="155">
        <f t="shared" si="276"/>
        <v>121.81813084711007</v>
      </c>
      <c r="X78" s="155">
        <f t="shared" si="276"/>
        <v>137.34397105311427</v>
      </c>
      <c r="Y78" s="155">
        <f t="shared" si="276"/>
        <v>154.84859481478571</v>
      </c>
      <c r="Z78" s="155">
        <f t="shared" si="276"/>
        <v>174.58420003627799</v>
      </c>
      <c r="AA78" s="155">
        <f t="shared" si="276"/>
        <v>196.83512749188202</v>
      </c>
      <c r="AB78" s="155">
        <f t="shared" si="276"/>
        <v>221.92195746633757</v>
      </c>
      <c r="AC78" s="155">
        <f t="shared" si="276"/>
        <v>250.2061285159688</v>
      </c>
      <c r="AD78" s="155">
        <f t="shared" si="276"/>
        <v>282.09514489545501</v>
      </c>
      <c r="AE78" s="155">
        <f t="shared" si="276"/>
        <v>318.04844767624832</v>
      </c>
      <c r="AF78" s="137">
        <f t="shared" si="254"/>
        <v>-2.1184850757695841</v>
      </c>
      <c r="AG78" s="31">
        <f t="shared" si="16"/>
        <v>0.05</v>
      </c>
      <c r="AH78" s="145">
        <f t="shared" si="255"/>
        <v>1964.4168827062399</v>
      </c>
    </row>
    <row r="79" spans="2:34">
      <c r="B79" s="20" t="s">
        <v>271</v>
      </c>
      <c r="C79" s="127"/>
      <c r="D79" s="127"/>
      <c r="E79" s="127"/>
      <c r="F79" s="127"/>
      <c r="G79" s="143">
        <f t="shared" ref="G79:H79" si="277">(G7-G10-G9)/G57</f>
        <v>-57.963446475195823</v>
      </c>
      <c r="H79" s="143">
        <f t="shared" si="277"/>
        <v>-112.53263707571801</v>
      </c>
      <c r="I79" s="143">
        <f t="shared" ref="I79:R79" si="278">(I7-I10-I9)/I57</f>
        <v>-168.40731070496082</v>
      </c>
      <c r="J79" s="143">
        <f t="shared" si="278"/>
        <v>-189.22413793103451</v>
      </c>
      <c r="K79" s="143">
        <f t="shared" si="278"/>
        <v>-7.2481572481572476</v>
      </c>
      <c r="L79" s="143">
        <f t="shared" si="278"/>
        <v>-6.8055555555555554</v>
      </c>
      <c r="M79" s="143">
        <f t="shared" si="278"/>
        <v>-26.746031746031747</v>
      </c>
      <c r="N79" s="143">
        <f t="shared" si="278"/>
        <v>-41.587301587301589</v>
      </c>
      <c r="O79" s="143">
        <f t="shared" si="278"/>
        <v>-44.146825396825399</v>
      </c>
      <c r="P79" s="143">
        <f t="shared" si="278"/>
        <v>-22.539682539682541</v>
      </c>
      <c r="Q79" s="143">
        <f t="shared" si="278"/>
        <v>15.892857142857144</v>
      </c>
      <c r="R79" s="143">
        <f t="shared" si="278"/>
        <v>43.353174603174601</v>
      </c>
      <c r="S79" s="143">
        <f t="shared" ref="S79" si="279">(S7-S10-S9)/S57</f>
        <v>40.892857142857146</v>
      </c>
      <c r="T79" s="118" t="e">
        <f t="shared" si="243"/>
        <v>#NUM!</v>
      </c>
      <c r="U79" s="128"/>
      <c r="V79" s="155">
        <f t="shared" ref="V79:AE79" si="280">(V7-V10-V9)/V57</f>
        <v>46.104691876750699</v>
      </c>
      <c r="W79" s="155">
        <f t="shared" si="280"/>
        <v>51.980780057120882</v>
      </c>
      <c r="X79" s="155">
        <f t="shared" si="280"/>
        <v>58.605781436950004</v>
      </c>
      <c r="Y79" s="155">
        <f t="shared" si="280"/>
        <v>66.07514573773777</v>
      </c>
      <c r="Z79" s="155">
        <f t="shared" si="280"/>
        <v>74.49648784156706</v>
      </c>
      <c r="AA79" s="155">
        <f t="shared" si="280"/>
        <v>83.991138252747177</v>
      </c>
      <c r="AB79" s="155">
        <f t="shared" si="280"/>
        <v>94.695891167312993</v>
      </c>
      <c r="AC79" s="155">
        <f t="shared" si="280"/>
        <v>106.76497533569601</v>
      </c>
      <c r="AD79" s="155">
        <f t="shared" si="280"/>
        <v>120.3722761137749</v>
      </c>
      <c r="AE79" s="155">
        <f t="shared" si="280"/>
        <v>135.71384071651096</v>
      </c>
      <c r="AF79" s="137">
        <f t="shared" si="254"/>
        <v>-1.989774687308141</v>
      </c>
      <c r="AG79" s="31">
        <f t="shared" si="16"/>
        <v>0.05</v>
      </c>
      <c r="AH79" s="145">
        <f t="shared" si="255"/>
        <v>838.2325456019795</v>
      </c>
    </row>
    <row r="80" spans="2:34">
      <c r="B80" s="20" t="s">
        <v>276</v>
      </c>
      <c r="C80" s="127"/>
      <c r="D80" s="127"/>
      <c r="E80" s="127"/>
      <c r="F80" s="127"/>
      <c r="G80" s="143">
        <f t="shared" ref="G80:H80" si="281">(G7+G15-G10-G9)/G57</f>
        <v>57.441253263707573</v>
      </c>
      <c r="H80" s="143">
        <f t="shared" si="281"/>
        <v>39.164490861618795</v>
      </c>
      <c r="I80" s="143">
        <f t="shared" ref="I80:R80" si="282">(I7+I15-I10-I9)/I57</f>
        <v>11.74934725848564</v>
      </c>
      <c r="J80" s="143">
        <f t="shared" si="282"/>
        <v>60.560344827586214</v>
      </c>
      <c r="K80" s="143">
        <f t="shared" si="282"/>
        <v>17.301392301392301</v>
      </c>
      <c r="L80" s="143">
        <f t="shared" si="282"/>
        <v>13.888888888888889</v>
      </c>
      <c r="M80" s="143">
        <f t="shared" si="282"/>
        <v>14.186507936507937</v>
      </c>
      <c r="N80" s="143">
        <f t="shared" si="282"/>
        <v>15.833333333333334</v>
      </c>
      <c r="O80" s="143">
        <f t="shared" si="282"/>
        <v>21.666666666666668</v>
      </c>
      <c r="P80" s="143">
        <f t="shared" si="282"/>
        <v>44.047619047619051</v>
      </c>
      <c r="Q80" s="143">
        <f t="shared" si="282"/>
        <v>90.555555555555557</v>
      </c>
      <c r="R80" s="143">
        <f t="shared" si="282"/>
        <v>109.44444444444444</v>
      </c>
      <c r="S80" s="143">
        <f t="shared" ref="S80" si="283">(S7+S15-S10-S9)/S57</f>
        <v>112.77777777777779</v>
      </c>
      <c r="T80" s="118">
        <f t="shared" si="243"/>
        <v>5.78318415976109E-2</v>
      </c>
      <c r="U80" s="128"/>
      <c r="V80" s="155">
        <f t="shared" ref="V80:AE80" si="284">(V7+V15-V10-V9)/V57</f>
        <v>127.15141612200432</v>
      </c>
      <c r="W80" s="155">
        <f t="shared" si="284"/>
        <v>143.3569887650049</v>
      </c>
      <c r="X80" s="155">
        <f t="shared" si="284"/>
        <v>161.62797752917217</v>
      </c>
      <c r="Y80" s="155">
        <f t="shared" si="284"/>
        <v>182.22762172406667</v>
      </c>
      <c r="Z80" s="155">
        <f t="shared" si="284"/>
        <v>205.45271076733005</v>
      </c>
      <c r="AA80" s="155">
        <f t="shared" si="284"/>
        <v>231.63786017885246</v>
      </c>
      <c r="AB80" s="155">
        <f t="shared" si="284"/>
        <v>261.16033255458854</v>
      </c>
      <c r="AC80" s="155">
        <f t="shared" si="284"/>
        <v>294.44547297821259</v>
      </c>
      <c r="AD80" s="155">
        <f t="shared" si="284"/>
        <v>331.97283718131797</v>
      </c>
      <c r="AE80" s="155">
        <f t="shared" si="284"/>
        <v>374.28310074364288</v>
      </c>
      <c r="AF80" s="137">
        <f t="shared" si="254"/>
        <v>0.17918055385185871</v>
      </c>
      <c r="AG80" s="31">
        <f t="shared" si="16"/>
        <v>0.05</v>
      </c>
      <c r="AH80" s="145">
        <f t="shared" si="255"/>
        <v>2311.7485634166178</v>
      </c>
    </row>
    <row r="81" spans="2:34">
      <c r="B81" s="20"/>
      <c r="C81" s="127"/>
      <c r="D81" s="127"/>
      <c r="E81" s="127"/>
      <c r="F81" s="127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28"/>
      <c r="U81" s="128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38"/>
      <c r="AG81" s="136"/>
      <c r="AH81" s="152"/>
    </row>
    <row r="82" spans="2:34">
      <c r="B82" s="20" t="s">
        <v>248</v>
      </c>
      <c r="C82" s="127"/>
      <c r="D82" s="127"/>
      <c r="E82" s="127"/>
      <c r="F82" s="127"/>
      <c r="G82" s="143">
        <f t="shared" ref="G82:H82" si="285">G12/G57</f>
        <v>28.720626631853786</v>
      </c>
      <c r="H82" s="143">
        <f t="shared" si="285"/>
        <v>31.592689295039165</v>
      </c>
      <c r="I82" s="143">
        <f t="shared" ref="I82:R82" si="286">I12/I57</f>
        <v>60.313315926892948</v>
      </c>
      <c r="J82" s="143">
        <f t="shared" si="286"/>
        <v>41.594827586206897</v>
      </c>
      <c r="K82" s="143">
        <f t="shared" si="286"/>
        <v>5.8353808353808354</v>
      </c>
      <c r="L82" s="143">
        <f t="shared" si="286"/>
        <v>7.162698412698413</v>
      </c>
      <c r="M82" s="143">
        <f t="shared" si="286"/>
        <v>6.9047619047619051</v>
      </c>
      <c r="N82" s="143">
        <f t="shared" si="286"/>
        <v>3.78968253968254</v>
      </c>
      <c r="O82" s="143">
        <f t="shared" si="286"/>
        <v>3.4325396825396828</v>
      </c>
      <c r="P82" s="143">
        <f t="shared" si="286"/>
        <v>6.6468253968253972</v>
      </c>
      <c r="Q82" s="143">
        <f t="shared" si="286"/>
        <v>12.976190476190476</v>
      </c>
      <c r="R82" s="143">
        <f t="shared" si="286"/>
        <v>11.805555555555555</v>
      </c>
      <c r="S82" s="143">
        <f t="shared" ref="S82" si="287">S12/S57</f>
        <v>11.805555555555555</v>
      </c>
      <c r="T82" s="118">
        <f t="shared" si="243"/>
        <v>-7.1409200165385434E-2</v>
      </c>
      <c r="U82" s="128"/>
      <c r="V82" s="155">
        <f t="shared" ref="V82:AE82" si="288">V12/V57</f>
        <v>13.310185185185185</v>
      </c>
      <c r="W82" s="155">
        <f t="shared" si="288"/>
        <v>15.006581336238197</v>
      </c>
      <c r="X82" s="155">
        <f t="shared" si="288"/>
        <v>16.919184839876397</v>
      </c>
      <c r="Y82" s="155">
        <f t="shared" si="288"/>
        <v>19.075551535154759</v>
      </c>
      <c r="Z82" s="155">
        <f t="shared" si="288"/>
        <v>21.506749279831347</v>
      </c>
      <c r="AA82" s="155">
        <f t="shared" si="288"/>
        <v>24.247805560594163</v>
      </c>
      <c r="AB82" s="155">
        <f t="shared" si="288"/>
        <v>27.338212151650282</v>
      </c>
      <c r="AC82" s="155">
        <f t="shared" si="288"/>
        <v>30.822494092546883</v>
      </c>
      <c r="AD82" s="155">
        <f t="shared" si="288"/>
        <v>34.750851182773445</v>
      </c>
      <c r="AE82" s="155">
        <f t="shared" si="288"/>
        <v>39.179881235479861</v>
      </c>
      <c r="AF82" s="137">
        <f t="shared" si="254"/>
        <v>-2.0332801524088562E-2</v>
      </c>
      <c r="AG82" s="31">
        <f t="shared" si="16"/>
        <v>0.05</v>
      </c>
      <c r="AH82" s="145">
        <f t="shared" si="255"/>
        <v>241.99338410149329</v>
      </c>
    </row>
    <row r="83" spans="2:34">
      <c r="B83" s="20" t="s">
        <v>255</v>
      </c>
      <c r="C83" s="127"/>
      <c r="D83" s="127"/>
      <c r="E83" s="127"/>
      <c r="F83" s="127"/>
      <c r="G83" s="143">
        <f t="shared" ref="G83:H83" si="289">G13/G57</f>
        <v>16.710182767624019</v>
      </c>
      <c r="H83" s="143">
        <f t="shared" si="289"/>
        <v>0.78328981723237601</v>
      </c>
      <c r="I83" s="143">
        <f t="shared" ref="I83:R83" si="290">I13/I57</f>
        <v>0.10443864229765014</v>
      </c>
      <c r="J83" s="143">
        <f t="shared" si="290"/>
        <v>1.0775862068965518</v>
      </c>
      <c r="K83" s="143">
        <f t="shared" si="290"/>
        <v>0.10237510237510236</v>
      </c>
      <c r="L83" s="143">
        <f t="shared" si="290"/>
        <v>9.9206349206349215E-2</v>
      </c>
      <c r="M83" s="143">
        <f t="shared" si="290"/>
        <v>0.11904761904761905</v>
      </c>
      <c r="N83" s="143">
        <f t="shared" si="290"/>
        <v>0.21825396825396826</v>
      </c>
      <c r="O83" s="143">
        <f t="shared" si="290"/>
        <v>0.31746031746031744</v>
      </c>
      <c r="P83" s="143">
        <f t="shared" si="290"/>
        <v>1.0912698412698414</v>
      </c>
      <c r="Q83" s="143">
        <f t="shared" si="290"/>
        <v>1.2698412698412698</v>
      </c>
      <c r="R83" s="143">
        <f t="shared" si="290"/>
        <v>2.916666666666667</v>
      </c>
      <c r="S83" s="143">
        <f t="shared" ref="S83" si="291">S13/S57</f>
        <v>2.4206349206349209</v>
      </c>
      <c r="T83" s="118">
        <f t="shared" si="243"/>
        <v>-0.14870710672245702</v>
      </c>
      <c r="U83" s="128"/>
      <c r="V83" s="155">
        <f t="shared" ref="V83:AE83" si="292">V13/V57</f>
        <v>2.7291472144413316</v>
      </c>
      <c r="W83" s="155">
        <f t="shared" si="292"/>
        <v>3.0769797025564034</v>
      </c>
      <c r="X83" s="155">
        <f t="shared" si="292"/>
        <v>3.4691437822939837</v>
      </c>
      <c r="Y83" s="155">
        <f t="shared" si="292"/>
        <v>3.9112895584687064</v>
      </c>
      <c r="Z83" s="155">
        <f t="shared" si="292"/>
        <v>4.4097872472931492</v>
      </c>
      <c r="AA83" s="155">
        <f t="shared" si="292"/>
        <v>4.9718189552814911</v>
      </c>
      <c r="AB83" s="155">
        <f t="shared" si="292"/>
        <v>5.6054821554644256</v>
      </c>
      <c r="AC83" s="155">
        <f t="shared" si="292"/>
        <v>6.3199063517491068</v>
      </c>
      <c r="AD83" s="155">
        <f t="shared" si="292"/>
        <v>7.1253846122661493</v>
      </c>
      <c r="AE83" s="155">
        <f t="shared" si="292"/>
        <v>8.0335218667706574</v>
      </c>
      <c r="AF83" s="137">
        <f t="shared" si="254"/>
        <v>0.22973534409975271</v>
      </c>
      <c r="AG83" s="31">
        <f t="shared" si="16"/>
        <v>0.05</v>
      </c>
      <c r="AH83" s="145">
        <f t="shared" si="255"/>
        <v>49.618811530054067</v>
      </c>
    </row>
    <row r="84" spans="2:34">
      <c r="B84" s="20" t="s">
        <v>256</v>
      </c>
      <c r="C84" s="127"/>
      <c r="D84" s="127"/>
      <c r="E84" s="127"/>
      <c r="F84" s="127"/>
      <c r="G84" s="143">
        <f t="shared" ref="G84:H84" si="293">(G82+G83)</f>
        <v>45.430809399477809</v>
      </c>
      <c r="H84" s="143">
        <f t="shared" si="293"/>
        <v>32.375979112271544</v>
      </c>
      <c r="I84" s="143">
        <f t="shared" ref="I84:R84" si="294">(I82+I83)</f>
        <v>60.417754569190599</v>
      </c>
      <c r="J84" s="143">
        <f t="shared" si="294"/>
        <v>42.672413793103452</v>
      </c>
      <c r="K84" s="143">
        <f t="shared" si="294"/>
        <v>5.9377559377559379</v>
      </c>
      <c r="L84" s="143">
        <f t="shared" si="294"/>
        <v>7.2619047619047619</v>
      </c>
      <c r="M84" s="143">
        <f t="shared" si="294"/>
        <v>7.0238095238095237</v>
      </c>
      <c r="N84" s="143">
        <f t="shared" si="294"/>
        <v>4.0079365079365079</v>
      </c>
      <c r="O84" s="143">
        <f t="shared" si="294"/>
        <v>3.75</v>
      </c>
      <c r="P84" s="143">
        <f t="shared" si="294"/>
        <v>7.738095238095239</v>
      </c>
      <c r="Q84" s="143">
        <f t="shared" ref="Q84" si="295">(Q82+Q83)</f>
        <v>14.246031746031747</v>
      </c>
      <c r="R84" s="143">
        <f t="shared" si="294"/>
        <v>14.722222222222221</v>
      </c>
      <c r="S84" s="143">
        <f t="shared" ref="S84" si="296">(S82+S83)</f>
        <v>14.226190476190476</v>
      </c>
      <c r="T84" s="118">
        <f t="shared" si="243"/>
        <v>-9.2225082393101787E-2</v>
      </c>
      <c r="U84" s="128"/>
      <c r="V84" s="155">
        <f t="shared" ref="V84:AE84" si="297">(V82+V83)</f>
        <v>16.039332399626517</v>
      </c>
      <c r="W84" s="155">
        <f t="shared" si="297"/>
        <v>18.083561038794599</v>
      </c>
      <c r="X84" s="155">
        <f t="shared" si="297"/>
        <v>20.388328622170381</v>
      </c>
      <c r="Y84" s="155">
        <f t="shared" si="297"/>
        <v>22.986841093623465</v>
      </c>
      <c r="Z84" s="155">
        <f t="shared" si="297"/>
        <v>25.916536527124496</v>
      </c>
      <c r="AA84" s="155">
        <f t="shared" si="297"/>
        <v>29.219624515875655</v>
      </c>
      <c r="AB84" s="155">
        <f t="shared" si="297"/>
        <v>32.943694307114711</v>
      </c>
      <c r="AC84" s="155">
        <f t="shared" si="297"/>
        <v>37.142400444295987</v>
      </c>
      <c r="AD84" s="155">
        <f t="shared" si="297"/>
        <v>41.876235795039591</v>
      </c>
      <c r="AE84" s="155">
        <f t="shared" si="297"/>
        <v>47.213403102250517</v>
      </c>
      <c r="AF84" s="137">
        <f t="shared" si="254"/>
        <v>-1.1674423390051869E-2</v>
      </c>
      <c r="AG84" s="31">
        <f t="shared" si="16"/>
        <v>0.05</v>
      </c>
      <c r="AH84" s="145">
        <f t="shared" si="255"/>
        <v>291.61219563154737</v>
      </c>
    </row>
    <row r="85" spans="2:34">
      <c r="B85" s="20" t="s">
        <v>249</v>
      </c>
      <c r="C85" s="127"/>
      <c r="D85" s="127"/>
      <c r="E85" s="127"/>
      <c r="F85" s="127"/>
      <c r="G85" s="143">
        <f t="shared" ref="G85:H85" si="298">G15/G57</f>
        <v>115.40469973890339</v>
      </c>
      <c r="H85" s="143">
        <f t="shared" si="298"/>
        <v>151.6971279373368</v>
      </c>
      <c r="I85" s="143">
        <f t="shared" ref="I85:R85" si="299">I15/I57</f>
        <v>180.15665796344646</v>
      </c>
      <c r="J85" s="143">
        <f t="shared" si="299"/>
        <v>249.7844827586207</v>
      </c>
      <c r="K85" s="143">
        <f t="shared" si="299"/>
        <v>24.549549549549546</v>
      </c>
      <c r="L85" s="143">
        <f t="shared" si="299"/>
        <v>20.694444444444446</v>
      </c>
      <c r="M85" s="143">
        <f t="shared" si="299"/>
        <v>40.932539682539684</v>
      </c>
      <c r="N85" s="143">
        <f t="shared" si="299"/>
        <v>57.420634920634924</v>
      </c>
      <c r="O85" s="143">
        <f t="shared" si="299"/>
        <v>65.813492063492063</v>
      </c>
      <c r="P85" s="143">
        <f t="shared" si="299"/>
        <v>66.587301587301596</v>
      </c>
      <c r="Q85" s="143">
        <f t="shared" si="299"/>
        <v>74.662698412698418</v>
      </c>
      <c r="R85" s="143">
        <f t="shared" si="299"/>
        <v>66.091269841269849</v>
      </c>
      <c r="S85" s="143">
        <f t="shared" ref="S85" si="300">S15/S57</f>
        <v>71.884920634920633</v>
      </c>
      <c r="T85" s="118">
        <f t="shared" si="243"/>
        <v>-3.868026399942881E-2</v>
      </c>
      <c r="U85" s="128"/>
      <c r="V85" s="155">
        <f t="shared" ref="V85:AE85" si="301">V15/V57</f>
        <v>81.046724245253657</v>
      </c>
      <c r="W85" s="155">
        <f t="shared" si="301"/>
        <v>91.376208707884018</v>
      </c>
      <c r="X85" s="155">
        <f t="shared" si="301"/>
        <v>103.02219609222216</v>
      </c>
      <c r="Y85" s="155">
        <f t="shared" si="301"/>
        <v>116.15247598632889</v>
      </c>
      <c r="Z85" s="155">
        <f t="shared" si="301"/>
        <v>130.95622292576297</v>
      </c>
      <c r="AA85" s="155">
        <f t="shared" si="301"/>
        <v>147.64672192610527</v>
      </c>
      <c r="AB85" s="155">
        <f t="shared" si="301"/>
        <v>166.46444138727554</v>
      </c>
      <c r="AC85" s="155">
        <f t="shared" si="301"/>
        <v>187.68049764251651</v>
      </c>
      <c r="AD85" s="155">
        <f t="shared" si="301"/>
        <v>211.60056106754308</v>
      </c>
      <c r="AE85" s="155">
        <f t="shared" si="301"/>
        <v>238.56926002713189</v>
      </c>
      <c r="AF85" s="137">
        <f t="shared" si="254"/>
        <v>1.3462812331618945E-2</v>
      </c>
      <c r="AG85" s="31">
        <f t="shared" si="16"/>
        <v>0.05</v>
      </c>
      <c r="AH85" s="145">
        <f t="shared" si="255"/>
        <v>1473.5160178146384</v>
      </c>
    </row>
    <row r="86" spans="2:34">
      <c r="B86" s="20" t="s">
        <v>250</v>
      </c>
      <c r="C86" s="127"/>
      <c r="D86" s="127"/>
      <c r="E86" s="127"/>
      <c r="F86" s="127"/>
      <c r="G86" s="143">
        <f t="shared" ref="G86:H86" si="302">G16/G57</f>
        <v>55.613577023498692</v>
      </c>
      <c r="H86" s="143">
        <f t="shared" si="302"/>
        <v>62.663185378590079</v>
      </c>
      <c r="I86" s="143">
        <f t="shared" ref="I86:R86" si="303">I16/I57</f>
        <v>121.40992167101828</v>
      </c>
      <c r="J86" s="143">
        <f t="shared" si="303"/>
        <v>81.896551724137936</v>
      </c>
      <c r="K86" s="143">
        <f t="shared" si="303"/>
        <v>10.278460278460278</v>
      </c>
      <c r="L86" s="143">
        <f t="shared" si="303"/>
        <v>10.476190476190476</v>
      </c>
      <c r="M86" s="143">
        <f t="shared" si="303"/>
        <v>11.369047619047619</v>
      </c>
      <c r="N86" s="143">
        <f t="shared" si="303"/>
        <v>17.063492063492063</v>
      </c>
      <c r="O86" s="143">
        <f t="shared" si="303"/>
        <v>17.460317460317462</v>
      </c>
      <c r="P86" s="143">
        <f t="shared" si="303"/>
        <v>19.742063492063494</v>
      </c>
      <c r="Q86" s="143">
        <f t="shared" si="303"/>
        <v>17.043650793650794</v>
      </c>
      <c r="R86" s="143">
        <f t="shared" si="303"/>
        <v>21.666666666666668</v>
      </c>
      <c r="S86" s="143">
        <f t="shared" ref="S86" si="304">S16/S57</f>
        <v>32.420634920634924</v>
      </c>
      <c r="T86" s="118">
        <f t="shared" si="243"/>
        <v>-4.3973221348388214E-2</v>
      </c>
      <c r="U86" s="128"/>
      <c r="V86" s="155">
        <f t="shared" ref="V86:AE86" si="305">V16/V57</f>
        <v>36.552676626206036</v>
      </c>
      <c r="W86" s="155">
        <f t="shared" si="305"/>
        <v>41.211351098173466</v>
      </c>
      <c r="X86" s="155">
        <f t="shared" si="305"/>
        <v>46.463778198921069</v>
      </c>
      <c r="Y86" s="155">
        <f t="shared" si="305"/>
        <v>52.385632283097273</v>
      </c>
      <c r="Z86" s="155">
        <f t="shared" si="305"/>
        <v>59.062232476041046</v>
      </c>
      <c r="AA86" s="155">
        <f t="shared" si="305"/>
        <v>66.589771909261955</v>
      </c>
      <c r="AB86" s="155">
        <f t="shared" si="305"/>
        <v>75.076703623187498</v>
      </c>
      <c r="AC86" s="155">
        <f t="shared" si="305"/>
        <v>84.64530310457414</v>
      </c>
      <c r="AD86" s="155">
        <f t="shared" si="305"/>
        <v>95.433429970843378</v>
      </c>
      <c r="AE86" s="155">
        <f t="shared" si="305"/>
        <v>107.59651418281361</v>
      </c>
      <c r="AF86" s="137">
        <f t="shared" si="254"/>
        <v>-5.7351267837572051E-3</v>
      </c>
      <c r="AG86" s="136"/>
      <c r="AH86" s="145">
        <f t="shared" si="255"/>
        <v>489.07506446733458</v>
      </c>
    </row>
    <row r="87" spans="2:34">
      <c r="B87" s="20"/>
      <c r="C87" s="127"/>
      <c r="D87" s="127"/>
      <c r="E87" s="127"/>
      <c r="F87" s="127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28"/>
      <c r="U87" s="128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38"/>
      <c r="AG87" s="31">
        <f t="shared" si="16"/>
        <v>0.05</v>
      </c>
      <c r="AH87" s="145">
        <f t="shared" si="255"/>
        <v>0</v>
      </c>
    </row>
    <row r="88" spans="2:34">
      <c r="B88" s="20" t="s">
        <v>282</v>
      </c>
      <c r="C88" s="157"/>
      <c r="D88" s="157"/>
      <c r="E88" s="157"/>
      <c r="F88" s="157"/>
      <c r="G88" s="157">
        <f t="shared" ref="G88:H88" si="306">G59</f>
        <v>4.5</v>
      </c>
      <c r="H88" s="157">
        <f t="shared" si="306"/>
        <v>4.5</v>
      </c>
      <c r="I88" s="157">
        <f t="shared" ref="I88:R88" si="307">I59</f>
        <v>4.5</v>
      </c>
      <c r="J88" s="157">
        <f t="shared" si="307"/>
        <v>4.5</v>
      </c>
      <c r="K88" s="157">
        <f t="shared" si="307"/>
        <v>0.5</v>
      </c>
      <c r="L88" s="157">
        <f t="shared" si="307"/>
        <v>0.45</v>
      </c>
      <c r="M88" s="157">
        <f t="shared" si="307"/>
        <v>0.75</v>
      </c>
      <c r="N88" s="157">
        <f t="shared" si="307"/>
        <v>0.5</v>
      </c>
      <c r="O88" s="157">
        <f t="shared" si="307"/>
        <v>0.5</v>
      </c>
      <c r="P88" s="157">
        <f t="shared" si="307"/>
        <v>0.5</v>
      </c>
      <c r="Q88" s="157">
        <f t="shared" si="307"/>
        <v>0.75</v>
      </c>
      <c r="R88" s="157">
        <f t="shared" si="307"/>
        <v>2</v>
      </c>
      <c r="S88" s="157">
        <f t="shared" ref="S88" si="308">S59</f>
        <v>2</v>
      </c>
      <c r="T88" s="118">
        <f t="shared" si="243"/>
        <v>-6.5344734815932837E-2</v>
      </c>
      <c r="U88" s="128"/>
      <c r="V88" s="157">
        <f t="shared" ref="V88:AE88" si="309">V59</f>
        <v>2.1</v>
      </c>
      <c r="W88" s="157">
        <f t="shared" si="309"/>
        <v>2.2050000000000001</v>
      </c>
      <c r="X88" s="157">
        <f t="shared" si="309"/>
        <v>2.3152500000000003</v>
      </c>
      <c r="Y88" s="157">
        <f t="shared" si="309"/>
        <v>2.4310125000000005</v>
      </c>
      <c r="Z88" s="157">
        <f t="shared" si="309"/>
        <v>2.5525631250000007</v>
      </c>
      <c r="AA88" s="157">
        <f t="shared" si="309"/>
        <v>2.6801912812500008</v>
      </c>
      <c r="AB88" s="157">
        <f t="shared" si="309"/>
        <v>2.8142008453125009</v>
      </c>
      <c r="AC88" s="157">
        <f t="shared" si="309"/>
        <v>2.954910887578126</v>
      </c>
      <c r="AD88" s="157">
        <f t="shared" si="309"/>
        <v>3.1026564319570324</v>
      </c>
      <c r="AE88" s="157">
        <f t="shared" si="309"/>
        <v>3.257789253554884</v>
      </c>
      <c r="AF88" s="137">
        <f t="shared" ref="AF88" si="310">((AE88/I88)^(1/($AE$3-$J$1) ))-1</f>
        <v>-1.526460958487541E-2</v>
      </c>
      <c r="AG88" s="31">
        <f t="shared" si="16"/>
        <v>0.05</v>
      </c>
      <c r="AH88" s="145">
        <f t="shared" si="255"/>
        <v>20.121639507250759</v>
      </c>
    </row>
    <row r="89" spans="2:34">
      <c r="B89" s="20"/>
      <c r="C89" s="127"/>
      <c r="D89" s="127"/>
      <c r="E89" s="127"/>
      <c r="F89" s="127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28"/>
      <c r="U89" s="128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38"/>
      <c r="AG89" s="136"/>
      <c r="AH89" s="152"/>
    </row>
    <row r="90" spans="2:34">
      <c r="B90" s="20" t="s">
        <v>315</v>
      </c>
      <c r="C90" s="127"/>
      <c r="D90" s="127"/>
      <c r="E90" s="127"/>
      <c r="F90" s="127"/>
      <c r="G90" s="143">
        <f t="shared" ref="G90:H90" si="311">G20+G21</f>
        <v>-197</v>
      </c>
      <c r="H90" s="143">
        <f t="shared" si="311"/>
        <v>-54</v>
      </c>
      <c r="I90" s="143">
        <f t="shared" ref="I90:R90" si="312">I20+I21</f>
        <v>-13</v>
      </c>
      <c r="J90" s="143">
        <f t="shared" si="312"/>
        <v>-43</v>
      </c>
      <c r="K90" s="143">
        <f t="shared" si="312"/>
        <v>259</v>
      </c>
      <c r="L90" s="143">
        <f t="shared" si="312"/>
        <v>-157</v>
      </c>
      <c r="M90" s="143">
        <f t="shared" si="312"/>
        <v>-351</v>
      </c>
      <c r="N90" s="143">
        <f t="shared" si="312"/>
        <v>-702</v>
      </c>
      <c r="O90" s="143">
        <f t="shared" si="312"/>
        <v>-4</v>
      </c>
      <c r="P90" s="143">
        <f t="shared" si="312"/>
        <v>363</v>
      </c>
      <c r="Q90" s="143">
        <f t="shared" si="312"/>
        <v>924</v>
      </c>
      <c r="R90" s="143">
        <f t="shared" si="312"/>
        <v>595</v>
      </c>
      <c r="S90" s="143">
        <f t="shared" ref="S90" si="313">S20+S21</f>
        <v>711</v>
      </c>
      <c r="T90" s="118" t="e">
        <f t="shared" si="243"/>
        <v>#NUM!</v>
      </c>
      <c r="U90" s="128"/>
      <c r="V90" s="143">
        <f t="shared" ref="V90:AE90" si="314">V20+V21</f>
        <v>817.64999999999986</v>
      </c>
      <c r="W90" s="143">
        <f t="shared" si="314"/>
        <v>940.2974999999999</v>
      </c>
      <c r="X90" s="143">
        <f t="shared" si="314"/>
        <v>1081.3421249999999</v>
      </c>
      <c r="Y90" s="143">
        <f t="shared" si="314"/>
        <v>1243.5434437499998</v>
      </c>
      <c r="Z90" s="143">
        <f t="shared" si="314"/>
        <v>1430.0749603124996</v>
      </c>
      <c r="AA90" s="143">
        <f t="shared" si="314"/>
        <v>1644.5862043593743</v>
      </c>
      <c r="AB90" s="143">
        <f t="shared" si="314"/>
        <v>1891.2741350132806</v>
      </c>
      <c r="AC90" s="143">
        <f t="shared" si="314"/>
        <v>2174.9652552652728</v>
      </c>
      <c r="AD90" s="143">
        <f t="shared" si="314"/>
        <v>2501.2100435550633</v>
      </c>
      <c r="AE90" s="143">
        <f t="shared" si="314"/>
        <v>2876.3915500883222</v>
      </c>
      <c r="AF90" s="137">
        <f t="shared" ref="AF90:AF95" si="315">((AE90/I90)^(1/($AE$3-$J$1) ))-1</f>
        <v>-2.293189370668884</v>
      </c>
      <c r="AG90" s="31">
        <f t="shared" si="16"/>
        <v>0.05</v>
      </c>
      <c r="AH90" s="145">
        <f t="shared" si="255"/>
        <v>17765.947809369052</v>
      </c>
    </row>
    <row r="91" spans="2:34">
      <c r="B91" s="20"/>
      <c r="C91" s="127"/>
      <c r="D91" s="127"/>
      <c r="E91" s="127"/>
      <c r="F91" s="127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28"/>
      <c r="U91" s="128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38"/>
      <c r="AG91" s="136"/>
      <c r="AH91" s="145"/>
    </row>
    <row r="92" spans="2:34">
      <c r="B92" s="20" t="s">
        <v>316</v>
      </c>
      <c r="C92" s="127"/>
      <c r="D92" s="127"/>
      <c r="E92" s="127"/>
      <c r="F92" s="127"/>
      <c r="G92" s="143">
        <f t="shared" ref="G92:H92" si="316">G90/G57</f>
        <v>-51.436031331592687</v>
      </c>
      <c r="H92" s="143">
        <f t="shared" si="316"/>
        <v>-14.099216710182768</v>
      </c>
      <c r="I92" s="143">
        <f t="shared" ref="I92:R92" si="317">I90/I57</f>
        <v>-3.3942558746736293</v>
      </c>
      <c r="J92" s="143">
        <f t="shared" si="317"/>
        <v>-9.2672413793103452</v>
      </c>
      <c r="K92" s="143">
        <f t="shared" si="317"/>
        <v>5.3030303030303028</v>
      </c>
      <c r="L92" s="143">
        <f t="shared" si="317"/>
        <v>-3.1150793650793651</v>
      </c>
      <c r="M92" s="143">
        <f t="shared" si="317"/>
        <v>-6.9642857142857144</v>
      </c>
      <c r="N92" s="143">
        <f t="shared" si="317"/>
        <v>-13.928571428571429</v>
      </c>
      <c r="O92" s="143">
        <f t="shared" si="317"/>
        <v>-7.9365079365079361E-2</v>
      </c>
      <c r="P92" s="143">
        <f t="shared" si="317"/>
        <v>7.2023809523809526</v>
      </c>
      <c r="Q92" s="143">
        <f t="shared" si="317"/>
        <v>18.333333333333332</v>
      </c>
      <c r="R92" s="143">
        <f t="shared" si="317"/>
        <v>11.805555555555555</v>
      </c>
      <c r="S92" s="143">
        <f t="shared" ref="S92" si="318">S90/S57</f>
        <v>14.107142857142858</v>
      </c>
      <c r="T92" s="118" t="e">
        <f t="shared" si="243"/>
        <v>#NUM!</v>
      </c>
      <c r="U92" s="128"/>
      <c r="V92" s="145">
        <f t="shared" ref="V92:AE92" si="319">V90/V57</f>
        <v>15.905112044817924</v>
      </c>
      <c r="W92" s="145">
        <f t="shared" si="319"/>
        <v>17.932234168177072</v>
      </c>
      <c r="X92" s="145">
        <f t="shared" si="319"/>
        <v>20.217714993532976</v>
      </c>
      <c r="Y92" s="145">
        <f t="shared" si="319"/>
        <v>22.794482590747961</v>
      </c>
      <c r="Z92" s="145">
        <f t="shared" si="319"/>
        <v>25.699661744470735</v>
      </c>
      <c r="AA92" s="145">
        <f t="shared" si="319"/>
        <v>28.975108829550333</v>
      </c>
      <c r="AB92" s="145">
        <f t="shared" si="319"/>
        <v>32.668014856845964</v>
      </c>
      <c r="AC92" s="145">
        <f t="shared" si="319"/>
        <v>36.831585377816531</v>
      </c>
      <c r="AD92" s="145">
        <f t="shared" si="319"/>
        <v>41.525807043616673</v>
      </c>
      <c r="AE92" s="145">
        <f t="shared" si="319"/>
        <v>46.81831186290114</v>
      </c>
      <c r="AF92" s="137">
        <f t="shared" si="315"/>
        <v>-2.1331047387287856</v>
      </c>
      <c r="AG92" s="31">
        <f t="shared" si="16"/>
        <v>0.05</v>
      </c>
      <c r="AH92" s="145">
        <f t="shared" si="255"/>
        <v>289.17192621203645</v>
      </c>
    </row>
    <row r="93" spans="2:34">
      <c r="B93" s="20" t="s">
        <v>286</v>
      </c>
      <c r="C93" s="127"/>
      <c r="D93" s="127"/>
      <c r="E93" s="127"/>
      <c r="F93" s="127"/>
      <c r="G93" s="143">
        <f t="shared" ref="G93:H93" si="320">G20/G57</f>
        <v>28.198433420365536</v>
      </c>
      <c r="H93" s="143">
        <f t="shared" si="320"/>
        <v>28.459530026109661</v>
      </c>
      <c r="I93" s="143">
        <f t="shared" ref="I93:R93" si="321">I20/I57</f>
        <v>20.365535248041777</v>
      </c>
      <c r="J93" s="143">
        <f t="shared" si="321"/>
        <v>76.939655172413794</v>
      </c>
      <c r="K93" s="143">
        <f t="shared" si="321"/>
        <v>8.7633087633087623</v>
      </c>
      <c r="L93" s="143">
        <f t="shared" si="321"/>
        <v>6.4484126984126986</v>
      </c>
      <c r="M93" s="143">
        <f t="shared" si="321"/>
        <v>13.928571428571429</v>
      </c>
      <c r="N93" s="143">
        <f t="shared" si="321"/>
        <v>3.0158730158730158</v>
      </c>
      <c r="O93" s="143">
        <f t="shared" si="321"/>
        <v>10.773809523809524</v>
      </c>
      <c r="P93" s="143">
        <f t="shared" si="321"/>
        <v>15.277777777777779</v>
      </c>
      <c r="Q93" s="143">
        <f t="shared" si="321"/>
        <v>22.341269841269842</v>
      </c>
      <c r="R93" s="143">
        <f t="shared" si="321"/>
        <v>18.86904761904762</v>
      </c>
      <c r="S93" s="143">
        <f t="shared" ref="S93" si="322">S20/S57</f>
        <v>35.555555555555557</v>
      </c>
      <c r="T93" s="118">
        <f t="shared" si="243"/>
        <v>1.9506988878046139E-2</v>
      </c>
      <c r="U93" s="128"/>
      <c r="V93" s="145">
        <f t="shared" ref="V93:AE93" si="323">V20/V57</f>
        <v>40.087145969498906</v>
      </c>
      <c r="W93" s="145">
        <f t="shared" si="323"/>
        <v>45.196292024435039</v>
      </c>
      <c r="X93" s="145">
        <f t="shared" si="323"/>
        <v>50.956603753039502</v>
      </c>
      <c r="Y93" s="145">
        <f t="shared" si="323"/>
        <v>57.451072858819039</v>
      </c>
      <c r="Z93" s="145">
        <f t="shared" si="323"/>
        <v>64.773268419256752</v>
      </c>
      <c r="AA93" s="145">
        <f t="shared" si="323"/>
        <v>73.028684982495349</v>
      </c>
      <c r="AB93" s="145">
        <f t="shared" si="323"/>
        <v>82.336262480264367</v>
      </c>
      <c r="AC93" s="145">
        <f t="shared" si="323"/>
        <v>92.830099855200018</v>
      </c>
      <c r="AD93" s="145">
        <f t="shared" si="323"/>
        <v>104.66138709164707</v>
      </c>
      <c r="AE93" s="145">
        <f t="shared" si="323"/>
        <v>118.00058348568049</v>
      </c>
      <c r="AF93" s="137">
        <f t="shared" si="315"/>
        <v>8.7258414485137381E-2</v>
      </c>
      <c r="AG93" s="31">
        <f t="shared" si="16"/>
        <v>0.05</v>
      </c>
      <c r="AH93" s="145">
        <f t="shared" si="255"/>
        <v>728.82713329390901</v>
      </c>
    </row>
    <row r="94" spans="2:34">
      <c r="B94" s="20" t="s">
        <v>287</v>
      </c>
      <c r="C94" s="127"/>
      <c r="D94" s="127"/>
      <c r="E94" s="127"/>
      <c r="F94" s="127"/>
      <c r="G94" s="143">
        <f t="shared" ref="G94:H94" si="324">G21/G57</f>
        <v>-79.63446475195822</v>
      </c>
      <c r="H94" s="143">
        <f t="shared" si="324"/>
        <v>-42.558746736292427</v>
      </c>
      <c r="I94" s="143">
        <f t="shared" ref="I94:R94" si="325">I21/I57</f>
        <v>-23.759791122715406</v>
      </c>
      <c r="J94" s="143">
        <f t="shared" si="325"/>
        <v>-86.206896551724142</v>
      </c>
      <c r="K94" s="143">
        <f t="shared" si="325"/>
        <v>-3.46027846027846</v>
      </c>
      <c r="L94" s="143">
        <f t="shared" si="325"/>
        <v>-9.5634920634920633</v>
      </c>
      <c r="M94" s="143">
        <f t="shared" si="325"/>
        <v>-20.892857142857142</v>
      </c>
      <c r="N94" s="143">
        <f t="shared" si="325"/>
        <v>-16.944444444444446</v>
      </c>
      <c r="O94" s="143">
        <f t="shared" si="325"/>
        <v>-10.853174603174603</v>
      </c>
      <c r="P94" s="143">
        <f t="shared" si="325"/>
        <v>-8.075396825396826</v>
      </c>
      <c r="Q94" s="143">
        <f t="shared" si="325"/>
        <v>-4.0079365079365079</v>
      </c>
      <c r="R94" s="143">
        <f t="shared" si="325"/>
        <v>-7.0634920634920633</v>
      </c>
      <c r="S94" s="143">
        <f t="shared" ref="S94" si="326">S21/S57</f>
        <v>-21.448412698412699</v>
      </c>
      <c r="T94" s="118">
        <f t="shared" si="243"/>
        <v>-0.10355322807810885</v>
      </c>
      <c r="U94" s="128"/>
      <c r="V94" s="145">
        <f t="shared" ref="V94:AE94" si="327">V21/V57</f>
        <v>-24.182033924680979</v>
      </c>
      <c r="W94" s="145">
        <f t="shared" si="327"/>
        <v>-27.264057856257967</v>
      </c>
      <c r="X94" s="145">
        <f t="shared" si="327"/>
        <v>-30.73888875950653</v>
      </c>
      <c r="Y94" s="145">
        <f t="shared" si="327"/>
        <v>-34.656590268071078</v>
      </c>
      <c r="Z94" s="145">
        <f t="shared" si="327"/>
        <v>-39.073606674786021</v>
      </c>
      <c r="AA94" s="145">
        <f t="shared" si="327"/>
        <v>-44.05357615294502</v>
      </c>
      <c r="AB94" s="145">
        <f t="shared" si="327"/>
        <v>-49.668247623418402</v>
      </c>
      <c r="AC94" s="145">
        <f t="shared" si="327"/>
        <v>-55.99851447738348</v>
      </c>
      <c r="AD94" s="145">
        <f t="shared" si="327"/>
        <v>-63.135580048030391</v>
      </c>
      <c r="AE94" s="145">
        <f t="shared" si="327"/>
        <v>-71.182271622779368</v>
      </c>
      <c r="AF94" s="137">
        <f t="shared" si="315"/>
        <v>5.3639073713407814E-2</v>
      </c>
      <c r="AG94" s="31">
        <f t="shared" si="16"/>
        <v>0.05</v>
      </c>
      <c r="AH94" s="145">
        <f t="shared" si="255"/>
        <v>-439.65520708187262</v>
      </c>
    </row>
    <row r="95" spans="2:34">
      <c r="B95" s="20" t="s">
        <v>288</v>
      </c>
      <c r="C95" s="127"/>
      <c r="D95" s="127"/>
      <c r="E95" s="127"/>
      <c r="F95" s="127"/>
      <c r="G95" s="143">
        <f t="shared" ref="G95:H95" si="328">G22/G57</f>
        <v>53.785900783289819</v>
      </c>
      <c r="H95" s="143">
        <f t="shared" si="328"/>
        <v>15.404699738903394</v>
      </c>
      <c r="I95" s="143">
        <f t="shared" ref="I95:R95" si="329">I22/I57</f>
        <v>34.725848563968668</v>
      </c>
      <c r="J95" s="143">
        <f t="shared" si="329"/>
        <v>-3.6637931034482762</v>
      </c>
      <c r="K95" s="143">
        <f t="shared" si="329"/>
        <v>-3.3783783783783781</v>
      </c>
      <c r="L95" s="143">
        <f t="shared" si="329"/>
        <v>3.5714285714285716</v>
      </c>
      <c r="M95" s="143">
        <f t="shared" si="329"/>
        <v>6.4880952380952381</v>
      </c>
      <c r="N95" s="143">
        <f t="shared" si="329"/>
        <v>11.646825396825397</v>
      </c>
      <c r="O95" s="143">
        <f t="shared" si="329"/>
        <v>-0.39682539682539686</v>
      </c>
      <c r="P95" s="143">
        <f t="shared" si="329"/>
        <v>-6.3690476190476195</v>
      </c>
      <c r="Q95" s="143">
        <f t="shared" si="329"/>
        <v>-17.003968253968253</v>
      </c>
      <c r="R95" s="143">
        <f t="shared" si="329"/>
        <v>-12.043650793650794</v>
      </c>
      <c r="S95" s="143">
        <f t="shared" ref="S95" si="330">S22/S57</f>
        <v>-12.420634920634921</v>
      </c>
      <c r="T95" s="118" t="e">
        <f t="shared" si="243"/>
        <v>#NUM!</v>
      </c>
      <c r="U95" s="128"/>
      <c r="V95" s="145">
        <f t="shared" ref="V95:AE95" si="331">V22/V57</f>
        <v>-14.003657018362899</v>
      </c>
      <c r="W95" s="145">
        <f t="shared" si="331"/>
        <v>-15.788436834428758</v>
      </c>
      <c r="X95" s="145">
        <f t="shared" si="331"/>
        <v>-17.800688587836344</v>
      </c>
      <c r="Y95" s="145">
        <f t="shared" si="331"/>
        <v>-20.06940380001156</v>
      </c>
      <c r="Z95" s="145">
        <f t="shared" si="331"/>
        <v>-22.627268990209114</v>
      </c>
      <c r="AA95" s="145">
        <f t="shared" si="331"/>
        <v>-25.511136606608311</v>
      </c>
      <c r="AB95" s="145">
        <f t="shared" si="331"/>
        <v>-28.762555978038776</v>
      </c>
      <c r="AC95" s="145">
        <f t="shared" si="331"/>
        <v>-32.428371936024107</v>
      </c>
      <c r="AD95" s="145">
        <f t="shared" si="331"/>
        <v>-36.561399731791887</v>
      </c>
      <c r="AE95" s="145">
        <f t="shared" si="331"/>
        <v>-41.221185972118299</v>
      </c>
      <c r="AF95" s="137">
        <f t="shared" si="315"/>
        <v>-2.0081985695951374</v>
      </c>
      <c r="AG95" s="31">
        <f t="shared" si="16"/>
        <v>0.05</v>
      </c>
      <c r="AH95" s="145">
        <f t="shared" si="255"/>
        <v>-254.60144276896602</v>
      </c>
    </row>
    <row r="96" spans="2:34">
      <c r="B96" s="20" t="s">
        <v>295</v>
      </c>
      <c r="C96" s="127"/>
      <c r="D96" s="127"/>
      <c r="E96" s="127"/>
      <c r="F96" s="127"/>
      <c r="G96" s="143">
        <f t="shared" ref="G96:H96" si="332">G23/G57</f>
        <v>27.676240208877285</v>
      </c>
      <c r="H96" s="143">
        <f t="shared" si="332"/>
        <v>28.720626631853786</v>
      </c>
      <c r="I96" s="143">
        <f t="shared" ref="I96:R96" si="333">I23/I57</f>
        <v>60.574412532637076</v>
      </c>
      <c r="J96" s="143">
        <f t="shared" si="333"/>
        <v>37.068965517241381</v>
      </c>
      <c r="K96" s="143">
        <f t="shared" si="333"/>
        <v>5.4463554463554456</v>
      </c>
      <c r="L96" s="143">
        <f t="shared" si="333"/>
        <v>5.416666666666667</v>
      </c>
      <c r="M96" s="143">
        <f t="shared" si="333"/>
        <v>4.9404761904761907</v>
      </c>
      <c r="N96" s="143">
        <f t="shared" si="333"/>
        <v>2.6587301587301586</v>
      </c>
      <c r="O96" s="143">
        <f t="shared" si="333"/>
        <v>2.1031746031746033</v>
      </c>
      <c r="P96" s="143">
        <f t="shared" si="333"/>
        <v>2.8571428571428572</v>
      </c>
      <c r="Q96" s="143">
        <f t="shared" si="333"/>
        <v>4.2063492063492065</v>
      </c>
      <c r="R96" s="143">
        <f t="shared" si="333"/>
        <v>3.9682539682539684</v>
      </c>
      <c r="S96" s="143">
        <f t="shared" ref="S96" si="334">S23/S57</f>
        <v>5.6547619047619051</v>
      </c>
      <c r="T96" s="118">
        <f t="shared" si="243"/>
        <v>-0.12395663905696253</v>
      </c>
      <c r="U96" s="128"/>
      <c r="V96" s="145">
        <f t="shared" ref="V96:AE96" si="335">V23/V57</f>
        <v>6.3754668534080299</v>
      </c>
      <c r="W96" s="145">
        <f t="shared" si="335"/>
        <v>7.1880263543325817</v>
      </c>
      <c r="X96" s="145">
        <f t="shared" si="335"/>
        <v>8.1041473602769294</v>
      </c>
      <c r="Y96" s="145">
        <f t="shared" si="335"/>
        <v>9.1370288865867337</v>
      </c>
      <c r="Z96" s="145">
        <f t="shared" si="335"/>
        <v>10.30155217605367</v>
      </c>
      <c r="AA96" s="145">
        <f t="shared" si="335"/>
        <v>11.614495100452665</v>
      </c>
      <c r="AB96" s="145">
        <f t="shared" si="335"/>
        <v>13.09477388776526</v>
      </c>
      <c r="AC96" s="145">
        <f t="shared" si="335"/>
        <v>14.763715657774556</v>
      </c>
      <c r="AD96" s="145">
        <f t="shared" si="335"/>
        <v>16.645365692588957</v>
      </c>
      <c r="AE96" s="145">
        <f t="shared" si="335"/>
        <v>18.76683386909539</v>
      </c>
      <c r="AF96" s="137">
        <f t="shared" ref="AF96" si="336">((AE96/I96)^(1/($AE$3-$J$1) ))-1</f>
        <v>-5.4270900287581081E-2</v>
      </c>
      <c r="AG96" s="31">
        <f t="shared" si="16"/>
        <v>0.05</v>
      </c>
      <c r="AH96" s="145">
        <f t="shared" si="255"/>
        <v>115.91279742676566</v>
      </c>
    </row>
    <row r="97" spans="2:34">
      <c r="B97" s="20"/>
      <c r="C97" s="127"/>
      <c r="D97" s="127"/>
      <c r="E97" s="127"/>
      <c r="F97" s="127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28"/>
      <c r="U97" s="128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38"/>
      <c r="AG97" s="136"/>
      <c r="AH97" s="152"/>
    </row>
    <row r="98" spans="2:34">
      <c r="B98" s="20" t="s">
        <v>310</v>
      </c>
      <c r="C98" s="143"/>
      <c r="D98" s="143"/>
      <c r="E98" s="143"/>
      <c r="F98" s="143"/>
      <c r="G98" s="143">
        <f t="shared" ref="G98:H98" si="337">G51/G57</f>
        <v>45.691906005221931</v>
      </c>
      <c r="H98" s="143">
        <f t="shared" si="337"/>
        <v>42.036553524804177</v>
      </c>
      <c r="I98" s="143">
        <f t="shared" ref="I98:R98" si="338">I51/I57</f>
        <v>60.313315926892948</v>
      </c>
      <c r="J98" s="143">
        <f t="shared" si="338"/>
        <v>86.637931034482762</v>
      </c>
      <c r="K98" s="143">
        <f t="shared" si="338"/>
        <v>12.776412776412776</v>
      </c>
      <c r="L98" s="143">
        <f t="shared" si="338"/>
        <v>9.0476190476190474</v>
      </c>
      <c r="M98" s="143">
        <f t="shared" si="338"/>
        <v>24.742063492063494</v>
      </c>
      <c r="N98" s="143">
        <f t="shared" si="338"/>
        <v>19.404761904761905</v>
      </c>
      <c r="O98" s="143">
        <f t="shared" si="338"/>
        <v>23.154761904761905</v>
      </c>
      <c r="P98" s="143">
        <f t="shared" si="338"/>
        <v>28.888888888888889</v>
      </c>
      <c r="Q98" s="143">
        <f t="shared" si="338"/>
        <v>37.202380952380956</v>
      </c>
      <c r="R98" s="143">
        <f t="shared" si="338"/>
        <v>38.293650793650798</v>
      </c>
      <c r="S98" s="143">
        <f t="shared" ref="S98" si="339">S51/S57</f>
        <v>30.198412698412699</v>
      </c>
      <c r="T98" s="118">
        <f t="shared" si="243"/>
        <v>-3.3922271720174701E-2</v>
      </c>
      <c r="U98" s="128"/>
      <c r="V98" s="143">
        <f t="shared" ref="V98:AE98" si="340">V51/V57</f>
        <v>34.047230003112354</v>
      </c>
      <c r="W98" s="143">
        <f t="shared" si="340"/>
        <v>38.386582846646277</v>
      </c>
      <c r="X98" s="143">
        <f t="shared" si="340"/>
        <v>43.278990464356092</v>
      </c>
      <c r="Y98" s="143">
        <f t="shared" si="340"/>
        <v>48.79494022942108</v>
      </c>
      <c r="Z98" s="143">
        <f t="shared" si="340"/>
        <v>55.013903199837486</v>
      </c>
      <c r="AA98" s="143">
        <f t="shared" si="340"/>
        <v>62.025479097855985</v>
      </c>
      <c r="AB98" s="143">
        <f t="shared" si="340"/>
        <v>69.930687218170959</v>
      </c>
      <c r="AC98" s="143">
        <f t="shared" si="340"/>
        <v>78.843421863624101</v>
      </c>
      <c r="AD98" s="143">
        <f t="shared" si="340"/>
        <v>88.892093277615402</v>
      </c>
      <c r="AE98" s="143">
        <f t="shared" si="340"/>
        <v>100.22147771495852</v>
      </c>
      <c r="AF98" s="137">
        <f t="shared" ref="AF98:AF100" si="341">((AE98/I98)^(1/($AE$3-$J$1) ))-1</f>
        <v>2.4477126788859049E-2</v>
      </c>
      <c r="AG98" s="31">
        <f t="shared" si="16"/>
        <v>0.05</v>
      </c>
      <c r="AH98" s="145">
        <f t="shared" si="255"/>
        <v>619.01500941592042</v>
      </c>
    </row>
    <row r="99" spans="2:34">
      <c r="B99" s="20" t="s">
        <v>311</v>
      </c>
      <c r="C99" s="143"/>
      <c r="D99" s="143"/>
      <c r="E99" s="143"/>
      <c r="F99" s="143"/>
      <c r="G99" s="143">
        <f t="shared" ref="G99:H99" si="342">G55/G57</f>
        <v>18.276762402088771</v>
      </c>
      <c r="H99" s="143">
        <f t="shared" si="342"/>
        <v>16.449086161879894</v>
      </c>
      <c r="I99" s="143">
        <f t="shared" ref="I99:R99" si="343">I55/I57</f>
        <v>23.759791122715406</v>
      </c>
      <c r="J99" s="143">
        <f t="shared" si="343"/>
        <v>25.215517241379313</v>
      </c>
      <c r="K99" s="143">
        <f t="shared" si="343"/>
        <v>5.5282555282555279</v>
      </c>
      <c r="L99" s="143">
        <f t="shared" si="343"/>
        <v>2.7579365079365079</v>
      </c>
      <c r="M99" s="143">
        <f t="shared" si="343"/>
        <v>12.956349206349207</v>
      </c>
      <c r="N99" s="143">
        <f t="shared" si="343"/>
        <v>8.75</v>
      </c>
      <c r="O99" s="143">
        <f t="shared" si="343"/>
        <v>8.174603174603174</v>
      </c>
      <c r="P99" s="143">
        <f t="shared" si="343"/>
        <v>12.182539682539684</v>
      </c>
      <c r="Q99" s="143">
        <f t="shared" si="343"/>
        <v>19.94047619047619</v>
      </c>
      <c r="R99" s="143">
        <f t="shared" si="343"/>
        <v>19.384920634920636</v>
      </c>
      <c r="S99" s="143">
        <f t="shared" ref="S99" si="344">S55/S57</f>
        <v>41.527777777777779</v>
      </c>
      <c r="T99" s="118">
        <f t="shared" si="243"/>
        <v>7.0787482112702582E-2</v>
      </c>
      <c r="U99" s="128"/>
      <c r="V99" s="143">
        <f t="shared" ref="V99:AE99" si="345">V55/V57</f>
        <v>46.820533769063175</v>
      </c>
      <c r="W99" s="143">
        <f t="shared" si="345"/>
        <v>52.787856700414359</v>
      </c>
      <c r="X99" s="143">
        <f t="shared" si="345"/>
        <v>59.515720789682852</v>
      </c>
      <c r="Y99" s="143">
        <f t="shared" si="345"/>
        <v>67.101057753073789</v>
      </c>
      <c r="Z99" s="143">
        <f t="shared" si="345"/>
        <v>75.653153349053781</v>
      </c>
      <c r="AA99" s="143">
        <f t="shared" si="345"/>
        <v>85.295221913148865</v>
      </c>
      <c r="AB99" s="143">
        <f t="shared" si="345"/>
        <v>96.166181568746268</v>
      </c>
      <c r="AC99" s="143">
        <f t="shared" si="345"/>
        <v>108.42265569025314</v>
      </c>
      <c r="AD99" s="143">
        <f t="shared" si="345"/>
        <v>122.24122945469715</v>
      </c>
      <c r="AE99" s="143">
        <f t="shared" si="345"/>
        <v>137.82099399304087</v>
      </c>
      <c r="AF99" s="137">
        <f t="shared" si="341"/>
        <v>8.7316167514297272E-2</v>
      </c>
      <c r="AG99" s="31">
        <f t="shared" si="16"/>
        <v>0.05</v>
      </c>
      <c r="AH99" s="145">
        <f t="shared" si="255"/>
        <v>851.24731583937023</v>
      </c>
    </row>
    <row r="100" spans="2:34">
      <c r="B100" s="20" t="s">
        <v>312</v>
      </c>
      <c r="C100" s="143"/>
      <c r="D100" s="143"/>
      <c r="E100" s="143"/>
      <c r="F100" s="143"/>
      <c r="G100" s="143">
        <f t="shared" ref="G100:H100" si="346">G6/G57</f>
        <v>138.38120104438642</v>
      </c>
      <c r="H100" s="143">
        <f t="shared" si="346"/>
        <v>145.95300261096605</v>
      </c>
      <c r="I100" s="143">
        <f t="shared" ref="I100:R100" si="347">I6/I57</f>
        <v>154.56919060052218</v>
      </c>
      <c r="J100" s="143">
        <f t="shared" si="347"/>
        <v>188.14655172413794</v>
      </c>
      <c r="K100" s="143">
        <f t="shared" si="347"/>
        <v>23.034398034398034</v>
      </c>
      <c r="L100" s="143">
        <f t="shared" si="347"/>
        <v>25.714285714285715</v>
      </c>
      <c r="M100" s="143">
        <f t="shared" si="347"/>
        <v>37.976190476190474</v>
      </c>
      <c r="N100" s="143">
        <f t="shared" si="347"/>
        <v>46.845238095238095</v>
      </c>
      <c r="O100" s="143">
        <f t="shared" si="347"/>
        <v>55.198412698412703</v>
      </c>
      <c r="P100" s="143">
        <f t="shared" si="347"/>
        <v>66.25</v>
      </c>
      <c r="Q100" s="143">
        <f t="shared" si="347"/>
        <v>89.543650793650798</v>
      </c>
      <c r="R100" s="143">
        <f t="shared" si="347"/>
        <v>98.968253968253975</v>
      </c>
      <c r="S100" s="143">
        <f t="shared" ref="S100" si="348">S6/S57</f>
        <v>121.5873015873016</v>
      </c>
      <c r="T100" s="118">
        <f t="shared" si="243"/>
        <v>-1.0723725369855996E-2</v>
      </c>
      <c r="U100" s="128"/>
      <c r="V100" s="143">
        <f t="shared" ref="V100:AE100" si="349">V6/V57</f>
        <v>137.08372237784002</v>
      </c>
      <c r="W100" s="143">
        <f t="shared" si="349"/>
        <v>154.55517719070195</v>
      </c>
      <c r="X100" s="143">
        <f t="shared" si="349"/>
        <v>174.25338604834045</v>
      </c>
      <c r="Y100" s="143">
        <f t="shared" si="349"/>
        <v>196.46215093685441</v>
      </c>
      <c r="Z100" s="143">
        <f t="shared" si="349"/>
        <v>221.5014446837084</v>
      </c>
      <c r="AA100" s="143">
        <f t="shared" si="349"/>
        <v>249.73202096692609</v>
      </c>
      <c r="AB100" s="143">
        <f t="shared" si="349"/>
        <v>281.56061187447551</v>
      </c>
      <c r="AC100" s="143">
        <f t="shared" si="349"/>
        <v>317.44578789769292</v>
      </c>
      <c r="AD100" s="143">
        <f t="shared" si="349"/>
        <v>357.90456478661451</v>
      </c>
      <c r="AE100" s="143">
        <f t="shared" si="349"/>
        <v>403.51985245549673</v>
      </c>
      <c r="AF100" s="137">
        <f t="shared" si="341"/>
        <v>4.6754546452957957E-2</v>
      </c>
      <c r="AG100" s="31">
        <f t="shared" ref="AG100" si="350">$N$1</f>
        <v>0.05</v>
      </c>
      <c r="AH100" s="145">
        <f t="shared" si="255"/>
        <v>2492.3285004604213</v>
      </c>
    </row>
    <row r="101" spans="2:34">
      <c r="B101" s="20"/>
      <c r="C101" s="127"/>
      <c r="D101" s="127"/>
      <c r="E101" s="127"/>
      <c r="F101" s="127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28"/>
      <c r="U101" s="128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38"/>
      <c r="AG101" s="20"/>
      <c r="AH101" s="152"/>
    </row>
    <row r="102" spans="2:34">
      <c r="B102" s="20" t="s">
        <v>465</v>
      </c>
      <c r="C102" s="127"/>
      <c r="D102" s="127"/>
      <c r="E102" s="127"/>
      <c r="F102" s="127"/>
      <c r="G102" s="143">
        <f t="shared" ref="G102:H102" si="351">G55/$S$57</f>
        <v>1.3888888888888888</v>
      </c>
      <c r="H102" s="143">
        <f t="shared" si="351"/>
        <v>1.25</v>
      </c>
      <c r="I102" s="143">
        <f t="shared" ref="I102:S102" si="352">I55/$S$57</f>
        <v>1.8055555555555556</v>
      </c>
      <c r="J102" s="143">
        <f t="shared" si="352"/>
        <v>2.3214285714285716</v>
      </c>
      <c r="K102" s="143">
        <f t="shared" si="352"/>
        <v>5.3571428571428577</v>
      </c>
      <c r="L102" s="143">
        <f t="shared" si="352"/>
        <v>2.7579365079365079</v>
      </c>
      <c r="M102" s="143">
        <f t="shared" si="352"/>
        <v>12.956349206349207</v>
      </c>
      <c r="N102" s="143">
        <f t="shared" si="352"/>
        <v>8.75</v>
      </c>
      <c r="O102" s="143">
        <f t="shared" si="352"/>
        <v>8.174603174603174</v>
      </c>
      <c r="P102" s="143">
        <f t="shared" si="352"/>
        <v>12.182539682539684</v>
      </c>
      <c r="Q102" s="143">
        <f t="shared" si="352"/>
        <v>19.94047619047619</v>
      </c>
      <c r="R102" s="143">
        <f t="shared" si="352"/>
        <v>19.384920634920636</v>
      </c>
      <c r="S102" s="143">
        <f t="shared" si="352"/>
        <v>41.527777777777779</v>
      </c>
      <c r="T102" s="118">
        <f t="shared" si="243"/>
        <v>0.32731071097775133</v>
      </c>
      <c r="U102" s="128"/>
      <c r="V102" s="143">
        <f t="shared" ref="V102:AE102" si="353">V55/V57</f>
        <v>46.820533769063175</v>
      </c>
      <c r="W102" s="143">
        <f t="shared" si="353"/>
        <v>52.787856700414359</v>
      </c>
      <c r="X102" s="143">
        <f t="shared" si="353"/>
        <v>59.515720789682852</v>
      </c>
      <c r="Y102" s="143">
        <f t="shared" si="353"/>
        <v>67.101057753073789</v>
      </c>
      <c r="Z102" s="143">
        <f t="shared" si="353"/>
        <v>75.653153349053781</v>
      </c>
      <c r="AA102" s="143">
        <f t="shared" si="353"/>
        <v>85.295221913148865</v>
      </c>
      <c r="AB102" s="143">
        <f t="shared" si="353"/>
        <v>96.166181568746268</v>
      </c>
      <c r="AC102" s="143">
        <f t="shared" si="353"/>
        <v>108.42265569025314</v>
      </c>
      <c r="AD102" s="143">
        <f t="shared" si="353"/>
        <v>122.24122945469715</v>
      </c>
      <c r="AE102" s="143">
        <f t="shared" si="353"/>
        <v>137.82099399304087</v>
      </c>
      <c r="AF102" s="138"/>
      <c r="AG102" s="20"/>
      <c r="AH102" s="152"/>
    </row>
    <row r="103" spans="2:34">
      <c r="B103" s="20"/>
      <c r="C103" s="127"/>
      <c r="D103" s="127"/>
      <c r="E103" s="127"/>
      <c r="F103" s="127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28"/>
      <c r="U103" s="128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38"/>
      <c r="AG103" s="20"/>
      <c r="AH103" s="152"/>
    </row>
    <row r="104" spans="2:34">
      <c r="B104" s="108" t="s">
        <v>309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128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2:34">
      <c r="B105" s="20" t="s">
        <v>308</v>
      </c>
      <c r="C105" s="150"/>
      <c r="D105" s="150"/>
      <c r="E105" s="150"/>
      <c r="F105" s="150"/>
      <c r="G105" s="150">
        <f t="shared" ref="G105:H105" si="354">G51/G25</f>
        <v>8.9285714285714288E-2</v>
      </c>
      <c r="H105" s="150">
        <f t="shared" si="354"/>
        <v>7.1842927264614012E-2</v>
      </c>
      <c r="I105" s="150">
        <f t="shared" ref="I105:R105" si="355">I51/I25</f>
        <v>8.5114222549742075E-2</v>
      </c>
      <c r="J105" s="150">
        <f t="shared" si="355"/>
        <v>9.3401486988847579E-2</v>
      </c>
      <c r="K105" s="150">
        <f t="shared" si="355"/>
        <v>0.13059857681038092</v>
      </c>
      <c r="L105" s="150">
        <f t="shared" si="355"/>
        <v>9.107249850209706E-2</v>
      </c>
      <c r="M105" s="150">
        <f t="shared" si="355"/>
        <v>0.15595297648824413</v>
      </c>
      <c r="N105" s="150">
        <f t="shared" si="355"/>
        <v>0.10439795046968403</v>
      </c>
      <c r="O105" s="150">
        <f t="shared" si="355"/>
        <v>9.4021914276506607E-2</v>
      </c>
      <c r="P105" s="150">
        <f t="shared" si="355"/>
        <v>0.1121898597626753</v>
      </c>
      <c r="Q105" s="150">
        <f t="shared" si="355"/>
        <v>0.13895064473099156</v>
      </c>
      <c r="R105" s="150">
        <f t="shared" si="355"/>
        <v>0.15234035835503987</v>
      </c>
      <c r="S105" s="150">
        <f t="shared" ref="S105" si="356">S51/S25</f>
        <v>0.12829806962825593</v>
      </c>
      <c r="T105" s="118">
        <f t="shared" si="243"/>
        <v>3.0670499068375712E-2</v>
      </c>
      <c r="U105" s="150"/>
      <c r="V105" s="150">
        <f t="shared" ref="V105:AE105" si="357">V51/V25</f>
        <v>0.12829806962825593</v>
      </c>
      <c r="W105" s="150">
        <f t="shared" si="357"/>
        <v>0.12829806962825593</v>
      </c>
      <c r="X105" s="150">
        <f t="shared" si="357"/>
        <v>0.12829806962825593</v>
      </c>
      <c r="Y105" s="150">
        <f t="shared" si="357"/>
        <v>0.12829806962825593</v>
      </c>
      <c r="Z105" s="150">
        <f t="shared" si="357"/>
        <v>0.12829806962825591</v>
      </c>
      <c r="AA105" s="150">
        <f t="shared" si="357"/>
        <v>0.12829806962825593</v>
      </c>
      <c r="AB105" s="150">
        <f t="shared" si="357"/>
        <v>0.12829806962825593</v>
      </c>
      <c r="AC105" s="150">
        <f t="shared" si="357"/>
        <v>0.12829806962825593</v>
      </c>
      <c r="AD105" s="150">
        <f t="shared" si="357"/>
        <v>0.12829806962825593</v>
      </c>
      <c r="AE105" s="150">
        <f t="shared" si="357"/>
        <v>0.12829806962825593</v>
      </c>
      <c r="AF105" s="137">
        <f t="shared" ref="AF105:AF154" si="358">((AE105/I105)^(1/($AE$3-$J$1) ))-1</f>
        <v>1.9733227343713189E-2</v>
      </c>
      <c r="AG105" s="145"/>
      <c r="AH105" s="145"/>
    </row>
    <row r="106" spans="2:34">
      <c r="B106" s="20" t="s">
        <v>266</v>
      </c>
      <c r="C106" s="150"/>
      <c r="D106" s="150"/>
      <c r="E106" s="150"/>
      <c r="F106" s="150"/>
      <c r="G106" s="150">
        <f t="shared" ref="G106:H106" si="359">G55/G25</f>
        <v>3.5714285714285712E-2</v>
      </c>
      <c r="H106" s="150">
        <f t="shared" si="359"/>
        <v>2.8112449799196786E-2</v>
      </c>
      <c r="I106" s="150">
        <f t="shared" ref="I106:R106" si="360">I55/I25</f>
        <v>3.3529845246868091E-2</v>
      </c>
      <c r="J106" s="150">
        <f t="shared" si="360"/>
        <v>2.7184014869888477E-2</v>
      </c>
      <c r="K106" s="150">
        <f t="shared" si="360"/>
        <v>5.6508999581414816E-2</v>
      </c>
      <c r="L106" s="150">
        <f t="shared" si="360"/>
        <v>2.7761134411823447E-2</v>
      </c>
      <c r="M106" s="150">
        <f t="shared" si="360"/>
        <v>8.1665832916458223E-2</v>
      </c>
      <c r="N106" s="150">
        <f t="shared" si="360"/>
        <v>4.7075149444918876E-2</v>
      </c>
      <c r="O106" s="150">
        <f t="shared" si="360"/>
        <v>3.319368353206574E-2</v>
      </c>
      <c r="P106" s="150">
        <f t="shared" si="360"/>
        <v>4.731083371860071E-2</v>
      </c>
      <c r="Q106" s="150">
        <f t="shared" si="360"/>
        <v>7.4477545575811474E-2</v>
      </c>
      <c r="R106" s="150">
        <f t="shared" si="360"/>
        <v>7.7117373115478727E-2</v>
      </c>
      <c r="S106" s="150">
        <f t="shared" ref="S106" si="361">S55/S25</f>
        <v>0.17643091966618898</v>
      </c>
      <c r="T106" s="118">
        <f t="shared" si="243"/>
        <v>0.14238123525563928</v>
      </c>
      <c r="U106" s="150"/>
      <c r="V106" s="150">
        <f t="shared" ref="V106:AE106" si="362">V55/V25</f>
        <v>0.17643091966618898</v>
      </c>
      <c r="W106" s="150">
        <f t="shared" si="362"/>
        <v>0.17643091966618898</v>
      </c>
      <c r="X106" s="150">
        <f t="shared" si="362"/>
        <v>0.17643091966618898</v>
      </c>
      <c r="Y106" s="150">
        <f t="shared" si="362"/>
        <v>0.17643091966618898</v>
      </c>
      <c r="Z106" s="150">
        <f t="shared" si="362"/>
        <v>0.17643091966618898</v>
      </c>
      <c r="AA106" s="150">
        <f t="shared" si="362"/>
        <v>0.17643091966618901</v>
      </c>
      <c r="AB106" s="150">
        <f t="shared" si="362"/>
        <v>0.17643091966618901</v>
      </c>
      <c r="AC106" s="150">
        <f t="shared" si="362"/>
        <v>0.17643091966618901</v>
      </c>
      <c r="AD106" s="150">
        <f t="shared" si="362"/>
        <v>0.17643091966618901</v>
      </c>
      <c r="AE106" s="150">
        <f t="shared" si="362"/>
        <v>0.17643091966618901</v>
      </c>
      <c r="AF106" s="137">
        <f t="shared" si="358"/>
        <v>8.2281288326768065E-2</v>
      </c>
      <c r="AG106" s="145"/>
      <c r="AH106" s="145"/>
    </row>
    <row r="107" spans="2:34">
      <c r="B107" s="20" t="s">
        <v>357</v>
      </c>
      <c r="C107" s="150"/>
      <c r="D107" s="150"/>
      <c r="E107" s="150"/>
      <c r="F107" s="150"/>
      <c r="G107" s="150">
        <f t="shared" ref="G107:H107" si="363">G55/G7</f>
        <v>0.12237762237762238</v>
      </c>
      <c r="H107" s="150">
        <f t="shared" si="363"/>
        <v>0.1048252911813644</v>
      </c>
      <c r="I107" s="150">
        <f>I55/I7</f>
        <v>0.14353312302839116</v>
      </c>
      <c r="J107" s="150">
        <f t="shared" ref="J107:Q107" si="364">J55/J7</f>
        <v>0.12513368983957218</v>
      </c>
      <c r="K107" s="150">
        <f t="shared" si="364"/>
        <v>0.22842639593908629</v>
      </c>
      <c r="L107" s="150">
        <f t="shared" si="364"/>
        <v>0.10303928836174944</v>
      </c>
      <c r="M107" s="150">
        <f t="shared" si="364"/>
        <v>0.33197763091001525</v>
      </c>
      <c r="N107" s="150">
        <f t="shared" si="364"/>
        <v>0.18283582089552239</v>
      </c>
      <c r="O107" s="150">
        <f t="shared" si="364"/>
        <v>0.14548022598870056</v>
      </c>
      <c r="P107" s="150">
        <f t="shared" si="364"/>
        <v>0.18058823529411766</v>
      </c>
      <c r="Q107" s="150">
        <f t="shared" si="364"/>
        <v>0.21972015741145606</v>
      </c>
      <c r="R107" s="150">
        <f t="shared" ref="R107:S107" si="365">R55/R7</f>
        <v>0.19388767612621552</v>
      </c>
      <c r="S107" s="150">
        <f t="shared" si="365"/>
        <v>0.33872794950639262</v>
      </c>
      <c r="T107" s="118">
        <f t="shared" si="243"/>
        <v>8.8543407198206303E-2</v>
      </c>
      <c r="U107" s="20"/>
      <c r="V107" s="150">
        <f t="shared" ref="V107" si="366">V55/V7</f>
        <v>0.33872794950639262</v>
      </c>
      <c r="W107" s="150">
        <f t="shared" ref="W107:AE107" si="367">W55/W7</f>
        <v>0.33872794950639257</v>
      </c>
      <c r="X107" s="150">
        <f t="shared" si="367"/>
        <v>0.33872794950639257</v>
      </c>
      <c r="Y107" s="150">
        <f t="shared" si="367"/>
        <v>0.33872794950639257</v>
      </c>
      <c r="Z107" s="150">
        <f t="shared" si="367"/>
        <v>0.33872794950639257</v>
      </c>
      <c r="AA107" s="150">
        <f t="shared" si="367"/>
        <v>0.33872794950639257</v>
      </c>
      <c r="AB107" s="150">
        <f t="shared" si="367"/>
        <v>0.33872794950639257</v>
      </c>
      <c r="AC107" s="150">
        <f t="shared" si="367"/>
        <v>0.33872794950639257</v>
      </c>
      <c r="AD107" s="150">
        <f t="shared" si="367"/>
        <v>0.33872794950639262</v>
      </c>
      <c r="AE107" s="150">
        <f t="shared" si="367"/>
        <v>0.33872794950639257</v>
      </c>
      <c r="AF107" s="137">
        <f t="shared" si="358"/>
        <v>4.1734603424624428E-2</v>
      </c>
      <c r="AG107" s="145"/>
      <c r="AH107" s="145"/>
    </row>
    <row r="108" spans="2:34">
      <c r="B108" s="20" t="s">
        <v>358</v>
      </c>
      <c r="C108" s="150"/>
      <c r="D108" s="150"/>
      <c r="E108" s="150"/>
      <c r="F108" s="150"/>
      <c r="G108" s="150">
        <f t="shared" ref="G108:H108" si="368">(G55)/(G7+G10)</f>
        <v>7.0493454179254789E-2</v>
      </c>
      <c r="H108" s="150">
        <f t="shared" si="368"/>
        <v>5.5021834061135373E-2</v>
      </c>
      <c r="I108" s="150">
        <f>(I55)/(I7+I10)</f>
        <v>6.5751445086705204E-2</v>
      </c>
      <c r="J108" s="150">
        <f t="shared" ref="J108:Q108" si="369">(J55)/(J7+J10)</f>
        <v>6.655290102389079E-2</v>
      </c>
      <c r="K108" s="150">
        <f t="shared" si="369"/>
        <v>0.14770240700218817</v>
      </c>
      <c r="L108" s="150">
        <f t="shared" si="369"/>
        <v>6.2081286288521664E-2</v>
      </c>
      <c r="M108" s="150">
        <f t="shared" si="369"/>
        <v>0.17773543821448012</v>
      </c>
      <c r="N108" s="150">
        <f t="shared" si="369"/>
        <v>9.0147179067865901E-2</v>
      </c>
      <c r="O108" s="150">
        <f t="shared" si="369"/>
        <v>7.6565694108901697E-2</v>
      </c>
      <c r="P108" s="150">
        <f t="shared" si="369"/>
        <v>0.10807956345713783</v>
      </c>
      <c r="Q108" s="150">
        <f t="shared" si="369"/>
        <v>0.18069039913700108</v>
      </c>
      <c r="R108" s="150">
        <f t="shared" ref="R108:S108" si="370">(R55)/(R7+R10)</f>
        <v>0.16732317177598904</v>
      </c>
      <c r="S108" s="150">
        <f t="shared" si="370"/>
        <v>0.278028692879915</v>
      </c>
      <c r="T108" s="118">
        <f t="shared" si="243"/>
        <v>0.12114487377082561</v>
      </c>
      <c r="U108" s="20"/>
      <c r="V108" s="150">
        <f t="shared" ref="V108:AE108" si="371">(V55)/(V7+V10)</f>
        <v>0.278028692879915</v>
      </c>
      <c r="W108" s="150">
        <f t="shared" si="371"/>
        <v>0.27802869287991494</v>
      </c>
      <c r="X108" s="150">
        <f t="shared" si="371"/>
        <v>0.27802869287991494</v>
      </c>
      <c r="Y108" s="150">
        <f t="shared" si="371"/>
        <v>0.27802869287991494</v>
      </c>
      <c r="Z108" s="150">
        <f t="shared" si="371"/>
        <v>0.278028692879915</v>
      </c>
      <c r="AA108" s="150">
        <f t="shared" si="371"/>
        <v>0.278028692879915</v>
      </c>
      <c r="AB108" s="150">
        <f t="shared" si="371"/>
        <v>0.278028692879915</v>
      </c>
      <c r="AC108" s="150">
        <f t="shared" si="371"/>
        <v>0.27802869287991494</v>
      </c>
      <c r="AD108" s="150">
        <f t="shared" si="371"/>
        <v>0.278028692879915</v>
      </c>
      <c r="AE108" s="150">
        <f t="shared" si="371"/>
        <v>0.278028692879915</v>
      </c>
      <c r="AF108" s="137">
        <f t="shared" si="358"/>
        <v>7.107109891311425E-2</v>
      </c>
      <c r="AG108" s="145"/>
      <c r="AH108" s="145"/>
    </row>
    <row r="109" spans="2:34">
      <c r="B109" s="20" t="s">
        <v>374</v>
      </c>
      <c r="C109" s="150"/>
      <c r="D109" s="150"/>
      <c r="E109" s="150"/>
      <c r="F109" s="150"/>
      <c r="G109" s="150">
        <f t="shared" ref="G109:H109" si="372">G20/G25</f>
        <v>5.5102040816326532E-2</v>
      </c>
      <c r="H109" s="150">
        <f t="shared" si="372"/>
        <v>4.8639000446229361E-2</v>
      </c>
      <c r="I109" s="150">
        <f>I20/I25</f>
        <v>2.8739867354458364E-2</v>
      </c>
      <c r="J109" s="150">
        <f t="shared" ref="J109:R109" si="373">J20/J25</f>
        <v>8.2946096654275089E-2</v>
      </c>
      <c r="K109" s="150">
        <f t="shared" si="373"/>
        <v>8.9577228966094602E-2</v>
      </c>
      <c r="L109" s="150">
        <f t="shared" si="373"/>
        <v>6.4909127221889351E-2</v>
      </c>
      <c r="M109" s="150">
        <f t="shared" si="373"/>
        <v>8.779389694847424E-2</v>
      </c>
      <c r="N109" s="150">
        <f t="shared" si="373"/>
        <v>1.6225448334756618E-2</v>
      </c>
      <c r="O109" s="150">
        <f t="shared" si="373"/>
        <v>4.3747985820174022E-2</v>
      </c>
      <c r="P109" s="150">
        <f t="shared" si="373"/>
        <v>5.9331175836030203E-2</v>
      </c>
      <c r="Q109" s="150">
        <f t="shared" si="373"/>
        <v>8.3444493849118132E-2</v>
      </c>
      <c r="R109" s="150">
        <f t="shared" si="373"/>
        <v>7.5065119583234668E-2</v>
      </c>
      <c r="S109" s="150">
        <f t="shared" ref="S109" si="374">S20/S25</f>
        <v>0.15105791115232234</v>
      </c>
      <c r="T109" s="118">
        <f t="shared" si="243"/>
        <v>8.7672085041872183E-2</v>
      </c>
      <c r="U109" s="20"/>
      <c r="V109" s="150">
        <f t="shared" ref="V109:AE109" si="375">V20/V25</f>
        <v>0.15105791115232234</v>
      </c>
      <c r="W109" s="150">
        <f t="shared" si="375"/>
        <v>0.15105791115232234</v>
      </c>
      <c r="X109" s="150">
        <f t="shared" si="375"/>
        <v>0.15105791115232237</v>
      </c>
      <c r="Y109" s="150">
        <f t="shared" si="375"/>
        <v>0.15105791115232237</v>
      </c>
      <c r="Z109" s="150">
        <f t="shared" si="375"/>
        <v>0.15105791115232237</v>
      </c>
      <c r="AA109" s="150">
        <f t="shared" si="375"/>
        <v>0.15105791115232237</v>
      </c>
      <c r="AB109" s="150">
        <f t="shared" si="375"/>
        <v>0.15105791115232237</v>
      </c>
      <c r="AC109" s="150">
        <f t="shared" si="375"/>
        <v>0.15105791115232239</v>
      </c>
      <c r="AD109" s="150">
        <f t="shared" si="375"/>
        <v>0.15105791115232239</v>
      </c>
      <c r="AE109" s="150">
        <f t="shared" si="375"/>
        <v>0.15105791115232239</v>
      </c>
      <c r="AF109" s="137">
        <f t="shared" si="358"/>
        <v>8.2223802726285378E-2</v>
      </c>
      <c r="AG109" s="145"/>
      <c r="AH109" s="145"/>
    </row>
    <row r="110" spans="2:34">
      <c r="B110" s="20" t="s">
        <v>426</v>
      </c>
      <c r="C110" s="150"/>
      <c r="D110" s="150"/>
      <c r="E110" s="150"/>
      <c r="F110" s="150"/>
      <c r="G110" s="150">
        <f t="shared" ref="G110:H110" si="376">G68/G25</f>
        <v>1.7857142857142856E-2</v>
      </c>
      <c r="H110" s="150">
        <f t="shared" si="376"/>
        <v>8.9245872378402504E-3</v>
      </c>
      <c r="I110" s="150">
        <f>I68/I25</f>
        <v>1.1422254974207811E-2</v>
      </c>
      <c r="J110" s="150">
        <f t="shared" ref="J110:R110" si="377">J68/J25</f>
        <v>1.8355018587360595E-2</v>
      </c>
      <c r="K110" s="150">
        <f t="shared" si="377"/>
        <v>2.8463792381749686E-2</v>
      </c>
      <c r="L110" s="150">
        <f t="shared" si="377"/>
        <v>1.2782105052925903E-2</v>
      </c>
      <c r="M110" s="150">
        <f t="shared" si="377"/>
        <v>3.1390695347673837E-2</v>
      </c>
      <c r="N110" s="150">
        <f t="shared" si="377"/>
        <v>1.1421861656703673E-2</v>
      </c>
      <c r="O110" s="150">
        <f t="shared" si="377"/>
        <v>1.1601675797615211E-2</v>
      </c>
      <c r="P110" s="150">
        <f t="shared" si="377"/>
        <v>1.8801047927261519E-2</v>
      </c>
      <c r="Q110" s="150">
        <f t="shared" si="377"/>
        <v>1.6822291388765377E-2</v>
      </c>
      <c r="R110" s="150">
        <f t="shared" si="377"/>
        <v>2.786328834162128E-2</v>
      </c>
      <c r="S110" s="150">
        <f t="shared" ref="S110" si="378">S68/S25</f>
        <v>-4.4086655989210147E-2</v>
      </c>
      <c r="T110" s="118" t="e">
        <f t="shared" si="243"/>
        <v>#NUM!</v>
      </c>
      <c r="U110" s="20"/>
      <c r="V110" s="150">
        <f t="shared" ref="V110:AE110" si="379">V68/V25</f>
        <v>-4.4086655989210154E-2</v>
      </c>
      <c r="W110" s="150">
        <f t="shared" si="379"/>
        <v>-4.4086655989210161E-2</v>
      </c>
      <c r="X110" s="150">
        <f t="shared" si="379"/>
        <v>-4.4086655989210168E-2</v>
      </c>
      <c r="Y110" s="150">
        <f t="shared" si="379"/>
        <v>-4.4086655989210168E-2</v>
      </c>
      <c r="Z110" s="150">
        <f t="shared" si="379"/>
        <v>-4.4086655989210168E-2</v>
      </c>
      <c r="AA110" s="150">
        <f t="shared" si="379"/>
        <v>-4.4086655989210188E-2</v>
      </c>
      <c r="AB110" s="150">
        <f t="shared" si="379"/>
        <v>-4.4086655989210188E-2</v>
      </c>
      <c r="AC110" s="150">
        <f t="shared" si="379"/>
        <v>-4.4086655989210174E-2</v>
      </c>
      <c r="AD110" s="150">
        <f t="shared" si="379"/>
        <v>-4.4086655989210188E-2</v>
      </c>
      <c r="AE110" s="150">
        <f t="shared" si="379"/>
        <v>-4.4086655989210188E-2</v>
      </c>
      <c r="AF110" s="137">
        <f t="shared" si="358"/>
        <v>-2.0664271793674951</v>
      </c>
      <c r="AG110" s="145"/>
      <c r="AH110" s="145"/>
    </row>
    <row r="111" spans="2:34">
      <c r="B111" s="2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28"/>
      <c r="U111" s="2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150"/>
      <c r="AF111" s="3"/>
      <c r="AG111" s="145"/>
      <c r="AH111" s="145"/>
    </row>
    <row r="112" spans="2:34">
      <c r="B112" s="20" t="s">
        <v>321</v>
      </c>
      <c r="C112" s="150"/>
      <c r="D112" s="150"/>
      <c r="E112" s="150"/>
      <c r="F112" s="150"/>
      <c r="G112" s="150">
        <f t="shared" ref="G112:H112" si="380">G29/G25</f>
        <v>1.9387755102040816E-2</v>
      </c>
      <c r="H112" s="150">
        <f t="shared" si="380"/>
        <v>1.7849174475680501E-2</v>
      </c>
      <c r="I112" s="150">
        <f>I29/I25</f>
        <v>1.8422991893883568E-2</v>
      </c>
      <c r="J112" s="150">
        <f t="shared" ref="J112:R112" si="381">J29/J25</f>
        <v>1.9749070631970261E-2</v>
      </c>
      <c r="K112" s="150">
        <f t="shared" si="381"/>
        <v>2.239430724152365E-2</v>
      </c>
      <c r="L112" s="150">
        <f t="shared" si="381"/>
        <v>2.7161973237467545E-2</v>
      </c>
      <c r="M112" s="150">
        <f t="shared" si="381"/>
        <v>2.2886443221610805E-2</v>
      </c>
      <c r="N112" s="150">
        <f t="shared" si="381"/>
        <v>1.9748078565328779E-2</v>
      </c>
      <c r="O112" s="150">
        <f t="shared" si="381"/>
        <v>2.3122784402191426E-2</v>
      </c>
      <c r="P112" s="150">
        <f t="shared" si="381"/>
        <v>2.4040684234858993E-2</v>
      </c>
      <c r="Q112" s="150">
        <f t="shared" si="381"/>
        <v>2.1046390988587519E-2</v>
      </c>
      <c r="R112" s="150">
        <f t="shared" si="381"/>
        <v>1.4444707553871654E-2</v>
      </c>
      <c r="S112" s="150">
        <f t="shared" ref="S112" si="382">S29/S25</f>
        <v>7.755205260052263E-3</v>
      </c>
      <c r="T112" s="118">
        <f t="shared" si="243"/>
        <v>-7.3514099912732167E-2</v>
      </c>
      <c r="U112" s="20"/>
      <c r="V112" s="150">
        <f t="shared" ref="V112:AE112" si="383">V29/V25</f>
        <v>7.7552052600522638E-3</v>
      </c>
      <c r="W112" s="150">
        <f t="shared" si="383"/>
        <v>7.7552052600522638E-3</v>
      </c>
      <c r="X112" s="150">
        <f t="shared" si="383"/>
        <v>7.7552052600522647E-3</v>
      </c>
      <c r="Y112" s="150">
        <f t="shared" si="383"/>
        <v>7.7552052600522647E-3</v>
      </c>
      <c r="Z112" s="150">
        <f t="shared" si="383"/>
        <v>7.7552052600522647E-3</v>
      </c>
      <c r="AA112" s="150">
        <f t="shared" si="383"/>
        <v>7.7552052600522656E-3</v>
      </c>
      <c r="AB112" s="150">
        <f t="shared" si="383"/>
        <v>7.7552052600522656E-3</v>
      </c>
      <c r="AC112" s="150">
        <f t="shared" si="383"/>
        <v>7.7552052600522656E-3</v>
      </c>
      <c r="AD112" s="150">
        <f t="shared" si="383"/>
        <v>7.7552052600522656E-3</v>
      </c>
      <c r="AE112" s="150">
        <f t="shared" si="383"/>
        <v>7.7552052600522664E-3</v>
      </c>
      <c r="AF112" s="137">
        <f t="shared" si="358"/>
        <v>-4.0364424286103873E-2</v>
      </c>
      <c r="AG112" s="145"/>
      <c r="AH112" s="145"/>
    </row>
    <row r="113" spans="1:34">
      <c r="B113" s="20" t="s">
        <v>367</v>
      </c>
      <c r="C113" s="150"/>
      <c r="D113" s="150"/>
      <c r="E113" s="150"/>
      <c r="F113" s="150"/>
      <c r="G113" s="150">
        <f t="shared" ref="G113:H113" si="384">G29/G51</f>
        <v>0.21714285714285714</v>
      </c>
      <c r="H113" s="150">
        <f t="shared" si="384"/>
        <v>0.2484472049689441</v>
      </c>
      <c r="I113" s="150">
        <f>I29/I51</f>
        <v>0.21645021645021645</v>
      </c>
      <c r="J113" s="150">
        <f t="shared" ref="J113:R113" si="385">J29/J51</f>
        <v>0.21144278606965175</v>
      </c>
      <c r="K113" s="150">
        <f t="shared" si="385"/>
        <v>0.17147435897435898</v>
      </c>
      <c r="L113" s="150">
        <f t="shared" si="385"/>
        <v>0.2982456140350877</v>
      </c>
      <c r="M113" s="150">
        <f t="shared" si="385"/>
        <v>0.1467522052927025</v>
      </c>
      <c r="N113" s="150">
        <f t="shared" si="385"/>
        <v>0.18916155419222905</v>
      </c>
      <c r="O113" s="150">
        <f t="shared" si="385"/>
        <v>0.24592973436161097</v>
      </c>
      <c r="P113" s="150">
        <f t="shared" si="385"/>
        <v>0.21428571428571427</v>
      </c>
      <c r="Q113" s="150">
        <f t="shared" si="385"/>
        <v>0.15146666666666667</v>
      </c>
      <c r="R113" s="150">
        <f t="shared" si="385"/>
        <v>9.4818652849740934E-2</v>
      </c>
      <c r="S113" s="150">
        <f t="shared" ref="S113" si="386">S29/S51</f>
        <v>6.0446780551905388E-2</v>
      </c>
      <c r="T113" s="118">
        <f t="shared" si="243"/>
        <v>-0.10108429325888391</v>
      </c>
      <c r="U113" s="20"/>
      <c r="V113" s="150">
        <f t="shared" ref="V113:AE113" si="387">V29/V51</f>
        <v>6.0446780551905388E-2</v>
      </c>
      <c r="W113" s="150">
        <f t="shared" si="387"/>
        <v>6.0446780551905388E-2</v>
      </c>
      <c r="X113" s="150">
        <f t="shared" si="387"/>
        <v>6.0446780551905395E-2</v>
      </c>
      <c r="Y113" s="150">
        <f t="shared" si="387"/>
        <v>6.0446780551905395E-2</v>
      </c>
      <c r="Z113" s="150">
        <f t="shared" si="387"/>
        <v>6.0446780551905395E-2</v>
      </c>
      <c r="AA113" s="150">
        <f t="shared" si="387"/>
        <v>6.0446780551905395E-2</v>
      </c>
      <c r="AB113" s="150">
        <f t="shared" si="387"/>
        <v>6.0446780551905395E-2</v>
      </c>
      <c r="AC113" s="150">
        <f t="shared" si="387"/>
        <v>6.0446780551905402E-2</v>
      </c>
      <c r="AD113" s="150">
        <f t="shared" si="387"/>
        <v>6.0446780551905402E-2</v>
      </c>
      <c r="AE113" s="150">
        <f t="shared" si="387"/>
        <v>6.0446780551905409E-2</v>
      </c>
      <c r="AF113" s="137">
        <f t="shared" ref="AF113" si="388">((AE113/I113)^(1/($AE$3-$J$1) ))-1</f>
        <v>-5.8934680187253008E-2</v>
      </c>
      <c r="AG113" s="145"/>
      <c r="AH113" s="145"/>
    </row>
    <row r="114" spans="1:34" ht="12" customHeight="1">
      <c r="B114" s="20" t="s">
        <v>366</v>
      </c>
      <c r="C114" s="150"/>
      <c r="D114" s="150"/>
      <c r="E114" s="150"/>
      <c r="F114" s="150"/>
      <c r="G114" s="169">
        <f t="shared" ref="G114:H114" si="389">G29/G55</f>
        <v>0.54285714285714282</v>
      </c>
      <c r="H114" s="169">
        <f t="shared" si="389"/>
        <v>0.63492063492063489</v>
      </c>
      <c r="I114" s="169">
        <f t="shared" ref="I114:R114" si="390">I29/I55</f>
        <v>0.5494505494505495</v>
      </c>
      <c r="J114" s="169">
        <f t="shared" si="390"/>
        <v>0.72649572649572647</v>
      </c>
      <c r="K114" s="169">
        <f t="shared" si="390"/>
        <v>0.39629629629629631</v>
      </c>
      <c r="L114" s="169">
        <f t="shared" si="390"/>
        <v>0.97841726618705038</v>
      </c>
      <c r="M114" s="169">
        <f t="shared" si="390"/>
        <v>0.28024502297090353</v>
      </c>
      <c r="N114" s="169">
        <f t="shared" si="390"/>
        <v>0.41950113378684806</v>
      </c>
      <c r="O114" s="169">
        <f t="shared" si="390"/>
        <v>0.69660194174757284</v>
      </c>
      <c r="P114" s="169">
        <f t="shared" si="390"/>
        <v>0.50814332247557004</v>
      </c>
      <c r="Q114" s="169">
        <f t="shared" si="390"/>
        <v>0.28258706467661693</v>
      </c>
      <c r="R114" s="169">
        <f t="shared" si="390"/>
        <v>0.18730808597748208</v>
      </c>
      <c r="S114" s="169">
        <f t="shared" ref="S114" si="391">S29/S55</f>
        <v>4.3956043956043959E-2</v>
      </c>
      <c r="T114" s="118">
        <f t="shared" si="243"/>
        <v>-0.18898711612683217</v>
      </c>
      <c r="U114" s="20"/>
      <c r="V114" s="169">
        <f t="shared" ref="V114:AE114" si="392">V29/V55</f>
        <v>4.3956043956043959E-2</v>
      </c>
      <c r="W114" s="169">
        <f t="shared" si="392"/>
        <v>4.3956043956043959E-2</v>
      </c>
      <c r="X114" s="169">
        <f t="shared" si="392"/>
        <v>4.3956043956043959E-2</v>
      </c>
      <c r="Y114" s="169">
        <f t="shared" si="392"/>
        <v>4.3956043956043959E-2</v>
      </c>
      <c r="Z114" s="169">
        <f t="shared" si="392"/>
        <v>4.3956043956043959E-2</v>
      </c>
      <c r="AA114" s="169">
        <f t="shared" si="392"/>
        <v>4.3956043956043959E-2</v>
      </c>
      <c r="AB114" s="169">
        <f t="shared" si="392"/>
        <v>4.3956043956043959E-2</v>
      </c>
      <c r="AC114" s="169">
        <f t="shared" si="392"/>
        <v>4.3956043956043959E-2</v>
      </c>
      <c r="AD114" s="169">
        <f t="shared" si="392"/>
        <v>4.3956043956043959E-2</v>
      </c>
      <c r="AE114" s="169">
        <f t="shared" si="392"/>
        <v>4.3956043956043966E-2</v>
      </c>
      <c r="AF114" s="137">
        <f t="shared" ref="AF114" si="393">((AE114/I114)^(1/($AE$3-$J$1) ))-1</f>
        <v>-0.11332147560500194</v>
      </c>
      <c r="AG114" s="145"/>
      <c r="AH114" s="145"/>
    </row>
    <row r="115" spans="1:34" ht="12" customHeight="1">
      <c r="B115" s="20" t="s">
        <v>323</v>
      </c>
      <c r="C115" s="150"/>
      <c r="D115" s="150"/>
      <c r="E115" s="150"/>
      <c r="F115" s="150"/>
      <c r="G115" s="169">
        <f t="shared" ref="G115:H115" si="394">G29/G12</f>
        <v>0.34545454545454546</v>
      </c>
      <c r="H115" s="169">
        <f t="shared" si="394"/>
        <v>0.33057851239669422</v>
      </c>
      <c r="I115" s="169">
        <f t="shared" ref="I115:R115" si="395">I29/I12</f>
        <v>0.21645021645021645</v>
      </c>
      <c r="J115" s="169">
        <f t="shared" si="395"/>
        <v>0.44041450777202074</v>
      </c>
      <c r="K115" s="169">
        <f t="shared" si="395"/>
        <v>0.37543859649122807</v>
      </c>
      <c r="L115" s="169">
        <f t="shared" si="395"/>
        <v>0.37673130193905818</v>
      </c>
      <c r="M115" s="169">
        <f t="shared" si="395"/>
        <v>0.52586206896551724</v>
      </c>
      <c r="N115" s="169">
        <f t="shared" si="395"/>
        <v>0.96858638743455494</v>
      </c>
      <c r="O115" s="169">
        <f t="shared" si="395"/>
        <v>1.6589595375722543</v>
      </c>
      <c r="P115" s="169">
        <f t="shared" si="395"/>
        <v>0.93134328358208951</v>
      </c>
      <c r="Q115" s="169">
        <f t="shared" si="395"/>
        <v>0.43425076452599387</v>
      </c>
      <c r="R115" s="169">
        <f t="shared" si="395"/>
        <v>0.30756302521008405</v>
      </c>
      <c r="S115" s="169">
        <f t="shared" ref="S115" si="396">S29/S12</f>
        <v>0.1546218487394958</v>
      </c>
      <c r="T115" s="118">
        <f t="shared" si="243"/>
        <v>-6.4795339305342869E-2</v>
      </c>
      <c r="U115" s="20"/>
      <c r="V115" s="150">
        <f t="shared" ref="V115:AE115" si="397">V29/V12</f>
        <v>0.1546218487394958</v>
      </c>
      <c r="W115" s="150">
        <f t="shared" si="397"/>
        <v>0.1546218487394958</v>
      </c>
      <c r="X115" s="150">
        <f t="shared" si="397"/>
        <v>0.1546218487394958</v>
      </c>
      <c r="Y115" s="150">
        <f t="shared" si="397"/>
        <v>0.1546218487394958</v>
      </c>
      <c r="Z115" s="150">
        <f t="shared" si="397"/>
        <v>0.1546218487394958</v>
      </c>
      <c r="AA115" s="150">
        <f t="shared" si="397"/>
        <v>0.1546218487394958</v>
      </c>
      <c r="AB115" s="150">
        <f t="shared" si="397"/>
        <v>0.1546218487394958</v>
      </c>
      <c r="AC115" s="150">
        <f t="shared" si="397"/>
        <v>0.15462184873949578</v>
      </c>
      <c r="AD115" s="150">
        <f t="shared" si="397"/>
        <v>0.15462184873949578</v>
      </c>
      <c r="AE115" s="150">
        <f t="shared" si="397"/>
        <v>0.15462184873949578</v>
      </c>
      <c r="AF115" s="137">
        <f t="shared" si="358"/>
        <v>-1.5890399860001514E-2</v>
      </c>
      <c r="AG115" s="145"/>
      <c r="AH115" s="145"/>
    </row>
    <row r="116" spans="1:34" ht="12" customHeight="1">
      <c r="B116" s="20" t="s">
        <v>368</v>
      </c>
      <c r="C116" s="150"/>
      <c r="D116" s="150"/>
      <c r="E116" s="150"/>
      <c r="F116" s="150"/>
      <c r="G116" s="169">
        <f t="shared" ref="G116:H116" si="398">G29/G23</f>
        <v>0.35849056603773582</v>
      </c>
      <c r="H116" s="169">
        <f t="shared" si="398"/>
        <v>0.36363636363636365</v>
      </c>
      <c r="I116" s="169">
        <f>I29/I23</f>
        <v>0.21551724137931033</v>
      </c>
      <c r="J116" s="169">
        <f t="shared" ref="J116:R116" si="399">J29/J23</f>
        <v>0.4941860465116279</v>
      </c>
      <c r="K116" s="169">
        <f t="shared" si="399"/>
        <v>0.40225563909774437</v>
      </c>
      <c r="L116" s="169">
        <f t="shared" si="399"/>
        <v>0.49816849816849818</v>
      </c>
      <c r="M116" s="169">
        <f t="shared" si="399"/>
        <v>0.73493975903614461</v>
      </c>
      <c r="N116" s="169">
        <f t="shared" si="399"/>
        <v>1.3805970149253732</v>
      </c>
      <c r="O116" s="169">
        <f t="shared" si="399"/>
        <v>2.7075471698113209</v>
      </c>
      <c r="P116" s="169">
        <f t="shared" si="399"/>
        <v>2.1666666666666665</v>
      </c>
      <c r="Q116" s="169">
        <f t="shared" si="399"/>
        <v>1.3396226415094339</v>
      </c>
      <c r="R116" s="169">
        <f t="shared" si="399"/>
        <v>0.91500000000000004</v>
      </c>
      <c r="S116" s="169">
        <f t="shared" ref="S116" si="400">S29/S23</f>
        <v>0.32280701754385965</v>
      </c>
      <c r="T116" s="118">
        <f t="shared" si="243"/>
        <v>-8.6992464063909702E-3</v>
      </c>
      <c r="U116" s="20"/>
      <c r="V116" s="169">
        <f t="shared" ref="V116:AE116" si="401">V29/V23</f>
        <v>0.32280701754385965</v>
      </c>
      <c r="W116" s="169">
        <f t="shared" si="401"/>
        <v>0.32280701754385965</v>
      </c>
      <c r="X116" s="169">
        <f t="shared" si="401"/>
        <v>0.32280701754385965</v>
      </c>
      <c r="Y116" s="169">
        <f t="shared" si="401"/>
        <v>0.32280701754385965</v>
      </c>
      <c r="Z116" s="169">
        <f t="shared" si="401"/>
        <v>0.32280701754385965</v>
      </c>
      <c r="AA116" s="169">
        <f t="shared" si="401"/>
        <v>0.32280701754385971</v>
      </c>
      <c r="AB116" s="169">
        <f t="shared" si="401"/>
        <v>0.32280701754385965</v>
      </c>
      <c r="AC116" s="169">
        <f t="shared" si="401"/>
        <v>0.32280701754385965</v>
      </c>
      <c r="AD116" s="169">
        <f t="shared" si="401"/>
        <v>0.32280701754385965</v>
      </c>
      <c r="AE116" s="169">
        <f t="shared" si="401"/>
        <v>0.32280701754385971</v>
      </c>
      <c r="AF116" s="137">
        <f t="shared" ref="AF116" si="402">((AE116/I116)^(1/($AE$3-$J$1) ))-1</f>
        <v>1.9425007917773796E-2</v>
      </c>
      <c r="AG116" s="145"/>
      <c r="AH116" s="145"/>
    </row>
    <row r="117" spans="1:34" ht="12" customHeight="1">
      <c r="B117" s="20"/>
      <c r="C117" s="150"/>
      <c r="D117" s="150"/>
      <c r="E117" s="150"/>
      <c r="F117" s="150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28"/>
      <c r="U117" s="2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50"/>
      <c r="AG117" s="145"/>
      <c r="AH117" s="145"/>
    </row>
    <row r="118" spans="1:34" ht="12" customHeight="1">
      <c r="B118" s="20" t="s">
        <v>400</v>
      </c>
      <c r="C118" s="150"/>
      <c r="D118" s="150"/>
      <c r="E118" s="150"/>
      <c r="F118" s="150"/>
      <c r="G118" s="127">
        <f t="shared" ref="G118:H118" si="403">1/G112</f>
        <v>51.578947368421055</v>
      </c>
      <c r="H118" s="127">
        <f t="shared" si="403"/>
        <v>56.024999999999999</v>
      </c>
      <c r="I118" s="127">
        <f>1/I112</f>
        <v>54.279999999999994</v>
      </c>
      <c r="J118" s="127">
        <f t="shared" ref="J118:R118" si="404">1/J112</f>
        <v>50.635294117647057</v>
      </c>
      <c r="K118" s="127">
        <f t="shared" si="404"/>
        <v>44.654205607476634</v>
      </c>
      <c r="L118" s="127">
        <f t="shared" si="404"/>
        <v>36.816176470588239</v>
      </c>
      <c r="M118" s="127">
        <f t="shared" si="404"/>
        <v>43.693989071038253</v>
      </c>
      <c r="N118" s="127">
        <f t="shared" si="404"/>
        <v>50.637837837837836</v>
      </c>
      <c r="O118" s="127">
        <f t="shared" si="404"/>
        <v>43.247386759581886</v>
      </c>
      <c r="P118" s="127">
        <f t="shared" si="404"/>
        <v>41.596153846153847</v>
      </c>
      <c r="Q118" s="127">
        <f t="shared" si="404"/>
        <v>47.514084507042256</v>
      </c>
      <c r="R118" s="127">
        <f t="shared" si="404"/>
        <v>69.229508196721312</v>
      </c>
      <c r="S118" s="127">
        <f t="shared" ref="S118" si="405">1/S112</f>
        <v>128.94565217391306</v>
      </c>
      <c r="T118" s="118">
        <f t="shared" si="243"/>
        <v>7.9347240908693495E-2</v>
      </c>
      <c r="U118" s="20"/>
      <c r="V118" s="127">
        <f t="shared" ref="V118:AE118" si="406">1/V112</f>
        <v>128.94565217391303</v>
      </c>
      <c r="W118" s="127">
        <f t="shared" si="406"/>
        <v>128.94565217391303</v>
      </c>
      <c r="X118" s="127">
        <f t="shared" si="406"/>
        <v>128.94565217391303</v>
      </c>
      <c r="Y118" s="127">
        <f t="shared" si="406"/>
        <v>128.94565217391303</v>
      </c>
      <c r="Z118" s="127">
        <f t="shared" si="406"/>
        <v>128.94565217391303</v>
      </c>
      <c r="AA118" s="127">
        <f t="shared" si="406"/>
        <v>128.945652173913</v>
      </c>
      <c r="AB118" s="127">
        <f t="shared" si="406"/>
        <v>128.945652173913</v>
      </c>
      <c r="AC118" s="127">
        <f t="shared" si="406"/>
        <v>128.945652173913</v>
      </c>
      <c r="AD118" s="127">
        <f t="shared" si="406"/>
        <v>128.945652173913</v>
      </c>
      <c r="AE118" s="127">
        <f t="shared" si="406"/>
        <v>128.945652173913</v>
      </c>
      <c r="AF118" s="137">
        <f t="shared" si="358"/>
        <v>4.2062242488327684E-2</v>
      </c>
      <c r="AG118" s="145"/>
      <c r="AH118" s="145"/>
    </row>
    <row r="119" spans="1:34" ht="12" customHeight="1">
      <c r="B119" s="20" t="s">
        <v>401</v>
      </c>
      <c r="C119" s="150"/>
      <c r="D119" s="150"/>
      <c r="E119" s="150"/>
      <c r="F119" s="150"/>
      <c r="G119" s="127">
        <f t="shared" ref="G119:H119" si="407">1/G113</f>
        <v>4.6052631578947372</v>
      </c>
      <c r="H119" s="127">
        <f t="shared" si="407"/>
        <v>4.0250000000000004</v>
      </c>
      <c r="I119" s="127">
        <f t="shared" ref="I119:R122" si="408">1/I113</f>
        <v>4.62</v>
      </c>
      <c r="J119" s="127">
        <f t="shared" si="408"/>
        <v>4.7294117647058824</v>
      </c>
      <c r="K119" s="127">
        <f t="shared" si="408"/>
        <v>5.8317757009345792</v>
      </c>
      <c r="L119" s="127">
        <f t="shared" si="408"/>
        <v>3.3529411764705883</v>
      </c>
      <c r="M119" s="127">
        <f t="shared" si="408"/>
        <v>6.8142076502732234</v>
      </c>
      <c r="N119" s="127">
        <f t="shared" si="408"/>
        <v>5.2864864864864867</v>
      </c>
      <c r="O119" s="127">
        <f t="shared" si="408"/>
        <v>4.0662020905923342</v>
      </c>
      <c r="P119" s="127">
        <f t="shared" si="408"/>
        <v>4.666666666666667</v>
      </c>
      <c r="Q119" s="127">
        <f t="shared" si="408"/>
        <v>6.602112676056338</v>
      </c>
      <c r="R119" s="127">
        <f t="shared" si="408"/>
        <v>10.546448087431694</v>
      </c>
      <c r="S119" s="127">
        <f t="shared" ref="S119" si="409">1/S113</f>
        <v>16.543478260869566</v>
      </c>
      <c r="T119" s="118">
        <f t="shared" si="243"/>
        <v>0.11245135945543749</v>
      </c>
      <c r="U119" s="20"/>
      <c r="V119" s="127">
        <f t="shared" ref="V119:AE119" si="410">1/V113</f>
        <v>16.543478260869566</v>
      </c>
      <c r="W119" s="127">
        <f t="shared" si="410"/>
        <v>16.543478260869566</v>
      </c>
      <c r="X119" s="127">
        <f t="shared" si="410"/>
        <v>16.543478260869563</v>
      </c>
      <c r="Y119" s="127">
        <f t="shared" si="410"/>
        <v>16.543478260869563</v>
      </c>
      <c r="Z119" s="127">
        <f t="shared" si="410"/>
        <v>16.543478260869563</v>
      </c>
      <c r="AA119" s="127">
        <f t="shared" si="410"/>
        <v>16.543478260869563</v>
      </c>
      <c r="AB119" s="127">
        <f t="shared" si="410"/>
        <v>16.543478260869563</v>
      </c>
      <c r="AC119" s="127">
        <f t="shared" si="410"/>
        <v>16.543478260869563</v>
      </c>
      <c r="AD119" s="127">
        <f t="shared" si="410"/>
        <v>16.543478260869563</v>
      </c>
      <c r="AE119" s="127">
        <f t="shared" si="410"/>
        <v>16.543478260869559</v>
      </c>
      <c r="AF119" s="137">
        <f t="shared" si="358"/>
        <v>6.2625493625649398E-2</v>
      </c>
      <c r="AG119" s="145"/>
      <c r="AH119" s="145"/>
    </row>
    <row r="120" spans="1:34" ht="12" customHeight="1">
      <c r="B120" s="20" t="s">
        <v>402</v>
      </c>
      <c r="C120" s="150"/>
      <c r="D120" s="150"/>
      <c r="E120" s="150"/>
      <c r="F120" s="150"/>
      <c r="G120" s="127">
        <f t="shared" ref="G120:H120" si="411">1/G114</f>
        <v>1.8421052631578949</v>
      </c>
      <c r="H120" s="127">
        <f t="shared" si="411"/>
        <v>1.5750000000000002</v>
      </c>
      <c r="I120" s="127">
        <f t="shared" si="408"/>
        <v>1.8199999999999998</v>
      </c>
      <c r="J120" s="127">
        <f t="shared" si="408"/>
        <v>1.3764705882352941</v>
      </c>
      <c r="K120" s="127">
        <f t="shared" si="408"/>
        <v>2.5233644859813085</v>
      </c>
      <c r="L120" s="127">
        <f t="shared" si="408"/>
        <v>1.0220588235294117</v>
      </c>
      <c r="M120" s="127">
        <f t="shared" si="408"/>
        <v>3.5683060109289615</v>
      </c>
      <c r="N120" s="127">
        <f t="shared" si="408"/>
        <v>2.3837837837837839</v>
      </c>
      <c r="O120" s="127">
        <f t="shared" si="408"/>
        <v>1.4355400696864111</v>
      </c>
      <c r="P120" s="127">
        <f t="shared" si="408"/>
        <v>1.9679487179487178</v>
      </c>
      <c r="Q120" s="127">
        <f t="shared" si="408"/>
        <v>3.538732394366197</v>
      </c>
      <c r="R120" s="127">
        <f t="shared" si="408"/>
        <v>5.3387978142076502</v>
      </c>
      <c r="S120" s="127">
        <f t="shared" ref="S120" si="412">1/S114</f>
        <v>22.75</v>
      </c>
      <c r="T120" s="118">
        <f t="shared" si="243"/>
        <v>0.23302603433903935</v>
      </c>
      <c r="U120" s="20"/>
      <c r="V120" s="127">
        <f t="shared" ref="V120:AE120" si="413">1/V114</f>
        <v>22.75</v>
      </c>
      <c r="W120" s="127">
        <f t="shared" si="413"/>
        <v>22.75</v>
      </c>
      <c r="X120" s="127">
        <f t="shared" si="413"/>
        <v>22.75</v>
      </c>
      <c r="Y120" s="127">
        <f t="shared" si="413"/>
        <v>22.75</v>
      </c>
      <c r="Z120" s="127">
        <f t="shared" si="413"/>
        <v>22.75</v>
      </c>
      <c r="AA120" s="127">
        <f t="shared" si="413"/>
        <v>22.75</v>
      </c>
      <c r="AB120" s="127">
        <f t="shared" si="413"/>
        <v>22.75</v>
      </c>
      <c r="AC120" s="127">
        <f t="shared" si="413"/>
        <v>22.75</v>
      </c>
      <c r="AD120" s="127">
        <f t="shared" si="413"/>
        <v>22.75</v>
      </c>
      <c r="AE120" s="127">
        <f t="shared" si="413"/>
        <v>22.749999999999993</v>
      </c>
      <c r="AF120" s="137">
        <f t="shared" si="358"/>
        <v>0.1278044663169482</v>
      </c>
      <c r="AG120" s="145"/>
      <c r="AH120" s="145"/>
    </row>
    <row r="121" spans="1:34" ht="12" customHeight="1">
      <c r="B121" s="20" t="s">
        <v>403</v>
      </c>
      <c r="C121" s="150"/>
      <c r="D121" s="150"/>
      <c r="E121" s="150"/>
      <c r="F121" s="150"/>
      <c r="G121" s="127">
        <f t="shared" ref="G121:H121" si="414">1/G115</f>
        <v>2.8947368421052633</v>
      </c>
      <c r="H121" s="127">
        <f t="shared" si="414"/>
        <v>3.0249999999999999</v>
      </c>
      <c r="I121" s="127">
        <f t="shared" si="408"/>
        <v>4.62</v>
      </c>
      <c r="J121" s="127">
        <f t="shared" si="408"/>
        <v>2.2705882352941176</v>
      </c>
      <c r="K121" s="127">
        <f t="shared" si="408"/>
        <v>2.6635514018691588</v>
      </c>
      <c r="L121" s="127">
        <f t="shared" si="408"/>
        <v>2.6544117647058822</v>
      </c>
      <c r="M121" s="127">
        <f t="shared" si="408"/>
        <v>1.9016393442622952</v>
      </c>
      <c r="N121" s="127">
        <f t="shared" si="408"/>
        <v>1.0324324324324325</v>
      </c>
      <c r="O121" s="127">
        <f t="shared" si="408"/>
        <v>0.60278745644599308</v>
      </c>
      <c r="P121" s="127">
        <f t="shared" si="408"/>
        <v>1.0737179487179487</v>
      </c>
      <c r="Q121" s="127">
        <f t="shared" si="408"/>
        <v>2.302816901408451</v>
      </c>
      <c r="R121" s="127">
        <f t="shared" si="408"/>
        <v>3.2513661202185791</v>
      </c>
      <c r="S121" s="127">
        <f t="shared" ref="S121" si="415">1/S115</f>
        <v>6.4673913043478262</v>
      </c>
      <c r="T121" s="118">
        <f t="shared" si="243"/>
        <v>6.9284662522119733E-2</v>
      </c>
      <c r="U121" s="20"/>
      <c r="V121" s="127">
        <f t="shared" ref="V121:AE121" si="416">1/V115</f>
        <v>6.4673913043478262</v>
      </c>
      <c r="W121" s="127">
        <f t="shared" si="416"/>
        <v>6.4673913043478262</v>
      </c>
      <c r="X121" s="127">
        <f t="shared" si="416"/>
        <v>6.4673913043478262</v>
      </c>
      <c r="Y121" s="127">
        <f t="shared" si="416"/>
        <v>6.4673913043478262</v>
      </c>
      <c r="Z121" s="127">
        <f t="shared" si="416"/>
        <v>6.4673913043478262</v>
      </c>
      <c r="AA121" s="127">
        <f t="shared" si="416"/>
        <v>6.4673913043478262</v>
      </c>
      <c r="AB121" s="127">
        <f t="shared" si="416"/>
        <v>6.4673913043478262</v>
      </c>
      <c r="AC121" s="127">
        <f t="shared" si="416"/>
        <v>6.4673913043478271</v>
      </c>
      <c r="AD121" s="127">
        <f t="shared" si="416"/>
        <v>6.4673913043478271</v>
      </c>
      <c r="AE121" s="127">
        <f t="shared" si="416"/>
        <v>6.4673913043478271</v>
      </c>
      <c r="AF121" s="137">
        <f t="shared" si="358"/>
        <v>1.6146981858261578E-2</v>
      </c>
      <c r="AG121" s="145"/>
      <c r="AH121" s="145"/>
    </row>
    <row r="122" spans="1:34" ht="12" customHeight="1">
      <c r="B122" s="20" t="s">
        <v>404</v>
      </c>
      <c r="C122" s="150"/>
      <c r="D122" s="150"/>
      <c r="E122" s="150"/>
      <c r="F122" s="150"/>
      <c r="G122" s="127">
        <f t="shared" ref="G122:H122" si="417">1/G116</f>
        <v>2.7894736842105265</v>
      </c>
      <c r="H122" s="127">
        <f t="shared" si="417"/>
        <v>2.75</v>
      </c>
      <c r="I122" s="127">
        <f t="shared" si="408"/>
        <v>4.6400000000000006</v>
      </c>
      <c r="J122" s="127">
        <f t="shared" si="408"/>
        <v>2.0235294117647058</v>
      </c>
      <c r="K122" s="127">
        <f t="shared" si="408"/>
        <v>2.485981308411215</v>
      </c>
      <c r="L122" s="127">
        <f t="shared" si="408"/>
        <v>2.0073529411764706</v>
      </c>
      <c r="M122" s="127">
        <f t="shared" si="408"/>
        <v>1.360655737704918</v>
      </c>
      <c r="N122" s="127">
        <f t="shared" si="408"/>
        <v>0.72432432432432425</v>
      </c>
      <c r="O122" s="127">
        <f t="shared" si="408"/>
        <v>0.36933797909407662</v>
      </c>
      <c r="P122" s="127">
        <f t="shared" si="408"/>
        <v>0.46153846153846156</v>
      </c>
      <c r="Q122" s="127">
        <f t="shared" si="408"/>
        <v>0.74647887323943662</v>
      </c>
      <c r="R122" s="127">
        <f t="shared" si="408"/>
        <v>1.0928961748633879</v>
      </c>
      <c r="S122" s="127">
        <f t="shared" ref="S122" si="418">1/S116</f>
        <v>3.0978260869565215</v>
      </c>
      <c r="T122" s="118">
        <f t="shared" si="243"/>
        <v>8.7755874035755355E-3</v>
      </c>
      <c r="U122" s="20"/>
      <c r="V122" s="127">
        <f t="shared" ref="V122:AE122" si="419">1/V116</f>
        <v>3.0978260869565215</v>
      </c>
      <c r="W122" s="127">
        <f t="shared" si="419"/>
        <v>3.0978260869565215</v>
      </c>
      <c r="X122" s="127">
        <f t="shared" si="419"/>
        <v>3.0978260869565215</v>
      </c>
      <c r="Y122" s="127">
        <f t="shared" si="419"/>
        <v>3.0978260869565215</v>
      </c>
      <c r="Z122" s="127">
        <f t="shared" si="419"/>
        <v>3.0978260869565215</v>
      </c>
      <c r="AA122" s="127">
        <f t="shared" si="419"/>
        <v>3.0978260869565211</v>
      </c>
      <c r="AB122" s="127">
        <f t="shared" si="419"/>
        <v>3.0978260869565215</v>
      </c>
      <c r="AC122" s="127">
        <f t="shared" si="419"/>
        <v>3.0978260869565215</v>
      </c>
      <c r="AD122" s="127">
        <f t="shared" si="419"/>
        <v>3.0978260869565215</v>
      </c>
      <c r="AE122" s="127">
        <f t="shared" si="419"/>
        <v>3.0978260869565211</v>
      </c>
      <c r="AF122" s="137">
        <f t="shared" si="358"/>
        <v>-1.9054866975894869E-2</v>
      </c>
      <c r="AG122" s="145"/>
      <c r="AH122" s="145"/>
    </row>
    <row r="123" spans="1:34" ht="12" customHeight="1">
      <c r="B123" s="20"/>
      <c r="C123" s="150"/>
      <c r="D123" s="150"/>
      <c r="E123" s="150"/>
      <c r="F123" s="150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28"/>
      <c r="U123" s="2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50"/>
      <c r="AG123" s="145"/>
      <c r="AH123" s="145"/>
    </row>
    <row r="124" spans="1:34" ht="12" customHeight="1">
      <c r="A124" s="206" t="s">
        <v>482</v>
      </c>
      <c r="B124" s="200" t="s">
        <v>489</v>
      </c>
      <c r="C124" s="150"/>
      <c r="D124" s="150"/>
      <c r="E124" s="150"/>
      <c r="F124" s="150"/>
      <c r="G124" s="169" t="e">
        <f t="shared" ref="G124:H124" si="420">G25/(G36+G38)</f>
        <v>#DIV/0!</v>
      </c>
      <c r="H124" s="169" t="e">
        <f t="shared" si="420"/>
        <v>#DIV/0!</v>
      </c>
      <c r="I124" s="169" t="e">
        <f t="shared" ref="I124:S124" si="421">I25/(I36+I38)</f>
        <v>#DIV/0!</v>
      </c>
      <c r="J124" s="169" t="e">
        <f t="shared" si="421"/>
        <v>#DIV/0!</v>
      </c>
      <c r="K124" s="169" t="e">
        <f t="shared" si="421"/>
        <v>#DIV/0!</v>
      </c>
      <c r="L124" s="169" t="e">
        <f t="shared" si="421"/>
        <v>#DIV/0!</v>
      </c>
      <c r="M124" s="169" t="e">
        <f t="shared" si="421"/>
        <v>#DIV/0!</v>
      </c>
      <c r="N124" s="169" t="e">
        <f t="shared" si="421"/>
        <v>#DIV/0!</v>
      </c>
      <c r="O124" s="169" t="e">
        <f t="shared" si="421"/>
        <v>#DIV/0!</v>
      </c>
      <c r="P124" s="169" t="e">
        <f t="shared" si="421"/>
        <v>#DIV/0!</v>
      </c>
      <c r="Q124" s="169" t="e">
        <f t="shared" si="421"/>
        <v>#DIV/0!</v>
      </c>
      <c r="R124" s="169" t="e">
        <f t="shared" si="421"/>
        <v>#DIV/0!</v>
      </c>
      <c r="S124" s="169" t="e">
        <f t="shared" si="421"/>
        <v>#DIV/0!</v>
      </c>
      <c r="T124" s="118" t="e">
        <f t="shared" si="243"/>
        <v>#DIV/0!</v>
      </c>
      <c r="U124" s="20"/>
      <c r="V124" s="169" t="e">
        <f t="shared" ref="V124:AE124" si="422">V25/(V36+V38)</f>
        <v>#DIV/0!</v>
      </c>
      <c r="W124" s="169" t="e">
        <f t="shared" si="422"/>
        <v>#DIV/0!</v>
      </c>
      <c r="X124" s="169" t="e">
        <f t="shared" si="422"/>
        <v>#DIV/0!</v>
      </c>
      <c r="Y124" s="169" t="e">
        <f t="shared" si="422"/>
        <v>#DIV/0!</v>
      </c>
      <c r="Z124" s="169" t="e">
        <f t="shared" si="422"/>
        <v>#DIV/0!</v>
      </c>
      <c r="AA124" s="169" t="e">
        <f t="shared" si="422"/>
        <v>#DIV/0!</v>
      </c>
      <c r="AB124" s="169" t="e">
        <f t="shared" si="422"/>
        <v>#DIV/0!</v>
      </c>
      <c r="AC124" s="169" t="e">
        <f t="shared" si="422"/>
        <v>#DIV/0!</v>
      </c>
      <c r="AD124" s="169" t="e">
        <f t="shared" si="422"/>
        <v>#DIV/0!</v>
      </c>
      <c r="AE124" s="169" t="e">
        <f t="shared" si="422"/>
        <v>#DIV/0!</v>
      </c>
      <c r="AF124" s="137" t="e">
        <f t="shared" ref="AF124:AF132" si="423">((AE124/I124)^(1/($AE$3-$J$1) ))-1</f>
        <v>#DIV/0!</v>
      </c>
      <c r="AG124" s="145"/>
      <c r="AH124" s="145"/>
    </row>
    <row r="125" spans="1:34" ht="12" customHeight="1">
      <c r="A125" s="206"/>
      <c r="B125" s="200" t="s">
        <v>484</v>
      </c>
      <c r="C125" s="150"/>
      <c r="D125" s="150"/>
      <c r="E125" s="150"/>
      <c r="F125" s="150"/>
      <c r="G125" s="169" t="e">
        <f t="shared" ref="G125:H125" si="424">G25/G43</f>
        <v>#DIV/0!</v>
      </c>
      <c r="H125" s="169" t="e">
        <f t="shared" si="424"/>
        <v>#DIV/0!</v>
      </c>
      <c r="I125" s="169" t="e">
        <f t="shared" ref="I125:S125" si="425">I25/I43</f>
        <v>#DIV/0!</v>
      </c>
      <c r="J125" s="169" t="e">
        <f t="shared" si="425"/>
        <v>#DIV/0!</v>
      </c>
      <c r="K125" s="169" t="e">
        <f t="shared" si="425"/>
        <v>#DIV/0!</v>
      </c>
      <c r="L125" s="169" t="e">
        <f t="shared" si="425"/>
        <v>#DIV/0!</v>
      </c>
      <c r="M125" s="169" t="e">
        <f t="shared" si="425"/>
        <v>#DIV/0!</v>
      </c>
      <c r="N125" s="169" t="e">
        <f t="shared" si="425"/>
        <v>#DIV/0!</v>
      </c>
      <c r="O125" s="169" t="e">
        <f t="shared" si="425"/>
        <v>#DIV/0!</v>
      </c>
      <c r="P125" s="169" t="e">
        <f t="shared" si="425"/>
        <v>#DIV/0!</v>
      </c>
      <c r="Q125" s="169" t="e">
        <f t="shared" si="425"/>
        <v>#DIV/0!</v>
      </c>
      <c r="R125" s="169" t="e">
        <f t="shared" si="425"/>
        <v>#DIV/0!</v>
      </c>
      <c r="S125" s="169" t="e">
        <f t="shared" si="425"/>
        <v>#DIV/0!</v>
      </c>
      <c r="T125" s="118" t="e">
        <f t="shared" si="243"/>
        <v>#DIV/0!</v>
      </c>
      <c r="U125" s="20"/>
      <c r="V125" s="169" t="e">
        <f t="shared" ref="V125:AE125" si="426">V25/V43</f>
        <v>#DIV/0!</v>
      </c>
      <c r="W125" s="169" t="e">
        <f t="shared" si="426"/>
        <v>#DIV/0!</v>
      </c>
      <c r="X125" s="169" t="e">
        <f t="shared" si="426"/>
        <v>#DIV/0!</v>
      </c>
      <c r="Y125" s="169" t="e">
        <f t="shared" si="426"/>
        <v>#DIV/0!</v>
      </c>
      <c r="Z125" s="169" t="e">
        <f t="shared" si="426"/>
        <v>#DIV/0!</v>
      </c>
      <c r="AA125" s="169" t="e">
        <f t="shared" si="426"/>
        <v>#DIV/0!</v>
      </c>
      <c r="AB125" s="169" t="e">
        <f t="shared" si="426"/>
        <v>#DIV/0!</v>
      </c>
      <c r="AC125" s="169" t="e">
        <f t="shared" si="426"/>
        <v>#DIV/0!</v>
      </c>
      <c r="AD125" s="169" t="e">
        <f t="shared" si="426"/>
        <v>#DIV/0!</v>
      </c>
      <c r="AE125" s="169" t="e">
        <f t="shared" si="426"/>
        <v>#DIV/0!</v>
      </c>
      <c r="AF125" s="137" t="e">
        <f t="shared" si="423"/>
        <v>#DIV/0!</v>
      </c>
      <c r="AG125" s="145"/>
      <c r="AH125" s="145"/>
    </row>
    <row r="126" spans="1:34" ht="12" customHeight="1">
      <c r="A126" s="206"/>
      <c r="B126" s="200" t="s">
        <v>490</v>
      </c>
      <c r="C126" s="150"/>
      <c r="D126" s="150"/>
      <c r="E126" s="150"/>
      <c r="F126" s="150"/>
      <c r="G126" s="169" t="e">
        <f t="shared" ref="G126:H126" si="427">G43/(G36)</f>
        <v>#DIV/0!</v>
      </c>
      <c r="H126" s="169" t="e">
        <f t="shared" si="427"/>
        <v>#DIV/0!</v>
      </c>
      <c r="I126" s="169" t="e">
        <f t="shared" ref="I126:S126" si="428">I43/(I36)</f>
        <v>#DIV/0!</v>
      </c>
      <c r="J126" s="169" t="e">
        <f t="shared" si="428"/>
        <v>#DIV/0!</v>
      </c>
      <c r="K126" s="169" t="e">
        <f t="shared" si="428"/>
        <v>#DIV/0!</v>
      </c>
      <c r="L126" s="169" t="e">
        <f t="shared" si="428"/>
        <v>#DIV/0!</v>
      </c>
      <c r="M126" s="169" t="e">
        <f t="shared" si="428"/>
        <v>#DIV/0!</v>
      </c>
      <c r="N126" s="169" t="e">
        <f t="shared" si="428"/>
        <v>#DIV/0!</v>
      </c>
      <c r="O126" s="169" t="e">
        <f t="shared" si="428"/>
        <v>#DIV/0!</v>
      </c>
      <c r="P126" s="169" t="e">
        <f t="shared" si="428"/>
        <v>#DIV/0!</v>
      </c>
      <c r="Q126" s="169" t="e">
        <f t="shared" si="428"/>
        <v>#DIV/0!</v>
      </c>
      <c r="R126" s="169" t="e">
        <f t="shared" si="428"/>
        <v>#DIV/0!</v>
      </c>
      <c r="S126" s="169" t="e">
        <f t="shared" si="428"/>
        <v>#DIV/0!</v>
      </c>
      <c r="T126" s="118" t="e">
        <f t="shared" si="243"/>
        <v>#DIV/0!</v>
      </c>
      <c r="U126" s="20"/>
      <c r="V126" s="169" t="e">
        <f t="shared" ref="V126:AE126" si="429">V43/(V36+V38)</f>
        <v>#DIV/0!</v>
      </c>
      <c r="W126" s="169" t="e">
        <f t="shared" si="429"/>
        <v>#DIV/0!</v>
      </c>
      <c r="X126" s="169" t="e">
        <f t="shared" si="429"/>
        <v>#DIV/0!</v>
      </c>
      <c r="Y126" s="169" t="e">
        <f t="shared" si="429"/>
        <v>#DIV/0!</v>
      </c>
      <c r="Z126" s="169" t="e">
        <f t="shared" si="429"/>
        <v>#DIV/0!</v>
      </c>
      <c r="AA126" s="169" t="e">
        <f t="shared" si="429"/>
        <v>#DIV/0!</v>
      </c>
      <c r="AB126" s="169" t="e">
        <f t="shared" si="429"/>
        <v>#DIV/0!</v>
      </c>
      <c r="AC126" s="169" t="e">
        <f t="shared" si="429"/>
        <v>#DIV/0!</v>
      </c>
      <c r="AD126" s="169" t="e">
        <f t="shared" si="429"/>
        <v>#DIV/0!</v>
      </c>
      <c r="AE126" s="169" t="e">
        <f t="shared" si="429"/>
        <v>#DIV/0!</v>
      </c>
      <c r="AF126" s="137" t="e">
        <f t="shared" si="423"/>
        <v>#DIV/0!</v>
      </c>
      <c r="AG126" s="145"/>
      <c r="AH126" s="145"/>
    </row>
    <row r="127" spans="1:34" ht="12" customHeight="1">
      <c r="A127" s="206"/>
      <c r="B127" s="200" t="s">
        <v>488</v>
      </c>
      <c r="C127" s="150"/>
      <c r="D127" s="150"/>
      <c r="E127" s="150"/>
      <c r="F127" s="150"/>
      <c r="G127" s="169" t="e">
        <f t="shared" ref="G127:H127" si="430">G43/G38</f>
        <v>#DIV/0!</v>
      </c>
      <c r="H127" s="169" t="e">
        <f t="shared" si="430"/>
        <v>#DIV/0!</v>
      </c>
      <c r="I127" s="169" t="e">
        <f t="shared" ref="I127:S127" si="431">I43/I38</f>
        <v>#DIV/0!</v>
      </c>
      <c r="J127" s="169" t="e">
        <f t="shared" si="431"/>
        <v>#DIV/0!</v>
      </c>
      <c r="K127" s="169" t="e">
        <f t="shared" si="431"/>
        <v>#DIV/0!</v>
      </c>
      <c r="L127" s="169" t="e">
        <f t="shared" si="431"/>
        <v>#DIV/0!</v>
      </c>
      <c r="M127" s="169" t="e">
        <f t="shared" si="431"/>
        <v>#DIV/0!</v>
      </c>
      <c r="N127" s="169" t="e">
        <f t="shared" si="431"/>
        <v>#DIV/0!</v>
      </c>
      <c r="O127" s="169" t="e">
        <f t="shared" si="431"/>
        <v>#DIV/0!</v>
      </c>
      <c r="P127" s="169" t="e">
        <f t="shared" si="431"/>
        <v>#DIV/0!</v>
      </c>
      <c r="Q127" s="169" t="e">
        <f t="shared" si="431"/>
        <v>#DIV/0!</v>
      </c>
      <c r="R127" s="169" t="e">
        <f t="shared" si="431"/>
        <v>#DIV/0!</v>
      </c>
      <c r="S127" s="169" t="e">
        <f t="shared" si="431"/>
        <v>#DIV/0!</v>
      </c>
      <c r="T127" s="118" t="e">
        <f t="shared" si="243"/>
        <v>#DIV/0!</v>
      </c>
      <c r="U127" s="20"/>
      <c r="V127" s="169" t="e">
        <f t="shared" ref="V127:AE127" si="432">V43/V38</f>
        <v>#DIV/0!</v>
      </c>
      <c r="W127" s="169" t="e">
        <f t="shared" si="432"/>
        <v>#DIV/0!</v>
      </c>
      <c r="X127" s="169" t="e">
        <f t="shared" si="432"/>
        <v>#DIV/0!</v>
      </c>
      <c r="Y127" s="169" t="e">
        <f t="shared" si="432"/>
        <v>#DIV/0!</v>
      </c>
      <c r="Z127" s="169" t="e">
        <f t="shared" si="432"/>
        <v>#DIV/0!</v>
      </c>
      <c r="AA127" s="169" t="e">
        <f t="shared" si="432"/>
        <v>#DIV/0!</v>
      </c>
      <c r="AB127" s="169" t="e">
        <f t="shared" si="432"/>
        <v>#DIV/0!</v>
      </c>
      <c r="AC127" s="169" t="e">
        <f t="shared" si="432"/>
        <v>#DIV/0!</v>
      </c>
      <c r="AD127" s="169" t="e">
        <f t="shared" si="432"/>
        <v>#DIV/0!</v>
      </c>
      <c r="AE127" s="169" t="e">
        <f t="shared" si="432"/>
        <v>#DIV/0!</v>
      </c>
      <c r="AF127" s="137" t="e">
        <f t="shared" si="423"/>
        <v>#DIV/0!</v>
      </c>
      <c r="AG127" s="145"/>
      <c r="AH127" s="145"/>
    </row>
    <row r="128" spans="1:34" ht="12" customHeight="1">
      <c r="A128" s="206"/>
      <c r="B128" s="200" t="s">
        <v>487</v>
      </c>
      <c r="C128" s="150"/>
      <c r="D128" s="150"/>
      <c r="E128" s="150"/>
      <c r="F128" s="150"/>
      <c r="G128" s="169" t="e">
        <f t="shared" ref="G128:H128" si="433">G43/(G36+G38)</f>
        <v>#DIV/0!</v>
      </c>
      <c r="H128" s="169" t="e">
        <f t="shared" si="433"/>
        <v>#DIV/0!</v>
      </c>
      <c r="I128" s="169" t="e">
        <f t="shared" ref="I128:S128" si="434">I43/(I36+I38)</f>
        <v>#DIV/0!</v>
      </c>
      <c r="J128" s="169" t="e">
        <f t="shared" si="434"/>
        <v>#DIV/0!</v>
      </c>
      <c r="K128" s="169" t="e">
        <f t="shared" si="434"/>
        <v>#DIV/0!</v>
      </c>
      <c r="L128" s="169" t="e">
        <f t="shared" si="434"/>
        <v>#DIV/0!</v>
      </c>
      <c r="M128" s="169" t="e">
        <f t="shared" si="434"/>
        <v>#DIV/0!</v>
      </c>
      <c r="N128" s="169" t="e">
        <f t="shared" si="434"/>
        <v>#DIV/0!</v>
      </c>
      <c r="O128" s="169" t="e">
        <f t="shared" si="434"/>
        <v>#DIV/0!</v>
      </c>
      <c r="P128" s="169" t="e">
        <f t="shared" si="434"/>
        <v>#DIV/0!</v>
      </c>
      <c r="Q128" s="169" t="e">
        <f t="shared" si="434"/>
        <v>#DIV/0!</v>
      </c>
      <c r="R128" s="169" t="e">
        <f t="shared" si="434"/>
        <v>#DIV/0!</v>
      </c>
      <c r="S128" s="169" t="e">
        <f t="shared" si="434"/>
        <v>#DIV/0!</v>
      </c>
      <c r="T128" s="118" t="e">
        <f t="shared" si="243"/>
        <v>#DIV/0!</v>
      </c>
      <c r="U128" s="20"/>
      <c r="V128" s="169" t="e">
        <f t="shared" ref="V128:AE128" si="435">V43/(V36+V38)</f>
        <v>#DIV/0!</v>
      </c>
      <c r="W128" s="169" t="e">
        <f t="shared" si="435"/>
        <v>#DIV/0!</v>
      </c>
      <c r="X128" s="169" t="e">
        <f t="shared" si="435"/>
        <v>#DIV/0!</v>
      </c>
      <c r="Y128" s="169" t="e">
        <f t="shared" si="435"/>
        <v>#DIV/0!</v>
      </c>
      <c r="Z128" s="169" t="e">
        <f t="shared" si="435"/>
        <v>#DIV/0!</v>
      </c>
      <c r="AA128" s="169" t="e">
        <f t="shared" si="435"/>
        <v>#DIV/0!</v>
      </c>
      <c r="AB128" s="169" t="e">
        <f t="shared" si="435"/>
        <v>#DIV/0!</v>
      </c>
      <c r="AC128" s="169" t="e">
        <f t="shared" si="435"/>
        <v>#DIV/0!</v>
      </c>
      <c r="AD128" s="169" t="e">
        <f t="shared" si="435"/>
        <v>#DIV/0!</v>
      </c>
      <c r="AE128" s="169" t="e">
        <f t="shared" si="435"/>
        <v>#DIV/0!</v>
      </c>
      <c r="AF128" s="137" t="e">
        <f>((AE128/I128)^(1/($AE$3-$J$1) ))-1</f>
        <v>#DIV/0!</v>
      </c>
      <c r="AG128" s="145"/>
      <c r="AH128" s="145"/>
    </row>
    <row r="129" spans="1:34" ht="12" customHeight="1">
      <c r="A129" s="206"/>
      <c r="B129" s="200" t="s">
        <v>493</v>
      </c>
      <c r="C129" s="150"/>
      <c r="D129" s="150"/>
      <c r="E129" s="150"/>
      <c r="F129" s="150"/>
      <c r="G129" s="169">
        <f t="shared" ref="G129:H129" si="436">G47/G25</f>
        <v>0</v>
      </c>
      <c r="H129" s="169">
        <f t="shared" si="436"/>
        <v>0</v>
      </c>
      <c r="I129" s="169">
        <f t="shared" ref="I129:S129" si="437">I47/I25</f>
        <v>0</v>
      </c>
      <c r="J129" s="169">
        <f t="shared" si="437"/>
        <v>0</v>
      </c>
      <c r="K129" s="169">
        <f t="shared" si="437"/>
        <v>0</v>
      </c>
      <c r="L129" s="169">
        <f t="shared" si="437"/>
        <v>0</v>
      </c>
      <c r="M129" s="169">
        <f t="shared" si="437"/>
        <v>0</v>
      </c>
      <c r="N129" s="169">
        <f t="shared" si="437"/>
        <v>0</v>
      </c>
      <c r="O129" s="169">
        <f t="shared" si="437"/>
        <v>0</v>
      </c>
      <c r="P129" s="169">
        <f t="shared" si="437"/>
        <v>0</v>
      </c>
      <c r="Q129" s="169">
        <f t="shared" si="437"/>
        <v>0</v>
      </c>
      <c r="R129" s="169">
        <f t="shared" si="437"/>
        <v>0</v>
      </c>
      <c r="S129" s="169">
        <f t="shared" si="437"/>
        <v>0</v>
      </c>
      <c r="T129" s="118" t="e">
        <f t="shared" si="243"/>
        <v>#DIV/0!</v>
      </c>
      <c r="U129" s="20"/>
      <c r="V129" s="169">
        <f t="shared" ref="V129:AE129" si="438">V47/V25</f>
        <v>0</v>
      </c>
      <c r="W129" s="169">
        <f t="shared" si="438"/>
        <v>0</v>
      </c>
      <c r="X129" s="169">
        <f t="shared" si="438"/>
        <v>0</v>
      </c>
      <c r="Y129" s="169">
        <f t="shared" si="438"/>
        <v>0</v>
      </c>
      <c r="Z129" s="169">
        <f t="shared" si="438"/>
        <v>0</v>
      </c>
      <c r="AA129" s="169">
        <f t="shared" si="438"/>
        <v>0</v>
      </c>
      <c r="AB129" s="169">
        <f t="shared" si="438"/>
        <v>0</v>
      </c>
      <c r="AC129" s="169">
        <f t="shared" si="438"/>
        <v>0</v>
      </c>
      <c r="AD129" s="169">
        <f t="shared" si="438"/>
        <v>0</v>
      </c>
      <c r="AE129" s="169">
        <f t="shared" si="438"/>
        <v>0</v>
      </c>
      <c r="AF129" s="137" t="e">
        <f>((AE129/I129)^(1/($AE$3-$J$1) ))-1</f>
        <v>#DIV/0!</v>
      </c>
      <c r="AG129" s="145"/>
      <c r="AH129" s="145"/>
    </row>
    <row r="130" spans="1:34" ht="12" customHeight="1">
      <c r="A130" s="206"/>
      <c r="B130" s="200" t="s">
        <v>491</v>
      </c>
      <c r="C130" s="150"/>
      <c r="D130" s="150"/>
      <c r="E130" s="150"/>
      <c r="F130" s="150"/>
      <c r="G130" s="204" t="e">
        <f t="shared" ref="G130:H130" si="439">G55/G49</f>
        <v>#DIV/0!</v>
      </c>
      <c r="H130" s="204" t="e">
        <f t="shared" si="439"/>
        <v>#DIV/0!</v>
      </c>
      <c r="I130" s="204" t="e">
        <f t="shared" ref="I130:S130" si="440">I55/I49</f>
        <v>#DIV/0!</v>
      </c>
      <c r="J130" s="204" t="e">
        <f t="shared" si="440"/>
        <v>#DIV/0!</v>
      </c>
      <c r="K130" s="204" t="e">
        <f t="shared" si="440"/>
        <v>#DIV/0!</v>
      </c>
      <c r="L130" s="204" t="e">
        <f t="shared" si="440"/>
        <v>#DIV/0!</v>
      </c>
      <c r="M130" s="204" t="e">
        <f t="shared" si="440"/>
        <v>#DIV/0!</v>
      </c>
      <c r="N130" s="204" t="e">
        <f t="shared" si="440"/>
        <v>#DIV/0!</v>
      </c>
      <c r="O130" s="204" t="e">
        <f t="shared" si="440"/>
        <v>#DIV/0!</v>
      </c>
      <c r="P130" s="204" t="e">
        <f t="shared" si="440"/>
        <v>#DIV/0!</v>
      </c>
      <c r="Q130" s="204" t="e">
        <f t="shared" si="440"/>
        <v>#DIV/0!</v>
      </c>
      <c r="R130" s="204" t="e">
        <f t="shared" si="440"/>
        <v>#DIV/0!</v>
      </c>
      <c r="S130" s="204" t="e">
        <f t="shared" si="440"/>
        <v>#DIV/0!</v>
      </c>
      <c r="T130" s="118" t="e">
        <f t="shared" si="243"/>
        <v>#DIV/0!</v>
      </c>
      <c r="U130" s="20"/>
      <c r="V130" s="204" t="e">
        <f t="shared" ref="V130:AE130" si="441">V55/V49</f>
        <v>#DIV/0!</v>
      </c>
      <c r="W130" s="204" t="e">
        <f t="shared" si="441"/>
        <v>#DIV/0!</v>
      </c>
      <c r="X130" s="204" t="e">
        <f t="shared" si="441"/>
        <v>#DIV/0!</v>
      </c>
      <c r="Y130" s="204" t="e">
        <f t="shared" si="441"/>
        <v>#DIV/0!</v>
      </c>
      <c r="Z130" s="204" t="e">
        <f t="shared" si="441"/>
        <v>#DIV/0!</v>
      </c>
      <c r="AA130" s="204" t="e">
        <f t="shared" si="441"/>
        <v>#DIV/0!</v>
      </c>
      <c r="AB130" s="204" t="e">
        <f t="shared" si="441"/>
        <v>#DIV/0!</v>
      </c>
      <c r="AC130" s="204" t="e">
        <f t="shared" si="441"/>
        <v>#DIV/0!</v>
      </c>
      <c r="AD130" s="204" t="e">
        <f t="shared" si="441"/>
        <v>#DIV/0!</v>
      </c>
      <c r="AE130" s="204" t="e">
        <f t="shared" si="441"/>
        <v>#DIV/0!</v>
      </c>
      <c r="AF130" s="137" t="e">
        <f>((AE130/I130)^(1/($AE$3-$J$1) ))-1</f>
        <v>#DIV/0!</v>
      </c>
      <c r="AG130" s="145"/>
      <c r="AH130" s="145"/>
    </row>
    <row r="131" spans="1:34" ht="12" customHeight="1">
      <c r="A131" s="206"/>
      <c r="B131" s="200" t="s">
        <v>485</v>
      </c>
      <c r="C131" s="150"/>
      <c r="D131" s="150"/>
      <c r="E131" s="150"/>
      <c r="F131" s="150"/>
      <c r="G131" s="169" t="e">
        <f t="shared" ref="G131:H131" si="442">G55/G43</f>
        <v>#DIV/0!</v>
      </c>
      <c r="H131" s="169" t="e">
        <f t="shared" si="442"/>
        <v>#DIV/0!</v>
      </c>
      <c r="I131" s="169" t="e">
        <f t="shared" ref="I131:S131" si="443">I55/I43</f>
        <v>#DIV/0!</v>
      </c>
      <c r="J131" s="169" t="e">
        <f t="shared" si="443"/>
        <v>#DIV/0!</v>
      </c>
      <c r="K131" s="169" t="e">
        <f t="shared" si="443"/>
        <v>#DIV/0!</v>
      </c>
      <c r="L131" s="169" t="e">
        <f t="shared" si="443"/>
        <v>#DIV/0!</v>
      </c>
      <c r="M131" s="169" t="e">
        <f t="shared" si="443"/>
        <v>#DIV/0!</v>
      </c>
      <c r="N131" s="169" t="e">
        <f t="shared" si="443"/>
        <v>#DIV/0!</v>
      </c>
      <c r="O131" s="169" t="e">
        <f t="shared" si="443"/>
        <v>#DIV/0!</v>
      </c>
      <c r="P131" s="169" t="e">
        <f t="shared" si="443"/>
        <v>#DIV/0!</v>
      </c>
      <c r="Q131" s="169" t="e">
        <f t="shared" si="443"/>
        <v>#DIV/0!</v>
      </c>
      <c r="R131" s="169" t="e">
        <f t="shared" si="443"/>
        <v>#DIV/0!</v>
      </c>
      <c r="S131" s="169" t="e">
        <f t="shared" si="443"/>
        <v>#DIV/0!</v>
      </c>
      <c r="T131" s="118" t="e">
        <f t="shared" si="243"/>
        <v>#DIV/0!</v>
      </c>
      <c r="U131" s="20"/>
      <c r="V131" s="169" t="e">
        <f t="shared" ref="V131:AE131" si="444">V55/V43</f>
        <v>#DIV/0!</v>
      </c>
      <c r="W131" s="169" t="e">
        <f t="shared" si="444"/>
        <v>#DIV/0!</v>
      </c>
      <c r="X131" s="169" t="e">
        <f t="shared" si="444"/>
        <v>#DIV/0!</v>
      </c>
      <c r="Y131" s="169" t="e">
        <f t="shared" si="444"/>
        <v>#DIV/0!</v>
      </c>
      <c r="Z131" s="169" t="e">
        <f t="shared" si="444"/>
        <v>#DIV/0!</v>
      </c>
      <c r="AA131" s="169" t="e">
        <f t="shared" si="444"/>
        <v>#DIV/0!</v>
      </c>
      <c r="AB131" s="169" t="e">
        <f t="shared" si="444"/>
        <v>#DIV/0!</v>
      </c>
      <c r="AC131" s="169" t="e">
        <f t="shared" si="444"/>
        <v>#DIV/0!</v>
      </c>
      <c r="AD131" s="169" t="e">
        <f t="shared" si="444"/>
        <v>#DIV/0!</v>
      </c>
      <c r="AE131" s="169" t="e">
        <f t="shared" si="444"/>
        <v>#DIV/0!</v>
      </c>
      <c r="AF131" s="137" t="e">
        <f t="shared" si="423"/>
        <v>#DIV/0!</v>
      </c>
      <c r="AG131" s="145"/>
      <c r="AH131" s="145"/>
    </row>
    <row r="132" spans="1:34" ht="12" customHeight="1">
      <c r="A132" s="206"/>
      <c r="B132" s="200" t="s">
        <v>486</v>
      </c>
      <c r="C132" s="150"/>
      <c r="D132" s="150"/>
      <c r="E132" s="150"/>
      <c r="F132" s="150"/>
      <c r="G132" s="169" t="e">
        <f t="shared" ref="G132:H132" si="445">G55/(G36+G38)</f>
        <v>#DIV/0!</v>
      </c>
      <c r="H132" s="169" t="e">
        <f t="shared" si="445"/>
        <v>#DIV/0!</v>
      </c>
      <c r="I132" s="169" t="e">
        <f t="shared" ref="I132:S132" si="446">I55/(I36+I38)</f>
        <v>#DIV/0!</v>
      </c>
      <c r="J132" s="169" t="e">
        <f t="shared" si="446"/>
        <v>#DIV/0!</v>
      </c>
      <c r="K132" s="169" t="e">
        <f t="shared" si="446"/>
        <v>#DIV/0!</v>
      </c>
      <c r="L132" s="169" t="e">
        <f t="shared" si="446"/>
        <v>#DIV/0!</v>
      </c>
      <c r="M132" s="169" t="e">
        <f t="shared" si="446"/>
        <v>#DIV/0!</v>
      </c>
      <c r="N132" s="169" t="e">
        <f t="shared" si="446"/>
        <v>#DIV/0!</v>
      </c>
      <c r="O132" s="169" t="e">
        <f t="shared" si="446"/>
        <v>#DIV/0!</v>
      </c>
      <c r="P132" s="169" t="e">
        <f t="shared" si="446"/>
        <v>#DIV/0!</v>
      </c>
      <c r="Q132" s="169" t="e">
        <f t="shared" si="446"/>
        <v>#DIV/0!</v>
      </c>
      <c r="R132" s="169" t="e">
        <f t="shared" si="446"/>
        <v>#DIV/0!</v>
      </c>
      <c r="S132" s="169" t="e">
        <f t="shared" si="446"/>
        <v>#DIV/0!</v>
      </c>
      <c r="T132" s="118" t="e">
        <f t="shared" si="243"/>
        <v>#DIV/0!</v>
      </c>
      <c r="U132" s="20"/>
      <c r="V132" s="169" t="e">
        <f t="shared" ref="V132:AE132" si="447">V55/(V36+V38)</f>
        <v>#DIV/0!</v>
      </c>
      <c r="W132" s="169" t="e">
        <f t="shared" si="447"/>
        <v>#DIV/0!</v>
      </c>
      <c r="X132" s="169" t="e">
        <f t="shared" si="447"/>
        <v>#DIV/0!</v>
      </c>
      <c r="Y132" s="169" t="e">
        <f t="shared" si="447"/>
        <v>#DIV/0!</v>
      </c>
      <c r="Z132" s="169" t="e">
        <f t="shared" si="447"/>
        <v>#DIV/0!</v>
      </c>
      <c r="AA132" s="169" t="e">
        <f t="shared" si="447"/>
        <v>#DIV/0!</v>
      </c>
      <c r="AB132" s="169" t="e">
        <f t="shared" si="447"/>
        <v>#DIV/0!</v>
      </c>
      <c r="AC132" s="169" t="e">
        <f t="shared" si="447"/>
        <v>#DIV/0!</v>
      </c>
      <c r="AD132" s="169" t="e">
        <f t="shared" si="447"/>
        <v>#DIV/0!</v>
      </c>
      <c r="AE132" s="169" t="e">
        <f t="shared" si="447"/>
        <v>#DIV/0!</v>
      </c>
      <c r="AF132" s="137" t="e">
        <f t="shared" si="423"/>
        <v>#DIV/0!</v>
      </c>
      <c r="AG132" s="145"/>
      <c r="AH132" s="145"/>
    </row>
    <row r="133" spans="1:34" ht="12" customHeight="1">
      <c r="B133" s="20"/>
      <c r="C133" s="150"/>
      <c r="D133" s="150"/>
      <c r="E133" s="150"/>
      <c r="F133" s="150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28"/>
      <c r="U133" s="2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202"/>
      <c r="AG133" s="145"/>
      <c r="AH133" s="145"/>
    </row>
    <row r="134" spans="1:34">
      <c r="B134" s="20" t="s">
        <v>324</v>
      </c>
      <c r="C134" s="150"/>
      <c r="D134" s="150"/>
      <c r="E134" s="150"/>
      <c r="F134" s="150"/>
      <c r="G134" s="161">
        <f t="shared" ref="G134:H134" si="448">G10-(G12+G13)</f>
        <v>247</v>
      </c>
      <c r="H134" s="161">
        <f t="shared" si="448"/>
        <v>420</v>
      </c>
      <c r="I134" s="161">
        <f t="shared" ref="I134:S134" si="449">I10-(I12+I13)</f>
        <v>518.6</v>
      </c>
      <c r="J134" s="161">
        <f t="shared" si="449"/>
        <v>625</v>
      </c>
      <c r="K134" s="161">
        <f t="shared" si="449"/>
        <v>356</v>
      </c>
      <c r="L134" s="161">
        <f t="shared" si="449"/>
        <v>524</v>
      </c>
      <c r="M134" s="161">
        <f t="shared" si="449"/>
        <v>1353</v>
      </c>
      <c r="N134" s="161">
        <f t="shared" si="449"/>
        <v>2278</v>
      </c>
      <c r="O134" s="161">
        <f t="shared" si="449"/>
        <v>2360</v>
      </c>
      <c r="P134" s="161">
        <f t="shared" si="449"/>
        <v>1891</v>
      </c>
      <c r="Q134" s="161">
        <f t="shared" si="449"/>
        <v>270</v>
      </c>
      <c r="R134" s="161">
        <f t="shared" si="449"/>
        <v>58</v>
      </c>
      <c r="S134" s="161">
        <f t="shared" si="449"/>
        <v>632</v>
      </c>
      <c r="T134" s="118">
        <f t="shared" si="243"/>
        <v>8.1438127405350613E-2</v>
      </c>
      <c r="U134" s="20"/>
      <c r="V134" s="161">
        <f t="shared" ref="V134:AE134" si="450">V10-(V12+V13)</f>
        <v>726.8</v>
      </c>
      <c r="W134" s="161">
        <f t="shared" si="450"/>
        <v>835.81999999999994</v>
      </c>
      <c r="X134" s="161">
        <f t="shared" si="450"/>
        <v>961.19299999999976</v>
      </c>
      <c r="Y134" s="161">
        <f t="shared" si="450"/>
        <v>1105.3719499999995</v>
      </c>
      <c r="Z134" s="161">
        <f t="shared" si="450"/>
        <v>1271.1777424999991</v>
      </c>
      <c r="AA134" s="161">
        <f t="shared" si="450"/>
        <v>1461.8544038749988</v>
      </c>
      <c r="AB134" s="161">
        <f t="shared" si="450"/>
        <v>1681.1325644562485</v>
      </c>
      <c r="AC134" s="161">
        <f t="shared" si="450"/>
        <v>1933.3024491246852</v>
      </c>
      <c r="AD134" s="161">
        <f t="shared" si="450"/>
        <v>2223.2978164933875</v>
      </c>
      <c r="AE134" s="161">
        <f t="shared" si="450"/>
        <v>2556.792488967395</v>
      </c>
      <c r="AF134" s="137">
        <f t="shared" si="358"/>
        <v>7.893051119504424E-2</v>
      </c>
      <c r="AG134" s="145"/>
      <c r="AH134" s="145"/>
    </row>
    <row r="135" spans="1:34" ht="12" customHeight="1">
      <c r="B135" s="20" t="s">
        <v>319</v>
      </c>
      <c r="C135" s="20"/>
      <c r="D135" s="20"/>
      <c r="E135" s="20"/>
      <c r="F135" s="20"/>
      <c r="G135" s="150">
        <f t="shared" ref="G135:H135" si="451">G55/G18</f>
        <v>0.10802469135802469</v>
      </c>
      <c r="H135" s="150">
        <f t="shared" si="451"/>
        <v>8.0152671755725186E-2</v>
      </c>
      <c r="I135" s="150">
        <f t="shared" ref="I135:S135" si="452">I55/I18</f>
        <v>0.10833333333333334</v>
      </c>
      <c r="J135" s="150">
        <f t="shared" si="452"/>
        <v>9.055727554179567E-2</v>
      </c>
      <c r="K135" s="150">
        <f t="shared" si="452"/>
        <v>0.22022838499184338</v>
      </c>
      <c r="L135" s="150">
        <f t="shared" si="452"/>
        <v>9.7543859649122808E-2</v>
      </c>
      <c r="M135" s="150">
        <f t="shared" si="452"/>
        <v>0.25507812499999999</v>
      </c>
      <c r="N135" s="150">
        <f t="shared" si="452"/>
        <v>0.12531969309462915</v>
      </c>
      <c r="O135" s="150">
        <f t="shared" si="452"/>
        <v>9.910993504931441E-2</v>
      </c>
      <c r="P135" s="150">
        <f t="shared" si="452"/>
        <v>0.14239332096474955</v>
      </c>
      <c r="Q135" s="150">
        <f t="shared" si="452"/>
        <v>0.22323411816970234</v>
      </c>
      <c r="R135" s="150">
        <f t="shared" si="452"/>
        <v>0.22300844556037436</v>
      </c>
      <c r="S135" s="150">
        <f t="shared" si="452"/>
        <v>0.43631436314363142</v>
      </c>
      <c r="T135" s="118">
        <f t="shared" ref="T135:T167" si="453">((S135/G135)^(1/($J$2-$J$1) ))-1</f>
        <v>0.12337056373442246</v>
      </c>
      <c r="U135" s="20"/>
      <c r="V135" s="150">
        <f t="shared" ref="V135:AE135" si="454">V55/V18</f>
        <v>0.43631436314363148</v>
      </c>
      <c r="W135" s="150">
        <f t="shared" si="454"/>
        <v>0.43631436314363142</v>
      </c>
      <c r="X135" s="150">
        <f t="shared" si="454"/>
        <v>0.43631436314363142</v>
      </c>
      <c r="Y135" s="150">
        <f t="shared" si="454"/>
        <v>0.43631436314363148</v>
      </c>
      <c r="Z135" s="150">
        <f t="shared" si="454"/>
        <v>0.43631436314363148</v>
      </c>
      <c r="AA135" s="150">
        <f t="shared" si="454"/>
        <v>0.43631436314363148</v>
      </c>
      <c r="AB135" s="150">
        <f t="shared" si="454"/>
        <v>0.43631436314363148</v>
      </c>
      <c r="AC135" s="150">
        <f t="shared" si="454"/>
        <v>0.43631436314363142</v>
      </c>
      <c r="AD135" s="150">
        <f t="shared" si="454"/>
        <v>0.43631436314363142</v>
      </c>
      <c r="AE135" s="150">
        <f t="shared" si="454"/>
        <v>0.43631436314363142</v>
      </c>
      <c r="AF135" s="137">
        <f t="shared" si="358"/>
        <v>6.8590490260116876E-2</v>
      </c>
      <c r="AG135" s="20"/>
      <c r="AH135" s="20"/>
    </row>
    <row r="136" spans="1:34">
      <c r="B136" s="20" t="s">
        <v>320</v>
      </c>
      <c r="C136" s="20"/>
      <c r="D136" s="20"/>
      <c r="E136" s="20"/>
      <c r="F136" s="20"/>
      <c r="G136" s="150">
        <f t="shared" ref="G136:H136" si="455">G55/G25</f>
        <v>3.5714285714285712E-2</v>
      </c>
      <c r="H136" s="150">
        <f t="shared" si="455"/>
        <v>2.8112449799196786E-2</v>
      </c>
      <c r="I136" s="150">
        <f t="shared" ref="I136:S136" si="456">I55/I25</f>
        <v>3.3529845246868091E-2</v>
      </c>
      <c r="J136" s="150">
        <f t="shared" si="456"/>
        <v>2.7184014869888477E-2</v>
      </c>
      <c r="K136" s="150">
        <f t="shared" si="456"/>
        <v>5.6508999581414816E-2</v>
      </c>
      <c r="L136" s="150">
        <f t="shared" si="456"/>
        <v>2.7761134411823447E-2</v>
      </c>
      <c r="M136" s="150">
        <f t="shared" si="456"/>
        <v>8.1665832916458223E-2</v>
      </c>
      <c r="N136" s="150">
        <f t="shared" si="456"/>
        <v>4.7075149444918876E-2</v>
      </c>
      <c r="O136" s="150">
        <f t="shared" si="456"/>
        <v>3.319368353206574E-2</v>
      </c>
      <c r="P136" s="150">
        <f t="shared" si="456"/>
        <v>4.731083371860071E-2</v>
      </c>
      <c r="Q136" s="150">
        <f t="shared" si="456"/>
        <v>7.4477545575811474E-2</v>
      </c>
      <c r="R136" s="150">
        <f t="shared" si="456"/>
        <v>7.7117373115478727E-2</v>
      </c>
      <c r="S136" s="150">
        <f t="shared" si="456"/>
        <v>0.17643091966618898</v>
      </c>
      <c r="T136" s="118">
        <f t="shared" si="453"/>
        <v>0.14238123525563928</v>
      </c>
      <c r="U136" s="20"/>
      <c r="V136" s="150">
        <f t="shared" ref="V136:AE136" si="457">V55/V25</f>
        <v>0.17643091966618898</v>
      </c>
      <c r="W136" s="150">
        <f t="shared" si="457"/>
        <v>0.17643091966618898</v>
      </c>
      <c r="X136" s="150">
        <f t="shared" si="457"/>
        <v>0.17643091966618898</v>
      </c>
      <c r="Y136" s="150">
        <f t="shared" si="457"/>
        <v>0.17643091966618898</v>
      </c>
      <c r="Z136" s="150">
        <f t="shared" si="457"/>
        <v>0.17643091966618898</v>
      </c>
      <c r="AA136" s="150">
        <f t="shared" si="457"/>
        <v>0.17643091966618901</v>
      </c>
      <c r="AB136" s="150">
        <f t="shared" si="457"/>
        <v>0.17643091966618901</v>
      </c>
      <c r="AC136" s="150">
        <f t="shared" si="457"/>
        <v>0.17643091966618901</v>
      </c>
      <c r="AD136" s="150">
        <f t="shared" si="457"/>
        <v>0.17643091966618901</v>
      </c>
      <c r="AE136" s="150">
        <f t="shared" si="457"/>
        <v>0.17643091966618901</v>
      </c>
      <c r="AF136" s="137">
        <f t="shared" si="358"/>
        <v>8.2281288326768065E-2</v>
      </c>
      <c r="AG136" s="20"/>
      <c r="AH136" s="20"/>
    </row>
    <row r="137" spans="1:34">
      <c r="B137" s="20" t="s">
        <v>346</v>
      </c>
      <c r="C137" s="20"/>
      <c r="D137" s="20"/>
      <c r="E137" s="150"/>
      <c r="F137" s="150"/>
      <c r="G137" s="150">
        <f t="shared" ref="G137:H137" si="458">G25/G18</f>
        <v>3.0246913580246915</v>
      </c>
      <c r="H137" s="150">
        <f t="shared" si="458"/>
        <v>2.8511450381679388</v>
      </c>
      <c r="I137" s="150">
        <f t="shared" ref="I137:S137" si="459">I25/I18</f>
        <v>3.230952380952381</v>
      </c>
      <c r="J137" s="150">
        <f t="shared" si="459"/>
        <v>3.3312693498452011</v>
      </c>
      <c r="K137" s="150">
        <f t="shared" si="459"/>
        <v>3.897226753670473</v>
      </c>
      <c r="L137" s="150">
        <f t="shared" si="459"/>
        <v>3.513684210526316</v>
      </c>
      <c r="M137" s="150">
        <f t="shared" si="459"/>
        <v>3.1234375000000001</v>
      </c>
      <c r="N137" s="150">
        <f t="shared" si="459"/>
        <v>2.662119920431941</v>
      </c>
      <c r="O137" s="150">
        <f t="shared" si="459"/>
        <v>2.9858070724079866</v>
      </c>
      <c r="P137" s="150">
        <f t="shared" si="459"/>
        <v>3.0097402597402598</v>
      </c>
      <c r="Q137" s="150">
        <f t="shared" si="459"/>
        <v>2.9973345179920035</v>
      </c>
      <c r="R137" s="150">
        <f t="shared" si="459"/>
        <v>2.8918055238530016</v>
      </c>
      <c r="S137" s="150">
        <f t="shared" si="459"/>
        <v>2.473003960808839</v>
      </c>
      <c r="T137" s="118">
        <f t="shared" si="453"/>
        <v>-1.6641267323480369E-2</v>
      </c>
      <c r="U137" s="20"/>
      <c r="V137" s="150">
        <f t="shared" ref="V137:AE137" si="460">V25/V18</f>
        <v>2.473003960808839</v>
      </c>
      <c r="W137" s="150">
        <f t="shared" si="460"/>
        <v>2.473003960808839</v>
      </c>
      <c r="X137" s="150">
        <f t="shared" si="460"/>
        <v>2.473003960808839</v>
      </c>
      <c r="Y137" s="150">
        <f t="shared" si="460"/>
        <v>2.473003960808839</v>
      </c>
      <c r="Z137" s="150">
        <f t="shared" si="460"/>
        <v>2.473003960808839</v>
      </c>
      <c r="AA137" s="150">
        <f t="shared" si="460"/>
        <v>2.4730039608088386</v>
      </c>
      <c r="AB137" s="150">
        <f t="shared" si="460"/>
        <v>2.4730039608088386</v>
      </c>
      <c r="AC137" s="150">
        <f t="shared" si="460"/>
        <v>2.4730039608088386</v>
      </c>
      <c r="AD137" s="150">
        <f t="shared" si="460"/>
        <v>2.4730039608088386</v>
      </c>
      <c r="AE137" s="150">
        <f t="shared" si="460"/>
        <v>2.4730039608088386</v>
      </c>
      <c r="AF137" s="137">
        <f t="shared" si="358"/>
        <v>-1.2649944348402609E-2</v>
      </c>
      <c r="AG137" s="20"/>
      <c r="AH137" s="20"/>
    </row>
    <row r="138" spans="1:34">
      <c r="B138" s="20"/>
      <c r="C138" s="20"/>
      <c r="D138" s="20"/>
      <c r="E138" s="20"/>
      <c r="F138" s="2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28"/>
      <c r="U138" s="2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50"/>
      <c r="AF138" s="128"/>
      <c r="AG138" s="20"/>
      <c r="AH138" s="20"/>
    </row>
    <row r="139" spans="1:34">
      <c r="B139" s="20" t="s">
        <v>332</v>
      </c>
      <c r="C139" s="20"/>
      <c r="D139" s="20"/>
      <c r="E139" s="163"/>
      <c r="F139" s="163"/>
      <c r="G139" s="163">
        <f t="shared" ref="G139:H139" si="461">G88*G57</f>
        <v>17.234999999999999</v>
      </c>
      <c r="H139" s="163">
        <f t="shared" si="461"/>
        <v>17.234999999999999</v>
      </c>
      <c r="I139" s="163">
        <f t="shared" ref="I139:S139" si="462">I88*I57</f>
        <v>17.234999999999999</v>
      </c>
      <c r="J139" s="163">
        <f t="shared" si="462"/>
        <v>20.88</v>
      </c>
      <c r="K139" s="163">
        <f t="shared" si="462"/>
        <v>24.42</v>
      </c>
      <c r="L139" s="163">
        <f t="shared" si="462"/>
        <v>22.68</v>
      </c>
      <c r="M139" s="163">
        <f t="shared" si="462"/>
        <v>37.799999999999997</v>
      </c>
      <c r="N139" s="163">
        <f t="shared" si="462"/>
        <v>25.2</v>
      </c>
      <c r="O139" s="163">
        <f t="shared" si="462"/>
        <v>25.2</v>
      </c>
      <c r="P139" s="163">
        <f t="shared" si="462"/>
        <v>25.2</v>
      </c>
      <c r="Q139" s="163">
        <f t="shared" si="462"/>
        <v>37.799999999999997</v>
      </c>
      <c r="R139" s="163">
        <f t="shared" si="462"/>
        <v>100.8</v>
      </c>
      <c r="S139" s="163">
        <f t="shared" si="462"/>
        <v>100.8</v>
      </c>
      <c r="T139" s="118">
        <f t="shared" si="453"/>
        <v>0.15856597623167734</v>
      </c>
      <c r="U139" s="20"/>
      <c r="V139" s="163">
        <f t="shared" ref="V139:AE139" si="463">V88*V57</f>
        <v>107.9568</v>
      </c>
      <c r="W139" s="163">
        <f t="shared" si="463"/>
        <v>115.6217328</v>
      </c>
      <c r="X139" s="163">
        <f t="shared" si="463"/>
        <v>123.8308758288</v>
      </c>
      <c r="Y139" s="163">
        <f t="shared" si="463"/>
        <v>132.62286801264483</v>
      </c>
      <c r="Z139" s="163">
        <f t="shared" si="463"/>
        <v>142.03909164154263</v>
      </c>
      <c r="AA139" s="163">
        <f t="shared" si="463"/>
        <v>152.12386714809216</v>
      </c>
      <c r="AB139" s="163">
        <f t="shared" si="463"/>
        <v>162.9246617156067</v>
      </c>
      <c r="AC139" s="163">
        <f t="shared" si="463"/>
        <v>174.4923126974148</v>
      </c>
      <c r="AD139" s="163">
        <f t="shared" si="463"/>
        <v>186.88126689893124</v>
      </c>
      <c r="AE139" s="163">
        <f t="shared" si="463"/>
        <v>200.14983684875537</v>
      </c>
      <c r="AF139" s="137">
        <f t="shared" si="358"/>
        <v>0.12385845392807893</v>
      </c>
      <c r="AG139" s="20"/>
      <c r="AH139" s="20"/>
    </row>
    <row r="140" spans="1:34">
      <c r="B140" s="20" t="s">
        <v>333</v>
      </c>
      <c r="C140" s="20"/>
      <c r="D140" s="20"/>
      <c r="E140" s="163"/>
      <c r="F140" s="163"/>
      <c r="G140" s="163">
        <f t="shared" ref="G140:H140" si="464">(G139*0.17)+G139</f>
        <v>20.164950000000001</v>
      </c>
      <c r="H140" s="163">
        <f t="shared" si="464"/>
        <v>20.164950000000001</v>
      </c>
      <c r="I140" s="163">
        <f t="shared" ref="I140:R140" si="465">(I139*0.17)+I139</f>
        <v>20.164950000000001</v>
      </c>
      <c r="J140" s="163">
        <f t="shared" si="465"/>
        <v>24.429600000000001</v>
      </c>
      <c r="K140" s="163">
        <f t="shared" si="465"/>
        <v>28.571400000000004</v>
      </c>
      <c r="L140" s="163">
        <f t="shared" si="465"/>
        <v>26.535599999999999</v>
      </c>
      <c r="M140" s="163">
        <f t="shared" si="465"/>
        <v>44.225999999999999</v>
      </c>
      <c r="N140" s="163">
        <f t="shared" si="465"/>
        <v>29.483999999999998</v>
      </c>
      <c r="O140" s="163">
        <f t="shared" si="465"/>
        <v>29.483999999999998</v>
      </c>
      <c r="P140" s="163">
        <f t="shared" si="465"/>
        <v>29.483999999999998</v>
      </c>
      <c r="Q140" s="163">
        <f t="shared" si="465"/>
        <v>44.225999999999999</v>
      </c>
      <c r="R140" s="163">
        <f t="shared" si="465"/>
        <v>117.93599999999999</v>
      </c>
      <c r="S140" s="163">
        <f t="shared" ref="S140" si="466">(S139*0.17)+S139</f>
        <v>117.93599999999999</v>
      </c>
      <c r="T140" s="118">
        <f t="shared" si="453"/>
        <v>0.15856597623167734</v>
      </c>
      <c r="U140" s="20"/>
      <c r="V140" s="163">
        <f t="shared" ref="V140:AE140" si="467">(V139*0.17)+V139</f>
        <v>126.30945600000001</v>
      </c>
      <c r="W140" s="163">
        <f t="shared" si="467"/>
        <v>135.27742737599999</v>
      </c>
      <c r="X140" s="163">
        <f t="shared" si="467"/>
        <v>144.88212471969601</v>
      </c>
      <c r="Y140" s="163">
        <f t="shared" si="467"/>
        <v>155.16875557479446</v>
      </c>
      <c r="Z140" s="163">
        <f t="shared" si="467"/>
        <v>166.18573722060486</v>
      </c>
      <c r="AA140" s="163">
        <f t="shared" si="467"/>
        <v>177.98492456326784</v>
      </c>
      <c r="AB140" s="163">
        <f t="shared" si="467"/>
        <v>190.62185420725984</v>
      </c>
      <c r="AC140" s="163">
        <f t="shared" si="467"/>
        <v>204.15600585597531</v>
      </c>
      <c r="AD140" s="163">
        <f t="shared" si="467"/>
        <v>218.65108227174954</v>
      </c>
      <c r="AE140" s="163">
        <f t="shared" si="467"/>
        <v>234.1753091130438</v>
      </c>
      <c r="AF140" s="137">
        <f t="shared" si="358"/>
        <v>0.12385845392807893</v>
      </c>
      <c r="AG140" s="20"/>
      <c r="AH140" s="20"/>
    </row>
    <row r="141" spans="1:34">
      <c r="B141" s="20" t="s">
        <v>334</v>
      </c>
      <c r="C141" s="20"/>
      <c r="D141" s="20"/>
      <c r="E141" s="20"/>
      <c r="F141" s="20"/>
      <c r="G141" s="150">
        <f t="shared" ref="G141:H141" si="468">G140/G55</f>
        <v>0.28807071428571429</v>
      </c>
      <c r="H141" s="150">
        <f t="shared" si="468"/>
        <v>0.32007857142857143</v>
      </c>
      <c r="I141" s="150">
        <f t="shared" ref="I141:S141" si="469">I140/I55</f>
        <v>0.22159285714285715</v>
      </c>
      <c r="J141" s="150">
        <f t="shared" si="469"/>
        <v>0.20880000000000001</v>
      </c>
      <c r="K141" s="150">
        <f t="shared" si="469"/>
        <v>0.10582000000000001</v>
      </c>
      <c r="L141" s="150">
        <f t="shared" si="469"/>
        <v>0.19090359712230215</v>
      </c>
      <c r="M141" s="150">
        <f t="shared" si="469"/>
        <v>6.7727411944869836E-2</v>
      </c>
      <c r="N141" s="150">
        <f t="shared" si="469"/>
        <v>6.6857142857142851E-2</v>
      </c>
      <c r="O141" s="150">
        <f t="shared" si="469"/>
        <v>7.1563106796116507E-2</v>
      </c>
      <c r="P141" s="150">
        <f t="shared" si="469"/>
        <v>4.8019543973941363E-2</v>
      </c>
      <c r="Q141" s="150">
        <f t="shared" si="469"/>
        <v>4.4005970149253733E-2</v>
      </c>
      <c r="R141" s="150">
        <f t="shared" si="469"/>
        <v>0.12071238485158649</v>
      </c>
      <c r="S141" s="150">
        <f t="shared" si="469"/>
        <v>5.6347826086956515E-2</v>
      </c>
      <c r="T141" s="118">
        <f t="shared" si="453"/>
        <v>-0.12713280571793906</v>
      </c>
      <c r="U141" s="20"/>
      <c r="V141" s="150">
        <f t="shared" ref="V141:AE141" si="470">V140/V55</f>
        <v>5.2476975425330821E-2</v>
      </c>
      <c r="W141" s="150">
        <f t="shared" si="470"/>
        <v>4.8872035374373311E-2</v>
      </c>
      <c r="X141" s="150">
        <f t="shared" si="470"/>
        <v>4.5514739031264198E-2</v>
      </c>
      <c r="Y141" s="150">
        <f t="shared" si="470"/>
        <v>4.2388074349986066E-2</v>
      </c>
      <c r="Z141" s="150">
        <f t="shared" si="470"/>
        <v>3.9476197938117456E-2</v>
      </c>
      <c r="AA141" s="150">
        <f t="shared" si="470"/>
        <v>3.6764354775412005E-2</v>
      </c>
      <c r="AB141" s="150">
        <f t="shared" si="470"/>
        <v>3.4238803447361958E-2</v>
      </c>
      <c r="AC141" s="150">
        <f t="shared" si="470"/>
        <v>3.1886746514891012E-2</v>
      </c>
      <c r="AD141" s="150">
        <f t="shared" si="470"/>
        <v>2.9696265667346327E-2</v>
      </c>
      <c r="AE141" s="150">
        <f t="shared" si="470"/>
        <v>2.7656261330198197E-2</v>
      </c>
      <c r="AF141" s="137">
        <f t="shared" si="358"/>
        <v>-9.4343099241945061E-2</v>
      </c>
      <c r="AG141" s="20"/>
      <c r="AH141" s="20"/>
    </row>
    <row r="142" spans="1:34">
      <c r="B142" s="20" t="s">
        <v>327</v>
      </c>
      <c r="C142" s="20"/>
      <c r="D142" s="20"/>
      <c r="E142" s="20"/>
      <c r="F142" s="20"/>
      <c r="G142" s="150">
        <f t="shared" ref="G142:H142" si="471">1-G141</f>
        <v>0.71192928571428571</v>
      </c>
      <c r="H142" s="150">
        <f t="shared" si="471"/>
        <v>0.67992142857142857</v>
      </c>
      <c r="I142" s="150">
        <f>1-I141</f>
        <v>0.77840714285714285</v>
      </c>
      <c r="J142" s="150">
        <f t="shared" ref="J142:R142" si="472">1-J141</f>
        <v>0.79120000000000001</v>
      </c>
      <c r="K142" s="150">
        <f t="shared" si="472"/>
        <v>0.89417999999999997</v>
      </c>
      <c r="L142" s="150">
        <f t="shared" si="472"/>
        <v>0.80909640287769791</v>
      </c>
      <c r="M142" s="150">
        <f t="shared" si="472"/>
        <v>0.93227258805513014</v>
      </c>
      <c r="N142" s="150">
        <f t="shared" si="472"/>
        <v>0.93314285714285716</v>
      </c>
      <c r="O142" s="150">
        <f t="shared" si="472"/>
        <v>0.92843689320388345</v>
      </c>
      <c r="P142" s="150">
        <f t="shared" si="472"/>
        <v>0.95198045602605863</v>
      </c>
      <c r="Q142" s="150">
        <f t="shared" si="472"/>
        <v>0.95599402985074622</v>
      </c>
      <c r="R142" s="150">
        <f t="shared" si="472"/>
        <v>0.87928761514841347</v>
      </c>
      <c r="S142" s="150">
        <f t="shared" ref="S142" si="473">1-S141</f>
        <v>0.94365217391304346</v>
      </c>
      <c r="T142" s="118">
        <f t="shared" si="453"/>
        <v>2.375945058062201E-2</v>
      </c>
      <c r="U142" s="20"/>
      <c r="V142" s="150">
        <f t="shared" ref="V142:AE142" si="474">1-V141</f>
        <v>0.94752302457466919</v>
      </c>
      <c r="W142" s="150">
        <f t="shared" si="474"/>
        <v>0.95112796462562665</v>
      </c>
      <c r="X142" s="150">
        <f t="shared" si="474"/>
        <v>0.95448526096873576</v>
      </c>
      <c r="Y142" s="150">
        <f t="shared" si="474"/>
        <v>0.95761192565001396</v>
      </c>
      <c r="Z142" s="150">
        <f t="shared" si="474"/>
        <v>0.96052380206188259</v>
      </c>
      <c r="AA142" s="150">
        <f t="shared" si="474"/>
        <v>0.96323564522458804</v>
      </c>
      <c r="AB142" s="150">
        <f t="shared" si="474"/>
        <v>0.96576119655263803</v>
      </c>
      <c r="AC142" s="150">
        <f t="shared" si="474"/>
        <v>0.96811325348510902</v>
      </c>
      <c r="AD142" s="150">
        <f t="shared" si="474"/>
        <v>0.97030373433265371</v>
      </c>
      <c r="AE142" s="150">
        <f t="shared" si="474"/>
        <v>0.97234373866980184</v>
      </c>
      <c r="AF142" s="137">
        <f t="shared" si="358"/>
        <v>1.0649625720797751E-2</v>
      </c>
      <c r="AG142" s="20"/>
      <c r="AH142" s="20"/>
    </row>
    <row r="143" spans="1:34">
      <c r="B143" s="20" t="s">
        <v>450</v>
      </c>
      <c r="C143" s="20"/>
      <c r="D143" s="20"/>
      <c r="E143" s="20"/>
      <c r="F143" s="20"/>
      <c r="G143" s="150">
        <f t="shared" ref="G143:H143" si="475">G140/G20</f>
        <v>0.1867125</v>
      </c>
      <c r="H143" s="150">
        <f t="shared" si="475"/>
        <v>0.18499954128440368</v>
      </c>
      <c r="I143" s="150">
        <f t="shared" ref="I143:S143" si="476">I140/I20</f>
        <v>0.258525</v>
      </c>
      <c r="J143" s="150">
        <f t="shared" si="476"/>
        <v>6.8430252100840333E-2</v>
      </c>
      <c r="K143" s="150">
        <f t="shared" si="476"/>
        <v>6.6755607476635517E-2</v>
      </c>
      <c r="L143" s="150">
        <f t="shared" si="476"/>
        <v>8.1647999999999998E-2</v>
      </c>
      <c r="M143" s="150">
        <f t="shared" si="476"/>
        <v>6.3E-2</v>
      </c>
      <c r="N143" s="150">
        <f t="shared" si="476"/>
        <v>0.1939736842105263</v>
      </c>
      <c r="O143" s="150">
        <f t="shared" si="476"/>
        <v>5.4298342541436458E-2</v>
      </c>
      <c r="P143" s="150">
        <f t="shared" si="476"/>
        <v>3.8290909090909091E-2</v>
      </c>
      <c r="Q143" s="150">
        <f t="shared" si="476"/>
        <v>3.9277087033747778E-2</v>
      </c>
      <c r="R143" s="150">
        <f t="shared" si="476"/>
        <v>0.12401261829652996</v>
      </c>
      <c r="S143" s="150">
        <f t="shared" si="476"/>
        <v>6.5812499999999996E-2</v>
      </c>
      <c r="T143" s="118">
        <f t="shared" si="453"/>
        <v>-8.3228192272970292E-2</v>
      </c>
      <c r="U143" s="20"/>
      <c r="V143" s="150">
        <f t="shared" ref="V143:AE143" si="477">V140/V20</f>
        <v>6.1291467391304359E-2</v>
      </c>
      <c r="W143" s="150">
        <f t="shared" si="477"/>
        <v>5.7081010066162577E-2</v>
      </c>
      <c r="X143" s="150">
        <f t="shared" si="477"/>
        <v>5.3159792852921849E-2</v>
      </c>
      <c r="Y143" s="150">
        <f t="shared" si="477"/>
        <v>4.9507946213460281E-2</v>
      </c>
      <c r="Z143" s="150">
        <f t="shared" si="477"/>
        <v>4.6106965560535618E-2</v>
      </c>
      <c r="AA143" s="150">
        <f t="shared" si="477"/>
        <v>4.2939617491594487E-2</v>
      </c>
      <c r="AB143" s="150">
        <f t="shared" si="477"/>
        <v>3.9989852463911041E-2</v>
      </c>
      <c r="AC143" s="150">
        <f t="shared" si="477"/>
        <v>3.724272346856411E-2</v>
      </c>
      <c r="AD143" s="150">
        <f t="shared" si="477"/>
        <v>3.4684310291158406E-2</v>
      </c>
      <c r="AE143" s="150">
        <f t="shared" si="477"/>
        <v>3.2301648975504922E-2</v>
      </c>
      <c r="AF143" s="137" t="s">
        <v>451</v>
      </c>
      <c r="AG143" s="20"/>
      <c r="AH143" s="20"/>
    </row>
    <row r="144" spans="1:34">
      <c r="B144" s="20"/>
      <c r="C144" s="20"/>
      <c r="D144" s="20"/>
      <c r="E144" s="20"/>
      <c r="F144" s="2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28"/>
      <c r="U144" s="2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28"/>
      <c r="AG144" s="20"/>
      <c r="AH144" s="20"/>
    </row>
    <row r="145" spans="2:34">
      <c r="B145" s="20" t="s">
        <v>331</v>
      </c>
      <c r="C145" s="150"/>
      <c r="D145" s="150"/>
      <c r="E145" s="150"/>
      <c r="F145" s="150"/>
      <c r="G145" s="150">
        <f t="shared" ref="G145:H145" si="478">G31/G25</f>
        <v>0</v>
      </c>
      <c r="H145" s="150">
        <f t="shared" si="478"/>
        <v>0</v>
      </c>
      <c r="I145" s="150">
        <f t="shared" ref="I145:S145" si="479">I31/I25</f>
        <v>0</v>
      </c>
      <c r="J145" s="150">
        <f t="shared" si="479"/>
        <v>0</v>
      </c>
      <c r="K145" s="150">
        <f t="shared" si="479"/>
        <v>0</v>
      </c>
      <c r="L145" s="150">
        <f t="shared" si="479"/>
        <v>0</v>
      </c>
      <c r="M145" s="150">
        <f t="shared" si="479"/>
        <v>0</v>
      </c>
      <c r="N145" s="150">
        <f t="shared" si="479"/>
        <v>0</v>
      </c>
      <c r="O145" s="150">
        <f t="shared" si="479"/>
        <v>0</v>
      </c>
      <c r="P145" s="150">
        <f t="shared" si="479"/>
        <v>0</v>
      </c>
      <c r="Q145" s="150">
        <f t="shared" si="479"/>
        <v>0</v>
      </c>
      <c r="R145" s="150">
        <f t="shared" si="479"/>
        <v>0</v>
      </c>
      <c r="S145" s="150">
        <f t="shared" si="479"/>
        <v>0</v>
      </c>
      <c r="T145" s="118" t="e">
        <f t="shared" si="453"/>
        <v>#DIV/0!</v>
      </c>
      <c r="U145" s="20"/>
      <c r="V145" s="150">
        <f t="shared" ref="V145:AE145" si="480">V31/V25</f>
        <v>0</v>
      </c>
      <c r="W145" s="150">
        <f t="shared" si="480"/>
        <v>0</v>
      </c>
      <c r="X145" s="150">
        <f t="shared" si="480"/>
        <v>0</v>
      </c>
      <c r="Y145" s="150">
        <f t="shared" si="480"/>
        <v>0</v>
      </c>
      <c r="Z145" s="150">
        <f t="shared" si="480"/>
        <v>0</v>
      </c>
      <c r="AA145" s="150">
        <f t="shared" si="480"/>
        <v>0</v>
      </c>
      <c r="AB145" s="150">
        <f t="shared" si="480"/>
        <v>0</v>
      </c>
      <c r="AC145" s="150">
        <f t="shared" si="480"/>
        <v>0</v>
      </c>
      <c r="AD145" s="150">
        <f t="shared" si="480"/>
        <v>0</v>
      </c>
      <c r="AE145" s="150">
        <f t="shared" si="480"/>
        <v>0</v>
      </c>
      <c r="AF145" s="137" t="e">
        <f t="shared" si="358"/>
        <v>#DIV/0!</v>
      </c>
      <c r="AG145" s="20"/>
      <c r="AH145" s="20"/>
    </row>
    <row r="146" spans="2:34">
      <c r="B146" s="20" t="s">
        <v>328</v>
      </c>
      <c r="C146" s="150"/>
      <c r="D146" s="150"/>
      <c r="E146" s="150"/>
      <c r="F146" s="150"/>
      <c r="G146" s="150">
        <f t="shared" ref="G146:H146" si="481">G32/G25</f>
        <v>0</v>
      </c>
      <c r="H146" s="150">
        <f t="shared" si="481"/>
        <v>0</v>
      </c>
      <c r="I146" s="150">
        <f t="shared" ref="I146:S146" si="482">I32/I25</f>
        <v>0</v>
      </c>
      <c r="J146" s="150">
        <f t="shared" si="482"/>
        <v>0</v>
      </c>
      <c r="K146" s="150">
        <f t="shared" si="482"/>
        <v>0</v>
      </c>
      <c r="L146" s="150">
        <f t="shared" si="482"/>
        <v>0</v>
      </c>
      <c r="M146" s="150">
        <f t="shared" si="482"/>
        <v>0</v>
      </c>
      <c r="N146" s="150">
        <f t="shared" si="482"/>
        <v>0</v>
      </c>
      <c r="O146" s="150">
        <f t="shared" si="482"/>
        <v>0</v>
      </c>
      <c r="P146" s="150">
        <f t="shared" si="482"/>
        <v>0</v>
      </c>
      <c r="Q146" s="150">
        <f t="shared" si="482"/>
        <v>0</v>
      </c>
      <c r="R146" s="150">
        <f t="shared" si="482"/>
        <v>0</v>
      </c>
      <c r="S146" s="150">
        <f t="shared" si="482"/>
        <v>0</v>
      </c>
      <c r="T146" s="118" t="e">
        <f t="shared" si="453"/>
        <v>#DIV/0!</v>
      </c>
      <c r="U146" s="20"/>
      <c r="V146" s="150">
        <f t="shared" ref="V146:AE146" si="483">V32/V25</f>
        <v>0</v>
      </c>
      <c r="W146" s="150">
        <f t="shared" si="483"/>
        <v>0</v>
      </c>
      <c r="X146" s="150">
        <f t="shared" si="483"/>
        <v>0</v>
      </c>
      <c r="Y146" s="150">
        <f t="shared" si="483"/>
        <v>0</v>
      </c>
      <c r="Z146" s="150">
        <f t="shared" si="483"/>
        <v>0</v>
      </c>
      <c r="AA146" s="150">
        <f t="shared" si="483"/>
        <v>0</v>
      </c>
      <c r="AB146" s="150">
        <f t="shared" si="483"/>
        <v>0</v>
      </c>
      <c r="AC146" s="150">
        <f t="shared" si="483"/>
        <v>0</v>
      </c>
      <c r="AD146" s="150">
        <f t="shared" si="483"/>
        <v>0</v>
      </c>
      <c r="AE146" s="150">
        <f t="shared" si="483"/>
        <v>0</v>
      </c>
      <c r="AF146" s="137" t="e">
        <f t="shared" si="358"/>
        <v>#DIV/0!</v>
      </c>
      <c r="AG146" s="20"/>
      <c r="AH146" s="20"/>
    </row>
    <row r="147" spans="2:34">
      <c r="B147" s="20" t="s">
        <v>458</v>
      </c>
      <c r="C147" s="150"/>
      <c r="D147" s="150"/>
      <c r="E147" s="150"/>
      <c r="F147" s="150"/>
      <c r="G147" s="150">
        <f t="shared" ref="G147:H147" si="484">(G31+G32)/G25</f>
        <v>0</v>
      </c>
      <c r="H147" s="150">
        <f t="shared" si="484"/>
        <v>0</v>
      </c>
      <c r="I147" s="150">
        <f t="shared" ref="I147:S147" si="485">(I31+I32)/I25</f>
        <v>0</v>
      </c>
      <c r="J147" s="150">
        <f t="shared" si="485"/>
        <v>0</v>
      </c>
      <c r="K147" s="150">
        <f t="shared" si="485"/>
        <v>0</v>
      </c>
      <c r="L147" s="150">
        <f t="shared" si="485"/>
        <v>0</v>
      </c>
      <c r="M147" s="150">
        <f t="shared" si="485"/>
        <v>0</v>
      </c>
      <c r="N147" s="150">
        <f t="shared" si="485"/>
        <v>0</v>
      </c>
      <c r="O147" s="150">
        <f t="shared" si="485"/>
        <v>0</v>
      </c>
      <c r="P147" s="150">
        <f t="shared" si="485"/>
        <v>0</v>
      </c>
      <c r="Q147" s="150">
        <f t="shared" si="485"/>
        <v>0</v>
      </c>
      <c r="R147" s="150">
        <f t="shared" si="485"/>
        <v>0</v>
      </c>
      <c r="S147" s="150">
        <f t="shared" si="485"/>
        <v>0</v>
      </c>
      <c r="T147" s="118" t="e">
        <f t="shared" si="453"/>
        <v>#DIV/0!</v>
      </c>
      <c r="U147" s="20"/>
      <c r="V147" s="150">
        <f t="shared" ref="V147:AE147" si="486">(V31+V32)/V25</f>
        <v>0</v>
      </c>
      <c r="W147" s="150">
        <f t="shared" si="486"/>
        <v>0</v>
      </c>
      <c r="X147" s="150">
        <f t="shared" si="486"/>
        <v>0</v>
      </c>
      <c r="Y147" s="150">
        <f t="shared" si="486"/>
        <v>0</v>
      </c>
      <c r="Z147" s="150">
        <f t="shared" si="486"/>
        <v>0</v>
      </c>
      <c r="AA147" s="150">
        <f t="shared" si="486"/>
        <v>0</v>
      </c>
      <c r="AB147" s="150">
        <f t="shared" si="486"/>
        <v>0</v>
      </c>
      <c r="AC147" s="150">
        <f t="shared" si="486"/>
        <v>0</v>
      </c>
      <c r="AD147" s="150">
        <f t="shared" si="486"/>
        <v>0</v>
      </c>
      <c r="AE147" s="150">
        <f t="shared" si="486"/>
        <v>0</v>
      </c>
      <c r="AF147" s="137" t="e">
        <f t="shared" si="358"/>
        <v>#DIV/0!</v>
      </c>
      <c r="AG147" s="20"/>
      <c r="AH147" s="20"/>
    </row>
    <row r="148" spans="2:34">
      <c r="B148" s="20"/>
      <c r="C148" s="20"/>
      <c r="D148" s="20"/>
      <c r="E148" s="20"/>
      <c r="F148" s="2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28"/>
      <c r="U148" s="2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50"/>
      <c r="AF148" s="128"/>
      <c r="AG148" s="20"/>
      <c r="AH148" s="20"/>
    </row>
    <row r="149" spans="2:34">
      <c r="B149" s="20" t="s">
        <v>352</v>
      </c>
      <c r="C149" s="20"/>
      <c r="D149" s="20"/>
      <c r="E149" s="20"/>
      <c r="F149" s="20"/>
      <c r="G149" s="150">
        <f t="shared" ref="G149:H149" si="487">G27/G25</f>
        <v>0.9051020408163265</v>
      </c>
      <c r="H149" s="150">
        <f t="shared" si="487"/>
        <v>0.91923248549754577</v>
      </c>
      <c r="I149" s="150">
        <f t="shared" ref="I149:S149" si="488">I27/I25</f>
        <v>0.90972733971997055</v>
      </c>
      <c r="J149" s="150">
        <f t="shared" si="488"/>
        <v>0.90729553903345728</v>
      </c>
      <c r="K149" s="150">
        <f t="shared" si="488"/>
        <v>0.86563415655085807</v>
      </c>
      <c r="L149" s="150">
        <f t="shared" si="488"/>
        <v>0.90653085680047929</v>
      </c>
      <c r="M149" s="150">
        <f t="shared" si="488"/>
        <v>0.83229114557278638</v>
      </c>
      <c r="N149" s="150">
        <f t="shared" si="488"/>
        <v>0.89271989752348424</v>
      </c>
      <c r="O149" s="150">
        <f t="shared" si="488"/>
        <v>0.90573638414437641</v>
      </c>
      <c r="P149" s="150">
        <f t="shared" si="488"/>
        <v>0.87918015102481117</v>
      </c>
      <c r="Q149" s="150">
        <f t="shared" si="488"/>
        <v>0.8571957907218023</v>
      </c>
      <c r="R149" s="150">
        <f t="shared" si="488"/>
        <v>0.84986976083353072</v>
      </c>
      <c r="S149" s="150">
        <f t="shared" si="488"/>
        <v>0.87161763466239572</v>
      </c>
      <c r="T149" s="118">
        <f t="shared" si="453"/>
        <v>-3.1364754718529175E-3</v>
      </c>
      <c r="U149" s="20"/>
      <c r="V149" s="150">
        <f t="shared" ref="V149:AE149" si="489">V27/V25</f>
        <v>0.87161763466239561</v>
      </c>
      <c r="W149" s="150">
        <f t="shared" si="489"/>
        <v>0.87161763466239561</v>
      </c>
      <c r="X149" s="150">
        <f t="shared" si="489"/>
        <v>0.87161763466239561</v>
      </c>
      <c r="Y149" s="150">
        <f t="shared" si="489"/>
        <v>0.87161763466239561</v>
      </c>
      <c r="Z149" s="150">
        <f t="shared" si="489"/>
        <v>0.87161763466239572</v>
      </c>
      <c r="AA149" s="150">
        <f t="shared" si="489"/>
        <v>0.87161763466239572</v>
      </c>
      <c r="AB149" s="150">
        <f t="shared" si="489"/>
        <v>0.87161763466239572</v>
      </c>
      <c r="AC149" s="150">
        <f t="shared" si="489"/>
        <v>0.87161763466239572</v>
      </c>
      <c r="AD149" s="150">
        <f t="shared" si="489"/>
        <v>0.87161763466239572</v>
      </c>
      <c r="AE149" s="150">
        <f t="shared" si="489"/>
        <v>0.87161763466239572</v>
      </c>
      <c r="AF149" s="137">
        <f t="shared" si="358"/>
        <v>-2.035738997780423E-3</v>
      </c>
      <c r="AG149" s="20"/>
      <c r="AH149" s="20"/>
    </row>
    <row r="150" spans="2:34">
      <c r="B150" s="20" t="str">
        <f>B33</f>
        <v>Top Expenses ( raw materials)</v>
      </c>
      <c r="C150" s="20"/>
      <c r="D150" s="20"/>
      <c r="E150" s="20"/>
      <c r="F150" s="20"/>
      <c r="G150" s="150">
        <f t="shared" ref="G150:H150" si="490">G33/G25</f>
        <v>0.66377551020408165</v>
      </c>
      <c r="H150" s="150">
        <f t="shared" si="490"/>
        <v>0.6929941990182954</v>
      </c>
      <c r="I150" s="150">
        <f t="shared" ref="I150:S150" si="491">I33/I25</f>
        <v>0.71775976418570375</v>
      </c>
      <c r="J150" s="150">
        <f t="shared" si="491"/>
        <v>0.6761152416356877</v>
      </c>
      <c r="K150" s="150">
        <f t="shared" si="491"/>
        <v>0.63394725826705733</v>
      </c>
      <c r="L150" s="150">
        <f t="shared" si="491"/>
        <v>0.68803674855202712</v>
      </c>
      <c r="M150" s="150">
        <f t="shared" si="491"/>
        <v>0.55227613806903453</v>
      </c>
      <c r="N150" s="150">
        <f t="shared" si="491"/>
        <v>0.625533731853117</v>
      </c>
      <c r="O150" s="150">
        <f t="shared" si="491"/>
        <v>0.676603287141476</v>
      </c>
      <c r="P150" s="150">
        <f t="shared" si="491"/>
        <v>0.63037447988904305</v>
      </c>
      <c r="Q150" s="150">
        <f t="shared" si="491"/>
        <v>0.59233733511190156</v>
      </c>
      <c r="R150" s="150">
        <f t="shared" si="491"/>
        <v>0.55963375167732254</v>
      </c>
      <c r="S150" s="150">
        <f t="shared" si="491"/>
        <v>0.45199359352608953</v>
      </c>
      <c r="T150" s="118">
        <f t="shared" si="453"/>
        <v>-3.1515693247674781E-2</v>
      </c>
      <c r="U150" s="20"/>
      <c r="V150" s="150">
        <f t="shared" ref="V150:AE150" si="492">V33/V25</f>
        <v>0.45199359352608953</v>
      </c>
      <c r="W150" s="150">
        <f t="shared" si="492"/>
        <v>0.45199359352608953</v>
      </c>
      <c r="X150" s="150">
        <f t="shared" si="492"/>
        <v>0.45199359352608953</v>
      </c>
      <c r="Y150" s="150">
        <f t="shared" si="492"/>
        <v>0.45199359352608959</v>
      </c>
      <c r="Z150" s="150">
        <f t="shared" si="492"/>
        <v>0.45199359352608953</v>
      </c>
      <c r="AA150" s="150">
        <f t="shared" si="492"/>
        <v>0.45199359352608953</v>
      </c>
      <c r="AB150" s="150">
        <f t="shared" si="492"/>
        <v>0.45199359352608959</v>
      </c>
      <c r="AC150" s="150">
        <f t="shared" si="492"/>
        <v>0.45199359352608959</v>
      </c>
      <c r="AD150" s="150">
        <f t="shared" si="492"/>
        <v>0.45199359352608959</v>
      </c>
      <c r="AE150" s="150">
        <f t="shared" si="492"/>
        <v>0.45199359352608959</v>
      </c>
      <c r="AF150" s="137">
        <f t="shared" si="358"/>
        <v>-2.1781515024887899E-2</v>
      </c>
      <c r="AG150" s="20"/>
      <c r="AH150" s="20"/>
    </row>
    <row r="151" spans="2:34">
      <c r="B151" s="20" t="str">
        <f>B34</f>
        <v>2nd highest Expenses Comp. ( Empl )</v>
      </c>
      <c r="C151" s="20"/>
      <c r="D151" s="20"/>
      <c r="E151" s="20"/>
      <c r="F151" s="20"/>
      <c r="G151" s="150">
        <f t="shared" ref="G151:H151" si="493">G34/G25</f>
        <v>6.7857142857142852E-2</v>
      </c>
      <c r="H151" s="150">
        <f t="shared" si="493"/>
        <v>6.3810798750557784E-2</v>
      </c>
      <c r="I151" s="150">
        <f t="shared" ref="I151:S151" si="494">I34/I25</f>
        <v>6.0427413411938101E-2</v>
      </c>
      <c r="J151" s="150">
        <f t="shared" si="494"/>
        <v>9.4563197026022311E-2</v>
      </c>
      <c r="K151" s="150">
        <f t="shared" si="494"/>
        <v>9.2088740058601931E-2</v>
      </c>
      <c r="L151" s="150">
        <f t="shared" si="494"/>
        <v>8.2883962452566406E-2</v>
      </c>
      <c r="M151" s="150">
        <f t="shared" si="494"/>
        <v>0.13606803401700851</v>
      </c>
      <c r="N151" s="150">
        <f t="shared" si="494"/>
        <v>0.12329205807002562</v>
      </c>
      <c r="O151" s="150">
        <f t="shared" si="494"/>
        <v>0.10755720270705768</v>
      </c>
      <c r="P151" s="150">
        <f t="shared" si="494"/>
        <v>0.1133456618893512</v>
      </c>
      <c r="Q151" s="150">
        <f t="shared" si="494"/>
        <v>0.11960871498443752</v>
      </c>
      <c r="R151" s="150">
        <f t="shared" si="494"/>
        <v>0.12684505485831557</v>
      </c>
      <c r="S151" s="150">
        <f t="shared" si="494"/>
        <v>0.13377729073590156</v>
      </c>
      <c r="T151" s="118">
        <f t="shared" si="453"/>
        <v>5.8194668009363459E-2</v>
      </c>
      <c r="U151" s="20"/>
      <c r="V151" s="150">
        <f t="shared" ref="V151:AE151" si="495">V34/V25</f>
        <v>0.13377729073590156</v>
      </c>
      <c r="W151" s="150">
        <f t="shared" si="495"/>
        <v>0.13377729073590156</v>
      </c>
      <c r="X151" s="150">
        <f t="shared" si="495"/>
        <v>0.13377729073590158</v>
      </c>
      <c r="Y151" s="150">
        <f t="shared" si="495"/>
        <v>0.13377729073590158</v>
      </c>
      <c r="Z151" s="150">
        <f t="shared" si="495"/>
        <v>0.13377729073590156</v>
      </c>
      <c r="AA151" s="150">
        <f t="shared" si="495"/>
        <v>0.13377729073590158</v>
      </c>
      <c r="AB151" s="150">
        <f t="shared" si="495"/>
        <v>0.13377729073590158</v>
      </c>
      <c r="AC151" s="150">
        <f t="shared" si="495"/>
        <v>0.13377729073590158</v>
      </c>
      <c r="AD151" s="150">
        <f t="shared" si="495"/>
        <v>0.13377729073590158</v>
      </c>
      <c r="AE151" s="150">
        <f t="shared" si="495"/>
        <v>0.13377729073590161</v>
      </c>
      <c r="AF151" s="137">
        <f t="shared" si="358"/>
        <v>3.8569675323067321E-2</v>
      </c>
      <c r="AG151" s="20"/>
      <c r="AH151" s="20"/>
    </row>
    <row r="152" spans="2:34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128"/>
      <c r="U152" s="128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38"/>
      <c r="AG152" s="20"/>
      <c r="AH152" s="20"/>
    </row>
    <row r="153" spans="2:34">
      <c r="B153" s="108" t="s">
        <v>360</v>
      </c>
      <c r="C153" s="20"/>
      <c r="D153" s="20"/>
      <c r="E153" s="20"/>
      <c r="F153" s="20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128"/>
      <c r="U153" s="128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137"/>
      <c r="AG153" s="20"/>
      <c r="AH153" s="20"/>
    </row>
    <row r="154" spans="2:34">
      <c r="B154" s="20" t="s">
        <v>363</v>
      </c>
      <c r="C154" s="20"/>
      <c r="D154" s="20"/>
      <c r="E154" s="20"/>
      <c r="F154" s="20"/>
      <c r="G154" s="25">
        <f t="shared" ref="G154:H154" si="496">G15/G9</f>
        <v>1.1849865951742626</v>
      </c>
      <c r="H154" s="25">
        <f t="shared" si="496"/>
        <v>1.1905737704918034</v>
      </c>
      <c r="I154" s="25">
        <f t="shared" ref="I154:S154" si="497">I15/I9</f>
        <v>1.3043478260869565</v>
      </c>
      <c r="J154" s="25">
        <f t="shared" si="497"/>
        <v>1.1707070707070708</v>
      </c>
      <c r="K154" s="25">
        <f t="shared" si="497"/>
        <v>1.3471910112359551</v>
      </c>
      <c r="L154" s="25">
        <f t="shared" si="497"/>
        <v>1.300498753117207</v>
      </c>
      <c r="M154" s="25">
        <f t="shared" si="497"/>
        <v>1.282960199004975</v>
      </c>
      <c r="N154" s="25">
        <f t="shared" si="497"/>
        <v>1.4270216962524656</v>
      </c>
      <c r="O154" s="25">
        <f t="shared" si="497"/>
        <v>1.3225677830940989</v>
      </c>
      <c r="P154" s="25">
        <f t="shared" si="497"/>
        <v>1.4882483370288249</v>
      </c>
      <c r="Q154" s="25">
        <f t="shared" si="497"/>
        <v>1.3511669658886893</v>
      </c>
      <c r="R154" s="25">
        <f t="shared" si="497"/>
        <v>1.6217137293086661</v>
      </c>
      <c r="S154" s="25">
        <f t="shared" si="497"/>
        <v>1.308414590104731</v>
      </c>
      <c r="T154" s="118">
        <f t="shared" si="453"/>
        <v>8.2912423043510763E-3</v>
      </c>
      <c r="U154" s="20"/>
      <c r="V154" s="20">
        <f t="shared" ref="V154:AE154" si="498">V15/V9</f>
        <v>1.3084145901047308</v>
      </c>
      <c r="W154" s="20">
        <f t="shared" si="498"/>
        <v>1.308414590104731</v>
      </c>
      <c r="X154" s="20">
        <f t="shared" si="498"/>
        <v>1.3084145901047308</v>
      </c>
      <c r="Y154" s="20">
        <f t="shared" si="498"/>
        <v>1.3084145901047308</v>
      </c>
      <c r="Z154" s="20">
        <f t="shared" si="498"/>
        <v>1.3084145901047308</v>
      </c>
      <c r="AA154" s="20">
        <f t="shared" si="498"/>
        <v>1.3084145901047306</v>
      </c>
      <c r="AB154" s="20">
        <f t="shared" si="498"/>
        <v>1.3084145901047306</v>
      </c>
      <c r="AC154" s="20">
        <f t="shared" si="498"/>
        <v>1.3084145901047306</v>
      </c>
      <c r="AD154" s="20">
        <f t="shared" si="498"/>
        <v>1.3084145901047306</v>
      </c>
      <c r="AE154" s="20">
        <f t="shared" si="498"/>
        <v>1.3084145901047306</v>
      </c>
      <c r="AF154" s="137">
        <f t="shared" si="358"/>
        <v>1.4824917787636949E-4</v>
      </c>
      <c r="AG154" s="20"/>
      <c r="AH154" s="20"/>
    </row>
    <row r="155" spans="2:34">
      <c r="B155" s="20" t="s">
        <v>353</v>
      </c>
      <c r="C155" s="20"/>
      <c r="D155" s="20"/>
      <c r="E155" s="20"/>
      <c r="F155" s="20"/>
      <c r="G155" s="25">
        <f t="shared" ref="G155:H155" si="499">G12/G9</f>
        <v>0.29490616621983912</v>
      </c>
      <c r="H155" s="25">
        <f t="shared" si="499"/>
        <v>0.24795081967213115</v>
      </c>
      <c r="I155" s="25">
        <f t="shared" ref="I155:S155" si="500">I12/I9</f>
        <v>0.43667296786389415</v>
      </c>
      <c r="J155" s="25">
        <f t="shared" si="500"/>
        <v>0.19494949494949496</v>
      </c>
      <c r="K155" s="25">
        <f t="shared" si="500"/>
        <v>0.3202247191011236</v>
      </c>
      <c r="L155" s="25">
        <f t="shared" si="500"/>
        <v>0.45012468827930174</v>
      </c>
      <c r="M155" s="25">
        <f t="shared" si="500"/>
        <v>0.21641791044776118</v>
      </c>
      <c r="N155" s="25">
        <f t="shared" si="500"/>
        <v>9.4181459566074946E-2</v>
      </c>
      <c r="O155" s="25">
        <f t="shared" si="500"/>
        <v>6.8979266347687404E-2</v>
      </c>
      <c r="P155" s="25">
        <f t="shared" si="500"/>
        <v>0.14855875831485588</v>
      </c>
      <c r="Q155" s="25">
        <f t="shared" si="500"/>
        <v>0.23482944344703771</v>
      </c>
      <c r="R155" s="25">
        <f t="shared" si="500"/>
        <v>0.28967867575462514</v>
      </c>
      <c r="S155" s="25">
        <f t="shared" si="500"/>
        <v>0.21487901769591911</v>
      </c>
      <c r="T155" s="118">
        <f t="shared" si="453"/>
        <v>-2.6036878164042876E-2</v>
      </c>
      <c r="U155" s="128"/>
      <c r="V155" s="20">
        <f t="shared" ref="V155:AE155" si="501">V12/V9</f>
        <v>0.21487901769591911</v>
      </c>
      <c r="W155" s="20">
        <f t="shared" si="501"/>
        <v>0.21487901769591911</v>
      </c>
      <c r="X155" s="20">
        <f t="shared" si="501"/>
        <v>0.21487901769591911</v>
      </c>
      <c r="Y155" s="20">
        <f t="shared" si="501"/>
        <v>0.21487901769591911</v>
      </c>
      <c r="Z155" s="20">
        <f t="shared" si="501"/>
        <v>0.21487901769591911</v>
      </c>
      <c r="AA155" s="20">
        <f t="shared" si="501"/>
        <v>0.21487901769591911</v>
      </c>
      <c r="AB155" s="20">
        <f t="shared" si="501"/>
        <v>0.21487901769591911</v>
      </c>
      <c r="AC155" s="20">
        <f t="shared" si="501"/>
        <v>0.21487901769591911</v>
      </c>
      <c r="AD155" s="20">
        <f t="shared" si="501"/>
        <v>0.21487901769591913</v>
      </c>
      <c r="AE155" s="20">
        <f t="shared" si="501"/>
        <v>0.21487901769591913</v>
      </c>
      <c r="AF155" s="118">
        <f t="shared" ref="AF155" si="502">((AE155/V155)^(1/($J$2-$J$1) ))-1</f>
        <v>0</v>
      </c>
      <c r="AG155" s="20"/>
      <c r="AH155" s="20"/>
    </row>
    <row r="156" spans="2:34">
      <c r="B156" s="20" t="s">
        <v>355</v>
      </c>
      <c r="C156" s="20"/>
      <c r="D156" s="20"/>
      <c r="E156" s="20"/>
      <c r="F156" s="20"/>
      <c r="G156" s="25">
        <f t="shared" ref="G156:H156" si="503">G25/360</f>
        <v>5.4444444444444446</v>
      </c>
      <c r="H156" s="25">
        <f t="shared" si="503"/>
        <v>6.2249999999999996</v>
      </c>
      <c r="I156" s="25">
        <f t="shared" ref="I156:S156" si="504">I25/360</f>
        <v>7.5388888888888888</v>
      </c>
      <c r="J156" s="25">
        <f t="shared" si="504"/>
        <v>11.955555555555556</v>
      </c>
      <c r="K156" s="25">
        <f t="shared" si="504"/>
        <v>13.272222222222222</v>
      </c>
      <c r="L156" s="25">
        <f t="shared" si="504"/>
        <v>13.908333333333333</v>
      </c>
      <c r="M156" s="25">
        <f t="shared" si="504"/>
        <v>22.211111111111112</v>
      </c>
      <c r="N156" s="25">
        <f t="shared" si="504"/>
        <v>26.022222222222222</v>
      </c>
      <c r="O156" s="25">
        <f t="shared" si="504"/>
        <v>34.477777777777774</v>
      </c>
      <c r="P156" s="25">
        <f t="shared" si="504"/>
        <v>36.049999999999997</v>
      </c>
      <c r="Q156" s="25">
        <f t="shared" si="504"/>
        <v>37.483333333333334</v>
      </c>
      <c r="R156" s="25">
        <f t="shared" si="504"/>
        <v>35.19166666666667</v>
      </c>
      <c r="S156" s="25">
        <f t="shared" si="504"/>
        <v>32.952777777777776</v>
      </c>
      <c r="T156" s="118">
        <f t="shared" si="453"/>
        <v>0.16188070148117317</v>
      </c>
      <c r="U156" s="128"/>
      <c r="V156" s="25">
        <f t="shared" ref="V156:AE156" si="505">V25/360</f>
        <v>37.895694444444445</v>
      </c>
      <c r="W156" s="25">
        <f t="shared" si="505"/>
        <v>43.580048611111103</v>
      </c>
      <c r="X156" s="25">
        <f t="shared" si="505"/>
        <v>50.117055902777764</v>
      </c>
      <c r="Y156" s="25">
        <f t="shared" si="505"/>
        <v>57.63461428819442</v>
      </c>
      <c r="Z156" s="25">
        <f t="shared" si="505"/>
        <v>66.27980643142358</v>
      </c>
      <c r="AA156" s="25">
        <f t="shared" si="505"/>
        <v>76.221777396137114</v>
      </c>
      <c r="AB156" s="25">
        <f t="shared" si="505"/>
        <v>87.65504400555767</v>
      </c>
      <c r="AC156" s="25">
        <f t="shared" si="505"/>
        <v>100.8033006063913</v>
      </c>
      <c r="AD156" s="25">
        <f t="shared" si="505"/>
        <v>115.92379569734999</v>
      </c>
      <c r="AE156" s="25">
        <f t="shared" si="505"/>
        <v>133.31236505195247</v>
      </c>
      <c r="AF156" s="118">
        <f t="shared" ref="AF156:AF167" si="506">((AE156/V156)^(1/($J$2-$J$1) ))-1</f>
        <v>0.11051231821075036</v>
      </c>
      <c r="AG156" s="20"/>
      <c r="AH156" s="20"/>
    </row>
    <row r="157" spans="2:34">
      <c r="B157" s="20" t="s">
        <v>354</v>
      </c>
      <c r="C157" s="20"/>
      <c r="D157" s="20"/>
      <c r="E157" s="20"/>
      <c r="F157" s="20"/>
      <c r="G157" s="25">
        <f t="shared" ref="G157:H157" si="507">G27/360</f>
        <v>4.927777777777778</v>
      </c>
      <c r="H157" s="25">
        <f t="shared" si="507"/>
        <v>5.7222222222222223</v>
      </c>
      <c r="I157" s="25">
        <f t="shared" ref="I157:S157" si="508">I27/360</f>
        <v>6.8583333333333334</v>
      </c>
      <c r="J157" s="25">
        <f t="shared" si="508"/>
        <v>10.847222222222221</v>
      </c>
      <c r="K157" s="25">
        <f t="shared" si="508"/>
        <v>11.488888888888889</v>
      </c>
      <c r="L157" s="25">
        <f t="shared" si="508"/>
        <v>12.608333333333333</v>
      </c>
      <c r="M157" s="25">
        <f t="shared" si="508"/>
        <v>18.486111111111111</v>
      </c>
      <c r="N157" s="25">
        <f t="shared" si="508"/>
        <v>23.230555555555554</v>
      </c>
      <c r="O157" s="25">
        <f t="shared" si="508"/>
        <v>31.227777777777778</v>
      </c>
      <c r="P157" s="25">
        <f t="shared" si="508"/>
        <v>31.694444444444443</v>
      </c>
      <c r="Q157" s="25">
        <f t="shared" si="508"/>
        <v>32.130555555555553</v>
      </c>
      <c r="R157" s="25">
        <f t="shared" si="508"/>
        <v>29.908333333333335</v>
      </c>
      <c r="S157" s="25">
        <f t="shared" si="508"/>
        <v>28.722222222222221</v>
      </c>
      <c r="T157" s="118">
        <f t="shared" si="453"/>
        <v>0.15823649115975824</v>
      </c>
      <c r="U157" s="128"/>
      <c r="V157" s="25">
        <f t="shared" ref="V157:AE157" si="509">V27/360</f>
        <v>33.030555555555551</v>
      </c>
      <c r="W157" s="25">
        <f t="shared" si="509"/>
        <v>37.985138888888876</v>
      </c>
      <c r="X157" s="25">
        <f t="shared" si="509"/>
        <v>43.682909722222206</v>
      </c>
      <c r="Y157" s="25">
        <f t="shared" si="509"/>
        <v>50.235346180555531</v>
      </c>
      <c r="Z157" s="25">
        <f t="shared" si="509"/>
        <v>57.770648107638863</v>
      </c>
      <c r="AA157" s="25">
        <f t="shared" si="509"/>
        <v>66.436245323784689</v>
      </c>
      <c r="AB157" s="25">
        <f t="shared" si="509"/>
        <v>76.401682122352383</v>
      </c>
      <c r="AC157" s="25">
        <f t="shared" si="509"/>
        <v>87.861934440705241</v>
      </c>
      <c r="AD157" s="25">
        <f t="shared" si="509"/>
        <v>101.04122460681101</v>
      </c>
      <c r="AE157" s="25">
        <f t="shared" si="509"/>
        <v>116.19740829783265</v>
      </c>
      <c r="AF157" s="118">
        <f t="shared" si="506"/>
        <v>0.11051231821075036</v>
      </c>
      <c r="AG157" s="20"/>
      <c r="AH157" s="20"/>
    </row>
    <row r="158" spans="2:34">
      <c r="B158" s="20"/>
      <c r="C158" s="20"/>
      <c r="D158" s="20"/>
      <c r="E158" s="20"/>
      <c r="F158" s="20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128"/>
      <c r="U158" s="128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128"/>
      <c r="AG158" s="20"/>
      <c r="AH158" s="20"/>
    </row>
    <row r="159" spans="2:34">
      <c r="B159" s="20" t="s">
        <v>364</v>
      </c>
      <c r="C159" s="20"/>
      <c r="D159" s="20"/>
      <c r="E159" s="20"/>
      <c r="F159" s="20"/>
      <c r="G159" s="25">
        <f t="shared" ref="G159:H159" si="510">G10/G7</f>
        <v>0.73601398601398604</v>
      </c>
      <c r="H159" s="25">
        <f t="shared" si="510"/>
        <v>0.90515806988352743</v>
      </c>
      <c r="I159" s="25">
        <f t="shared" ref="I159:S159" si="511">I10/I7</f>
        <v>1.1829652996845426</v>
      </c>
      <c r="J159" s="25">
        <f t="shared" si="511"/>
        <v>0.88021390374331554</v>
      </c>
      <c r="K159" s="25">
        <f t="shared" si="511"/>
        <v>0.54653130287648055</v>
      </c>
      <c r="L159" s="25">
        <f t="shared" si="511"/>
        <v>0.65974796145292813</v>
      </c>
      <c r="M159" s="25">
        <f t="shared" si="511"/>
        <v>0.86781901372648707</v>
      </c>
      <c r="N159" s="25">
        <f t="shared" si="511"/>
        <v>1.0281923714759535</v>
      </c>
      <c r="O159" s="25">
        <f t="shared" si="511"/>
        <v>0.90007062146892658</v>
      </c>
      <c r="P159" s="25">
        <f t="shared" si="511"/>
        <v>0.67088235294117649</v>
      </c>
      <c r="Q159" s="25">
        <f t="shared" si="511"/>
        <v>0.2160034980323568</v>
      </c>
      <c r="R159" s="25">
        <f t="shared" si="511"/>
        <v>0.15876165905933717</v>
      </c>
      <c r="S159" s="25">
        <f t="shared" si="511"/>
        <v>0.21832011652370933</v>
      </c>
      <c r="T159" s="118">
        <f t="shared" si="453"/>
        <v>-9.63145137772633E-2</v>
      </c>
      <c r="U159" s="128"/>
      <c r="V159" s="25">
        <f t="shared" ref="V159:AE159" si="512">V10/V7</f>
        <v>0.21832011652370933</v>
      </c>
      <c r="W159" s="25">
        <f t="shared" si="512"/>
        <v>0.21832011652370933</v>
      </c>
      <c r="X159" s="25">
        <f t="shared" si="512"/>
        <v>0.21832011652370933</v>
      </c>
      <c r="Y159" s="25">
        <f t="shared" si="512"/>
        <v>0.21832011652370933</v>
      </c>
      <c r="Z159" s="25">
        <f t="shared" si="512"/>
        <v>0.21832011652370931</v>
      </c>
      <c r="AA159" s="25">
        <f t="shared" si="512"/>
        <v>0.21832011652370931</v>
      </c>
      <c r="AB159" s="25">
        <f t="shared" si="512"/>
        <v>0.21832011652370928</v>
      </c>
      <c r="AC159" s="25">
        <f t="shared" si="512"/>
        <v>0.21832011652370928</v>
      </c>
      <c r="AD159" s="25">
        <f t="shared" si="512"/>
        <v>0.21832011652370925</v>
      </c>
      <c r="AE159" s="25">
        <f t="shared" si="512"/>
        <v>0.21832011652370925</v>
      </c>
      <c r="AF159" s="118">
        <f t="shared" si="506"/>
        <v>0</v>
      </c>
      <c r="AG159" s="20"/>
      <c r="AH159" s="20"/>
    </row>
    <row r="160" spans="2:34">
      <c r="B160" s="20" t="s">
        <v>356</v>
      </c>
      <c r="C160" s="20"/>
      <c r="D160" s="20"/>
      <c r="E160" s="20"/>
      <c r="F160" s="20"/>
      <c r="G160" s="25">
        <f t="shared" ref="G160:H160" si="513">G10/(G10+G7)</f>
        <v>0.42396777442094663</v>
      </c>
      <c r="H160" s="25">
        <f t="shared" si="513"/>
        <v>0.47510917030567684</v>
      </c>
      <c r="I160" s="25">
        <f t="shared" ref="I160:S160" si="514">I10/(I10+I7)</f>
        <v>0.54190751445086704</v>
      </c>
      <c r="J160" s="25">
        <f t="shared" si="514"/>
        <v>0.46814562002275312</v>
      </c>
      <c r="K160" s="25">
        <f t="shared" si="514"/>
        <v>0.35339168490153172</v>
      </c>
      <c r="L160" s="25">
        <f t="shared" si="514"/>
        <v>0.3974988834301027</v>
      </c>
      <c r="M160" s="25">
        <f t="shared" si="514"/>
        <v>0.46461622210125203</v>
      </c>
      <c r="N160" s="25">
        <f t="shared" si="514"/>
        <v>0.50695012264922323</v>
      </c>
      <c r="O160" s="25">
        <f t="shared" si="514"/>
        <v>0.47370377253298646</v>
      </c>
      <c r="P160" s="25">
        <f t="shared" si="514"/>
        <v>0.40151381798979052</v>
      </c>
      <c r="Q160" s="25">
        <f t="shared" si="514"/>
        <v>0.17763394462423587</v>
      </c>
      <c r="R160" s="25">
        <f t="shared" si="514"/>
        <v>0.13700976194553863</v>
      </c>
      <c r="S160" s="25">
        <f t="shared" si="514"/>
        <v>0.17919766206163656</v>
      </c>
      <c r="T160" s="118">
        <f t="shared" si="453"/>
        <v>-6.9249472570424797E-2</v>
      </c>
      <c r="U160" s="128"/>
      <c r="V160" s="25">
        <f t="shared" ref="V160:AE160" si="515">V10/(V10+V7)</f>
        <v>0.17919766206163656</v>
      </c>
      <c r="W160" s="25">
        <f t="shared" si="515"/>
        <v>0.17919766206163656</v>
      </c>
      <c r="X160" s="25">
        <f t="shared" si="515"/>
        <v>0.17919766206163656</v>
      </c>
      <c r="Y160" s="25">
        <f t="shared" si="515"/>
        <v>0.17919766206163656</v>
      </c>
      <c r="Z160" s="25">
        <f t="shared" si="515"/>
        <v>0.17919766206163654</v>
      </c>
      <c r="AA160" s="25">
        <f t="shared" si="515"/>
        <v>0.17919766206163654</v>
      </c>
      <c r="AB160" s="25">
        <f t="shared" si="515"/>
        <v>0.17919766206163654</v>
      </c>
      <c r="AC160" s="25">
        <f t="shared" si="515"/>
        <v>0.17919766206163651</v>
      </c>
      <c r="AD160" s="25">
        <f t="shared" si="515"/>
        <v>0.17919766206163651</v>
      </c>
      <c r="AE160" s="25">
        <f t="shared" si="515"/>
        <v>0.17919766206163651</v>
      </c>
      <c r="AF160" s="118">
        <f t="shared" si="506"/>
        <v>0</v>
      </c>
      <c r="AG160" s="20"/>
      <c r="AH160" s="20"/>
    </row>
    <row r="161" spans="2:34">
      <c r="B161" s="20"/>
      <c r="C161" s="20"/>
      <c r="D161" s="20"/>
      <c r="E161" s="20"/>
      <c r="F161" s="20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128"/>
      <c r="U161" s="128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136"/>
      <c r="AG161" s="20"/>
      <c r="AH161" s="20"/>
    </row>
    <row r="162" spans="2:34">
      <c r="B162" s="20" t="s">
        <v>361</v>
      </c>
      <c r="C162" s="20"/>
      <c r="D162" s="20"/>
      <c r="E162" s="20"/>
      <c r="F162" s="20"/>
      <c r="G162" s="25">
        <f t="shared" ref="G162:H162" si="516">G16</f>
        <v>213</v>
      </c>
      <c r="H162" s="25">
        <f t="shared" si="516"/>
        <v>240</v>
      </c>
      <c r="I162" s="25">
        <f t="shared" ref="I162:S162" si="517">I16</f>
        <v>465</v>
      </c>
      <c r="J162" s="25">
        <f t="shared" si="517"/>
        <v>380</v>
      </c>
      <c r="K162" s="25">
        <f t="shared" si="517"/>
        <v>502</v>
      </c>
      <c r="L162" s="25">
        <f t="shared" si="517"/>
        <v>528</v>
      </c>
      <c r="M162" s="25">
        <f t="shared" si="517"/>
        <v>573</v>
      </c>
      <c r="N162" s="25">
        <f t="shared" si="517"/>
        <v>860</v>
      </c>
      <c r="O162" s="25">
        <f t="shared" si="517"/>
        <v>880</v>
      </c>
      <c r="P162" s="25">
        <f t="shared" si="517"/>
        <v>995</v>
      </c>
      <c r="Q162" s="25">
        <f t="shared" si="517"/>
        <v>859</v>
      </c>
      <c r="R162" s="25">
        <f t="shared" si="517"/>
        <v>1092</v>
      </c>
      <c r="S162" s="25">
        <f t="shared" si="517"/>
        <v>1634</v>
      </c>
      <c r="T162" s="118">
        <f t="shared" si="453"/>
        <v>0.18505735683626634</v>
      </c>
      <c r="U162" s="128"/>
      <c r="V162" s="25">
        <f t="shared" ref="V162:AE162" si="518">V16</f>
        <v>1879.1</v>
      </c>
      <c r="W162" s="25">
        <f t="shared" si="518"/>
        <v>2160.9649999999997</v>
      </c>
      <c r="X162" s="25">
        <f t="shared" si="518"/>
        <v>2485.1097499999996</v>
      </c>
      <c r="Y162" s="25">
        <f t="shared" si="518"/>
        <v>2857.8762124999994</v>
      </c>
      <c r="Z162" s="25">
        <f t="shared" si="518"/>
        <v>3286.5576443749992</v>
      </c>
      <c r="AA162" s="25">
        <f t="shared" si="518"/>
        <v>3779.5412910312489</v>
      </c>
      <c r="AB162" s="25">
        <f t="shared" si="518"/>
        <v>4346.4724846859363</v>
      </c>
      <c r="AC162" s="25">
        <f t="shared" si="518"/>
        <v>4998.4433573888264</v>
      </c>
      <c r="AD162" s="25">
        <f t="shared" si="518"/>
        <v>5748.2098609971499</v>
      </c>
      <c r="AE162" s="25">
        <f t="shared" si="518"/>
        <v>6610.4413401467218</v>
      </c>
      <c r="AF162" s="118">
        <f t="shared" si="506"/>
        <v>0.11051231821075036</v>
      </c>
      <c r="AG162" s="20"/>
      <c r="AH162" s="20"/>
    </row>
    <row r="163" spans="2:34">
      <c r="B163" s="20" t="s">
        <v>362</v>
      </c>
      <c r="C163" s="20"/>
      <c r="D163" s="20"/>
      <c r="E163" s="20"/>
      <c r="F163" s="20"/>
      <c r="G163" s="119">
        <f t="shared" ref="G163:H163" si="519">G162*365/G25</f>
        <v>39.66581632653061</v>
      </c>
      <c r="H163" s="119">
        <f t="shared" si="519"/>
        <v>39.089692101740297</v>
      </c>
      <c r="I163" s="119">
        <f t="shared" ref="I163:S163" si="520">I162*365/I25</f>
        <v>62.536845983787764</v>
      </c>
      <c r="J163" s="119">
        <f t="shared" si="520"/>
        <v>32.225836431226767</v>
      </c>
      <c r="K163" s="119">
        <f t="shared" si="520"/>
        <v>38.348681456676431</v>
      </c>
      <c r="L163" s="119">
        <f t="shared" si="520"/>
        <v>38.490113840623131</v>
      </c>
      <c r="M163" s="119">
        <f t="shared" si="520"/>
        <v>26.156203101550776</v>
      </c>
      <c r="N163" s="119">
        <f t="shared" si="520"/>
        <v>33.507685738684884</v>
      </c>
      <c r="O163" s="119">
        <f t="shared" si="520"/>
        <v>25.878182404125042</v>
      </c>
      <c r="P163" s="119">
        <f t="shared" si="520"/>
        <v>27.983895823701648</v>
      </c>
      <c r="Q163" s="119">
        <f t="shared" si="520"/>
        <v>23.2351415443901</v>
      </c>
      <c r="R163" s="119">
        <f t="shared" si="520"/>
        <v>31.461046649301444</v>
      </c>
      <c r="S163" s="119">
        <f t="shared" si="520"/>
        <v>50.274804012475762</v>
      </c>
      <c r="T163" s="118">
        <f t="shared" si="453"/>
        <v>1.9947534480560192E-2</v>
      </c>
      <c r="U163" s="128"/>
      <c r="V163" s="119">
        <f t="shared" ref="V163:AE163" si="521">V162*365/V25</f>
        <v>50.274804012475769</v>
      </c>
      <c r="W163" s="119">
        <f t="shared" si="521"/>
        <v>50.274804012475762</v>
      </c>
      <c r="X163" s="119">
        <f t="shared" si="521"/>
        <v>50.274804012475769</v>
      </c>
      <c r="Y163" s="119">
        <f t="shared" si="521"/>
        <v>50.274804012475776</v>
      </c>
      <c r="Z163" s="119">
        <f t="shared" si="521"/>
        <v>50.274804012475776</v>
      </c>
      <c r="AA163" s="119">
        <f t="shared" si="521"/>
        <v>50.274804012475784</v>
      </c>
      <c r="AB163" s="119">
        <f t="shared" si="521"/>
        <v>50.274804012475784</v>
      </c>
      <c r="AC163" s="119">
        <f t="shared" si="521"/>
        <v>50.274804012475784</v>
      </c>
      <c r="AD163" s="119">
        <f t="shared" si="521"/>
        <v>50.274804012475784</v>
      </c>
      <c r="AE163" s="119">
        <f t="shared" si="521"/>
        <v>50.274804012475784</v>
      </c>
      <c r="AF163" s="118">
        <f t="shared" si="506"/>
        <v>0</v>
      </c>
      <c r="AG163" s="20"/>
      <c r="AH163" s="20"/>
    </row>
    <row r="164" spans="2:34">
      <c r="B164" s="20" t="s">
        <v>365</v>
      </c>
      <c r="C164" s="20"/>
      <c r="D164" s="20"/>
      <c r="E164" s="20"/>
      <c r="F164" s="20"/>
      <c r="G164" s="133">
        <f t="shared" ref="G164:H164" si="522">G98/G29</f>
        <v>1.2024185790847877</v>
      </c>
      <c r="H164" s="133">
        <f t="shared" si="522"/>
        <v>1.0509138381201044</v>
      </c>
      <c r="I164" s="133">
        <f t="shared" ref="I164:S164" si="523">I98/I29</f>
        <v>1.206266318537859</v>
      </c>
      <c r="J164" s="133">
        <f t="shared" si="523"/>
        <v>1.0192697768762677</v>
      </c>
      <c r="K164" s="133">
        <f t="shared" si="523"/>
        <v>0.1194057268823624</v>
      </c>
      <c r="L164" s="133">
        <f t="shared" si="523"/>
        <v>6.6526610644257703E-2</v>
      </c>
      <c r="M164" s="133">
        <f t="shared" si="523"/>
        <v>0.13520253274351637</v>
      </c>
      <c r="N164" s="133">
        <f t="shared" si="523"/>
        <v>0.10489060489060489</v>
      </c>
      <c r="O164" s="133">
        <f t="shared" si="523"/>
        <v>8.0678612908578071E-2</v>
      </c>
      <c r="P164" s="133">
        <f t="shared" si="523"/>
        <v>9.2592592592592587E-2</v>
      </c>
      <c r="Q164" s="133">
        <f t="shared" si="523"/>
        <v>0.13099429912810195</v>
      </c>
      <c r="R164" s="133">
        <f t="shared" si="523"/>
        <v>0.20925492236967649</v>
      </c>
      <c r="S164" s="133">
        <f t="shared" si="523"/>
        <v>0.32824361628709459</v>
      </c>
      <c r="T164" s="118">
        <f t="shared" si="453"/>
        <v>-0.10254699196493711</v>
      </c>
      <c r="U164" s="128"/>
      <c r="V164" s="133">
        <f t="shared" ref="V164:AE164" si="524">V98/V29</f>
        <v>0.32180746694813189</v>
      </c>
      <c r="W164" s="133">
        <f t="shared" si="524"/>
        <v>0.3154975166158156</v>
      </c>
      <c r="X164" s="133">
        <f t="shared" si="524"/>
        <v>0.30931129079981917</v>
      </c>
      <c r="Y164" s="133">
        <f t="shared" si="524"/>
        <v>0.30324636352923451</v>
      </c>
      <c r="Z164" s="133">
        <f t="shared" si="524"/>
        <v>0.29730035640121028</v>
      </c>
      <c r="AA164" s="133">
        <f t="shared" si="524"/>
        <v>0.29147093764824533</v>
      </c>
      <c r="AB164" s="133">
        <f t="shared" si="524"/>
        <v>0.28575582122376997</v>
      </c>
      <c r="AC164" s="133">
        <f t="shared" si="524"/>
        <v>0.2801527659056568</v>
      </c>
      <c r="AD164" s="133">
        <f t="shared" si="524"/>
        <v>0.27465957441731054</v>
      </c>
      <c r="AE164" s="133">
        <f t="shared" si="524"/>
        <v>0.26927409256599072</v>
      </c>
      <c r="AF164" s="118">
        <f t="shared" si="506"/>
        <v>-1.4742223947839528E-2</v>
      </c>
      <c r="AG164" s="20"/>
      <c r="AH164" s="20"/>
    </row>
    <row r="165" spans="2:34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128"/>
      <c r="U165" s="128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136"/>
      <c r="AG165" s="20"/>
      <c r="AH165" s="20"/>
    </row>
    <row r="166" spans="2:34">
      <c r="B166" s="20" t="s">
        <v>372</v>
      </c>
      <c r="C166" s="20"/>
      <c r="D166" s="20"/>
      <c r="E166" s="20"/>
      <c r="F166" s="20"/>
      <c r="G166" s="178">
        <f t="shared" ref="G166:H166" si="525">G25/G14</f>
        <v>7.4809160305343507</v>
      </c>
      <c r="H166" s="178">
        <f t="shared" si="525"/>
        <v>6.790909090909091</v>
      </c>
      <c r="I166" s="178">
        <f t="shared" ref="I166:S166" si="526">I25/I14</f>
        <v>6.4773269689737472</v>
      </c>
      <c r="J166" s="178">
        <f t="shared" si="526"/>
        <v>6.746081504702194</v>
      </c>
      <c r="K166" s="178">
        <f t="shared" si="526"/>
        <v>6.6825174825174827</v>
      </c>
      <c r="L166" s="178">
        <f t="shared" si="526"/>
        <v>7.9476190476190478</v>
      </c>
      <c r="M166" s="178">
        <f t="shared" si="526"/>
        <v>8.060483870967742</v>
      </c>
      <c r="N166" s="178">
        <f t="shared" si="526"/>
        <v>5.3439817455790077</v>
      </c>
      <c r="O166" s="178">
        <f t="shared" si="526"/>
        <v>6.2091045522761377</v>
      </c>
      <c r="P166" s="178">
        <f t="shared" si="526"/>
        <v>6.3899556868537664</v>
      </c>
      <c r="Q166" s="178">
        <f t="shared" si="526"/>
        <v>6.5314617618586643</v>
      </c>
      <c r="R166" s="178">
        <f t="shared" si="526"/>
        <v>7.1254218222722159</v>
      </c>
      <c r="S166" s="178">
        <f t="shared" si="526"/>
        <v>6.0992287917737791</v>
      </c>
      <c r="T166" s="118">
        <f t="shared" si="453"/>
        <v>-1.6872120325964968E-2</v>
      </c>
      <c r="U166" s="128"/>
      <c r="V166" s="20">
        <f t="shared" ref="V166:AE166" si="527">V25/V14</f>
        <v>6.0992287917737782</v>
      </c>
      <c r="W166" s="20">
        <f t="shared" si="527"/>
        <v>6.0992287917737782</v>
      </c>
      <c r="X166" s="20">
        <f t="shared" si="527"/>
        <v>6.0992287917737782</v>
      </c>
      <c r="Y166" s="20">
        <f t="shared" si="527"/>
        <v>6.0992287917737782</v>
      </c>
      <c r="Z166" s="20">
        <f t="shared" si="527"/>
        <v>6.0992287917737782</v>
      </c>
      <c r="AA166" s="20">
        <f t="shared" si="527"/>
        <v>6.0992287917737782</v>
      </c>
      <c r="AB166" s="20">
        <f t="shared" si="527"/>
        <v>6.0992287917737782</v>
      </c>
      <c r="AC166" s="20">
        <f t="shared" si="527"/>
        <v>6.0992287917737782</v>
      </c>
      <c r="AD166" s="20">
        <f t="shared" si="527"/>
        <v>6.0992287917737782</v>
      </c>
      <c r="AE166" s="20">
        <f t="shared" si="527"/>
        <v>6.0992287917737773</v>
      </c>
      <c r="AF166" s="118">
        <f t="shared" si="506"/>
        <v>0</v>
      </c>
      <c r="AG166" s="20"/>
      <c r="AH166" s="20"/>
    </row>
    <row r="167" spans="2:34">
      <c r="B167" s="20" t="s">
        <v>373</v>
      </c>
      <c r="C167" s="20"/>
      <c r="D167" s="20"/>
      <c r="E167" s="20"/>
      <c r="F167" s="20"/>
      <c r="G167" s="178">
        <f t="shared" ref="G167:H167" si="528">G27/G14</f>
        <v>6.770992366412214</v>
      </c>
      <c r="H167" s="178">
        <f t="shared" si="528"/>
        <v>6.2424242424242422</v>
      </c>
      <c r="I167" s="178">
        <f t="shared" ref="I167:S167" si="529">I27/I14</f>
        <v>5.892601431980907</v>
      </c>
      <c r="J167" s="178">
        <f t="shared" si="529"/>
        <v>6.1206896551724137</v>
      </c>
      <c r="K167" s="178">
        <f t="shared" si="529"/>
        <v>5.7846153846153845</v>
      </c>
      <c r="L167" s="178">
        <f t="shared" si="529"/>
        <v>7.2047619047619049</v>
      </c>
      <c r="M167" s="178">
        <f t="shared" si="529"/>
        <v>6.70866935483871</v>
      </c>
      <c r="N167" s="178">
        <f t="shared" si="529"/>
        <v>4.7706788362806618</v>
      </c>
      <c r="O167" s="178">
        <f t="shared" si="529"/>
        <v>5.6238119059529765</v>
      </c>
      <c r="P167" s="178">
        <f t="shared" si="529"/>
        <v>5.6179222058099461</v>
      </c>
      <c r="Q167" s="178">
        <f t="shared" si="529"/>
        <v>5.5987415295256531</v>
      </c>
      <c r="R167" s="178">
        <f t="shared" si="529"/>
        <v>6.0556805399325082</v>
      </c>
      <c r="S167" s="178">
        <f t="shared" si="529"/>
        <v>5.3161953727506424</v>
      </c>
      <c r="T167" s="118">
        <f t="shared" si="453"/>
        <v>-1.9955676806257316E-2</v>
      </c>
      <c r="U167" s="128"/>
      <c r="V167" s="20">
        <f t="shared" ref="V167:AE167" si="530">V27/V14</f>
        <v>5.3161953727506415</v>
      </c>
      <c r="W167" s="20">
        <f t="shared" si="530"/>
        <v>5.3161953727506415</v>
      </c>
      <c r="X167" s="20">
        <f t="shared" si="530"/>
        <v>5.3161953727506415</v>
      </c>
      <c r="Y167" s="20">
        <f t="shared" si="530"/>
        <v>5.3161953727506415</v>
      </c>
      <c r="Z167" s="20">
        <f t="shared" si="530"/>
        <v>5.3161953727506424</v>
      </c>
      <c r="AA167" s="20">
        <f t="shared" si="530"/>
        <v>5.3161953727506424</v>
      </c>
      <c r="AB167" s="20">
        <f t="shared" si="530"/>
        <v>5.3161953727506424</v>
      </c>
      <c r="AC167" s="20">
        <f t="shared" si="530"/>
        <v>5.3161953727506432</v>
      </c>
      <c r="AD167" s="20">
        <f t="shared" si="530"/>
        <v>5.3161953727506424</v>
      </c>
      <c r="AE167" s="20">
        <f t="shared" si="530"/>
        <v>5.3161953727506424</v>
      </c>
      <c r="AF167" s="118">
        <f t="shared" si="506"/>
        <v>0</v>
      </c>
      <c r="AG167" s="20"/>
      <c r="AH167" s="20"/>
    </row>
    <row r="168" spans="2:34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128"/>
      <c r="U168" s="128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36"/>
      <c r="AG168" s="20"/>
      <c r="AH168" s="20"/>
    </row>
    <row r="169" spans="2:34">
      <c r="B169" s="108" t="s">
        <v>244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3" t="s">
        <v>471</v>
      </c>
      <c r="T169" s="23"/>
      <c r="U169" s="23" t="s">
        <v>472</v>
      </c>
      <c r="V169" s="122" t="s">
        <v>66</v>
      </c>
      <c r="W169" s="20"/>
      <c r="X169" s="20"/>
      <c r="Y169" s="20"/>
      <c r="Z169" s="20"/>
      <c r="AA169" s="20"/>
      <c r="AB169" s="20"/>
      <c r="AC169" s="20"/>
      <c r="AD169" s="20"/>
      <c r="AE169" s="20"/>
      <c r="AF169" s="136"/>
      <c r="AG169" s="20"/>
      <c r="AH169" s="20"/>
    </row>
    <row r="170" spans="2:34">
      <c r="B170" s="23" t="s">
        <v>280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5"/>
      <c r="S170" s="133">
        <f>AVERAGE(O102:S102)</f>
        <v>20.242063492063494</v>
      </c>
      <c r="T170" s="158">
        <f>AVERAGE(I72:S72)</f>
        <v>16.379833369723038</v>
      </c>
      <c r="U170" s="158">
        <f>AVERAGE(I102:S102)</f>
        <v>12.287157287157287</v>
      </c>
      <c r="V170" s="192" t="s">
        <v>427</v>
      </c>
      <c r="W170" s="193" t="s">
        <v>428</v>
      </c>
      <c r="X170" s="20"/>
      <c r="Y170" s="20"/>
      <c r="Z170" s="20"/>
      <c r="AA170" s="20"/>
      <c r="AB170" s="20"/>
      <c r="AC170" s="20"/>
      <c r="AD170" s="20"/>
      <c r="AE170" s="20"/>
      <c r="AF170" s="136"/>
      <c r="AG170" s="20"/>
      <c r="AH170" s="20"/>
    </row>
    <row r="171" spans="2:34">
      <c r="B171" s="20" t="s">
        <v>25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139">
        <f>V171+W171</f>
        <v>165.19154347021265</v>
      </c>
      <c r="V171" s="133">
        <f>PV($C$1, ($AE$3-$V$3), 0, -AE72)</f>
        <v>23.018493762242745</v>
      </c>
      <c r="W171" s="133">
        <f>PV($C$1, ($AE$3-$V$3), 0, -AH72)</f>
        <v>142.17304970796991</v>
      </c>
      <c r="X171" s="20"/>
      <c r="Y171" s="20"/>
      <c r="Z171" s="20"/>
      <c r="AA171" s="20"/>
      <c r="AB171" s="20"/>
      <c r="AC171" s="20"/>
      <c r="AD171" s="20"/>
      <c r="AE171" s="20"/>
      <c r="AF171" s="136"/>
      <c r="AG171" s="20"/>
      <c r="AH171" s="20"/>
    </row>
    <row r="172" spans="2:34">
      <c r="B172" s="20" t="s">
        <v>272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139">
        <f t="shared" ref="U172:U190" si="531">V172+W172</f>
        <v>487.68205786069956</v>
      </c>
      <c r="V172" s="133">
        <f>PV($C$1, ($AE$3-$V$3), 0, -AE74)</f>
        <v>67.955696587146647</v>
      </c>
      <c r="W172" s="133">
        <f>PV($C$1, ($AE$3-$V$3), 0, -AH74)</f>
        <v>419.72636127355293</v>
      </c>
      <c r="X172" s="20"/>
      <c r="Y172" s="20"/>
      <c r="Z172" s="20"/>
      <c r="AA172" s="20"/>
      <c r="AB172" s="20"/>
      <c r="AC172" s="20"/>
      <c r="AD172" s="20"/>
      <c r="AE172" s="20"/>
      <c r="AF172" s="136"/>
      <c r="AG172" s="20"/>
      <c r="AH172" s="20"/>
    </row>
    <row r="173" spans="2:34">
      <c r="B173" s="20" t="s">
        <v>273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139">
        <f t="shared" si="531"/>
        <v>483.65684586023093</v>
      </c>
      <c r="V173" s="133">
        <f>PV($C$1, ($AE$3-$V$3), 0, -AE75)</f>
        <v>67.394806390360046</v>
      </c>
      <c r="W173" s="133">
        <f>PV($C$1, ($AE$3-$V$3), 0, -AH75)</f>
        <v>416.2620394698709</v>
      </c>
      <c r="X173" s="20"/>
      <c r="Y173" s="20"/>
      <c r="Z173" s="20"/>
      <c r="AA173" s="20"/>
      <c r="AB173" s="20"/>
      <c r="AC173" s="20"/>
      <c r="AD173" s="20"/>
      <c r="AE173" s="20"/>
      <c r="AF173" s="136"/>
      <c r="AG173" s="20"/>
      <c r="AH173" s="20"/>
    </row>
    <row r="174" spans="2:34">
      <c r="B174" s="20" t="s">
        <v>274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139">
        <f t="shared" si="531"/>
        <v>106.47080369867025</v>
      </c>
      <c r="V174" s="133">
        <f>PV($C$1, ($AE$3-$V$3), 0, -AE76)</f>
        <v>14.836095597355689</v>
      </c>
      <c r="W174" s="133">
        <f>PV($C$1, ($AE$3-$V$3), 0, -AH76)</f>
        <v>91.634708101314558</v>
      </c>
      <c r="X174" s="20"/>
      <c r="Y174" s="20"/>
      <c r="Z174" s="20"/>
      <c r="AA174" s="20"/>
      <c r="AB174" s="20"/>
      <c r="AC174" s="20"/>
      <c r="AD174" s="20"/>
      <c r="AE174" s="20"/>
      <c r="AF174" s="136"/>
      <c r="AG174" s="20"/>
      <c r="AH174" s="20"/>
    </row>
    <row r="175" spans="2:34">
      <c r="B175" s="20" t="s">
        <v>275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139">
        <f t="shared" si="531"/>
        <v>46.960806672134055</v>
      </c>
      <c r="V175" s="133">
        <f>PV($C$1, ($AE$3-$V$3), 0, -AE82)</f>
        <v>6.5437189625104821</v>
      </c>
      <c r="W175" s="133">
        <f>PV($C$1, ($AE$3-$V$3), 0, -AH82)</f>
        <v>40.417087709623573</v>
      </c>
      <c r="X175" s="20"/>
      <c r="Y175" s="20"/>
      <c r="Z175" s="20"/>
      <c r="AA175" s="20"/>
      <c r="AB175" s="20"/>
      <c r="AC175" s="20"/>
      <c r="AD175" s="20"/>
      <c r="AE175" s="20"/>
      <c r="AF175" s="136"/>
      <c r="AG175" s="20"/>
      <c r="AH175" s="20"/>
    </row>
    <row r="176" spans="2:34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139"/>
      <c r="V176" s="133"/>
      <c r="W176" s="20"/>
      <c r="X176" s="20"/>
      <c r="Y176" s="20"/>
      <c r="Z176" s="20"/>
      <c r="AA176" s="20"/>
      <c r="AB176" s="20"/>
      <c r="AC176" s="20"/>
      <c r="AD176" s="20"/>
      <c r="AE176" s="20"/>
      <c r="AF176" s="136"/>
      <c r="AG176" s="20"/>
      <c r="AH176" s="20"/>
    </row>
    <row r="177" spans="2:34">
      <c r="B177" s="20" t="s">
        <v>270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139">
        <f t="shared" si="531"/>
        <v>381.21125416202938</v>
      </c>
      <c r="V177" s="133">
        <f>PV($C$1, ($AE$3-$V$3), 0, -AE78)</f>
        <v>53.119600989790975</v>
      </c>
      <c r="W177" s="133">
        <f>PV($C$1, ($AE$3-$V$3), 0, -$AH$78)</f>
        <v>328.09165317223841</v>
      </c>
      <c r="X177" s="20"/>
      <c r="Y177" s="20"/>
      <c r="Z177" s="20"/>
      <c r="AA177" s="20"/>
      <c r="AB177" s="20"/>
      <c r="AC177" s="20"/>
      <c r="AD177" s="20"/>
      <c r="AE177" s="20"/>
      <c r="AF177" s="136"/>
      <c r="AG177" s="20"/>
      <c r="AH177" s="20"/>
    </row>
    <row r="178" spans="2:34">
      <c r="B178" s="20" t="s">
        <v>271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139">
        <f t="shared" si="531"/>
        <v>162.66592025423245</v>
      </c>
      <c r="V178" s="133">
        <f>PV($C$1, ($AE$3-$V$3), 0, -AE79)</f>
        <v>22.666562658376652</v>
      </c>
      <c r="W178" s="133">
        <f>PV($C$1, ($AE$3-$V$3), 0, -$AH$79)</f>
        <v>139.9993575958558</v>
      </c>
      <c r="X178" s="20"/>
      <c r="Y178" s="20"/>
      <c r="Z178" s="20"/>
      <c r="AA178" s="20"/>
      <c r="AB178" s="20"/>
      <c r="AC178" s="20"/>
      <c r="AD178" s="20"/>
      <c r="AE178" s="20"/>
      <c r="AF178" s="136"/>
      <c r="AG178" s="20"/>
      <c r="AH178" s="20"/>
    </row>
    <row r="179" spans="2:34">
      <c r="B179" s="20" t="s">
        <v>276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139">
        <f t="shared" si="531"/>
        <v>448.61382373850404</v>
      </c>
      <c r="V179" s="133">
        <f>PV($C$1, ($AE$3-$V$3), 0, -AE80)</f>
        <v>62.511762324217777</v>
      </c>
      <c r="W179" s="133">
        <f>PV($C$1, ($AE$3-$V$3), 0, -$AH$80)</f>
        <v>386.10206141428625</v>
      </c>
      <c r="X179" s="20"/>
      <c r="Y179" s="20"/>
      <c r="Z179" s="20"/>
      <c r="AA179" s="20"/>
      <c r="AB179" s="20"/>
      <c r="AC179" s="20"/>
      <c r="AD179" s="20"/>
      <c r="AE179" s="20"/>
      <c r="AF179" s="136"/>
      <c r="AG179" s="20"/>
      <c r="AH179" s="20"/>
    </row>
    <row r="180" spans="2:34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139"/>
      <c r="V180" s="133"/>
      <c r="W180" s="20"/>
      <c r="X180" s="20"/>
      <c r="Y180" s="20"/>
      <c r="Z180" s="20"/>
      <c r="AA180" s="20"/>
      <c r="AB180" s="20"/>
      <c r="AC180" s="20"/>
      <c r="AD180" s="20"/>
      <c r="AE180" s="20"/>
      <c r="AF180" s="136"/>
      <c r="AG180" s="20"/>
      <c r="AH180" s="20"/>
    </row>
    <row r="181" spans="2:34">
      <c r="B181" s="20" t="s">
        <v>249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139">
        <f t="shared" si="531"/>
        <v>285.94790348427159</v>
      </c>
      <c r="V181" s="133">
        <f>PV($C$1, ($AE$3-$V$3), 0, -AE85)</f>
        <v>39.845199665841115</v>
      </c>
      <c r="W181" s="133">
        <f>PV($C$1, ($AE$3-$V$3), 0, -AH85)</f>
        <v>246.10270381843048</v>
      </c>
      <c r="X181" s="20"/>
      <c r="Y181" s="20"/>
      <c r="Z181" s="20"/>
      <c r="AA181" s="20"/>
      <c r="AB181" s="20"/>
      <c r="AC181" s="20"/>
      <c r="AD181" s="20"/>
      <c r="AE181" s="20"/>
      <c r="AF181" s="136"/>
      <c r="AG181" s="20"/>
      <c r="AH181" s="20"/>
    </row>
    <row r="182" spans="2:34">
      <c r="B182" s="20" t="s">
        <v>250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139">
        <f t="shared" si="531"/>
        <v>99.654491041905246</v>
      </c>
      <c r="V182" s="133">
        <f>PV($C$1, ($AE$3-$V$3), 0, -AE86)</f>
        <v>17.97048199116324</v>
      </c>
      <c r="W182" s="133">
        <f>PV($C$1, ($AE$3-$V$3), 0, -AH86)</f>
        <v>81.684009050742006</v>
      </c>
      <c r="X182" s="20"/>
      <c r="Y182" s="20"/>
      <c r="Z182" s="20"/>
      <c r="AA182" s="20"/>
      <c r="AB182" s="20"/>
      <c r="AC182" s="20"/>
      <c r="AD182" s="20"/>
      <c r="AE182" s="20"/>
      <c r="AF182" s="136"/>
      <c r="AG182" s="20"/>
      <c r="AH182" s="20"/>
    </row>
    <row r="183" spans="2:34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139"/>
      <c r="V183" s="133"/>
      <c r="W183" s="133"/>
      <c r="X183" s="20"/>
      <c r="Y183" s="20"/>
      <c r="Z183" s="20"/>
      <c r="AA183" s="20"/>
      <c r="AB183" s="20"/>
      <c r="AC183" s="20"/>
      <c r="AD183" s="20"/>
      <c r="AE183" s="20"/>
      <c r="AF183" s="136"/>
      <c r="AG183" s="20"/>
      <c r="AH183" s="20"/>
    </row>
    <row r="184" spans="2:34">
      <c r="B184" s="20" t="s">
        <v>292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139">
        <f t="shared" ref="U184" si="532">V184+W184</f>
        <v>2885.1460491059124</v>
      </c>
      <c r="V184" s="133">
        <f>PV($C$1, ($AE$3-$V$3), 0, -AE12)</f>
        <v>402.02854782623365</v>
      </c>
      <c r="W184" s="133">
        <f>PV($C$1, ($AE$3-$V$3), 0, -AH12)</f>
        <v>2483.1175012796789</v>
      </c>
      <c r="X184" s="20"/>
      <c r="Y184" s="20"/>
      <c r="Z184" s="20"/>
      <c r="AA184" s="20"/>
      <c r="AB184" s="20"/>
      <c r="AC184" s="20"/>
      <c r="AD184" s="20"/>
      <c r="AE184" s="20"/>
      <c r="AF184" s="136"/>
      <c r="AG184" s="20"/>
      <c r="AH184" s="20"/>
    </row>
    <row r="185" spans="2:34">
      <c r="B185" s="20" t="s">
        <v>293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139">
        <f>V185+W185</f>
        <v>57.24496129178398</v>
      </c>
      <c r="V185" s="139">
        <f>V184/R57</f>
        <v>7.9767569013141602</v>
      </c>
      <c r="W185" s="139">
        <f>W184/R57</f>
        <v>49.268204390469819</v>
      </c>
      <c r="X185" s="20"/>
      <c r="Y185" s="20"/>
      <c r="Z185" s="20"/>
      <c r="AA185" s="20"/>
      <c r="AB185" s="20"/>
      <c r="AC185" s="20"/>
      <c r="AD185" s="20"/>
      <c r="AE185" s="20"/>
      <c r="AF185" s="136"/>
      <c r="AG185" s="20"/>
      <c r="AH185" s="20"/>
    </row>
    <row r="186" spans="2:34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139"/>
      <c r="V186" s="139"/>
      <c r="W186" s="139"/>
      <c r="X186" s="20"/>
      <c r="Y186" s="20"/>
      <c r="Z186" s="20"/>
      <c r="AA186" s="20"/>
      <c r="AB186" s="20"/>
      <c r="AC186" s="20"/>
      <c r="AD186" s="20"/>
      <c r="AE186" s="20"/>
      <c r="AF186" s="136"/>
      <c r="AG186" s="20"/>
      <c r="AH186" s="20"/>
    </row>
    <row r="187" spans="2:34">
      <c r="B187" s="108" t="s">
        <v>296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139"/>
      <c r="V187" s="133"/>
      <c r="W187" s="133"/>
      <c r="X187" s="20"/>
      <c r="Y187" s="20"/>
      <c r="Z187" s="20"/>
      <c r="AA187" s="20"/>
      <c r="AB187" s="20"/>
      <c r="AC187" s="20"/>
      <c r="AD187" s="20"/>
      <c r="AE187" s="20"/>
      <c r="AF187" s="136"/>
      <c r="AG187" s="20"/>
      <c r="AH187" s="20"/>
    </row>
    <row r="188" spans="2:34">
      <c r="B188" s="20" t="s">
        <v>282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139">
        <f t="shared" ref="U188" si="533">V188+W188</f>
        <v>18.953369873006185</v>
      </c>
      <c r="V188" s="133">
        <f>PV($C$1, ($AE$3-$V$3), 0, -AE88)+PV($C$1, ($AD$3-$V$3), 0, -AE88)+PV($C$1, ($AC$3-$V$3), 0, -AE88)+PV($C$1, ($AB$3-$V$3), 0, -AE88)+PV($C$1, ($AA$3-$V$3), 0, -AE88)+PV($C$1, ($Z$3-$V$3), 0, -AE88)+PV($C$1, ($Y$3-$V$3), 0, -AE88)+PV($C$1, ($X$3-$V$3), 0, -AE88)+PV($C$1, ($W$3-$V$3), 0, -AE88)+PV($C$1, ($V$3-$V$3), 0, -AE88)</f>
        <v>15.59270746545501</v>
      </c>
      <c r="W188" s="133">
        <f>PV($C$1, ($AE$3-$V$3), 0, -AH88)</f>
        <v>3.3606624075511751</v>
      </c>
      <c r="X188" s="20"/>
      <c r="Y188" s="20"/>
      <c r="Z188" s="20"/>
      <c r="AA188" s="20"/>
      <c r="AB188" s="20"/>
      <c r="AC188" s="20"/>
      <c r="AD188" s="20"/>
      <c r="AE188" s="20"/>
      <c r="AF188" s="136"/>
      <c r="AG188" s="20"/>
      <c r="AH188" s="20"/>
    </row>
    <row r="189" spans="2:34"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139"/>
      <c r="V189" s="133"/>
      <c r="W189" s="133"/>
      <c r="X189" s="20"/>
      <c r="Y189" s="20"/>
      <c r="Z189" s="20"/>
      <c r="AA189" s="20"/>
      <c r="AB189" s="20"/>
      <c r="AC189" s="20"/>
      <c r="AD189" s="20"/>
      <c r="AE189" s="20"/>
      <c r="AF189" s="136"/>
      <c r="AG189" s="20"/>
      <c r="AH189" s="20"/>
    </row>
    <row r="190" spans="2:34">
      <c r="B190" s="20" t="s">
        <v>289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139">
        <f t="shared" si="531"/>
        <v>16734.450483230165</v>
      </c>
      <c r="V190" s="133">
        <f>PV($C$1, ($AE$3-$V$3), 0, -AE90)+PV($C$1, ($AD$3-$V$3), 0, -AE90)+PV($C$1, ($AC$3-$V$3), 0, -AE90)+PV($C$1, ($AB$3-$V$3), 0, -AE90)+PV($C$1, ($AA$3-$V$3), 0, -AE90)+PV($C$1, ($Z$3-$V$3), 0, -AE90)+PV($C$1, ($Y$3-$V$3), 0, -AE90)+PV($C$1, ($X$3-$V$3), 0, -AE90)+PV($C$1, ($W$3-$V$3), 0, -AE90)+PV($C$1, ($V$3-$V$3), 0, -AE90)</f>
        <v>13767.22940186907</v>
      </c>
      <c r="W190" s="133">
        <f>PV($C$1, ($AE$3-$V$3), 0, -AH90)</f>
        <v>2967.221081361095</v>
      </c>
      <c r="X190" s="20"/>
      <c r="Y190" s="20"/>
      <c r="Z190" s="20"/>
      <c r="AA190" s="20"/>
      <c r="AB190" s="20"/>
      <c r="AC190" s="20"/>
      <c r="AD190" s="20"/>
      <c r="AE190" s="20"/>
      <c r="AF190" s="136"/>
      <c r="AG190" s="20"/>
      <c r="AH190" s="20"/>
    </row>
    <row r="191" spans="2:34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139"/>
      <c r="V191" s="133"/>
      <c r="W191" s="133"/>
      <c r="X191" s="20"/>
      <c r="Y191" s="20"/>
      <c r="Z191" s="20"/>
      <c r="AA191" s="20"/>
      <c r="AB191" s="20"/>
      <c r="AC191" s="20"/>
      <c r="AD191" s="20"/>
      <c r="AE191" s="20"/>
      <c r="AF191" s="136"/>
      <c r="AG191" s="20"/>
      <c r="AH191" s="20"/>
    </row>
    <row r="192" spans="2:34">
      <c r="B192" s="20" t="s">
        <v>459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139">
        <f t="shared" ref="U192:U195" si="534">V192+W192</f>
        <v>272.38250006473879</v>
      </c>
      <c r="V192" s="133">
        <f>PV($C$1, ($AE$3-$V$3), 0, -AE92)+PV($C$1, ($AD$3-$V$3), 0, -AE92)+PV($C$1, ($AC$3-$V$3), 0, -AE92)+PV($C$1, ($AB$3-$V$3), 0, -AE92)+PV($C$1, ($AA$3-$V$3), 0, -AE92)+PV($C$1, ($Z$3-$V$3), 0, -AE92)+PV($C$1, ($Y$3-$V$3), 0, -AE92)+PV($C$1, ($X$3-$V$3), 0, -AE92)+PV($C$1, ($W$3-$V$3), 0, -AE92)+PV($C$1, ($V$3-$V$3), 0, -AE92)</f>
        <v>224.08577844870123</v>
      </c>
      <c r="W192" s="133">
        <f>PV($C$1, ($AE$3-$V$3), 0, -AH92)</f>
        <v>48.296721616037566</v>
      </c>
      <c r="X192" s="20"/>
      <c r="Y192" s="20"/>
      <c r="Z192" s="20"/>
      <c r="AA192" s="20"/>
      <c r="AB192" s="20"/>
      <c r="AC192" s="20"/>
      <c r="AD192" s="20"/>
      <c r="AE192" s="20"/>
      <c r="AF192" s="136"/>
      <c r="AG192" s="20"/>
      <c r="AH192" s="20"/>
    </row>
    <row r="193" spans="2:34">
      <c r="B193" s="20" t="s">
        <v>286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139">
        <f t="shared" si="534"/>
        <v>686.51116753306871</v>
      </c>
      <c r="V193" s="133">
        <f>PV($C$1, ($AE$3-$V$3), 0, -AE93)+PV($C$1, ($AD$3-$V$3), 0, -AE93)+PV($C$1, ($AC$3-$V$3), 0, -AE93)+PV($C$1, ($AB$3-$V$3), 0, -AE93)+PV($C$1, ($AA$3-$V$3), 0, -AE93)+PV($C$1, ($Z$3-$V$3), 0, -AE93)+PV($C$1, ($Y$3-$V$3), 0, -AE93)+PV($C$1, ($X$3-$V$3), 0, -AE93)+PV($C$1, ($W$3-$V$3), 0, -AE93)+PV($C$1, ($V$3-$V$3), 0, -AE93)</f>
        <v>564.78440925467305</v>
      </c>
      <c r="W193" s="133">
        <f>PV($C$1, ($AE$3-$V$3), 0, -AH93)</f>
        <v>121.72675827839566</v>
      </c>
      <c r="X193" s="20"/>
      <c r="Y193" s="20"/>
      <c r="Z193" s="20"/>
      <c r="AA193" s="20"/>
      <c r="AB193" s="20"/>
      <c r="AC193" s="20"/>
      <c r="AD193" s="20"/>
      <c r="AE193" s="20"/>
      <c r="AF193" s="136"/>
      <c r="AG193" s="20"/>
      <c r="AH193" s="20"/>
    </row>
    <row r="194" spans="2:34">
      <c r="B194" s="20" t="s">
        <v>287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139">
        <f t="shared" si="534"/>
        <v>-414.12866746832992</v>
      </c>
      <c r="V194" s="133">
        <f>PV($C$1, ($AE$3-$V$3), 0, -AE94)+PV($C$1, ($AD$3-$V$3), 0, -AE94)+PV($C$1, ($AC$3-$V$3), 0, -AE94)+PV($C$1, ($AB$3-$V$3), 0, -AE94)+PV($C$1, ($AA$3-$V$3), 0, -AE94)+PV($C$1, ($Z$3-$V$3), 0, -AE94)+PV($C$1, ($Y$3-$V$3), 0, -AE94)+PV($C$1, ($X$3-$V$3), 0, -AE94)+PV($C$1, ($W$3-$V$3), 0, -AE94)+PV($C$1, ($V$3-$V$3), 0, -AE94)</f>
        <v>-340.69863080597185</v>
      </c>
      <c r="W194" s="133">
        <f>PV($C$1, ($AE$3-$V$3), 0, -AH94)</f>
        <v>-73.430036662358106</v>
      </c>
      <c r="X194" s="20"/>
      <c r="Y194" s="20"/>
      <c r="Z194" s="20"/>
      <c r="AA194" s="20"/>
      <c r="AB194" s="20"/>
      <c r="AC194" s="20"/>
      <c r="AD194" s="20"/>
      <c r="AE194" s="20"/>
      <c r="AF194" s="136"/>
      <c r="AG194" s="20"/>
      <c r="AH194" s="20"/>
    </row>
    <row r="195" spans="2:34">
      <c r="B195" s="20" t="s">
        <v>288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139">
        <f t="shared" si="534"/>
        <v>-239.81919133688672</v>
      </c>
      <c r="V195" s="133">
        <f>PV($C$1, ($AE$3-$V$3), 0, -AE95)+PV($C$1, ($AD$3-$V$3), 0, -AE95)+PV($C$1, ($AC$3-$V$3), 0, -AE95)+PV($C$1, ($AB$3-$V$3), 0, -AE95)+PV($C$1, ($AA$3-$V$3), 0, -AE95)+PV($C$1, ($Z$3-$V$3), 0, -AE95)+PV($C$1, ($Y$3-$V$3), 0, -AE95)+PV($C$1, ($X$3-$V$3), 0, -AE95)+PV($C$1, ($W$3-$V$3), 0, -AE95)+PV($C$1, ($V$3-$V$3), 0, -AE95)</f>
        <v>-197.29633939365252</v>
      </c>
      <c r="W195" s="133">
        <f>PV($C$1, ($AE$3-$V$3), 0, -AH95)</f>
        <v>-42.522851943234208</v>
      </c>
      <c r="X195" s="20"/>
      <c r="Y195" s="20"/>
      <c r="Z195" s="20"/>
      <c r="AA195" s="20"/>
      <c r="AB195" s="20"/>
      <c r="AC195" s="20"/>
      <c r="AD195" s="20"/>
      <c r="AE195" s="20"/>
      <c r="AF195" s="136"/>
      <c r="AG195" s="20"/>
      <c r="AH195" s="20"/>
    </row>
    <row r="196" spans="2:34">
      <c r="B196" s="20" t="s">
        <v>457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110">
        <f>U193+U194+U195</f>
        <v>32.563308727852075</v>
      </c>
      <c r="V196" s="110">
        <f t="shared" ref="V196:W196" si="535">V193+V194+V195</f>
        <v>26.789439055048689</v>
      </c>
      <c r="W196" s="110">
        <f t="shared" si="535"/>
        <v>5.7738696728033503</v>
      </c>
      <c r="X196" s="20"/>
      <c r="Y196" s="20"/>
      <c r="Z196" s="20"/>
      <c r="AA196" s="20"/>
      <c r="AB196" s="20"/>
      <c r="AC196" s="20"/>
      <c r="AD196" s="20"/>
      <c r="AE196" s="20"/>
      <c r="AF196" s="136"/>
      <c r="AG196" s="20"/>
      <c r="AH196" s="20"/>
    </row>
    <row r="197" spans="2:34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139"/>
      <c r="V197" s="133"/>
      <c r="W197" s="133"/>
      <c r="X197" s="20"/>
      <c r="Y197" s="20"/>
      <c r="Z197" s="20"/>
      <c r="AA197" s="20"/>
      <c r="AB197" s="20"/>
      <c r="AC197" s="20"/>
      <c r="AD197" s="20"/>
      <c r="AE197" s="20"/>
      <c r="AF197" s="136"/>
      <c r="AG197" s="20"/>
      <c r="AH197" s="20"/>
    </row>
    <row r="198" spans="2:34">
      <c r="B198" s="20" t="s">
        <v>297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139">
        <f>V198+W198</f>
        <v>109.18285867573917</v>
      </c>
      <c r="V198" s="133">
        <f>PV($C$1, ($AE$3-$V$3), 0, -AE96)+PV($C$1, ($AD$3-$V$3), 0, -AE96)+PV($C$1, ($AC$3-$V$3), 0, -AE96)+PV($C$1, ($AB$3-$V$3), 0, -AE96)+PV($C$1, ($AA$3-$V$3), 0, -AE96)+PV($C$1, ($Z$3-$V$3), 0, -AE96)+PV($C$1, ($Y$3-$V$3), 0, -AE96)+PV($C$1, ($X$3-$V$3), 0, -AE96)+PV($C$1, ($W$3-$V$3), 0, -AE96)+PV($C$1, ($V$3-$V$3), 0, -AE96)</f>
        <v>89.823413302221994</v>
      </c>
      <c r="W198" s="133">
        <f>PV($C$1, ($AE$3-$V$3), 0, -AH96)</f>
        <v>19.359445373517168</v>
      </c>
      <c r="X198" s="20"/>
      <c r="Y198" s="20"/>
      <c r="Z198" s="20"/>
      <c r="AA198" s="20"/>
      <c r="AB198" s="20"/>
      <c r="AC198" s="20"/>
      <c r="AD198" s="20"/>
      <c r="AE198" s="20"/>
      <c r="AF198" s="136"/>
      <c r="AG198" s="20"/>
      <c r="AH198" s="20"/>
    </row>
    <row r="199" spans="2:34">
      <c r="B199" s="20"/>
      <c r="C199" s="20"/>
      <c r="D199" s="20"/>
      <c r="E199" s="20"/>
      <c r="F199" s="20"/>
      <c r="G199" s="20">
        <v>250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181"/>
      <c r="R199" s="181">
        <v>41729</v>
      </c>
      <c r="S199" s="20">
        <v>150</v>
      </c>
      <c r="T199" s="20"/>
      <c r="U199" s="20"/>
      <c r="V199" s="121"/>
      <c r="W199" s="20"/>
      <c r="X199" s="20"/>
      <c r="Y199" s="20"/>
      <c r="Z199" s="20"/>
      <c r="AA199" s="20"/>
      <c r="AB199" s="20"/>
      <c r="AC199" s="20"/>
      <c r="AD199" s="20"/>
      <c r="AE199" s="20"/>
      <c r="AF199" s="136"/>
      <c r="AG199" s="20"/>
      <c r="AH199" s="20"/>
    </row>
    <row r="200" spans="2:34">
      <c r="B200" s="108" t="s">
        <v>251</v>
      </c>
      <c r="C200" s="20"/>
      <c r="D200" s="20"/>
      <c r="E200" s="20"/>
      <c r="F200" s="199" t="s">
        <v>470</v>
      </c>
      <c r="G200" s="194">
        <v>250</v>
      </c>
      <c r="H200" s="194">
        <v>0</v>
      </c>
      <c r="I200" s="194">
        <v>0</v>
      </c>
      <c r="J200" s="194">
        <v>0</v>
      </c>
      <c r="K200" s="194">
        <v>0</v>
      </c>
      <c r="L200" s="194">
        <v>0</v>
      </c>
      <c r="M200" s="194">
        <v>0</v>
      </c>
      <c r="N200" s="194">
        <v>0</v>
      </c>
      <c r="O200" s="194">
        <v>0</v>
      </c>
      <c r="P200" s="194">
        <v>0</v>
      </c>
      <c r="Q200" s="194">
        <v>0</v>
      </c>
      <c r="R200" s="23" t="s">
        <v>388</v>
      </c>
      <c r="S200" s="20">
        <v>170</v>
      </c>
      <c r="T200" s="20">
        <v>130</v>
      </c>
      <c r="U200" s="23" t="s">
        <v>389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136"/>
      <c r="AG200" s="20"/>
      <c r="AH200" s="20"/>
    </row>
    <row r="201" spans="2:34">
      <c r="B201" s="20" t="s">
        <v>204</v>
      </c>
      <c r="C201" s="22">
        <v>0</v>
      </c>
      <c r="D201" s="22">
        <v>0</v>
      </c>
      <c r="E201" s="22">
        <v>0</v>
      </c>
      <c r="F201" s="22"/>
      <c r="G201" s="22">
        <v>70</v>
      </c>
      <c r="H201" s="22">
        <v>258</v>
      </c>
      <c r="I201" s="22">
        <v>285</v>
      </c>
      <c r="J201" s="22">
        <v>255</v>
      </c>
      <c r="K201" s="22">
        <v>35</v>
      </c>
      <c r="L201" s="22">
        <v>15</v>
      </c>
      <c r="M201" s="22">
        <v>61</v>
      </c>
      <c r="N201" s="22">
        <v>63</v>
      </c>
      <c r="O201" s="22">
        <v>75</v>
      </c>
      <c r="P201" s="22">
        <v>80</v>
      </c>
      <c r="Q201" s="22">
        <v>125</v>
      </c>
      <c r="R201" s="22">
        <v>150</v>
      </c>
      <c r="S201" s="22">
        <v>130</v>
      </c>
      <c r="T201" s="118">
        <f t="shared" ref="T201:T227" si="536">((S201/G201)^(1/($J$2-$J$1) ))-1</f>
        <v>5.2940367717337233E-2</v>
      </c>
      <c r="U201" s="31">
        <v>0</v>
      </c>
      <c r="V201" s="195">
        <v>50</v>
      </c>
      <c r="W201" s="119">
        <f t="shared" ref="W201:AE201" si="537">V201*(1+$U201)</f>
        <v>50</v>
      </c>
      <c r="X201" s="119">
        <f t="shared" si="537"/>
        <v>50</v>
      </c>
      <c r="Y201" s="119">
        <f t="shared" si="537"/>
        <v>50</v>
      </c>
      <c r="Z201" s="119">
        <f t="shared" si="537"/>
        <v>50</v>
      </c>
      <c r="AA201" s="119">
        <f t="shared" si="537"/>
        <v>50</v>
      </c>
      <c r="AB201" s="119">
        <f t="shared" si="537"/>
        <v>50</v>
      </c>
      <c r="AC201" s="119">
        <f t="shared" si="537"/>
        <v>50</v>
      </c>
      <c r="AD201" s="119">
        <f t="shared" si="537"/>
        <v>50</v>
      </c>
      <c r="AE201" s="119">
        <f t="shared" si="537"/>
        <v>50</v>
      </c>
      <c r="AF201" s="137">
        <f t="shared" ref="AF201:AF208" si="538">((AE201/I201)^(1/($AE$3-$J$1) ))-1</f>
        <v>-7.9537798037674468E-2</v>
      </c>
      <c r="AG201" s="31">
        <f t="shared" ref="AG201:AG208" si="539">$N$1</f>
        <v>0.05</v>
      </c>
      <c r="AH201" s="127">
        <f t="shared" ref="AH201:AH212" si="540">(AE201*(1+AF201))/($C$1-AG201)</f>
        <v>270.72417704774284</v>
      </c>
    </row>
    <row r="202" spans="2:34">
      <c r="B202" s="20" t="s">
        <v>359</v>
      </c>
      <c r="C202" s="25"/>
      <c r="D202" s="25"/>
      <c r="E202" s="25"/>
      <c r="F202" s="25"/>
      <c r="G202" s="25">
        <f t="shared" ref="G202:H202" si="541">G201/G66</f>
        <v>0.13678571428571429</v>
      </c>
      <c r="H202" s="25">
        <f t="shared" si="541"/>
        <v>0.4409370816599732</v>
      </c>
      <c r="I202" s="25">
        <f t="shared" ref="I202:S202" si="542">I201/I66</f>
        <v>0.40219233603537213</v>
      </c>
      <c r="J202" s="25">
        <f t="shared" si="542"/>
        <v>0.27490706319702601</v>
      </c>
      <c r="K202" s="25">
        <f t="shared" si="542"/>
        <v>0.35776475512766848</v>
      </c>
      <c r="L202" s="25">
        <f t="shared" si="542"/>
        <v>0.15098861593768723</v>
      </c>
      <c r="M202" s="25">
        <f t="shared" si="542"/>
        <v>0.38449224612306154</v>
      </c>
      <c r="N202" s="25">
        <f t="shared" si="542"/>
        <v>0.33894107600341589</v>
      </c>
      <c r="O202" s="25">
        <f t="shared" si="542"/>
        <v>0.30454398968739932</v>
      </c>
      <c r="P202" s="25">
        <f t="shared" si="542"/>
        <v>0.31067961165048541</v>
      </c>
      <c r="Q202" s="25">
        <f t="shared" si="542"/>
        <v>0.4668741662961316</v>
      </c>
      <c r="R202" s="25">
        <f t="shared" si="542"/>
        <v>0.59673218091404212</v>
      </c>
      <c r="S202" s="25">
        <f t="shared" si="542"/>
        <v>0.55230548765067855</v>
      </c>
      <c r="T202" s="118">
        <f t="shared" si="536"/>
        <v>0.12334084775643239</v>
      </c>
      <c r="U202" s="128"/>
      <c r="V202" s="25">
        <f t="shared" ref="V202:AE202" si="543">V201/V66</f>
        <v>0.18841190548618467</v>
      </c>
      <c r="W202" s="25">
        <f t="shared" si="543"/>
        <v>0.16711316834426818</v>
      </c>
      <c r="X202" s="25">
        <f t="shared" si="543"/>
        <v>0.14822211453143788</v>
      </c>
      <c r="Y202" s="25">
        <f t="shared" si="543"/>
        <v>0.13146657114962318</v>
      </c>
      <c r="Z202" s="25">
        <f t="shared" si="543"/>
        <v>0.1166051326718397</v>
      </c>
      <c r="AA202" s="25">
        <f t="shared" si="543"/>
        <v>0.10342368289154479</v>
      </c>
      <c r="AB202" s="25">
        <f t="shared" si="543"/>
        <v>9.1732310042935375E-2</v>
      </c>
      <c r="AC202" s="25">
        <f t="shared" si="543"/>
        <v>8.1362570646777488E-2</v>
      </c>
      <c r="AD202" s="25">
        <f t="shared" si="543"/>
        <v>7.2165062660620033E-2</v>
      </c>
      <c r="AE202" s="25">
        <f t="shared" si="543"/>
        <v>6.4007272968549953E-2</v>
      </c>
      <c r="AF202" s="137">
        <f t="shared" ref="AF202" si="544">((AE202/I202)^(1/($AE$3-$J$1) ))-1</f>
        <v>-8.3800050473561871E-2</v>
      </c>
      <c r="AG202" s="31">
        <f t="shared" si="539"/>
        <v>0.05</v>
      </c>
      <c r="AH202" s="127">
        <f t="shared" ref="AH202" si="545">(AE202*(1+AF202))/($C$1-AG202)</f>
        <v>0.34496153095947307</v>
      </c>
    </row>
    <row r="203" spans="2:34">
      <c r="B203" s="20" t="s">
        <v>387</v>
      </c>
      <c r="C203" s="25"/>
      <c r="D203" s="25"/>
      <c r="E203" s="25"/>
      <c r="F203" s="25"/>
      <c r="G203" s="25">
        <f t="shared" ref="G203:H203" si="546">G201/G72</f>
        <v>3.8300000000000005</v>
      </c>
      <c r="H203" s="25">
        <f t="shared" si="546"/>
        <v>15.684761904761906</v>
      </c>
      <c r="I203" s="25">
        <f t="shared" ref="I203:S203" si="547">I201/I72</f>
        <v>11.995054945054944</v>
      </c>
      <c r="J203" s="25">
        <f t="shared" si="547"/>
        <v>10.112820512820512</v>
      </c>
      <c r="K203" s="25">
        <f t="shared" si="547"/>
        <v>6.3311111111111114</v>
      </c>
      <c r="L203" s="25">
        <f t="shared" si="547"/>
        <v>5.4388489208633093</v>
      </c>
      <c r="M203" s="25">
        <f t="shared" si="547"/>
        <v>4.708116385911179</v>
      </c>
      <c r="N203" s="25">
        <f t="shared" si="547"/>
        <v>7.2</v>
      </c>
      <c r="O203" s="25">
        <f t="shared" si="547"/>
        <v>9.1747572815533989</v>
      </c>
      <c r="P203" s="25">
        <f t="shared" si="547"/>
        <v>6.5667752442996736</v>
      </c>
      <c r="Q203" s="25">
        <f t="shared" si="547"/>
        <v>6.2686567164179108</v>
      </c>
      <c r="R203" s="25">
        <f t="shared" si="547"/>
        <v>7.7379733879222101</v>
      </c>
      <c r="S203" s="25">
        <f t="shared" si="547"/>
        <v>3.1304347826086958</v>
      </c>
      <c r="T203" s="118">
        <f t="shared" si="536"/>
        <v>-1.6667279636247034E-2</v>
      </c>
      <c r="U203" s="128"/>
      <c r="V203" s="119">
        <f t="shared" ref="V203:AE203" si="548">V201/V72</f>
        <v>1.067907517813</v>
      </c>
      <c r="W203" s="119">
        <f t="shared" si="548"/>
        <v>0.94718753753848706</v>
      </c>
      <c r="X203" s="119">
        <f t="shared" si="548"/>
        <v>0.84011416372978853</v>
      </c>
      <c r="Y203" s="119">
        <f t="shared" si="548"/>
        <v>0.7451447365255518</v>
      </c>
      <c r="Z203" s="119">
        <f t="shared" si="548"/>
        <v>0.66091098370092416</v>
      </c>
      <c r="AA203" s="119">
        <f t="shared" si="548"/>
        <v>0.58619930728255887</v>
      </c>
      <c r="AB203" s="119">
        <f t="shared" si="548"/>
        <v>0.51993329863322613</v>
      </c>
      <c r="AC203" s="119">
        <f t="shared" si="548"/>
        <v>0.46115823009207885</v>
      </c>
      <c r="AD203" s="119">
        <f t="shared" si="548"/>
        <v>0.40902729973384394</v>
      </c>
      <c r="AE203" s="119">
        <f t="shared" si="548"/>
        <v>0.36278943106827904</v>
      </c>
      <c r="AF203" s="137">
        <f t="shared" si="538"/>
        <v>-0.15345487406244951</v>
      </c>
      <c r="AG203" s="31">
        <f t="shared" si="539"/>
        <v>0.05</v>
      </c>
      <c r="AH203" s="127">
        <f t="shared" si="540"/>
        <v>1.8065742624265213</v>
      </c>
    </row>
    <row r="204" spans="2:34">
      <c r="B204" s="20" t="s">
        <v>462</v>
      </c>
      <c r="C204" s="25"/>
      <c r="D204" s="25"/>
      <c r="E204" s="25"/>
      <c r="F204" s="25"/>
      <c r="G204" s="25">
        <f t="shared" ref="G204:H204" si="549">G201/G70</f>
        <v>1.532</v>
      </c>
      <c r="H204" s="25">
        <f t="shared" si="549"/>
        <v>6.1375155279503106</v>
      </c>
      <c r="I204" s="25">
        <f t="shared" ref="I204:S204" si="550">I201/I70</f>
        <v>4.7253246753246758</v>
      </c>
      <c r="J204" s="25">
        <f t="shared" si="550"/>
        <v>2.9432835820895522</v>
      </c>
      <c r="K204" s="25">
        <f t="shared" si="550"/>
        <v>2.7394230769230767</v>
      </c>
      <c r="L204" s="25">
        <f t="shared" si="550"/>
        <v>1.6578947368421053</v>
      </c>
      <c r="M204" s="25">
        <f t="shared" si="550"/>
        <v>2.4654370489174018</v>
      </c>
      <c r="N204" s="25">
        <f t="shared" si="550"/>
        <v>3.2466257668711656</v>
      </c>
      <c r="O204" s="25">
        <f t="shared" si="550"/>
        <v>3.2390745501285347</v>
      </c>
      <c r="P204" s="25">
        <f t="shared" si="550"/>
        <v>2.7692307692307692</v>
      </c>
      <c r="Q204" s="25">
        <f t="shared" si="550"/>
        <v>3.36</v>
      </c>
      <c r="R204" s="25">
        <f t="shared" si="550"/>
        <v>3.9170984455958546</v>
      </c>
      <c r="S204" s="25">
        <f t="shared" si="550"/>
        <v>4.3048620236530875</v>
      </c>
      <c r="T204" s="118">
        <f t="shared" si="536"/>
        <v>8.991268186274981E-2</v>
      </c>
      <c r="U204" s="128"/>
      <c r="V204" s="25">
        <f t="shared" ref="V204:AE204" si="551">V201/V70</f>
        <v>1.4685482488716222</v>
      </c>
      <c r="W204" s="25">
        <f t="shared" si="551"/>
        <v>1.302538446825265</v>
      </c>
      <c r="X204" s="25">
        <f t="shared" si="551"/>
        <v>1.1552949702276265</v>
      </c>
      <c r="Y204" s="25">
        <f t="shared" si="551"/>
        <v>1.0246964083758079</v>
      </c>
      <c r="Z204" s="25">
        <f t="shared" si="551"/>
        <v>0.90886116221158619</v>
      </c>
      <c r="AA204" s="25">
        <f t="shared" si="551"/>
        <v>0.80612033517897219</v>
      </c>
      <c r="AB204" s="25">
        <f t="shared" si="551"/>
        <v>0.71499368859352319</v>
      </c>
      <c r="AC204" s="25">
        <f t="shared" si="551"/>
        <v>0.63416831510034244</v>
      </c>
      <c r="AD204" s="25">
        <f t="shared" si="551"/>
        <v>0.56247972295856463</v>
      </c>
      <c r="AE204" s="25">
        <f t="shared" si="551"/>
        <v>0.49889505862411831</v>
      </c>
      <c r="AF204" s="137">
        <f t="shared" ref="AF204:AF205" si="552">((AE204/I204)^(1/($AE$3-$J$1) ))-1</f>
        <v>-0.10152976782659839</v>
      </c>
      <c r="AG204" s="31">
        <f t="shared" si="539"/>
        <v>0.05</v>
      </c>
      <c r="AH204" s="127">
        <f t="shared" ref="AH204:AH205" si="553">(AE204*(1+AF204))/($C$1-AG204)</f>
        <v>2.6367197597186731</v>
      </c>
    </row>
    <row r="205" spans="2:34">
      <c r="B205" s="20" t="s">
        <v>463</v>
      </c>
      <c r="C205" s="25"/>
      <c r="D205" s="25"/>
      <c r="E205" s="25"/>
      <c r="F205" s="25"/>
      <c r="G205" s="25">
        <f t="shared" ref="G205:H205" si="554">G201/G71</f>
        <v>2.5533333333333332</v>
      </c>
      <c r="H205" s="25">
        <f t="shared" si="554"/>
        <v>11.905301204819276</v>
      </c>
      <c r="I205" s="25">
        <f t="shared" ref="I205:S205" si="555">I201/I71</f>
        <v>8.9471311475409827</v>
      </c>
      <c r="J205" s="25">
        <f t="shared" si="555"/>
        <v>6.0367346938775501</v>
      </c>
      <c r="K205" s="25">
        <f t="shared" si="555"/>
        <v>4.2103448275862076</v>
      </c>
      <c r="L205" s="25">
        <f t="shared" si="555"/>
        <v>3.7241379310344827</v>
      </c>
      <c r="M205" s="25">
        <f t="shared" si="555"/>
        <v>3.4008849557522125</v>
      </c>
      <c r="N205" s="25">
        <f t="shared" si="555"/>
        <v>5.7941605839416059</v>
      </c>
      <c r="O205" s="25">
        <f t="shared" si="555"/>
        <v>6.7985611510791371</v>
      </c>
      <c r="P205" s="25">
        <f t="shared" si="555"/>
        <v>4.6993006993006992</v>
      </c>
      <c r="Q205" s="25">
        <f t="shared" si="555"/>
        <v>5.1136363636363633</v>
      </c>
      <c r="R205" s="25">
        <f t="shared" si="555"/>
        <v>5.6842105263157894</v>
      </c>
      <c r="S205" s="25">
        <f t="shared" si="555"/>
        <v>4.1732484076433121</v>
      </c>
      <c r="T205" s="118">
        <f t="shared" si="536"/>
        <v>4.1790901319577856E-2</v>
      </c>
      <c r="U205" s="128"/>
      <c r="V205" s="25">
        <f t="shared" ref="V205:AE205" si="556">V201/V71</f>
        <v>1.4236499584602607</v>
      </c>
      <c r="W205" s="25">
        <f t="shared" si="556"/>
        <v>1.2627156153299703</v>
      </c>
      <c r="X205" s="25">
        <f t="shared" si="556"/>
        <v>1.1199738501187566</v>
      </c>
      <c r="Y205" s="25">
        <f t="shared" si="556"/>
        <v>0.99336811054011465</v>
      </c>
      <c r="Z205" s="25">
        <f t="shared" si="556"/>
        <v>0.8810743241312321</v>
      </c>
      <c r="AA205" s="25">
        <f t="shared" si="556"/>
        <v>0.78147461792509298</v>
      </c>
      <c r="AB205" s="25">
        <f t="shared" si="556"/>
        <v>0.69313400894225641</v>
      </c>
      <c r="AC205" s="25">
        <f t="shared" si="556"/>
        <v>0.61477972967052308</v>
      </c>
      <c r="AD205" s="25">
        <f t="shared" si="556"/>
        <v>0.54528289066429014</v>
      </c>
      <c r="AE205" s="25">
        <f t="shared" si="556"/>
        <v>0.48364221606745744</v>
      </c>
      <c r="AF205" s="137">
        <f t="shared" si="552"/>
        <v>-0.1297198726357468</v>
      </c>
      <c r="AG205" s="31">
        <f t="shared" si="539"/>
        <v>0.05</v>
      </c>
      <c r="AH205" s="127">
        <f t="shared" si="553"/>
        <v>2.4759071141053917</v>
      </c>
    </row>
    <row r="206" spans="2:34">
      <c r="B206" s="20" t="s">
        <v>258</v>
      </c>
      <c r="C206" s="25"/>
      <c r="D206" s="25"/>
      <c r="E206" s="25"/>
      <c r="F206" s="25"/>
      <c r="G206" s="25">
        <f t="shared" ref="G206:H206" si="557">G201/G75</f>
        <v>0.50584905660377366</v>
      </c>
      <c r="H206" s="25">
        <f t="shared" si="557"/>
        <v>1.7676923076923077</v>
      </c>
      <c r="I206" s="25">
        <f t="shared" ref="I206:S206" si="558">I201/I75</f>
        <v>1.8438344594594596</v>
      </c>
      <c r="J206" s="25">
        <f t="shared" si="558"/>
        <v>1.3553264604810997</v>
      </c>
      <c r="K206" s="25">
        <f t="shared" si="558"/>
        <v>1.5194666666666667</v>
      </c>
      <c r="L206" s="25">
        <f t="shared" si="558"/>
        <v>0.58333333333333326</v>
      </c>
      <c r="M206" s="25">
        <f t="shared" si="558"/>
        <v>1.6062695924764891</v>
      </c>
      <c r="N206" s="25">
        <f t="shared" si="558"/>
        <v>1.3448538754764929</v>
      </c>
      <c r="O206" s="25">
        <f t="shared" si="558"/>
        <v>1.3587347232207043</v>
      </c>
      <c r="P206" s="25">
        <f t="shared" si="558"/>
        <v>1.2075471698113207</v>
      </c>
      <c r="Q206" s="25">
        <f t="shared" si="558"/>
        <v>1.3959672058497672</v>
      </c>
      <c r="R206" s="25">
        <f t="shared" si="558"/>
        <v>1.5156375300721732</v>
      </c>
      <c r="S206" s="25">
        <f t="shared" si="558"/>
        <v>1.0691906005221932</v>
      </c>
      <c r="T206" s="118">
        <f t="shared" si="536"/>
        <v>6.4354209961211328E-2</v>
      </c>
      <c r="U206" s="128"/>
      <c r="V206" s="119">
        <f t="shared" ref="V206:AE206" si="559">V201/V75</f>
        <v>0.36474060619820642</v>
      </c>
      <c r="W206" s="119">
        <f t="shared" si="559"/>
        <v>0.32350905941058311</v>
      </c>
      <c r="X206" s="119">
        <f t="shared" si="559"/>
        <v>0.2869384700859085</v>
      </c>
      <c r="Y206" s="119">
        <f t="shared" si="559"/>
        <v>0.25450194738054494</v>
      </c>
      <c r="Z206" s="119">
        <f t="shared" si="559"/>
        <v>0.22573216202448335</v>
      </c>
      <c r="AA206" s="119">
        <f t="shared" si="559"/>
        <v>0.20021461327388962</v>
      </c>
      <c r="AB206" s="119">
        <f t="shared" si="559"/>
        <v>0.17758165699075426</v>
      </c>
      <c r="AC206" s="119">
        <f t="shared" si="559"/>
        <v>0.15750720880919075</v>
      </c>
      <c r="AD206" s="119">
        <f t="shared" si="559"/>
        <v>0.13970204607423878</v>
      </c>
      <c r="AE206" s="119">
        <f t="shared" si="559"/>
        <v>0.12390964086584658</v>
      </c>
      <c r="AF206" s="137">
        <f t="shared" si="538"/>
        <v>-0.12065134555048052</v>
      </c>
      <c r="AG206" s="31">
        <f t="shared" si="539"/>
        <v>0.05</v>
      </c>
      <c r="AH206" s="127">
        <f t="shared" si="540"/>
        <v>0.64093985863944347</v>
      </c>
    </row>
    <row r="207" spans="2:34">
      <c r="B207" s="20" t="s">
        <v>259</v>
      </c>
      <c r="C207" s="25"/>
      <c r="D207" s="25"/>
      <c r="E207" s="25"/>
      <c r="F207" s="25"/>
      <c r="G207" s="25">
        <f t="shared" ref="G207:H207" si="560">G201/G84</f>
        <v>1.5408045977011493</v>
      </c>
      <c r="H207" s="25">
        <f t="shared" si="560"/>
        <v>7.9688709677419345</v>
      </c>
      <c r="I207" s="25">
        <f t="shared" ref="I207:S207" si="561">I201/I84</f>
        <v>4.7171564390665512</v>
      </c>
      <c r="J207" s="25">
        <f t="shared" si="561"/>
        <v>5.9757575757575756</v>
      </c>
      <c r="K207" s="25">
        <f t="shared" si="561"/>
        <v>5.8944827586206898</v>
      </c>
      <c r="L207" s="25">
        <f t="shared" si="561"/>
        <v>2.0655737704918034</v>
      </c>
      <c r="M207" s="25">
        <f t="shared" si="561"/>
        <v>8.6847457627118647</v>
      </c>
      <c r="N207" s="25">
        <f t="shared" si="561"/>
        <v>15.718811881188119</v>
      </c>
      <c r="O207" s="25">
        <f t="shared" si="561"/>
        <v>20</v>
      </c>
      <c r="P207" s="25">
        <f t="shared" si="561"/>
        <v>10.338461538461537</v>
      </c>
      <c r="Q207" s="25">
        <f t="shared" si="561"/>
        <v>8.7743732590529238</v>
      </c>
      <c r="R207" s="25">
        <f t="shared" si="561"/>
        <v>10.188679245283019</v>
      </c>
      <c r="S207" s="25">
        <f t="shared" si="561"/>
        <v>9.1380753138075317</v>
      </c>
      <c r="T207" s="118">
        <f t="shared" si="536"/>
        <v>0.15991348438347286</v>
      </c>
      <c r="U207" s="128"/>
      <c r="V207" s="119">
        <f t="shared" ref="V207:AE207" si="562">V201/V84</f>
        <v>3.1173367291249772</v>
      </c>
      <c r="W207" s="119">
        <f t="shared" si="562"/>
        <v>2.7649421423543283</v>
      </c>
      <c r="X207" s="119">
        <f t="shared" si="562"/>
        <v>2.4523834653925345</v>
      </c>
      <c r="Y207" s="119">
        <f t="shared" si="562"/>
        <v>2.175157508435118</v>
      </c>
      <c r="Z207" s="119">
        <f t="shared" si="562"/>
        <v>1.9292701379163655</v>
      </c>
      <c r="AA207" s="119">
        <f t="shared" si="562"/>
        <v>1.7111787310214721</v>
      </c>
      <c r="AB207" s="119">
        <f t="shared" si="562"/>
        <v>1.5177411353407839</v>
      </c>
      <c r="AC207" s="119">
        <f t="shared" si="562"/>
        <v>1.3461703983022608</v>
      </c>
      <c r="AD207" s="119">
        <f t="shared" si="562"/>
        <v>1.1939946141463531</v>
      </c>
      <c r="AE207" s="119">
        <f t="shared" si="562"/>
        <v>1.0590213099385046</v>
      </c>
      <c r="AF207" s="137">
        <f t="shared" si="538"/>
        <v>-6.8664998917057796E-2</v>
      </c>
      <c r="AG207" s="31">
        <f t="shared" si="539"/>
        <v>0.05</v>
      </c>
      <c r="AH207" s="127">
        <f t="shared" si="540"/>
        <v>5.8017859578731539</v>
      </c>
    </row>
    <row r="208" spans="2:34">
      <c r="B208" s="20" t="s">
        <v>260</v>
      </c>
      <c r="C208" s="25"/>
      <c r="D208" s="25"/>
      <c r="E208" s="25"/>
      <c r="F208" s="25"/>
      <c r="G208" s="25">
        <f t="shared" ref="G208:H208" si="563">G201/G86</f>
        <v>1.2586854460093897</v>
      </c>
      <c r="H208" s="25">
        <f t="shared" si="563"/>
        <v>4.1172500000000003</v>
      </c>
      <c r="I208" s="25">
        <f t="shared" ref="I208:S208" si="564">I201/I86</f>
        <v>2.3474193548387094</v>
      </c>
      <c r="J208" s="25">
        <f t="shared" si="564"/>
        <v>3.1136842105263156</v>
      </c>
      <c r="K208" s="25">
        <f t="shared" si="564"/>
        <v>3.4051792828685259</v>
      </c>
      <c r="L208" s="25">
        <f t="shared" si="564"/>
        <v>1.4318181818181819</v>
      </c>
      <c r="M208" s="25">
        <f t="shared" si="564"/>
        <v>5.3654450261780111</v>
      </c>
      <c r="N208" s="25">
        <f t="shared" si="564"/>
        <v>3.692093023255814</v>
      </c>
      <c r="O208" s="25">
        <f t="shared" si="564"/>
        <v>4.295454545454545</v>
      </c>
      <c r="P208" s="25">
        <f t="shared" si="564"/>
        <v>4.0522613065326629</v>
      </c>
      <c r="Q208" s="25">
        <f t="shared" si="564"/>
        <v>7.3341094295692661</v>
      </c>
      <c r="R208" s="25">
        <f t="shared" si="564"/>
        <v>6.9230769230769225</v>
      </c>
      <c r="S208" s="25">
        <f t="shared" si="564"/>
        <v>4.0097919216646263</v>
      </c>
      <c r="T208" s="118">
        <f t="shared" si="536"/>
        <v>0.10137120761660379</v>
      </c>
      <c r="U208" s="128"/>
      <c r="V208" s="119">
        <f t="shared" ref="V208:AE208" si="565">V201/V86</f>
        <v>1.3678888829758928</v>
      </c>
      <c r="W208" s="119">
        <f t="shared" si="565"/>
        <v>1.2132579657699225</v>
      </c>
      <c r="X208" s="119">
        <f t="shared" si="565"/>
        <v>1.0761070652915834</v>
      </c>
      <c r="Y208" s="119">
        <f t="shared" si="565"/>
        <v>0.95446017964992624</v>
      </c>
      <c r="Z208" s="119">
        <f t="shared" si="565"/>
        <v>0.84656468108080407</v>
      </c>
      <c r="AA208" s="119">
        <f t="shared" si="565"/>
        <v>0.7508660649586264</v>
      </c>
      <c r="AB208" s="119">
        <f t="shared" si="565"/>
        <v>0.66598555326765119</v>
      </c>
      <c r="AC208" s="119">
        <f t="shared" si="565"/>
        <v>0.59070022985478632</v>
      </c>
      <c r="AD208" s="119">
        <f t="shared" si="565"/>
        <v>0.52392542126250619</v>
      </c>
      <c r="AE208" s="119">
        <f t="shared" si="565"/>
        <v>0.46469906929370114</v>
      </c>
      <c r="AF208" s="137">
        <f t="shared" si="538"/>
        <v>-7.4228380426616947E-2</v>
      </c>
      <c r="AG208" s="31">
        <f t="shared" si="539"/>
        <v>0.05</v>
      </c>
      <c r="AH208" s="127">
        <f t="shared" si="540"/>
        <v>2.5306188823192559</v>
      </c>
    </row>
    <row r="209" spans="2:34">
      <c r="B209" s="20" t="s">
        <v>281</v>
      </c>
      <c r="C209" s="25"/>
      <c r="D209" s="25"/>
      <c r="E209" s="25"/>
      <c r="F209" s="25"/>
      <c r="G209" s="180">
        <f t="shared" ref="G209:H209" si="566">G201/G80</f>
        <v>1.2186363636363635</v>
      </c>
      <c r="H209" s="180">
        <f t="shared" si="566"/>
        <v>6.587600000000001</v>
      </c>
      <c r="I209" s="180">
        <f t="shared" ref="I209:S209" si="567">I201/I80</f>
        <v>24.256666666666664</v>
      </c>
      <c r="J209" s="180">
        <f t="shared" si="567"/>
        <v>4.210676156583629</v>
      </c>
      <c r="K209" s="180">
        <f t="shared" si="567"/>
        <v>2.0229585798816569</v>
      </c>
      <c r="L209" s="180">
        <f t="shared" si="567"/>
        <v>1.08</v>
      </c>
      <c r="M209" s="180">
        <f t="shared" si="567"/>
        <v>4.2998601398601402</v>
      </c>
      <c r="N209" s="180">
        <f t="shared" si="567"/>
        <v>3.9789473684210526</v>
      </c>
      <c r="O209" s="180">
        <f t="shared" si="567"/>
        <v>3.4615384615384612</v>
      </c>
      <c r="P209" s="180">
        <f t="shared" si="567"/>
        <v>1.8162162162162161</v>
      </c>
      <c r="Q209" s="180">
        <f t="shared" si="567"/>
        <v>1.3803680981595092</v>
      </c>
      <c r="R209" s="180">
        <f t="shared" si="567"/>
        <v>1.3705583756345179</v>
      </c>
      <c r="S209" s="180">
        <f t="shared" si="567"/>
        <v>1.1527093596059113</v>
      </c>
      <c r="T209" s="118">
        <f t="shared" si="536"/>
        <v>-4.6240561948732717E-3</v>
      </c>
      <c r="U209" s="128"/>
      <c r="V209" s="134">
        <f t="shared" ref="V209:AE209" si="568">V201/V80</f>
        <v>0.3932319554508461</v>
      </c>
      <c r="W209" s="134">
        <f t="shared" si="568"/>
        <v>0.3487796474433591</v>
      </c>
      <c r="X209" s="134">
        <f t="shared" si="568"/>
        <v>0.30935238294976203</v>
      </c>
      <c r="Y209" s="134">
        <f t="shared" si="568"/>
        <v>0.27438211357283238</v>
      </c>
      <c r="Z209" s="134">
        <f t="shared" si="568"/>
        <v>0.24336500508199049</v>
      </c>
      <c r="AA209" s="134">
        <f t="shared" si="568"/>
        <v>0.21585417842054813</v>
      </c>
      <c r="AB209" s="134">
        <f t="shared" si="568"/>
        <v>0.19145327129474707</v>
      </c>
      <c r="AC209" s="134">
        <f t="shared" si="568"/>
        <v>0.16981072758316693</v>
      </c>
      <c r="AD209" s="134">
        <f t="shared" si="568"/>
        <v>0.15061473229115682</v>
      </c>
      <c r="AE209" s="134">
        <f t="shared" si="568"/>
        <v>0.13358871907563472</v>
      </c>
      <c r="AF209" s="137">
        <f t="shared" ref="AF209" si="569">((AE209/I209)^(1/($AE$3-$J$1) ))-1</f>
        <v>-0.21940520562725974</v>
      </c>
      <c r="AG209" s="31">
        <f t="shared" ref="AG209:AG212" si="570">$N$1</f>
        <v>0.05</v>
      </c>
      <c r="AH209" s="127">
        <f t="shared" si="540"/>
        <v>0.61340387469036972</v>
      </c>
    </row>
    <row r="210" spans="2:34">
      <c r="B210" s="20"/>
      <c r="C210" s="25"/>
      <c r="D210" s="25"/>
      <c r="E210" s="25"/>
      <c r="F210" s="25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28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7"/>
      <c r="AG210" s="31">
        <f t="shared" si="570"/>
        <v>0.05</v>
      </c>
      <c r="AH210" s="127"/>
    </row>
    <row r="211" spans="2:34">
      <c r="B211" s="20" t="s">
        <v>318</v>
      </c>
      <c r="C211" s="150"/>
      <c r="D211" s="150"/>
      <c r="E211" s="150"/>
      <c r="F211" s="150"/>
      <c r="G211" s="150">
        <f t="shared" ref="G211:H211" si="571">G59/G201</f>
        <v>6.4285714285714279E-2</v>
      </c>
      <c r="H211" s="150">
        <f t="shared" si="571"/>
        <v>1.7441860465116279E-2</v>
      </c>
      <c r="I211" s="150">
        <f t="shared" ref="I211:S211" si="572">I59/I201</f>
        <v>1.5789473684210527E-2</v>
      </c>
      <c r="J211" s="150">
        <f t="shared" si="572"/>
        <v>1.7647058823529412E-2</v>
      </c>
      <c r="K211" s="150">
        <f t="shared" si="572"/>
        <v>1.4285714285714285E-2</v>
      </c>
      <c r="L211" s="150">
        <f t="shared" si="572"/>
        <v>3.0000000000000002E-2</v>
      </c>
      <c r="M211" s="150">
        <f t="shared" si="572"/>
        <v>1.2295081967213115E-2</v>
      </c>
      <c r="N211" s="150">
        <f t="shared" si="572"/>
        <v>7.9365079365079361E-3</v>
      </c>
      <c r="O211" s="150">
        <f t="shared" si="572"/>
        <v>6.6666666666666671E-3</v>
      </c>
      <c r="P211" s="150">
        <f t="shared" si="572"/>
        <v>6.2500000000000003E-3</v>
      </c>
      <c r="Q211" s="150">
        <f t="shared" si="572"/>
        <v>6.0000000000000001E-3</v>
      </c>
      <c r="R211" s="150">
        <f t="shared" si="572"/>
        <v>1.3333333333333334E-2</v>
      </c>
      <c r="S211" s="150">
        <f t="shared" si="572"/>
        <v>1.5384615384615385E-2</v>
      </c>
      <c r="T211" s="118">
        <f t="shared" si="536"/>
        <v>-0.11233789316074916</v>
      </c>
      <c r="U211" s="128"/>
      <c r="V211" s="150">
        <f t="shared" ref="V211:AE211" si="573">V59/V201</f>
        <v>4.2000000000000003E-2</v>
      </c>
      <c r="W211" s="150">
        <f t="shared" si="573"/>
        <v>4.41E-2</v>
      </c>
      <c r="X211" s="150">
        <f t="shared" si="573"/>
        <v>4.6305000000000006E-2</v>
      </c>
      <c r="Y211" s="150">
        <f t="shared" si="573"/>
        <v>4.8620250000000011E-2</v>
      </c>
      <c r="Z211" s="150">
        <f t="shared" si="573"/>
        <v>5.1051262500000014E-2</v>
      </c>
      <c r="AA211" s="150">
        <f t="shared" si="573"/>
        <v>5.3603825625000018E-2</v>
      </c>
      <c r="AB211" s="150">
        <f t="shared" si="573"/>
        <v>5.6284016906250019E-2</v>
      </c>
      <c r="AC211" s="150">
        <f t="shared" si="573"/>
        <v>5.9098217751562522E-2</v>
      </c>
      <c r="AD211" s="150">
        <f t="shared" si="573"/>
        <v>6.2053128639140649E-2</v>
      </c>
      <c r="AE211" s="150">
        <f t="shared" si="573"/>
        <v>6.5155785071097677E-2</v>
      </c>
      <c r="AF211" s="137">
        <f t="shared" ref="AF211:AF216" si="574">((AE211/I211)^(1/($AE$3-$J$1) ))-1</f>
        <v>6.9827080694650601E-2</v>
      </c>
      <c r="AG211" s="31">
        <f t="shared" si="570"/>
        <v>0.05</v>
      </c>
      <c r="AH211" s="127">
        <f t="shared" si="540"/>
        <v>0.41003190195870898</v>
      </c>
    </row>
    <row r="212" spans="2:34">
      <c r="B212" s="20" t="s">
        <v>153</v>
      </c>
      <c r="C212" s="150"/>
      <c r="D212" s="150"/>
      <c r="E212" s="150"/>
      <c r="F212" s="150"/>
      <c r="G212" s="163">
        <f t="shared" ref="G212:H212" si="575">G201*G57</f>
        <v>268.10000000000002</v>
      </c>
      <c r="H212" s="163">
        <f t="shared" si="575"/>
        <v>988.14</v>
      </c>
      <c r="I212" s="163">
        <f t="shared" ref="I212:S212" si="576">I201*I57</f>
        <v>1091.55</v>
      </c>
      <c r="J212" s="163">
        <f t="shared" si="576"/>
        <v>1183.1999999999998</v>
      </c>
      <c r="K212" s="163">
        <f t="shared" si="576"/>
        <v>1709.4</v>
      </c>
      <c r="L212" s="163">
        <f t="shared" si="576"/>
        <v>756</v>
      </c>
      <c r="M212" s="163">
        <f t="shared" si="576"/>
        <v>3074.4</v>
      </c>
      <c r="N212" s="163">
        <f t="shared" si="576"/>
        <v>3175.2</v>
      </c>
      <c r="O212" s="163">
        <f t="shared" si="576"/>
        <v>3780</v>
      </c>
      <c r="P212" s="163">
        <f t="shared" si="576"/>
        <v>4032</v>
      </c>
      <c r="Q212" s="163">
        <f t="shared" si="576"/>
        <v>6300</v>
      </c>
      <c r="R212" s="163">
        <f t="shared" si="576"/>
        <v>7560</v>
      </c>
      <c r="S212" s="163">
        <f t="shared" si="576"/>
        <v>6552</v>
      </c>
      <c r="T212" s="118">
        <f t="shared" si="536"/>
        <v>0.30518805219369938</v>
      </c>
      <c r="U212" s="128"/>
      <c r="V212" s="163">
        <f t="shared" ref="V212:AE212" si="577">V201*V57</f>
        <v>2570.4</v>
      </c>
      <c r="W212" s="163">
        <f t="shared" si="577"/>
        <v>2621.808</v>
      </c>
      <c r="X212" s="163">
        <f t="shared" si="577"/>
        <v>2674.2441599999997</v>
      </c>
      <c r="Y212" s="163">
        <f t="shared" si="577"/>
        <v>2727.7290432</v>
      </c>
      <c r="Z212" s="163">
        <f t="shared" si="577"/>
        <v>2782.2836240639999</v>
      </c>
      <c r="AA212" s="163">
        <f t="shared" si="577"/>
        <v>2837.9292965452801</v>
      </c>
      <c r="AB212" s="163">
        <f t="shared" si="577"/>
        <v>2894.6878824761857</v>
      </c>
      <c r="AC212" s="163">
        <f t="shared" si="577"/>
        <v>2952.5816401257098</v>
      </c>
      <c r="AD212" s="163">
        <f t="shared" si="577"/>
        <v>3011.633272928224</v>
      </c>
      <c r="AE212" s="163">
        <f t="shared" si="577"/>
        <v>3071.8659383867885</v>
      </c>
      <c r="AF212" s="137">
        <f t="shared" si="574"/>
        <v>5.0504772414571075E-2</v>
      </c>
      <c r="AG212" s="31">
        <f t="shared" si="570"/>
        <v>0.05</v>
      </c>
      <c r="AH212" s="127">
        <f t="shared" si="540"/>
        <v>18982.410755841684</v>
      </c>
    </row>
    <row r="213" spans="2:34">
      <c r="B213" s="2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28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  <c r="AH213" s="150"/>
    </row>
    <row r="214" spans="2:34">
      <c r="B214" s="20" t="s">
        <v>369</v>
      </c>
      <c r="C214" s="159"/>
      <c r="D214" s="159"/>
      <c r="E214" s="159"/>
      <c r="F214" s="159"/>
      <c r="G214" s="159">
        <f t="shared" ref="G214:H214" si="578">G72/G201</f>
        <v>0.2610966057441253</v>
      </c>
      <c r="H214" s="159">
        <f t="shared" si="578"/>
        <v>6.375614791426315E-2</v>
      </c>
      <c r="I214" s="159">
        <f t="shared" ref="I214:S214" si="579">I72/I201</f>
        <v>8.3367688149878619E-2</v>
      </c>
      <c r="J214" s="159">
        <f t="shared" si="579"/>
        <v>9.8884381338742403E-2</v>
      </c>
      <c r="K214" s="159">
        <f t="shared" si="579"/>
        <v>0.15795015795015793</v>
      </c>
      <c r="L214" s="159">
        <f t="shared" si="579"/>
        <v>0.18386243386243387</v>
      </c>
      <c r="M214" s="159">
        <f t="shared" si="579"/>
        <v>0.21239916731720013</v>
      </c>
      <c r="N214" s="159">
        <f t="shared" si="579"/>
        <v>0.1388888888888889</v>
      </c>
      <c r="O214" s="159">
        <f t="shared" si="579"/>
        <v>0.10899470899470899</v>
      </c>
      <c r="P214" s="159">
        <f t="shared" si="579"/>
        <v>0.15228174603174605</v>
      </c>
      <c r="Q214" s="159">
        <f t="shared" si="579"/>
        <v>0.15952380952380951</v>
      </c>
      <c r="R214" s="159">
        <f t="shared" si="579"/>
        <v>0.12923280423280425</v>
      </c>
      <c r="S214" s="159">
        <f t="shared" si="579"/>
        <v>0.31944444444444448</v>
      </c>
      <c r="T214" s="118">
        <f t="shared" si="536"/>
        <v>1.694978646706824E-2</v>
      </c>
      <c r="U214" s="128"/>
      <c r="V214" s="159">
        <f t="shared" ref="V214:AE214" si="580">V72/V201</f>
        <v>0.93641067538126355</v>
      </c>
      <c r="W214" s="159">
        <f t="shared" si="580"/>
        <v>1.0557571340082872</v>
      </c>
      <c r="X214" s="159">
        <f t="shared" si="580"/>
        <v>1.1903144157936572</v>
      </c>
      <c r="Y214" s="159">
        <f t="shared" si="580"/>
        <v>1.3420211550614758</v>
      </c>
      <c r="Z214" s="159">
        <f t="shared" si="580"/>
        <v>1.5130630669810756</v>
      </c>
      <c r="AA214" s="159">
        <f t="shared" si="580"/>
        <v>1.7059044382629773</v>
      </c>
      <c r="AB214" s="159">
        <f t="shared" si="580"/>
        <v>1.9233236313749253</v>
      </c>
      <c r="AC214" s="159">
        <f t="shared" si="580"/>
        <v>2.1684531138050627</v>
      </c>
      <c r="AD214" s="159">
        <f t="shared" si="580"/>
        <v>2.4448245890939431</v>
      </c>
      <c r="AE214" s="159">
        <f t="shared" si="580"/>
        <v>2.7564198798608173</v>
      </c>
      <c r="AF214" s="137">
        <f t="shared" ref="AF214" si="581">((AE214/I214)^(1/($AE$3-$J$1) ))-1</f>
        <v>0.1812719362036348</v>
      </c>
      <c r="AG214" s="31">
        <f t="shared" ref="AG214" si="582">$N$1</f>
        <v>0.05</v>
      </c>
      <c r="AH214" s="127">
        <f t="shared" ref="AH214" si="583">(AE214*(1+AF214))/($C$1-AG214)</f>
        <v>19.153420285137518</v>
      </c>
    </row>
    <row r="215" spans="2:34">
      <c r="B215" s="20" t="str">
        <f>B203</f>
        <v>P/E (how many years it will take to recover invested amount)</v>
      </c>
      <c r="C215" s="150"/>
      <c r="D215" s="150"/>
      <c r="E215" s="150"/>
      <c r="F215" s="150"/>
      <c r="G215" s="179">
        <f t="shared" ref="G215:H215" si="584">G203</f>
        <v>3.8300000000000005</v>
      </c>
      <c r="H215" s="179">
        <f t="shared" si="584"/>
        <v>15.684761904761906</v>
      </c>
      <c r="I215" s="179">
        <f t="shared" ref="I215:S215" si="585">I203</f>
        <v>11.995054945054944</v>
      </c>
      <c r="J215" s="179">
        <f t="shared" si="585"/>
        <v>10.112820512820512</v>
      </c>
      <c r="K215" s="179">
        <f t="shared" si="585"/>
        <v>6.3311111111111114</v>
      </c>
      <c r="L215" s="179">
        <f t="shared" si="585"/>
        <v>5.4388489208633093</v>
      </c>
      <c r="M215" s="179">
        <f t="shared" si="585"/>
        <v>4.708116385911179</v>
      </c>
      <c r="N215" s="179">
        <f t="shared" si="585"/>
        <v>7.2</v>
      </c>
      <c r="O215" s="179">
        <f t="shared" si="585"/>
        <v>9.1747572815533989</v>
      </c>
      <c r="P215" s="179">
        <f t="shared" si="585"/>
        <v>6.5667752442996736</v>
      </c>
      <c r="Q215" s="179">
        <f t="shared" si="585"/>
        <v>6.2686567164179108</v>
      </c>
      <c r="R215" s="179">
        <f t="shared" si="585"/>
        <v>7.7379733879222101</v>
      </c>
      <c r="S215" s="179">
        <f t="shared" si="585"/>
        <v>3.1304347826086958</v>
      </c>
      <c r="T215" s="118">
        <f t="shared" si="536"/>
        <v>-1.6667279636247034E-2</v>
      </c>
      <c r="U215" s="128"/>
      <c r="V215" s="150">
        <f t="shared" ref="V215:AE215" si="586">V203</f>
        <v>1.067907517813</v>
      </c>
      <c r="W215" s="150">
        <f t="shared" si="586"/>
        <v>0.94718753753848706</v>
      </c>
      <c r="X215" s="150">
        <f t="shared" si="586"/>
        <v>0.84011416372978853</v>
      </c>
      <c r="Y215" s="150">
        <f t="shared" si="586"/>
        <v>0.7451447365255518</v>
      </c>
      <c r="Z215" s="150">
        <f t="shared" si="586"/>
        <v>0.66091098370092416</v>
      </c>
      <c r="AA215" s="150">
        <f t="shared" si="586"/>
        <v>0.58619930728255887</v>
      </c>
      <c r="AB215" s="150">
        <f t="shared" si="586"/>
        <v>0.51993329863322613</v>
      </c>
      <c r="AC215" s="150">
        <f t="shared" si="586"/>
        <v>0.46115823009207885</v>
      </c>
      <c r="AD215" s="150">
        <f t="shared" si="586"/>
        <v>0.40902729973384394</v>
      </c>
      <c r="AE215" s="150">
        <f t="shared" si="586"/>
        <v>0.36278943106827904</v>
      </c>
      <c r="AF215" s="137">
        <f t="shared" ref="AF215" si="587">((AE215/I215)^(1/($AE$3-$J$1) ))-1</f>
        <v>-0.15345487406244951</v>
      </c>
      <c r="AG215" s="31">
        <f t="shared" ref="AG215:AG217" si="588">$N$1</f>
        <v>0.05</v>
      </c>
      <c r="AH215" s="179">
        <f>(AH202)/($N$2*100)</f>
        <v>2.2997435397298205E-2</v>
      </c>
    </row>
    <row r="216" spans="2:34">
      <c r="B216" s="20" t="s">
        <v>444</v>
      </c>
      <c r="C216" s="179"/>
      <c r="D216" s="179"/>
      <c r="E216" s="179"/>
      <c r="F216" s="179"/>
      <c r="G216" s="179">
        <f t="shared" ref="G216:H216" si="589">(G203)/($N$2*100)</f>
        <v>0.25533333333333336</v>
      </c>
      <c r="H216" s="179">
        <f t="shared" si="589"/>
        <v>1.0456507936507937</v>
      </c>
      <c r="I216" s="179">
        <f t="shared" ref="I216:S216" si="590">(I203)/($N$2*100)</f>
        <v>0.79967032967032958</v>
      </c>
      <c r="J216" s="179">
        <f t="shared" si="590"/>
        <v>0.67418803418803419</v>
      </c>
      <c r="K216" s="179">
        <f t="shared" si="590"/>
        <v>0.4220740740740741</v>
      </c>
      <c r="L216" s="179">
        <f t="shared" si="590"/>
        <v>0.36258992805755397</v>
      </c>
      <c r="M216" s="179">
        <f t="shared" si="590"/>
        <v>0.31387442572741192</v>
      </c>
      <c r="N216" s="179">
        <f t="shared" si="590"/>
        <v>0.48000000000000004</v>
      </c>
      <c r="O216" s="179">
        <f t="shared" si="590"/>
        <v>0.61165048543689327</v>
      </c>
      <c r="P216" s="179">
        <f t="shared" si="590"/>
        <v>0.4377850162866449</v>
      </c>
      <c r="Q216" s="179">
        <f t="shared" si="590"/>
        <v>0.41791044776119407</v>
      </c>
      <c r="R216" s="179">
        <f t="shared" si="590"/>
        <v>0.51586489252814738</v>
      </c>
      <c r="S216" s="179">
        <f t="shared" si="590"/>
        <v>0.20869565217391306</v>
      </c>
      <c r="T216" s="118">
        <f t="shared" si="536"/>
        <v>-1.6667279636247034E-2</v>
      </c>
      <c r="U216" s="128"/>
      <c r="V216" s="179">
        <f t="shared" ref="V216:AE216" si="591">(V203)/($N$2*100)</f>
        <v>7.1193834520866667E-2</v>
      </c>
      <c r="W216" s="179">
        <f t="shared" si="591"/>
        <v>6.3145835835899139E-2</v>
      </c>
      <c r="X216" s="179">
        <f t="shared" si="591"/>
        <v>5.6007610915319236E-2</v>
      </c>
      <c r="Y216" s="179">
        <f t="shared" si="591"/>
        <v>4.9676315768370123E-2</v>
      </c>
      <c r="Z216" s="179">
        <f t="shared" si="591"/>
        <v>4.4060732246728275E-2</v>
      </c>
      <c r="AA216" s="179">
        <f t="shared" si="591"/>
        <v>3.9079953818837256E-2</v>
      </c>
      <c r="AB216" s="179">
        <f t="shared" si="591"/>
        <v>3.4662219908881742E-2</v>
      </c>
      <c r="AC216" s="179">
        <f t="shared" si="591"/>
        <v>3.074388200613859E-2</v>
      </c>
      <c r="AD216" s="179">
        <f t="shared" si="591"/>
        <v>2.7268486648922931E-2</v>
      </c>
      <c r="AE216" s="179">
        <f t="shared" si="591"/>
        <v>2.4185962071218602E-2</v>
      </c>
      <c r="AF216" s="137">
        <f t="shared" si="574"/>
        <v>-0.15345487406244951</v>
      </c>
      <c r="AG216" s="31">
        <f t="shared" si="588"/>
        <v>0.05</v>
      </c>
      <c r="AH216" s="179">
        <f>(AH203)/($N$2*100)</f>
        <v>0.12043828416176809</v>
      </c>
    </row>
    <row r="217" spans="2:34">
      <c r="B217" s="20" t="s">
        <v>445</v>
      </c>
      <c r="C217" s="150"/>
      <c r="D217" s="150"/>
      <c r="E217" s="150"/>
      <c r="F217" s="150"/>
      <c r="G217" s="150">
        <f t="shared" ref="G217:H217" si="592">G216-1</f>
        <v>-0.74466666666666659</v>
      </c>
      <c r="H217" s="150">
        <f t="shared" si="592"/>
        <v>4.565079365079372E-2</v>
      </c>
      <c r="I217" s="150">
        <f t="shared" ref="I217:R217" si="593">I216-1</f>
        <v>-0.20032967032967042</v>
      </c>
      <c r="J217" s="150">
        <f t="shared" si="593"/>
        <v>-0.32581196581196581</v>
      </c>
      <c r="K217" s="150">
        <f t="shared" si="593"/>
        <v>-0.57792592592592595</v>
      </c>
      <c r="L217" s="150">
        <f t="shared" si="593"/>
        <v>-0.63741007194244603</v>
      </c>
      <c r="M217" s="150">
        <f t="shared" si="593"/>
        <v>-0.68612557427258802</v>
      </c>
      <c r="N217" s="150">
        <f t="shared" si="593"/>
        <v>-0.52</v>
      </c>
      <c r="O217" s="150">
        <f t="shared" si="593"/>
        <v>-0.38834951456310673</v>
      </c>
      <c r="P217" s="150">
        <f t="shared" si="593"/>
        <v>-0.5622149837133551</v>
      </c>
      <c r="Q217" s="150">
        <f t="shared" si="593"/>
        <v>-0.58208955223880587</v>
      </c>
      <c r="R217" s="150">
        <f t="shared" si="593"/>
        <v>-0.48413510747185262</v>
      </c>
      <c r="S217" s="150">
        <f>S216-1</f>
        <v>-0.79130434782608694</v>
      </c>
      <c r="T217" s="118">
        <f t="shared" si="536"/>
        <v>5.0749982467743759E-3</v>
      </c>
      <c r="U217" s="128"/>
      <c r="V217" s="150">
        <f t="shared" ref="V217:AE217" si="594">V216-1</f>
        <v>-0.92880616547913331</v>
      </c>
      <c r="W217" s="150">
        <f t="shared" si="594"/>
        <v>-0.93685416416410083</v>
      </c>
      <c r="X217" s="150">
        <f t="shared" si="594"/>
        <v>-0.94399238908468075</v>
      </c>
      <c r="Y217" s="150">
        <f t="shared" si="594"/>
        <v>-0.95032368423162983</v>
      </c>
      <c r="Z217" s="150">
        <f t="shared" si="594"/>
        <v>-0.95593926775327176</v>
      </c>
      <c r="AA217" s="150">
        <f t="shared" si="594"/>
        <v>-0.96092004618116278</v>
      </c>
      <c r="AB217" s="150">
        <f t="shared" si="594"/>
        <v>-0.96533778009111826</v>
      </c>
      <c r="AC217" s="150">
        <f t="shared" si="594"/>
        <v>-0.96925611799386147</v>
      </c>
      <c r="AD217" s="150">
        <f t="shared" si="594"/>
        <v>-0.9727315133510771</v>
      </c>
      <c r="AE217" s="150">
        <f t="shared" si="594"/>
        <v>-0.97581403792878141</v>
      </c>
      <c r="AF217" s="137">
        <f t="shared" ref="AF217" si="595">((AE217/I217)^(1/($AE$3-$J$1) ))-1</f>
        <v>7.8310649916967234E-2</v>
      </c>
      <c r="AG217" s="31">
        <f t="shared" si="588"/>
        <v>0.05</v>
      </c>
      <c r="AH217" s="179">
        <f>(AH204)/($N$2*100)</f>
        <v>0.17578131731457822</v>
      </c>
    </row>
    <row r="218" spans="2:34">
      <c r="B218" s="2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28"/>
      <c r="U218" s="128"/>
      <c r="V218" s="150"/>
      <c r="W218" s="150"/>
      <c r="X218" s="150"/>
      <c r="Y218" s="150"/>
      <c r="Z218" s="150"/>
      <c r="AA218" s="150"/>
      <c r="AB218" s="150"/>
      <c r="AC218" s="150"/>
      <c r="AD218" s="150"/>
      <c r="AE218" s="134"/>
      <c r="AF218" s="136"/>
      <c r="AG218" s="20"/>
      <c r="AH218" s="127"/>
    </row>
    <row r="219" spans="2:34">
      <c r="B219" s="20" t="s">
        <v>473</v>
      </c>
      <c r="C219" s="150"/>
      <c r="D219" s="150"/>
      <c r="E219" s="150"/>
      <c r="F219" s="150"/>
      <c r="G219" s="150">
        <f t="shared" ref="G219:S219" si="596">1/G220</f>
        <v>0.17553081838796125</v>
      </c>
      <c r="H219" s="150">
        <f t="shared" si="596"/>
        <v>4.7624640647896462E-2</v>
      </c>
      <c r="I219" s="150">
        <f t="shared" si="596"/>
        <v>4.3112832586516797E-2</v>
      </c>
      <c r="J219" s="150">
        <f t="shared" si="596"/>
        <v>4.8184930537871713E-2</v>
      </c>
      <c r="K219" s="150">
        <f t="shared" si="596"/>
        <v>0.3510616367759225</v>
      </c>
      <c r="L219" s="150">
        <f t="shared" si="596"/>
        <v>0.81914381914381917</v>
      </c>
      <c r="M219" s="150">
        <f t="shared" si="596"/>
        <v>0.20142880798618504</v>
      </c>
      <c r="N219" s="150">
        <f t="shared" si="596"/>
        <v>0.19503424265329025</v>
      </c>
      <c r="O219" s="150">
        <f t="shared" si="596"/>
        <v>0.16382876382876382</v>
      </c>
      <c r="P219" s="150">
        <f t="shared" si="596"/>
        <v>0.15358946608946608</v>
      </c>
      <c r="Q219" s="150">
        <f t="shared" si="596"/>
        <v>9.8297258297258286E-2</v>
      </c>
      <c r="R219" s="150">
        <f t="shared" si="596"/>
        <v>8.1914381914381912E-2</v>
      </c>
      <c r="S219" s="150">
        <f t="shared" si="596"/>
        <v>9.4516594516594526E-2</v>
      </c>
      <c r="T219" s="118">
        <f t="shared" si="536"/>
        <v>-5.0278600137732776E-2</v>
      </c>
      <c r="U219" s="128"/>
      <c r="V219" s="150">
        <f t="shared" ref="V219:AE219" si="597">1/V220</f>
        <v>0.24574314574314574</v>
      </c>
      <c r="W219" s="150">
        <f t="shared" si="597"/>
        <v>0.24574314574314574</v>
      </c>
      <c r="X219" s="150">
        <f t="shared" si="597"/>
        <v>0.24574314574314574</v>
      </c>
      <c r="Y219" s="150">
        <f t="shared" si="597"/>
        <v>0.24574314574314574</v>
      </c>
      <c r="Z219" s="150">
        <f t="shared" si="597"/>
        <v>0.24574314574314574</v>
      </c>
      <c r="AA219" s="150">
        <f t="shared" si="597"/>
        <v>0.24574314574314574</v>
      </c>
      <c r="AB219" s="150">
        <f t="shared" si="597"/>
        <v>0.24574314574314574</v>
      </c>
      <c r="AC219" s="150">
        <f t="shared" si="597"/>
        <v>0.24574314574314574</v>
      </c>
      <c r="AD219" s="150">
        <f t="shared" si="597"/>
        <v>0.24574314574314574</v>
      </c>
      <c r="AE219" s="150">
        <f t="shared" si="597"/>
        <v>0.24574314574314574</v>
      </c>
      <c r="AF219" s="137">
        <f t="shared" ref="AF219" si="598">((AE219/I219)^(1/($AE$3-$J$1) ))-1</f>
        <v>8.641071612512552E-2</v>
      </c>
      <c r="AG219" s="31">
        <f t="shared" ref="AG219:AG222" si="599">$N$1</f>
        <v>0.05</v>
      </c>
      <c r="AH219" s="179">
        <f>(AH206)/($N$2*100)</f>
        <v>4.2729323909296228E-2</v>
      </c>
    </row>
    <row r="220" spans="2:34">
      <c r="B220" s="20" t="s">
        <v>474</v>
      </c>
      <c r="C220" s="129"/>
      <c r="D220" s="129"/>
      <c r="E220" s="129"/>
      <c r="F220" s="129"/>
      <c r="G220" s="134">
        <f t="shared" ref="G220:H220" si="600">G201/$U$170</f>
        <v>5.697005284791544</v>
      </c>
      <c r="H220" s="134">
        <f t="shared" si="600"/>
        <v>20.997533763945977</v>
      </c>
      <c r="I220" s="134">
        <f t="shared" ref="I220:S220" si="601">I201/$U$170</f>
        <v>23.19495008807986</v>
      </c>
      <c r="J220" s="134">
        <f t="shared" si="601"/>
        <v>20.753376394597769</v>
      </c>
      <c r="K220" s="134">
        <f t="shared" si="601"/>
        <v>2.848502642395772</v>
      </c>
      <c r="L220" s="134">
        <f t="shared" si="601"/>
        <v>1.2207868467410452</v>
      </c>
      <c r="M220" s="134">
        <f t="shared" si="601"/>
        <v>4.964533176746917</v>
      </c>
      <c r="N220" s="134">
        <f t="shared" si="601"/>
        <v>5.1273047563123901</v>
      </c>
      <c r="O220" s="134">
        <f t="shared" si="601"/>
        <v>6.1039342337052265</v>
      </c>
      <c r="P220" s="134">
        <f t="shared" si="601"/>
        <v>6.5108631826189081</v>
      </c>
      <c r="Q220" s="134">
        <f t="shared" si="601"/>
        <v>10.173223722842044</v>
      </c>
      <c r="R220" s="134">
        <f t="shared" si="601"/>
        <v>12.207868467410453</v>
      </c>
      <c r="S220" s="134">
        <f t="shared" si="601"/>
        <v>10.580152671755725</v>
      </c>
      <c r="T220" s="118">
        <f t="shared" si="536"/>
        <v>5.2940367717337233E-2</v>
      </c>
      <c r="U220" s="128"/>
      <c r="V220" s="134">
        <f t="shared" ref="V220:AE220" si="602">V201/$U$170</f>
        <v>4.0692894891368177</v>
      </c>
      <c r="W220" s="134">
        <f t="shared" si="602"/>
        <v>4.0692894891368177</v>
      </c>
      <c r="X220" s="134">
        <f t="shared" si="602"/>
        <v>4.0692894891368177</v>
      </c>
      <c r="Y220" s="134">
        <f t="shared" si="602"/>
        <v>4.0692894891368177</v>
      </c>
      <c r="Z220" s="134">
        <f t="shared" si="602"/>
        <v>4.0692894891368177</v>
      </c>
      <c r="AA220" s="134">
        <f t="shared" si="602"/>
        <v>4.0692894891368177</v>
      </c>
      <c r="AB220" s="134">
        <f t="shared" si="602"/>
        <v>4.0692894891368177</v>
      </c>
      <c r="AC220" s="134">
        <f t="shared" si="602"/>
        <v>4.0692894891368177</v>
      </c>
      <c r="AD220" s="134">
        <f t="shared" si="602"/>
        <v>4.0692894891368177</v>
      </c>
      <c r="AE220" s="134">
        <f t="shared" si="602"/>
        <v>4.0692894891368177</v>
      </c>
      <c r="AF220" s="137">
        <f t="shared" ref="AF220:AF222" si="603">((AE220/I220)^(1/($AE$3-$J$1) ))-1</f>
        <v>-7.9537798037674468E-2</v>
      </c>
      <c r="AG220" s="31">
        <f t="shared" si="599"/>
        <v>0.05</v>
      </c>
      <c r="AH220" s="179">
        <f>(AH206)/($N$2*100)</f>
        <v>4.2729323909296228E-2</v>
      </c>
    </row>
    <row r="221" spans="2:34">
      <c r="B221" s="20" t="s">
        <v>468</v>
      </c>
      <c r="C221" s="129"/>
      <c r="D221" s="129"/>
      <c r="E221" s="129"/>
      <c r="F221" s="129"/>
      <c r="G221" s="179">
        <f t="shared" ref="G221:H221" si="604">(G220)/($N$2*100)</f>
        <v>0.37980035231943626</v>
      </c>
      <c r="H221" s="179">
        <f t="shared" si="604"/>
        <v>1.3998355842630652</v>
      </c>
      <c r="I221" s="179">
        <f t="shared" ref="I221:S221" si="605">(I220)/($N$2*100)</f>
        <v>1.5463300058719907</v>
      </c>
      <c r="J221" s="179">
        <f t="shared" si="605"/>
        <v>1.3835584263065179</v>
      </c>
      <c r="K221" s="179">
        <f t="shared" si="605"/>
        <v>0.18990017615971813</v>
      </c>
      <c r="L221" s="179">
        <f t="shared" si="605"/>
        <v>8.1385789782736348E-2</v>
      </c>
      <c r="M221" s="179">
        <f t="shared" si="605"/>
        <v>0.33096887844979445</v>
      </c>
      <c r="N221" s="179">
        <f t="shared" si="605"/>
        <v>0.34182031708749266</v>
      </c>
      <c r="O221" s="179">
        <f t="shared" si="605"/>
        <v>0.40692894891368175</v>
      </c>
      <c r="P221" s="179">
        <f t="shared" si="605"/>
        <v>0.43405754550792719</v>
      </c>
      <c r="Q221" s="179">
        <f t="shared" si="605"/>
        <v>0.67821491485613628</v>
      </c>
      <c r="R221" s="179">
        <f t="shared" si="605"/>
        <v>0.81385789782736351</v>
      </c>
      <c r="S221" s="179">
        <f t="shared" si="605"/>
        <v>0.70534351145038165</v>
      </c>
      <c r="T221" s="118">
        <f t="shared" si="536"/>
        <v>5.2940367717337233E-2</v>
      </c>
      <c r="U221" s="128"/>
      <c r="V221" s="179">
        <f t="shared" ref="V221:AE221" si="606">(V220)/($N$2*100)</f>
        <v>0.27128596594245452</v>
      </c>
      <c r="W221" s="179">
        <f t="shared" si="606"/>
        <v>0.27128596594245452</v>
      </c>
      <c r="X221" s="179">
        <f t="shared" si="606"/>
        <v>0.27128596594245452</v>
      </c>
      <c r="Y221" s="179">
        <f t="shared" si="606"/>
        <v>0.27128596594245452</v>
      </c>
      <c r="Z221" s="179">
        <f t="shared" si="606"/>
        <v>0.27128596594245452</v>
      </c>
      <c r="AA221" s="179">
        <f t="shared" si="606"/>
        <v>0.27128596594245452</v>
      </c>
      <c r="AB221" s="179">
        <f t="shared" si="606"/>
        <v>0.27128596594245452</v>
      </c>
      <c r="AC221" s="179">
        <f t="shared" si="606"/>
        <v>0.27128596594245452</v>
      </c>
      <c r="AD221" s="179">
        <f t="shared" si="606"/>
        <v>0.27128596594245452</v>
      </c>
      <c r="AE221" s="179">
        <f t="shared" si="606"/>
        <v>0.27128596594245452</v>
      </c>
      <c r="AF221" s="137">
        <f t="shared" si="603"/>
        <v>-7.9537798037674468E-2</v>
      </c>
      <c r="AG221" s="31">
        <f t="shared" si="599"/>
        <v>0.05</v>
      </c>
      <c r="AH221" s="179">
        <f>(AH207)/($N$2*100)</f>
        <v>0.38678573052487691</v>
      </c>
    </row>
    <row r="222" spans="2:34">
      <c r="B222" s="20" t="s">
        <v>469</v>
      </c>
      <c r="C222" s="129"/>
      <c r="D222" s="129"/>
      <c r="E222" s="129"/>
      <c r="F222" s="129"/>
      <c r="G222" s="150">
        <f t="shared" ref="G222:H222" si="607">G221-1</f>
        <v>-0.62019964768056379</v>
      </c>
      <c r="H222" s="150">
        <f t="shared" si="607"/>
        <v>0.3998355842630652</v>
      </c>
      <c r="I222" s="150">
        <f t="shared" ref="I222:S222" si="608">I221-1</f>
        <v>0.54633000587199065</v>
      </c>
      <c r="J222" s="150">
        <f t="shared" si="608"/>
        <v>0.38355842630651793</v>
      </c>
      <c r="K222" s="150">
        <f t="shared" si="608"/>
        <v>-0.8100998238402819</v>
      </c>
      <c r="L222" s="150">
        <f t="shared" si="608"/>
        <v>-0.91861421021726364</v>
      </c>
      <c r="M222" s="150">
        <f t="shared" si="608"/>
        <v>-0.66903112155020561</v>
      </c>
      <c r="N222" s="150">
        <f t="shared" si="608"/>
        <v>-0.65817968291250728</v>
      </c>
      <c r="O222" s="150">
        <f t="shared" si="608"/>
        <v>-0.59307105108631819</v>
      </c>
      <c r="P222" s="150">
        <f t="shared" si="608"/>
        <v>-0.56594245449207281</v>
      </c>
      <c r="Q222" s="150">
        <f t="shared" si="608"/>
        <v>-0.32178508514386372</v>
      </c>
      <c r="R222" s="150">
        <f t="shared" si="608"/>
        <v>-0.18614210217263649</v>
      </c>
      <c r="S222" s="150">
        <f t="shared" si="608"/>
        <v>-0.29465648854961835</v>
      </c>
      <c r="T222" s="118">
        <f t="shared" si="536"/>
        <v>-6.0135221941355232E-2</v>
      </c>
      <c r="U222" s="128"/>
      <c r="V222" s="150">
        <f t="shared" ref="V222:AE222" si="609">V221-1</f>
        <v>-0.72871403405754553</v>
      </c>
      <c r="W222" s="150">
        <f t="shared" si="609"/>
        <v>-0.72871403405754553</v>
      </c>
      <c r="X222" s="150">
        <f t="shared" si="609"/>
        <v>-0.72871403405754553</v>
      </c>
      <c r="Y222" s="150">
        <f t="shared" si="609"/>
        <v>-0.72871403405754553</v>
      </c>
      <c r="Z222" s="150">
        <f t="shared" si="609"/>
        <v>-0.72871403405754553</v>
      </c>
      <c r="AA222" s="150">
        <f t="shared" si="609"/>
        <v>-0.72871403405754553</v>
      </c>
      <c r="AB222" s="150">
        <f t="shared" si="609"/>
        <v>-0.72871403405754553</v>
      </c>
      <c r="AC222" s="150">
        <f t="shared" si="609"/>
        <v>-0.72871403405754553</v>
      </c>
      <c r="AD222" s="150">
        <f t="shared" si="609"/>
        <v>-0.72871403405754553</v>
      </c>
      <c r="AE222" s="150">
        <f t="shared" si="609"/>
        <v>-0.72871403405754553</v>
      </c>
      <c r="AF222" s="137">
        <f t="shared" si="603"/>
        <v>-2.0138115668395153</v>
      </c>
      <c r="AG222" s="31">
        <f t="shared" si="599"/>
        <v>0.05</v>
      </c>
      <c r="AH222" s="179">
        <f>(AH208)/($N$2*100)</f>
        <v>0.16870792548795038</v>
      </c>
    </row>
    <row r="223" spans="2:34">
      <c r="B223" s="20"/>
      <c r="C223" s="129"/>
      <c r="D223" s="129"/>
      <c r="E223" s="129"/>
      <c r="F223" s="129"/>
      <c r="G223" s="134"/>
      <c r="H223" s="134"/>
      <c r="I223" s="134"/>
      <c r="J223" s="134"/>
      <c r="K223" s="134"/>
      <c r="L223" s="134"/>
      <c r="M223" s="197"/>
      <c r="N223" s="198"/>
      <c r="O223" s="134"/>
      <c r="P223" s="134"/>
      <c r="Q223" s="134"/>
      <c r="R223" s="134"/>
      <c r="S223" s="134"/>
      <c r="T223" s="128"/>
      <c r="U223" s="128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6"/>
      <c r="AG223" s="20"/>
      <c r="AH223" s="20"/>
    </row>
    <row r="224" spans="2:34">
      <c r="B224" s="20" t="s">
        <v>473</v>
      </c>
      <c r="C224" s="129"/>
      <c r="D224" s="129"/>
      <c r="E224" s="129"/>
      <c r="F224" s="129"/>
      <c r="G224" s="150">
        <f t="shared" ref="G224:S224" si="610">1/G225</f>
        <v>0.28917233560090705</v>
      </c>
      <c r="H224" s="150">
        <f t="shared" si="610"/>
        <v>7.8457610434354619E-2</v>
      </c>
      <c r="I224" s="150">
        <f t="shared" si="610"/>
        <v>7.1024784182678935E-2</v>
      </c>
      <c r="J224" s="150">
        <f t="shared" si="610"/>
        <v>7.9380641145347028E-2</v>
      </c>
      <c r="K224" s="150">
        <f t="shared" si="610"/>
        <v>0.5783446712018141</v>
      </c>
      <c r="L224" s="150">
        <f t="shared" si="610"/>
        <v>1.3494708994708997</v>
      </c>
      <c r="M224" s="150">
        <f t="shared" si="610"/>
        <v>0.33183710642727038</v>
      </c>
      <c r="N224" s="150">
        <f t="shared" si="610"/>
        <v>0.32130259511211895</v>
      </c>
      <c r="O224" s="150">
        <f t="shared" si="610"/>
        <v>0.26989417989417991</v>
      </c>
      <c r="P224" s="150">
        <f t="shared" si="610"/>
        <v>0.2530257936507937</v>
      </c>
      <c r="Q224" s="150">
        <f t="shared" si="610"/>
        <v>0.16193650793650796</v>
      </c>
      <c r="R224" s="150">
        <f t="shared" si="610"/>
        <v>0.13494708994708995</v>
      </c>
      <c r="S224" s="150">
        <f t="shared" si="610"/>
        <v>0.15570818070818071</v>
      </c>
      <c r="T224" s="118">
        <f t="shared" si="536"/>
        <v>-5.0278600137732776E-2</v>
      </c>
      <c r="U224" s="128"/>
      <c r="V224" s="150">
        <f t="shared" ref="V224:AE224" si="611">1/V225</f>
        <v>0.40484126984126989</v>
      </c>
      <c r="W224" s="150">
        <f t="shared" si="611"/>
        <v>0.40484126984126989</v>
      </c>
      <c r="X224" s="150">
        <f t="shared" si="611"/>
        <v>0.40484126984126989</v>
      </c>
      <c r="Y224" s="150">
        <f t="shared" si="611"/>
        <v>0.40484126984126989</v>
      </c>
      <c r="Z224" s="150">
        <f t="shared" si="611"/>
        <v>0.40484126984126989</v>
      </c>
      <c r="AA224" s="150">
        <f t="shared" si="611"/>
        <v>0.40484126984126989</v>
      </c>
      <c r="AB224" s="150">
        <f t="shared" si="611"/>
        <v>0.40484126984126989</v>
      </c>
      <c r="AC224" s="150">
        <f t="shared" si="611"/>
        <v>0.40484126984126989</v>
      </c>
      <c r="AD224" s="150">
        <f t="shared" si="611"/>
        <v>0.40484126984126989</v>
      </c>
      <c r="AE224" s="150">
        <f t="shared" si="611"/>
        <v>0.40484126984126989</v>
      </c>
      <c r="AF224" s="137">
        <f t="shared" ref="AF224" si="612">((AE224/I224)^(1/($AE$3-$J$1) ))-1</f>
        <v>8.641071612512552E-2</v>
      </c>
      <c r="AG224" s="31">
        <f t="shared" ref="AG224" si="613">$N$1</f>
        <v>0.05</v>
      </c>
      <c r="AH224" s="179">
        <f>(AH210)/($N$2*100)</f>
        <v>0</v>
      </c>
    </row>
    <row r="225" spans="2:48">
      <c r="B225" s="20" t="s">
        <v>475</v>
      </c>
      <c r="C225" s="129"/>
      <c r="D225" s="129"/>
      <c r="E225" s="129"/>
      <c r="F225" s="129"/>
      <c r="G225" s="134">
        <f t="shared" ref="G225:H225" si="614">G201/$S$170</f>
        <v>3.4581454616741811</v>
      </c>
      <c r="H225" s="134">
        <f t="shared" si="614"/>
        <v>12.745736130170554</v>
      </c>
      <c r="I225" s="134">
        <f t="shared" ref="I225:S225" si="615">I201/$S$170</f>
        <v>14.079592236816309</v>
      </c>
      <c r="J225" s="134">
        <f t="shared" si="615"/>
        <v>12.597529896098804</v>
      </c>
      <c r="K225" s="134">
        <f t="shared" si="615"/>
        <v>1.7290727308370906</v>
      </c>
      <c r="L225" s="134">
        <f t="shared" si="615"/>
        <v>0.7410311703587531</v>
      </c>
      <c r="M225" s="134">
        <f t="shared" si="615"/>
        <v>3.0135267594589292</v>
      </c>
      <c r="N225" s="134">
        <f t="shared" si="615"/>
        <v>3.1123309155067629</v>
      </c>
      <c r="O225" s="134">
        <f t="shared" si="615"/>
        <v>3.7051558517937657</v>
      </c>
      <c r="P225" s="134">
        <f t="shared" si="615"/>
        <v>3.9521662419133499</v>
      </c>
      <c r="Q225" s="134">
        <f t="shared" si="615"/>
        <v>6.1752597529896089</v>
      </c>
      <c r="R225" s="134">
        <f t="shared" si="615"/>
        <v>7.4103117035875314</v>
      </c>
      <c r="S225" s="134">
        <f t="shared" si="615"/>
        <v>6.422270143109194</v>
      </c>
      <c r="T225" s="118">
        <f t="shared" si="536"/>
        <v>5.2940367717337233E-2</v>
      </c>
      <c r="U225" s="128"/>
      <c r="V225" s="134">
        <f t="shared" ref="V225:AE225" si="616">V201/$S$170</f>
        <v>2.4701039011958437</v>
      </c>
      <c r="W225" s="134">
        <f t="shared" si="616"/>
        <v>2.4701039011958437</v>
      </c>
      <c r="X225" s="134">
        <f t="shared" si="616"/>
        <v>2.4701039011958437</v>
      </c>
      <c r="Y225" s="134">
        <f t="shared" si="616"/>
        <v>2.4701039011958437</v>
      </c>
      <c r="Z225" s="134">
        <f t="shared" si="616"/>
        <v>2.4701039011958437</v>
      </c>
      <c r="AA225" s="134">
        <f t="shared" si="616"/>
        <v>2.4701039011958437</v>
      </c>
      <c r="AB225" s="134">
        <f t="shared" si="616"/>
        <v>2.4701039011958437</v>
      </c>
      <c r="AC225" s="134">
        <f t="shared" si="616"/>
        <v>2.4701039011958437</v>
      </c>
      <c r="AD225" s="134">
        <f t="shared" si="616"/>
        <v>2.4701039011958437</v>
      </c>
      <c r="AE225" s="134">
        <f t="shared" si="616"/>
        <v>2.4701039011958437</v>
      </c>
      <c r="AF225" s="137">
        <f t="shared" ref="AF225:AF227" si="617">((AE225/I225)^(1/($AE$3-$J$1) ))-1</f>
        <v>-7.9537798037674468E-2</v>
      </c>
      <c r="AG225" s="31">
        <f t="shared" ref="AG225:AG227" si="618">$N$1</f>
        <v>0.05</v>
      </c>
      <c r="AH225" s="179">
        <f>(AH210)/($N$2*100)</f>
        <v>0</v>
      </c>
    </row>
    <row r="226" spans="2:48">
      <c r="B226" s="20" t="s">
        <v>468</v>
      </c>
      <c r="C226" s="129"/>
      <c r="D226" s="129"/>
      <c r="E226" s="129"/>
      <c r="F226" s="129"/>
      <c r="G226" s="179">
        <f t="shared" ref="G226:H226" si="619">(G225)/($N$2*100)</f>
        <v>0.23054303077827873</v>
      </c>
      <c r="H226" s="179">
        <f t="shared" si="619"/>
        <v>0.84971574201137023</v>
      </c>
      <c r="I226" s="179">
        <f t="shared" ref="I226:S226" si="620">(I225)/($N$2*100)</f>
        <v>0.93863948245442053</v>
      </c>
      <c r="J226" s="179">
        <f t="shared" si="620"/>
        <v>0.83983532640658687</v>
      </c>
      <c r="K226" s="179">
        <f t="shared" si="620"/>
        <v>0.11527151538913936</v>
      </c>
      <c r="L226" s="179">
        <f t="shared" si="620"/>
        <v>4.9402078023916871E-2</v>
      </c>
      <c r="M226" s="179">
        <f t="shared" si="620"/>
        <v>0.2009017839639286</v>
      </c>
      <c r="N226" s="179">
        <f t="shared" si="620"/>
        <v>0.20748872770045085</v>
      </c>
      <c r="O226" s="179">
        <f t="shared" si="620"/>
        <v>0.24701039011958439</v>
      </c>
      <c r="P226" s="179">
        <f t="shared" si="620"/>
        <v>0.26347774946088998</v>
      </c>
      <c r="Q226" s="179">
        <f t="shared" si="620"/>
        <v>0.41168398353264057</v>
      </c>
      <c r="R226" s="179">
        <f t="shared" si="620"/>
        <v>0.49402078023916879</v>
      </c>
      <c r="S226" s="179">
        <f t="shared" si="620"/>
        <v>0.42815134287394624</v>
      </c>
      <c r="T226" s="118">
        <f t="shared" si="536"/>
        <v>5.2940367717337233E-2</v>
      </c>
      <c r="U226" s="128"/>
      <c r="V226" s="179">
        <f t="shared" ref="V226:AE226" si="621">(V225)/($N$2*100)</f>
        <v>0.16467359341305624</v>
      </c>
      <c r="W226" s="179">
        <f t="shared" si="621"/>
        <v>0.16467359341305624</v>
      </c>
      <c r="X226" s="179">
        <f t="shared" si="621"/>
        <v>0.16467359341305624</v>
      </c>
      <c r="Y226" s="179">
        <f t="shared" si="621"/>
        <v>0.16467359341305624</v>
      </c>
      <c r="Z226" s="179">
        <f t="shared" si="621"/>
        <v>0.16467359341305624</v>
      </c>
      <c r="AA226" s="179">
        <f t="shared" si="621"/>
        <v>0.16467359341305624</v>
      </c>
      <c r="AB226" s="179">
        <f t="shared" si="621"/>
        <v>0.16467359341305624</v>
      </c>
      <c r="AC226" s="179">
        <f t="shared" si="621"/>
        <v>0.16467359341305624</v>
      </c>
      <c r="AD226" s="179">
        <f t="shared" si="621"/>
        <v>0.16467359341305624</v>
      </c>
      <c r="AE226" s="179">
        <f t="shared" si="621"/>
        <v>0.16467359341305624</v>
      </c>
      <c r="AF226" s="137">
        <f t="shared" si="617"/>
        <v>-7.9537798037674468E-2</v>
      </c>
      <c r="AG226" s="31">
        <f t="shared" si="618"/>
        <v>0.05</v>
      </c>
      <c r="AH226" s="179" t="e">
        <f>(#REF!)/($N$2*100)</f>
        <v>#REF!</v>
      </c>
    </row>
    <row r="227" spans="2:48">
      <c r="B227" s="20" t="s">
        <v>469</v>
      </c>
      <c r="C227" s="129"/>
      <c r="D227" s="129"/>
      <c r="E227" s="129"/>
      <c r="F227" s="129"/>
      <c r="G227" s="150">
        <f t="shared" ref="G227:H227" si="622">G226-1</f>
        <v>-0.76945696922172124</v>
      </c>
      <c r="H227" s="150">
        <f t="shared" si="622"/>
        <v>-0.15028425798862977</v>
      </c>
      <c r="I227" s="150">
        <f t="shared" ref="I227:S227" si="623">I226-1</f>
        <v>-6.1360517545579474E-2</v>
      </c>
      <c r="J227" s="150">
        <f t="shared" si="623"/>
        <v>-0.16016467359341313</v>
      </c>
      <c r="K227" s="150">
        <f t="shared" si="623"/>
        <v>-0.88472848461086062</v>
      </c>
      <c r="L227" s="150">
        <f t="shared" si="623"/>
        <v>-0.95059792197608317</v>
      </c>
      <c r="M227" s="150">
        <f t="shared" si="623"/>
        <v>-0.79909821603607134</v>
      </c>
      <c r="N227" s="150">
        <f t="shared" si="623"/>
        <v>-0.7925112722995491</v>
      </c>
      <c r="O227" s="150">
        <f t="shared" si="623"/>
        <v>-0.75298960988041563</v>
      </c>
      <c r="P227" s="150">
        <f t="shared" si="623"/>
        <v>-0.73652225053911002</v>
      </c>
      <c r="Q227" s="150">
        <f t="shared" si="623"/>
        <v>-0.58831601646735943</v>
      </c>
      <c r="R227" s="150">
        <f t="shared" si="623"/>
        <v>-0.50597921976083127</v>
      </c>
      <c r="S227" s="150">
        <f t="shared" si="623"/>
        <v>-0.57184865712605371</v>
      </c>
      <c r="T227" s="118">
        <f t="shared" si="536"/>
        <v>-2.4430837307037989E-2</v>
      </c>
      <c r="U227" s="128"/>
      <c r="V227" s="150">
        <f t="shared" ref="V227:AE227" si="624">V226-1</f>
        <v>-0.83532640658694379</v>
      </c>
      <c r="W227" s="150">
        <f t="shared" si="624"/>
        <v>-0.83532640658694379</v>
      </c>
      <c r="X227" s="150">
        <f t="shared" si="624"/>
        <v>-0.83532640658694379</v>
      </c>
      <c r="Y227" s="150">
        <f t="shared" si="624"/>
        <v>-0.83532640658694379</v>
      </c>
      <c r="Z227" s="150">
        <f t="shared" si="624"/>
        <v>-0.83532640658694379</v>
      </c>
      <c r="AA227" s="150">
        <f t="shared" si="624"/>
        <v>-0.83532640658694379</v>
      </c>
      <c r="AB227" s="150">
        <f t="shared" si="624"/>
        <v>-0.83532640658694379</v>
      </c>
      <c r="AC227" s="150">
        <f t="shared" si="624"/>
        <v>-0.83532640658694379</v>
      </c>
      <c r="AD227" s="150">
        <f t="shared" si="624"/>
        <v>-0.83532640658694379</v>
      </c>
      <c r="AE227" s="150">
        <f t="shared" si="624"/>
        <v>-0.83532640658694379</v>
      </c>
      <c r="AF227" s="137">
        <f t="shared" si="617"/>
        <v>0.13239629024167554</v>
      </c>
      <c r="AG227" s="31">
        <f t="shared" si="618"/>
        <v>0.05</v>
      </c>
      <c r="AH227" s="179">
        <f>(AH211)/($N$2*100)</f>
        <v>2.7335460130580597E-2</v>
      </c>
    </row>
    <row r="228" spans="2:48">
      <c r="B228" s="20"/>
      <c r="C228" s="129"/>
      <c r="D228" s="129"/>
      <c r="E228" s="129"/>
      <c r="F228" s="129"/>
      <c r="G228" s="129"/>
      <c r="H228" s="129"/>
      <c r="I228" s="134"/>
      <c r="J228" s="134"/>
      <c r="K228" s="134"/>
      <c r="L228" s="134"/>
      <c r="M228" s="197"/>
      <c r="N228" s="198"/>
      <c r="O228" s="134"/>
      <c r="P228" s="134"/>
      <c r="Q228" s="134"/>
      <c r="R228" s="134"/>
      <c r="S228" s="134"/>
      <c r="T228" s="128"/>
      <c r="U228" s="128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6"/>
      <c r="AG228" s="20"/>
      <c r="AH228" s="20"/>
    </row>
    <row r="229" spans="2:48">
      <c r="B229" s="108" t="s">
        <v>300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7" t="s">
        <v>349</v>
      </c>
      <c r="N229" s="218"/>
      <c r="O229" s="20"/>
      <c r="P229" s="20"/>
      <c r="Q229" s="20"/>
      <c r="R229" s="108" t="s">
        <v>428</v>
      </c>
      <c r="S229" s="108" t="s">
        <v>427</v>
      </c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136"/>
      <c r="AG229" s="20"/>
      <c r="AH229" s="20"/>
    </row>
    <row r="230" spans="2:48">
      <c r="B230" s="20" t="s">
        <v>298</v>
      </c>
      <c r="C230" s="20" t="s">
        <v>313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 t="s">
        <v>350</v>
      </c>
      <c r="N230" s="22">
        <v>1</v>
      </c>
      <c r="O230" s="20"/>
      <c r="P230" s="20"/>
      <c r="Q230" s="20"/>
      <c r="R230" s="128">
        <f>(S201-U188)/S201</f>
        <v>0.85420484713072165</v>
      </c>
      <c r="S230" s="128">
        <f>(S201-V188)/S201</f>
        <v>0.88005609641957683</v>
      </c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136"/>
      <c r="AG230" s="20"/>
      <c r="AH230" s="20"/>
    </row>
    <row r="231" spans="2:48">
      <c r="B231" s="20" t="s">
        <v>347</v>
      </c>
      <c r="C231" s="20" t="s">
        <v>313</v>
      </c>
      <c r="D231" s="20"/>
      <c r="E231" s="20"/>
      <c r="F231" s="20"/>
      <c r="G231" s="20"/>
      <c r="H231" s="20"/>
      <c r="I231" s="20"/>
      <c r="J231" s="20"/>
      <c r="K231" s="20"/>
      <c r="L231" s="20"/>
      <c r="M231" s="170">
        <f>$N$230</f>
        <v>1</v>
      </c>
      <c r="N231" s="20"/>
      <c r="O231" s="128">
        <f>(R201-(M231*U179))/R201</f>
        <v>-1.9907588249233603</v>
      </c>
      <c r="P231" s="20"/>
      <c r="Q231" s="20"/>
      <c r="R231" s="128">
        <f>(S201-U179)/S201</f>
        <v>-2.4508755672192617</v>
      </c>
      <c r="S231" s="128">
        <f>(S201-V179)/S201</f>
        <v>0.5191402898137093</v>
      </c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136"/>
      <c r="AG231" s="20"/>
      <c r="AH231" s="20"/>
    </row>
    <row r="232" spans="2:48">
      <c r="B232" s="20" t="s">
        <v>348</v>
      </c>
      <c r="C232" s="20" t="s">
        <v>313</v>
      </c>
      <c r="D232" s="20"/>
      <c r="E232" s="20"/>
      <c r="F232" s="20"/>
      <c r="G232" s="20"/>
      <c r="H232" s="20"/>
      <c r="I232" s="20"/>
      <c r="J232" s="20"/>
      <c r="K232" s="20"/>
      <c r="L232" s="20"/>
      <c r="M232" s="170">
        <f>$N$230</f>
        <v>1</v>
      </c>
      <c r="N232" s="20"/>
      <c r="O232" s="128">
        <f>(R201-(M232*U172))/R201</f>
        <v>-2.2512137190713304</v>
      </c>
      <c r="P232" s="20"/>
      <c r="Q232" s="20"/>
      <c r="R232" s="128">
        <f>(S201-U172)/S201</f>
        <v>-2.7514004450823042</v>
      </c>
      <c r="S232" s="128">
        <f>(S201-V172)/S201</f>
        <v>0.47726387240656426</v>
      </c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136"/>
      <c r="AG232" s="20"/>
      <c r="AH232" s="20"/>
    </row>
    <row r="233" spans="2:48">
      <c r="B233" s="20" t="s">
        <v>351</v>
      </c>
      <c r="C233" s="20" t="s">
        <v>313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170">
        <f>$N$230</f>
        <v>1</v>
      </c>
      <c r="N233" s="20"/>
      <c r="O233" s="128">
        <f>(R201-(M233*U185))/R201</f>
        <v>0.61836692472144017</v>
      </c>
      <c r="P233" s="20"/>
      <c r="Q233" s="20"/>
      <c r="R233" s="128">
        <f>(S201-U185)/S201</f>
        <v>0.55965414390935397</v>
      </c>
      <c r="S233" s="128">
        <f>(S201-V185)/S201</f>
        <v>0.93864033152835258</v>
      </c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136"/>
      <c r="AG233" s="20"/>
      <c r="AH233" s="20"/>
    </row>
    <row r="234" spans="2:48">
      <c r="B234" s="20" t="s">
        <v>397</v>
      </c>
      <c r="C234" s="20" t="s">
        <v>313</v>
      </c>
      <c r="D234" s="20"/>
      <c r="E234" s="20"/>
      <c r="F234" s="20"/>
      <c r="G234" s="20"/>
      <c r="H234" s="20"/>
      <c r="I234" s="20"/>
      <c r="J234" s="20"/>
      <c r="K234" s="20"/>
      <c r="L234" s="20"/>
      <c r="M234" s="170">
        <f>$N$230</f>
        <v>1</v>
      </c>
      <c r="N234" s="20"/>
      <c r="O234" s="128">
        <f>(R201-(M234*U198))/R201</f>
        <v>0.27211427549507222</v>
      </c>
      <c r="P234" s="20"/>
      <c r="Q234" s="20"/>
      <c r="R234" s="128">
        <f>(S201-U198)/S201</f>
        <v>0.16013185634046792</v>
      </c>
      <c r="S234" s="128">
        <f>(S201-V198)/S201</f>
        <v>0.30905066690598465</v>
      </c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136"/>
      <c r="AG234" s="20"/>
      <c r="AH234" s="20"/>
    </row>
    <row r="235" spans="2:48">
      <c r="B235" s="20" t="s">
        <v>299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5">
        <f>S201/U171</f>
        <v>0.78696522393981749</v>
      </c>
      <c r="S235" s="25">
        <f>S201/V171</f>
        <v>5.6476327835681026</v>
      </c>
      <c r="T235" s="20"/>
      <c r="U235" s="20"/>
      <c r="V235" s="115" t="s">
        <v>11</v>
      </c>
      <c r="W235" s="115" t="s">
        <v>12</v>
      </c>
      <c r="X235" s="115" t="s">
        <v>13</v>
      </c>
      <c r="Y235" s="115" t="s">
        <v>14</v>
      </c>
      <c r="Z235" s="115" t="s">
        <v>15</v>
      </c>
      <c r="AA235" s="115" t="s">
        <v>234</v>
      </c>
      <c r="AB235" s="115" t="s">
        <v>235</v>
      </c>
      <c r="AC235" s="115" t="s">
        <v>236</v>
      </c>
      <c r="AD235" s="115" t="s">
        <v>237</v>
      </c>
      <c r="AE235" s="115" t="s">
        <v>238</v>
      </c>
      <c r="AF235" s="115" t="s">
        <v>405</v>
      </c>
      <c r="AG235" s="115" t="s">
        <v>406</v>
      </c>
      <c r="AH235" s="115" t="s">
        <v>407</v>
      </c>
      <c r="AI235" s="115" t="s">
        <v>408</v>
      </c>
      <c r="AJ235" s="115" t="s">
        <v>409</v>
      </c>
      <c r="AK235" s="115" t="s">
        <v>410</v>
      </c>
      <c r="AL235" s="115" t="s">
        <v>411</v>
      </c>
      <c r="AM235" s="115" t="s">
        <v>412</v>
      </c>
      <c r="AN235" s="115" t="s">
        <v>413</v>
      </c>
      <c r="AO235" s="115" t="s">
        <v>414</v>
      </c>
      <c r="AP235" s="115" t="s">
        <v>415</v>
      </c>
      <c r="AQ235" s="115" t="s">
        <v>416</v>
      </c>
      <c r="AR235" s="115" t="s">
        <v>417</v>
      </c>
      <c r="AS235" s="115" t="s">
        <v>418</v>
      </c>
      <c r="AT235" s="115" t="s">
        <v>419</v>
      </c>
      <c r="AU235" s="115" t="s">
        <v>420</v>
      </c>
      <c r="AV235" s="115" t="s">
        <v>421</v>
      </c>
    </row>
    <row r="236" spans="2:48">
      <c r="B236" s="20" t="s">
        <v>369</v>
      </c>
      <c r="C236" s="20"/>
      <c r="D236" s="20"/>
      <c r="E236" s="20"/>
      <c r="F236" s="20"/>
      <c r="G236" s="20"/>
      <c r="H236" s="20"/>
      <c r="I236" s="187" t="s">
        <v>446</v>
      </c>
      <c r="J236" s="188"/>
      <c r="K236" s="187" t="s">
        <v>447</v>
      </c>
      <c r="L236" s="188"/>
      <c r="M236" s="20"/>
      <c r="N236" s="187" t="s">
        <v>448</v>
      </c>
      <c r="O236" s="188"/>
      <c r="P236" s="187" t="s">
        <v>449</v>
      </c>
      <c r="Q236" s="188"/>
      <c r="R236" s="150">
        <f>1/R235</f>
        <v>1.2707041805400974</v>
      </c>
      <c r="S236" s="150">
        <f>1/S235</f>
        <v>0.17706533663263649</v>
      </c>
      <c r="T236" s="20"/>
      <c r="U236" s="20"/>
      <c r="V236" s="129">
        <f>S201-V237</f>
        <v>112.80117496179081</v>
      </c>
      <c r="W236" s="183">
        <f>V236-W237</f>
        <v>94.742408671671157</v>
      </c>
      <c r="X236" s="183">
        <f t="shared" ref="X236:Z236" si="625">W236-X237</f>
        <v>75.780704067045519</v>
      </c>
      <c r="Y236" s="183">
        <f t="shared" si="625"/>
        <v>55.870914232188603</v>
      </c>
      <c r="Z236" s="183">
        <f t="shared" si="625"/>
        <v>34.965634905588843</v>
      </c>
      <c r="AA236" s="183">
        <f>Z236-AA237</f>
        <v>13.015091612659088</v>
      </c>
      <c r="AB236" s="183">
        <f t="shared" ref="AB236:AE236" si="626">AA236-AB237</f>
        <v>-10.032978844917157</v>
      </c>
      <c r="AC236" s="183">
        <f t="shared" si="626"/>
        <v>-34.233452825372211</v>
      </c>
      <c r="AD236" s="183">
        <f t="shared" si="626"/>
        <v>-59.643950504850025</v>
      </c>
      <c r="AE236" s="183">
        <f t="shared" si="626"/>
        <v>-86.32497306830173</v>
      </c>
      <c r="AF236" s="183">
        <f t="shared" ref="AF236" si="627">AE236-AF237</f>
        <v>-114.34004675992603</v>
      </c>
      <c r="AG236" s="183">
        <f t="shared" ref="AG236" si="628">AF236-AG237</f>
        <v>-143.75587413613152</v>
      </c>
      <c r="AH236" s="183">
        <f t="shared" ref="AH236" si="629">AG236-AH237</f>
        <v>-174.64249288114729</v>
      </c>
      <c r="AI236" s="183">
        <f t="shared" ref="AI236" si="630">AH236-AI237</f>
        <v>-207.07344256341386</v>
      </c>
      <c r="AJ236" s="183">
        <f t="shared" ref="AJ236" si="631">AI236-AJ237</f>
        <v>-241.12593972979377</v>
      </c>
      <c r="AK236" s="183">
        <f t="shared" ref="AK236" si="632">AJ236-AK237</f>
        <v>-276.88106175449269</v>
      </c>
      <c r="AL236" s="183">
        <f t="shared" ref="AL236" si="633">AK236-AL237</f>
        <v>-314.42393988042653</v>
      </c>
      <c r="AM236" s="183">
        <f t="shared" ref="AM236" si="634">AL236-AM237</f>
        <v>-353.84396191265705</v>
      </c>
      <c r="AN236" s="183">
        <f t="shared" ref="AN236" si="635">AM236-AN237</f>
        <v>-395.23498504649911</v>
      </c>
      <c r="AO236" s="183">
        <f t="shared" ref="AO236" si="636">AN236-AO237</f>
        <v>-438.69555933703327</v>
      </c>
      <c r="AP236" s="183">
        <f t="shared" ref="AP236" si="637">AO236-AP237</f>
        <v>-484.32916234209415</v>
      </c>
      <c r="AQ236" s="183">
        <f t="shared" ref="AQ236" si="638">AP236-AQ237</f>
        <v>-532.24444549740804</v>
      </c>
      <c r="AR236" s="183">
        <f t="shared" ref="AR236" si="639">AQ236-AR237</f>
        <v>-582.55549281048764</v>
      </c>
      <c r="AS236" s="183">
        <f t="shared" ref="AS236" si="640">AR236-AS237</f>
        <v>-635.38209248922124</v>
      </c>
      <c r="AT236" s="183">
        <f t="shared" ref="AT236" si="641">AS236-AT237</f>
        <v>-690.85002215189149</v>
      </c>
      <c r="AU236" s="183">
        <f t="shared" ref="AU236" si="642">AT236-AU237</f>
        <v>-749.09134829769528</v>
      </c>
      <c r="AV236" s="183">
        <f t="shared" ref="AV236" si="643">AU236-AV237</f>
        <v>-810.24474075078933</v>
      </c>
    </row>
    <row r="237" spans="2:48">
      <c r="B237" s="20" t="s">
        <v>394</v>
      </c>
      <c r="C237" s="20"/>
      <c r="D237" s="20"/>
      <c r="E237" s="20"/>
      <c r="F237" s="20"/>
      <c r="G237" s="20"/>
      <c r="H237" s="20"/>
      <c r="I237" s="189">
        <v>0</v>
      </c>
      <c r="J237" s="188"/>
      <c r="K237" s="189">
        <v>0.05</v>
      </c>
      <c r="L237" s="188"/>
      <c r="M237" s="182">
        <f>R1</f>
        <v>0.05</v>
      </c>
      <c r="N237" s="189">
        <v>0.12</v>
      </c>
      <c r="O237" s="188"/>
      <c r="P237" s="189">
        <v>0.2</v>
      </c>
      <c r="Q237" s="196" t="s">
        <v>280</v>
      </c>
      <c r="R237" s="179">
        <f>S201/U170</f>
        <v>10.580152671755725</v>
      </c>
      <c r="S237" s="179" t="s">
        <v>467</v>
      </c>
      <c r="T237" s="20"/>
      <c r="U237" s="20"/>
      <c r="V237" s="184">
        <f>T170*(1+$M$237)</f>
        <v>17.19882503820919</v>
      </c>
      <c r="W237" s="184">
        <f>V237*(1+$M$237)</f>
        <v>18.05876629011965</v>
      </c>
      <c r="X237" s="184">
        <f t="shared" ref="X237:AE237" si="644">W237*(1+$M$237)</f>
        <v>18.961704604625634</v>
      </c>
      <c r="Y237" s="184">
        <f t="shared" si="644"/>
        <v>19.909789834856916</v>
      </c>
      <c r="Z237" s="184">
        <f t="shared" si="644"/>
        <v>20.905279326599764</v>
      </c>
      <c r="AA237" s="184">
        <f t="shared" si="644"/>
        <v>21.950543292929755</v>
      </c>
      <c r="AB237" s="184">
        <f t="shared" si="644"/>
        <v>23.048070457576245</v>
      </c>
      <c r="AC237" s="184">
        <f t="shared" si="644"/>
        <v>24.200473980455058</v>
      </c>
      <c r="AD237" s="184">
        <f t="shared" si="644"/>
        <v>25.410497679477814</v>
      </c>
      <c r="AE237" s="184">
        <f t="shared" si="644"/>
        <v>26.681022563451705</v>
      </c>
      <c r="AF237" s="184">
        <f t="shared" ref="AF237" si="645">AE237*(1+$M$237)</f>
        <v>28.015073691624291</v>
      </c>
      <c r="AG237" s="184">
        <f t="shared" ref="AG237" si="646">AF237*(1+$M$237)</f>
        <v>29.415827376205506</v>
      </c>
      <c r="AH237" s="184">
        <f t="shared" ref="AH237" si="647">AG237*(1+$M$237)</f>
        <v>30.886618745015781</v>
      </c>
      <c r="AI237" s="184">
        <f t="shared" ref="AI237" si="648">AH237*(1+$M$237)</f>
        <v>32.430949682266572</v>
      </c>
      <c r="AJ237" s="184">
        <f t="shared" ref="AJ237" si="649">AI237*(1+$M$237)</f>
        <v>34.052497166379901</v>
      </c>
      <c r="AK237" s="184">
        <f t="shared" ref="AK237" si="650">AJ237*(1+$M$237)</f>
        <v>35.755122024698899</v>
      </c>
      <c r="AL237" s="184">
        <f t="shared" ref="AL237" si="651">AK237*(1+$M$237)</f>
        <v>37.542878125933846</v>
      </c>
      <c r="AM237" s="184">
        <f t="shared" ref="AM237" si="652">AL237*(1+$M$237)</f>
        <v>39.420022032230541</v>
      </c>
      <c r="AN237" s="184">
        <f t="shared" ref="AN237" si="653">AM237*(1+$M$237)</f>
        <v>41.391023133842069</v>
      </c>
      <c r="AO237" s="184">
        <f t="shared" ref="AO237" si="654">AN237*(1+$M$237)</f>
        <v>43.460574290534176</v>
      </c>
      <c r="AP237" s="184">
        <f t="shared" ref="AP237" si="655">AO237*(1+$M$237)</f>
        <v>45.633603005060884</v>
      </c>
      <c r="AQ237" s="184">
        <f t="shared" ref="AQ237" si="656">AP237*(1+$M$237)</f>
        <v>47.915283155313929</v>
      </c>
      <c r="AR237" s="184">
        <f t="shared" ref="AR237" si="657">AQ237*(1+$M$237)</f>
        <v>50.311047313079627</v>
      </c>
      <c r="AS237" s="184">
        <f t="shared" ref="AS237" si="658">AR237*(1+$M$237)</f>
        <v>52.826599678733608</v>
      </c>
      <c r="AT237" s="184">
        <f t="shared" ref="AT237" si="659">AS237*(1+$M$237)</f>
        <v>55.467929662670294</v>
      </c>
      <c r="AU237" s="184">
        <f t="shared" ref="AU237" si="660">AT237*(1+$M$237)</f>
        <v>58.241326145803811</v>
      </c>
      <c r="AV237" s="184">
        <f t="shared" ref="AV237" si="661">AU237*(1+$M$237)</f>
        <v>61.153392453094007</v>
      </c>
    </row>
    <row r="238" spans="2:48">
      <c r="B238" s="20" t="s">
        <v>393</v>
      </c>
      <c r="C238" s="20"/>
      <c r="D238" s="20"/>
      <c r="E238" s="23" t="s">
        <v>389</v>
      </c>
      <c r="F238" s="23"/>
      <c r="G238" s="23"/>
      <c r="H238" s="22"/>
      <c r="I238" s="189">
        <v>0</v>
      </c>
      <c r="J238" s="190">
        <f>S203</f>
        <v>3.1304347826086958</v>
      </c>
      <c r="K238" s="189">
        <v>0.05</v>
      </c>
      <c r="L238" s="188"/>
      <c r="M238" s="182">
        <f>R1</f>
        <v>0.05</v>
      </c>
      <c r="N238" s="189">
        <v>0.12</v>
      </c>
      <c r="O238" s="188"/>
      <c r="P238" s="189">
        <v>0.2</v>
      </c>
      <c r="Q238" s="196" t="s">
        <v>466</v>
      </c>
      <c r="R238" s="179">
        <f>S201/S72</f>
        <v>3.1304347826086958</v>
      </c>
      <c r="S238" s="179" t="s">
        <v>467</v>
      </c>
      <c r="T238" s="20"/>
      <c r="U238" s="20"/>
      <c r="V238" s="184">
        <f>S72*(1+$M$238)</f>
        <v>43.604166666666671</v>
      </c>
      <c r="W238" s="184">
        <f>V238*(1+$M$238)</f>
        <v>45.784375000000004</v>
      </c>
      <c r="X238" s="184">
        <f t="shared" ref="X238:AE238" si="662">W238*(1+$M$238)</f>
        <v>48.073593750000008</v>
      </c>
      <c r="Y238" s="184">
        <f t="shared" si="662"/>
        <v>50.47727343750001</v>
      </c>
      <c r="Z238" s="184">
        <f t="shared" si="662"/>
        <v>53.001137109375016</v>
      </c>
      <c r="AA238" s="184">
        <f t="shared" si="662"/>
        <v>55.65119396484377</v>
      </c>
      <c r="AB238" s="184">
        <f t="shared" si="662"/>
        <v>58.433753663085959</v>
      </c>
      <c r="AC238" s="184">
        <f t="shared" si="662"/>
        <v>61.355441346240262</v>
      </c>
      <c r="AD238" s="184">
        <f t="shared" si="662"/>
        <v>64.423213413552276</v>
      </c>
      <c r="AE238" s="184">
        <f t="shared" si="662"/>
        <v>67.644374084229895</v>
      </c>
      <c r="AF238" s="184">
        <f t="shared" ref="AF238" si="663">AE238*(1+$M$238)</f>
        <v>71.026592788441391</v>
      </c>
      <c r="AG238" s="184">
        <f t="shared" ref="AG238" si="664">AF238*(1+$M$238)</f>
        <v>74.57792242786347</v>
      </c>
      <c r="AH238" s="184">
        <f t="shared" ref="AH238" si="665">AG238*(1+$M$238)</f>
        <v>78.306818549256647</v>
      </c>
      <c r="AI238" s="184">
        <f t="shared" ref="AI238" si="666">AH238*(1+$M$238)</f>
        <v>82.222159476719483</v>
      </c>
      <c r="AJ238" s="184">
        <f t="shared" ref="AJ238" si="667">AI238*(1+$M$238)</f>
        <v>86.333267450555468</v>
      </c>
      <c r="AK238" s="184">
        <f t="shared" ref="AK238" si="668">AJ238*(1+$M$238)</f>
        <v>90.649930823083238</v>
      </c>
      <c r="AL238" s="184">
        <f t="shared" ref="AL238" si="669">AK238*(1+$M$238)</f>
        <v>95.182427364237398</v>
      </c>
      <c r="AM238" s="184">
        <f t="shared" ref="AM238" si="670">AL238*(1+$M$238)</f>
        <v>99.941548732449277</v>
      </c>
      <c r="AN238" s="184">
        <f t="shared" ref="AN238" si="671">AM238*(1+$M$238)</f>
        <v>104.93862616907174</v>
      </c>
      <c r="AO238" s="184">
        <f t="shared" ref="AO238" si="672">AN238*(1+$M$238)</f>
        <v>110.18555747752534</v>
      </c>
      <c r="AP238" s="184">
        <f t="shared" ref="AP238" si="673">AO238*(1+$M$238)</f>
        <v>115.69483535140161</v>
      </c>
      <c r="AQ238" s="184">
        <f t="shared" ref="AQ238" si="674">AP238*(1+$M$238)</f>
        <v>121.47957711897169</v>
      </c>
      <c r="AR238" s="184">
        <f t="shared" ref="AR238" si="675">AQ238*(1+$M$238)</f>
        <v>127.55355597492029</v>
      </c>
      <c r="AS238" s="184">
        <f t="shared" ref="AS238" si="676">AR238*(1+$M$238)</f>
        <v>133.93123377366629</v>
      </c>
      <c r="AT238" s="184">
        <f t="shared" ref="AT238" si="677">AS238*(1+$M$238)</f>
        <v>140.62779546234961</v>
      </c>
      <c r="AU238" s="184">
        <f t="shared" ref="AU238" si="678">AT238*(1+$M$238)</f>
        <v>147.65918523546711</v>
      </c>
      <c r="AV238" s="184">
        <f t="shared" ref="AV238" si="679">AU238*(1+$M$238)</f>
        <v>155.04214449724046</v>
      </c>
    </row>
    <row r="239" spans="2:48">
      <c r="B239" s="20"/>
      <c r="C239" s="20"/>
      <c r="D239" s="20"/>
      <c r="E239" s="23" t="s">
        <v>452</v>
      </c>
      <c r="F239" s="23"/>
      <c r="G239" s="23"/>
      <c r="H239" s="22"/>
      <c r="I239" s="189">
        <v>0</v>
      </c>
      <c r="J239" s="190"/>
      <c r="K239" s="189">
        <v>0.05</v>
      </c>
      <c r="L239" s="188"/>
      <c r="M239" s="188"/>
      <c r="N239" s="189">
        <v>0.12</v>
      </c>
      <c r="O239" s="188"/>
      <c r="P239" s="189">
        <v>0.2</v>
      </c>
      <c r="Q239" s="20"/>
      <c r="R239" s="20"/>
      <c r="S239" s="20"/>
      <c r="T239" s="20"/>
      <c r="U239" s="20"/>
      <c r="V239" s="129">
        <f>S201-V238</f>
        <v>86.395833333333329</v>
      </c>
      <c r="W239" s="183">
        <f>V239-W238</f>
        <v>40.611458333333324</v>
      </c>
      <c r="X239" s="183">
        <f t="shared" ref="X239:AC239" si="680">W239-X238</f>
        <v>-7.4621354166666833</v>
      </c>
      <c r="Y239" s="183">
        <f t="shared" si="680"/>
        <v>-57.939408854166693</v>
      </c>
      <c r="Z239" s="183">
        <f t="shared" si="680"/>
        <v>-110.94054596354171</v>
      </c>
      <c r="AA239" s="183">
        <f t="shared" si="680"/>
        <v>-166.59173992838549</v>
      </c>
      <c r="AB239" s="183">
        <f t="shared" si="680"/>
        <v>-225.02549359147145</v>
      </c>
      <c r="AC239" s="183">
        <f t="shared" si="680"/>
        <v>-286.38093493771169</v>
      </c>
      <c r="AD239" s="183">
        <f>AC239-AD238</f>
        <v>-350.80414835126396</v>
      </c>
      <c r="AE239" s="183">
        <f t="shared" ref="AE239" si="681">AD239-AE238</f>
        <v>-418.44852243549383</v>
      </c>
      <c r="AF239" s="183">
        <f t="shared" ref="AF239" si="682">AE239-AF238</f>
        <v>-489.47511522393523</v>
      </c>
      <c r="AG239" s="183">
        <f t="shared" ref="AG239" si="683">AF239-AG238</f>
        <v>-564.05303765179872</v>
      </c>
      <c r="AH239" s="183">
        <f t="shared" ref="AH239" si="684">AG239-AH238</f>
        <v>-642.35985620105532</v>
      </c>
      <c r="AI239" s="183">
        <f t="shared" ref="AI239" si="685">AH239-AI238</f>
        <v>-724.58201567777485</v>
      </c>
      <c r="AJ239" s="183">
        <f t="shared" ref="AJ239" si="686">AI239-AJ238</f>
        <v>-810.91528312833032</v>
      </c>
      <c r="AK239" s="183">
        <f t="shared" ref="AK239" si="687">AJ239-AK238</f>
        <v>-901.56521395141351</v>
      </c>
      <c r="AL239" s="183">
        <f t="shared" ref="AL239" si="688">AK239-AL238</f>
        <v>-996.74764131565087</v>
      </c>
      <c r="AM239" s="183">
        <f t="shared" ref="AM239" si="689">AL239-AM238</f>
        <v>-1096.6891900481</v>
      </c>
      <c r="AN239" s="183">
        <f t="shared" ref="AN239" si="690">AM239-AN238</f>
        <v>-1201.6278162171718</v>
      </c>
      <c r="AO239" s="183">
        <f t="shared" ref="AO239" si="691">AN239-AO238</f>
        <v>-1311.8133736946972</v>
      </c>
      <c r="AP239" s="183">
        <f t="shared" ref="AP239" si="692">AO239-AP238</f>
        <v>-1427.508209046099</v>
      </c>
      <c r="AQ239" s="183">
        <f t="shared" ref="AQ239" si="693">AP239-AQ238</f>
        <v>-1548.9877861650707</v>
      </c>
      <c r="AR239" s="183">
        <f t="shared" ref="AR239" si="694">AQ239-AR238</f>
        <v>-1676.541342139991</v>
      </c>
      <c r="AS239" s="183">
        <f t="shared" ref="AS239" si="695">AR239-AS238</f>
        <v>-1810.4725759136572</v>
      </c>
      <c r="AT239" s="183">
        <f t="shared" ref="AT239" si="696">AS239-AT238</f>
        <v>-1951.1003713760069</v>
      </c>
      <c r="AU239" s="183">
        <f t="shared" ref="AU239" si="697">AT239-AU238</f>
        <v>-2098.7595566114742</v>
      </c>
      <c r="AV239" s="183">
        <f t="shared" ref="AV239" si="698">AU239-AV238</f>
        <v>-2253.8017011087145</v>
      </c>
    </row>
    <row r="240" spans="2:48">
      <c r="B240" s="108" t="s">
        <v>301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 spans="2:34">
      <c r="B241" s="20" t="s">
        <v>304</v>
      </c>
      <c r="C241" s="25"/>
      <c r="D241" s="25"/>
      <c r="E241" s="25"/>
      <c r="F241" s="25"/>
      <c r="G241" s="25">
        <f t="shared" ref="G241:H241" si="699">G10/G7</f>
        <v>0.73601398601398604</v>
      </c>
      <c r="H241" s="25">
        <f t="shared" si="699"/>
        <v>0.90515806988352743</v>
      </c>
      <c r="I241" s="25">
        <f t="shared" ref="I241:S241" si="700">I10/I7</f>
        <v>1.1829652996845426</v>
      </c>
      <c r="J241" s="25">
        <f t="shared" si="700"/>
        <v>0.88021390374331554</v>
      </c>
      <c r="K241" s="25">
        <f t="shared" si="700"/>
        <v>0.54653130287648055</v>
      </c>
      <c r="L241" s="25">
        <f t="shared" si="700"/>
        <v>0.65974796145292813</v>
      </c>
      <c r="M241" s="25">
        <f t="shared" si="700"/>
        <v>0.86781901372648707</v>
      </c>
      <c r="N241" s="25">
        <f t="shared" si="700"/>
        <v>1.0281923714759535</v>
      </c>
      <c r="O241" s="25">
        <f t="shared" si="700"/>
        <v>0.90007062146892658</v>
      </c>
      <c r="P241" s="25">
        <f t="shared" si="700"/>
        <v>0.67088235294117649</v>
      </c>
      <c r="Q241" s="25">
        <f t="shared" si="700"/>
        <v>0.2160034980323568</v>
      </c>
      <c r="R241" s="25">
        <f t="shared" si="700"/>
        <v>0.15876165905933717</v>
      </c>
      <c r="S241" s="25">
        <f t="shared" si="700"/>
        <v>0.21832011652370933</v>
      </c>
      <c r="T241" s="118">
        <f t="shared" ref="T241:T243" si="701">((R241/I241)^(1/($J$2-$J$1) ))-1</f>
        <v>-0.15410887464560874</v>
      </c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 spans="2:34">
      <c r="B242" s="20" t="s">
        <v>305</v>
      </c>
      <c r="C242" s="112"/>
      <c r="D242" s="112"/>
      <c r="E242" s="112"/>
      <c r="F242" s="112"/>
      <c r="G242" s="112">
        <f t="shared" ref="G242:H242" si="702">G10/G12</f>
        <v>3.8272727272727272</v>
      </c>
      <c r="H242" s="112">
        <f t="shared" si="702"/>
        <v>4.4958677685950414</v>
      </c>
      <c r="I242" s="112">
        <f t="shared" ref="I242:S242" si="703">I10/I12</f>
        <v>3.2467532467532467</v>
      </c>
      <c r="J242" s="112">
        <f t="shared" si="703"/>
        <v>4.2642487046632125</v>
      </c>
      <c r="K242" s="112">
        <f t="shared" si="703"/>
        <v>2.2666666666666666</v>
      </c>
      <c r="L242" s="112">
        <f t="shared" si="703"/>
        <v>2.4653739612188366</v>
      </c>
      <c r="M242" s="112">
        <f t="shared" si="703"/>
        <v>4.9051724137931032</v>
      </c>
      <c r="N242" s="112">
        <f t="shared" si="703"/>
        <v>12.984293193717278</v>
      </c>
      <c r="O242" s="112">
        <f t="shared" si="703"/>
        <v>14.734104046242775</v>
      </c>
      <c r="P242" s="112">
        <f t="shared" si="703"/>
        <v>6.8089552238805968</v>
      </c>
      <c r="Q242" s="112">
        <f t="shared" si="703"/>
        <v>1.510703363914373</v>
      </c>
      <c r="R242" s="112">
        <f t="shared" si="703"/>
        <v>1.3445378151260505</v>
      </c>
      <c r="S242" s="112">
        <f t="shared" si="703"/>
        <v>2.2672268907563025</v>
      </c>
      <c r="T242" s="118">
        <f t="shared" si="701"/>
        <v>-7.0833283104424383E-2</v>
      </c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 spans="2:34">
      <c r="B243" s="20" t="s">
        <v>306</v>
      </c>
      <c r="C243" s="25"/>
      <c r="D243" s="25"/>
      <c r="E243" s="25"/>
      <c r="F243" s="25"/>
      <c r="G243" s="25">
        <f t="shared" ref="G243:H243" si="704">G10/(G12+G13)</f>
        <v>2.4195402298850577</v>
      </c>
      <c r="H243" s="25">
        <f t="shared" si="704"/>
        <v>4.387096774193548</v>
      </c>
      <c r="I243" s="25">
        <f t="shared" ref="I243:S243" si="705">I10/(I12+I13)</f>
        <v>3.2411408815903195</v>
      </c>
      <c r="J243" s="25">
        <f t="shared" si="705"/>
        <v>4.1565656565656566</v>
      </c>
      <c r="K243" s="25">
        <f t="shared" si="705"/>
        <v>2.2275862068965515</v>
      </c>
      <c r="L243" s="25">
        <f t="shared" si="705"/>
        <v>2.4316939890710381</v>
      </c>
      <c r="M243" s="25">
        <f t="shared" si="705"/>
        <v>4.8220338983050848</v>
      </c>
      <c r="N243" s="25">
        <f t="shared" si="705"/>
        <v>12.277227722772277</v>
      </c>
      <c r="O243" s="25">
        <f t="shared" si="705"/>
        <v>13.486772486772487</v>
      </c>
      <c r="P243" s="25">
        <f t="shared" si="705"/>
        <v>5.8487179487179484</v>
      </c>
      <c r="Q243" s="25">
        <f t="shared" si="705"/>
        <v>1.3760445682451254</v>
      </c>
      <c r="R243" s="25">
        <f t="shared" si="705"/>
        <v>1.0781671159029649</v>
      </c>
      <c r="S243" s="25">
        <f t="shared" si="705"/>
        <v>1.8814504881450489</v>
      </c>
      <c r="T243" s="118">
        <f t="shared" si="701"/>
        <v>-8.7641166894368405E-2</v>
      </c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 spans="2:34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 spans="2:34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 spans="2:34">
      <c r="B246" s="20"/>
      <c r="C246" s="172" t="s">
        <v>375</v>
      </c>
      <c r="D246" s="173"/>
      <c r="E246" s="173"/>
      <c r="F246" s="173"/>
      <c r="G246" s="173"/>
      <c r="H246" s="173"/>
      <c r="I246" s="173"/>
      <c r="J246" s="173"/>
      <c r="K246" s="173"/>
      <c r="L246" s="173"/>
      <c r="M246" s="20"/>
      <c r="N246" s="214" t="s">
        <v>335</v>
      </c>
      <c r="O246" s="215"/>
      <c r="P246" s="216"/>
      <c r="Q246" s="23" t="s">
        <v>338</v>
      </c>
      <c r="R246" s="20"/>
      <c r="S246" s="136"/>
      <c r="T246" s="214" t="s">
        <v>336</v>
      </c>
      <c r="U246" s="215"/>
      <c r="V246" s="216"/>
      <c r="W246" s="23" t="s">
        <v>338</v>
      </c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 spans="2:34">
      <c r="B247" s="20"/>
      <c r="C247" s="164" t="s">
        <v>337</v>
      </c>
      <c r="D247" s="164" t="s">
        <v>0</v>
      </c>
      <c r="E247" s="164" t="s">
        <v>376</v>
      </c>
      <c r="F247" s="164"/>
      <c r="G247" s="164"/>
      <c r="H247" s="164" t="s">
        <v>377</v>
      </c>
      <c r="I247" s="164" t="s">
        <v>378</v>
      </c>
      <c r="J247" s="164" t="s">
        <v>379</v>
      </c>
      <c r="K247" s="164" t="s">
        <v>380</v>
      </c>
      <c r="L247" s="164" t="s">
        <v>381</v>
      </c>
      <c r="M247" s="20"/>
      <c r="N247" s="164" t="s">
        <v>337</v>
      </c>
      <c r="O247" s="164"/>
      <c r="P247" s="164" t="s">
        <v>0</v>
      </c>
      <c r="Q247" s="164" t="s">
        <v>370</v>
      </c>
      <c r="R247" s="20"/>
      <c r="S247" s="20"/>
      <c r="T247" s="164" t="s">
        <v>337</v>
      </c>
      <c r="U247" s="164"/>
      <c r="V247" s="164" t="s">
        <v>0</v>
      </c>
      <c r="W247" s="164" t="s">
        <v>370</v>
      </c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spans="2:34">
      <c r="B248" s="20"/>
      <c r="C248" s="165" t="s">
        <v>339</v>
      </c>
      <c r="D248" s="21">
        <v>70</v>
      </c>
      <c r="E248" s="174" t="s">
        <v>382</v>
      </c>
      <c r="F248" s="174"/>
      <c r="G248" s="174"/>
      <c r="H248" s="22">
        <v>0</v>
      </c>
      <c r="I248" s="22">
        <v>1</v>
      </c>
      <c r="J248" s="165">
        <f>H248/I248</f>
        <v>0</v>
      </c>
      <c r="K248" s="165">
        <f>J248*D249</f>
        <v>0</v>
      </c>
      <c r="L248" s="175">
        <f>K248+D249</f>
        <v>1</v>
      </c>
      <c r="M248" s="20"/>
      <c r="N248" s="165" t="s">
        <v>339</v>
      </c>
      <c r="O248" s="165"/>
      <c r="P248" s="21">
        <v>25</v>
      </c>
      <c r="Q248" s="171">
        <f>P248</f>
        <v>25</v>
      </c>
      <c r="R248" s="20"/>
      <c r="S248" s="20"/>
      <c r="T248" s="165" t="s">
        <v>339</v>
      </c>
      <c r="U248" s="165"/>
      <c r="V248" s="21">
        <v>200</v>
      </c>
      <c r="W248" s="171">
        <f>V248</f>
        <v>200</v>
      </c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 spans="2:34">
      <c r="B249" s="20"/>
      <c r="C249" s="165" t="s">
        <v>340</v>
      </c>
      <c r="D249" s="21">
        <v>1</v>
      </c>
      <c r="E249" s="174" t="s">
        <v>383</v>
      </c>
      <c r="F249" s="174"/>
      <c r="G249" s="174"/>
      <c r="H249" s="22">
        <v>0</v>
      </c>
      <c r="I249" s="22">
        <v>1</v>
      </c>
      <c r="J249" s="165">
        <f>H249/I249</f>
        <v>0</v>
      </c>
      <c r="K249" s="165">
        <f>J249*L248</f>
        <v>0</v>
      </c>
      <c r="L249" s="165">
        <f>K249+L248</f>
        <v>1</v>
      </c>
      <c r="M249" s="20"/>
      <c r="N249" s="165" t="s">
        <v>340</v>
      </c>
      <c r="O249" s="165"/>
      <c r="P249" s="21">
        <v>1</v>
      </c>
      <c r="Q249" s="171">
        <f>P249</f>
        <v>1</v>
      </c>
      <c r="R249" s="20"/>
      <c r="S249" s="20"/>
      <c r="T249" s="165" t="s">
        <v>340</v>
      </c>
      <c r="U249" s="165"/>
      <c r="V249" s="21">
        <v>1</v>
      </c>
      <c r="W249" s="171">
        <f>V249</f>
        <v>1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spans="2:34">
      <c r="B250" s="20"/>
      <c r="C250" s="165" t="s">
        <v>342</v>
      </c>
      <c r="D250" s="166">
        <f>D248*D249</f>
        <v>70</v>
      </c>
      <c r="E250" s="174" t="s">
        <v>395</v>
      </c>
      <c r="F250" s="174"/>
      <c r="G250" s="174"/>
      <c r="H250" s="22">
        <v>0</v>
      </c>
      <c r="I250" s="22">
        <v>1</v>
      </c>
      <c r="J250" s="165">
        <f>H250/I250</f>
        <v>0</v>
      </c>
      <c r="K250" s="165">
        <f>J250*L249</f>
        <v>0</v>
      </c>
      <c r="L250" s="165">
        <f>K250+L249</f>
        <v>1</v>
      </c>
      <c r="M250" s="20"/>
      <c r="N250" s="165" t="s">
        <v>341</v>
      </c>
      <c r="O250" s="165"/>
      <c r="P250" s="166">
        <f>P248*P249</f>
        <v>25</v>
      </c>
      <c r="Q250" s="171">
        <f>P250</f>
        <v>25</v>
      </c>
      <c r="R250" s="20"/>
      <c r="S250" s="20"/>
      <c r="T250" s="165" t="s">
        <v>342</v>
      </c>
      <c r="U250" s="165"/>
      <c r="V250" s="166">
        <f>V248*V249</f>
        <v>200</v>
      </c>
      <c r="W250" s="171">
        <f>V250</f>
        <v>200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 spans="2:34">
      <c r="B251" s="20"/>
      <c r="C251" s="165"/>
      <c r="D251" s="166"/>
      <c r="E251" s="174" t="s">
        <v>453</v>
      </c>
      <c r="F251" s="174"/>
      <c r="G251" s="174"/>
      <c r="H251" s="22">
        <v>0</v>
      </c>
      <c r="I251" s="22">
        <v>1</v>
      </c>
      <c r="J251" s="165">
        <f t="shared" ref="J251:J254" si="706">H251/I251</f>
        <v>0</v>
      </c>
      <c r="K251" s="165">
        <f t="shared" ref="K251:K253" si="707">J251*L250</f>
        <v>0</v>
      </c>
      <c r="L251" s="165">
        <f t="shared" ref="L251:L253" si="708">K251+L250</f>
        <v>1</v>
      </c>
      <c r="M251" s="20"/>
      <c r="N251" s="165" t="s">
        <v>343</v>
      </c>
      <c r="O251" s="165"/>
      <c r="P251" s="21">
        <v>170</v>
      </c>
      <c r="Q251" s="21">
        <v>240</v>
      </c>
      <c r="R251" s="20"/>
      <c r="S251" s="20"/>
      <c r="T251" s="165" t="s">
        <v>343</v>
      </c>
      <c r="U251" s="165"/>
      <c r="V251" s="21">
        <v>150</v>
      </c>
      <c r="W251" s="21">
        <v>220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 spans="2:34">
      <c r="B252" s="20"/>
      <c r="C252" s="165"/>
      <c r="D252" s="166"/>
      <c r="E252" s="174" t="s">
        <v>454</v>
      </c>
      <c r="F252" s="174"/>
      <c r="G252" s="174"/>
      <c r="H252" s="22">
        <v>0</v>
      </c>
      <c r="I252" s="22">
        <v>1</v>
      </c>
      <c r="J252" s="165">
        <f t="shared" si="706"/>
        <v>0</v>
      </c>
      <c r="K252" s="165">
        <f t="shared" si="707"/>
        <v>0</v>
      </c>
      <c r="L252" s="165">
        <f t="shared" si="708"/>
        <v>1</v>
      </c>
      <c r="M252" s="20"/>
      <c r="N252" s="165" t="s">
        <v>344</v>
      </c>
      <c r="O252" s="165"/>
      <c r="P252" s="166">
        <f>P251*P249</f>
        <v>170</v>
      </c>
      <c r="Q252" s="166">
        <f>Q251*Q249</f>
        <v>240</v>
      </c>
      <c r="R252" s="20"/>
      <c r="S252" s="20"/>
      <c r="T252" s="165" t="s">
        <v>340</v>
      </c>
      <c r="U252" s="165"/>
      <c r="V252" s="21">
        <v>10</v>
      </c>
      <c r="W252" s="127">
        <f>V252</f>
        <v>10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 spans="2:34">
      <c r="B253" s="20"/>
      <c r="C253" s="165"/>
      <c r="D253" s="166"/>
      <c r="E253" s="174" t="s">
        <v>455</v>
      </c>
      <c r="F253" s="174"/>
      <c r="G253" s="174"/>
      <c r="H253" s="22">
        <v>0</v>
      </c>
      <c r="I253" s="22">
        <v>1</v>
      </c>
      <c r="J253" s="165">
        <f t="shared" si="706"/>
        <v>0</v>
      </c>
      <c r="K253" s="165">
        <f t="shared" si="707"/>
        <v>0</v>
      </c>
      <c r="L253" s="165">
        <f t="shared" si="708"/>
        <v>1</v>
      </c>
      <c r="M253" s="20"/>
      <c r="N253" s="165"/>
      <c r="O253" s="165"/>
      <c r="P253" s="166"/>
      <c r="Q253" s="166"/>
      <c r="R253" s="20"/>
      <c r="S253" s="20"/>
      <c r="T253" s="165" t="s">
        <v>342</v>
      </c>
      <c r="U253" s="165"/>
      <c r="V253" s="166">
        <f>V252*V251</f>
        <v>1500</v>
      </c>
      <c r="W253" s="166">
        <f>W252*W251</f>
        <v>2200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spans="2:34">
      <c r="B254" s="20"/>
      <c r="C254" s="165"/>
      <c r="D254" s="166"/>
      <c r="E254" s="174" t="s">
        <v>384</v>
      </c>
      <c r="F254" s="174"/>
      <c r="G254" s="174"/>
      <c r="H254" s="22">
        <v>10</v>
      </c>
      <c r="I254" s="22">
        <v>1</v>
      </c>
      <c r="J254" s="165">
        <f t="shared" si="706"/>
        <v>10</v>
      </c>
      <c r="K254" s="165">
        <f>J254*L253</f>
        <v>10</v>
      </c>
      <c r="L254" s="165">
        <f>K254</f>
        <v>10</v>
      </c>
      <c r="M254" s="20"/>
      <c r="N254" s="165"/>
      <c r="O254" s="165"/>
      <c r="P254" s="166"/>
      <c r="Q254" s="166"/>
      <c r="R254" s="20"/>
      <c r="S254" s="20"/>
      <c r="T254" s="165"/>
      <c r="U254" s="165"/>
      <c r="V254" s="166"/>
      <c r="W254" s="166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 spans="2:34">
      <c r="B255" s="20"/>
      <c r="C255" s="165"/>
      <c r="D255" s="166"/>
      <c r="E255" s="174" t="s">
        <v>456</v>
      </c>
      <c r="F255" s="174"/>
      <c r="G255" s="174"/>
      <c r="H255" s="22">
        <v>0</v>
      </c>
      <c r="I255" s="22">
        <v>1</v>
      </c>
      <c r="J255" s="165">
        <f>H255/I255</f>
        <v>0</v>
      </c>
      <c r="K255" s="165">
        <f>J255*L254</f>
        <v>0</v>
      </c>
      <c r="L255" s="165">
        <f>K255</f>
        <v>0</v>
      </c>
      <c r="M255" s="20"/>
      <c r="N255" s="167" t="s">
        <v>345</v>
      </c>
      <c r="O255" s="167"/>
      <c r="P255" s="168">
        <f>P252/P250</f>
        <v>6.8</v>
      </c>
      <c r="Q255" s="168">
        <f>Q252/Q250</f>
        <v>9.6</v>
      </c>
      <c r="R255" s="20"/>
      <c r="S255" s="20"/>
      <c r="T255" s="167" t="s">
        <v>345</v>
      </c>
      <c r="U255" s="167"/>
      <c r="V255" s="168">
        <f>V253/V250</f>
        <v>7.5</v>
      </c>
      <c r="W255" s="168">
        <f>W253/W250</f>
        <v>11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 spans="2:34">
      <c r="B256" s="20"/>
      <c r="C256" s="165" t="s">
        <v>343</v>
      </c>
      <c r="D256" s="21">
        <v>230</v>
      </c>
      <c r="E256" s="174"/>
      <c r="F256" s="174"/>
      <c r="G256" s="174"/>
      <c r="H256" s="165"/>
      <c r="I256" s="165"/>
      <c r="J256" s="167" t="s">
        <v>385</v>
      </c>
      <c r="K256" s="165"/>
      <c r="L256" s="165">
        <f>L255</f>
        <v>0</v>
      </c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 spans="2:34">
      <c r="B257" s="20"/>
      <c r="C257" s="165" t="s">
        <v>340</v>
      </c>
      <c r="D257" s="21">
        <v>10</v>
      </c>
      <c r="E257" s="174" t="s">
        <v>384</v>
      </c>
      <c r="F257" s="174"/>
      <c r="G257" s="174"/>
      <c r="H257" s="22">
        <v>10</v>
      </c>
      <c r="I257" s="22">
        <v>2</v>
      </c>
      <c r="J257" s="165">
        <f>H257/I257</f>
        <v>5</v>
      </c>
      <c r="K257" s="175">
        <f>J257*D249</f>
        <v>5</v>
      </c>
      <c r="L257" s="175">
        <f>K257</f>
        <v>5</v>
      </c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spans="2:34">
      <c r="B258" s="20"/>
      <c r="C258" s="165" t="s">
        <v>342</v>
      </c>
      <c r="D258" s="166">
        <f>D257*D256</f>
        <v>2300</v>
      </c>
      <c r="E258" s="165"/>
      <c r="F258" s="165"/>
      <c r="G258" s="165"/>
      <c r="H258" s="165"/>
      <c r="I258" s="165"/>
      <c r="J258" s="167" t="s">
        <v>385</v>
      </c>
      <c r="K258" s="165"/>
      <c r="L258" s="165">
        <f>L257</f>
        <v>5</v>
      </c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 spans="2:34">
      <c r="B259" s="20"/>
      <c r="C259" s="165"/>
      <c r="D259" s="166"/>
      <c r="E259" s="174" t="s">
        <v>384</v>
      </c>
      <c r="F259" s="174"/>
      <c r="G259" s="174"/>
      <c r="H259" s="22">
        <v>10</v>
      </c>
      <c r="I259" s="22">
        <v>2</v>
      </c>
      <c r="J259" s="165">
        <f>H259/I259</f>
        <v>5</v>
      </c>
      <c r="K259" s="165">
        <f>J259*L258</f>
        <v>25</v>
      </c>
      <c r="L259" s="165">
        <f>K259</f>
        <v>25</v>
      </c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 spans="2:34">
      <c r="B260" s="20"/>
      <c r="C260" s="167" t="s">
        <v>345</v>
      </c>
      <c r="D260" s="168">
        <f>D258/D250</f>
        <v>32.857142857142854</v>
      </c>
      <c r="E260" s="174"/>
      <c r="F260" s="174"/>
      <c r="G260" s="174"/>
      <c r="H260" s="165"/>
      <c r="I260" s="165"/>
      <c r="J260" s="167" t="s">
        <v>385</v>
      </c>
      <c r="K260" s="165"/>
      <c r="L260" s="165">
        <f>L259</f>
        <v>25</v>
      </c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 spans="2:34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spans="2:34">
      <c r="B262" s="20"/>
      <c r="C262" s="20"/>
      <c r="D262" s="136"/>
      <c r="E262" s="176"/>
      <c r="F262" s="176"/>
      <c r="G262" s="176"/>
      <c r="H262" s="176"/>
      <c r="I262" s="177"/>
      <c r="J262" s="20"/>
      <c r="K262" s="136"/>
      <c r="L262" s="176"/>
      <c r="M262" s="177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 spans="2:34" ht="14.25">
      <c r="B263" s="20"/>
      <c r="C263" s="20"/>
      <c r="D263" s="207" t="s">
        <v>27</v>
      </c>
      <c r="E263" s="208"/>
      <c r="F263" s="208"/>
      <c r="G263" s="208"/>
      <c r="H263" s="208"/>
      <c r="I263" s="209"/>
      <c r="J263" s="20"/>
      <c r="K263" s="207" t="s">
        <v>390</v>
      </c>
      <c r="L263" s="208"/>
      <c r="M263" s="20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 spans="2:34">
      <c r="B264" s="20"/>
      <c r="C264" s="20"/>
      <c r="D264" s="20" t="s">
        <v>28</v>
      </c>
      <c r="E264" s="127"/>
      <c r="F264" s="127"/>
      <c r="G264" s="127"/>
      <c r="H264" s="127">
        <f>D250</f>
        <v>70</v>
      </c>
      <c r="I264" s="21">
        <f>D250</f>
        <v>70</v>
      </c>
      <c r="J264" s="20"/>
      <c r="K264" s="20" t="s">
        <v>28</v>
      </c>
      <c r="L264" s="127"/>
      <c r="M264" s="21">
        <f>I264</f>
        <v>70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 spans="2:34">
      <c r="B265" s="20"/>
      <c r="C265" s="20"/>
      <c r="D265" s="20" t="s">
        <v>29</v>
      </c>
      <c r="E265" s="127"/>
      <c r="F265" s="127"/>
      <c r="G265" s="127"/>
      <c r="H265" s="127">
        <f>D258</f>
        <v>2300</v>
      </c>
      <c r="I265" s="21">
        <f>D258</f>
        <v>2300</v>
      </c>
      <c r="J265" s="20"/>
      <c r="K265" s="20" t="s">
        <v>29</v>
      </c>
      <c r="L265" s="20"/>
      <c r="M265" s="21">
        <f>I265</f>
        <v>2300</v>
      </c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 spans="2:34">
      <c r="B266" s="20"/>
      <c r="C266" s="20"/>
      <c r="D266" s="20" t="s">
        <v>30</v>
      </c>
      <c r="E266" s="20"/>
      <c r="F266" s="20"/>
      <c r="G266" s="20"/>
      <c r="H266" s="22">
        <v>10</v>
      </c>
      <c r="I266" s="22">
        <v>10</v>
      </c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 spans="2:34">
      <c r="B267" s="20"/>
      <c r="C267" s="20"/>
      <c r="D267" s="23" t="s">
        <v>31</v>
      </c>
      <c r="E267" s="3"/>
      <c r="F267" s="3"/>
      <c r="G267" s="3"/>
      <c r="H267" s="3">
        <f>((H265/H264)^(1/H266))-1</f>
        <v>0.4179567344694417</v>
      </c>
      <c r="I267" s="3">
        <f>((I265/I264)^(1/I266))-1</f>
        <v>0.4179567344694417</v>
      </c>
      <c r="J267" s="20"/>
      <c r="K267" s="23" t="s">
        <v>391</v>
      </c>
      <c r="L267" s="23"/>
      <c r="M267" s="191">
        <f>(M265-M264)/M264</f>
        <v>31.857142857142858</v>
      </c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 spans="2:34">
      <c r="B268" s="20"/>
      <c r="C268" s="20"/>
      <c r="D268" s="23" t="s">
        <v>32</v>
      </c>
      <c r="E268" s="163"/>
      <c r="F268" s="163"/>
      <c r="G268" s="163"/>
      <c r="H268" s="163">
        <f>H266*12</f>
        <v>120</v>
      </c>
      <c r="I268" s="24">
        <f>I266*12</f>
        <v>120</v>
      </c>
      <c r="J268" s="20"/>
      <c r="K268" s="23" t="s">
        <v>392</v>
      </c>
      <c r="L268" s="23"/>
      <c r="M268" s="23">
        <f>M265/M264</f>
        <v>32.857142857142854</v>
      </c>
    </row>
    <row r="269" spans="2:34">
      <c r="B269" s="20"/>
      <c r="C269" s="20"/>
      <c r="D269" s="20" t="s">
        <v>30</v>
      </c>
      <c r="E269" s="25"/>
      <c r="F269" s="25"/>
      <c r="G269" s="25"/>
      <c r="H269" s="25">
        <f>H268/12</f>
        <v>10</v>
      </c>
      <c r="I269" s="25">
        <f>I268/12</f>
        <v>10</v>
      </c>
      <c r="J269" s="20"/>
      <c r="K269" s="20"/>
      <c r="L269" s="20"/>
      <c r="M269" s="20"/>
    </row>
    <row r="270" spans="2:34">
      <c r="B270" s="20"/>
      <c r="C270" s="20"/>
      <c r="D270" s="23" t="s">
        <v>33</v>
      </c>
      <c r="E270" s="3"/>
      <c r="F270" s="3"/>
      <c r="G270" s="3"/>
      <c r="H270" s="3">
        <f>((H265/H264)^(1/H269))-1</f>
        <v>0.4179567344694417</v>
      </c>
      <c r="I270" s="3">
        <f>((I265/I264)^(1/I269))-1</f>
        <v>0.4179567344694417</v>
      </c>
      <c r="J270" s="20"/>
      <c r="K270" s="20"/>
      <c r="L270" s="20"/>
      <c r="M270" s="20"/>
    </row>
    <row r="271" spans="2:34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spans="2:34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</sheetData>
  <mergeCells count="9">
    <mergeCell ref="A36:A45"/>
    <mergeCell ref="A124:A132"/>
    <mergeCell ref="D263:I263"/>
    <mergeCell ref="K263:M263"/>
    <mergeCell ref="AG2:AH2"/>
    <mergeCell ref="AG3:AH3"/>
    <mergeCell ref="N246:P246"/>
    <mergeCell ref="T246:V246"/>
    <mergeCell ref="M229:N22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9" t="s">
        <v>27</v>
      </c>
      <c r="K5" s="219"/>
      <c r="M5" s="219" t="s">
        <v>65</v>
      </c>
      <c r="N5" s="219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9" t="s">
        <v>36</v>
      </c>
      <c r="K14" s="219"/>
      <c r="L14" s="219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19" t="s">
        <v>27</v>
      </c>
      <c r="S5" s="219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9" t="s">
        <v>36</v>
      </c>
      <c r="S14" s="219"/>
      <c r="T14" s="219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19" t="s">
        <v>27</v>
      </c>
      <c r="C2" s="219"/>
      <c r="E2" s="219" t="s">
        <v>65</v>
      </c>
      <c r="F2" s="219"/>
      <c r="H2" s="223" t="s">
        <v>36</v>
      </c>
      <c r="I2" s="224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20" t="s">
        <v>68</v>
      </c>
      <c r="E10" s="221"/>
      <c r="F10" s="221"/>
      <c r="G10" s="221"/>
      <c r="H10" s="222"/>
      <c r="I10" s="220" t="s">
        <v>72</v>
      </c>
      <c r="J10" s="221"/>
      <c r="K10" s="221"/>
      <c r="L10" s="222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>
      <c r="B3" s="225" t="s">
        <v>429</v>
      </c>
      <c r="C3" s="226"/>
      <c r="F3" s="225" t="s">
        <v>430</v>
      </c>
      <c r="G3" s="226"/>
    </row>
    <row r="4" spans="2:7">
      <c r="B4" s="186" t="s">
        <v>431</v>
      </c>
      <c r="C4" s="186"/>
      <c r="F4" s="186" t="s">
        <v>432</v>
      </c>
      <c r="G4" s="186"/>
    </row>
    <row r="5" spans="2:7">
      <c r="B5" s="186" t="s">
        <v>433</v>
      </c>
      <c r="C5" s="186"/>
      <c r="F5" s="186" t="s">
        <v>291</v>
      </c>
      <c r="G5" s="186"/>
    </row>
    <row r="6" spans="2:7">
      <c r="B6" s="186" t="s">
        <v>434</v>
      </c>
      <c r="C6" s="186"/>
      <c r="F6" s="186" t="s">
        <v>435</v>
      </c>
      <c r="G6" s="186"/>
    </row>
    <row r="7" spans="2:7">
      <c r="B7" s="186" t="s">
        <v>436</v>
      </c>
      <c r="C7" s="186"/>
      <c r="F7" s="186" t="s">
        <v>437</v>
      </c>
      <c r="G7" s="186"/>
    </row>
    <row r="8" spans="2:7">
      <c r="B8" s="186" t="s">
        <v>438</v>
      </c>
      <c r="C8" s="186"/>
      <c r="F8" s="186" t="s">
        <v>439</v>
      </c>
      <c r="G8" s="186"/>
    </row>
    <row r="9" spans="2:7">
      <c r="B9" s="186" t="s">
        <v>440</v>
      </c>
      <c r="C9" s="186"/>
      <c r="F9" s="186" t="s">
        <v>441</v>
      </c>
      <c r="G9" s="186"/>
    </row>
    <row r="10" spans="2:7">
      <c r="B10" s="186" t="s">
        <v>439</v>
      </c>
      <c r="C10" s="186"/>
      <c r="F10" s="186"/>
      <c r="G10" s="186"/>
    </row>
    <row r="11" spans="2:7">
      <c r="B11" s="186" t="s">
        <v>442</v>
      </c>
      <c r="C11" s="186"/>
      <c r="F11" s="186"/>
      <c r="G11" s="186"/>
    </row>
    <row r="12" spans="2:7">
      <c r="B12" s="186" t="s">
        <v>443</v>
      </c>
      <c r="C12" s="186"/>
      <c r="F12" s="186"/>
      <c r="G12" s="186"/>
    </row>
    <row r="13" spans="2:7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2016-11-20T22:59:37Z</dcterms:modified>
</cp:coreProperties>
</file>
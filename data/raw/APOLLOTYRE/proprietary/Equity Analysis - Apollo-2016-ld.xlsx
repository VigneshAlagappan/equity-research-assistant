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K190" i="18" l="1"/>
  <c r="AE23" i="18"/>
  <c r="Q32" i="18" l="1"/>
  <c r="Q31" i="18"/>
  <c r="K12" i="18" l="1"/>
  <c r="J12" i="18"/>
  <c r="I12" i="18"/>
  <c r="H12" i="18"/>
  <c r="N12" i="18"/>
  <c r="M12" i="18"/>
  <c r="L12" i="18"/>
  <c r="F115" i="18" l="1"/>
  <c r="F181" i="18" l="1"/>
  <c r="E181" i="18"/>
  <c r="D181" i="18"/>
  <c r="C181" i="18"/>
  <c r="Q199" i="18" l="1"/>
  <c r="Q198" i="18"/>
  <c r="Q197" i="18"/>
  <c r="Q180" i="18"/>
  <c r="Q50" i="18"/>
  <c r="Q173" i="18" s="1"/>
  <c r="Q51" i="18"/>
  <c r="Q52" i="18"/>
  <c r="Q91" i="18" s="1"/>
  <c r="Q54" i="18"/>
  <c r="Q194" i="18" s="1"/>
  <c r="Q55" i="18"/>
  <c r="Q56" i="18"/>
  <c r="Q57" i="18"/>
  <c r="Q175" i="18" s="1"/>
  <c r="Q58" i="18"/>
  <c r="Q60" i="18"/>
  <c r="Q61" i="18"/>
  <c r="Q62" i="18"/>
  <c r="Q178" i="18" s="1"/>
  <c r="Q64" i="18"/>
  <c r="Q65" i="18"/>
  <c r="Q67" i="18"/>
  <c r="Q68" i="18"/>
  <c r="Q177" i="18" s="1"/>
  <c r="Q70" i="18"/>
  <c r="Q111" i="18" s="1"/>
  <c r="Q112" i="18" s="1"/>
  <c r="Q72" i="18"/>
  <c r="Q74" i="18" s="1"/>
  <c r="Q75" i="18"/>
  <c r="Q76" i="18"/>
  <c r="Q77" i="18"/>
  <c r="Q78" i="18"/>
  <c r="Q80" i="18"/>
  <c r="Q135" i="18" s="1"/>
  <c r="Q81" i="18"/>
  <c r="Q82" i="18"/>
  <c r="Q86" i="18"/>
  <c r="Q87" i="18"/>
  <c r="Q88" i="18"/>
  <c r="Q89" i="18"/>
  <c r="Q90" i="18"/>
  <c r="Q93" i="18"/>
  <c r="Q99" i="18" s="1"/>
  <c r="Q94" i="18"/>
  <c r="Q95" i="18"/>
  <c r="Q101" i="18" s="1"/>
  <c r="Q96" i="18"/>
  <c r="Q102" i="18" s="1"/>
  <c r="Q97" i="18"/>
  <c r="Q103" i="18" s="1"/>
  <c r="Q100" i="18"/>
  <c r="Q106" i="18"/>
  <c r="Q107" i="18"/>
  <c r="Q108" i="18"/>
  <c r="Q109" i="18"/>
  <c r="Q117" i="18"/>
  <c r="Q118" i="18"/>
  <c r="Q120" i="18"/>
  <c r="Q121" i="18"/>
  <c r="Q122" i="18"/>
  <c r="Q125" i="18"/>
  <c r="Q126" i="18"/>
  <c r="Q127" i="18"/>
  <c r="Q128" i="18"/>
  <c r="Q130" i="18"/>
  <c r="Q131" i="18"/>
  <c r="Q133" i="18"/>
  <c r="Q134" i="18" s="1"/>
  <c r="Q137" i="18"/>
  <c r="Q138" i="18"/>
  <c r="T17" i="18"/>
  <c r="T19" i="18"/>
  <c r="T24" i="18"/>
  <c r="T35" i="18"/>
  <c r="T42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Q8" i="18"/>
  <c r="Q11" i="18"/>
  <c r="Q26" i="18"/>
  <c r="Q28" i="18"/>
  <c r="Q30" i="18"/>
  <c r="Q37" i="18"/>
  <c r="Q39" i="18"/>
  <c r="Q41" i="18"/>
  <c r="Q43" i="18"/>
  <c r="Q66" i="18" l="1"/>
  <c r="Q176" i="18" s="1"/>
  <c r="T194" i="18"/>
  <c r="T195" i="18" s="1"/>
  <c r="Q174" i="18"/>
  <c r="Q179" i="18"/>
  <c r="Q113" i="18"/>
  <c r="Q114" i="18" s="1"/>
  <c r="Q115" i="18"/>
  <c r="AE52" i="18"/>
  <c r="H52" i="18"/>
  <c r="H91" i="18" s="1"/>
  <c r="I52" i="18"/>
  <c r="I91" i="18" s="1"/>
  <c r="J52" i="18"/>
  <c r="J91" i="18" s="1"/>
  <c r="K52" i="18"/>
  <c r="K91" i="18" s="1"/>
  <c r="L52" i="18"/>
  <c r="L91" i="18" s="1"/>
  <c r="M52" i="18"/>
  <c r="M91" i="18" s="1"/>
  <c r="N52" i="18"/>
  <c r="N91" i="18" s="1"/>
  <c r="O52" i="18"/>
  <c r="O91" i="18" s="1"/>
  <c r="P52" i="18"/>
  <c r="P91" i="18" s="1"/>
  <c r="G52" i="18"/>
  <c r="G91" i="18" s="1"/>
  <c r="P43" i="18"/>
  <c r="O43" i="18"/>
  <c r="N43" i="18"/>
  <c r="M43" i="18"/>
  <c r="L43" i="18"/>
  <c r="K43" i="18"/>
  <c r="J43" i="18"/>
  <c r="I43" i="18"/>
  <c r="H43" i="18"/>
  <c r="G43" i="18"/>
  <c r="Q181" i="18" l="1"/>
  <c r="Q182" i="18" s="1"/>
  <c r="R52" i="18"/>
  <c r="R91" i="18"/>
  <c r="S44" i="18"/>
  <c r="T44" i="18" s="1"/>
  <c r="K189" i="18" l="1"/>
  <c r="K188" i="18"/>
  <c r="K187" i="18"/>
  <c r="K186" i="18"/>
  <c r="AE38" i="18" l="1"/>
  <c r="S38" i="18"/>
  <c r="P39" i="18"/>
  <c r="O39" i="18"/>
  <c r="N39" i="18"/>
  <c r="M39" i="18"/>
  <c r="L39" i="18"/>
  <c r="K39" i="18"/>
  <c r="J39" i="18"/>
  <c r="I39" i="18"/>
  <c r="H39" i="18"/>
  <c r="G39" i="18"/>
  <c r="T38" i="18" l="1"/>
  <c r="U38" i="18" l="1"/>
  <c r="V38" i="18" s="1"/>
  <c r="W38" i="18" s="1"/>
  <c r="X38" i="18" l="1"/>
  <c r="U208" i="18"/>
  <c r="U209" i="18" s="1"/>
  <c r="D206" i="18"/>
  <c r="G216" i="18" s="1"/>
  <c r="H206" i="18"/>
  <c r="L26" i="18"/>
  <c r="L106" i="18"/>
  <c r="J106" i="18"/>
  <c r="H106" i="18"/>
  <c r="F106" i="18"/>
  <c r="G106" i="18"/>
  <c r="I106" i="18"/>
  <c r="K106" i="18"/>
  <c r="M106" i="18"/>
  <c r="N106" i="18"/>
  <c r="O106" i="18"/>
  <c r="P106" i="18"/>
  <c r="H138" i="18"/>
  <c r="I138" i="18"/>
  <c r="J138" i="18"/>
  <c r="K138" i="18"/>
  <c r="L138" i="18"/>
  <c r="M138" i="18"/>
  <c r="N138" i="18"/>
  <c r="O138" i="18"/>
  <c r="P138" i="18"/>
  <c r="H137" i="18"/>
  <c r="I137" i="18"/>
  <c r="J137" i="18"/>
  <c r="K137" i="18"/>
  <c r="L137" i="18"/>
  <c r="M137" i="18"/>
  <c r="N137" i="18"/>
  <c r="O137" i="18"/>
  <c r="P137" i="18"/>
  <c r="G220" i="18"/>
  <c r="G221" i="18" s="1"/>
  <c r="AE55" i="18"/>
  <c r="C55" i="18"/>
  <c r="D55" i="18"/>
  <c r="E55" i="18"/>
  <c r="F55" i="18"/>
  <c r="H55" i="18"/>
  <c r="I55" i="18"/>
  <c r="J55" i="18"/>
  <c r="K55" i="18"/>
  <c r="L55" i="18"/>
  <c r="M55" i="18"/>
  <c r="N55" i="18"/>
  <c r="O55" i="18"/>
  <c r="P55" i="18"/>
  <c r="G55" i="18"/>
  <c r="H211" i="18"/>
  <c r="D210" i="18"/>
  <c r="G217" i="18" s="1"/>
  <c r="K217" i="18" s="1"/>
  <c r="H209" i="18"/>
  <c r="I209" i="18" s="1"/>
  <c r="J209" i="18" s="1"/>
  <c r="J210" i="18" s="1"/>
  <c r="H207" i="18"/>
  <c r="H205" i="18"/>
  <c r="H204" i="18"/>
  <c r="I204" i="18" s="1"/>
  <c r="J204" i="18" s="1"/>
  <c r="G219" i="18" l="1"/>
  <c r="G222" i="18"/>
  <c r="K216" i="18"/>
  <c r="K220" i="18" s="1"/>
  <c r="Y38" i="18"/>
  <c r="D212" i="18"/>
  <c r="R55" i="18"/>
  <c r="I205" i="18"/>
  <c r="J205" i="18" s="1"/>
  <c r="I211" i="18"/>
  <c r="J211" i="18" s="1"/>
  <c r="J212" i="18" s="1"/>
  <c r="H90" i="18"/>
  <c r="I90" i="18"/>
  <c r="J90" i="18"/>
  <c r="K90" i="18"/>
  <c r="L90" i="18"/>
  <c r="M90" i="18"/>
  <c r="N90" i="18"/>
  <c r="O90" i="18"/>
  <c r="P90" i="18"/>
  <c r="G90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38" i="18"/>
  <c r="G137" i="18"/>
  <c r="AE14" i="18"/>
  <c r="S14" i="18"/>
  <c r="U205" i="18"/>
  <c r="U204" i="18"/>
  <c r="O205" i="18"/>
  <c r="O208" i="18" s="1"/>
  <c r="O204" i="18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G97" i="18"/>
  <c r="G103" i="18" s="1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G94" i="18"/>
  <c r="G100" i="18" s="1"/>
  <c r="H95" i="18"/>
  <c r="H101" i="18" s="1"/>
  <c r="I95" i="18"/>
  <c r="I101" i="18" s="1"/>
  <c r="J95" i="18"/>
  <c r="J101" i="18" s="1"/>
  <c r="K95" i="18"/>
  <c r="K101" i="18" s="1"/>
  <c r="L95" i="18"/>
  <c r="L101" i="18" s="1"/>
  <c r="M95" i="18"/>
  <c r="M101" i="18" s="1"/>
  <c r="N95" i="18"/>
  <c r="N101" i="18" s="1"/>
  <c r="O95" i="18"/>
  <c r="O101" i="18" s="1"/>
  <c r="P95" i="18"/>
  <c r="P101" i="18" s="1"/>
  <c r="G95" i="18"/>
  <c r="G101" i="18" s="1"/>
  <c r="H133" i="18"/>
  <c r="H134" i="18" s="1"/>
  <c r="I133" i="18"/>
  <c r="I134" i="18" s="1"/>
  <c r="J133" i="18"/>
  <c r="J134" i="18" s="1"/>
  <c r="K133" i="18"/>
  <c r="K134" i="18" s="1"/>
  <c r="L133" i="18"/>
  <c r="L134" i="18" s="1"/>
  <c r="M133" i="18"/>
  <c r="M134" i="18" s="1"/>
  <c r="N133" i="18"/>
  <c r="N134" i="18" s="1"/>
  <c r="O133" i="18"/>
  <c r="O134" i="18" s="1"/>
  <c r="P133" i="18"/>
  <c r="P134" i="18" s="1"/>
  <c r="G133" i="18"/>
  <c r="G134" i="18" s="1"/>
  <c r="K219" i="18" l="1"/>
  <c r="R103" i="18"/>
  <c r="R100" i="18"/>
  <c r="T14" i="18"/>
  <c r="U14" i="18" s="1"/>
  <c r="V14" i="18" s="1"/>
  <c r="W14" i="18" s="1"/>
  <c r="X14" i="18" s="1"/>
  <c r="Y14" i="18" s="1"/>
  <c r="Z14" i="18" s="1"/>
  <c r="AA14" i="18" s="1"/>
  <c r="AB14" i="18" s="1"/>
  <c r="AC14" i="18" s="1"/>
  <c r="Z38" i="18"/>
  <c r="R101" i="18"/>
  <c r="I206" i="18"/>
  <c r="J206" i="18" s="1"/>
  <c r="I207" i="18" s="1"/>
  <c r="J207" i="18" s="1"/>
  <c r="J208" i="18" s="1"/>
  <c r="R137" i="18"/>
  <c r="R138" i="18"/>
  <c r="R90" i="18"/>
  <c r="R97" i="18"/>
  <c r="R94" i="18"/>
  <c r="R134" i="18"/>
  <c r="R133" i="18"/>
  <c r="R95" i="18"/>
  <c r="P89" i="18"/>
  <c r="P88" i="18"/>
  <c r="E89" i="18"/>
  <c r="F89" i="18"/>
  <c r="H89" i="18"/>
  <c r="I89" i="18"/>
  <c r="J89" i="18"/>
  <c r="K89" i="18"/>
  <c r="L89" i="18"/>
  <c r="M89" i="18"/>
  <c r="N89" i="18"/>
  <c r="O89" i="18"/>
  <c r="G89" i="18"/>
  <c r="G88" i="18"/>
  <c r="H131" i="18"/>
  <c r="I131" i="18"/>
  <c r="J131" i="18"/>
  <c r="K131" i="18"/>
  <c r="L131" i="18"/>
  <c r="M131" i="18"/>
  <c r="N131" i="18"/>
  <c r="O131" i="18"/>
  <c r="P131" i="18"/>
  <c r="G131" i="18"/>
  <c r="H130" i="18"/>
  <c r="I130" i="18"/>
  <c r="J130" i="18"/>
  <c r="K130" i="18"/>
  <c r="L130" i="18"/>
  <c r="M130" i="18"/>
  <c r="N130" i="18"/>
  <c r="O130" i="18"/>
  <c r="P130" i="18"/>
  <c r="G130" i="18"/>
  <c r="H127" i="18"/>
  <c r="I127" i="18"/>
  <c r="J127" i="18"/>
  <c r="K127" i="18"/>
  <c r="L127" i="18"/>
  <c r="M127" i="18"/>
  <c r="N127" i="18"/>
  <c r="O127" i="18"/>
  <c r="P127" i="18"/>
  <c r="G127" i="18"/>
  <c r="H128" i="18"/>
  <c r="I128" i="18"/>
  <c r="J128" i="18"/>
  <c r="K128" i="18"/>
  <c r="L128" i="18"/>
  <c r="M128" i="18"/>
  <c r="N128" i="18"/>
  <c r="O128" i="18"/>
  <c r="P128" i="18"/>
  <c r="G128" i="18"/>
  <c r="H126" i="18"/>
  <c r="I126" i="18"/>
  <c r="J126" i="18"/>
  <c r="K126" i="18"/>
  <c r="L126" i="18"/>
  <c r="M126" i="18"/>
  <c r="N126" i="18"/>
  <c r="O126" i="18"/>
  <c r="P126" i="18"/>
  <c r="G126" i="18"/>
  <c r="H125" i="18"/>
  <c r="I125" i="18"/>
  <c r="J125" i="18"/>
  <c r="K125" i="18"/>
  <c r="L125" i="18"/>
  <c r="M125" i="18"/>
  <c r="N125" i="18"/>
  <c r="O125" i="18"/>
  <c r="P125" i="18"/>
  <c r="G125" i="18"/>
  <c r="S172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B122" i="18"/>
  <c r="B121" i="18"/>
  <c r="AE32" i="18"/>
  <c r="S32" i="18"/>
  <c r="G109" i="18"/>
  <c r="H109" i="18"/>
  <c r="I109" i="18"/>
  <c r="J109" i="18"/>
  <c r="K109" i="18"/>
  <c r="L109" i="18"/>
  <c r="M109" i="18"/>
  <c r="N109" i="18"/>
  <c r="O109" i="18"/>
  <c r="P109" i="18"/>
  <c r="T209" i="18"/>
  <c r="N208" i="18"/>
  <c r="T206" i="18"/>
  <c r="U206" i="18" s="1"/>
  <c r="U211" i="18" s="1"/>
  <c r="N206" i="18"/>
  <c r="O206" i="18" s="1"/>
  <c r="O211" i="18" s="1"/>
  <c r="F118" i="18"/>
  <c r="H118" i="18"/>
  <c r="I118" i="18"/>
  <c r="J118" i="18"/>
  <c r="K118" i="18"/>
  <c r="L118" i="18"/>
  <c r="M118" i="18"/>
  <c r="N118" i="18"/>
  <c r="O118" i="18"/>
  <c r="P118" i="18"/>
  <c r="G118" i="18"/>
  <c r="F117" i="18"/>
  <c r="H117" i="18"/>
  <c r="I117" i="18"/>
  <c r="J117" i="18"/>
  <c r="K117" i="18"/>
  <c r="L117" i="18"/>
  <c r="M117" i="18"/>
  <c r="N117" i="18"/>
  <c r="O117" i="18"/>
  <c r="P117" i="18"/>
  <c r="G117" i="18"/>
  <c r="AD14" i="18" l="1"/>
  <c r="AF14" i="18"/>
  <c r="T32" i="18"/>
  <c r="U32" i="18" s="1"/>
  <c r="V32" i="18" s="1"/>
  <c r="W32" i="18" s="1"/>
  <c r="X32" i="18" s="1"/>
  <c r="Y32" i="18" s="1"/>
  <c r="Z32" i="18" s="1"/>
  <c r="AA32" i="18" s="1"/>
  <c r="AB32" i="18" s="1"/>
  <c r="AC32" i="18" s="1"/>
  <c r="AD32" i="18" s="1"/>
  <c r="AA38" i="18"/>
  <c r="R128" i="18"/>
  <c r="R89" i="18"/>
  <c r="R125" i="18"/>
  <c r="R131" i="18"/>
  <c r="R130" i="18"/>
  <c r="R126" i="18"/>
  <c r="R127" i="18"/>
  <c r="R120" i="18"/>
  <c r="R121" i="18"/>
  <c r="R122" i="18"/>
  <c r="R109" i="18"/>
  <c r="N211" i="18"/>
  <c r="T211" i="18"/>
  <c r="R118" i="18"/>
  <c r="R117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T20" i="18"/>
  <c r="T21" i="18"/>
  <c r="T22" i="18"/>
  <c r="T23" i="18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S40" i="18"/>
  <c r="T40" i="18" s="1"/>
  <c r="T52" i="18" s="1"/>
  <c r="S7" i="18"/>
  <c r="T7" i="18" s="1"/>
  <c r="S6" i="18"/>
  <c r="T6" i="18" s="1"/>
  <c r="AE9" i="18"/>
  <c r="AE10" i="18"/>
  <c r="AE11" i="18"/>
  <c r="AE12" i="18"/>
  <c r="AE13" i="18"/>
  <c r="AE15" i="18"/>
  <c r="AE16" i="18"/>
  <c r="AE18" i="18"/>
  <c r="AE20" i="18"/>
  <c r="AE21" i="18"/>
  <c r="AE22" i="18"/>
  <c r="AE25" i="18"/>
  <c r="AE27" i="18"/>
  <c r="AE29" i="18"/>
  <c r="AE31" i="18"/>
  <c r="AE33" i="18"/>
  <c r="AE34" i="18"/>
  <c r="AE36" i="18"/>
  <c r="AE40" i="18"/>
  <c r="AE42" i="18"/>
  <c r="AE44" i="18"/>
  <c r="AE50" i="18"/>
  <c r="AE51" i="18"/>
  <c r="AE54" i="18"/>
  <c r="AE56" i="18"/>
  <c r="AE57" i="18"/>
  <c r="AE58" i="18"/>
  <c r="AE60" i="18"/>
  <c r="AE61" i="18"/>
  <c r="AE62" i="18"/>
  <c r="AE64" i="18"/>
  <c r="AE65" i="18"/>
  <c r="AE66" i="18"/>
  <c r="AE67" i="18"/>
  <c r="AE69" i="18"/>
  <c r="AE70" i="18"/>
  <c r="AE72" i="18"/>
  <c r="AE74" i="18"/>
  <c r="AE75" i="18"/>
  <c r="AE76" i="18"/>
  <c r="AE77" i="18"/>
  <c r="AE78" i="18"/>
  <c r="AE80" i="18"/>
  <c r="AE81" i="18"/>
  <c r="AE82" i="18"/>
  <c r="AE7" i="18"/>
  <c r="AE6" i="18"/>
  <c r="AF32" i="18" l="1"/>
  <c r="T91" i="18"/>
  <c r="T31" i="18"/>
  <c r="U31" i="18" s="1"/>
  <c r="V31" i="18" s="1"/>
  <c r="W31" i="18" s="1"/>
  <c r="X31" i="18" s="1"/>
  <c r="Y31" i="18" s="1"/>
  <c r="Z31" i="18" s="1"/>
  <c r="AA31" i="18" s="1"/>
  <c r="AB31" i="18" s="1"/>
  <c r="AC31" i="18" s="1"/>
  <c r="AB38" i="18"/>
  <c r="R106" i="18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G96" i="18"/>
  <c r="G102" i="18" s="1"/>
  <c r="G93" i="18"/>
  <c r="G99" i="18" s="1"/>
  <c r="L30" i="18"/>
  <c r="K30" i="18"/>
  <c r="J30" i="18"/>
  <c r="I30" i="18"/>
  <c r="H30" i="18"/>
  <c r="G30" i="18"/>
  <c r="R99" i="18" l="1"/>
  <c r="AC38" i="18"/>
  <c r="R102" i="18"/>
  <c r="U29" i="18"/>
  <c r="R96" i="18"/>
  <c r="R93" i="18"/>
  <c r="H108" i="18"/>
  <c r="I108" i="18"/>
  <c r="J108" i="18"/>
  <c r="K108" i="18"/>
  <c r="L108" i="18"/>
  <c r="M108" i="18"/>
  <c r="N108" i="18"/>
  <c r="O108" i="18"/>
  <c r="P108" i="18"/>
  <c r="G108" i="18"/>
  <c r="H107" i="18"/>
  <c r="I107" i="18"/>
  <c r="J107" i="18"/>
  <c r="K107" i="18"/>
  <c r="L107" i="18"/>
  <c r="M107" i="18"/>
  <c r="N107" i="18"/>
  <c r="O107" i="18"/>
  <c r="P107" i="18"/>
  <c r="G107" i="18"/>
  <c r="AF38" i="18" l="1"/>
  <c r="AD38" i="18"/>
  <c r="V29" i="18"/>
  <c r="R107" i="18"/>
  <c r="R108" i="18"/>
  <c r="AF69" i="18"/>
  <c r="W29" i="18" l="1"/>
  <c r="C180" i="18"/>
  <c r="D180" i="18"/>
  <c r="E180" i="18"/>
  <c r="F180" i="18"/>
  <c r="G180" i="18"/>
  <c r="H180" i="18"/>
  <c r="I180" i="18"/>
  <c r="J180" i="18"/>
  <c r="K180" i="18"/>
  <c r="L180" i="18"/>
  <c r="M180" i="18"/>
  <c r="N180" i="18"/>
  <c r="O180" i="18"/>
  <c r="P180" i="18"/>
  <c r="C9" i="15"/>
  <c r="D70" i="18"/>
  <c r="E70" i="18"/>
  <c r="E111" i="18" s="1"/>
  <c r="E112" i="18" s="1"/>
  <c r="F70" i="18"/>
  <c r="F111" i="18" s="1"/>
  <c r="F112" i="18" s="1"/>
  <c r="G70" i="18"/>
  <c r="G111" i="18" s="1"/>
  <c r="G112" i="18" s="1"/>
  <c r="G115" i="18" s="1"/>
  <c r="H70" i="18"/>
  <c r="H111" i="18" s="1"/>
  <c r="H112" i="18" s="1"/>
  <c r="H115" i="18" s="1"/>
  <c r="I70" i="18"/>
  <c r="I111" i="18" s="1"/>
  <c r="I112" i="18" s="1"/>
  <c r="I115" i="18" s="1"/>
  <c r="J70" i="18"/>
  <c r="J111" i="18" s="1"/>
  <c r="J112" i="18" s="1"/>
  <c r="J115" i="18" s="1"/>
  <c r="K70" i="18"/>
  <c r="K111" i="18" s="1"/>
  <c r="K112" i="18" s="1"/>
  <c r="K115" i="18" s="1"/>
  <c r="L70" i="18"/>
  <c r="L111" i="18" s="1"/>
  <c r="L112" i="18" s="1"/>
  <c r="L115" i="18" s="1"/>
  <c r="M70" i="18"/>
  <c r="M111" i="18" s="1"/>
  <c r="M112" i="18" s="1"/>
  <c r="M115" i="18" s="1"/>
  <c r="N70" i="18"/>
  <c r="N111" i="18" s="1"/>
  <c r="N112" i="18" s="1"/>
  <c r="N115" i="18" s="1"/>
  <c r="O70" i="18"/>
  <c r="O111" i="18" s="1"/>
  <c r="O112" i="18" s="1"/>
  <c r="O115" i="18" s="1"/>
  <c r="P70" i="18"/>
  <c r="P111" i="18" s="1"/>
  <c r="C70" i="18"/>
  <c r="T70" i="18" l="1"/>
  <c r="T111" i="18" s="1"/>
  <c r="T112" i="18" s="1"/>
  <c r="T115" i="18" s="1"/>
  <c r="X29" i="18"/>
  <c r="R180" i="18"/>
  <c r="N113" i="18"/>
  <c r="N114" i="18" s="1"/>
  <c r="J113" i="18"/>
  <c r="J114" i="18" s="1"/>
  <c r="L113" i="18"/>
  <c r="L114" i="18" s="1"/>
  <c r="H113" i="18"/>
  <c r="H114" i="18" s="1"/>
  <c r="M113" i="18"/>
  <c r="M114" i="18" s="1"/>
  <c r="I113" i="18"/>
  <c r="I114" i="18" s="1"/>
  <c r="F113" i="18"/>
  <c r="F114" i="18" s="1"/>
  <c r="O113" i="18"/>
  <c r="O114" i="18" s="1"/>
  <c r="K113" i="18"/>
  <c r="K114" i="18" s="1"/>
  <c r="G113" i="18"/>
  <c r="G114" i="18" s="1"/>
  <c r="P112" i="18"/>
  <c r="P115" i="18" s="1"/>
  <c r="R115" i="18" s="1"/>
  <c r="R111" i="18"/>
  <c r="U44" i="18"/>
  <c r="V44" i="18" l="1"/>
  <c r="Y29" i="18"/>
  <c r="P113" i="18"/>
  <c r="R112" i="18"/>
  <c r="U70" i="18"/>
  <c r="C80" i="18"/>
  <c r="D80" i="18"/>
  <c r="E80" i="18"/>
  <c r="F80" i="18"/>
  <c r="G80" i="18"/>
  <c r="G135" i="18" s="1"/>
  <c r="H80" i="18"/>
  <c r="H135" i="18" s="1"/>
  <c r="I80" i="18"/>
  <c r="I135" i="18" s="1"/>
  <c r="J80" i="18"/>
  <c r="J135" i="18" s="1"/>
  <c r="K80" i="18"/>
  <c r="K135" i="18" s="1"/>
  <c r="L80" i="18"/>
  <c r="L135" i="18" s="1"/>
  <c r="M80" i="18"/>
  <c r="M135" i="18" s="1"/>
  <c r="N80" i="18"/>
  <c r="N135" i="18" s="1"/>
  <c r="O80" i="18"/>
  <c r="O135" i="18" s="1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P81" i="18"/>
  <c r="P80" i="18"/>
  <c r="P135" i="18" s="1"/>
  <c r="E88" i="18"/>
  <c r="F88" i="18"/>
  <c r="H88" i="18"/>
  <c r="I88" i="18"/>
  <c r="J88" i="18"/>
  <c r="K88" i="18"/>
  <c r="L88" i="18"/>
  <c r="M88" i="18"/>
  <c r="N88" i="18"/>
  <c r="O88" i="18"/>
  <c r="E86" i="18"/>
  <c r="E87" i="18"/>
  <c r="F87" i="18"/>
  <c r="G87" i="18"/>
  <c r="H87" i="18"/>
  <c r="I87" i="18"/>
  <c r="J87" i="18"/>
  <c r="K87" i="18"/>
  <c r="L87" i="18"/>
  <c r="M87" i="18"/>
  <c r="N87" i="18"/>
  <c r="O87" i="18"/>
  <c r="F86" i="18"/>
  <c r="G86" i="18"/>
  <c r="H86" i="18"/>
  <c r="I86" i="18"/>
  <c r="J86" i="18"/>
  <c r="K86" i="18"/>
  <c r="L86" i="18"/>
  <c r="M86" i="18"/>
  <c r="N86" i="18"/>
  <c r="O86" i="18"/>
  <c r="P87" i="18"/>
  <c r="G41" i="18"/>
  <c r="G28" i="18"/>
  <c r="G11" i="18"/>
  <c r="G8" i="18"/>
  <c r="G26" i="18"/>
  <c r="W44" i="18" l="1"/>
  <c r="V70" i="18"/>
  <c r="R135" i="18"/>
  <c r="Z29" i="18"/>
  <c r="R82" i="18"/>
  <c r="R80" i="18"/>
  <c r="R81" i="18"/>
  <c r="R87" i="18"/>
  <c r="R88" i="18"/>
  <c r="P86" i="18"/>
  <c r="R86" i="18" s="1"/>
  <c r="C197" i="18"/>
  <c r="D197" i="18"/>
  <c r="E197" i="18"/>
  <c r="F197" i="18"/>
  <c r="C198" i="18"/>
  <c r="D198" i="18"/>
  <c r="E198" i="18"/>
  <c r="F198" i="18"/>
  <c r="C199" i="18"/>
  <c r="D199" i="18"/>
  <c r="E199" i="18"/>
  <c r="F199" i="18"/>
  <c r="H199" i="18"/>
  <c r="I199" i="18"/>
  <c r="J199" i="18"/>
  <c r="K199" i="18"/>
  <c r="L199" i="18"/>
  <c r="M199" i="18"/>
  <c r="N199" i="18"/>
  <c r="O199" i="18"/>
  <c r="P199" i="18"/>
  <c r="G199" i="18"/>
  <c r="H198" i="18"/>
  <c r="I198" i="18"/>
  <c r="J198" i="18"/>
  <c r="K198" i="18"/>
  <c r="L198" i="18"/>
  <c r="M198" i="18"/>
  <c r="N198" i="18"/>
  <c r="O198" i="18"/>
  <c r="P198" i="18"/>
  <c r="G198" i="18"/>
  <c r="H197" i="18"/>
  <c r="I197" i="18"/>
  <c r="J197" i="18"/>
  <c r="K197" i="18"/>
  <c r="L197" i="18"/>
  <c r="M197" i="18"/>
  <c r="N197" i="18"/>
  <c r="O197" i="18"/>
  <c r="P197" i="18"/>
  <c r="G197" i="18"/>
  <c r="H51" i="18"/>
  <c r="I51" i="18"/>
  <c r="J51" i="18"/>
  <c r="K51" i="18"/>
  <c r="L51" i="18"/>
  <c r="M51" i="18"/>
  <c r="N51" i="18"/>
  <c r="O51" i="18"/>
  <c r="P51" i="18"/>
  <c r="C51" i="18"/>
  <c r="D51" i="18"/>
  <c r="E51" i="18"/>
  <c r="F51" i="18"/>
  <c r="G51" i="18"/>
  <c r="G54" i="18"/>
  <c r="H50" i="18"/>
  <c r="H173" i="18" s="1"/>
  <c r="I50" i="18"/>
  <c r="I173" i="18" s="1"/>
  <c r="J50" i="18"/>
  <c r="J173" i="18" s="1"/>
  <c r="K50" i="18"/>
  <c r="K173" i="18" s="1"/>
  <c r="L50" i="18"/>
  <c r="L173" i="18" s="1"/>
  <c r="M50" i="18"/>
  <c r="M173" i="18" s="1"/>
  <c r="N50" i="18"/>
  <c r="N173" i="18" s="1"/>
  <c r="O50" i="18"/>
  <c r="O173" i="18" s="1"/>
  <c r="P50" i="18"/>
  <c r="P173" i="18" s="1"/>
  <c r="C50" i="18"/>
  <c r="C173" i="18" s="1"/>
  <c r="D50" i="18"/>
  <c r="D173" i="18" s="1"/>
  <c r="E50" i="18"/>
  <c r="E173" i="18" s="1"/>
  <c r="F50" i="18"/>
  <c r="F173" i="18" s="1"/>
  <c r="G50" i="18"/>
  <c r="G173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T94" i="18"/>
  <c r="T100" i="18" s="1"/>
  <c r="G179" i="18" l="1"/>
  <c r="X44" i="18"/>
  <c r="W70" i="18"/>
  <c r="R173" i="18"/>
  <c r="AA29" i="18"/>
  <c r="U36" i="18"/>
  <c r="U94" i="18" s="1"/>
  <c r="U100" i="18" s="1"/>
  <c r="R199" i="18"/>
  <c r="R51" i="18"/>
  <c r="R50" i="18"/>
  <c r="R198" i="18"/>
  <c r="R197" i="18"/>
  <c r="Y44" i="18" l="1"/>
  <c r="X70" i="18"/>
  <c r="AB29" i="18"/>
  <c r="V36" i="18"/>
  <c r="V94" i="18" s="1"/>
  <c r="V100" i="18" s="1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I72" i="18"/>
  <c r="I74" i="18" s="1"/>
  <c r="J72" i="18"/>
  <c r="J74" i="18" s="1"/>
  <c r="K72" i="18"/>
  <c r="K74" i="18" s="1"/>
  <c r="L72" i="18"/>
  <c r="L74" i="18" s="1"/>
  <c r="M72" i="18"/>
  <c r="M74" i="18" s="1"/>
  <c r="N72" i="18"/>
  <c r="N74" i="18" s="1"/>
  <c r="O72" i="18"/>
  <c r="O74" i="18" s="1"/>
  <c r="P72" i="18"/>
  <c r="P74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C75" i="18"/>
  <c r="D75" i="18"/>
  <c r="E75" i="18"/>
  <c r="F75" i="18"/>
  <c r="G75" i="18"/>
  <c r="C76" i="18"/>
  <c r="D76" i="18"/>
  <c r="E76" i="18"/>
  <c r="F76" i="18"/>
  <c r="G76" i="18"/>
  <c r="C77" i="18"/>
  <c r="D77" i="18"/>
  <c r="E77" i="18"/>
  <c r="F77" i="18"/>
  <c r="G77" i="18"/>
  <c r="C78" i="18"/>
  <c r="D78" i="18"/>
  <c r="E78" i="18"/>
  <c r="F78" i="18"/>
  <c r="G78" i="18"/>
  <c r="H78" i="18"/>
  <c r="H77" i="18"/>
  <c r="U22" i="18"/>
  <c r="V22" i="18" s="1"/>
  <c r="W22" i="18" s="1"/>
  <c r="X22" i="18" s="1"/>
  <c r="Y22" i="18" s="1"/>
  <c r="Z22" i="18" s="1"/>
  <c r="AA22" i="18" s="1"/>
  <c r="AB22" i="18" s="1"/>
  <c r="AC22" i="18" s="1"/>
  <c r="C72" i="18"/>
  <c r="C74" i="18" s="1"/>
  <c r="D72" i="18"/>
  <c r="D74" i="18" s="1"/>
  <c r="E72" i="18"/>
  <c r="E74" i="18" s="1"/>
  <c r="F72" i="18"/>
  <c r="F74" i="18" s="1"/>
  <c r="G72" i="18"/>
  <c r="G74" i="18" s="1"/>
  <c r="H72" i="18"/>
  <c r="H74" i="18" s="1"/>
  <c r="H76" i="18"/>
  <c r="H75" i="18"/>
  <c r="Z44" i="18" l="1"/>
  <c r="Y70" i="18"/>
  <c r="U23" i="18"/>
  <c r="T97" i="18"/>
  <c r="T103" i="18" s="1"/>
  <c r="AC29" i="18"/>
  <c r="AF31" i="18"/>
  <c r="AD31" i="18"/>
  <c r="AD22" i="18"/>
  <c r="AF22" i="18"/>
  <c r="W36" i="18"/>
  <c r="W94" i="18" s="1"/>
  <c r="W100" i="18" s="1"/>
  <c r="R77" i="18"/>
  <c r="R78" i="18"/>
  <c r="R76" i="18"/>
  <c r="R74" i="18"/>
  <c r="R75" i="18"/>
  <c r="R72" i="18"/>
  <c r="T55" i="18"/>
  <c r="U21" i="18"/>
  <c r="R70" i="18"/>
  <c r="R172" i="18"/>
  <c r="Z70" i="18" l="1"/>
  <c r="AA44" i="18"/>
  <c r="V23" i="18"/>
  <c r="U97" i="18"/>
  <c r="U103" i="18" s="1"/>
  <c r="AF29" i="18"/>
  <c r="AD29" i="18"/>
  <c r="U20" i="18"/>
  <c r="T72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0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X94" i="18" s="1"/>
  <c r="X100" i="18" s="1"/>
  <c r="O68" i="18"/>
  <c r="O177" i="18" s="1"/>
  <c r="O67" i="18"/>
  <c r="O65" i="18"/>
  <c r="O64" i="18"/>
  <c r="O62" i="18"/>
  <c r="O178" i="18" s="1"/>
  <c r="O61" i="18"/>
  <c r="O60" i="18"/>
  <c r="O58" i="18"/>
  <c r="O57" i="18"/>
  <c r="O175" i="18" s="1"/>
  <c r="O56" i="18"/>
  <c r="O54" i="18"/>
  <c r="AA70" i="18" l="1"/>
  <c r="AB44" i="18"/>
  <c r="U72" i="18"/>
  <c r="T127" i="18"/>
  <c r="T137" i="18"/>
  <c r="T128" i="18"/>
  <c r="T138" i="18"/>
  <c r="W23" i="18"/>
  <c r="V97" i="18"/>
  <c r="V103" i="18" s="1"/>
  <c r="T121" i="18"/>
  <c r="T122" i="18"/>
  <c r="T120" i="18"/>
  <c r="T109" i="18"/>
  <c r="P114" i="18"/>
  <c r="R114" i="18" s="1"/>
  <c r="R113" i="18"/>
  <c r="T93" i="18"/>
  <c r="T99" i="18" s="1"/>
  <c r="T118" i="18"/>
  <c r="T117" i="18"/>
  <c r="U18" i="18"/>
  <c r="O174" i="18"/>
  <c r="O181" i="18" s="1"/>
  <c r="O182" i="18" s="1"/>
  <c r="O179" i="18"/>
  <c r="V20" i="18"/>
  <c r="U27" i="18"/>
  <c r="Y36" i="18"/>
  <c r="Y94" i="18" s="1"/>
  <c r="Y100" i="18" s="1"/>
  <c r="U25" i="18"/>
  <c r="U90" i="18" s="1"/>
  <c r="T86" i="18"/>
  <c r="W21" i="18"/>
  <c r="AD33" i="18"/>
  <c r="AD34" i="18"/>
  <c r="AD9" i="18"/>
  <c r="O66" i="18"/>
  <c r="O176" i="18" s="1"/>
  <c r="D62" i="18"/>
  <c r="E62" i="18"/>
  <c r="F62" i="18"/>
  <c r="G62" i="18"/>
  <c r="G178" i="18" s="1"/>
  <c r="H62" i="18"/>
  <c r="H178" i="18" s="1"/>
  <c r="I62" i="18"/>
  <c r="I178" i="18" s="1"/>
  <c r="J62" i="18"/>
  <c r="J178" i="18" s="1"/>
  <c r="K62" i="18"/>
  <c r="K178" i="18" s="1"/>
  <c r="L62" i="18"/>
  <c r="L178" i="18" s="1"/>
  <c r="M62" i="18"/>
  <c r="M178" i="18" s="1"/>
  <c r="N62" i="18"/>
  <c r="N178" i="18" s="1"/>
  <c r="P62" i="18"/>
  <c r="C62" i="18"/>
  <c r="C61" i="18"/>
  <c r="AC44" i="18" l="1"/>
  <c r="AB70" i="18"/>
  <c r="U128" i="18"/>
  <c r="U138" i="18"/>
  <c r="U127" i="18"/>
  <c r="U137" i="18"/>
  <c r="X23" i="18"/>
  <c r="W97" i="18"/>
  <c r="W103" i="18" s="1"/>
  <c r="U120" i="18"/>
  <c r="U122" i="18"/>
  <c r="U121" i="18"/>
  <c r="U109" i="18"/>
  <c r="U93" i="18"/>
  <c r="U99" i="18" s="1"/>
  <c r="U118" i="18"/>
  <c r="U117" i="18"/>
  <c r="V18" i="18"/>
  <c r="W20" i="18"/>
  <c r="V72" i="18"/>
  <c r="V27" i="18"/>
  <c r="V25" i="18"/>
  <c r="U86" i="18"/>
  <c r="Z36" i="18"/>
  <c r="Z94" i="18" s="1"/>
  <c r="Z100" i="18" s="1"/>
  <c r="X21" i="18"/>
  <c r="P178" i="18"/>
  <c r="R178" i="18" s="1"/>
  <c r="R62" i="18"/>
  <c r="D61" i="18"/>
  <c r="E61" i="18"/>
  <c r="F61" i="18"/>
  <c r="G61" i="18"/>
  <c r="H61" i="18"/>
  <c r="I61" i="18"/>
  <c r="J61" i="18"/>
  <c r="K61" i="18"/>
  <c r="L61" i="18"/>
  <c r="M61" i="18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C60" i="18"/>
  <c r="AF44" i="18" l="1"/>
  <c r="AC70" i="18"/>
  <c r="AD44" i="18"/>
  <c r="V127" i="18"/>
  <c r="V137" i="18"/>
  <c r="V128" i="18"/>
  <c r="V138" i="18"/>
  <c r="V90" i="18"/>
  <c r="Y23" i="18"/>
  <c r="X97" i="18"/>
  <c r="X103" i="18" s="1"/>
  <c r="V122" i="18"/>
  <c r="V121" i="18"/>
  <c r="V120" i="18"/>
  <c r="V109" i="18"/>
  <c r="V93" i="18"/>
  <c r="V99" i="18" s="1"/>
  <c r="V118" i="18"/>
  <c r="V117" i="18"/>
  <c r="W18" i="18"/>
  <c r="X20" i="18"/>
  <c r="W72" i="18"/>
  <c r="W27" i="18"/>
  <c r="W25" i="18"/>
  <c r="W90" i="18" s="1"/>
  <c r="V86" i="18"/>
  <c r="AA36" i="18"/>
  <c r="AA94" i="18" s="1"/>
  <c r="AA100" i="18" s="1"/>
  <c r="Y21" i="18"/>
  <c r="R60" i="18"/>
  <c r="R61" i="18"/>
  <c r="C46" i="15"/>
  <c r="T159" i="18" l="1"/>
  <c r="Q185" i="18" s="1"/>
  <c r="AF70" i="18"/>
  <c r="U159" i="18" s="1"/>
  <c r="AD70" i="18"/>
  <c r="W128" i="18"/>
  <c r="W138" i="18"/>
  <c r="W127" i="18"/>
  <c r="W137" i="18"/>
  <c r="Z23" i="18"/>
  <c r="Y97" i="18"/>
  <c r="Y103" i="18" s="1"/>
  <c r="W109" i="18"/>
  <c r="W122" i="18"/>
  <c r="W121" i="18"/>
  <c r="W120" i="18"/>
  <c r="W93" i="18"/>
  <c r="W99" i="18" s="1"/>
  <c r="W118" i="18"/>
  <c r="W117" i="18"/>
  <c r="X18" i="18"/>
  <c r="Y20" i="18"/>
  <c r="X72" i="18"/>
  <c r="X27" i="18"/>
  <c r="X25" i="18"/>
  <c r="W86" i="18"/>
  <c r="AB36" i="18"/>
  <c r="AB94" i="18" s="1"/>
  <c r="AB100" i="18" s="1"/>
  <c r="Z21" i="18"/>
  <c r="T172" i="18"/>
  <c r="T180" i="18" s="1"/>
  <c r="C54" i="18"/>
  <c r="D54" i="18"/>
  <c r="E54" i="18"/>
  <c r="F54" i="18"/>
  <c r="H54" i="18"/>
  <c r="I54" i="18"/>
  <c r="J54" i="18"/>
  <c r="K54" i="18"/>
  <c r="L54" i="18"/>
  <c r="M54" i="18"/>
  <c r="N54" i="18"/>
  <c r="N179" i="18" s="1"/>
  <c r="P54" i="18"/>
  <c r="P194" i="18" s="1"/>
  <c r="D68" i="18"/>
  <c r="D177" i="18" s="1"/>
  <c r="E68" i="18"/>
  <c r="E177" i="18" s="1"/>
  <c r="F68" i="18"/>
  <c r="F177" i="18" s="1"/>
  <c r="G68" i="18"/>
  <c r="H68" i="18"/>
  <c r="H177" i="18" s="1"/>
  <c r="I68" i="18"/>
  <c r="I177" i="18" s="1"/>
  <c r="J68" i="18"/>
  <c r="J177" i="18" s="1"/>
  <c r="K68" i="18"/>
  <c r="K177" i="18" s="1"/>
  <c r="L68" i="18"/>
  <c r="L177" i="18" s="1"/>
  <c r="M68" i="18"/>
  <c r="M177" i="18" s="1"/>
  <c r="N68" i="18"/>
  <c r="P68" i="18"/>
  <c r="D67" i="18"/>
  <c r="E67" i="18"/>
  <c r="F67" i="18"/>
  <c r="G67" i="18"/>
  <c r="H67" i="18"/>
  <c r="I67" i="18"/>
  <c r="J67" i="18"/>
  <c r="K67" i="18"/>
  <c r="L67" i="18"/>
  <c r="M67" i="18"/>
  <c r="N67" i="18"/>
  <c r="P67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4" i="18"/>
  <c r="D66" i="18" s="1"/>
  <c r="D176" i="18" s="1"/>
  <c r="E64" i="18"/>
  <c r="E66" i="18" s="1"/>
  <c r="E176" i="18" s="1"/>
  <c r="F64" i="18"/>
  <c r="G64" i="18"/>
  <c r="H64" i="18"/>
  <c r="I64" i="18"/>
  <c r="J64" i="18"/>
  <c r="K64" i="18"/>
  <c r="L64" i="18"/>
  <c r="M64" i="18"/>
  <c r="N64" i="18"/>
  <c r="P64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175" i="18" s="1"/>
  <c r="E57" i="18"/>
  <c r="E175" i="18" s="1"/>
  <c r="F57" i="18"/>
  <c r="F175" i="18" s="1"/>
  <c r="G57" i="18"/>
  <c r="H57" i="18"/>
  <c r="H175" i="18" s="1"/>
  <c r="I57" i="18"/>
  <c r="I175" i="18" s="1"/>
  <c r="J57" i="18"/>
  <c r="J175" i="18" s="1"/>
  <c r="K57" i="18"/>
  <c r="K175" i="18" s="1"/>
  <c r="L57" i="18"/>
  <c r="L175" i="18" s="1"/>
  <c r="M57" i="18"/>
  <c r="M175" i="18" s="1"/>
  <c r="N57" i="18"/>
  <c r="P57" i="18"/>
  <c r="C68" i="18"/>
  <c r="C177" i="18" s="1"/>
  <c r="C67" i="18"/>
  <c r="C65" i="18"/>
  <c r="C64" i="18"/>
  <c r="C58" i="18"/>
  <c r="C57" i="18"/>
  <c r="C175" i="18" s="1"/>
  <c r="D56" i="18"/>
  <c r="E56" i="18"/>
  <c r="F56" i="18"/>
  <c r="G56" i="18"/>
  <c r="H56" i="18"/>
  <c r="I56" i="18"/>
  <c r="J56" i="18"/>
  <c r="K56" i="18"/>
  <c r="L56" i="18"/>
  <c r="M56" i="18"/>
  <c r="N56" i="18"/>
  <c r="P56" i="18"/>
  <c r="C56" i="18"/>
  <c r="T125" i="18"/>
  <c r="T133" i="18"/>
  <c r="T134" i="18" s="1"/>
  <c r="T95" i="18"/>
  <c r="T101" i="18" s="1"/>
  <c r="L179" i="18" l="1"/>
  <c r="R141" i="18"/>
  <c r="Q193" i="18" s="1"/>
  <c r="T106" i="18"/>
  <c r="S159" i="18"/>
  <c r="P185" i="18" s="1"/>
  <c r="X127" i="18"/>
  <c r="X137" i="18"/>
  <c r="X90" i="18"/>
  <c r="X128" i="18"/>
  <c r="X138" i="18"/>
  <c r="AA23" i="18"/>
  <c r="Z97" i="18"/>
  <c r="Z103" i="18" s="1"/>
  <c r="T88" i="18"/>
  <c r="T89" i="18"/>
  <c r="T131" i="18"/>
  <c r="T130" i="18"/>
  <c r="T96" i="18"/>
  <c r="T102" i="18" s="1"/>
  <c r="T126" i="18"/>
  <c r="H179" i="18"/>
  <c r="H174" i="18"/>
  <c r="H181" i="18" s="1"/>
  <c r="H182" i="18" s="1"/>
  <c r="X109" i="18"/>
  <c r="X121" i="18"/>
  <c r="X120" i="18"/>
  <c r="X122" i="18"/>
  <c r="T108" i="18"/>
  <c r="T113" i="18"/>
  <c r="T114" i="18" s="1"/>
  <c r="X93" i="18"/>
  <c r="X99" i="18" s="1"/>
  <c r="X118" i="18"/>
  <c r="X117" i="18"/>
  <c r="T107" i="18"/>
  <c r="Y18" i="18"/>
  <c r="D174" i="18"/>
  <c r="D178" i="18" s="1"/>
  <c r="D179" i="18"/>
  <c r="E174" i="18"/>
  <c r="E178" i="18" s="1"/>
  <c r="E179" i="18"/>
  <c r="C174" i="18"/>
  <c r="C178" i="18" s="1"/>
  <c r="C179" i="18"/>
  <c r="P174" i="18"/>
  <c r="P181" i="18" s="1"/>
  <c r="P182" i="18" s="1"/>
  <c r="P179" i="18"/>
  <c r="R179" i="18" s="1"/>
  <c r="K174" i="18"/>
  <c r="K181" i="18" s="1"/>
  <c r="K182" i="18" s="1"/>
  <c r="K179" i="18"/>
  <c r="F174" i="18"/>
  <c r="F178" i="18" s="1"/>
  <c r="F179" i="18"/>
  <c r="J174" i="18"/>
  <c r="J181" i="18" s="1"/>
  <c r="J182" i="18" s="1"/>
  <c r="J179" i="18"/>
  <c r="M174" i="18"/>
  <c r="M181" i="18" s="1"/>
  <c r="M182" i="18" s="1"/>
  <c r="M179" i="18"/>
  <c r="I174" i="18"/>
  <c r="I181" i="18" s="1"/>
  <c r="I182" i="18" s="1"/>
  <c r="I179" i="18"/>
  <c r="Z20" i="18"/>
  <c r="Y72" i="18"/>
  <c r="H66" i="18"/>
  <c r="H176" i="18" s="1"/>
  <c r="Y27" i="18"/>
  <c r="U12" i="18"/>
  <c r="U15" i="18"/>
  <c r="U125" i="18" s="1"/>
  <c r="U13" i="18"/>
  <c r="U10" i="18"/>
  <c r="U16" i="18"/>
  <c r="U133" i="18" s="1"/>
  <c r="U134" i="18" s="1"/>
  <c r="U6" i="18"/>
  <c r="U7" i="18"/>
  <c r="Y25" i="18"/>
  <c r="Y90" i="18" s="1"/>
  <c r="X86" i="18"/>
  <c r="U40" i="18"/>
  <c r="T87" i="18"/>
  <c r="AC36" i="18"/>
  <c r="F66" i="18"/>
  <c r="F176" i="18" s="1"/>
  <c r="L66" i="18"/>
  <c r="L176" i="18" s="1"/>
  <c r="K66" i="18"/>
  <c r="K176" i="18" s="1"/>
  <c r="J66" i="18"/>
  <c r="J176" i="18" s="1"/>
  <c r="AA21" i="18"/>
  <c r="C66" i="18"/>
  <c r="C176" i="18" s="1"/>
  <c r="U172" i="18"/>
  <c r="U180" i="18" s="1"/>
  <c r="I66" i="18"/>
  <c r="I176" i="18" s="1"/>
  <c r="R56" i="18"/>
  <c r="G175" i="18"/>
  <c r="R57" i="18"/>
  <c r="R58" i="18"/>
  <c r="R65" i="18"/>
  <c r="R67" i="18"/>
  <c r="G174" i="18"/>
  <c r="G181" i="18" s="1"/>
  <c r="R54" i="18"/>
  <c r="G177" i="18"/>
  <c r="R68" i="18"/>
  <c r="G66" i="18"/>
  <c r="R64" i="18"/>
  <c r="N175" i="18"/>
  <c r="N174" i="18"/>
  <c r="N181" i="18" s="1"/>
  <c r="N182" i="18" s="1"/>
  <c r="N177" i="18"/>
  <c r="P175" i="18"/>
  <c r="L174" i="18"/>
  <c r="L181" i="18" s="1"/>
  <c r="L182" i="18" s="1"/>
  <c r="N66" i="18"/>
  <c r="M66" i="18"/>
  <c r="M176" i="18" s="1"/>
  <c r="P177" i="18"/>
  <c r="P66" i="18"/>
  <c r="T65" i="18"/>
  <c r="C6" i="12"/>
  <c r="C26" i="15"/>
  <c r="C58" i="15"/>
  <c r="C57" i="15"/>
  <c r="C54" i="15"/>
  <c r="C53" i="15"/>
  <c r="C50" i="15"/>
  <c r="C49" i="15"/>
  <c r="C45" i="15"/>
  <c r="T193" i="18" l="1"/>
  <c r="T192" i="18" s="1"/>
  <c r="P193" i="18"/>
  <c r="G182" i="18"/>
  <c r="R181" i="18"/>
  <c r="U95" i="18"/>
  <c r="U101" i="18" s="1"/>
  <c r="U52" i="18"/>
  <c r="U91" i="18" s="1"/>
  <c r="U194" i="18"/>
  <c r="V194" i="18" s="1"/>
  <c r="W194" i="18" s="1"/>
  <c r="X194" i="18" s="1"/>
  <c r="Y194" i="18" s="1"/>
  <c r="Z194" i="18" s="1"/>
  <c r="AA194" i="18" s="1"/>
  <c r="AB194" i="18" s="1"/>
  <c r="AC194" i="18" s="1"/>
  <c r="AD194" i="18" s="1"/>
  <c r="AE194" i="18" s="1"/>
  <c r="AF194" i="18" s="1"/>
  <c r="AG194" i="18" s="1"/>
  <c r="AH194" i="18" s="1"/>
  <c r="AI194" i="18" s="1"/>
  <c r="AJ194" i="18" s="1"/>
  <c r="AK194" i="18" s="1"/>
  <c r="AL194" i="18" s="1"/>
  <c r="AM194" i="18" s="1"/>
  <c r="AN194" i="18" s="1"/>
  <c r="AO194" i="18" s="1"/>
  <c r="AP194" i="18" s="1"/>
  <c r="AQ194" i="18" s="1"/>
  <c r="AR194" i="18" s="1"/>
  <c r="AS194" i="18" s="1"/>
  <c r="AT194" i="18" s="1"/>
  <c r="U106" i="18"/>
  <c r="Y127" i="18"/>
  <c r="Y137" i="18"/>
  <c r="Y128" i="18"/>
  <c r="Y138" i="18"/>
  <c r="AF36" i="18"/>
  <c r="AC94" i="18"/>
  <c r="AB23" i="18"/>
  <c r="AA97" i="18"/>
  <c r="AA103" i="18" s="1"/>
  <c r="U131" i="18"/>
  <c r="U130" i="18"/>
  <c r="U96" i="18"/>
  <c r="U102" i="18" s="1"/>
  <c r="U126" i="18"/>
  <c r="U89" i="18"/>
  <c r="Y120" i="18"/>
  <c r="Y121" i="18"/>
  <c r="Y122" i="18"/>
  <c r="Y109" i="18"/>
  <c r="Y93" i="18"/>
  <c r="Y99" i="18" s="1"/>
  <c r="Y118" i="18"/>
  <c r="Y117" i="18"/>
  <c r="U107" i="18"/>
  <c r="U108" i="18"/>
  <c r="Z18" i="18"/>
  <c r="AA20" i="18"/>
  <c r="Z72" i="18"/>
  <c r="T64" i="18"/>
  <c r="T81" i="18"/>
  <c r="T60" i="18"/>
  <c r="T62" i="18"/>
  <c r="T178" i="18" s="1"/>
  <c r="T68" i="18"/>
  <c r="T177" i="18" s="1"/>
  <c r="T78" i="18"/>
  <c r="T80" i="18"/>
  <c r="T135" i="18" s="1"/>
  <c r="T51" i="18"/>
  <c r="T50" i="18"/>
  <c r="T173" i="18" s="1"/>
  <c r="T61" i="18"/>
  <c r="T57" i="18"/>
  <c r="T58" i="18"/>
  <c r="T67" i="18"/>
  <c r="T56" i="18"/>
  <c r="T82" i="18"/>
  <c r="T54" i="18"/>
  <c r="T179" i="18" s="1"/>
  <c r="Z27" i="18"/>
  <c r="V15" i="18"/>
  <c r="V125" i="18" s="1"/>
  <c r="V13" i="18"/>
  <c r="V12" i="18"/>
  <c r="T66" i="18"/>
  <c r="V16" i="18"/>
  <c r="V133" i="18" s="1"/>
  <c r="V134" i="18" s="1"/>
  <c r="V10" i="18"/>
  <c r="V7" i="18"/>
  <c r="V6" i="18"/>
  <c r="AD36" i="18"/>
  <c r="Z25" i="18"/>
  <c r="Z90" i="18" s="1"/>
  <c r="Y86" i="18"/>
  <c r="V40" i="18"/>
  <c r="U88" i="18"/>
  <c r="U87" i="18"/>
  <c r="U42" i="18"/>
  <c r="T75" i="18"/>
  <c r="T76" i="18"/>
  <c r="T77" i="18"/>
  <c r="T74" i="18"/>
  <c r="AB21" i="18"/>
  <c r="V172" i="18"/>
  <c r="V180" i="18" s="1"/>
  <c r="R175" i="18"/>
  <c r="R174" i="18"/>
  <c r="R177" i="18"/>
  <c r="G176" i="18"/>
  <c r="R66" i="18"/>
  <c r="N176" i="18"/>
  <c r="P176" i="18"/>
  <c r="C16" i="15"/>
  <c r="C21" i="15"/>
  <c r="C10" i="15"/>
  <c r="V95" i="18" l="1"/>
  <c r="V101" i="18" s="1"/>
  <c r="V52" i="18"/>
  <c r="V91" i="18" s="1"/>
  <c r="U195" i="18"/>
  <c r="V195" i="18" s="1"/>
  <c r="W195" i="18" s="1"/>
  <c r="X195" i="18" s="1"/>
  <c r="Y195" i="18" s="1"/>
  <c r="Z195" i="18" s="1"/>
  <c r="AA195" i="18" s="1"/>
  <c r="AB195" i="18" s="1"/>
  <c r="AC195" i="18" s="1"/>
  <c r="AD195" i="18" s="1"/>
  <c r="AE195" i="18" s="1"/>
  <c r="AF195" i="18" s="1"/>
  <c r="AG195" i="18" s="1"/>
  <c r="AH195" i="18" s="1"/>
  <c r="AI195" i="18" s="1"/>
  <c r="AJ195" i="18" s="1"/>
  <c r="AK195" i="18" s="1"/>
  <c r="AL195" i="18" s="1"/>
  <c r="AM195" i="18" s="1"/>
  <c r="AN195" i="18" s="1"/>
  <c r="AO195" i="18" s="1"/>
  <c r="AP195" i="18" s="1"/>
  <c r="AQ195" i="18" s="1"/>
  <c r="AR195" i="18" s="1"/>
  <c r="AS195" i="18" s="1"/>
  <c r="AT195" i="18" s="1"/>
  <c r="AD94" i="18"/>
  <c r="AC100" i="18"/>
  <c r="AD100" i="18" s="1"/>
  <c r="U193" i="18"/>
  <c r="V193" i="18" s="1"/>
  <c r="W193" i="18" s="1"/>
  <c r="X193" i="18" s="1"/>
  <c r="Y193" i="18" s="1"/>
  <c r="Z193" i="18" s="1"/>
  <c r="AA193" i="18" s="1"/>
  <c r="AB193" i="18" s="1"/>
  <c r="AC193" i="18" s="1"/>
  <c r="AD193" i="18" s="1"/>
  <c r="V106" i="18"/>
  <c r="U111" i="18"/>
  <c r="U112" i="18" s="1"/>
  <c r="U55" i="18"/>
  <c r="Z127" i="18"/>
  <c r="Z137" i="18"/>
  <c r="Z128" i="18"/>
  <c r="Z138" i="18"/>
  <c r="AC23" i="18"/>
  <c r="AB97" i="18"/>
  <c r="AB103" i="18" s="1"/>
  <c r="V96" i="18"/>
  <c r="V102" i="18" s="1"/>
  <c r="V126" i="18"/>
  <c r="V131" i="18"/>
  <c r="V130" i="18"/>
  <c r="V89" i="18"/>
  <c r="Z122" i="18"/>
  <c r="Z121" i="18"/>
  <c r="Z120" i="18"/>
  <c r="Z109" i="18"/>
  <c r="U64" i="18"/>
  <c r="Z93" i="18"/>
  <c r="Z99" i="18" s="1"/>
  <c r="Z118" i="18"/>
  <c r="Z117" i="18"/>
  <c r="V107" i="18"/>
  <c r="V108" i="18"/>
  <c r="U60" i="18"/>
  <c r="AA18" i="18"/>
  <c r="AB20" i="18"/>
  <c r="AA72" i="18"/>
  <c r="U62" i="18"/>
  <c r="U178" i="18" s="1"/>
  <c r="U68" i="18"/>
  <c r="U177" i="18" s="1"/>
  <c r="U78" i="18"/>
  <c r="U80" i="18"/>
  <c r="U135" i="18" s="1"/>
  <c r="U50" i="18"/>
  <c r="U173" i="18" s="1"/>
  <c r="U51" i="18"/>
  <c r="U57" i="18"/>
  <c r="U56" i="18"/>
  <c r="U67" i="18"/>
  <c r="U82" i="18"/>
  <c r="U61" i="18"/>
  <c r="U58" i="18"/>
  <c r="U54" i="18"/>
  <c r="U179" i="18" s="1"/>
  <c r="U65" i="18"/>
  <c r="U81" i="18"/>
  <c r="AA27" i="18"/>
  <c r="W13" i="18"/>
  <c r="W12" i="18"/>
  <c r="W15" i="18"/>
  <c r="W125" i="18" s="1"/>
  <c r="W10" i="18"/>
  <c r="W16" i="18"/>
  <c r="W133" i="18" s="1"/>
  <c r="W134" i="18" s="1"/>
  <c r="W6" i="18"/>
  <c r="W7" i="18"/>
  <c r="W40" i="18"/>
  <c r="V88" i="18"/>
  <c r="V87" i="18"/>
  <c r="AA25" i="18"/>
  <c r="AA90" i="18" s="1"/>
  <c r="Z86" i="18"/>
  <c r="V42" i="18"/>
  <c r="U77" i="18"/>
  <c r="U76" i="18"/>
  <c r="U75" i="18"/>
  <c r="U74" i="18"/>
  <c r="AC21" i="18"/>
  <c r="AF21" i="18" s="1"/>
  <c r="T176" i="18"/>
  <c r="W172" i="18"/>
  <c r="W180" i="18" s="1"/>
  <c r="T174" i="18"/>
  <c r="T181" i="18" s="1"/>
  <c r="T175" i="18"/>
  <c r="R176" i="18"/>
  <c r="D31" i="8"/>
  <c r="D29" i="8"/>
  <c r="D28" i="8"/>
  <c r="D13" i="8"/>
  <c r="D30" i="8" s="1"/>
  <c r="E14" i="8"/>
  <c r="F14" i="8" s="1"/>
  <c r="G14" i="8" s="1"/>
  <c r="H14" i="8" s="1"/>
  <c r="I14" i="8" s="1"/>
  <c r="U113" i="18" l="1"/>
  <c r="U114" i="18" s="1"/>
  <c r="U115" i="18"/>
  <c r="W95" i="18"/>
  <c r="W101" i="18" s="1"/>
  <c r="W52" i="18"/>
  <c r="W91" i="18" s="1"/>
  <c r="U192" i="18"/>
  <c r="V192" i="18" s="1"/>
  <c r="W192" i="18" s="1"/>
  <c r="X192" i="18" s="1"/>
  <c r="Y192" i="18" s="1"/>
  <c r="Z192" i="18" s="1"/>
  <c r="AA192" i="18" s="1"/>
  <c r="AB192" i="18" s="1"/>
  <c r="AC192" i="18" s="1"/>
  <c r="AD192" i="18" s="1"/>
  <c r="AE193" i="18"/>
  <c r="AF193" i="18" s="1"/>
  <c r="AG193" i="18" s="1"/>
  <c r="AH193" i="18" s="1"/>
  <c r="AI193" i="18" s="1"/>
  <c r="AJ193" i="18" s="1"/>
  <c r="AK193" i="18" s="1"/>
  <c r="AL193" i="18" s="1"/>
  <c r="AM193" i="18" s="1"/>
  <c r="AN193" i="18" s="1"/>
  <c r="AO193" i="18" s="1"/>
  <c r="AP193" i="18" s="1"/>
  <c r="AQ193" i="18" s="1"/>
  <c r="AR193" i="18" s="1"/>
  <c r="AS193" i="18" s="1"/>
  <c r="AT193" i="18" s="1"/>
  <c r="W106" i="18"/>
  <c r="V111" i="18"/>
  <c r="V112" i="18" s="1"/>
  <c r="V55" i="18"/>
  <c r="AA127" i="18"/>
  <c r="AA137" i="18"/>
  <c r="AA128" i="18"/>
  <c r="AA138" i="18"/>
  <c r="AF23" i="18"/>
  <c r="AC97" i="18"/>
  <c r="AD23" i="18"/>
  <c r="W89" i="18"/>
  <c r="W130" i="18"/>
  <c r="W131" i="18"/>
  <c r="W96" i="18"/>
  <c r="W102" i="18" s="1"/>
  <c r="W126" i="18"/>
  <c r="AA122" i="18"/>
  <c r="AA121" i="18"/>
  <c r="AA120" i="18"/>
  <c r="AA109" i="18"/>
  <c r="V64" i="18"/>
  <c r="U66" i="18"/>
  <c r="U176" i="18" s="1"/>
  <c r="AA93" i="18"/>
  <c r="AA99" i="18" s="1"/>
  <c r="AA118" i="18"/>
  <c r="AA117" i="18"/>
  <c r="W108" i="18"/>
  <c r="W107" i="18"/>
  <c r="AB18" i="18"/>
  <c r="AC20" i="18"/>
  <c r="AB72" i="18"/>
  <c r="V82" i="18"/>
  <c r="V81" i="18"/>
  <c r="V60" i="18"/>
  <c r="V68" i="18"/>
  <c r="V177" i="18" s="1"/>
  <c r="V67" i="18"/>
  <c r="V62" i="18"/>
  <c r="V178" i="18" s="1"/>
  <c r="V65" i="18"/>
  <c r="V56" i="18"/>
  <c r="V78" i="18"/>
  <c r="V80" i="18"/>
  <c r="V135" i="18" s="1"/>
  <c r="V51" i="18"/>
  <c r="V50" i="18"/>
  <c r="V173" i="18" s="1"/>
  <c r="V61" i="18"/>
  <c r="V57" i="18"/>
  <c r="V58" i="18"/>
  <c r="V54" i="18"/>
  <c r="V179" i="18" s="1"/>
  <c r="AB27" i="18"/>
  <c r="X12" i="18"/>
  <c r="X15" i="18"/>
  <c r="X125" i="18" s="1"/>
  <c r="X13" i="18"/>
  <c r="X16" i="18"/>
  <c r="X133" i="18" s="1"/>
  <c r="X134" i="18" s="1"/>
  <c r="X10" i="18"/>
  <c r="X7" i="18"/>
  <c r="X6" i="18"/>
  <c r="AB25" i="18"/>
  <c r="AA86" i="18"/>
  <c r="X40" i="18"/>
  <c r="W87" i="18"/>
  <c r="W88" i="18"/>
  <c r="W42" i="18"/>
  <c r="V77" i="18"/>
  <c r="V75" i="18"/>
  <c r="V76" i="18"/>
  <c r="V74" i="18"/>
  <c r="AD21" i="18"/>
  <c r="X172" i="18"/>
  <c r="X180" i="18" s="1"/>
  <c r="U174" i="18"/>
  <c r="U181" i="18" s="1"/>
  <c r="U175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V113" i="18" l="1"/>
  <c r="V114" i="18" s="1"/>
  <c r="V115" i="18"/>
  <c r="X95" i="18"/>
  <c r="X101" i="18" s="1"/>
  <c r="X52" i="18"/>
  <c r="X91" i="18" s="1"/>
  <c r="AE192" i="18"/>
  <c r="AF192" i="18" s="1"/>
  <c r="AG192" i="18" s="1"/>
  <c r="AH192" i="18" s="1"/>
  <c r="AI192" i="18" s="1"/>
  <c r="AJ192" i="18" s="1"/>
  <c r="AK192" i="18" s="1"/>
  <c r="AL192" i="18" s="1"/>
  <c r="AM192" i="18" s="1"/>
  <c r="AN192" i="18" s="1"/>
  <c r="AO192" i="18" s="1"/>
  <c r="AP192" i="18" s="1"/>
  <c r="AQ192" i="18" s="1"/>
  <c r="AR192" i="18" s="1"/>
  <c r="AS192" i="18" s="1"/>
  <c r="AT192" i="18" s="1"/>
  <c r="AD97" i="18"/>
  <c r="AC103" i="18"/>
  <c r="AD103" i="18" s="1"/>
  <c r="X106" i="18"/>
  <c r="W111" i="18"/>
  <c r="W112" i="18" s="1"/>
  <c r="W55" i="18"/>
  <c r="AB127" i="18"/>
  <c r="AB137" i="18"/>
  <c r="AB128" i="18"/>
  <c r="AB138" i="18"/>
  <c r="AF20" i="18"/>
  <c r="AB90" i="18"/>
  <c r="X131" i="18"/>
  <c r="X130" i="18"/>
  <c r="X96" i="18"/>
  <c r="X102" i="18" s="1"/>
  <c r="X126" i="18"/>
  <c r="X89" i="18"/>
  <c r="AB121" i="18"/>
  <c r="AB120" i="18"/>
  <c r="AB122" i="18"/>
  <c r="AB109" i="18"/>
  <c r="V66" i="18"/>
  <c r="V176" i="18" s="1"/>
  <c r="AB93" i="18"/>
  <c r="AB99" i="18" s="1"/>
  <c r="AB118" i="18"/>
  <c r="AB117" i="18"/>
  <c r="W67" i="18"/>
  <c r="X108" i="18"/>
  <c r="X107" i="18"/>
  <c r="AC18" i="18"/>
  <c r="W82" i="18"/>
  <c r="W58" i="18"/>
  <c r="W65" i="18"/>
  <c r="AD20" i="18"/>
  <c r="AC72" i="18"/>
  <c r="W56" i="18"/>
  <c r="W64" i="18"/>
  <c r="W61" i="18"/>
  <c r="W81" i="18"/>
  <c r="W57" i="18"/>
  <c r="W62" i="18"/>
  <c r="W178" i="18" s="1"/>
  <c r="W78" i="18"/>
  <c r="W80" i="18"/>
  <c r="W135" i="18" s="1"/>
  <c r="W50" i="18"/>
  <c r="W173" i="18" s="1"/>
  <c r="W51" i="18"/>
  <c r="W60" i="18"/>
  <c r="W68" i="18"/>
  <c r="W177" i="18" s="1"/>
  <c r="W54" i="18"/>
  <c r="W179" i="18" s="1"/>
  <c r="AC27" i="18"/>
  <c r="AC138" i="18" s="1"/>
  <c r="AD138" i="18" s="1"/>
  <c r="Y15" i="18"/>
  <c r="Y125" i="18" s="1"/>
  <c r="Y13" i="18"/>
  <c r="Y12" i="18"/>
  <c r="Y10" i="18"/>
  <c r="Y16" i="18"/>
  <c r="Y133" i="18" s="1"/>
  <c r="Y134" i="18" s="1"/>
  <c r="Y6" i="18"/>
  <c r="Y7" i="18"/>
  <c r="Y40" i="18"/>
  <c r="X88" i="18"/>
  <c r="X87" i="18"/>
  <c r="AC25" i="18"/>
  <c r="AC90" i="18" s="1"/>
  <c r="AD90" i="18" s="1"/>
  <c r="AB86" i="18"/>
  <c r="X42" i="18"/>
  <c r="W77" i="18"/>
  <c r="W75" i="18"/>
  <c r="W76" i="18"/>
  <c r="W74" i="18"/>
  <c r="Y172" i="18"/>
  <c r="Y180" i="18" s="1"/>
  <c r="V174" i="18"/>
  <c r="V181" i="18" s="1"/>
  <c r="V175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W113" i="18" l="1"/>
  <c r="W114" i="18" s="1"/>
  <c r="W115" i="18"/>
  <c r="Y95" i="18"/>
  <c r="Y101" i="18" s="1"/>
  <c r="Y52" i="18"/>
  <c r="Y91" i="18" s="1"/>
  <c r="Y106" i="18"/>
  <c r="X111" i="18"/>
  <c r="X112" i="18" s="1"/>
  <c r="X55" i="18"/>
  <c r="AC127" i="18"/>
  <c r="AD127" i="18" s="1"/>
  <c r="AC137" i="18"/>
  <c r="AD137" i="18" s="1"/>
  <c r="Y96" i="18"/>
  <c r="Y102" i="18" s="1"/>
  <c r="Y126" i="18"/>
  <c r="Y131" i="18"/>
  <c r="Y130" i="18"/>
  <c r="AF27" i="18"/>
  <c r="AC128" i="18"/>
  <c r="AD128" i="18" s="1"/>
  <c r="Y89" i="18"/>
  <c r="AC120" i="18"/>
  <c r="AD120" i="18" s="1"/>
  <c r="AC122" i="18"/>
  <c r="AD122" i="18" s="1"/>
  <c r="AC121" i="18"/>
  <c r="AD121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09" i="18"/>
  <c r="AD109" i="18" s="1"/>
  <c r="W66" i="18"/>
  <c r="W176" i="18" s="1"/>
  <c r="X65" i="18"/>
  <c r="AC93" i="18"/>
  <c r="AC118" i="18"/>
  <c r="AD118" i="18" s="1"/>
  <c r="AC117" i="18"/>
  <c r="AD117" i="18" s="1"/>
  <c r="Y108" i="18"/>
  <c r="Y107" i="18"/>
  <c r="AF25" i="18"/>
  <c r="AF18" i="18"/>
  <c r="AD18" i="18"/>
  <c r="T161" i="18"/>
  <c r="AF72" i="18"/>
  <c r="AD7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68" i="18"/>
  <c r="X177" i="18" s="1"/>
  <c r="X67" i="18"/>
  <c r="X62" i="18"/>
  <c r="X178" i="18" s="1"/>
  <c r="X64" i="18"/>
  <c r="X61" i="18"/>
  <c r="X81" i="18"/>
  <c r="X60" i="18"/>
  <c r="X82" i="18"/>
  <c r="X78" i="18"/>
  <c r="X80" i="18"/>
  <c r="X135" i="18" s="1"/>
  <c r="X51" i="18"/>
  <c r="X50" i="18"/>
  <c r="X173" i="18" s="1"/>
  <c r="X56" i="18"/>
  <c r="X57" i="18"/>
  <c r="X58" i="18"/>
  <c r="X54" i="18"/>
  <c r="X179" i="18" s="1"/>
  <c r="AD27" i="18"/>
  <c r="Z12" i="18"/>
  <c r="Z15" i="18"/>
  <c r="Z125" i="18" s="1"/>
  <c r="Z13" i="18"/>
  <c r="Z10" i="18"/>
  <c r="Z16" i="18"/>
  <c r="Z133" i="18" s="1"/>
  <c r="Z134" i="18" s="1"/>
  <c r="Z7" i="18"/>
  <c r="Z6" i="18"/>
  <c r="AD25" i="18"/>
  <c r="AC86" i="18"/>
  <c r="AD86" i="18" s="1"/>
  <c r="Z40" i="18"/>
  <c r="Y88" i="18"/>
  <c r="Y87" i="18"/>
  <c r="O31" i="9"/>
  <c r="O32" i="9" s="1"/>
  <c r="Y42" i="18"/>
  <c r="X77" i="18"/>
  <c r="X75" i="18"/>
  <c r="X76" i="18"/>
  <c r="X74" i="18"/>
  <c r="Z172" i="18"/>
  <c r="Z180" i="18" s="1"/>
  <c r="W174" i="18"/>
  <c r="W181" i="18" s="1"/>
  <c r="W175" i="18"/>
  <c r="P31" i="11"/>
  <c r="N32" i="11"/>
  <c r="T19" i="9"/>
  <c r="D22" i="9"/>
  <c r="X113" i="18" l="1"/>
  <c r="X114" i="18" s="1"/>
  <c r="X115" i="18"/>
  <c r="Z95" i="18"/>
  <c r="Z101" i="18" s="1"/>
  <c r="Z52" i="18"/>
  <c r="Z91" i="18" s="1"/>
  <c r="AD93" i="18"/>
  <c r="AC99" i="18"/>
  <c r="AD99" i="18" s="1"/>
  <c r="Z106" i="18"/>
  <c r="Y111" i="18"/>
  <c r="Y112" i="18" s="1"/>
  <c r="Y55" i="18"/>
  <c r="Z131" i="18"/>
  <c r="Z130" i="18"/>
  <c r="Z96" i="18"/>
  <c r="Z102" i="18" s="1"/>
  <c r="Z126" i="18"/>
  <c r="Z89" i="18"/>
  <c r="X66" i="18"/>
  <c r="X176" i="18" s="1"/>
  <c r="Y58" i="18"/>
  <c r="Z107" i="18"/>
  <c r="Z108" i="18"/>
  <c r="U161" i="18"/>
  <c r="S161" i="18" s="1"/>
  <c r="Y60" i="18"/>
  <c r="Y67" i="18"/>
  <c r="Y54" i="18"/>
  <c r="Y179" i="18" s="1"/>
  <c r="Y62" i="18"/>
  <c r="Y178" i="18" s="1"/>
  <c r="Y57" i="18"/>
  <c r="Y56" i="18"/>
  <c r="Y78" i="18"/>
  <c r="Y80" i="18"/>
  <c r="Y135" i="18" s="1"/>
  <c r="Y51" i="18"/>
  <c r="Y50" i="18"/>
  <c r="Y173" i="18" s="1"/>
  <c r="Y82" i="18"/>
  <c r="Y61" i="18"/>
  <c r="Y68" i="18"/>
  <c r="Y177" i="18" s="1"/>
  <c r="Y65" i="18"/>
  <c r="Y64" i="18"/>
  <c r="Y81" i="18"/>
  <c r="AA13" i="18"/>
  <c r="AA12" i="18"/>
  <c r="AA15" i="18"/>
  <c r="AA125" i="18" s="1"/>
  <c r="AA10" i="18"/>
  <c r="AA16" i="18"/>
  <c r="AA133" i="18" s="1"/>
  <c r="AA134" i="18" s="1"/>
  <c r="AA6" i="18"/>
  <c r="AA7" i="18"/>
  <c r="AA40" i="18"/>
  <c r="Z88" i="18"/>
  <c r="Z87" i="18"/>
  <c r="Z42" i="18"/>
  <c r="Y77" i="18"/>
  <c r="Y75" i="18"/>
  <c r="Y76" i="18"/>
  <c r="Y74" i="18"/>
  <c r="AA172" i="18"/>
  <c r="AA180" i="18" s="1"/>
  <c r="X174" i="18"/>
  <c r="X181" i="18" s="1"/>
  <c r="X175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Y113" i="18" l="1"/>
  <c r="Y114" i="18" s="1"/>
  <c r="Y115" i="18"/>
  <c r="AA95" i="18"/>
  <c r="AA101" i="18" s="1"/>
  <c r="AA52" i="18"/>
  <c r="AA91" i="18" s="1"/>
  <c r="AA106" i="18"/>
  <c r="Z111" i="18"/>
  <c r="Z112" i="18" s="1"/>
  <c r="Z55" i="18"/>
  <c r="AA96" i="18"/>
  <c r="AA102" i="18" s="1"/>
  <c r="AA126" i="18"/>
  <c r="AA130" i="18"/>
  <c r="AA131" i="18"/>
  <c r="AA89" i="18"/>
  <c r="AA107" i="18"/>
  <c r="AA108" i="18"/>
  <c r="Y66" i="18"/>
  <c r="Y176" i="18" s="1"/>
  <c r="Z78" i="18"/>
  <c r="Z80" i="18"/>
  <c r="Z135" i="18" s="1"/>
  <c r="Z50" i="18"/>
  <c r="Z173" i="18" s="1"/>
  <c r="Z51" i="18"/>
  <c r="Z62" i="18"/>
  <c r="Z178" i="18" s="1"/>
  <c r="Z68" i="18"/>
  <c r="Z177" i="18" s="1"/>
  <c r="Z67" i="18"/>
  <c r="Z65" i="18"/>
  <c r="Z56" i="18"/>
  <c r="Z54" i="18"/>
  <c r="Z179" i="18" s="1"/>
  <c r="Z61" i="18"/>
  <c r="Z57" i="18"/>
  <c r="Z58" i="18"/>
  <c r="Z64" i="18"/>
  <c r="Z81" i="18"/>
  <c r="Z60" i="18"/>
  <c r="Z82" i="18"/>
  <c r="AB12" i="18"/>
  <c r="AB15" i="18"/>
  <c r="AB125" i="18" s="1"/>
  <c r="AB13" i="18"/>
  <c r="AB10" i="18"/>
  <c r="AB16" i="18"/>
  <c r="AB133" i="18" s="1"/>
  <c r="AB134" i="18" s="1"/>
  <c r="AB7" i="18"/>
  <c r="AB6" i="18"/>
  <c r="AB40" i="18"/>
  <c r="AA87" i="18"/>
  <c r="AA88" i="18"/>
  <c r="AA42" i="18"/>
  <c r="Z77" i="18"/>
  <c r="Z75" i="18"/>
  <c r="Z76" i="18"/>
  <c r="Z74" i="18"/>
  <c r="AB172" i="18"/>
  <c r="AB180" i="18" s="1"/>
  <c r="Y174" i="18"/>
  <c r="Y181" i="18" s="1"/>
  <c r="Y175" i="18"/>
  <c r="N34" i="11"/>
  <c r="O33" i="11"/>
  <c r="D25" i="8"/>
  <c r="D23" i="8"/>
  <c r="Z113" i="18" l="1"/>
  <c r="Z114" i="18" s="1"/>
  <c r="Z115" i="18"/>
  <c r="AB95" i="18"/>
  <c r="AB101" i="18" s="1"/>
  <c r="AB52" i="18"/>
  <c r="AB91" i="18" s="1"/>
  <c r="AB106" i="18"/>
  <c r="AA111" i="18"/>
  <c r="AA112" i="18" s="1"/>
  <c r="AA55" i="18"/>
  <c r="AB89" i="18"/>
  <c r="AB130" i="18"/>
  <c r="AB131" i="18"/>
  <c r="AB96" i="18"/>
  <c r="AB102" i="18" s="1"/>
  <c r="AB126" i="18"/>
  <c r="AB107" i="18"/>
  <c r="AB108" i="18"/>
  <c r="Z66" i="18"/>
  <c r="Z176" i="18" s="1"/>
  <c r="AA78" i="18"/>
  <c r="AA80" i="18"/>
  <c r="AA135" i="18" s="1"/>
  <c r="AA51" i="18"/>
  <c r="AA50" i="18"/>
  <c r="AA173" i="18" s="1"/>
  <c r="AA56" i="18"/>
  <c r="AA67" i="18"/>
  <c r="AA57" i="18"/>
  <c r="AA62" i="18"/>
  <c r="AA178" i="18" s="1"/>
  <c r="AA65" i="18"/>
  <c r="AA64" i="18"/>
  <c r="AA82" i="18"/>
  <c r="AA68" i="18"/>
  <c r="AA177" i="18" s="1"/>
  <c r="AA54" i="18"/>
  <c r="AA179" i="18" s="1"/>
  <c r="AA61" i="18"/>
  <c r="AA81" i="18"/>
  <c r="AA60" i="18"/>
  <c r="AA58" i="18"/>
  <c r="AC15" i="18"/>
  <c r="AC13" i="18"/>
  <c r="AF13" i="18" s="1"/>
  <c r="AC12" i="18"/>
  <c r="AC126" i="18" s="1"/>
  <c r="AD126" i="18" s="1"/>
  <c r="AC10" i="18"/>
  <c r="AC16" i="18"/>
  <c r="AC6" i="18"/>
  <c r="AF6" i="18" s="1"/>
  <c r="AC7" i="18"/>
  <c r="AF7" i="18" s="1"/>
  <c r="AC40" i="18"/>
  <c r="AB88" i="18"/>
  <c r="AB87" i="18"/>
  <c r="AB42" i="18"/>
  <c r="AA77" i="18"/>
  <c r="AA75" i="18"/>
  <c r="AA76" i="18"/>
  <c r="AA74" i="18"/>
  <c r="AC172" i="18"/>
  <c r="AC180" i="18" s="1"/>
  <c r="Z174" i="18"/>
  <c r="Z181" i="18" s="1"/>
  <c r="Z175" i="18"/>
  <c r="N35" i="11"/>
  <c r="O34" i="11"/>
  <c r="D35" i="8"/>
  <c r="E5" i="8"/>
  <c r="E18" i="8" s="1"/>
  <c r="D18" i="8"/>
  <c r="D19" i="8"/>
  <c r="D21" i="8"/>
  <c r="D20" i="8"/>
  <c r="AA113" i="18" l="1"/>
  <c r="AA114" i="18" s="1"/>
  <c r="AA115" i="18"/>
  <c r="AC95" i="18"/>
  <c r="AC101" i="18" s="1"/>
  <c r="AD101" i="18" s="1"/>
  <c r="AC52" i="18"/>
  <c r="AC106" i="18"/>
  <c r="AD180" i="18"/>
  <c r="AF180" i="18" s="1"/>
  <c r="AB111" i="18"/>
  <c r="AB112" i="18" s="1"/>
  <c r="AB55" i="18"/>
  <c r="AF16" i="18"/>
  <c r="AC133" i="18"/>
  <c r="AC131" i="18"/>
  <c r="AD131" i="18" s="1"/>
  <c r="AC130" i="18"/>
  <c r="AD130" i="18" s="1"/>
  <c r="AF15" i="18"/>
  <c r="AC125" i="18"/>
  <c r="AD125" i="18" s="1"/>
  <c r="AC89" i="18"/>
  <c r="AD89" i="18" s="1"/>
  <c r="AF10" i="18"/>
  <c r="AD106" i="18"/>
  <c r="AF12" i="18"/>
  <c r="AC96" i="18"/>
  <c r="AF40" i="18"/>
  <c r="AC107" i="18"/>
  <c r="AD107" i="18" s="1"/>
  <c r="AC108" i="18"/>
  <c r="AD108" i="18" s="1"/>
  <c r="AA66" i="18"/>
  <c r="AA176" i="18" s="1"/>
  <c r="AB78" i="18"/>
  <c r="AB80" i="18"/>
  <c r="AB135" i="18" s="1"/>
  <c r="AB50" i="18"/>
  <c r="AB173" i="18" s="1"/>
  <c r="AB51" i="18"/>
  <c r="AB60" i="18"/>
  <c r="AB68" i="18"/>
  <c r="AB177" i="18" s="1"/>
  <c r="AB54" i="18"/>
  <c r="AB179" i="18" s="1"/>
  <c r="AB62" i="18"/>
  <c r="AB178" i="18" s="1"/>
  <c r="AB65" i="18"/>
  <c r="AB81" i="18"/>
  <c r="AB56" i="18"/>
  <c r="AB57" i="18"/>
  <c r="AB58" i="18"/>
  <c r="AB61" i="18"/>
  <c r="AB82" i="18"/>
  <c r="AB64" i="18"/>
  <c r="AB67" i="18"/>
  <c r="AD15" i="18"/>
  <c r="AD13" i="18"/>
  <c r="T155" i="18"/>
  <c r="AD12" i="18"/>
  <c r="AD10" i="18"/>
  <c r="AD16" i="18"/>
  <c r="AD7" i="18"/>
  <c r="AD6" i="18"/>
  <c r="AC88" i="18"/>
  <c r="AD88" i="18" s="1"/>
  <c r="AC87" i="18"/>
  <c r="AD87" i="18" s="1"/>
  <c r="AD40" i="18"/>
  <c r="AC42" i="18"/>
  <c r="AB77" i="18"/>
  <c r="AB75" i="18"/>
  <c r="AB76" i="18"/>
  <c r="AB74" i="18"/>
  <c r="AD172" i="18"/>
  <c r="AF172" i="18" s="1"/>
  <c r="AA174" i="18"/>
  <c r="AA181" i="18" s="1"/>
  <c r="AA175" i="18"/>
  <c r="N36" i="11"/>
  <c r="O35" i="11"/>
  <c r="F5" i="8"/>
  <c r="G5" i="8" s="1"/>
  <c r="H5" i="8" s="1"/>
  <c r="I5" i="8" s="1"/>
  <c r="AD95" i="18" l="1"/>
  <c r="AB113" i="18"/>
  <c r="AB114" i="18" s="1"/>
  <c r="AB115" i="18"/>
  <c r="AC91" i="18"/>
  <c r="AD91" i="18" s="1"/>
  <c r="AD52" i="18"/>
  <c r="AF52" i="18"/>
  <c r="AD96" i="18"/>
  <c r="AC102" i="18"/>
  <c r="AD102" i="18" s="1"/>
  <c r="AC111" i="18"/>
  <c r="AC112" i="18" s="1"/>
  <c r="AC55" i="18"/>
  <c r="AD133" i="18"/>
  <c r="AC134" i="18"/>
  <c r="AD134" i="18" s="1"/>
  <c r="AF42" i="18"/>
  <c r="U155" i="18"/>
  <c r="U156" i="18" s="1"/>
  <c r="AB66" i="18"/>
  <c r="AB176" i="18" s="1"/>
  <c r="AC78" i="18"/>
  <c r="AC80" i="18"/>
  <c r="AC50" i="18"/>
  <c r="AC173" i="18" s="1"/>
  <c r="AD173" i="18" s="1"/>
  <c r="AF173" i="18" s="1"/>
  <c r="AC51" i="18"/>
  <c r="AC60" i="18"/>
  <c r="AC65" i="18"/>
  <c r="AC54" i="18"/>
  <c r="AC62" i="18"/>
  <c r="AC58" i="18"/>
  <c r="AC81" i="18"/>
  <c r="AC57" i="18"/>
  <c r="AF57" i="18" s="1"/>
  <c r="AC56" i="18"/>
  <c r="AC67" i="18"/>
  <c r="AC82" i="18"/>
  <c r="AC61" i="18"/>
  <c r="AC68" i="18"/>
  <c r="AC64" i="18"/>
  <c r="T156" i="18"/>
  <c r="Q188" i="18" s="1"/>
  <c r="AC77" i="18"/>
  <c r="AC75" i="18"/>
  <c r="AD42" i="18"/>
  <c r="AC76" i="18"/>
  <c r="AC74" i="18"/>
  <c r="AB174" i="18"/>
  <c r="AB181" i="18" s="1"/>
  <c r="AB175" i="18"/>
  <c r="N37" i="11"/>
  <c r="O36" i="11"/>
  <c r="F18" i="8"/>
  <c r="G18" i="8"/>
  <c r="AC113" i="18" l="1"/>
  <c r="AC114" i="18" s="1"/>
  <c r="AC115" i="18"/>
  <c r="AF54" i="18"/>
  <c r="AC179" i="18"/>
  <c r="AF55" i="18"/>
  <c r="AD55" i="18"/>
  <c r="AF80" i="18"/>
  <c r="AC135" i="18"/>
  <c r="AD135" i="18" s="1"/>
  <c r="AD111" i="18"/>
  <c r="S155" i="18"/>
  <c r="S156" i="18"/>
  <c r="M188" i="18" s="1"/>
  <c r="AD81" i="18"/>
  <c r="AF81" i="18"/>
  <c r="AD51" i="18"/>
  <c r="AF51" i="18"/>
  <c r="T152" i="18"/>
  <c r="AF67" i="18"/>
  <c r="AC177" i="18"/>
  <c r="AD177" i="18" s="1"/>
  <c r="AF177" i="18" s="1"/>
  <c r="AF68" i="18"/>
  <c r="AD50" i="18"/>
  <c r="AF50" i="18"/>
  <c r="AD65" i="18"/>
  <c r="AF65" i="18"/>
  <c r="T146" i="18"/>
  <c r="AF64" i="18"/>
  <c r="T145" i="18"/>
  <c r="AF58" i="18"/>
  <c r="AC178" i="18"/>
  <c r="AD178" i="18" s="1"/>
  <c r="AF178" i="18" s="1"/>
  <c r="AF62" i="18"/>
  <c r="AD61" i="18"/>
  <c r="AF61" i="18"/>
  <c r="T143" i="18"/>
  <c r="Q187" i="18" s="1"/>
  <c r="AF56" i="18"/>
  <c r="T148" i="18"/>
  <c r="AF60" i="18"/>
  <c r="AD82" i="18"/>
  <c r="AF82" i="18"/>
  <c r="T169" i="18"/>
  <c r="Q189" i="18" s="1"/>
  <c r="AF78" i="18"/>
  <c r="T166" i="18"/>
  <c r="AF77" i="18"/>
  <c r="T165" i="18"/>
  <c r="AF76" i="18"/>
  <c r="T163" i="18"/>
  <c r="AF74" i="18"/>
  <c r="T164" i="18"/>
  <c r="AF75" i="18"/>
  <c r="AD67" i="18"/>
  <c r="T149" i="18"/>
  <c r="AD56" i="18"/>
  <c r="AD58" i="18"/>
  <c r="U145" i="18" s="1"/>
  <c r="AD60" i="18"/>
  <c r="T150" i="18"/>
  <c r="Q186" i="18" s="1"/>
  <c r="AD78" i="18"/>
  <c r="AD64" i="18"/>
  <c r="T153" i="18"/>
  <c r="AC66" i="18"/>
  <c r="AD62" i="18"/>
  <c r="AD68" i="18"/>
  <c r="AD80" i="18"/>
  <c r="AD76" i="18"/>
  <c r="AD75" i="18"/>
  <c r="AD74" i="18"/>
  <c r="AD77" i="18"/>
  <c r="T142" i="18"/>
  <c r="Q191" i="18" s="1"/>
  <c r="Q192" i="18" s="1"/>
  <c r="AD54" i="18"/>
  <c r="AC174" i="18"/>
  <c r="AC181" i="18" s="1"/>
  <c r="AD181" i="18" s="1"/>
  <c r="AD57" i="18"/>
  <c r="U144" i="18" s="1"/>
  <c r="AC175" i="18"/>
  <c r="T144" i="18"/>
  <c r="N38" i="11"/>
  <c r="O37" i="11"/>
  <c r="H18" i="8"/>
  <c r="T167" i="18" l="1"/>
  <c r="Q190" i="18" s="1"/>
  <c r="P188" i="18"/>
  <c r="AD179" i="18"/>
  <c r="AF179" i="18" s="1"/>
  <c r="U142" i="18"/>
  <c r="S142" i="18" s="1"/>
  <c r="AD112" i="18"/>
  <c r="U153" i="18"/>
  <c r="S153" i="18" s="1"/>
  <c r="U143" i="18"/>
  <c r="S143" i="18" s="1"/>
  <c r="M187" i="18" s="1"/>
  <c r="U152" i="18"/>
  <c r="S152" i="18" s="1"/>
  <c r="U148" i="18"/>
  <c r="S148" i="18" s="1"/>
  <c r="U150" i="18"/>
  <c r="S150" i="18" s="1"/>
  <c r="U169" i="18"/>
  <c r="S169" i="18" s="1"/>
  <c r="U165" i="18"/>
  <c r="S165" i="18" s="1"/>
  <c r="AD66" i="18"/>
  <c r="AF66" i="18"/>
  <c r="U146" i="18"/>
  <c r="S146" i="18" s="1"/>
  <c r="S145" i="18"/>
  <c r="U149" i="18"/>
  <c r="S149" i="18" s="1"/>
  <c r="U163" i="18"/>
  <c r="S163" i="18" s="1"/>
  <c r="AC176" i="18"/>
  <c r="AD176" i="18" s="1"/>
  <c r="AF176" i="18" s="1"/>
  <c r="U166" i="18"/>
  <c r="S166" i="18" s="1"/>
  <c r="U164" i="18"/>
  <c r="AD175" i="18"/>
  <c r="AF175" i="18" s="1"/>
  <c r="AD174" i="18"/>
  <c r="AF174" i="18" s="1"/>
  <c r="AF181" i="18" s="1"/>
  <c r="S144" i="18"/>
  <c r="N39" i="11"/>
  <c r="O38" i="11"/>
  <c r="I18" i="8"/>
  <c r="P189" i="18" l="1"/>
  <c r="M189" i="18"/>
  <c r="P186" i="18"/>
  <c r="M186" i="18"/>
  <c r="S164" i="18"/>
  <c r="S167" i="18" s="1"/>
  <c r="U167" i="18"/>
  <c r="P187" i="18"/>
  <c r="P191" i="18"/>
  <c r="P192" i="18" s="1"/>
  <c r="AD114" i="18"/>
  <c r="AD113" i="18"/>
  <c r="N40" i="11"/>
  <c r="O39" i="11"/>
  <c r="P190" i="18" l="1"/>
  <c r="M190" i="18"/>
  <c r="N41" i="1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8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<sst xmlns="http://schemas.openxmlformats.org/spreadsheetml/2006/main" count="653" uniqueCount="458">
  <si>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</si>
  <si>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</si>
  <si>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</si>
  <si>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</si>
  <si>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</si>
  <si>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</si>
  <si>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</si>
  <si>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</si>
  <si>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</si>
  <si>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</si>
  <si>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</si>
  <si>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</si>
  <si>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</si>
  <si>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</si>
  <si>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</si>
  <si>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</si>
  <si>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</si>
  <si>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</si>
  <si>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</si>
  <si>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</si>
  <si>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</si>
  <si>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</si>
  <si>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</si>
  <si>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</si>
  <si>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</si>
  <si>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</si>
  <si>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</si>
  <si>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</si>
  <si>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</si>
  <si>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</si>
  <si>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</si>
  <si>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</si>
  <si>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</si>
  <si>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</si>
  <si>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</si>
  <si>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</si>
  <si>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</si>
  <si>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</si>
  <si>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</si>
  <si>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</si>
  <si>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</si>
  <si>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</si>
  <si>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</si>
  <si>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</si>
  <si>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</si>
  <si>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</si>
  <si>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</si>
  <si>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</si>
  <si>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</si>
  <si>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</si>
  <si>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</si>
  <si>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</si>
  <si>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</si>
  <si>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</si>
  <si>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</si>
  <si>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</si>
  <si>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</si>
  <si>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</si>
  <si>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</si>
  <si>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</si>
  <si>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</si>
  <si>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</si>
  <si>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</si>
  <si>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</si>
  <si>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</si>
  <si>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</si>
  <si>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</si>
  <si>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</si>
  <si>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</si>
  <si>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</si>
  <si>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</si>
  <si>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</si>
  <si>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</si>
  <si>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</si>
  <si>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</si>
  <si>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</si>
  <si>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</si>
  <si>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</si>
  <si>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</si>
  <si>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</si>
  <si>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</si>
  <si>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</si>
  <si>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</si>
  <si>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</si>
  <si>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</si>
  <si>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</si>
  <si>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</si>
  <si>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</si>
  <si>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</si>
  <si>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</si>
  <si>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</si>
  <si>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</si>
  <si>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</si>
  <si>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</si>
  <si>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</si>
  <si>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</si>
  <si>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</si>
  <si>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</si>
  <si>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</si>
  <si>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</si>
  <si>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</si>
  <si>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</si>
  <si>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</si>
  <si>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</si>
  <si>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</si>
  <si>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</si>
  <si>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</si>
  <si>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</si>
  <si>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</si>
  <si>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</si>
  <si>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</si>
  <si>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</si>
  <si>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</si>
  <si>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</si>
  <si>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</si>
  <si>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</si>
  <si>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</si>
  <si>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</si>
  <si>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</si>
  <si>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</si>
  <si>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</si>
  <si>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</si>
  <si>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</si>
  <si>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</si>
  <si>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</si>
  <si>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</si>
  <si>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</si>
  <si>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</si>
  <si>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</si>
  <si>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</si>
  <si>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</si>
  <si>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</si>
  <si>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</si>
  <si>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</si>
  <si>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</si>
  <si>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</si>
  <si>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</si>
  <si>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</si>
  <si>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</si>
  <si>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</si>
  <si>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</si>
  <si>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</si>
  <si>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</si>
  <si>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</si>
  <si>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</si>
  <si>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</si>
  <si>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</si>
  <si>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</si>
  <si>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</si>
  <si>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</si>
  <si>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</si>
  <si>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</si>
  <si>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</si>
  <si>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</si>
  <si>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</si>
  <si>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</si>
  <si>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</si>
  <si>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</si>
  <si>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</si>
  <si>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</si>
  <si>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</si>
  <si>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</si>
  <si>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</si>
  <si>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</si>
  <si>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</si>
  <si>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</si>
  <si>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</si>
  <si>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</si>
  <si>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</si>
  <si>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</si>
  <si>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</si>
  <si>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</si>
  <si>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</si>
  <si>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</si>
  <si>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</si>
  <si>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</si>
  <si>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</si>
  <si>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</si>
  <si>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</si>
  <si>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</si>
  <si>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</si>
  <si>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</si>
  <si>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</si>
  <si>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</si>
  <si>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</si>
  <si>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</si>
  <si>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</si>
  <si>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</si>
  <si>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</si>
  <si>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</si>
  <si>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</si>
  <si>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</si>
  <si>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</si>
  <si>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</si>
  <si>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</si>
  <si>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</si>
  <si>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</si>
  <si>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</si>
  <si>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</si>
  <si>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</si>
  <si>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</si>
  <si>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</si>
  <si>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</si>
  <si>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</si>
  <si>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</si>
  <si>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</si>
  <si>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</si>
  <si>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</si>
  <si>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</si>
  <si>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</si>
  <si>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</si>
  <si>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</si>
  <si>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</si>
  <si>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</si>
  <si>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</si>
  <si>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</si>
  <si>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</si>
  <si>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</si>
  <si>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</si>
  <si>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</si>
  <si>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</si>
  <si>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</si>
  <si>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</si>
  <si>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</si>
  <si>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</si>
  <si>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</si>
  <si>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</si>
  <si>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</si>
  <si>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</si>
  <si>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</si>
  <si>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</si>
  <si>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</si>
  <si>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</si>
  <si>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</si>
  <si>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</si>
  <si>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</si>
  <si>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</si>
  <si>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</si>
  <si>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</si>
  <si>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</si>
  <si>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</si>
  <si>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</si>
  <si>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</si>
  <si>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</si>
  <si>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</si>
  <si>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</si>
  <si>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</si>
  <si>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</si>
  <si>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</si>
  <si>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</si>
  <si>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</si>
  <si>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</si>
  <si>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</si>
  <si>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</si>
  <si>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</si>
  <si>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</si>
  <si>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</si>
  <si>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</si>
  <si>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</si>
  <si>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</si>
  <si>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</si>
  <si>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</si>
  <si>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</si>
  <si>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</si>
  <si>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</si>
  <si>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</si>
  <si>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</si>
  <si>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</si>
  <si>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</si>
  <si>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</si>
  <si>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</si>
  <si>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</si>
  <si>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</si>
  <si>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</si>
  <si>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</si>
  <si>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</si>
  <si>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</si>
  <si>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</si>
  <si>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</si>
  <si>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</si>
  <si>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</si>
  <si>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</si>
  <si>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</si>
  <si>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</si>
  <si>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</si>
  <si>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</si>
  <si>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</si>
  <si>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</si>
  <si>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</si>
  <si>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</si>
  <si>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</si>
  <si>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</si>
  <si>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</si>
  <si>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</si>
  <si>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</si>
  <si>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</si>
  <si>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</si>
  <si>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</si>
  <si>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</si>
  <si>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</si>
  <si>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</si>
  <si>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</si>
  <si>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</si>
  <si>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</si>
  <si>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</si>
  <si>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</si>
  <si>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</si>
  <si>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</si>
  <si>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</si>
  <si>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</si>
  <si>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</si>
  <si>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</si>
  <si>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</si>
  <si>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</si>
  <si>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</si>
  <si>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</si>
  <si>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</si>
  <si>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</si>
  <si>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</si>
  <si>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</si>
  <si>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</si>
  <si>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</si>
  <si>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</si>
  <si>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</si>
  <si>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</si>
  <si>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</si>
  <si>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</si>
  <si>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</si>
  <si>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</si>
  <si>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</si>
  <si>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</si>
  <si>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</si>
  <si>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</si>
  <si>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</si>
  <si>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</si>
  <si>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</si>
  <si>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</si>
  <si>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</si>
  <si>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</si>
  <si>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</si>
  <si>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</si>
  <si>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</si>
  <si>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</si>
  <si>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</si>
  <si>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</si>
  <si>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</si>
  <si>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</si>
  <si>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</si>
  <si>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</si>
  <si>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</si>
  <si>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</si>
  <si>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</si>
  <si>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</si>
  <si>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</si>
  <si>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</si>
  <si>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</si>
  <si>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</si>
  <si>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</si>
  <si>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</si>
  <si>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</si>
  <si>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</si>
  <si>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</si>
  <si>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</si>
  <si>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</si>
  <si>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</si>
  <si>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</si>
  <si>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</si>
  <si>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</si>
  <si>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</si>
  <si>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</si>
  <si>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</si>
  <si>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</si>
  <si>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</si>
  <si>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</si>
  <si>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</si>
  <si>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</si>
  <si>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</si>
  <si>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</si>
  <si>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</si>
  <si>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</si>
  <si>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</si>
  <si>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</si>
  <si>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</si>
  <si>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</si>
  <si>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</si>
  <si>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</si>
  <si>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</si>
  <si>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</si>
  <si>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</si>
  <si>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</si>
  <si>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</si>
  <si>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</si>
  <si>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</si>
  <si>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</si>
  <si>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</si>
  <si>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</si>
  <si>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</si>
  <si>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</si>
  <si>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</si>
  <si>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</si>
  <si>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</si>
  <si>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</si>
  <si>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</si>
  <si>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</si>
  <si>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</si>
  <si>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</si>
  <si>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</si>
  <si>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</si>
  <si>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</si>
  <si>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</si>
  <si>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</si>
  <si>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</si>
  <si>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</si>
  <si>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</si>
  <si>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</si>
  <si>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</si>
  <si>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</si>
  <si>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</si>
  <si>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</si>
  <si>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</si>
  <si>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</si>
  <si>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</si>
  <si>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</si>
  <si>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</si>
  <si>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</si>
  <si>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</si>
  <si>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</si>
  <si>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</si>
  <si>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</si>
  <si>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</si>
  <si>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</si>
  <si>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</si>
  <si>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</si>
  <si>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</si>
  <si>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</si>
  <si>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</si>
  <si>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</si>
  <si>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</si>
  <si>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</si>
  <si>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</si>
  <si>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</si>
  <si>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</si>
  <si>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</si>
  <si>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</si>
  <si>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</si>
  <si>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</si>
  <si>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</si>
  <si>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</si>
  <si>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</si>
  <si>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</si>
  <si>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</si>
  <si>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</si>
  <si>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</si>
  <si>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</si>
  <si>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10x1</t>
  </si>
  <si>
    <t>Net Free Cash Flow (FCF per share)</t>
  </si>
  <si>
    <t>% Discount (Price / Cash) Net Free Cash Flow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</si>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</sst>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3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119296"/>
        <c:axId val="188125184"/>
      </c:lineChart>
      <c:catAx>
        <c:axId val="188119296"/>
        <c:scaling>
          <c:orientation val="minMax"/>
        </c:scaling>
        <c:delete val="0"/>
        <c:axPos val="b"/>
        <c:majorTickMark val="out"/>
        <c:minorTickMark val="none"/>
        <c:tickLblPos val="nextTo"/>
        <c:crossAx val="188125184"/>
        <c:crosses val="autoZero"/>
        <c:auto val="1"/>
        <c:lblAlgn val="ctr"/>
        <c:lblOffset val="100"/>
        <c:noMultiLvlLbl val="0"/>
      </c:catAx>
      <c:valAx>
        <c:axId val="188125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8119296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1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24"/>
  <sheetViews>
    <sheetView tabSelected="1" zoomScale="80" zoomScaleNormal="80" workbookViewId="0">
      <pane xSplit="2" ySplit="3" topLeftCell="C161" activePane="bottomRight" state="frozen"/>
      <selection pane="topRight" activeCell="C1" sqref="C1"/>
      <selection pane="bottomLeft" activeCell="A5" sqref="A5"/>
      <selection pane="bottomRight" activeCell="H184" sqref="H184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3">
        <v>0.05</v>
      </c>
      <c r="N1" s="104" t="s">
        <v>398</v>
      </c>
      <c r="P1" s="163">
        <v>0.08</v>
      </c>
    </row>
    <row r="2" spans="2:32" x14ac:dyDescent="0.2">
      <c r="B2" s="152" t="s">
        <v>315</v>
      </c>
      <c r="C2" s="120"/>
      <c r="F2" s="104" t="s">
        <v>253</v>
      </c>
      <c r="H2" s="126">
        <v>2014</v>
      </c>
      <c r="J2" s="104" t="s">
        <v>328</v>
      </c>
      <c r="L2" s="163">
        <v>0.12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196" t="s">
        <v>291</v>
      </c>
      <c r="AF2" s="197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5" t="s">
        <v>1</v>
      </c>
      <c r="AE3" s="198" t="s">
        <v>292</v>
      </c>
      <c r="AF3" s="199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6"/>
      <c r="AE4" s="20"/>
      <c r="AF4" s="20"/>
    </row>
    <row r="5" spans="2:32" x14ac:dyDescent="0.2">
      <c r="B5" s="108" t="s">
        <v>242</v>
      </c>
      <c r="C5" s="20"/>
      <c r="D5" s="20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20"/>
      <c r="S5" s="20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36"/>
      <c r="AE5" s="20"/>
      <c r="AF5" s="153"/>
    </row>
    <row r="6" spans="2:32" x14ac:dyDescent="0.2">
      <c r="B6" s="20" t="s">
        <v>16</v>
      </c>
      <c r="C6" s="140"/>
      <c r="D6" s="140"/>
      <c r="E6" s="146"/>
      <c r="F6" s="146"/>
      <c r="G6" s="146">
        <v>530</v>
      </c>
      <c r="H6" s="146">
        <v>559</v>
      </c>
      <c r="I6" s="146">
        <v>592</v>
      </c>
      <c r="J6" s="146">
        <v>873</v>
      </c>
      <c r="K6" s="146">
        <v>1125</v>
      </c>
      <c r="L6" s="146">
        <v>1296</v>
      </c>
      <c r="M6" s="146">
        <v>1914</v>
      </c>
      <c r="N6" s="146">
        <v>2361</v>
      </c>
      <c r="O6" s="146">
        <v>2782</v>
      </c>
      <c r="P6" s="146">
        <v>3339</v>
      </c>
      <c r="Q6" s="146">
        <v>4513</v>
      </c>
      <c r="R6" s="118">
        <f>((Q6/G6)^(1/($H$2-$H$1) ))-1</f>
        <v>0.23885063105224469</v>
      </c>
      <c r="S6" s="31">
        <f>$L$2</f>
        <v>0.12</v>
      </c>
      <c r="T6" s="153">
        <f>Q6*(1+$S6)</f>
        <v>5054.5600000000004</v>
      </c>
      <c r="U6" s="153">
        <f>T6*(1+$S6)</f>
        <v>5661.1072000000013</v>
      </c>
      <c r="V6" s="153">
        <f t="shared" ref="V6:AC6" si="0">U6*(1+$S6)</f>
        <v>6340.4400640000022</v>
      </c>
      <c r="W6" s="153">
        <f t="shared" si="0"/>
        <v>7101.2928716800034</v>
      </c>
      <c r="X6" s="153">
        <f t="shared" si="0"/>
        <v>7953.4480162816044</v>
      </c>
      <c r="Y6" s="153">
        <f t="shared" si="0"/>
        <v>8907.8617782353977</v>
      </c>
      <c r="Z6" s="153">
        <f t="shared" si="0"/>
        <v>9976.8051916236454</v>
      </c>
      <c r="AA6" s="153">
        <f t="shared" si="0"/>
        <v>11174.021814618483</v>
      </c>
      <c r="AB6" s="153">
        <f t="shared" si="0"/>
        <v>12514.904432372703</v>
      </c>
      <c r="AC6" s="153">
        <f t="shared" si="0"/>
        <v>14016.692964257429</v>
      </c>
      <c r="AD6" s="137">
        <f>((AC6/G6)^(1/($AC$3-$H$1) ))-1</f>
        <v>0.17792729265371632</v>
      </c>
      <c r="AE6" s="31">
        <f>$L$1</f>
        <v>0.05</v>
      </c>
      <c r="AF6" s="145">
        <f t="shared" ref="AF6:AF44" si="1">(AC6*(1+AE6))/($C$1-AE6)</f>
        <v>86573.691838060608</v>
      </c>
    </row>
    <row r="7" spans="2:32" x14ac:dyDescent="0.2">
      <c r="B7" s="20" t="s">
        <v>240</v>
      </c>
      <c r="C7" s="140"/>
      <c r="D7" s="140"/>
      <c r="E7" s="146"/>
      <c r="F7" s="146"/>
      <c r="G7" s="146">
        <v>572</v>
      </c>
      <c r="H7" s="146">
        <v>601</v>
      </c>
      <c r="I7" s="146">
        <v>634</v>
      </c>
      <c r="J7" s="146">
        <v>935</v>
      </c>
      <c r="K7" s="146">
        <v>1182</v>
      </c>
      <c r="L7" s="146">
        <v>1349</v>
      </c>
      <c r="M7" s="146">
        <v>1967</v>
      </c>
      <c r="N7" s="146">
        <v>2412</v>
      </c>
      <c r="O7" s="146">
        <v>2832</v>
      </c>
      <c r="P7" s="146">
        <v>3400</v>
      </c>
      <c r="Q7" s="146">
        <v>4574</v>
      </c>
      <c r="R7" s="118">
        <f>((Q7/G7)^(1/($H$2-$H$1) ))-1</f>
        <v>0.23109059399964482</v>
      </c>
      <c r="S7" s="31">
        <f>$L$2</f>
        <v>0.12</v>
      </c>
      <c r="T7" s="153">
        <f t="shared" ref="T7:T44" si="2">Q7*(1+$S7)</f>
        <v>5122.88</v>
      </c>
      <c r="U7" s="153">
        <f t="shared" ref="U7:AC7" si="3">T7*(1+$S7)</f>
        <v>5737.6256000000003</v>
      </c>
      <c r="V7" s="153">
        <f t="shared" si="3"/>
        <v>6426.1406720000014</v>
      </c>
      <c r="W7" s="153">
        <f t="shared" si="3"/>
        <v>7197.2775526400019</v>
      </c>
      <c r="X7" s="153">
        <f t="shared" si="3"/>
        <v>8060.9508589568031</v>
      </c>
      <c r="Y7" s="153">
        <f t="shared" si="3"/>
        <v>9028.2649620316206</v>
      </c>
      <c r="Z7" s="153">
        <f t="shared" si="3"/>
        <v>10111.656757475415</v>
      </c>
      <c r="AA7" s="153">
        <f t="shared" si="3"/>
        <v>11325.055568372467</v>
      </c>
      <c r="AB7" s="153">
        <f t="shared" si="3"/>
        <v>12684.062236577165</v>
      </c>
      <c r="AC7" s="153">
        <f t="shared" si="3"/>
        <v>14206.149704966427</v>
      </c>
      <c r="AD7" s="137">
        <f>((AC7/G7)^(1/($AC$3-$H$1) ))-1</f>
        <v>0.17423228761587128</v>
      </c>
      <c r="AE7" s="31">
        <f>$L$1</f>
        <v>0.05</v>
      </c>
      <c r="AF7" s="145">
        <f t="shared" si="1"/>
        <v>87743.865824792651</v>
      </c>
    </row>
    <row r="8" spans="2:32" x14ac:dyDescent="0.2">
      <c r="B8" s="20"/>
      <c r="C8" s="140"/>
      <c r="D8" s="140"/>
      <c r="E8" s="146"/>
      <c r="F8" s="146"/>
      <c r="G8" s="147">
        <f>(G7-F7)/G7</f>
        <v>1</v>
      </c>
      <c r="H8" s="150">
        <f>(H7-G7)/H7</f>
        <v>4.8252911813643926E-2</v>
      </c>
      <c r="I8" s="150">
        <f t="shared" ref="I8:Q8" si="4">(I7-H7)/I7</f>
        <v>5.2050473186119876E-2</v>
      </c>
      <c r="J8" s="150">
        <f t="shared" si="4"/>
        <v>0.32192513368983955</v>
      </c>
      <c r="K8" s="150">
        <f t="shared" si="4"/>
        <v>0.20896785109983079</v>
      </c>
      <c r="L8" s="150">
        <f t="shared" si="4"/>
        <v>0.12379540400296515</v>
      </c>
      <c r="M8" s="150">
        <f t="shared" si="4"/>
        <v>0.31418403660396543</v>
      </c>
      <c r="N8" s="150">
        <f t="shared" si="4"/>
        <v>0.18449419568822553</v>
      </c>
      <c r="O8" s="150">
        <f t="shared" si="4"/>
        <v>0.14830508474576271</v>
      </c>
      <c r="P8" s="150">
        <f t="shared" si="4"/>
        <v>0.16705882352941176</v>
      </c>
      <c r="Q8" s="150">
        <f t="shared" si="4"/>
        <v>0.25666812418014867</v>
      </c>
      <c r="R8" s="128"/>
      <c r="S8" s="20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36"/>
      <c r="AE8" s="136"/>
      <c r="AF8" s="145"/>
    </row>
    <row r="9" spans="2:32" x14ac:dyDescent="0.2">
      <c r="B9" s="20" t="s">
        <v>269</v>
      </c>
      <c r="C9" s="140"/>
      <c r="D9" s="140"/>
      <c r="E9" s="146"/>
      <c r="F9" s="146"/>
      <c r="G9" s="146">
        <v>373</v>
      </c>
      <c r="H9" s="146">
        <v>488</v>
      </c>
      <c r="I9" s="146">
        <v>529</v>
      </c>
      <c r="J9" s="146">
        <v>990</v>
      </c>
      <c r="K9" s="146">
        <v>890</v>
      </c>
      <c r="L9" s="146">
        <v>802</v>
      </c>
      <c r="M9" s="146">
        <v>1608</v>
      </c>
      <c r="N9" s="146">
        <v>2028</v>
      </c>
      <c r="O9" s="146">
        <v>2508</v>
      </c>
      <c r="P9" s="146">
        <v>2255</v>
      </c>
      <c r="Q9" s="146">
        <v>785</v>
      </c>
      <c r="R9" s="118">
        <f>((Q9/G9)^(1/($H$2-$H$1) ))-1</f>
        <v>7.7248957545732022E-2</v>
      </c>
      <c r="S9" s="31">
        <f t="shared" ref="S9:S40" si="5">$L$2</f>
        <v>0.12</v>
      </c>
      <c r="T9" s="153">
        <f t="shared" si="2"/>
        <v>879.2</v>
      </c>
      <c r="U9" s="153">
        <f t="shared" ref="U9" si="6">T9*(1+$S9)</f>
        <v>984.70400000000018</v>
      </c>
      <c r="V9" s="153">
        <f t="shared" ref="V9" si="7">U9*(1+$S9)</f>
        <v>1102.8684800000003</v>
      </c>
      <c r="W9" s="153">
        <f t="shared" ref="W9" si="8">V9*(1+$S9)</f>
        <v>1235.2126976000004</v>
      </c>
      <c r="X9" s="153">
        <f t="shared" ref="X9" si="9">W9*(1+$S9)</f>
        <v>1383.4382213120007</v>
      </c>
      <c r="Y9" s="153">
        <f t="shared" ref="Y9" si="10">X9*(1+$S9)</f>
        <v>1549.450807869441</v>
      </c>
      <c r="Z9" s="153">
        <f t="shared" ref="Z9" si="11">Y9*(1+$S9)</f>
        <v>1735.384904813774</v>
      </c>
      <c r="AA9" s="153">
        <f t="shared" ref="AA9" si="12">Z9*(1+$S9)</f>
        <v>1943.6310933914272</v>
      </c>
      <c r="AB9" s="153">
        <f t="shared" ref="AB9" si="13">AA9*(1+$S9)</f>
        <v>2176.8668245983986</v>
      </c>
      <c r="AC9" s="153">
        <f t="shared" ref="AC9" si="14">AB9*(1+$S9)</f>
        <v>2438.0908435502065</v>
      </c>
      <c r="AD9" s="137">
        <f>((AC9/G9)^(1/($AC$3-$H$1) ))-1</f>
        <v>9.8416511370445603E-2</v>
      </c>
      <c r="AE9" s="31">
        <f t="shared" ref="AE9:AE81" si="15">$L$1</f>
        <v>0.05</v>
      </c>
      <c r="AF9" s="145">
        <f t="shared" si="1"/>
        <v>15058.79638663363</v>
      </c>
    </row>
    <row r="10" spans="2:32" x14ac:dyDescent="0.2">
      <c r="B10" s="20" t="s">
        <v>4</v>
      </c>
      <c r="C10" s="140"/>
      <c r="D10" s="140"/>
      <c r="E10" s="146"/>
      <c r="F10" s="146"/>
      <c r="G10" s="146">
        <v>421</v>
      </c>
      <c r="H10" s="146">
        <v>544</v>
      </c>
      <c r="I10" s="146">
        <v>750</v>
      </c>
      <c r="J10" s="146">
        <v>823</v>
      </c>
      <c r="K10" s="146">
        <v>646</v>
      </c>
      <c r="L10" s="146">
        <v>890</v>
      </c>
      <c r="M10" s="146">
        <v>1707</v>
      </c>
      <c r="N10" s="146">
        <v>2480</v>
      </c>
      <c r="O10" s="146">
        <v>2549</v>
      </c>
      <c r="P10" s="146">
        <v>2281</v>
      </c>
      <c r="Q10" s="146">
        <v>988</v>
      </c>
      <c r="R10" s="118">
        <f>((Q10/G10)^(1/($H$2-$H$1) ))-1</f>
        <v>8.9049161243906161E-2</v>
      </c>
      <c r="S10" s="31">
        <f t="shared" si="5"/>
        <v>0.12</v>
      </c>
      <c r="T10" s="153">
        <f t="shared" si="2"/>
        <v>1106.5600000000002</v>
      </c>
      <c r="U10" s="153">
        <f t="shared" ref="U10:AC10" si="16">T10*(1+$S10)</f>
        <v>1239.3472000000004</v>
      </c>
      <c r="V10" s="153">
        <f t="shared" si="16"/>
        <v>1388.0688640000005</v>
      </c>
      <c r="W10" s="153">
        <f t="shared" si="16"/>
        <v>1554.6371276800007</v>
      </c>
      <c r="X10" s="153">
        <f t="shared" si="16"/>
        <v>1741.1935830016009</v>
      </c>
      <c r="Y10" s="153">
        <f t="shared" si="16"/>
        <v>1950.1368129617931</v>
      </c>
      <c r="Z10" s="153">
        <f t="shared" si="16"/>
        <v>2184.1532305172086</v>
      </c>
      <c r="AA10" s="153">
        <f t="shared" si="16"/>
        <v>2446.2516181792739</v>
      </c>
      <c r="AB10" s="153">
        <f t="shared" si="16"/>
        <v>2739.8018123607872</v>
      </c>
      <c r="AC10" s="153">
        <f t="shared" si="16"/>
        <v>3068.5780298440818</v>
      </c>
      <c r="AD10" s="137">
        <f t="shared" ref="AD10:AD42" si="17">((AC10/G10)^(1/($AC$3-$H$1) ))-1</f>
        <v>0.10441616277251886</v>
      </c>
      <c r="AE10" s="31">
        <f t="shared" si="15"/>
        <v>0.05</v>
      </c>
      <c r="AF10" s="145">
        <f t="shared" si="1"/>
        <v>18952.981949036977</v>
      </c>
    </row>
    <row r="11" spans="2:32" x14ac:dyDescent="0.2">
      <c r="B11" s="20"/>
      <c r="C11" s="140"/>
      <c r="D11" s="140"/>
      <c r="E11" s="146"/>
      <c r="F11" s="146"/>
      <c r="G11" s="147">
        <f>(G10-F10)/G10</f>
        <v>1</v>
      </c>
      <c r="H11" s="147">
        <f t="shared" ref="H11:Q11" si="18">(H10-G10)/H10</f>
        <v>0.22610294117647059</v>
      </c>
      <c r="I11" s="147">
        <f t="shared" si="18"/>
        <v>0.27466666666666667</v>
      </c>
      <c r="J11" s="147">
        <f t="shared" si="18"/>
        <v>8.8699878493317133E-2</v>
      </c>
      <c r="K11" s="147">
        <f t="shared" si="18"/>
        <v>-0.2739938080495356</v>
      </c>
      <c r="L11" s="147">
        <f t="shared" si="18"/>
        <v>0.27415730337078653</v>
      </c>
      <c r="M11" s="147">
        <f t="shared" si="18"/>
        <v>0.47861745752782658</v>
      </c>
      <c r="N11" s="147">
        <f t="shared" si="18"/>
        <v>0.31169354838709679</v>
      </c>
      <c r="O11" s="147">
        <f t="shared" si="18"/>
        <v>2.7069438995684581E-2</v>
      </c>
      <c r="P11" s="147">
        <f t="shared" si="18"/>
        <v>-0.11749232792634809</v>
      </c>
      <c r="Q11" s="147">
        <f t="shared" si="18"/>
        <v>-1.3087044534412955</v>
      </c>
      <c r="R11" s="128"/>
      <c r="S11" s="20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19"/>
      <c r="AE11" s="31">
        <f t="shared" si="15"/>
        <v>0.05</v>
      </c>
      <c r="AF11" s="153"/>
    </row>
    <row r="12" spans="2:32" x14ac:dyDescent="0.2">
      <c r="B12" s="20" t="s">
        <v>2</v>
      </c>
      <c r="C12" s="140"/>
      <c r="D12" s="140"/>
      <c r="E12" s="146"/>
      <c r="F12" s="146"/>
      <c r="G12" s="146">
        <v>110</v>
      </c>
      <c r="H12" s="146">
        <f>95+26</f>
        <v>121</v>
      </c>
      <c r="I12" s="146">
        <f>96+135</f>
        <v>231</v>
      </c>
      <c r="J12" s="146">
        <f>153+40</f>
        <v>193</v>
      </c>
      <c r="K12" s="146">
        <f>172+113</f>
        <v>285</v>
      </c>
      <c r="L12" s="146">
        <f>188+173</f>
        <v>361</v>
      </c>
      <c r="M12" s="146">
        <f>283+65</f>
        <v>348</v>
      </c>
      <c r="N12" s="146">
        <f>191</f>
        <v>191</v>
      </c>
      <c r="O12" s="146">
        <v>173</v>
      </c>
      <c r="P12" s="146">
        <v>335</v>
      </c>
      <c r="Q12" s="146">
        <v>654</v>
      </c>
      <c r="R12" s="118">
        <f>((Q12/G12)^(1/($H$2-$H$1) ))-1</f>
        <v>0.19513924136525995</v>
      </c>
      <c r="S12" s="31">
        <f t="shared" si="5"/>
        <v>0.12</v>
      </c>
      <c r="T12" s="153">
        <f t="shared" si="2"/>
        <v>732.48</v>
      </c>
      <c r="U12" s="153">
        <f t="shared" ref="U12:AC12" si="19">T12*(1+$S12)</f>
        <v>820.37760000000014</v>
      </c>
      <c r="V12" s="153">
        <f t="shared" si="19"/>
        <v>918.8229120000002</v>
      </c>
      <c r="W12" s="153">
        <f t="shared" si="19"/>
        <v>1029.0816614400003</v>
      </c>
      <c r="X12" s="153">
        <f t="shared" si="19"/>
        <v>1152.5714608128005</v>
      </c>
      <c r="Y12" s="153">
        <f t="shared" si="19"/>
        <v>1290.8800361103367</v>
      </c>
      <c r="Z12" s="153">
        <f t="shared" si="19"/>
        <v>1445.7856404435772</v>
      </c>
      <c r="AA12" s="153">
        <f t="shared" si="19"/>
        <v>1619.2799172968066</v>
      </c>
      <c r="AB12" s="153">
        <f t="shared" si="19"/>
        <v>1813.5935073724236</v>
      </c>
      <c r="AC12" s="153">
        <f t="shared" si="19"/>
        <v>2031.2247282571145</v>
      </c>
      <c r="AD12" s="137">
        <f t="shared" si="17"/>
        <v>0.15695978768887686</v>
      </c>
      <c r="AE12" s="31">
        <f t="shared" si="15"/>
        <v>0.05</v>
      </c>
      <c r="AF12" s="145">
        <f t="shared" si="1"/>
        <v>12545.799792176298</v>
      </c>
    </row>
    <row r="13" spans="2:32" x14ac:dyDescent="0.2">
      <c r="B13" s="20" t="s">
        <v>218</v>
      </c>
      <c r="C13" s="140"/>
      <c r="D13" s="140"/>
      <c r="E13" s="146"/>
      <c r="F13" s="146"/>
      <c r="G13" s="146">
        <v>64</v>
      </c>
      <c r="H13" s="146">
        <v>3</v>
      </c>
      <c r="I13" s="146">
        <v>0.4</v>
      </c>
      <c r="J13" s="146">
        <v>5</v>
      </c>
      <c r="K13" s="146">
        <v>5</v>
      </c>
      <c r="L13" s="146">
        <v>5</v>
      </c>
      <c r="M13" s="146">
        <v>6</v>
      </c>
      <c r="N13" s="146">
        <v>11</v>
      </c>
      <c r="O13" s="146">
        <v>16</v>
      </c>
      <c r="P13" s="146">
        <v>55</v>
      </c>
      <c r="Q13" s="146">
        <v>64</v>
      </c>
      <c r="R13" s="118">
        <f>((Q13/G13)^(1/($H$2-$H$1) ))-1</f>
        <v>0</v>
      </c>
      <c r="S13" s="31">
        <f t="shared" si="5"/>
        <v>0.12</v>
      </c>
      <c r="T13" s="153">
        <f t="shared" si="2"/>
        <v>71.680000000000007</v>
      </c>
      <c r="U13" s="153">
        <f t="shared" ref="U13:AC13" si="20">T13*(1+$S13)</f>
        <v>80.281600000000012</v>
      </c>
      <c r="V13" s="153">
        <f t="shared" si="20"/>
        <v>89.915392000000026</v>
      </c>
      <c r="W13" s="153">
        <f t="shared" si="20"/>
        <v>100.70523904000004</v>
      </c>
      <c r="X13" s="153">
        <f t="shared" si="20"/>
        <v>112.78986772480005</v>
      </c>
      <c r="Y13" s="153">
        <f t="shared" si="20"/>
        <v>126.32465185177607</v>
      </c>
      <c r="Z13" s="153">
        <f t="shared" si="20"/>
        <v>141.48361007398921</v>
      </c>
      <c r="AA13" s="153">
        <f t="shared" si="20"/>
        <v>158.46164328286793</v>
      </c>
      <c r="AB13" s="153">
        <f t="shared" si="20"/>
        <v>177.47704047681211</v>
      </c>
      <c r="AC13" s="153">
        <f t="shared" si="20"/>
        <v>198.77428533402957</v>
      </c>
      <c r="AD13" s="137">
        <f t="shared" si="17"/>
        <v>5.8300524425836331E-2</v>
      </c>
      <c r="AE13" s="31">
        <f t="shared" si="15"/>
        <v>0.05</v>
      </c>
      <c r="AF13" s="145">
        <f t="shared" si="1"/>
        <v>1227.723527063124</v>
      </c>
    </row>
    <row r="14" spans="2:32" x14ac:dyDescent="0.2">
      <c r="B14" s="20" t="s">
        <v>373</v>
      </c>
      <c r="C14" s="140"/>
      <c r="D14" s="140"/>
      <c r="E14" s="146"/>
      <c r="F14" s="146"/>
      <c r="G14" s="146">
        <v>262</v>
      </c>
      <c r="H14" s="146">
        <v>330</v>
      </c>
      <c r="I14" s="146">
        <v>419</v>
      </c>
      <c r="J14" s="146">
        <v>638</v>
      </c>
      <c r="K14" s="146">
        <v>715</v>
      </c>
      <c r="L14" s="146">
        <v>630</v>
      </c>
      <c r="M14" s="146">
        <v>992</v>
      </c>
      <c r="N14" s="146">
        <v>1753</v>
      </c>
      <c r="O14" s="146">
        <v>1999</v>
      </c>
      <c r="P14" s="146">
        <v>2031</v>
      </c>
      <c r="Q14" s="146">
        <v>2066</v>
      </c>
      <c r="R14" s="118">
        <f>((Q14/G14)^(1/($H$2-$H$1) ))-1</f>
        <v>0.22937082557903277</v>
      </c>
      <c r="S14" s="31">
        <f t="shared" si="5"/>
        <v>0.12</v>
      </c>
      <c r="T14" s="153">
        <f t="shared" si="2"/>
        <v>2313.92</v>
      </c>
      <c r="U14" s="153">
        <f t="shared" ref="U14" si="21">T14*(1+$S14)</f>
        <v>2591.5904000000005</v>
      </c>
      <c r="V14" s="153">
        <f t="shared" ref="V14" si="22">U14*(1+$S14)</f>
        <v>2902.5812480000009</v>
      </c>
      <c r="W14" s="153">
        <f t="shared" ref="W14" si="23">V14*(1+$S14)</f>
        <v>3250.8909977600015</v>
      </c>
      <c r="X14" s="153">
        <f t="shared" ref="X14" si="24">W14*(1+$S14)</f>
        <v>3640.9979174912019</v>
      </c>
      <c r="Y14" s="153">
        <f t="shared" ref="Y14" si="25">X14*(1+$S14)</f>
        <v>4077.9176675901463</v>
      </c>
      <c r="Z14" s="153">
        <f t="shared" ref="Z14" si="26">Y14*(1+$S14)</f>
        <v>4567.2677877009646</v>
      </c>
      <c r="AA14" s="153">
        <f t="shared" ref="AA14" si="27">Z14*(1+$S14)</f>
        <v>5115.339922225081</v>
      </c>
      <c r="AB14" s="153">
        <f t="shared" ref="AB14" si="28">AA14*(1+$S14)</f>
        <v>5729.1807128920909</v>
      </c>
      <c r="AC14" s="153">
        <f t="shared" ref="AC14" si="29">AB14*(1+$S14)</f>
        <v>6416.6823984391422</v>
      </c>
      <c r="AD14" s="137">
        <f t="shared" ref="AD14" si="30">((AC14/G14)^(1/($AC$3-$H$1) ))-1</f>
        <v>0.17341183079450695</v>
      </c>
      <c r="AE14" s="31">
        <f t="shared" si="15"/>
        <v>0.05</v>
      </c>
      <c r="AF14" s="145">
        <f t="shared" ref="AF14" si="31">(AC14*(1+AE14))/($C$1-AE14)</f>
        <v>39632.450108006473</v>
      </c>
    </row>
    <row r="15" spans="2:32" x14ac:dyDescent="0.2">
      <c r="B15" s="20" t="s">
        <v>19</v>
      </c>
      <c r="C15" s="140"/>
      <c r="D15" s="140"/>
      <c r="E15" s="146"/>
      <c r="F15" s="146"/>
      <c r="G15" s="146">
        <v>442</v>
      </c>
      <c r="H15" s="146">
        <v>581</v>
      </c>
      <c r="I15" s="146">
        <v>690</v>
      </c>
      <c r="J15" s="146">
        <v>1159</v>
      </c>
      <c r="K15" s="146">
        <v>1199</v>
      </c>
      <c r="L15" s="146">
        <v>1043</v>
      </c>
      <c r="M15" s="146">
        <v>2063</v>
      </c>
      <c r="N15" s="146">
        <v>2894</v>
      </c>
      <c r="O15" s="146">
        <v>3317</v>
      </c>
      <c r="P15" s="146">
        <v>3356</v>
      </c>
      <c r="Q15" s="146">
        <v>3763</v>
      </c>
      <c r="R15" s="118">
        <f>((Q15/G15)^(1/($H$2-$H$1) ))-1</f>
        <v>0.23882851965318541</v>
      </c>
      <c r="S15" s="31">
        <f t="shared" si="5"/>
        <v>0.12</v>
      </c>
      <c r="T15" s="153">
        <f t="shared" si="2"/>
        <v>4214.5600000000004</v>
      </c>
      <c r="U15" s="153">
        <f t="shared" ref="U15:AC15" si="32">T15*(1+$S15)</f>
        <v>4720.3072000000011</v>
      </c>
      <c r="V15" s="153">
        <f t="shared" si="32"/>
        <v>5286.7440640000013</v>
      </c>
      <c r="W15" s="153">
        <f t="shared" si="32"/>
        <v>5921.1533516800018</v>
      </c>
      <c r="X15" s="153">
        <f t="shared" si="32"/>
        <v>6631.6917538816024</v>
      </c>
      <c r="Y15" s="153">
        <f t="shared" si="32"/>
        <v>7427.4947643473952</v>
      </c>
      <c r="Z15" s="153">
        <f t="shared" si="32"/>
        <v>8318.7941360690838</v>
      </c>
      <c r="AA15" s="153">
        <f t="shared" si="32"/>
        <v>9317.0494323973744</v>
      </c>
      <c r="AB15" s="153">
        <f t="shared" si="32"/>
        <v>10435.09536428506</v>
      </c>
      <c r="AC15" s="153">
        <f t="shared" si="32"/>
        <v>11687.306807999268</v>
      </c>
      <c r="AD15" s="137">
        <f t="shared" si="17"/>
        <v>0.17791678059681626</v>
      </c>
      <c r="AE15" s="31">
        <f t="shared" si="15"/>
        <v>0.05</v>
      </c>
      <c r="AF15" s="145">
        <f t="shared" si="1"/>
        <v>72186.30675528961</v>
      </c>
    </row>
    <row r="16" spans="2:32" x14ac:dyDescent="0.2">
      <c r="B16" s="20" t="s">
        <v>23</v>
      </c>
      <c r="C16" s="140"/>
      <c r="D16" s="140"/>
      <c r="E16" s="146"/>
      <c r="F16" s="146"/>
      <c r="G16" s="146">
        <v>213</v>
      </c>
      <c r="H16" s="146">
        <v>240</v>
      </c>
      <c r="I16" s="146">
        <v>465</v>
      </c>
      <c r="J16" s="146">
        <v>380</v>
      </c>
      <c r="K16" s="146">
        <v>502</v>
      </c>
      <c r="L16" s="146">
        <v>528</v>
      </c>
      <c r="M16" s="146">
        <v>573</v>
      </c>
      <c r="N16" s="146">
        <v>860</v>
      </c>
      <c r="O16" s="146">
        <v>880</v>
      </c>
      <c r="P16" s="146">
        <v>995</v>
      </c>
      <c r="Q16" s="146">
        <v>859</v>
      </c>
      <c r="R16" s="118">
        <f>((Q16/G16)^(1/($H$2-$H$1) ))-1</f>
        <v>0.14963865002328802</v>
      </c>
      <c r="S16" s="31">
        <f t="shared" si="5"/>
        <v>0.12</v>
      </c>
      <c r="T16" s="153">
        <f t="shared" si="2"/>
        <v>962.08</v>
      </c>
      <c r="U16" s="153">
        <f t="shared" ref="U16:AC16" si="33">T16*(1+$S16)</f>
        <v>1077.5296000000001</v>
      </c>
      <c r="V16" s="153">
        <f t="shared" si="33"/>
        <v>1206.8331520000002</v>
      </c>
      <c r="W16" s="153">
        <f t="shared" si="33"/>
        <v>1351.6531302400003</v>
      </c>
      <c r="X16" s="153">
        <f t="shared" si="33"/>
        <v>1513.8515058688006</v>
      </c>
      <c r="Y16" s="153">
        <f t="shared" si="33"/>
        <v>1695.5136865730569</v>
      </c>
      <c r="Z16" s="153">
        <f t="shared" si="33"/>
        <v>1898.9753289618238</v>
      </c>
      <c r="AA16" s="153">
        <f t="shared" si="33"/>
        <v>2126.8523684372431</v>
      </c>
      <c r="AB16" s="153">
        <f t="shared" si="33"/>
        <v>2382.0746526497123</v>
      </c>
      <c r="AC16" s="153">
        <f t="shared" si="33"/>
        <v>2667.9236109676781</v>
      </c>
      <c r="AD16" s="137">
        <f t="shared" si="17"/>
        <v>0.13472255993528326</v>
      </c>
      <c r="AE16" s="31">
        <f t="shared" si="15"/>
        <v>0.05</v>
      </c>
      <c r="AF16" s="145">
        <f t="shared" si="1"/>
        <v>16478.351714800367</v>
      </c>
    </row>
    <row r="17" spans="2:32" x14ac:dyDescent="0.2">
      <c r="B17" s="20"/>
      <c r="C17" s="140"/>
      <c r="D17" s="140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28"/>
      <c r="S17" s="20"/>
      <c r="T17" s="153">
        <f t="shared" si="2"/>
        <v>0</v>
      </c>
      <c r="U17" s="153"/>
      <c r="V17" s="153"/>
      <c r="W17" s="153"/>
      <c r="X17" s="153"/>
      <c r="Y17" s="153"/>
      <c r="Z17" s="153"/>
      <c r="AA17" s="153"/>
      <c r="AB17" s="153"/>
      <c r="AC17" s="153"/>
      <c r="AD17" s="138"/>
      <c r="AE17" s="136"/>
      <c r="AF17" s="153"/>
    </row>
    <row r="18" spans="2:32" x14ac:dyDescent="0.2">
      <c r="B18" s="20" t="s">
        <v>277</v>
      </c>
      <c r="C18" s="140"/>
      <c r="D18" s="140"/>
      <c r="E18" s="146"/>
      <c r="F18" s="146"/>
      <c r="G18" s="146">
        <v>648</v>
      </c>
      <c r="H18" s="146">
        <v>786</v>
      </c>
      <c r="I18" s="146">
        <v>840</v>
      </c>
      <c r="J18" s="146">
        <v>1292</v>
      </c>
      <c r="K18" s="146">
        <v>1226</v>
      </c>
      <c r="L18" s="146">
        <v>1425</v>
      </c>
      <c r="M18" s="146">
        <v>2560</v>
      </c>
      <c r="N18" s="146">
        <v>3519</v>
      </c>
      <c r="O18" s="146">
        <v>4157</v>
      </c>
      <c r="P18" s="146">
        <v>4312</v>
      </c>
      <c r="Q18" s="146">
        <v>4502</v>
      </c>
      <c r="R18" s="118">
        <f>((Q18/G18)^(1/($H$2-$H$1) ))-1</f>
        <v>0.21390038309454229</v>
      </c>
      <c r="S18" s="31">
        <f t="shared" si="5"/>
        <v>0.12</v>
      </c>
      <c r="T18" s="153">
        <f t="shared" si="2"/>
        <v>5042.2400000000007</v>
      </c>
      <c r="U18" s="153">
        <f t="shared" ref="U18:U34" si="34">T18*(1+$S18)</f>
        <v>5647.3088000000016</v>
      </c>
      <c r="V18" s="153">
        <f t="shared" ref="V18:V34" si="35">U18*(1+$S18)</f>
        <v>6324.9858560000021</v>
      </c>
      <c r="W18" s="153">
        <f t="shared" ref="W18:W34" si="36">V18*(1+$S18)</f>
        <v>7083.9841587200026</v>
      </c>
      <c r="X18" s="153">
        <f t="shared" ref="X18:X36" si="37">W18*(1+$S18)</f>
        <v>7934.0622577664035</v>
      </c>
      <c r="Y18" s="153">
        <f t="shared" ref="Y18:Y36" si="38">X18*(1+$S18)</f>
        <v>8886.1497286983722</v>
      </c>
      <c r="Z18" s="153">
        <f t="shared" ref="Z18:Z36" si="39">Y18*(1+$S18)</f>
        <v>9952.4876961421778</v>
      </c>
      <c r="AA18" s="153">
        <f t="shared" ref="AA18:AA36" si="40">Z18*(1+$S18)</f>
        <v>11146.786219679239</v>
      </c>
      <c r="AB18" s="153">
        <f t="shared" ref="AB18:AB36" si="41">AA18*(1+$S18)</f>
        <v>12484.400566040749</v>
      </c>
      <c r="AC18" s="153">
        <f t="shared" ref="AC18:AC36" si="42">AB18*(1+$S18)</f>
        <v>13982.528633965641</v>
      </c>
      <c r="AD18" s="137">
        <f t="shared" si="17"/>
        <v>0.16600532977593518</v>
      </c>
      <c r="AE18" s="31">
        <f t="shared" si="15"/>
        <v>0.05</v>
      </c>
      <c r="AF18" s="145">
        <f t="shared" si="1"/>
        <v>86362.676856846621</v>
      </c>
    </row>
    <row r="19" spans="2:32" x14ac:dyDescent="0.2">
      <c r="B19" s="20"/>
      <c r="C19" s="140"/>
      <c r="D19" s="140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28"/>
      <c r="S19" s="20"/>
      <c r="T19" s="153">
        <f t="shared" si="2"/>
        <v>0</v>
      </c>
      <c r="U19" s="153"/>
      <c r="V19" s="153"/>
      <c r="W19" s="153"/>
      <c r="X19" s="153"/>
      <c r="Y19" s="153"/>
      <c r="Z19" s="153"/>
      <c r="AA19" s="153"/>
      <c r="AB19" s="153"/>
      <c r="AC19" s="153"/>
      <c r="AD19" s="138"/>
      <c r="AE19" s="136"/>
      <c r="AF19" s="153"/>
    </row>
    <row r="20" spans="2:32" x14ac:dyDescent="0.2">
      <c r="B20" s="20" t="s">
        <v>283</v>
      </c>
      <c r="C20" s="140"/>
      <c r="D20" s="140"/>
      <c r="E20" s="146"/>
      <c r="F20" s="146"/>
      <c r="G20" s="146">
        <v>108</v>
      </c>
      <c r="H20" s="146">
        <v>109</v>
      </c>
      <c r="I20" s="146">
        <v>78</v>
      </c>
      <c r="J20" s="146">
        <v>357</v>
      </c>
      <c r="K20" s="146">
        <v>428</v>
      </c>
      <c r="L20" s="146">
        <v>325</v>
      </c>
      <c r="M20" s="146">
        <v>702</v>
      </c>
      <c r="N20" s="146">
        <v>152</v>
      </c>
      <c r="O20" s="146">
        <v>543</v>
      </c>
      <c r="P20" s="146">
        <v>770</v>
      </c>
      <c r="Q20" s="146">
        <v>1126</v>
      </c>
      <c r="R20" s="118">
        <f>((Q20/G20)^(1/($H$2-$H$1) ))-1</f>
        <v>0.26418741760830722</v>
      </c>
      <c r="S20" s="31">
        <v>0.15</v>
      </c>
      <c r="T20" s="153">
        <f t="shared" si="2"/>
        <v>1294.8999999999999</v>
      </c>
      <c r="U20" s="153">
        <f t="shared" ref="U20:U22" si="43">T20*(1+$S20)</f>
        <v>1489.1349999999998</v>
      </c>
      <c r="V20" s="153">
        <f t="shared" ref="V20:V22" si="44">U20*(1+$S20)</f>
        <v>1712.5052499999997</v>
      </c>
      <c r="W20" s="153">
        <f t="shared" ref="W20:W22" si="45">V20*(1+$S20)</f>
        <v>1969.3810374999996</v>
      </c>
      <c r="X20" s="153">
        <f t="shared" ref="X20:X22" si="46">W20*(1+$S20)</f>
        <v>2264.7881931249995</v>
      </c>
      <c r="Y20" s="153">
        <f t="shared" ref="Y20:Y22" si="47">X20*(1+$S20)</f>
        <v>2604.5064220937493</v>
      </c>
      <c r="Z20" s="153">
        <f t="shared" ref="Z20:Z22" si="48">Y20*(1+$S20)</f>
        <v>2995.1823854078116</v>
      </c>
      <c r="AA20" s="153">
        <f t="shared" ref="AA20:AA22" si="49">Z20*(1+$S20)</f>
        <v>3444.459743218983</v>
      </c>
      <c r="AB20" s="153">
        <f t="shared" ref="AB20:AB22" si="50">AA20*(1+$S20)</f>
        <v>3961.12870470183</v>
      </c>
      <c r="AC20" s="153">
        <f t="shared" ref="AC20:AC22" si="51">AB20*(1+$S20)</f>
        <v>4555.2980104071039</v>
      </c>
      <c r="AD20" s="137">
        <f t="shared" ref="AD20:AD22" si="52">((AC20/G20)^(1/($AC$3-$H$1) ))-1</f>
        <v>0.20574272971042751</v>
      </c>
      <c r="AE20" s="31">
        <f t="shared" si="15"/>
        <v>0.05</v>
      </c>
      <c r="AF20" s="145">
        <f t="shared" si="1"/>
        <v>28135.664181926237</v>
      </c>
    </row>
    <row r="21" spans="2:32" x14ac:dyDescent="0.2">
      <c r="B21" s="20" t="s">
        <v>284</v>
      </c>
      <c r="C21" s="140"/>
      <c r="D21" s="140"/>
      <c r="E21" s="146"/>
      <c r="F21" s="146"/>
      <c r="G21" s="146">
        <v>-305</v>
      </c>
      <c r="H21" s="146">
        <v>-163</v>
      </c>
      <c r="I21" s="146">
        <v>-91</v>
      </c>
      <c r="J21" s="146">
        <v>-400</v>
      </c>
      <c r="K21" s="146">
        <v>-169</v>
      </c>
      <c r="L21" s="146">
        <v>-482</v>
      </c>
      <c r="M21" s="146">
        <v>-1053</v>
      </c>
      <c r="N21" s="146">
        <v>-854</v>
      </c>
      <c r="O21" s="146">
        <v>-547</v>
      </c>
      <c r="P21" s="146">
        <v>-407</v>
      </c>
      <c r="Q21" s="146">
        <v>-202</v>
      </c>
      <c r="R21" s="118">
        <f>((Q21/G21)^(1/($H$2-$H$1) ))-1</f>
        <v>-4.0367046678093765E-2</v>
      </c>
      <c r="S21" s="31">
        <v>0.05</v>
      </c>
      <c r="T21" s="153">
        <f t="shared" si="2"/>
        <v>-212.10000000000002</v>
      </c>
      <c r="U21" s="153">
        <f t="shared" si="43"/>
        <v>-222.70500000000004</v>
      </c>
      <c r="V21" s="153">
        <f t="shared" si="44"/>
        <v>-233.84025000000005</v>
      </c>
      <c r="W21" s="153">
        <f t="shared" si="45"/>
        <v>-245.53226250000006</v>
      </c>
      <c r="X21" s="153">
        <f t="shared" si="46"/>
        <v>-257.8088756250001</v>
      </c>
      <c r="Y21" s="153">
        <f t="shared" si="47"/>
        <v>-270.69931940625014</v>
      </c>
      <c r="Z21" s="153">
        <f t="shared" si="48"/>
        <v>-284.23428537656264</v>
      </c>
      <c r="AA21" s="153">
        <f t="shared" si="49"/>
        <v>-298.44599964539077</v>
      </c>
      <c r="AB21" s="153">
        <f t="shared" si="50"/>
        <v>-313.36829962766035</v>
      </c>
      <c r="AC21" s="153">
        <f t="shared" si="51"/>
        <v>-329.03671460904337</v>
      </c>
      <c r="AD21" s="137">
        <f t="shared" si="52"/>
        <v>3.8000801892783542E-3</v>
      </c>
      <c r="AE21" s="31">
        <f t="shared" si="15"/>
        <v>0.05</v>
      </c>
      <c r="AF21" s="145">
        <f t="shared" si="1"/>
        <v>-2032.2855902323267</v>
      </c>
    </row>
    <row r="22" spans="2:32" x14ac:dyDescent="0.2">
      <c r="B22" s="20" t="s">
        <v>285</v>
      </c>
      <c r="C22" s="140"/>
      <c r="D22" s="140"/>
      <c r="E22" s="146"/>
      <c r="F22" s="146"/>
      <c r="G22" s="146">
        <v>206</v>
      </c>
      <c r="H22" s="146">
        <v>59</v>
      </c>
      <c r="I22" s="146">
        <v>133</v>
      </c>
      <c r="J22" s="146">
        <v>-17</v>
      </c>
      <c r="K22" s="146">
        <v>-165</v>
      </c>
      <c r="L22" s="146">
        <v>180</v>
      </c>
      <c r="M22" s="146">
        <v>327</v>
      </c>
      <c r="N22" s="146">
        <v>587</v>
      </c>
      <c r="O22" s="146">
        <v>-20</v>
      </c>
      <c r="P22" s="146">
        <v>-321</v>
      </c>
      <c r="Q22" s="146">
        <v>-857</v>
      </c>
      <c r="R22" s="118" t="e">
        <f>((Q22/G22)^(1/($H$2-$H$1) ))-1</f>
        <v>#NUM!</v>
      </c>
      <c r="S22" s="31">
        <v>0.02</v>
      </c>
      <c r="T22" s="153">
        <f t="shared" si="2"/>
        <v>-874.14</v>
      </c>
      <c r="U22" s="153">
        <f t="shared" si="43"/>
        <v>-891.62279999999998</v>
      </c>
      <c r="V22" s="153">
        <f t="shared" si="44"/>
        <v>-909.45525599999996</v>
      </c>
      <c r="W22" s="153">
        <f t="shared" si="45"/>
        <v>-927.64436111999999</v>
      </c>
      <c r="X22" s="153">
        <f t="shared" si="46"/>
        <v>-946.19724834240003</v>
      </c>
      <c r="Y22" s="153">
        <f t="shared" si="47"/>
        <v>-965.12119330924804</v>
      </c>
      <c r="Z22" s="153">
        <f t="shared" si="48"/>
        <v>-984.42361717543304</v>
      </c>
      <c r="AA22" s="153">
        <f t="shared" si="49"/>
        <v>-1004.1120895189417</v>
      </c>
      <c r="AB22" s="153">
        <f t="shared" si="50"/>
        <v>-1024.1943313093207</v>
      </c>
      <c r="AC22" s="153">
        <f t="shared" si="51"/>
        <v>-1044.6782179355071</v>
      </c>
      <c r="AD22" s="137" t="e">
        <f t="shared" si="52"/>
        <v>#NUM!</v>
      </c>
      <c r="AE22" s="31">
        <f t="shared" si="15"/>
        <v>0.05</v>
      </c>
      <c r="AF22" s="145">
        <f t="shared" si="1"/>
        <v>-6452.4242872487202</v>
      </c>
    </row>
    <row r="23" spans="2:32" x14ac:dyDescent="0.2">
      <c r="B23" s="20" t="s">
        <v>295</v>
      </c>
      <c r="C23" s="140"/>
      <c r="D23" s="140"/>
      <c r="E23" s="146"/>
      <c r="F23" s="146"/>
      <c r="G23" s="146">
        <v>106</v>
      </c>
      <c r="H23" s="146">
        <v>110</v>
      </c>
      <c r="I23" s="146">
        <v>232</v>
      </c>
      <c r="J23" s="146">
        <v>172</v>
      </c>
      <c r="K23" s="146">
        <v>266</v>
      </c>
      <c r="L23" s="146">
        <v>273</v>
      </c>
      <c r="M23" s="146">
        <v>249</v>
      </c>
      <c r="N23" s="146">
        <v>134</v>
      </c>
      <c r="O23" s="146">
        <v>106</v>
      </c>
      <c r="P23" s="146">
        <v>144</v>
      </c>
      <c r="Q23" s="146">
        <v>212</v>
      </c>
      <c r="R23" s="118">
        <f>((Q23/G23)^(1/($H$2-$H$1) ))-1</f>
        <v>7.1773462536293131E-2</v>
      </c>
      <c r="S23" s="31">
        <v>0.04</v>
      </c>
      <c r="T23" s="153">
        <f t="shared" si="2"/>
        <v>220.48000000000002</v>
      </c>
      <c r="U23" s="153">
        <f t="shared" ref="U23" si="53">T23*(1+$S23)</f>
        <v>229.29920000000001</v>
      </c>
      <c r="V23" s="153">
        <f t="shared" ref="V23" si="54">U23*(1+$S23)</f>
        <v>238.47116800000003</v>
      </c>
      <c r="W23" s="153">
        <f t="shared" ref="W23" si="55">V23*(1+$S23)</f>
        <v>248.01001472000004</v>
      </c>
      <c r="X23" s="153">
        <f t="shared" ref="X23" si="56">W23*(1+$S23)</f>
        <v>257.93041530880004</v>
      </c>
      <c r="Y23" s="153">
        <f t="shared" ref="Y23" si="57">X23*(1+$S23)</f>
        <v>268.24763192115205</v>
      </c>
      <c r="Z23" s="153">
        <f t="shared" ref="Z23" si="58">Y23*(1+$S23)</f>
        <v>278.97753719799812</v>
      </c>
      <c r="AA23" s="153">
        <f t="shared" ref="AA23" si="59">Z23*(1+$S23)</f>
        <v>290.13663868591806</v>
      </c>
      <c r="AB23" s="153">
        <f t="shared" ref="AB23" si="60">AA23*(1+$S23)</f>
        <v>301.74210423335478</v>
      </c>
      <c r="AC23" s="153">
        <f t="shared" ref="AC23" si="61">AB23*(1+$S23)</f>
        <v>313.81178840268899</v>
      </c>
      <c r="AD23" s="137">
        <f t="shared" ref="AD23" si="62">((AC23/G23)^(1/($AC$3-$H$1) ))-1</f>
        <v>5.576720968106641E-2</v>
      </c>
      <c r="AE23" s="31">
        <f t="shared" si="15"/>
        <v>0.05</v>
      </c>
      <c r="AF23" s="145">
        <f t="shared" si="1"/>
        <v>1938.2492813107265</v>
      </c>
    </row>
    <row r="24" spans="2:32" x14ac:dyDescent="0.2">
      <c r="B24" s="20"/>
      <c r="C24" s="140"/>
      <c r="D24" s="140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28"/>
      <c r="S24" s="20"/>
      <c r="T24" s="153">
        <f t="shared" si="2"/>
        <v>0</v>
      </c>
      <c r="U24" s="153"/>
      <c r="V24" s="153"/>
      <c r="W24" s="153"/>
      <c r="X24" s="153"/>
      <c r="Y24" s="153"/>
      <c r="Z24" s="153"/>
      <c r="AA24" s="153"/>
      <c r="AB24" s="153"/>
      <c r="AC24" s="153"/>
      <c r="AD24" s="119"/>
      <c r="AE24" s="136"/>
      <c r="AF24" s="153"/>
    </row>
    <row r="25" spans="2:32" x14ac:dyDescent="0.2">
      <c r="B25" s="20" t="s">
        <v>89</v>
      </c>
      <c r="C25" s="140"/>
      <c r="D25" s="140"/>
      <c r="E25" s="146"/>
      <c r="F25" s="146"/>
      <c r="G25" s="146">
        <v>1960</v>
      </c>
      <c r="H25" s="146">
        <v>2241</v>
      </c>
      <c r="I25" s="146">
        <v>2714</v>
      </c>
      <c r="J25" s="146">
        <v>4304</v>
      </c>
      <c r="K25" s="146">
        <v>4778</v>
      </c>
      <c r="L25" s="146">
        <v>5007</v>
      </c>
      <c r="M25" s="146">
        <v>7996</v>
      </c>
      <c r="N25" s="146">
        <v>9368</v>
      </c>
      <c r="O25" s="146">
        <v>12412</v>
      </c>
      <c r="P25" s="146">
        <v>12978</v>
      </c>
      <c r="Q25" s="146">
        <v>13494</v>
      </c>
      <c r="R25" s="118">
        <f>((Q25/G25)^(1/($H$2-$H$1) ))-1</f>
        <v>0.21279797582673798</v>
      </c>
      <c r="S25" s="31">
        <f t="shared" si="5"/>
        <v>0.12</v>
      </c>
      <c r="T25" s="153">
        <f t="shared" si="2"/>
        <v>15113.28</v>
      </c>
      <c r="U25" s="153">
        <f t="shared" si="34"/>
        <v>16926.873600000003</v>
      </c>
      <c r="V25" s="153">
        <f t="shared" si="35"/>
        <v>18958.098432000006</v>
      </c>
      <c r="W25" s="153">
        <f t="shared" si="36"/>
        <v>21233.070243840008</v>
      </c>
      <c r="X25" s="153">
        <f t="shared" si="37"/>
        <v>23781.038673100811</v>
      </c>
      <c r="Y25" s="153">
        <f t="shared" si="38"/>
        <v>26634.763313872911</v>
      </c>
      <c r="Z25" s="153">
        <f t="shared" si="39"/>
        <v>29830.934911537664</v>
      </c>
      <c r="AA25" s="153">
        <f t="shared" si="40"/>
        <v>33410.647100922186</v>
      </c>
      <c r="AB25" s="153">
        <f t="shared" si="41"/>
        <v>37419.92475303285</v>
      </c>
      <c r="AC25" s="153">
        <f t="shared" si="42"/>
        <v>41910.315723396794</v>
      </c>
      <c r="AD25" s="137">
        <f t="shared" si="17"/>
        <v>0.16547575389878721</v>
      </c>
      <c r="AE25" s="31">
        <f t="shared" si="15"/>
        <v>0.05</v>
      </c>
      <c r="AF25" s="145">
        <f t="shared" si="1"/>
        <v>258857.83240921551</v>
      </c>
    </row>
    <row r="26" spans="2:32" s="123" customFormat="1" x14ac:dyDescent="0.2">
      <c r="B26" s="23"/>
      <c r="C26" s="148"/>
      <c r="D26" s="148"/>
      <c r="E26" s="149"/>
      <c r="F26" s="149"/>
      <c r="G26" s="147">
        <f>(G25-F25)/G25</f>
        <v>1</v>
      </c>
      <c r="H26" s="147">
        <f>(H25-G25)/H25</f>
        <v>0.1253904506916555</v>
      </c>
      <c r="I26" s="147">
        <f t="shared" ref="I26" si="63">(I25-H25)/I25</f>
        <v>0.17428150331613854</v>
      </c>
      <c r="J26" s="147">
        <f t="shared" ref="J26" si="64">(J25-I25)/J25</f>
        <v>0.36942379182156132</v>
      </c>
      <c r="K26" s="147">
        <f t="shared" ref="K26" si="65">(K25-J25)/K25</f>
        <v>9.920468815403935E-2</v>
      </c>
      <c r="L26" s="147">
        <f t="shared" ref="L26" si="66">(L25-K25)/L25</f>
        <v>4.5735969642500499E-2</v>
      </c>
      <c r="M26" s="147">
        <f t="shared" ref="M26" si="67">(M25-L25)/M25</f>
        <v>0.37381190595297648</v>
      </c>
      <c r="N26" s="147">
        <f t="shared" ref="N26" si="68">(N25-M25)/N25</f>
        <v>0.14645602049530315</v>
      </c>
      <c r="O26" s="147">
        <f t="shared" ref="O26" si="69">(O25-N25)/O25</f>
        <v>0.24524653561069931</v>
      </c>
      <c r="P26" s="147">
        <f t="shared" ref="P26:Q26" si="70">(P25-O25)/P25</f>
        <v>4.3612266913237788E-2</v>
      </c>
      <c r="Q26" s="147">
        <f t="shared" si="70"/>
        <v>3.8239217429968872E-2</v>
      </c>
      <c r="R26" s="128"/>
      <c r="S26" s="20"/>
      <c r="T26" s="153"/>
      <c r="U26" s="154"/>
      <c r="V26" s="154"/>
      <c r="W26" s="154"/>
      <c r="X26" s="154"/>
      <c r="Y26" s="154"/>
      <c r="Z26" s="154"/>
      <c r="AA26" s="154"/>
      <c r="AB26" s="154"/>
      <c r="AC26" s="154"/>
      <c r="AD26" s="119"/>
      <c r="AE26" s="136"/>
      <c r="AF26" s="153"/>
    </row>
    <row r="27" spans="2:32" x14ac:dyDescent="0.2">
      <c r="B27" s="20" t="s">
        <v>261</v>
      </c>
      <c r="C27" s="140"/>
      <c r="D27" s="140"/>
      <c r="E27" s="146"/>
      <c r="F27" s="146"/>
      <c r="G27" s="146">
        <v>1774</v>
      </c>
      <c r="H27" s="146">
        <v>2060</v>
      </c>
      <c r="I27" s="146">
        <v>2469</v>
      </c>
      <c r="J27" s="146">
        <v>3905</v>
      </c>
      <c r="K27" s="146">
        <v>4136</v>
      </c>
      <c r="L27" s="146">
        <v>4539</v>
      </c>
      <c r="M27" s="146">
        <v>6655</v>
      </c>
      <c r="N27" s="146">
        <v>8363</v>
      </c>
      <c r="O27" s="146">
        <v>11242</v>
      </c>
      <c r="P27" s="146">
        <v>11410</v>
      </c>
      <c r="Q27" s="146">
        <v>11567</v>
      </c>
      <c r="R27" s="118">
        <f>((Q27/G27)^(1/($H$2-$H$1) ))-1</f>
        <v>0.20622051909342143</v>
      </c>
      <c r="S27" s="31">
        <f t="shared" si="5"/>
        <v>0.12</v>
      </c>
      <c r="T27" s="153">
        <f t="shared" si="2"/>
        <v>12955.04</v>
      </c>
      <c r="U27" s="153">
        <f t="shared" si="34"/>
        <v>14509.644800000002</v>
      </c>
      <c r="V27" s="153">
        <f t="shared" si="35"/>
        <v>16250.802176000003</v>
      </c>
      <c r="W27" s="153">
        <f t="shared" si="36"/>
        <v>18200.898437120006</v>
      </c>
      <c r="X27" s="153">
        <f t="shared" si="37"/>
        <v>20385.00624957441</v>
      </c>
      <c r="Y27" s="153">
        <f t="shared" si="38"/>
        <v>22831.20699952334</v>
      </c>
      <c r="Z27" s="153">
        <f t="shared" si="39"/>
        <v>25570.951839466143</v>
      </c>
      <c r="AA27" s="153">
        <f t="shared" si="40"/>
        <v>28639.466060202081</v>
      </c>
      <c r="AB27" s="153">
        <f t="shared" si="41"/>
        <v>32076.201987426335</v>
      </c>
      <c r="AC27" s="153">
        <f t="shared" si="42"/>
        <v>35925.346225917499</v>
      </c>
      <c r="AD27" s="137">
        <f t="shared" si="17"/>
        <v>0.16231105190677431</v>
      </c>
      <c r="AE27" s="31">
        <f t="shared" si="15"/>
        <v>0.05</v>
      </c>
      <c r="AF27" s="145">
        <f t="shared" si="1"/>
        <v>221891.84433654931</v>
      </c>
    </row>
    <row r="28" spans="2:32" s="123" customFormat="1" x14ac:dyDescent="0.2">
      <c r="B28" s="23"/>
      <c r="C28" s="148"/>
      <c r="D28" s="148"/>
      <c r="E28" s="149"/>
      <c r="F28" s="149"/>
      <c r="G28" s="147">
        <f t="shared" ref="G28:M28" si="71">(G27-F27)/G27</f>
        <v>1</v>
      </c>
      <c r="H28" s="147">
        <f t="shared" si="71"/>
        <v>0.13883495145631067</v>
      </c>
      <c r="I28" s="147">
        <f t="shared" si="71"/>
        <v>0.16565411097610369</v>
      </c>
      <c r="J28" s="147">
        <f t="shared" si="71"/>
        <v>0.36773367477592828</v>
      </c>
      <c r="K28" s="147">
        <f t="shared" si="71"/>
        <v>5.5851063829787231E-2</v>
      </c>
      <c r="L28" s="147">
        <f t="shared" si="71"/>
        <v>8.878607622824411E-2</v>
      </c>
      <c r="M28" s="147">
        <f t="shared" si="71"/>
        <v>0.3179564237415477</v>
      </c>
      <c r="N28" s="147">
        <f t="shared" ref="N28" si="72">(N27-M27)/N27</f>
        <v>0.20423293076647137</v>
      </c>
      <c r="O28" s="147">
        <f t="shared" ref="O28" si="73">(O27-N27)/O27</f>
        <v>0.25609322184664651</v>
      </c>
      <c r="P28" s="147">
        <f t="shared" ref="P28:Q28" si="74">(P27-O27)/P27</f>
        <v>1.4723926380368098E-2</v>
      </c>
      <c r="Q28" s="147">
        <f t="shared" si="74"/>
        <v>1.3573095876199533E-2</v>
      </c>
      <c r="R28" s="128"/>
      <c r="S28" s="20"/>
      <c r="T28" s="153"/>
      <c r="U28" s="154"/>
      <c r="V28" s="154"/>
      <c r="W28" s="154"/>
      <c r="X28" s="154"/>
      <c r="Y28" s="154"/>
      <c r="Z28" s="154"/>
      <c r="AA28" s="154"/>
      <c r="AB28" s="154"/>
      <c r="AC28" s="154"/>
      <c r="AD28" s="119"/>
      <c r="AE28" s="136"/>
      <c r="AF28" s="153"/>
    </row>
    <row r="29" spans="2:32" s="123" customFormat="1" x14ac:dyDescent="0.2">
      <c r="B29" s="20" t="s">
        <v>324</v>
      </c>
      <c r="C29" s="148"/>
      <c r="D29" s="148"/>
      <c r="E29" s="149"/>
      <c r="F29" s="146"/>
      <c r="G29" s="146">
        <v>38</v>
      </c>
      <c r="H29" s="146">
        <v>40</v>
      </c>
      <c r="I29" s="146">
        <v>50</v>
      </c>
      <c r="J29" s="146">
        <v>85</v>
      </c>
      <c r="K29" s="146">
        <v>107</v>
      </c>
      <c r="L29" s="146">
        <v>136</v>
      </c>
      <c r="M29" s="146">
        <v>183</v>
      </c>
      <c r="N29" s="146">
        <v>185</v>
      </c>
      <c r="O29" s="146">
        <v>287</v>
      </c>
      <c r="P29" s="146">
        <v>312</v>
      </c>
      <c r="Q29" s="146">
        <v>284</v>
      </c>
      <c r="R29" s="118">
        <f>((Q29/G29)^(1/($H$2-$H$1) ))-1</f>
        <v>0.22279449351036984</v>
      </c>
      <c r="S29" s="31">
        <f t="shared" si="5"/>
        <v>0.12</v>
      </c>
      <c r="T29" s="153">
        <f t="shared" si="2"/>
        <v>318.08000000000004</v>
      </c>
      <c r="U29" s="153">
        <f t="shared" ref="U29" si="75">T29*(1+$S29)</f>
        <v>356.2496000000001</v>
      </c>
      <c r="V29" s="153">
        <f t="shared" ref="V29" si="76">U29*(1+$S29)</f>
        <v>398.99955200000016</v>
      </c>
      <c r="W29" s="153">
        <f t="shared" ref="W29" si="77">V29*(1+$S29)</f>
        <v>446.8794982400002</v>
      </c>
      <c r="X29" s="153">
        <f t="shared" ref="X29" si="78">W29*(1+$S29)</f>
        <v>500.5050380288003</v>
      </c>
      <c r="Y29" s="153">
        <f t="shared" ref="Y29" si="79">X29*(1+$S29)</f>
        <v>560.56564259225638</v>
      </c>
      <c r="Z29" s="153">
        <f t="shared" ref="Z29" si="80">Y29*(1+$S29)</f>
        <v>627.83351970332717</v>
      </c>
      <c r="AA29" s="153">
        <f t="shared" ref="AA29" si="81">Z29*(1+$S29)</f>
        <v>703.17354206772654</v>
      </c>
      <c r="AB29" s="153">
        <f t="shared" ref="AB29" si="82">AA29*(1+$S29)</f>
        <v>787.55436711585378</v>
      </c>
      <c r="AC29" s="153">
        <f t="shared" ref="AC29" si="83">AB29*(1+$S29)</f>
        <v>882.06089116975636</v>
      </c>
      <c r="AD29" s="137">
        <f t="shared" ref="AD29" si="84">((AC29/G29)^(1/($AC$3-$H$1) ))-1</f>
        <v>0.17026912833399743</v>
      </c>
      <c r="AE29" s="31">
        <f t="shared" si="15"/>
        <v>0.05</v>
      </c>
      <c r="AF29" s="145">
        <f t="shared" ref="AF29" si="85">(AC29*(1+AE29))/($C$1-AE29)</f>
        <v>5448.0231513426143</v>
      </c>
    </row>
    <row r="30" spans="2:32" s="123" customFormat="1" x14ac:dyDescent="0.2">
      <c r="B30" s="23"/>
      <c r="C30" s="148"/>
      <c r="D30" s="148"/>
      <c r="E30" s="149"/>
      <c r="F30" s="149"/>
      <c r="G30" s="147">
        <f t="shared" ref="G30:L30" si="86">(G29-F29)/G29</f>
        <v>1</v>
      </c>
      <c r="H30" s="147">
        <f t="shared" si="86"/>
        <v>0.05</v>
      </c>
      <c r="I30" s="147">
        <f t="shared" si="86"/>
        <v>0.2</v>
      </c>
      <c r="J30" s="147">
        <f t="shared" si="86"/>
        <v>0.41176470588235292</v>
      </c>
      <c r="K30" s="147">
        <f t="shared" si="86"/>
        <v>0.20560747663551401</v>
      </c>
      <c r="L30" s="147">
        <f t="shared" si="86"/>
        <v>0.21323529411764705</v>
      </c>
      <c r="M30" s="147">
        <f t="shared" ref="M30" si="87">(M29-L29)/M29</f>
        <v>0.25683060109289618</v>
      </c>
      <c r="N30" s="147">
        <f t="shared" ref="N30" si="88">(N29-M29)/N29</f>
        <v>1.0810810810810811E-2</v>
      </c>
      <c r="O30" s="147">
        <f t="shared" ref="O30" si="89">(O29-N29)/O29</f>
        <v>0.35540069686411152</v>
      </c>
      <c r="P30" s="147">
        <f t="shared" ref="P30:Q30" si="90">(P29-O29)/P29</f>
        <v>8.0128205128205135E-2</v>
      </c>
      <c r="Q30" s="147">
        <f t="shared" si="90"/>
        <v>-9.8591549295774641E-2</v>
      </c>
      <c r="R30" s="128"/>
      <c r="S30" s="20"/>
      <c r="T30" s="153"/>
      <c r="U30" s="154"/>
      <c r="V30" s="154"/>
      <c r="W30" s="154"/>
      <c r="X30" s="154"/>
      <c r="Y30" s="154"/>
      <c r="Z30" s="154"/>
      <c r="AA30" s="154"/>
      <c r="AB30" s="154"/>
      <c r="AC30" s="154"/>
      <c r="AD30" s="161"/>
      <c r="AE30" s="136"/>
      <c r="AF30" s="153"/>
    </row>
    <row r="31" spans="2:32" x14ac:dyDescent="0.2">
      <c r="B31" s="20" t="s">
        <v>332</v>
      </c>
      <c r="C31" s="140"/>
      <c r="D31" s="140"/>
      <c r="E31" s="146"/>
      <c r="F31" s="146"/>
      <c r="G31" s="146">
        <v>0</v>
      </c>
      <c r="H31" s="146">
        <v>0</v>
      </c>
      <c r="I31" s="146">
        <v>0</v>
      </c>
      <c r="J31" s="146">
        <v>0</v>
      </c>
      <c r="K31" s="146">
        <v>0</v>
      </c>
      <c r="L31" s="146">
        <v>0</v>
      </c>
      <c r="M31" s="146">
        <v>0</v>
      </c>
      <c r="N31" s="146">
        <v>0</v>
      </c>
      <c r="O31" s="146">
        <v>0</v>
      </c>
      <c r="P31" s="146">
        <v>0</v>
      </c>
      <c r="Q31" s="146">
        <f>P31</f>
        <v>0</v>
      </c>
      <c r="R31" s="118" t="e">
        <f>((Q31/G31)^(1/($H$2-$H$1) ))-1</f>
        <v>#DIV/0!</v>
      </c>
      <c r="S31" s="31">
        <f t="shared" si="5"/>
        <v>0.12</v>
      </c>
      <c r="T31" s="153">
        <f t="shared" si="2"/>
        <v>0</v>
      </c>
      <c r="U31" s="153">
        <f>T31*(1+$S31)</f>
        <v>0</v>
      </c>
      <c r="V31" s="153">
        <f t="shared" ref="V31:AC32" si="91">U31*(1+$S31)</f>
        <v>0</v>
      </c>
      <c r="W31" s="153">
        <f t="shared" si="91"/>
        <v>0</v>
      </c>
      <c r="X31" s="153">
        <f t="shared" si="91"/>
        <v>0</v>
      </c>
      <c r="Y31" s="153">
        <f t="shared" si="91"/>
        <v>0</v>
      </c>
      <c r="Z31" s="153">
        <f t="shared" si="91"/>
        <v>0</v>
      </c>
      <c r="AA31" s="153">
        <f t="shared" si="91"/>
        <v>0</v>
      </c>
      <c r="AB31" s="153">
        <f t="shared" si="91"/>
        <v>0</v>
      </c>
      <c r="AC31" s="153">
        <f t="shared" si="91"/>
        <v>0</v>
      </c>
      <c r="AD31" s="137" t="e">
        <f t="shared" ref="AD31" si="92">((AC31/G31)^(1/($AC$3-$H$1) ))-1</f>
        <v>#DIV/0!</v>
      </c>
      <c r="AE31" s="31">
        <f t="shared" si="15"/>
        <v>0.05</v>
      </c>
      <c r="AF31" s="145">
        <f t="shared" si="1"/>
        <v>0</v>
      </c>
    </row>
    <row r="32" spans="2:32" x14ac:dyDescent="0.2">
      <c r="B32" s="20" t="s">
        <v>331</v>
      </c>
      <c r="C32" s="140"/>
      <c r="D32" s="140"/>
      <c r="E32" s="146"/>
      <c r="F32" s="146"/>
      <c r="G32" s="146">
        <v>0</v>
      </c>
      <c r="H32" s="146">
        <v>0</v>
      </c>
      <c r="I32" s="146">
        <v>0</v>
      </c>
      <c r="J32" s="146">
        <v>0</v>
      </c>
      <c r="K32" s="146">
        <v>0</v>
      </c>
      <c r="L32" s="146">
        <v>0</v>
      </c>
      <c r="M32" s="146">
        <v>0</v>
      </c>
      <c r="N32" s="146">
        <v>0</v>
      </c>
      <c r="O32" s="146">
        <v>0</v>
      </c>
      <c r="P32" s="146">
        <v>0</v>
      </c>
      <c r="Q32" s="146">
        <f>P32</f>
        <v>0</v>
      </c>
      <c r="R32" s="118" t="e">
        <f>((Q32/G32)^(1/($H$2-$H$1) ))-1</f>
        <v>#DIV/0!</v>
      </c>
      <c r="S32" s="31">
        <f t="shared" si="5"/>
        <v>0.12</v>
      </c>
      <c r="T32" s="153">
        <f t="shared" si="2"/>
        <v>0</v>
      </c>
      <c r="U32" s="153">
        <f>T32*(1+$S32)</f>
        <v>0</v>
      </c>
      <c r="V32" s="153">
        <f t="shared" si="91"/>
        <v>0</v>
      </c>
      <c r="W32" s="153">
        <f t="shared" si="91"/>
        <v>0</v>
      </c>
      <c r="X32" s="153">
        <f t="shared" si="91"/>
        <v>0</v>
      </c>
      <c r="Y32" s="153">
        <f t="shared" si="91"/>
        <v>0</v>
      </c>
      <c r="Z32" s="153">
        <f t="shared" si="91"/>
        <v>0</v>
      </c>
      <c r="AA32" s="153">
        <f t="shared" si="91"/>
        <v>0</v>
      </c>
      <c r="AB32" s="153">
        <f t="shared" si="91"/>
        <v>0</v>
      </c>
      <c r="AC32" s="153">
        <f t="shared" si="91"/>
        <v>0</v>
      </c>
      <c r="AD32" s="137" t="e">
        <f t="shared" ref="AD32" si="93">((AC32/G32)^(1/($AC$3-$H$1) ))-1</f>
        <v>#DIV/0!</v>
      </c>
      <c r="AE32" s="31">
        <f t="shared" si="15"/>
        <v>0.05</v>
      </c>
      <c r="AF32" s="145">
        <f t="shared" si="1"/>
        <v>0</v>
      </c>
    </row>
    <row r="33" spans="2:32" x14ac:dyDescent="0.2">
      <c r="B33" s="20" t="s">
        <v>316</v>
      </c>
      <c r="C33" s="140"/>
      <c r="D33" s="140"/>
      <c r="E33" s="146"/>
      <c r="F33" s="146"/>
      <c r="G33" s="146">
        <v>1301</v>
      </c>
      <c r="H33" s="146">
        <v>1553</v>
      </c>
      <c r="I33" s="146">
        <v>1948</v>
      </c>
      <c r="J33" s="146">
        <v>2910</v>
      </c>
      <c r="K33" s="146">
        <v>3029</v>
      </c>
      <c r="L33" s="146">
        <v>3445</v>
      </c>
      <c r="M33" s="146">
        <v>4416</v>
      </c>
      <c r="N33" s="146">
        <v>5860</v>
      </c>
      <c r="O33" s="146">
        <v>8398</v>
      </c>
      <c r="P33" s="146">
        <v>8181</v>
      </c>
      <c r="Q33" s="146">
        <v>7993</v>
      </c>
      <c r="R33" s="118">
        <f>((Q33/G33)^(1/($H$2-$H$1) ))-1</f>
        <v>0.19906645026061831</v>
      </c>
      <c r="S33" s="31">
        <f t="shared" si="5"/>
        <v>0.12</v>
      </c>
      <c r="T33" s="153">
        <f t="shared" si="2"/>
        <v>8952.1600000000017</v>
      </c>
      <c r="U33" s="153">
        <f t="shared" si="34"/>
        <v>10026.419200000002</v>
      </c>
      <c r="V33" s="153">
        <f t="shared" si="35"/>
        <v>11229.589504000003</v>
      </c>
      <c r="W33" s="153">
        <f t="shared" si="36"/>
        <v>12577.140244480004</v>
      </c>
      <c r="X33" s="153">
        <f t="shared" si="37"/>
        <v>14086.397073817607</v>
      </c>
      <c r="Y33" s="153">
        <f t="shared" si="38"/>
        <v>15776.764722675722</v>
      </c>
      <c r="Z33" s="153">
        <f t="shared" si="39"/>
        <v>17669.976489396809</v>
      </c>
      <c r="AA33" s="153">
        <f t="shared" si="40"/>
        <v>19790.37366812443</v>
      </c>
      <c r="AB33" s="153">
        <f t="shared" si="41"/>
        <v>22165.218508299364</v>
      </c>
      <c r="AC33" s="153">
        <f t="shared" si="42"/>
        <v>24825.044729295289</v>
      </c>
      <c r="AD33" s="137">
        <f t="shared" si="17"/>
        <v>0.15885910459032626</v>
      </c>
      <c r="AE33" s="31">
        <f t="shared" si="15"/>
        <v>0.05</v>
      </c>
      <c r="AF33" s="145">
        <f t="shared" si="1"/>
        <v>153331.15862211798</v>
      </c>
    </row>
    <row r="34" spans="2:32" x14ac:dyDescent="0.2">
      <c r="B34" s="20" t="s">
        <v>308</v>
      </c>
      <c r="C34" s="140"/>
      <c r="D34" s="140"/>
      <c r="E34" s="146"/>
      <c r="F34" s="146"/>
      <c r="G34" s="146">
        <v>133</v>
      </c>
      <c r="H34" s="146">
        <v>143</v>
      </c>
      <c r="I34" s="146">
        <v>164</v>
      </c>
      <c r="J34" s="146">
        <v>407</v>
      </c>
      <c r="K34" s="146">
        <v>440</v>
      </c>
      <c r="L34" s="146">
        <v>415</v>
      </c>
      <c r="M34" s="146">
        <v>1088</v>
      </c>
      <c r="N34" s="146">
        <v>1155</v>
      </c>
      <c r="O34" s="146">
        <v>1335</v>
      </c>
      <c r="P34" s="146">
        <v>1471</v>
      </c>
      <c r="Q34" s="146">
        <v>1614</v>
      </c>
      <c r="R34" s="118">
        <f>((Q34/G34)^(1/($H$2-$H$1) ))-1</f>
        <v>0.2835275323095019</v>
      </c>
      <c r="S34" s="31">
        <f t="shared" si="5"/>
        <v>0.12</v>
      </c>
      <c r="T34" s="153">
        <f t="shared" si="2"/>
        <v>1807.68</v>
      </c>
      <c r="U34" s="153">
        <f t="shared" si="34"/>
        <v>2024.6016000000002</v>
      </c>
      <c r="V34" s="153">
        <f t="shared" si="35"/>
        <v>2267.5537920000006</v>
      </c>
      <c r="W34" s="153">
        <f t="shared" si="36"/>
        <v>2539.6602470400007</v>
      </c>
      <c r="X34" s="153">
        <f t="shared" si="37"/>
        <v>2844.4194766848009</v>
      </c>
      <c r="Y34" s="153">
        <f t="shared" si="38"/>
        <v>3185.7498138869773</v>
      </c>
      <c r="Z34" s="153">
        <f t="shared" si="39"/>
        <v>3568.0397915534149</v>
      </c>
      <c r="AA34" s="153">
        <f t="shared" si="40"/>
        <v>3996.204566539825</v>
      </c>
      <c r="AB34" s="153">
        <f t="shared" si="41"/>
        <v>4475.749114524604</v>
      </c>
      <c r="AC34" s="153">
        <f t="shared" si="42"/>
        <v>5012.8390082675569</v>
      </c>
      <c r="AD34" s="137">
        <f t="shared" si="17"/>
        <v>0.19897908079609228</v>
      </c>
      <c r="AE34" s="31">
        <f t="shared" si="15"/>
        <v>0.05</v>
      </c>
      <c r="AF34" s="145">
        <f t="shared" si="1"/>
        <v>30961.652698123151</v>
      </c>
    </row>
    <row r="35" spans="2:32" x14ac:dyDescent="0.2">
      <c r="B35" s="20"/>
      <c r="C35" s="140"/>
      <c r="D35" s="140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28"/>
      <c r="S35" s="20"/>
      <c r="T35" s="153">
        <f t="shared" si="2"/>
        <v>0</v>
      </c>
      <c r="U35" s="153"/>
      <c r="V35" s="153"/>
      <c r="W35" s="153"/>
      <c r="X35" s="153"/>
      <c r="Y35" s="153"/>
      <c r="Z35" s="153"/>
      <c r="AA35" s="153"/>
      <c r="AB35" s="153"/>
      <c r="AC35" s="153"/>
      <c r="AD35" s="138"/>
      <c r="AE35" s="136"/>
      <c r="AF35" s="153"/>
    </row>
    <row r="36" spans="2:32" x14ac:dyDescent="0.2">
      <c r="B36" s="20" t="s">
        <v>278</v>
      </c>
      <c r="C36" s="140"/>
      <c r="D36" s="140"/>
      <c r="E36" s="146"/>
      <c r="F36" s="146"/>
      <c r="G36" s="146">
        <v>175</v>
      </c>
      <c r="H36" s="146">
        <v>161</v>
      </c>
      <c r="I36" s="146">
        <v>231</v>
      </c>
      <c r="J36" s="146">
        <v>402</v>
      </c>
      <c r="K36" s="146">
        <v>624</v>
      </c>
      <c r="L36" s="146">
        <v>456</v>
      </c>
      <c r="M36" s="146">
        <v>1247</v>
      </c>
      <c r="N36" s="146">
        <v>978</v>
      </c>
      <c r="O36" s="146">
        <v>1167</v>
      </c>
      <c r="P36" s="146">
        <v>1456</v>
      </c>
      <c r="Q36" s="146">
        <v>1875</v>
      </c>
      <c r="R36" s="118">
        <f>((Q36/G36)^(1/($H$2-$H$1) ))-1</f>
        <v>0.26764113126213807</v>
      </c>
      <c r="S36" s="31">
        <f t="shared" si="5"/>
        <v>0.12</v>
      </c>
      <c r="T36" s="153">
        <f t="shared" si="2"/>
        <v>2100</v>
      </c>
      <c r="U36" s="153">
        <f t="shared" ref="U36" si="94">T36*(1+$S36)</f>
        <v>2352</v>
      </c>
      <c r="V36" s="153">
        <f t="shared" ref="V36" si="95">U36*(1+$S36)</f>
        <v>2634.2400000000002</v>
      </c>
      <c r="W36" s="153">
        <f t="shared" ref="W36" si="96">V36*(1+$S36)</f>
        <v>2950.3488000000007</v>
      </c>
      <c r="X36" s="153">
        <f t="shared" si="37"/>
        <v>3304.3906560000009</v>
      </c>
      <c r="Y36" s="153">
        <f t="shared" si="38"/>
        <v>3700.9175347200012</v>
      </c>
      <c r="Z36" s="153">
        <f t="shared" si="39"/>
        <v>4145.0276388864013</v>
      </c>
      <c r="AA36" s="153">
        <f t="shared" si="40"/>
        <v>4642.4309555527698</v>
      </c>
      <c r="AB36" s="153">
        <f t="shared" si="41"/>
        <v>5199.522670219103</v>
      </c>
      <c r="AC36" s="153">
        <f t="shared" si="42"/>
        <v>5823.4653906453959</v>
      </c>
      <c r="AD36" s="137">
        <f t="shared" si="17"/>
        <v>0.1915360116310354</v>
      </c>
      <c r="AE36" s="31">
        <f t="shared" si="15"/>
        <v>0.05</v>
      </c>
      <c r="AF36" s="145">
        <f t="shared" si="1"/>
        <v>35968.46270692745</v>
      </c>
    </row>
    <row r="37" spans="2:32" s="123" customFormat="1" x14ac:dyDescent="0.2">
      <c r="B37" s="23"/>
      <c r="C37" s="148"/>
      <c r="D37" s="148"/>
      <c r="E37" s="149"/>
      <c r="F37" s="149"/>
      <c r="G37" s="147">
        <f t="shared" ref="G37" si="97">(G36-F36)/G36</f>
        <v>1</v>
      </c>
      <c r="H37" s="147">
        <f t="shared" ref="H37" si="98">(H36-G36)/H36</f>
        <v>-8.6956521739130432E-2</v>
      </c>
      <c r="I37" s="147">
        <f t="shared" ref="I37" si="99">(I36-H36)/I36</f>
        <v>0.30303030303030304</v>
      </c>
      <c r="J37" s="147">
        <f t="shared" ref="J37" si="100">(J36-I36)/J36</f>
        <v>0.42537313432835822</v>
      </c>
      <c r="K37" s="147">
        <f t="shared" ref="K37" si="101">(K36-J36)/K36</f>
        <v>0.35576923076923078</v>
      </c>
      <c r="L37" s="147">
        <f t="shared" ref="L37" si="102">(L36-K36)/L36</f>
        <v>-0.36842105263157893</v>
      </c>
      <c r="M37" s="147">
        <f t="shared" ref="M37" si="103">(M36-L36)/M36</f>
        <v>0.6343223736968725</v>
      </c>
      <c r="N37" s="147">
        <f t="shared" ref="N37" si="104">(N36-M36)/N36</f>
        <v>-0.27505112474437626</v>
      </c>
      <c r="O37" s="147">
        <f t="shared" ref="O37" si="105">(O36-N36)/O36</f>
        <v>0.16195372750642673</v>
      </c>
      <c r="P37" s="147">
        <f t="shared" ref="P37:Q37" si="106">(P36-O36)/P36</f>
        <v>0.19848901098901098</v>
      </c>
      <c r="Q37" s="147">
        <f t="shared" si="106"/>
        <v>0.22346666666666667</v>
      </c>
      <c r="R37" s="128"/>
      <c r="S37" s="20"/>
      <c r="T37" s="153"/>
      <c r="U37" s="154"/>
      <c r="V37" s="154"/>
      <c r="W37" s="154"/>
      <c r="X37" s="154"/>
      <c r="Y37" s="154"/>
      <c r="Z37" s="154"/>
      <c r="AA37" s="154"/>
      <c r="AB37" s="154"/>
      <c r="AC37" s="154"/>
      <c r="AD37" s="138"/>
      <c r="AE37" s="136"/>
      <c r="AF37" s="155"/>
    </row>
    <row r="38" spans="2:32" s="123" customFormat="1" x14ac:dyDescent="0.2">
      <c r="B38" s="20" t="s">
        <v>400</v>
      </c>
      <c r="C38" s="148"/>
      <c r="D38" s="148"/>
      <c r="E38" s="149"/>
      <c r="F38" s="149"/>
      <c r="G38" s="146">
        <v>105</v>
      </c>
      <c r="H38" s="146">
        <v>83</v>
      </c>
      <c r="I38" s="146">
        <v>122</v>
      </c>
      <c r="J38" s="146">
        <v>196</v>
      </c>
      <c r="K38" s="146">
        <v>406</v>
      </c>
      <c r="L38" s="146">
        <v>203</v>
      </c>
      <c r="M38" s="146">
        <v>904</v>
      </c>
      <c r="N38" s="146">
        <v>548</v>
      </c>
      <c r="O38" s="146">
        <v>556</v>
      </c>
      <c r="P38" s="146">
        <v>858</v>
      </c>
      <c r="Q38" s="146">
        <v>1232</v>
      </c>
      <c r="R38" s="118">
        <f>((Q38/G38)^(1/($H$2-$H$1) ))-1</f>
        <v>0.27921086922435534</v>
      </c>
      <c r="S38" s="31">
        <f t="shared" si="5"/>
        <v>0.12</v>
      </c>
      <c r="T38" s="153">
        <f t="shared" si="2"/>
        <v>1379.8400000000001</v>
      </c>
      <c r="U38" s="153">
        <f t="shared" ref="U38" si="107">T38*(1+$S38)</f>
        <v>1545.4208000000003</v>
      </c>
      <c r="V38" s="153">
        <f t="shared" ref="V38" si="108">U38*(1+$S38)</f>
        <v>1730.8712960000005</v>
      </c>
      <c r="W38" s="153">
        <f t="shared" ref="W38" si="109">V38*(1+$S38)</f>
        <v>1938.5758515200007</v>
      </c>
      <c r="X38" s="153">
        <f t="shared" ref="X38" si="110">W38*(1+$S38)</f>
        <v>2171.2049537024009</v>
      </c>
      <c r="Y38" s="153">
        <f t="shared" ref="Y38" si="111">X38*(1+$S38)</f>
        <v>2431.749548146689</v>
      </c>
      <c r="Z38" s="153">
        <f t="shared" ref="Z38" si="112">Y38*(1+$S38)</f>
        <v>2723.5594939242919</v>
      </c>
      <c r="AA38" s="153">
        <f t="shared" ref="AA38" si="113">Z38*(1+$S38)</f>
        <v>3050.3866331952072</v>
      </c>
      <c r="AB38" s="153">
        <f t="shared" ref="AB38" si="114">AA38*(1+$S38)</f>
        <v>3416.4330291786323</v>
      </c>
      <c r="AC38" s="153">
        <f t="shared" ref="AC38" si="115">AB38*(1+$S38)</f>
        <v>3826.4049926800685</v>
      </c>
      <c r="AD38" s="137">
        <f t="shared" ref="AD38" si="116">((AC38/G38)^(1/($AC$3-$H$1) ))-1</f>
        <v>0.19696122474008249</v>
      </c>
      <c r="AE38" s="31">
        <f t="shared" si="15"/>
        <v>0.05</v>
      </c>
      <c r="AF38" s="145">
        <f t="shared" ref="AF38" si="117">(AC38*(1+AE38))/($C$1-AE38)</f>
        <v>23633.677895965131</v>
      </c>
    </row>
    <row r="39" spans="2:32" s="123" customFormat="1" x14ac:dyDescent="0.2">
      <c r="B39" s="23"/>
      <c r="C39" s="148"/>
      <c r="D39" s="148"/>
      <c r="E39" s="149"/>
      <c r="F39" s="149"/>
      <c r="G39" s="147">
        <f t="shared" ref="G39" si="118">(G38-F38)/G38</f>
        <v>1</v>
      </c>
      <c r="H39" s="147">
        <f t="shared" ref="H39" si="119">(H38-G38)/H38</f>
        <v>-0.26506024096385544</v>
      </c>
      <c r="I39" s="147">
        <f t="shared" ref="I39" si="120">(I38-H38)/I38</f>
        <v>0.31967213114754101</v>
      </c>
      <c r="J39" s="147">
        <f t="shared" ref="J39" si="121">(J38-I38)/J38</f>
        <v>0.37755102040816324</v>
      </c>
      <c r="K39" s="147">
        <f t="shared" ref="K39" si="122">(K38-J38)/K38</f>
        <v>0.51724137931034486</v>
      </c>
      <c r="L39" s="147">
        <f t="shared" ref="L39" si="123">(L38-K38)/L38</f>
        <v>-1</v>
      </c>
      <c r="M39" s="147">
        <f t="shared" ref="M39" si="124">(M38-L38)/M38</f>
        <v>0.77544247787610621</v>
      </c>
      <c r="N39" s="147">
        <f t="shared" ref="N39" si="125">(N38-M38)/N38</f>
        <v>-0.64963503649635035</v>
      </c>
      <c r="O39" s="147">
        <f t="shared" ref="O39" si="126">(O38-N38)/O38</f>
        <v>1.4388489208633094E-2</v>
      </c>
      <c r="P39" s="147">
        <f t="shared" ref="P39:Q39" si="127">(P38-O38)/P38</f>
        <v>0.351981351981352</v>
      </c>
      <c r="Q39" s="147">
        <f t="shared" si="127"/>
        <v>0.30357142857142855</v>
      </c>
      <c r="R39" s="128"/>
      <c r="S39" s="20"/>
      <c r="T39" s="153"/>
      <c r="U39" s="154"/>
      <c r="V39" s="154"/>
      <c r="W39" s="154"/>
      <c r="X39" s="154"/>
      <c r="Y39" s="154"/>
      <c r="Z39" s="154"/>
      <c r="AA39" s="154"/>
      <c r="AB39" s="154"/>
      <c r="AC39" s="154"/>
      <c r="AD39" s="138"/>
      <c r="AE39" s="136"/>
      <c r="AF39" s="155"/>
    </row>
    <row r="40" spans="2:32" x14ac:dyDescent="0.2">
      <c r="B40" s="20" t="s">
        <v>401</v>
      </c>
      <c r="C40" s="140"/>
      <c r="D40" s="140"/>
      <c r="E40" s="146"/>
      <c r="F40" s="146"/>
      <c r="G40" s="146">
        <v>70</v>
      </c>
      <c r="H40" s="146">
        <v>63</v>
      </c>
      <c r="I40" s="146">
        <v>91</v>
      </c>
      <c r="J40" s="146">
        <v>117</v>
      </c>
      <c r="K40" s="146">
        <v>270</v>
      </c>
      <c r="L40" s="146">
        <v>139</v>
      </c>
      <c r="M40" s="146">
        <v>653</v>
      </c>
      <c r="N40" s="146">
        <v>441</v>
      </c>
      <c r="O40" s="146">
        <v>412</v>
      </c>
      <c r="P40" s="146">
        <v>614</v>
      </c>
      <c r="Q40" s="146">
        <v>1005</v>
      </c>
      <c r="R40" s="118">
        <f>((Q40/G40)^(1/($H$2-$H$1) ))-1</f>
        <v>0.30528937285425628</v>
      </c>
      <c r="S40" s="31">
        <f t="shared" si="5"/>
        <v>0.12</v>
      </c>
      <c r="T40" s="153">
        <f t="shared" si="2"/>
        <v>1125.6000000000001</v>
      </c>
      <c r="U40" s="153">
        <f t="shared" ref="U40:AC40" si="128">T40*(1+$S40)</f>
        <v>1260.6720000000003</v>
      </c>
      <c r="V40" s="153">
        <f t="shared" si="128"/>
        <v>1411.9526400000004</v>
      </c>
      <c r="W40" s="153">
        <f t="shared" si="128"/>
        <v>1581.3869568000007</v>
      </c>
      <c r="X40" s="153">
        <f t="shared" si="128"/>
        <v>1771.153391616001</v>
      </c>
      <c r="Y40" s="153">
        <f t="shared" si="128"/>
        <v>1983.6917986099213</v>
      </c>
      <c r="Z40" s="153">
        <f t="shared" si="128"/>
        <v>2221.7348144431121</v>
      </c>
      <c r="AA40" s="153">
        <f t="shared" si="128"/>
        <v>2488.3429921762859</v>
      </c>
      <c r="AB40" s="153">
        <f t="shared" si="128"/>
        <v>2786.9441512374406</v>
      </c>
      <c r="AC40" s="153">
        <f t="shared" si="128"/>
        <v>3121.3774493859337</v>
      </c>
      <c r="AD40" s="137">
        <f t="shared" si="17"/>
        <v>0.20910053246070781</v>
      </c>
      <c r="AE40" s="31">
        <f t="shared" si="15"/>
        <v>0.05</v>
      </c>
      <c r="AF40" s="145">
        <f t="shared" si="1"/>
        <v>19279.096010913123</v>
      </c>
    </row>
    <row r="41" spans="2:32" s="123" customFormat="1" x14ac:dyDescent="0.2">
      <c r="B41" s="23"/>
      <c r="C41" s="148"/>
      <c r="D41" s="148"/>
      <c r="E41" s="149"/>
      <c r="F41" s="149"/>
      <c r="G41" s="147">
        <f>(G40-F40)/G40</f>
        <v>1</v>
      </c>
      <c r="H41" s="147">
        <f t="shared" ref="H41:Q41" si="129">(H40-G40)/H40</f>
        <v>-0.1111111111111111</v>
      </c>
      <c r="I41" s="147">
        <f t="shared" si="129"/>
        <v>0.30769230769230771</v>
      </c>
      <c r="J41" s="147">
        <f t="shared" si="129"/>
        <v>0.22222222222222221</v>
      </c>
      <c r="K41" s="147">
        <f t="shared" si="129"/>
        <v>0.56666666666666665</v>
      </c>
      <c r="L41" s="147">
        <f t="shared" si="129"/>
        <v>-0.94244604316546765</v>
      </c>
      <c r="M41" s="147">
        <f t="shared" si="129"/>
        <v>0.78713629402756513</v>
      </c>
      <c r="N41" s="147">
        <f t="shared" si="129"/>
        <v>-0.48072562358276644</v>
      </c>
      <c r="O41" s="147">
        <f t="shared" si="129"/>
        <v>-7.0388349514563103E-2</v>
      </c>
      <c r="P41" s="147">
        <f t="shared" si="129"/>
        <v>0.3289902280130293</v>
      </c>
      <c r="Q41" s="147">
        <f t="shared" si="129"/>
        <v>0.38905472636815919</v>
      </c>
      <c r="R41" s="128"/>
      <c r="S41" s="20"/>
      <c r="T41" s="153"/>
      <c r="U41" s="154"/>
      <c r="V41" s="154"/>
      <c r="W41" s="154"/>
      <c r="X41" s="154"/>
      <c r="Y41" s="154"/>
      <c r="Z41" s="154"/>
      <c r="AA41" s="154"/>
      <c r="AB41" s="154"/>
      <c r="AC41" s="154"/>
      <c r="AD41" s="138"/>
      <c r="AE41" s="136"/>
      <c r="AF41" s="155"/>
    </row>
    <row r="42" spans="2:32" x14ac:dyDescent="0.2">
      <c r="B42" s="20" t="s">
        <v>239</v>
      </c>
      <c r="C42" s="141">
        <v>1</v>
      </c>
      <c r="D42" s="141">
        <v>1</v>
      </c>
      <c r="E42" s="144">
        <v>1</v>
      </c>
      <c r="F42" s="144">
        <v>1</v>
      </c>
      <c r="G42" s="144">
        <v>3.83</v>
      </c>
      <c r="H42" s="144">
        <v>3.83</v>
      </c>
      <c r="I42" s="144">
        <v>3.83</v>
      </c>
      <c r="J42" s="144">
        <v>4.6399999999999997</v>
      </c>
      <c r="K42" s="144">
        <v>48.84</v>
      </c>
      <c r="L42" s="144">
        <v>50.4</v>
      </c>
      <c r="M42" s="144">
        <v>50.4</v>
      </c>
      <c r="N42" s="144">
        <v>50.4</v>
      </c>
      <c r="O42" s="144">
        <v>50.4</v>
      </c>
      <c r="P42" s="144">
        <v>50.4</v>
      </c>
      <c r="Q42" s="144">
        <v>50.4</v>
      </c>
      <c r="R42" s="118">
        <f>((Q42/G42)^(1/($H$2-$H$1) ))-1</f>
        <v>0.29396692721869333</v>
      </c>
      <c r="S42" s="31">
        <v>5.0000000000000001E-3</v>
      </c>
      <c r="T42" s="153">
        <f t="shared" si="2"/>
        <v>50.651999999999994</v>
      </c>
      <c r="U42" s="153">
        <f t="shared" ref="U42:AC42" si="130">T42*(1+$S42)</f>
        <v>50.905259999999991</v>
      </c>
      <c r="V42" s="153">
        <f t="shared" si="130"/>
        <v>51.159786299999986</v>
      </c>
      <c r="W42" s="153">
        <f t="shared" si="130"/>
        <v>51.415585231499982</v>
      </c>
      <c r="X42" s="153">
        <f t="shared" si="130"/>
        <v>51.672663157657475</v>
      </c>
      <c r="Y42" s="153">
        <f t="shared" si="130"/>
        <v>51.931026473445755</v>
      </c>
      <c r="Z42" s="153">
        <f t="shared" si="130"/>
        <v>52.190681605812976</v>
      </c>
      <c r="AA42" s="153">
        <f t="shared" si="130"/>
        <v>52.451635013842036</v>
      </c>
      <c r="AB42" s="153">
        <f t="shared" si="130"/>
        <v>52.713893188911243</v>
      </c>
      <c r="AC42" s="153">
        <f t="shared" si="130"/>
        <v>52.977462654855792</v>
      </c>
      <c r="AD42" s="137">
        <f t="shared" si="17"/>
        <v>0.14036694175812836</v>
      </c>
      <c r="AE42" s="31">
        <f t="shared" si="15"/>
        <v>0.05</v>
      </c>
      <c r="AF42" s="145">
        <f t="shared" si="1"/>
        <v>327.21373992705054</v>
      </c>
    </row>
    <row r="43" spans="2:32" x14ac:dyDescent="0.2">
      <c r="B43" s="20"/>
      <c r="C43" s="141"/>
      <c r="D43" s="141"/>
      <c r="E43" s="142"/>
      <c r="F43" s="146"/>
      <c r="G43" s="147">
        <f>(G42-F42)/G42</f>
        <v>0.7389033942558747</v>
      </c>
      <c r="H43" s="147">
        <f t="shared" ref="H43" si="131">(H42-G42)/H42</f>
        <v>0</v>
      </c>
      <c r="I43" s="147">
        <f t="shared" ref="I43" si="132">(I42-H42)/I42</f>
        <v>0</v>
      </c>
      <c r="J43" s="147">
        <f t="shared" ref="J43" si="133">(J42-I42)/J42</f>
        <v>0.1745689655172413</v>
      </c>
      <c r="K43" s="147">
        <f t="shared" ref="K43" si="134">(K42-J42)/K42</f>
        <v>0.90499590499590499</v>
      </c>
      <c r="L43" s="147">
        <f t="shared" ref="L43" si="135">(L42-K42)/L42</f>
        <v>3.0952380952380856E-2</v>
      </c>
      <c r="M43" s="147">
        <f t="shared" ref="M43" si="136">(M42-L42)/M42</f>
        <v>0</v>
      </c>
      <c r="N43" s="147">
        <f t="shared" ref="N43" si="137">(N42-M42)/N42</f>
        <v>0</v>
      </c>
      <c r="O43" s="147">
        <f t="shared" ref="O43" si="138">(O42-N42)/O42</f>
        <v>0</v>
      </c>
      <c r="P43" s="147">
        <f t="shared" ref="P43:Q43" si="139">(P42-O42)/P42</f>
        <v>0</v>
      </c>
      <c r="Q43" s="147">
        <f t="shared" si="139"/>
        <v>0</v>
      </c>
      <c r="R43" s="128"/>
      <c r="S43" s="20"/>
      <c r="T43" s="153"/>
      <c r="U43" s="153"/>
      <c r="V43" s="153"/>
      <c r="W43" s="153"/>
      <c r="X43" s="153"/>
      <c r="Y43" s="153"/>
      <c r="Z43" s="153"/>
      <c r="AA43" s="153"/>
      <c r="AB43" s="153"/>
      <c r="AC43" s="153"/>
      <c r="AD43" s="137"/>
      <c r="AE43" s="31"/>
      <c r="AF43" s="145"/>
    </row>
    <row r="44" spans="2:32" x14ac:dyDescent="0.2">
      <c r="B44" s="20" t="s">
        <v>282</v>
      </c>
      <c r="C44" s="144"/>
      <c r="D44" s="144"/>
      <c r="E44" s="144"/>
      <c r="F44" s="146"/>
      <c r="G44" s="144">
        <v>4.5</v>
      </c>
      <c r="H44" s="144">
        <v>4.5</v>
      </c>
      <c r="I44" s="144">
        <v>4.5</v>
      </c>
      <c r="J44" s="144">
        <v>4.5</v>
      </c>
      <c r="K44" s="144">
        <v>0.5</v>
      </c>
      <c r="L44" s="144">
        <v>0.45</v>
      </c>
      <c r="M44" s="144">
        <v>0.75</v>
      </c>
      <c r="N44" s="144">
        <v>0.5</v>
      </c>
      <c r="O44" s="144">
        <v>0.5</v>
      </c>
      <c r="P44" s="144">
        <v>0.5</v>
      </c>
      <c r="Q44" s="144">
        <v>0.75</v>
      </c>
      <c r="R44" s="118">
        <f>((Q44/G44)^(1/($H$2-$H$1) ))-1</f>
        <v>-0.16404119792206318</v>
      </c>
      <c r="S44" s="31">
        <f>P1</f>
        <v>0.08</v>
      </c>
      <c r="T44" s="153">
        <f t="shared" si="2"/>
        <v>0.81</v>
      </c>
      <c r="U44" s="153">
        <f t="shared" ref="U44" si="140">T44*(1+$S44)</f>
        <v>0.87480000000000013</v>
      </c>
      <c r="V44" s="153">
        <f t="shared" ref="V44" si="141">U44*(1+$S44)</f>
        <v>0.94478400000000018</v>
      </c>
      <c r="W44" s="153">
        <f t="shared" ref="W44" si="142">V44*(1+$S44)</f>
        <v>1.0203667200000002</v>
      </c>
      <c r="X44" s="153">
        <f t="shared" ref="X44" si="143">W44*(1+$S44)</f>
        <v>1.1019960576000003</v>
      </c>
      <c r="Y44" s="153">
        <f t="shared" ref="Y44" si="144">X44*(1+$S44)</f>
        <v>1.1901557422080005</v>
      </c>
      <c r="Z44" s="153">
        <f t="shared" ref="Z44" si="145">Y44*(1+$S44)</f>
        <v>1.2853682015846406</v>
      </c>
      <c r="AA44" s="153">
        <f t="shared" ref="AA44" si="146">Z44*(1+$S44)</f>
        <v>1.3881976577114119</v>
      </c>
      <c r="AB44" s="153">
        <f t="shared" ref="AB44" si="147">AA44*(1+$S44)</f>
        <v>1.4992534703283249</v>
      </c>
      <c r="AC44" s="153">
        <f t="shared" ref="AC44" si="148">AB44*(1+$S44)</f>
        <v>1.619193747954591</v>
      </c>
      <c r="AD44" s="137">
        <f t="shared" ref="AD44" si="149">((AC44/G44)^(1/($AC$3-$H$1) ))-1</f>
        <v>-4.98234341743784E-2</v>
      </c>
      <c r="AE44" s="31">
        <f t="shared" si="15"/>
        <v>0.05</v>
      </c>
      <c r="AF44" s="145">
        <f t="shared" si="1"/>
        <v>10.000902560896005</v>
      </c>
    </row>
    <row r="45" spans="2:32" x14ac:dyDescent="0.2">
      <c r="B45" s="20" t="s">
        <v>426</v>
      </c>
      <c r="C45" s="20"/>
      <c r="D45" s="20"/>
      <c r="E45" s="127"/>
      <c r="F45" s="127"/>
      <c r="G45" s="146">
        <v>0</v>
      </c>
      <c r="H45" s="146">
        <v>0</v>
      </c>
      <c r="I45" s="146">
        <v>0</v>
      </c>
      <c r="J45" s="146">
        <v>0</v>
      </c>
      <c r="K45" s="146" t="s">
        <v>454</v>
      </c>
      <c r="L45" s="146">
        <v>0</v>
      </c>
      <c r="M45" s="146">
        <v>0</v>
      </c>
      <c r="N45" s="146">
        <v>0</v>
      </c>
      <c r="O45" s="146">
        <v>0</v>
      </c>
      <c r="P45" s="146">
        <v>0</v>
      </c>
      <c r="Q45" s="146">
        <v>0</v>
      </c>
      <c r="R45" s="128"/>
      <c r="S45" s="128"/>
      <c r="T45" s="153"/>
      <c r="U45" s="153"/>
      <c r="V45" s="153"/>
      <c r="W45" s="153"/>
      <c r="X45" s="153"/>
      <c r="Y45" s="153"/>
      <c r="Z45" s="153"/>
      <c r="AA45" s="153"/>
      <c r="AB45" s="153"/>
      <c r="AC45" s="153"/>
      <c r="AD45" s="138"/>
      <c r="AE45" s="136"/>
      <c r="AF45" s="153"/>
    </row>
    <row r="46" spans="2:32" x14ac:dyDescent="0.2">
      <c r="B46" s="20" t="s">
        <v>424</v>
      </c>
      <c r="C46" s="20"/>
      <c r="D46" s="20"/>
      <c r="E46" s="127"/>
      <c r="F46" s="127"/>
      <c r="G46" s="146">
        <v>0</v>
      </c>
      <c r="H46" s="146">
        <v>0</v>
      </c>
      <c r="I46" s="146">
        <v>0</v>
      </c>
      <c r="J46" s="146">
        <v>0</v>
      </c>
      <c r="K46" s="146">
        <v>0</v>
      </c>
      <c r="L46" s="146">
        <v>0</v>
      </c>
      <c r="M46" s="146">
        <v>0</v>
      </c>
      <c r="N46" s="146">
        <v>0</v>
      </c>
      <c r="O46" s="146">
        <v>0</v>
      </c>
      <c r="P46" s="146">
        <v>0</v>
      </c>
      <c r="Q46" s="146">
        <v>0</v>
      </c>
      <c r="R46" s="128"/>
      <c r="S46" s="128"/>
      <c r="T46" s="153"/>
      <c r="U46" s="153"/>
      <c r="V46" s="153"/>
      <c r="W46" s="153"/>
      <c r="X46" s="153"/>
      <c r="Y46" s="153"/>
      <c r="Z46" s="153"/>
      <c r="AA46" s="153"/>
      <c r="AB46" s="153"/>
      <c r="AC46" s="153"/>
      <c r="AD46" s="138"/>
      <c r="AE46" s="136"/>
      <c r="AF46" s="153"/>
    </row>
    <row r="47" spans="2:32" x14ac:dyDescent="0.2">
      <c r="B47" s="20" t="s">
        <v>425</v>
      </c>
      <c r="C47" s="20"/>
      <c r="D47" s="20"/>
      <c r="E47" s="127"/>
      <c r="F47" s="127"/>
      <c r="G47" s="146">
        <v>0</v>
      </c>
      <c r="H47" s="146">
        <v>0</v>
      </c>
      <c r="I47" s="146">
        <v>0</v>
      </c>
      <c r="J47" s="146">
        <v>0</v>
      </c>
      <c r="K47" s="146">
        <v>0</v>
      </c>
      <c r="L47" s="146">
        <v>0</v>
      </c>
      <c r="M47" s="146">
        <v>0</v>
      </c>
      <c r="N47" s="146">
        <v>0</v>
      </c>
      <c r="O47" s="146">
        <v>0</v>
      </c>
      <c r="P47" s="146">
        <v>0</v>
      </c>
      <c r="Q47" s="146">
        <v>0</v>
      </c>
      <c r="R47" s="128"/>
      <c r="S47" s="128"/>
      <c r="T47" s="153"/>
      <c r="U47" s="153"/>
      <c r="V47" s="153"/>
      <c r="W47" s="153"/>
      <c r="X47" s="153"/>
      <c r="Y47" s="153"/>
      <c r="Z47" s="153"/>
      <c r="AA47" s="153"/>
      <c r="AB47" s="153"/>
      <c r="AC47" s="153"/>
      <c r="AD47" s="138"/>
      <c r="AE47" s="136"/>
      <c r="AF47" s="153"/>
    </row>
    <row r="48" spans="2:32" x14ac:dyDescent="0.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28"/>
      <c r="S48" s="128"/>
      <c r="T48" s="153"/>
      <c r="U48" s="153"/>
      <c r="V48" s="153"/>
      <c r="W48" s="153"/>
      <c r="X48" s="153"/>
      <c r="Y48" s="153"/>
      <c r="Z48" s="153"/>
      <c r="AA48" s="153"/>
      <c r="AB48" s="153"/>
      <c r="AC48" s="153"/>
      <c r="AD48" s="138"/>
      <c r="AE48" s="136"/>
      <c r="AF48" s="153"/>
    </row>
    <row r="49" spans="2:32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3"/>
      <c r="U49" s="153"/>
      <c r="V49" s="153"/>
      <c r="W49" s="153"/>
      <c r="X49" s="153"/>
      <c r="Y49" s="153"/>
      <c r="Z49" s="153"/>
      <c r="AA49" s="153"/>
      <c r="AB49" s="153"/>
      <c r="AC49" s="153"/>
      <c r="AD49" s="138"/>
      <c r="AE49" s="136"/>
      <c r="AF49" s="153"/>
    </row>
    <row r="50" spans="2:32" x14ac:dyDescent="0.2">
      <c r="B50" s="20" t="s">
        <v>303</v>
      </c>
      <c r="C50" s="133">
        <f t="shared" ref="C50:P50" si="150">C25/C42</f>
        <v>0</v>
      </c>
      <c r="D50" s="133">
        <f t="shared" si="150"/>
        <v>0</v>
      </c>
      <c r="E50" s="133">
        <f t="shared" si="150"/>
        <v>0</v>
      </c>
      <c r="F50" s="133">
        <f t="shared" si="150"/>
        <v>0</v>
      </c>
      <c r="G50" s="133">
        <f t="shared" si="150"/>
        <v>511.74934725848561</v>
      </c>
      <c r="H50" s="133">
        <f t="shared" si="150"/>
        <v>585.1174934725849</v>
      </c>
      <c r="I50" s="133">
        <f t="shared" si="150"/>
        <v>708.61618798955612</v>
      </c>
      <c r="J50" s="133">
        <f t="shared" si="150"/>
        <v>927.58620689655174</v>
      </c>
      <c r="K50" s="133">
        <f t="shared" si="150"/>
        <v>97.829647829647826</v>
      </c>
      <c r="L50" s="133">
        <f t="shared" si="150"/>
        <v>99.345238095238102</v>
      </c>
      <c r="M50" s="133">
        <f t="shared" si="150"/>
        <v>158.65079365079364</v>
      </c>
      <c r="N50" s="133">
        <f t="shared" si="150"/>
        <v>185.87301587301587</v>
      </c>
      <c r="O50" s="133">
        <f t="shared" si="150"/>
        <v>246.26984126984127</v>
      </c>
      <c r="P50" s="133">
        <f t="shared" si="150"/>
        <v>257.5</v>
      </c>
      <c r="Q50" s="133">
        <f t="shared" ref="Q50" si="151">Q25/Q42</f>
        <v>267.73809523809524</v>
      </c>
      <c r="R50" s="118">
        <f>((P50/G50)^(1/($H$2-$H$1) ))-1</f>
        <v>-6.6376029403075076E-2</v>
      </c>
      <c r="S50" s="128"/>
      <c r="T50" s="157">
        <f t="shared" ref="T50:AC50" si="152">T25/T42</f>
        <v>298.37479270315094</v>
      </c>
      <c r="U50" s="157">
        <f t="shared" si="152"/>
        <v>332.51718191793941</v>
      </c>
      <c r="V50" s="157">
        <f t="shared" si="152"/>
        <v>370.56641168964404</v>
      </c>
      <c r="W50" s="157">
        <f t="shared" si="152"/>
        <v>412.96953342527502</v>
      </c>
      <c r="X50" s="157">
        <f t="shared" si="152"/>
        <v>460.22475366796829</v>
      </c>
      <c r="Y50" s="157">
        <f t="shared" si="152"/>
        <v>512.88728766977567</v>
      </c>
      <c r="Z50" s="157">
        <f t="shared" si="152"/>
        <v>571.57588277626758</v>
      </c>
      <c r="AA50" s="157">
        <f t="shared" si="152"/>
        <v>636.98008826807938</v>
      </c>
      <c r="AB50" s="157">
        <f t="shared" si="152"/>
        <v>709.86835707487467</v>
      </c>
      <c r="AC50" s="157">
        <f t="shared" si="152"/>
        <v>791.09707455110424</v>
      </c>
      <c r="AD50" s="137">
        <f t="shared" ref="AD50" si="153">((AC50/G50)^(1/($AC$3-$H$1) ))-1</f>
        <v>2.2018186621534319E-2</v>
      </c>
      <c r="AE50" s="31">
        <f t="shared" si="15"/>
        <v>0.05</v>
      </c>
      <c r="AF50" s="145">
        <f t="shared" ref="AF50:AF51" si="154">(AC50*(1+AE50))/($C$1-AE50)</f>
        <v>4886.1878134038798</v>
      </c>
    </row>
    <row r="51" spans="2:32" x14ac:dyDescent="0.2">
      <c r="B51" s="20" t="s">
        <v>304</v>
      </c>
      <c r="C51" s="133">
        <f t="shared" ref="C51:P51" si="155">C27/C42</f>
        <v>0</v>
      </c>
      <c r="D51" s="133">
        <f t="shared" si="155"/>
        <v>0</v>
      </c>
      <c r="E51" s="133">
        <f t="shared" si="155"/>
        <v>0</v>
      </c>
      <c r="F51" s="133">
        <f t="shared" si="155"/>
        <v>0</v>
      </c>
      <c r="G51" s="133">
        <f t="shared" si="155"/>
        <v>463.1853785900783</v>
      </c>
      <c r="H51" s="133">
        <f t="shared" si="155"/>
        <v>537.85900783289821</v>
      </c>
      <c r="I51" s="133">
        <f t="shared" si="155"/>
        <v>644.64751958224542</v>
      </c>
      <c r="J51" s="133">
        <f t="shared" si="155"/>
        <v>841.59482758620697</v>
      </c>
      <c r="K51" s="133">
        <f t="shared" si="155"/>
        <v>84.684684684684683</v>
      </c>
      <c r="L51" s="133">
        <f t="shared" si="155"/>
        <v>90.05952380952381</v>
      </c>
      <c r="M51" s="133">
        <f t="shared" si="155"/>
        <v>132.04365079365078</v>
      </c>
      <c r="N51" s="133">
        <f t="shared" si="155"/>
        <v>165.9325396825397</v>
      </c>
      <c r="O51" s="133">
        <f t="shared" si="155"/>
        <v>223.05555555555557</v>
      </c>
      <c r="P51" s="133">
        <f t="shared" si="155"/>
        <v>226.38888888888889</v>
      </c>
      <c r="Q51" s="133">
        <f t="shared" ref="Q51" si="156">Q27/Q42</f>
        <v>229.50396825396825</v>
      </c>
      <c r="R51" s="118">
        <f>((P51/G51)^(1/($H$2-$H$1) ))-1</f>
        <v>-6.9085003387517774E-2</v>
      </c>
      <c r="S51" s="128"/>
      <c r="T51" s="157">
        <f t="shared" ref="T51:AC51" si="157">T27/T42</f>
        <v>255.76561636263133</v>
      </c>
      <c r="U51" s="157">
        <f t="shared" si="157"/>
        <v>285.03232868273346</v>
      </c>
      <c r="V51" s="157">
        <f t="shared" si="157"/>
        <v>317.64796828324529</v>
      </c>
      <c r="W51" s="157">
        <f t="shared" si="157"/>
        <v>353.99574574849237</v>
      </c>
      <c r="X51" s="157">
        <f t="shared" si="157"/>
        <v>394.50272163016075</v>
      </c>
      <c r="Y51" s="157">
        <f t="shared" si="157"/>
        <v>439.64482410525386</v>
      </c>
      <c r="Z51" s="157">
        <f t="shared" si="157"/>
        <v>489.95244079391483</v>
      </c>
      <c r="AA51" s="157">
        <f t="shared" si="157"/>
        <v>546.01665043699973</v>
      </c>
      <c r="AB51" s="157">
        <f t="shared" si="157"/>
        <v>608.4961676511839</v>
      </c>
      <c r="AC51" s="157">
        <f t="shared" si="157"/>
        <v>678.12508235753842</v>
      </c>
      <c r="AD51" s="137">
        <f t="shared" ref="AD51" si="158">((AC51/G51)^(1/($AC$3-$H$1) ))-1</f>
        <v>1.9243025507924783E-2</v>
      </c>
      <c r="AE51" s="31">
        <f t="shared" si="15"/>
        <v>0.05</v>
      </c>
      <c r="AF51" s="145">
        <f t="shared" si="154"/>
        <v>4188.4196263259737</v>
      </c>
    </row>
    <row r="52" spans="2:32" x14ac:dyDescent="0.2">
      <c r="B52" s="20" t="s">
        <v>427</v>
      </c>
      <c r="C52" s="133"/>
      <c r="D52" s="133"/>
      <c r="E52" s="133"/>
      <c r="F52" s="133"/>
      <c r="G52" s="133">
        <f>G38-G40</f>
        <v>35</v>
      </c>
      <c r="H52" s="133">
        <f t="shared" ref="H52:P52" si="159">H38-H40</f>
        <v>20</v>
      </c>
      <c r="I52" s="133">
        <f t="shared" si="159"/>
        <v>31</v>
      </c>
      <c r="J52" s="133">
        <f t="shared" si="159"/>
        <v>79</v>
      </c>
      <c r="K52" s="133">
        <f t="shared" si="159"/>
        <v>136</v>
      </c>
      <c r="L52" s="133">
        <f t="shared" si="159"/>
        <v>64</v>
      </c>
      <c r="M52" s="133">
        <f t="shared" si="159"/>
        <v>251</v>
      </c>
      <c r="N52" s="133">
        <f t="shared" si="159"/>
        <v>107</v>
      </c>
      <c r="O52" s="133">
        <f t="shared" si="159"/>
        <v>144</v>
      </c>
      <c r="P52" s="133">
        <f t="shared" si="159"/>
        <v>244</v>
      </c>
      <c r="Q52" s="133">
        <f t="shared" ref="Q52" si="160">Q38-Q40</f>
        <v>227</v>
      </c>
      <c r="R52" s="118">
        <f>((P52/G52)^(1/($H$2-$H$1) ))-1</f>
        <v>0.21431728847979081</v>
      </c>
      <c r="S52" s="128"/>
      <c r="T52" s="133">
        <f t="shared" ref="T52:AC52" si="161">T38-T40</f>
        <v>254.24</v>
      </c>
      <c r="U52" s="133">
        <f t="shared" si="161"/>
        <v>284.74880000000007</v>
      </c>
      <c r="V52" s="133">
        <f t="shared" si="161"/>
        <v>318.91865600000006</v>
      </c>
      <c r="W52" s="133">
        <f t="shared" si="161"/>
        <v>357.18889472000001</v>
      </c>
      <c r="X52" s="133">
        <f t="shared" si="161"/>
        <v>400.05156208639983</v>
      </c>
      <c r="Y52" s="133">
        <f t="shared" si="161"/>
        <v>448.05774953676769</v>
      </c>
      <c r="Z52" s="133">
        <f t="shared" si="161"/>
        <v>501.82467948117983</v>
      </c>
      <c r="AA52" s="133">
        <f t="shared" si="161"/>
        <v>562.04364101892133</v>
      </c>
      <c r="AB52" s="133">
        <f t="shared" si="161"/>
        <v>629.48887794119173</v>
      </c>
      <c r="AC52" s="133">
        <f t="shared" si="161"/>
        <v>705.02754329413483</v>
      </c>
      <c r="AD52" s="137">
        <f t="shared" ref="AD52" si="162">((AC52/G52)^(1/($AC$3-$H$1) ))-1</f>
        <v>0.16200207071301431</v>
      </c>
      <c r="AE52" s="31">
        <f t="shared" si="15"/>
        <v>0.05</v>
      </c>
      <c r="AF52" s="145">
        <f t="shared" ref="AF52" si="163">(AC52*(1+AE52))/($C$1-AE52)</f>
        <v>4354.58188505201</v>
      </c>
    </row>
    <row r="53" spans="2:32" x14ac:dyDescent="0.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7"/>
      <c r="U53" s="157"/>
      <c r="V53" s="157"/>
      <c r="W53" s="157"/>
      <c r="X53" s="157"/>
      <c r="Y53" s="157"/>
      <c r="Z53" s="157"/>
      <c r="AA53" s="157"/>
      <c r="AB53" s="157"/>
      <c r="AC53" s="157"/>
      <c r="AD53" s="119"/>
      <c r="AE53" s="136"/>
      <c r="AF53" s="145"/>
    </row>
    <row r="54" spans="2:32" x14ac:dyDescent="0.2">
      <c r="B54" s="20" t="s">
        <v>257</v>
      </c>
      <c r="C54" s="25">
        <f t="shared" ref="C54:P54" si="164">C40/C42</f>
        <v>0</v>
      </c>
      <c r="D54" s="25">
        <f t="shared" si="164"/>
        <v>0</v>
      </c>
      <c r="E54" s="25">
        <f t="shared" si="164"/>
        <v>0</v>
      </c>
      <c r="F54" s="133">
        <f t="shared" si="164"/>
        <v>0</v>
      </c>
      <c r="G54" s="133">
        <f t="shared" si="164"/>
        <v>18.276762402088771</v>
      </c>
      <c r="H54" s="133">
        <f t="shared" si="164"/>
        <v>16.449086161879894</v>
      </c>
      <c r="I54" s="133">
        <f t="shared" si="164"/>
        <v>23.759791122715406</v>
      </c>
      <c r="J54" s="133">
        <f t="shared" si="164"/>
        <v>25.215517241379313</v>
      </c>
      <c r="K54" s="133">
        <f t="shared" si="164"/>
        <v>5.5282555282555279</v>
      </c>
      <c r="L54" s="133">
        <f t="shared" si="164"/>
        <v>2.7579365079365079</v>
      </c>
      <c r="M54" s="133">
        <f t="shared" si="164"/>
        <v>12.956349206349207</v>
      </c>
      <c r="N54" s="133">
        <f t="shared" si="164"/>
        <v>8.75</v>
      </c>
      <c r="O54" s="133">
        <f t="shared" si="164"/>
        <v>8.174603174603174</v>
      </c>
      <c r="P54" s="133">
        <f t="shared" si="164"/>
        <v>12.182539682539684</v>
      </c>
      <c r="Q54" s="133">
        <f t="shared" ref="Q54" si="165">Q40/Q42</f>
        <v>19.94047619047619</v>
      </c>
      <c r="R54" s="118">
        <f>((P54/G54)^(1/($H$2-$H$1) ))-1</f>
        <v>-3.9751014813341978E-2</v>
      </c>
      <c r="S54" s="128"/>
      <c r="T54" s="157">
        <f t="shared" ref="T54:AC54" si="166">T40/T42</f>
        <v>22.222222222222229</v>
      </c>
      <c r="U54" s="157">
        <f t="shared" si="166"/>
        <v>24.765063571033728</v>
      </c>
      <c r="V54" s="157">
        <f t="shared" si="166"/>
        <v>27.598876815480381</v>
      </c>
      <c r="W54" s="157">
        <f t="shared" si="166"/>
        <v>30.75695724710252</v>
      </c>
      <c r="X54" s="157">
        <f t="shared" si="166"/>
        <v>34.27641006642272</v>
      </c>
      <c r="Y54" s="157">
        <f t="shared" si="166"/>
        <v>38.198586342680052</v>
      </c>
      <c r="Z54" s="157">
        <f t="shared" si="166"/>
        <v>42.569568859504152</v>
      </c>
      <c r="AA54" s="157">
        <f t="shared" si="166"/>
        <v>47.440713554870307</v>
      </c>
      <c r="AB54" s="157">
        <f t="shared" si="166"/>
        <v>52.869252916870401</v>
      </c>
      <c r="AC54" s="157">
        <f t="shared" si="166"/>
        <v>58.918968424771009</v>
      </c>
      <c r="AD54" s="137">
        <f t="shared" ref="AD54:AD68" si="167">((AC54/G54)^(1/($AC$3-$H$1) ))-1</f>
        <v>6.0273222754608557E-2</v>
      </c>
      <c r="AE54" s="31">
        <f t="shared" si="15"/>
        <v>0.05</v>
      </c>
      <c r="AF54" s="145">
        <f t="shared" ref="AF54:AF82" si="168">(AC54*(1+AE54))/($C$1-AE54)</f>
        <v>363.91127556476215</v>
      </c>
    </row>
    <row r="55" spans="2:32" x14ac:dyDescent="0.2">
      <c r="B55" s="20" t="s">
        <v>388</v>
      </c>
      <c r="C55" s="133">
        <f t="shared" ref="C55:F55" si="169">C20/C42</f>
        <v>0</v>
      </c>
      <c r="D55" s="133">
        <f t="shared" si="169"/>
        <v>0</v>
      </c>
      <c r="E55" s="133">
        <f t="shared" si="169"/>
        <v>0</v>
      </c>
      <c r="F55" s="133">
        <f t="shared" si="169"/>
        <v>0</v>
      </c>
      <c r="G55" s="133">
        <f>G20/G42</f>
        <v>28.198433420365536</v>
      </c>
      <c r="H55" s="133">
        <f t="shared" ref="H55:P55" si="170">H20/H42</f>
        <v>28.459530026109661</v>
      </c>
      <c r="I55" s="133">
        <f t="shared" si="170"/>
        <v>20.365535248041777</v>
      </c>
      <c r="J55" s="133">
        <f t="shared" si="170"/>
        <v>76.939655172413794</v>
      </c>
      <c r="K55" s="133">
        <f t="shared" si="170"/>
        <v>8.7633087633087623</v>
      </c>
      <c r="L55" s="133">
        <f t="shared" si="170"/>
        <v>6.4484126984126986</v>
      </c>
      <c r="M55" s="133">
        <f t="shared" si="170"/>
        <v>13.928571428571429</v>
      </c>
      <c r="N55" s="133">
        <f t="shared" si="170"/>
        <v>3.0158730158730158</v>
      </c>
      <c r="O55" s="133">
        <f t="shared" si="170"/>
        <v>10.773809523809524</v>
      </c>
      <c r="P55" s="133">
        <f t="shared" si="170"/>
        <v>15.277777777777779</v>
      </c>
      <c r="Q55" s="133">
        <f t="shared" ref="Q55" si="171">Q20/Q42</f>
        <v>22.341269841269842</v>
      </c>
      <c r="R55" s="118">
        <f>((P55/G55)^(1/($H$2-$H$1) ))-1</f>
        <v>-5.9446463499973845E-2</v>
      </c>
      <c r="S55" s="128"/>
      <c r="T55" s="133">
        <f t="shared" ref="T55:AC55" si="172">T20/T42</f>
        <v>25.564637131801312</v>
      </c>
      <c r="U55" s="133">
        <f t="shared" si="172"/>
        <v>29.253067364747768</v>
      </c>
      <c r="V55" s="133">
        <f t="shared" si="172"/>
        <v>33.473659173591976</v>
      </c>
      <c r="W55" s="133">
        <f t="shared" si="172"/>
        <v>38.303192089184854</v>
      </c>
      <c r="X55" s="133">
        <f t="shared" si="172"/>
        <v>43.829523286131923</v>
      </c>
      <c r="Y55" s="133">
        <f t="shared" si="172"/>
        <v>50.153185849802703</v>
      </c>
      <c r="Z55" s="133">
        <f t="shared" si="172"/>
        <v>57.389217639077728</v>
      </c>
      <c r="AA55" s="133">
        <f t="shared" si="172"/>
        <v>65.669254014865061</v>
      </c>
      <c r="AB55" s="133">
        <f t="shared" si="172"/>
        <v>75.143922504571961</v>
      </c>
      <c r="AC55" s="133">
        <f t="shared" si="172"/>
        <v>85.985582965430595</v>
      </c>
      <c r="AD55" s="137">
        <f t="shared" ref="AD55" si="173">((AC55/G55)^(1/($AC$3-$H$1) ))-1</f>
        <v>5.7328729515350396E-2</v>
      </c>
      <c r="AE55" s="31">
        <f t="shared" si="15"/>
        <v>0.05</v>
      </c>
      <c r="AF55" s="145">
        <f t="shared" si="168"/>
        <v>531.08742419824785</v>
      </c>
    </row>
    <row r="56" spans="2:32" x14ac:dyDescent="0.2">
      <c r="B56" s="20" t="s">
        <v>245</v>
      </c>
      <c r="C56" s="25">
        <f t="shared" ref="C56:P56" si="174">C7/C42</f>
        <v>0</v>
      </c>
      <c r="D56" s="25">
        <f t="shared" si="174"/>
        <v>0</v>
      </c>
      <c r="E56" s="25">
        <f t="shared" si="174"/>
        <v>0</v>
      </c>
      <c r="F56" s="133">
        <f t="shared" si="174"/>
        <v>0</v>
      </c>
      <c r="G56" s="133">
        <f t="shared" si="174"/>
        <v>149.34725848563968</v>
      </c>
      <c r="H56" s="133">
        <f t="shared" si="174"/>
        <v>156.91906005221932</v>
      </c>
      <c r="I56" s="133">
        <f t="shared" si="174"/>
        <v>165.53524804177545</v>
      </c>
      <c r="J56" s="133">
        <f t="shared" si="174"/>
        <v>201.50862068965517</v>
      </c>
      <c r="K56" s="133">
        <f t="shared" si="174"/>
        <v>24.201474201474198</v>
      </c>
      <c r="L56" s="133">
        <f t="shared" si="174"/>
        <v>26.765873015873016</v>
      </c>
      <c r="M56" s="133">
        <f t="shared" si="174"/>
        <v>39.027777777777779</v>
      </c>
      <c r="N56" s="133">
        <f t="shared" si="174"/>
        <v>47.857142857142861</v>
      </c>
      <c r="O56" s="133">
        <f t="shared" si="174"/>
        <v>56.19047619047619</v>
      </c>
      <c r="P56" s="133">
        <f t="shared" si="174"/>
        <v>67.460317460317455</v>
      </c>
      <c r="Q56" s="133">
        <f t="shared" ref="Q56" si="175">Q7/Q42</f>
        <v>90.753968253968253</v>
      </c>
      <c r="R56" s="118">
        <f>((P56/G56)^(1/($H$2-$H$1) ))-1</f>
        <v>-7.6397472809189626E-2</v>
      </c>
      <c r="S56" s="128"/>
      <c r="T56" s="157">
        <f t="shared" ref="T56:AC56" si="176">T7/T42</f>
        <v>101.13875069098951</v>
      </c>
      <c r="U56" s="157">
        <f t="shared" si="176"/>
        <v>112.71184156607788</v>
      </c>
      <c r="V56" s="157">
        <f t="shared" si="176"/>
        <v>125.60921647164901</v>
      </c>
      <c r="W56" s="157">
        <f t="shared" si="176"/>
        <v>139.98241039626558</v>
      </c>
      <c r="X56" s="157">
        <f t="shared" si="176"/>
        <v>156.00029815305223</v>
      </c>
      <c r="Y56" s="157">
        <f t="shared" si="176"/>
        <v>173.85107853872492</v>
      </c>
      <c r="Z56" s="157">
        <f t="shared" si="176"/>
        <v>193.74448553569346</v>
      </c>
      <c r="AA56" s="157">
        <f t="shared" si="176"/>
        <v>215.91425253729028</v>
      </c>
      <c r="AB56" s="157">
        <f t="shared" si="176"/>
        <v>240.62085854902008</v>
      </c>
      <c r="AC56" s="157">
        <f t="shared" si="176"/>
        <v>268.15458863174382</v>
      </c>
      <c r="AD56" s="137">
        <f t="shared" si="167"/>
        <v>2.9696884939098611E-2</v>
      </c>
      <c r="AE56" s="31">
        <f t="shared" si="15"/>
        <v>0.05</v>
      </c>
      <c r="AF56" s="145">
        <f t="shared" si="168"/>
        <v>1656.2489297843003</v>
      </c>
    </row>
    <row r="57" spans="2:32" x14ac:dyDescent="0.2">
      <c r="B57" s="20" t="s">
        <v>246</v>
      </c>
      <c r="C57" s="127">
        <f t="shared" ref="C57:P57" si="177">C6/C42</f>
        <v>0</v>
      </c>
      <c r="D57" s="127">
        <f t="shared" si="177"/>
        <v>0</v>
      </c>
      <c r="E57" s="127">
        <f t="shared" si="177"/>
        <v>0</v>
      </c>
      <c r="F57" s="143">
        <f t="shared" si="177"/>
        <v>0</v>
      </c>
      <c r="G57" s="143">
        <f t="shared" si="177"/>
        <v>138.38120104438642</v>
      </c>
      <c r="H57" s="143">
        <f t="shared" si="177"/>
        <v>145.95300261096605</v>
      </c>
      <c r="I57" s="143">
        <f t="shared" si="177"/>
        <v>154.56919060052218</v>
      </c>
      <c r="J57" s="143">
        <f t="shared" si="177"/>
        <v>188.14655172413794</v>
      </c>
      <c r="K57" s="143">
        <f t="shared" si="177"/>
        <v>23.034398034398034</v>
      </c>
      <c r="L57" s="143">
        <f t="shared" si="177"/>
        <v>25.714285714285715</v>
      </c>
      <c r="M57" s="143">
        <f t="shared" si="177"/>
        <v>37.976190476190474</v>
      </c>
      <c r="N57" s="143">
        <f t="shared" si="177"/>
        <v>46.845238095238095</v>
      </c>
      <c r="O57" s="143">
        <f t="shared" si="177"/>
        <v>55.198412698412703</v>
      </c>
      <c r="P57" s="143">
        <f t="shared" si="177"/>
        <v>66.25</v>
      </c>
      <c r="Q57" s="143">
        <f t="shared" ref="Q57" si="178">Q6/Q42</f>
        <v>89.543650793650798</v>
      </c>
      <c r="R57" s="118">
        <f>((P57/G57)^(1/($H$2-$H$1) ))-1</f>
        <v>-7.1010343131540421E-2</v>
      </c>
      <c r="S57" s="128"/>
      <c r="T57" s="156">
        <f t="shared" ref="T57:AC57" si="179">T6/T42</f>
        <v>99.789939192924294</v>
      </c>
      <c r="U57" s="156">
        <f t="shared" si="179"/>
        <v>111.20868845380619</v>
      </c>
      <c r="V57" s="156">
        <f t="shared" si="179"/>
        <v>123.93406076444076</v>
      </c>
      <c r="W57" s="156">
        <f t="shared" si="179"/>
        <v>138.11557020514795</v>
      </c>
      <c r="X57" s="156">
        <f t="shared" si="179"/>
        <v>153.91983943260271</v>
      </c>
      <c r="Y57" s="156">
        <f t="shared" si="179"/>
        <v>171.53255737762694</v>
      </c>
      <c r="Z57" s="156">
        <f t="shared" si="179"/>
        <v>191.16066095815145</v>
      </c>
      <c r="AA57" s="156">
        <f t="shared" si="179"/>
        <v>213.03476644092501</v>
      </c>
      <c r="AB57" s="156">
        <f t="shared" si="179"/>
        <v>237.41187901874235</v>
      </c>
      <c r="AC57" s="156">
        <f t="shared" si="179"/>
        <v>264.5784124387975</v>
      </c>
      <c r="AD57" s="137">
        <f t="shared" si="167"/>
        <v>3.2937074480325013E-2</v>
      </c>
      <c r="AE57" s="31">
        <f t="shared" si="15"/>
        <v>0.05</v>
      </c>
      <c r="AF57" s="145">
        <f t="shared" si="168"/>
        <v>1634.16078271022</v>
      </c>
    </row>
    <row r="58" spans="2:32" x14ac:dyDescent="0.2">
      <c r="B58" s="20" t="s">
        <v>247</v>
      </c>
      <c r="C58" s="127">
        <f t="shared" ref="C58:P58" si="180">C10/C42</f>
        <v>0</v>
      </c>
      <c r="D58" s="127">
        <f t="shared" si="180"/>
        <v>0</v>
      </c>
      <c r="E58" s="127">
        <f t="shared" si="180"/>
        <v>0</v>
      </c>
      <c r="F58" s="143">
        <f t="shared" si="180"/>
        <v>0</v>
      </c>
      <c r="G58" s="143">
        <f t="shared" si="180"/>
        <v>109.92167101827675</v>
      </c>
      <c r="H58" s="143">
        <f t="shared" si="180"/>
        <v>142.03655352480416</v>
      </c>
      <c r="I58" s="143">
        <f t="shared" si="180"/>
        <v>195.822454308094</v>
      </c>
      <c r="J58" s="143">
        <f t="shared" si="180"/>
        <v>177.37068965517241</v>
      </c>
      <c r="K58" s="143">
        <f t="shared" si="180"/>
        <v>13.226863226863227</v>
      </c>
      <c r="L58" s="143">
        <f t="shared" si="180"/>
        <v>17.658730158730158</v>
      </c>
      <c r="M58" s="143">
        <f t="shared" si="180"/>
        <v>33.86904761904762</v>
      </c>
      <c r="N58" s="143">
        <f t="shared" si="180"/>
        <v>49.206349206349209</v>
      </c>
      <c r="O58" s="143">
        <f t="shared" si="180"/>
        <v>50.57539682539683</v>
      </c>
      <c r="P58" s="143">
        <f t="shared" si="180"/>
        <v>45.257936507936506</v>
      </c>
      <c r="Q58" s="143">
        <f t="shared" ref="Q58" si="181">Q10/Q42</f>
        <v>19.603174603174605</v>
      </c>
      <c r="R58" s="118">
        <f>((P58/G58)^(1/($H$2-$H$1) ))-1</f>
        <v>-8.4915619038267942E-2</v>
      </c>
      <c r="S58" s="128"/>
      <c r="T58" s="156">
        <f t="shared" ref="T58:AC58" si="182">T10/T42</f>
        <v>21.846323935876182</v>
      </c>
      <c r="U58" s="156">
        <f t="shared" si="182"/>
        <v>24.346152047941619</v>
      </c>
      <c r="V58" s="156">
        <f t="shared" si="182"/>
        <v>27.132030142979719</v>
      </c>
      <c r="W58" s="156">
        <f t="shared" si="182"/>
        <v>30.236690308594319</v>
      </c>
      <c r="X58" s="156">
        <f t="shared" si="182"/>
        <v>33.696610095149893</v>
      </c>
      <c r="Y58" s="156">
        <f t="shared" si="182"/>
        <v>37.552441101062577</v>
      </c>
      <c r="Z58" s="156">
        <f t="shared" si="182"/>
        <v>41.849486600189152</v>
      </c>
      <c r="AA58" s="156">
        <f t="shared" si="182"/>
        <v>46.638233823096378</v>
      </c>
      <c r="AB58" s="156">
        <f t="shared" si="182"/>
        <v>51.974947146137268</v>
      </c>
      <c r="AC58" s="156">
        <f t="shared" si="182"/>
        <v>57.922329157884327</v>
      </c>
      <c r="AD58" s="137">
        <f t="shared" si="167"/>
        <v>-3.1525623612153719E-2</v>
      </c>
      <c r="AE58" s="31">
        <f t="shared" si="15"/>
        <v>0.05</v>
      </c>
      <c r="AF58" s="145">
        <f t="shared" si="168"/>
        <v>357.7555624457562</v>
      </c>
    </row>
    <row r="59" spans="2:32" x14ac:dyDescent="0.2">
      <c r="B59" s="20"/>
      <c r="C59" s="127"/>
      <c r="D59" s="127"/>
      <c r="E59" s="127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28"/>
      <c r="S59" s="128"/>
      <c r="T59" s="156"/>
      <c r="U59" s="156"/>
      <c r="V59" s="156"/>
      <c r="W59" s="156"/>
      <c r="X59" s="156"/>
      <c r="Y59" s="156"/>
      <c r="Z59" s="156"/>
      <c r="AA59" s="156"/>
      <c r="AB59" s="156"/>
      <c r="AC59" s="156"/>
      <c r="AD59" s="138"/>
      <c r="AE59" s="136"/>
      <c r="AF59" s="145"/>
    </row>
    <row r="60" spans="2:32" x14ac:dyDescent="0.2">
      <c r="B60" s="20" t="s">
        <v>270</v>
      </c>
      <c r="C60" s="127">
        <f t="shared" ref="C60:P60" si="183">(C7-C10)/C42</f>
        <v>0</v>
      </c>
      <c r="D60" s="127">
        <f t="shared" si="183"/>
        <v>0</v>
      </c>
      <c r="E60" s="127">
        <f t="shared" si="183"/>
        <v>0</v>
      </c>
      <c r="F60" s="143">
        <f t="shared" si="183"/>
        <v>0</v>
      </c>
      <c r="G60" s="143">
        <f t="shared" si="183"/>
        <v>39.425587467362924</v>
      </c>
      <c r="H60" s="143">
        <f t="shared" si="183"/>
        <v>14.882506527415144</v>
      </c>
      <c r="I60" s="143">
        <f t="shared" si="183"/>
        <v>-30.287206266318538</v>
      </c>
      <c r="J60" s="143">
        <f t="shared" si="183"/>
        <v>24.137931034482762</v>
      </c>
      <c r="K60" s="143">
        <f t="shared" si="183"/>
        <v>10.974610974610973</v>
      </c>
      <c r="L60" s="143">
        <f t="shared" si="183"/>
        <v>9.1071428571428577</v>
      </c>
      <c r="M60" s="143">
        <f t="shared" si="183"/>
        <v>5.1587301587301591</v>
      </c>
      <c r="N60" s="143">
        <f t="shared" si="183"/>
        <v>-1.3492063492063493</v>
      </c>
      <c r="O60" s="143">
        <f t="shared" si="183"/>
        <v>5.6150793650793656</v>
      </c>
      <c r="P60" s="143">
        <f t="shared" si="183"/>
        <v>22.202380952380953</v>
      </c>
      <c r="Q60" s="143">
        <f t="shared" ref="Q60" si="184">(Q7-Q10)/Q42</f>
        <v>71.150793650793659</v>
      </c>
      <c r="R60" s="118">
        <f>((P60/G60)^(1/($H$2-$H$1) ))-1</f>
        <v>-5.5804040382560816E-2</v>
      </c>
      <c r="S60" s="128"/>
      <c r="T60" s="156">
        <f t="shared" ref="T60:AC60" si="185">(T7-T10)/T42</f>
        <v>79.292426755113325</v>
      </c>
      <c r="U60" s="156">
        <f t="shared" si="185"/>
        <v>88.365689518136264</v>
      </c>
      <c r="V60" s="156">
        <f t="shared" si="185"/>
        <v>98.477186328669276</v>
      </c>
      <c r="W60" s="156">
        <f t="shared" si="185"/>
        <v>109.74572008767126</v>
      </c>
      <c r="X60" s="156">
        <f t="shared" si="185"/>
        <v>122.30368805790233</v>
      </c>
      <c r="Y60" s="156">
        <f t="shared" si="185"/>
        <v>136.29863743766234</v>
      </c>
      <c r="Z60" s="156">
        <f t="shared" si="185"/>
        <v>151.8949989355043</v>
      </c>
      <c r="AA60" s="156">
        <f t="shared" si="185"/>
        <v>169.2760187141939</v>
      </c>
      <c r="AB60" s="156">
        <f t="shared" si="185"/>
        <v>188.6459114028828</v>
      </c>
      <c r="AC60" s="156">
        <f t="shared" si="185"/>
        <v>210.2322594738595</v>
      </c>
      <c r="AD60" s="137">
        <f t="shared" si="167"/>
        <v>8.7291666040191451E-2</v>
      </c>
      <c r="AE60" s="31">
        <f t="shared" si="15"/>
        <v>0.05</v>
      </c>
      <c r="AF60" s="145">
        <f t="shared" si="168"/>
        <v>1298.4933673385442</v>
      </c>
    </row>
    <row r="61" spans="2:32" x14ac:dyDescent="0.2">
      <c r="B61" s="20" t="s">
        <v>271</v>
      </c>
      <c r="C61" s="127">
        <f t="shared" ref="C61:P61" si="186">(C7-C10-C9)/C42</f>
        <v>0</v>
      </c>
      <c r="D61" s="127">
        <f t="shared" si="186"/>
        <v>0</v>
      </c>
      <c r="E61" s="127">
        <f t="shared" si="186"/>
        <v>0</v>
      </c>
      <c r="F61" s="143">
        <f t="shared" si="186"/>
        <v>0</v>
      </c>
      <c r="G61" s="143">
        <f t="shared" si="186"/>
        <v>-57.963446475195823</v>
      </c>
      <c r="H61" s="143">
        <f t="shared" si="186"/>
        <v>-112.53263707571801</v>
      </c>
      <c r="I61" s="143">
        <f t="shared" si="186"/>
        <v>-168.40731070496082</v>
      </c>
      <c r="J61" s="143">
        <f t="shared" si="186"/>
        <v>-189.22413793103451</v>
      </c>
      <c r="K61" s="143">
        <f t="shared" si="186"/>
        <v>-7.2481572481572476</v>
      </c>
      <c r="L61" s="143">
        <f t="shared" si="186"/>
        <v>-6.8055555555555554</v>
      </c>
      <c r="M61" s="143">
        <f t="shared" si="186"/>
        <v>-26.746031746031747</v>
      </c>
      <c r="N61" s="143">
        <f t="shared" si="186"/>
        <v>-41.587301587301589</v>
      </c>
      <c r="O61" s="143">
        <f t="shared" si="186"/>
        <v>-44.146825396825399</v>
      </c>
      <c r="P61" s="143">
        <f t="shared" si="186"/>
        <v>-22.539682539682541</v>
      </c>
      <c r="Q61" s="143">
        <f t="shared" ref="Q61" si="187">(Q7-Q10-Q9)/Q42</f>
        <v>55.57539682539683</v>
      </c>
      <c r="R61" s="118">
        <f>((P61/G61)^(1/($H$2-$H$1) ))-1</f>
        <v>-9.0129971455961022E-2</v>
      </c>
      <c r="S61" s="128"/>
      <c r="T61" s="156">
        <f t="shared" ref="T61:AC61" si="188">(T7-T10-T9)/T42</f>
        <v>61.934770591487016</v>
      </c>
      <c r="U61" s="156">
        <f t="shared" si="188"/>
        <v>69.021833893000462</v>
      </c>
      <c r="V61" s="156">
        <f t="shared" si="188"/>
        <v>76.919854686726893</v>
      </c>
      <c r="W61" s="156">
        <f t="shared" si="188"/>
        <v>85.721629103616038</v>
      </c>
      <c r="X61" s="156">
        <f t="shared" si="188"/>
        <v>95.530571737363189</v>
      </c>
      <c r="Y61" s="156">
        <f t="shared" si="188"/>
        <v>106.46193069238488</v>
      </c>
      <c r="Z61" s="156">
        <f t="shared" si="188"/>
        <v>118.64414166713541</v>
      </c>
      <c r="AA61" s="156">
        <f t="shared" si="188"/>
        <v>132.22033698228029</v>
      </c>
      <c r="AB61" s="156">
        <f t="shared" si="188"/>
        <v>147.35002728373527</v>
      </c>
      <c r="AC61" s="156">
        <f t="shared" si="188"/>
        <v>164.21097567938665</v>
      </c>
      <c r="AD61" s="137" t="e">
        <f t="shared" si="167"/>
        <v>#NUM!</v>
      </c>
      <c r="AE61" s="31">
        <f t="shared" si="15"/>
        <v>0.05</v>
      </c>
      <c r="AF61" s="145">
        <f t="shared" si="168"/>
        <v>1014.244261549153</v>
      </c>
    </row>
    <row r="62" spans="2:32" x14ac:dyDescent="0.2">
      <c r="B62" s="20" t="s">
        <v>276</v>
      </c>
      <c r="C62" s="127">
        <f t="shared" ref="C62:P62" si="189">(C7+C15-C10-C9)/C42</f>
        <v>0</v>
      </c>
      <c r="D62" s="127">
        <f t="shared" si="189"/>
        <v>0</v>
      </c>
      <c r="E62" s="127">
        <f t="shared" si="189"/>
        <v>0</v>
      </c>
      <c r="F62" s="143">
        <f t="shared" si="189"/>
        <v>0</v>
      </c>
      <c r="G62" s="143">
        <f t="shared" si="189"/>
        <v>57.441253263707573</v>
      </c>
      <c r="H62" s="143">
        <f t="shared" si="189"/>
        <v>39.164490861618795</v>
      </c>
      <c r="I62" s="143">
        <f t="shared" si="189"/>
        <v>11.74934725848564</v>
      </c>
      <c r="J62" s="143">
        <f t="shared" si="189"/>
        <v>60.560344827586214</v>
      </c>
      <c r="K62" s="143">
        <f t="shared" si="189"/>
        <v>17.301392301392301</v>
      </c>
      <c r="L62" s="143">
        <f t="shared" si="189"/>
        <v>13.888888888888889</v>
      </c>
      <c r="M62" s="143">
        <f t="shared" si="189"/>
        <v>14.186507936507937</v>
      </c>
      <c r="N62" s="143">
        <f t="shared" si="189"/>
        <v>15.833333333333334</v>
      </c>
      <c r="O62" s="143">
        <f t="shared" si="189"/>
        <v>21.666666666666668</v>
      </c>
      <c r="P62" s="143">
        <f t="shared" si="189"/>
        <v>44.047619047619051</v>
      </c>
      <c r="Q62" s="143">
        <f t="shared" ref="Q62" si="190">(Q7+Q15-Q10-Q9)/Q42</f>
        <v>130.23809523809524</v>
      </c>
      <c r="R62" s="118">
        <f>((P62/G62)^(1/($H$2-$H$1) ))-1</f>
        <v>-2.6199814105013375E-2</v>
      </c>
      <c r="S62" s="128"/>
      <c r="T62" s="156">
        <f t="shared" ref="T62:AC62" si="191">(T7+T15-T10-T9)/T42</f>
        <v>145.14096185737981</v>
      </c>
      <c r="U62" s="156">
        <f t="shared" si="191"/>
        <v>161.74913162215464</v>
      </c>
      <c r="V62" s="156">
        <f t="shared" si="191"/>
        <v>180.25773872319721</v>
      </c>
      <c r="W62" s="156">
        <f t="shared" si="191"/>
        <v>200.88424613928453</v>
      </c>
      <c r="X62" s="156">
        <f t="shared" si="191"/>
        <v>223.87100067263549</v>
      </c>
      <c r="Y62" s="156">
        <f t="shared" si="191"/>
        <v>249.48808035159382</v>
      </c>
      <c r="Z62" s="156">
        <f t="shared" si="191"/>
        <v>278.03646765550758</v>
      </c>
      <c r="AA62" s="156">
        <f t="shared" si="191"/>
        <v>309.85158584494394</v>
      </c>
      <c r="AB62" s="156">
        <f t="shared" si="191"/>
        <v>345.30723994660423</v>
      </c>
      <c r="AC62" s="156">
        <f t="shared" si="191"/>
        <v>384.82000869671327</v>
      </c>
      <c r="AD62" s="137">
        <f t="shared" si="167"/>
        <v>9.9769539816673358E-2</v>
      </c>
      <c r="AE62" s="31">
        <f t="shared" si="15"/>
        <v>0.05</v>
      </c>
      <c r="AF62" s="145">
        <f t="shared" si="168"/>
        <v>2376.8294654796996</v>
      </c>
    </row>
    <row r="63" spans="2:32" x14ac:dyDescent="0.2">
      <c r="B63" s="20"/>
      <c r="C63" s="127"/>
      <c r="D63" s="127"/>
      <c r="E63" s="127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28"/>
      <c r="S63" s="128"/>
      <c r="T63" s="153"/>
      <c r="U63" s="153"/>
      <c r="V63" s="153"/>
      <c r="W63" s="153"/>
      <c r="X63" s="153"/>
      <c r="Y63" s="153"/>
      <c r="Z63" s="153"/>
      <c r="AA63" s="153"/>
      <c r="AB63" s="153"/>
      <c r="AC63" s="153"/>
      <c r="AD63" s="138"/>
      <c r="AE63" s="136"/>
      <c r="AF63" s="153"/>
    </row>
    <row r="64" spans="2:32" x14ac:dyDescent="0.2">
      <c r="B64" s="20" t="s">
        <v>248</v>
      </c>
      <c r="C64" s="127">
        <f t="shared" ref="C64:P64" si="192">C12/C42</f>
        <v>0</v>
      </c>
      <c r="D64" s="127">
        <f t="shared" si="192"/>
        <v>0</v>
      </c>
      <c r="E64" s="127">
        <f t="shared" si="192"/>
        <v>0</v>
      </c>
      <c r="F64" s="143">
        <f t="shared" si="192"/>
        <v>0</v>
      </c>
      <c r="G64" s="143">
        <f t="shared" si="192"/>
        <v>28.720626631853786</v>
      </c>
      <c r="H64" s="143">
        <f t="shared" si="192"/>
        <v>31.592689295039165</v>
      </c>
      <c r="I64" s="143">
        <f t="shared" si="192"/>
        <v>60.313315926892948</v>
      </c>
      <c r="J64" s="143">
        <f t="shared" si="192"/>
        <v>41.594827586206897</v>
      </c>
      <c r="K64" s="143">
        <f t="shared" si="192"/>
        <v>5.8353808353808354</v>
      </c>
      <c r="L64" s="143">
        <f t="shared" si="192"/>
        <v>7.162698412698413</v>
      </c>
      <c r="M64" s="143">
        <f t="shared" si="192"/>
        <v>6.9047619047619051</v>
      </c>
      <c r="N64" s="143">
        <f t="shared" si="192"/>
        <v>3.78968253968254</v>
      </c>
      <c r="O64" s="143">
        <f t="shared" si="192"/>
        <v>3.4325396825396828</v>
      </c>
      <c r="P64" s="143">
        <f t="shared" si="192"/>
        <v>6.6468253968253972</v>
      </c>
      <c r="Q64" s="143">
        <f t="shared" ref="Q64" si="193">Q12/Q42</f>
        <v>12.976190476190476</v>
      </c>
      <c r="R64" s="118">
        <f>((P64/G64)^(1/($H$2-$H$1) ))-1</f>
        <v>-0.13614264361546391</v>
      </c>
      <c r="S64" s="128"/>
      <c r="T64" s="156">
        <f t="shared" ref="T64:AC64" si="194">T12/T42</f>
        <v>14.461028192371478</v>
      </c>
      <c r="U64" s="156">
        <f t="shared" si="194"/>
        <v>16.115772711896575</v>
      </c>
      <c r="V64" s="156">
        <f t="shared" si="194"/>
        <v>17.959866106790216</v>
      </c>
      <c r="W64" s="156">
        <f t="shared" si="194"/>
        <v>20.014975163786115</v>
      </c>
      <c r="X64" s="156">
        <f t="shared" si="194"/>
        <v>22.305245953672095</v>
      </c>
      <c r="Y64" s="156">
        <f t="shared" si="194"/>
        <v>24.857587530460449</v>
      </c>
      <c r="Z64" s="156">
        <f t="shared" si="194"/>
        <v>27.701988093647472</v>
      </c>
      <c r="AA64" s="156">
        <f t="shared" si="194"/>
        <v>30.871867328243955</v>
      </c>
      <c r="AB64" s="156">
        <f t="shared" si="194"/>
        <v>34.404469062321624</v>
      </c>
      <c r="AC64" s="156">
        <f t="shared" si="194"/>
        <v>38.341298855522616</v>
      </c>
      <c r="AD64" s="137">
        <f t="shared" si="167"/>
        <v>1.4550444530746276E-2</v>
      </c>
      <c r="AE64" s="31">
        <f t="shared" si="15"/>
        <v>0.05</v>
      </c>
      <c r="AF64" s="145">
        <f t="shared" si="168"/>
        <v>236.81390469587498</v>
      </c>
    </row>
    <row r="65" spans="2:32" x14ac:dyDescent="0.2">
      <c r="B65" s="20" t="s">
        <v>255</v>
      </c>
      <c r="C65" s="127">
        <f t="shared" ref="C65:P65" si="195">C13/C42</f>
        <v>0</v>
      </c>
      <c r="D65" s="127">
        <f t="shared" si="195"/>
        <v>0</v>
      </c>
      <c r="E65" s="127">
        <f t="shared" si="195"/>
        <v>0</v>
      </c>
      <c r="F65" s="143">
        <f t="shared" si="195"/>
        <v>0</v>
      </c>
      <c r="G65" s="143">
        <f t="shared" si="195"/>
        <v>16.710182767624019</v>
      </c>
      <c r="H65" s="143">
        <f t="shared" si="195"/>
        <v>0.78328981723237601</v>
      </c>
      <c r="I65" s="143">
        <f t="shared" si="195"/>
        <v>0.10443864229765014</v>
      </c>
      <c r="J65" s="143">
        <f t="shared" si="195"/>
        <v>1.0775862068965518</v>
      </c>
      <c r="K65" s="143">
        <f t="shared" si="195"/>
        <v>0.10237510237510236</v>
      </c>
      <c r="L65" s="143">
        <f t="shared" si="195"/>
        <v>9.9206349206349215E-2</v>
      </c>
      <c r="M65" s="143">
        <f t="shared" si="195"/>
        <v>0.11904761904761905</v>
      </c>
      <c r="N65" s="143">
        <f t="shared" si="195"/>
        <v>0.21825396825396826</v>
      </c>
      <c r="O65" s="143">
        <f t="shared" si="195"/>
        <v>0.31746031746031744</v>
      </c>
      <c r="P65" s="143">
        <f t="shared" si="195"/>
        <v>1.0912698412698414</v>
      </c>
      <c r="Q65" s="143">
        <f t="shared" ref="Q65" si="196">Q13/Q42</f>
        <v>1.2698412698412698</v>
      </c>
      <c r="R65" s="118">
        <f>((P65/G65)^(1/($H$2-$H$1) ))-1</f>
        <v>-0.23880645756793928</v>
      </c>
      <c r="S65" s="128"/>
      <c r="T65" s="156">
        <f t="shared" ref="T65:AC65" si="197">T13/T42</f>
        <v>1.4151464897733557</v>
      </c>
      <c r="U65" s="156">
        <f t="shared" si="197"/>
        <v>1.577078675170307</v>
      </c>
      <c r="V65" s="156">
        <f t="shared" si="197"/>
        <v>1.7575404141201436</v>
      </c>
      <c r="W65" s="156">
        <f t="shared" si="197"/>
        <v>1.9586520037955832</v>
      </c>
      <c r="X65" s="156">
        <f t="shared" si="197"/>
        <v>2.1827763624388594</v>
      </c>
      <c r="Y65" s="156">
        <f t="shared" si="197"/>
        <v>2.432546791971665</v>
      </c>
      <c r="Z65" s="156">
        <f t="shared" si="197"/>
        <v>2.7108979174211596</v>
      </c>
      <c r="AA65" s="156">
        <f t="shared" si="197"/>
        <v>3.0211001666783073</v>
      </c>
      <c r="AB65" s="156">
        <f t="shared" si="197"/>
        <v>3.3667981957011994</v>
      </c>
      <c r="AC65" s="156">
        <f t="shared" si="197"/>
        <v>3.752053710632183</v>
      </c>
      <c r="AD65" s="137">
        <f t="shared" si="167"/>
        <v>-7.1964921401324156E-2</v>
      </c>
      <c r="AE65" s="31">
        <f t="shared" si="15"/>
        <v>0.05</v>
      </c>
      <c r="AF65" s="145">
        <f t="shared" si="168"/>
        <v>23.174449389198781</v>
      </c>
    </row>
    <row r="66" spans="2:32" x14ac:dyDescent="0.2">
      <c r="B66" s="20" t="s">
        <v>256</v>
      </c>
      <c r="C66" s="127">
        <f>(C64+C65)</f>
        <v>0</v>
      </c>
      <c r="D66" s="127">
        <f t="shared" ref="D66:P66" si="198">(D64+D65)</f>
        <v>0</v>
      </c>
      <c r="E66" s="127">
        <f t="shared" si="198"/>
        <v>0</v>
      </c>
      <c r="F66" s="143">
        <f t="shared" si="198"/>
        <v>0</v>
      </c>
      <c r="G66" s="143">
        <f t="shared" si="198"/>
        <v>45.430809399477809</v>
      </c>
      <c r="H66" s="143">
        <f t="shared" si="198"/>
        <v>32.375979112271544</v>
      </c>
      <c r="I66" s="143">
        <f t="shared" si="198"/>
        <v>60.417754569190599</v>
      </c>
      <c r="J66" s="143">
        <f t="shared" si="198"/>
        <v>42.672413793103452</v>
      </c>
      <c r="K66" s="143">
        <f t="shared" si="198"/>
        <v>5.9377559377559379</v>
      </c>
      <c r="L66" s="143">
        <f t="shared" si="198"/>
        <v>7.2619047619047619</v>
      </c>
      <c r="M66" s="143">
        <f t="shared" si="198"/>
        <v>7.0238095238095237</v>
      </c>
      <c r="N66" s="143">
        <f t="shared" si="198"/>
        <v>4.0079365079365079</v>
      </c>
      <c r="O66" s="143">
        <f t="shared" ref="O66" si="199">(O64+O65)</f>
        <v>3.75</v>
      </c>
      <c r="P66" s="143">
        <f t="shared" si="198"/>
        <v>7.738095238095239</v>
      </c>
      <c r="Q66" s="143">
        <f t="shared" ref="Q66" si="200">(Q64+Q65)</f>
        <v>14.246031746031747</v>
      </c>
      <c r="R66" s="118">
        <f>((P66/G66)^(1/($H$2-$H$1) ))-1</f>
        <v>-0.16222314200219423</v>
      </c>
      <c r="S66" s="128"/>
      <c r="T66" s="156">
        <f t="shared" ref="T66:AC66" si="201">(T64+T65)</f>
        <v>15.876174682144834</v>
      </c>
      <c r="U66" s="156">
        <f t="shared" si="201"/>
        <v>17.692851387066881</v>
      </c>
      <c r="V66" s="156">
        <f t="shared" si="201"/>
        <v>19.717406520910359</v>
      </c>
      <c r="W66" s="156">
        <f t="shared" si="201"/>
        <v>21.973627167581697</v>
      </c>
      <c r="X66" s="156">
        <f t="shared" si="201"/>
        <v>24.488022316110953</v>
      </c>
      <c r="Y66" s="156">
        <f t="shared" si="201"/>
        <v>27.290134322432113</v>
      </c>
      <c r="Z66" s="156">
        <f t="shared" si="201"/>
        <v>30.412886011068633</v>
      </c>
      <c r="AA66" s="156">
        <f t="shared" si="201"/>
        <v>33.89296749492226</v>
      </c>
      <c r="AB66" s="156">
        <f t="shared" si="201"/>
        <v>37.771267258022824</v>
      </c>
      <c r="AC66" s="156">
        <f t="shared" si="201"/>
        <v>42.093352566154799</v>
      </c>
      <c r="AD66" s="137">
        <f t="shared" si="167"/>
        <v>-3.8077652108788884E-3</v>
      </c>
      <c r="AE66" s="31">
        <f t="shared" si="15"/>
        <v>0.05</v>
      </c>
      <c r="AF66" s="145">
        <f t="shared" si="168"/>
        <v>259.98835408507381</v>
      </c>
    </row>
    <row r="67" spans="2:32" x14ac:dyDescent="0.2">
      <c r="B67" s="20" t="s">
        <v>249</v>
      </c>
      <c r="C67" s="127">
        <f t="shared" ref="C67:P67" si="202">C15/C42</f>
        <v>0</v>
      </c>
      <c r="D67" s="127">
        <f t="shared" si="202"/>
        <v>0</v>
      </c>
      <c r="E67" s="127">
        <f t="shared" si="202"/>
        <v>0</v>
      </c>
      <c r="F67" s="143">
        <f t="shared" si="202"/>
        <v>0</v>
      </c>
      <c r="G67" s="143">
        <f t="shared" si="202"/>
        <v>115.40469973890339</v>
      </c>
      <c r="H67" s="143">
        <f t="shared" si="202"/>
        <v>151.6971279373368</v>
      </c>
      <c r="I67" s="143">
        <f t="shared" si="202"/>
        <v>180.15665796344646</v>
      </c>
      <c r="J67" s="143">
        <f t="shared" si="202"/>
        <v>249.7844827586207</v>
      </c>
      <c r="K67" s="143">
        <f t="shared" si="202"/>
        <v>24.549549549549546</v>
      </c>
      <c r="L67" s="143">
        <f t="shared" si="202"/>
        <v>20.694444444444446</v>
      </c>
      <c r="M67" s="143">
        <f t="shared" si="202"/>
        <v>40.932539682539684</v>
      </c>
      <c r="N67" s="143">
        <f t="shared" si="202"/>
        <v>57.420634920634924</v>
      </c>
      <c r="O67" s="143">
        <f t="shared" si="202"/>
        <v>65.813492063492063</v>
      </c>
      <c r="P67" s="143">
        <f t="shared" si="202"/>
        <v>66.587301587301596</v>
      </c>
      <c r="Q67" s="143">
        <f t="shared" ref="Q67" si="203">Q15/Q42</f>
        <v>74.662698412698418</v>
      </c>
      <c r="R67" s="118">
        <f>((P67/G67)^(1/($H$2-$H$1) ))-1</f>
        <v>-5.3508338916737563E-2</v>
      </c>
      <c r="S67" s="128"/>
      <c r="T67" s="156">
        <f t="shared" ref="T67:AC67" si="204">T15/T42</f>
        <v>83.20619126589277</v>
      </c>
      <c r="U67" s="156">
        <f t="shared" si="204"/>
        <v>92.727297729154159</v>
      </c>
      <c r="V67" s="156">
        <f t="shared" si="204"/>
        <v>103.33788403647031</v>
      </c>
      <c r="W67" s="156">
        <f t="shared" si="204"/>
        <v>115.16261703566843</v>
      </c>
      <c r="X67" s="156">
        <f t="shared" si="204"/>
        <v>128.34042893527231</v>
      </c>
      <c r="Y67" s="156">
        <f t="shared" si="204"/>
        <v>143.02614965920895</v>
      </c>
      <c r="Z67" s="156">
        <f t="shared" si="204"/>
        <v>159.39232598837222</v>
      </c>
      <c r="AA67" s="156">
        <f t="shared" si="204"/>
        <v>177.6312488626636</v>
      </c>
      <c r="AB67" s="156">
        <f t="shared" si="204"/>
        <v>197.95721266286893</v>
      </c>
      <c r="AC67" s="156">
        <f t="shared" si="204"/>
        <v>220.6090330173266</v>
      </c>
      <c r="AD67" s="137">
        <f t="shared" si="167"/>
        <v>3.2927856344902695E-2</v>
      </c>
      <c r="AE67" s="31">
        <f t="shared" si="15"/>
        <v>0.05</v>
      </c>
      <c r="AF67" s="145">
        <f t="shared" si="168"/>
        <v>1362.5852039305466</v>
      </c>
    </row>
    <row r="68" spans="2:32" x14ac:dyDescent="0.2">
      <c r="B68" s="20" t="s">
        <v>250</v>
      </c>
      <c r="C68" s="127">
        <f t="shared" ref="C68:P68" si="205">C16/C42</f>
        <v>0</v>
      </c>
      <c r="D68" s="127">
        <f t="shared" si="205"/>
        <v>0</v>
      </c>
      <c r="E68" s="127">
        <f t="shared" si="205"/>
        <v>0</v>
      </c>
      <c r="F68" s="143">
        <f t="shared" si="205"/>
        <v>0</v>
      </c>
      <c r="G68" s="143">
        <f t="shared" si="205"/>
        <v>55.613577023498692</v>
      </c>
      <c r="H68" s="143">
        <f t="shared" si="205"/>
        <v>62.663185378590079</v>
      </c>
      <c r="I68" s="143">
        <f t="shared" si="205"/>
        <v>121.40992167101828</v>
      </c>
      <c r="J68" s="143">
        <f t="shared" si="205"/>
        <v>81.896551724137936</v>
      </c>
      <c r="K68" s="143">
        <f t="shared" si="205"/>
        <v>10.278460278460278</v>
      </c>
      <c r="L68" s="143">
        <f t="shared" si="205"/>
        <v>10.476190476190476</v>
      </c>
      <c r="M68" s="143">
        <f t="shared" si="205"/>
        <v>11.369047619047619</v>
      </c>
      <c r="N68" s="143">
        <f t="shared" si="205"/>
        <v>17.063492063492063</v>
      </c>
      <c r="O68" s="143">
        <f t="shared" si="205"/>
        <v>17.460317460317462</v>
      </c>
      <c r="P68" s="143">
        <f t="shared" si="205"/>
        <v>19.742063492063494</v>
      </c>
      <c r="Q68" s="143">
        <f t="shared" ref="Q68" si="206">Q16/Q42</f>
        <v>17.043650793650794</v>
      </c>
      <c r="R68" s="118">
        <f>((P68/G68)^(1/($H$2-$H$1) ))-1</f>
        <v>-9.8384910504079603E-2</v>
      </c>
      <c r="S68" s="128"/>
      <c r="T68" s="156">
        <f t="shared" ref="T68:AC68" si="207">T16/T42</f>
        <v>18.993919292426757</v>
      </c>
      <c r="U68" s="156">
        <f t="shared" si="207"/>
        <v>21.167352843301462</v>
      </c>
      <c r="V68" s="156">
        <f t="shared" si="207"/>
        <v>23.5894877457688</v>
      </c>
      <c r="W68" s="156">
        <f t="shared" si="207"/>
        <v>26.28878236344384</v>
      </c>
      <c r="X68" s="156">
        <f t="shared" si="207"/>
        <v>29.296951489609064</v>
      </c>
      <c r="Y68" s="156">
        <f t="shared" si="207"/>
        <v>32.649338973494686</v>
      </c>
      <c r="Z68" s="156">
        <f t="shared" si="207"/>
        <v>36.385332985387123</v>
      </c>
      <c r="AA68" s="156">
        <f t="shared" si="207"/>
        <v>40.548828799635409</v>
      </c>
      <c r="AB68" s="156">
        <f t="shared" si="207"/>
        <v>45.188744532927032</v>
      </c>
      <c r="AC68" s="156">
        <f t="shared" si="207"/>
        <v>50.35959589739133</v>
      </c>
      <c r="AD68" s="137">
        <f t="shared" si="167"/>
        <v>-4.9496189482159947E-3</v>
      </c>
      <c r="AE68" s="136"/>
      <c r="AF68" s="145">
        <f t="shared" si="168"/>
        <v>228.90725407905151</v>
      </c>
    </row>
    <row r="69" spans="2:32" x14ac:dyDescent="0.2">
      <c r="B69" s="20"/>
      <c r="C69" s="127"/>
      <c r="D69" s="127"/>
      <c r="E69" s="127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28"/>
      <c r="S69" s="128"/>
      <c r="T69" s="153"/>
      <c r="U69" s="153"/>
      <c r="V69" s="153"/>
      <c r="W69" s="153"/>
      <c r="X69" s="153"/>
      <c r="Y69" s="153"/>
      <c r="Z69" s="153"/>
      <c r="AA69" s="153"/>
      <c r="AB69" s="153"/>
      <c r="AC69" s="153"/>
      <c r="AD69" s="138"/>
      <c r="AE69" s="31">
        <f t="shared" si="15"/>
        <v>0.05</v>
      </c>
      <c r="AF69" s="145">
        <f t="shared" si="168"/>
        <v>0</v>
      </c>
    </row>
    <row r="70" spans="2:32" x14ac:dyDescent="0.2">
      <c r="B70" s="20" t="s">
        <v>282</v>
      </c>
      <c r="C70" s="158">
        <f>C44</f>
        <v>0</v>
      </c>
      <c r="D70" s="158">
        <f t="shared" ref="D70:P70" si="208">D44</f>
        <v>0</v>
      </c>
      <c r="E70" s="158">
        <f t="shared" si="208"/>
        <v>0</v>
      </c>
      <c r="F70" s="158">
        <f t="shared" si="208"/>
        <v>0</v>
      </c>
      <c r="G70" s="158">
        <f t="shared" si="208"/>
        <v>4.5</v>
      </c>
      <c r="H70" s="158">
        <f t="shared" si="208"/>
        <v>4.5</v>
      </c>
      <c r="I70" s="158">
        <f t="shared" si="208"/>
        <v>4.5</v>
      </c>
      <c r="J70" s="158">
        <f t="shared" si="208"/>
        <v>4.5</v>
      </c>
      <c r="K70" s="158">
        <f t="shared" si="208"/>
        <v>0.5</v>
      </c>
      <c r="L70" s="158">
        <f t="shared" si="208"/>
        <v>0.45</v>
      </c>
      <c r="M70" s="158">
        <f t="shared" si="208"/>
        <v>0.75</v>
      </c>
      <c r="N70" s="158">
        <f t="shared" si="208"/>
        <v>0.5</v>
      </c>
      <c r="O70" s="158">
        <f t="shared" si="208"/>
        <v>0.5</v>
      </c>
      <c r="P70" s="158">
        <f t="shared" si="208"/>
        <v>0.5</v>
      </c>
      <c r="Q70" s="158">
        <f t="shared" ref="Q70" si="209">Q44</f>
        <v>0.75</v>
      </c>
      <c r="R70" s="118">
        <f>((P70/G70)^(1/($H$2-$H$1) ))-1</f>
        <v>-0.1972584382397693</v>
      </c>
      <c r="S70" s="128"/>
      <c r="T70" s="158">
        <f t="shared" ref="T70:AC70" si="210">T44</f>
        <v>0.81</v>
      </c>
      <c r="U70" s="158">
        <f t="shared" si="210"/>
        <v>0.87480000000000013</v>
      </c>
      <c r="V70" s="158">
        <f t="shared" si="210"/>
        <v>0.94478400000000018</v>
      </c>
      <c r="W70" s="158">
        <f t="shared" si="210"/>
        <v>1.0203667200000002</v>
      </c>
      <c r="X70" s="158">
        <f t="shared" si="210"/>
        <v>1.1019960576000003</v>
      </c>
      <c r="Y70" s="158">
        <f t="shared" si="210"/>
        <v>1.1901557422080005</v>
      </c>
      <c r="Z70" s="158">
        <f t="shared" si="210"/>
        <v>1.2853682015846406</v>
      </c>
      <c r="AA70" s="158">
        <f t="shared" si="210"/>
        <v>1.3881976577114119</v>
      </c>
      <c r="AB70" s="158">
        <f t="shared" si="210"/>
        <v>1.4992534703283249</v>
      </c>
      <c r="AC70" s="158">
        <f t="shared" si="210"/>
        <v>1.619193747954591</v>
      </c>
      <c r="AD70" s="137">
        <f t="shared" ref="AD70" si="211">((AC70/G70)^(1/($AC$3-$H$1) ))-1</f>
        <v>-4.98234341743784E-2</v>
      </c>
      <c r="AE70" s="31">
        <f t="shared" si="15"/>
        <v>0.05</v>
      </c>
      <c r="AF70" s="145">
        <f t="shared" si="168"/>
        <v>10.000902560896005</v>
      </c>
    </row>
    <row r="71" spans="2:32" x14ac:dyDescent="0.2">
      <c r="B71" s="20"/>
      <c r="C71" s="127"/>
      <c r="D71" s="127"/>
      <c r="E71" s="127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28"/>
      <c r="S71" s="128"/>
      <c r="T71" s="153"/>
      <c r="U71" s="153"/>
      <c r="V71" s="153"/>
      <c r="W71" s="153"/>
      <c r="X71" s="153"/>
      <c r="Y71" s="153"/>
      <c r="Z71" s="153"/>
      <c r="AA71" s="153"/>
      <c r="AB71" s="153"/>
      <c r="AC71" s="153"/>
      <c r="AD71" s="138"/>
      <c r="AE71" s="136"/>
      <c r="AF71" s="153"/>
    </row>
    <row r="72" spans="2:32" x14ac:dyDescent="0.2">
      <c r="B72" s="20" t="s">
        <v>317</v>
      </c>
      <c r="C72" s="127">
        <f t="shared" ref="C72:P72" si="212">C20+C21</f>
        <v>0</v>
      </c>
      <c r="D72" s="127">
        <f t="shared" si="212"/>
        <v>0</v>
      </c>
      <c r="E72" s="127">
        <f t="shared" si="212"/>
        <v>0</v>
      </c>
      <c r="F72" s="143">
        <f t="shared" si="212"/>
        <v>0</v>
      </c>
      <c r="G72" s="143">
        <f t="shared" si="212"/>
        <v>-197</v>
      </c>
      <c r="H72" s="143">
        <f t="shared" si="212"/>
        <v>-54</v>
      </c>
      <c r="I72" s="143">
        <f t="shared" si="212"/>
        <v>-13</v>
      </c>
      <c r="J72" s="143">
        <f t="shared" si="212"/>
        <v>-43</v>
      </c>
      <c r="K72" s="143">
        <f t="shared" si="212"/>
        <v>259</v>
      </c>
      <c r="L72" s="143">
        <f t="shared" si="212"/>
        <v>-157</v>
      </c>
      <c r="M72" s="143">
        <f t="shared" si="212"/>
        <v>-351</v>
      </c>
      <c r="N72" s="143">
        <f t="shared" si="212"/>
        <v>-702</v>
      </c>
      <c r="O72" s="143">
        <f t="shared" si="212"/>
        <v>-4</v>
      </c>
      <c r="P72" s="143">
        <f t="shared" si="212"/>
        <v>363</v>
      </c>
      <c r="Q72" s="143">
        <f t="shared" ref="Q72" si="213">Q20+Q21</f>
        <v>924</v>
      </c>
      <c r="R72" s="118" t="e">
        <f>((P72/G72)^(1/($H$2-$H$1) ))-1</f>
        <v>#NUM!</v>
      </c>
      <c r="S72" s="128"/>
      <c r="T72" s="143">
        <f t="shared" ref="T72:AC72" si="214">T20+T21</f>
        <v>1082.7999999999997</v>
      </c>
      <c r="U72" s="143">
        <f t="shared" si="214"/>
        <v>1266.4299999999998</v>
      </c>
      <c r="V72" s="143">
        <f t="shared" si="214"/>
        <v>1478.6649999999997</v>
      </c>
      <c r="W72" s="143">
        <f t="shared" si="214"/>
        <v>1723.8487749999995</v>
      </c>
      <c r="X72" s="143">
        <f t="shared" si="214"/>
        <v>2006.9793174999993</v>
      </c>
      <c r="Y72" s="143">
        <f t="shared" si="214"/>
        <v>2333.8071026874991</v>
      </c>
      <c r="Z72" s="143">
        <f t="shared" si="214"/>
        <v>2710.9481000312489</v>
      </c>
      <c r="AA72" s="143">
        <f t="shared" si="214"/>
        <v>3146.0137435735924</v>
      </c>
      <c r="AB72" s="143">
        <f t="shared" si="214"/>
        <v>3647.7604050741697</v>
      </c>
      <c r="AC72" s="143">
        <f t="shared" si="214"/>
        <v>4226.2612957980609</v>
      </c>
      <c r="AD72" s="137" t="e">
        <f t="shared" ref="AD72:AD77" si="215">((AC72/G72)^(1/($AC$3-$H$1) ))-1</f>
        <v>#NUM!</v>
      </c>
      <c r="AE72" s="31">
        <f t="shared" si="15"/>
        <v>0.05</v>
      </c>
      <c r="AF72" s="145">
        <f t="shared" si="168"/>
        <v>26103.378591693909</v>
      </c>
    </row>
    <row r="73" spans="2:32" x14ac:dyDescent="0.2">
      <c r="B73" s="20"/>
      <c r="C73" s="127"/>
      <c r="D73" s="127"/>
      <c r="E73" s="127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28"/>
      <c r="S73" s="128"/>
      <c r="T73" s="145"/>
      <c r="U73" s="145"/>
      <c r="V73" s="145"/>
      <c r="W73" s="145"/>
      <c r="X73" s="145"/>
      <c r="Y73" s="145"/>
      <c r="Z73" s="145"/>
      <c r="AA73" s="145"/>
      <c r="AB73" s="145"/>
      <c r="AC73" s="145"/>
      <c r="AD73" s="138"/>
      <c r="AE73" s="136"/>
      <c r="AF73" s="145"/>
    </row>
    <row r="74" spans="2:32" x14ac:dyDescent="0.2">
      <c r="B74" s="20" t="s">
        <v>318</v>
      </c>
      <c r="C74" s="127">
        <f t="shared" ref="C74:P74" si="216">C72/C42</f>
        <v>0</v>
      </c>
      <c r="D74" s="127">
        <f t="shared" si="216"/>
        <v>0</v>
      </c>
      <c r="E74" s="127">
        <f t="shared" si="216"/>
        <v>0</v>
      </c>
      <c r="F74" s="143">
        <f t="shared" si="216"/>
        <v>0</v>
      </c>
      <c r="G74" s="143">
        <f t="shared" si="216"/>
        <v>-51.436031331592687</v>
      </c>
      <c r="H74" s="143">
        <f t="shared" si="216"/>
        <v>-14.099216710182768</v>
      </c>
      <c r="I74" s="143">
        <f t="shared" si="216"/>
        <v>-3.3942558746736293</v>
      </c>
      <c r="J74" s="143">
        <f t="shared" si="216"/>
        <v>-9.2672413793103452</v>
      </c>
      <c r="K74" s="143">
        <f t="shared" si="216"/>
        <v>5.3030303030303028</v>
      </c>
      <c r="L74" s="143">
        <f t="shared" si="216"/>
        <v>-3.1150793650793651</v>
      </c>
      <c r="M74" s="143">
        <f t="shared" si="216"/>
        <v>-6.9642857142857144</v>
      </c>
      <c r="N74" s="143">
        <f t="shared" si="216"/>
        <v>-13.928571428571429</v>
      </c>
      <c r="O74" s="143">
        <f t="shared" si="216"/>
        <v>-7.9365079365079361E-2</v>
      </c>
      <c r="P74" s="143">
        <f t="shared" si="216"/>
        <v>7.2023809523809526</v>
      </c>
      <c r="Q74" s="143">
        <f t="shared" ref="Q74" si="217">Q72/Q42</f>
        <v>18.333333333333332</v>
      </c>
      <c r="R74" s="118" t="e">
        <f>((P74/G74)^(1/($H$2-$H$1) ))-1</f>
        <v>#NUM!</v>
      </c>
      <c r="S74" s="128"/>
      <c r="T74" s="145">
        <f t="shared" ref="T74:AC74" si="218">T72/T42</f>
        <v>21.377240780225851</v>
      </c>
      <c r="U74" s="145">
        <f t="shared" si="218"/>
        <v>24.878175654146546</v>
      </c>
      <c r="V74" s="145">
        <f t="shared" si="218"/>
        <v>28.902876789381743</v>
      </c>
      <c r="W74" s="145">
        <f t="shared" si="218"/>
        <v>33.527747807174158</v>
      </c>
      <c r="X74" s="145">
        <f t="shared" si="218"/>
        <v>38.840253140747613</v>
      </c>
      <c r="Y74" s="145">
        <f t="shared" si="218"/>
        <v>44.940515548654915</v>
      </c>
      <c r="Z74" s="145">
        <f t="shared" si="218"/>
        <v>51.943144190117351</v>
      </c>
      <c r="AA74" s="145">
        <f t="shared" si="218"/>
        <v>59.979326530876612</v>
      </c>
      <c r="AB74" s="145">
        <f t="shared" si="218"/>
        <v>69.199222148166115</v>
      </c>
      <c r="AC74" s="145">
        <f t="shared" si="218"/>
        <v>79.774701996051363</v>
      </c>
      <c r="AD74" s="137" t="e">
        <f t="shared" si="215"/>
        <v>#NUM!</v>
      </c>
      <c r="AE74" s="31">
        <f t="shared" si="15"/>
        <v>0.05</v>
      </c>
      <c r="AF74" s="145">
        <f t="shared" si="168"/>
        <v>492.72610056384667</v>
      </c>
    </row>
    <row r="75" spans="2:32" x14ac:dyDescent="0.2">
      <c r="B75" s="20" t="s">
        <v>287</v>
      </c>
      <c r="C75" s="127">
        <f t="shared" ref="C75:P75" si="219">C20/C42</f>
        <v>0</v>
      </c>
      <c r="D75" s="127">
        <f t="shared" si="219"/>
        <v>0</v>
      </c>
      <c r="E75" s="127">
        <f t="shared" si="219"/>
        <v>0</v>
      </c>
      <c r="F75" s="143">
        <f t="shared" si="219"/>
        <v>0</v>
      </c>
      <c r="G75" s="143">
        <f t="shared" si="219"/>
        <v>28.198433420365536</v>
      </c>
      <c r="H75" s="143">
        <f t="shared" si="219"/>
        <v>28.459530026109661</v>
      </c>
      <c r="I75" s="143">
        <f t="shared" si="219"/>
        <v>20.365535248041777</v>
      </c>
      <c r="J75" s="143">
        <f t="shared" si="219"/>
        <v>76.939655172413794</v>
      </c>
      <c r="K75" s="143">
        <f t="shared" si="219"/>
        <v>8.7633087633087623</v>
      </c>
      <c r="L75" s="143">
        <f t="shared" si="219"/>
        <v>6.4484126984126986</v>
      </c>
      <c r="M75" s="143">
        <f t="shared" si="219"/>
        <v>13.928571428571429</v>
      </c>
      <c r="N75" s="143">
        <f t="shared" si="219"/>
        <v>3.0158730158730158</v>
      </c>
      <c r="O75" s="143">
        <f t="shared" si="219"/>
        <v>10.773809523809524</v>
      </c>
      <c r="P75" s="143">
        <f t="shared" si="219"/>
        <v>15.277777777777779</v>
      </c>
      <c r="Q75" s="143">
        <f t="shared" ref="Q75" si="220">Q20/Q42</f>
        <v>22.341269841269842</v>
      </c>
      <c r="R75" s="118">
        <f>((P75/G75)^(1/($H$2-$H$1) ))-1</f>
        <v>-5.9446463499973845E-2</v>
      </c>
      <c r="S75" s="128"/>
      <c r="T75" s="145">
        <f t="shared" ref="T75:AC75" si="221">T20/T42</f>
        <v>25.564637131801312</v>
      </c>
      <c r="U75" s="145">
        <f t="shared" si="221"/>
        <v>29.253067364747768</v>
      </c>
      <c r="V75" s="145">
        <f t="shared" si="221"/>
        <v>33.473659173591976</v>
      </c>
      <c r="W75" s="145">
        <f t="shared" si="221"/>
        <v>38.303192089184854</v>
      </c>
      <c r="X75" s="145">
        <f t="shared" si="221"/>
        <v>43.829523286131923</v>
      </c>
      <c r="Y75" s="145">
        <f t="shared" si="221"/>
        <v>50.153185849802703</v>
      </c>
      <c r="Z75" s="145">
        <f t="shared" si="221"/>
        <v>57.389217639077728</v>
      </c>
      <c r="AA75" s="145">
        <f t="shared" si="221"/>
        <v>65.669254014865061</v>
      </c>
      <c r="AB75" s="145">
        <f t="shared" si="221"/>
        <v>75.143922504571961</v>
      </c>
      <c r="AC75" s="145">
        <f t="shared" si="221"/>
        <v>85.985582965430595</v>
      </c>
      <c r="AD75" s="137">
        <f t="shared" si="215"/>
        <v>5.7328729515350396E-2</v>
      </c>
      <c r="AE75" s="31">
        <f t="shared" si="15"/>
        <v>0.05</v>
      </c>
      <c r="AF75" s="145">
        <f t="shared" si="168"/>
        <v>531.08742419824785</v>
      </c>
    </row>
    <row r="76" spans="2:32" x14ac:dyDescent="0.2">
      <c r="B76" s="20" t="s">
        <v>288</v>
      </c>
      <c r="C76" s="127">
        <f t="shared" ref="C76:P76" si="222">C21/C42</f>
        <v>0</v>
      </c>
      <c r="D76" s="127">
        <f t="shared" si="222"/>
        <v>0</v>
      </c>
      <c r="E76" s="127">
        <f t="shared" si="222"/>
        <v>0</v>
      </c>
      <c r="F76" s="143">
        <f t="shared" si="222"/>
        <v>0</v>
      </c>
      <c r="G76" s="143">
        <f t="shared" si="222"/>
        <v>-79.63446475195822</v>
      </c>
      <c r="H76" s="143">
        <f t="shared" si="222"/>
        <v>-42.558746736292427</v>
      </c>
      <c r="I76" s="143">
        <f t="shared" si="222"/>
        <v>-23.759791122715406</v>
      </c>
      <c r="J76" s="143">
        <f t="shared" si="222"/>
        <v>-86.206896551724142</v>
      </c>
      <c r="K76" s="143">
        <f t="shared" si="222"/>
        <v>-3.46027846027846</v>
      </c>
      <c r="L76" s="143">
        <f t="shared" si="222"/>
        <v>-9.5634920634920633</v>
      </c>
      <c r="M76" s="143">
        <f t="shared" si="222"/>
        <v>-20.892857142857142</v>
      </c>
      <c r="N76" s="143">
        <f t="shared" si="222"/>
        <v>-16.944444444444446</v>
      </c>
      <c r="O76" s="143">
        <f t="shared" si="222"/>
        <v>-10.853174603174603</v>
      </c>
      <c r="P76" s="143">
        <f t="shared" si="222"/>
        <v>-8.075396825396826</v>
      </c>
      <c r="Q76" s="143">
        <f t="shared" ref="Q76" si="223">Q21/Q42</f>
        <v>-4.0079365079365079</v>
      </c>
      <c r="R76" s="118">
        <f>((P76/G76)^(1/($H$2-$H$1) ))-1</f>
        <v>-0.20456209836368833</v>
      </c>
      <c r="S76" s="128"/>
      <c r="T76" s="145">
        <f t="shared" ref="T76:AC76" si="224">T21/T42</f>
        <v>-4.1873963515754573</v>
      </c>
      <c r="U76" s="145">
        <f t="shared" si="224"/>
        <v>-4.3748917106012239</v>
      </c>
      <c r="V76" s="145">
        <f t="shared" si="224"/>
        <v>-4.5707823842102346</v>
      </c>
      <c r="W76" s="145">
        <f t="shared" si="224"/>
        <v>-4.7754442820106942</v>
      </c>
      <c r="X76" s="145">
        <f t="shared" si="224"/>
        <v>-4.9892701453843085</v>
      </c>
      <c r="Y76" s="145">
        <f t="shared" si="224"/>
        <v>-5.212670301147786</v>
      </c>
      <c r="Z76" s="145">
        <f t="shared" si="224"/>
        <v>-5.4460734489603739</v>
      </c>
      <c r="AA76" s="145">
        <f t="shared" si="224"/>
        <v>-5.6899274839884511</v>
      </c>
      <c r="AB76" s="145">
        <f t="shared" si="224"/>
        <v>-5.9447003564058454</v>
      </c>
      <c r="AC76" s="145">
        <f t="shared" si="224"/>
        <v>-6.2108809693792431</v>
      </c>
      <c r="AD76" s="137">
        <f t="shared" si="215"/>
        <v>-0.11975694539014081</v>
      </c>
      <c r="AE76" s="31">
        <f t="shared" si="15"/>
        <v>0.05</v>
      </c>
      <c r="AF76" s="145">
        <f t="shared" si="168"/>
        <v>-38.361323634401209</v>
      </c>
    </row>
    <row r="77" spans="2:32" x14ac:dyDescent="0.2">
      <c r="B77" s="20" t="s">
        <v>289</v>
      </c>
      <c r="C77" s="127">
        <f t="shared" ref="C77:P77" si="225">C22/C42</f>
        <v>0</v>
      </c>
      <c r="D77" s="127">
        <f t="shared" si="225"/>
        <v>0</v>
      </c>
      <c r="E77" s="127">
        <f t="shared" si="225"/>
        <v>0</v>
      </c>
      <c r="F77" s="143">
        <f t="shared" si="225"/>
        <v>0</v>
      </c>
      <c r="G77" s="143">
        <f t="shared" si="225"/>
        <v>53.785900783289819</v>
      </c>
      <c r="H77" s="143">
        <f t="shared" si="225"/>
        <v>15.404699738903394</v>
      </c>
      <c r="I77" s="143">
        <f t="shared" si="225"/>
        <v>34.725848563968668</v>
      </c>
      <c r="J77" s="143">
        <f t="shared" si="225"/>
        <v>-3.6637931034482762</v>
      </c>
      <c r="K77" s="143">
        <f t="shared" si="225"/>
        <v>-3.3783783783783781</v>
      </c>
      <c r="L77" s="143">
        <f t="shared" si="225"/>
        <v>3.5714285714285716</v>
      </c>
      <c r="M77" s="143">
        <f t="shared" si="225"/>
        <v>6.4880952380952381</v>
      </c>
      <c r="N77" s="143">
        <f t="shared" si="225"/>
        <v>11.646825396825397</v>
      </c>
      <c r="O77" s="143">
        <f t="shared" si="225"/>
        <v>-0.39682539682539686</v>
      </c>
      <c r="P77" s="143">
        <f t="shared" si="225"/>
        <v>-6.3690476190476195</v>
      </c>
      <c r="Q77" s="143">
        <f t="shared" ref="Q77" si="226">Q22/Q42</f>
        <v>-17.003968253968253</v>
      </c>
      <c r="R77" s="118" t="e">
        <f>((P77/G77)^(1/($H$2-$H$1) ))-1</f>
        <v>#NUM!</v>
      </c>
      <c r="S77" s="128"/>
      <c r="T77" s="145">
        <f t="shared" ref="T77:AC77" si="227">T22/T42</f>
        <v>-17.257758824923005</v>
      </c>
      <c r="U77" s="145">
        <f t="shared" si="227"/>
        <v>-17.51533731484723</v>
      </c>
      <c r="V77" s="145">
        <f t="shared" si="227"/>
        <v>-17.776760259844952</v>
      </c>
      <c r="W77" s="145">
        <f t="shared" si="227"/>
        <v>-18.04208503984264</v>
      </c>
      <c r="X77" s="145">
        <f t="shared" si="227"/>
        <v>-18.311369891183578</v>
      </c>
      <c r="Y77" s="145">
        <f t="shared" si="227"/>
        <v>-18.5846739194102</v>
      </c>
      <c r="Z77" s="145">
        <f t="shared" si="227"/>
        <v>-18.862057112237224</v>
      </c>
      <c r="AA77" s="145">
        <f t="shared" si="227"/>
        <v>-19.143580352718377</v>
      </c>
      <c r="AB77" s="145">
        <f t="shared" si="227"/>
        <v>-19.429305432609699</v>
      </c>
      <c r="AC77" s="145">
        <f t="shared" si="227"/>
        <v>-19.719295065932236</v>
      </c>
      <c r="AD77" s="137" t="e">
        <f t="shared" si="215"/>
        <v>#NUM!</v>
      </c>
      <c r="AE77" s="31">
        <f t="shared" si="15"/>
        <v>0.05</v>
      </c>
      <c r="AF77" s="145">
        <f t="shared" si="168"/>
        <v>-121.79564599546383</v>
      </c>
    </row>
    <row r="78" spans="2:32" x14ac:dyDescent="0.2">
      <c r="B78" s="20" t="s">
        <v>296</v>
      </c>
      <c r="C78" s="127">
        <f t="shared" ref="C78:P78" si="228">C23/C42</f>
        <v>0</v>
      </c>
      <c r="D78" s="127">
        <f t="shared" si="228"/>
        <v>0</v>
      </c>
      <c r="E78" s="127">
        <f t="shared" si="228"/>
        <v>0</v>
      </c>
      <c r="F78" s="143">
        <f t="shared" si="228"/>
        <v>0</v>
      </c>
      <c r="G78" s="143">
        <f t="shared" si="228"/>
        <v>27.676240208877285</v>
      </c>
      <c r="H78" s="143">
        <f t="shared" si="228"/>
        <v>28.720626631853786</v>
      </c>
      <c r="I78" s="143">
        <f t="shared" si="228"/>
        <v>60.574412532637076</v>
      </c>
      <c r="J78" s="143">
        <f t="shared" si="228"/>
        <v>37.068965517241381</v>
      </c>
      <c r="K78" s="143">
        <f t="shared" si="228"/>
        <v>5.4463554463554456</v>
      </c>
      <c r="L78" s="143">
        <f t="shared" si="228"/>
        <v>5.416666666666667</v>
      </c>
      <c r="M78" s="143">
        <f t="shared" si="228"/>
        <v>4.9404761904761907</v>
      </c>
      <c r="N78" s="143">
        <f t="shared" si="228"/>
        <v>2.6587301587301586</v>
      </c>
      <c r="O78" s="143">
        <f t="shared" si="228"/>
        <v>2.1031746031746033</v>
      </c>
      <c r="P78" s="143">
        <f t="shared" si="228"/>
        <v>2.8571428571428572</v>
      </c>
      <c r="Q78" s="143">
        <f t="shared" ref="Q78" si="229">Q23/Q42</f>
        <v>4.2063492063492065</v>
      </c>
      <c r="R78" s="118">
        <f>((P78/G78)^(1/($H$2-$H$1) ))-1</f>
        <v>-0.2031391571608604</v>
      </c>
      <c r="S78" s="128"/>
      <c r="T78" s="145">
        <f t="shared" ref="T78:AC78" si="230">T23/T42</f>
        <v>4.3528389797046518</v>
      </c>
      <c r="U78" s="145">
        <f t="shared" si="230"/>
        <v>4.504430386958048</v>
      </c>
      <c r="V78" s="145">
        <f t="shared" si="230"/>
        <v>4.6613010969516129</v>
      </c>
      <c r="W78" s="145">
        <f t="shared" si="230"/>
        <v>4.8236349659996796</v>
      </c>
      <c r="X78" s="145">
        <f t="shared" si="230"/>
        <v>4.9916222533728032</v>
      </c>
      <c r="Y78" s="145">
        <f t="shared" si="230"/>
        <v>5.1654598442862847</v>
      </c>
      <c r="Z78" s="145">
        <f t="shared" si="230"/>
        <v>5.3453514806544646</v>
      </c>
      <c r="AA78" s="145">
        <f t="shared" si="230"/>
        <v>5.5315079998812378</v>
      </c>
      <c r="AB78" s="145">
        <f t="shared" si="230"/>
        <v>5.7241475819666547</v>
      </c>
      <c r="AC78" s="145">
        <f t="shared" si="230"/>
        <v>5.9234960052192251</v>
      </c>
      <c r="AD78" s="137">
        <f t="shared" ref="AD78" si="231">((AC78/G78)^(1/($AC$3-$H$1) ))-1</f>
        <v>-7.4186412267118862E-2</v>
      </c>
      <c r="AE78" s="31">
        <f t="shared" si="15"/>
        <v>0.05</v>
      </c>
      <c r="AF78" s="145">
        <f t="shared" si="168"/>
        <v>36.586298855765804</v>
      </c>
    </row>
    <row r="79" spans="2:32" x14ac:dyDescent="0.2">
      <c r="B79" s="20"/>
      <c r="C79" s="127"/>
      <c r="D79" s="127"/>
      <c r="E79" s="127"/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28"/>
      <c r="S79" s="128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38"/>
      <c r="AE79" s="136"/>
      <c r="AF79" s="153"/>
    </row>
    <row r="80" spans="2:32" x14ac:dyDescent="0.2">
      <c r="B80" s="20" t="s">
        <v>311</v>
      </c>
      <c r="C80" s="143">
        <f t="shared" ref="C80:P80" si="232">C36/C42</f>
        <v>0</v>
      </c>
      <c r="D80" s="143">
        <f t="shared" si="232"/>
        <v>0</v>
      </c>
      <c r="E80" s="143">
        <f t="shared" si="232"/>
        <v>0</v>
      </c>
      <c r="F80" s="143">
        <f t="shared" si="232"/>
        <v>0</v>
      </c>
      <c r="G80" s="143">
        <f t="shared" si="232"/>
        <v>45.691906005221931</v>
      </c>
      <c r="H80" s="143">
        <f t="shared" si="232"/>
        <v>42.036553524804177</v>
      </c>
      <c r="I80" s="143">
        <f t="shared" si="232"/>
        <v>60.313315926892948</v>
      </c>
      <c r="J80" s="143">
        <f t="shared" si="232"/>
        <v>86.637931034482762</v>
      </c>
      <c r="K80" s="143">
        <f t="shared" si="232"/>
        <v>12.776412776412776</v>
      </c>
      <c r="L80" s="143">
        <f t="shared" si="232"/>
        <v>9.0476190476190474</v>
      </c>
      <c r="M80" s="143">
        <f t="shared" si="232"/>
        <v>24.742063492063494</v>
      </c>
      <c r="N80" s="143">
        <f t="shared" si="232"/>
        <v>19.404761904761905</v>
      </c>
      <c r="O80" s="143">
        <f t="shared" si="232"/>
        <v>23.154761904761905</v>
      </c>
      <c r="P80" s="143">
        <f t="shared" si="232"/>
        <v>28.888888888888889</v>
      </c>
      <c r="Q80" s="143">
        <f t="shared" ref="Q80" si="233">Q36/Q42</f>
        <v>37.202380952380956</v>
      </c>
      <c r="R80" s="118">
        <f>((P80/G80)^(1/($H$2-$H$1) ))-1</f>
        <v>-4.4811343277823656E-2</v>
      </c>
      <c r="S80" s="128"/>
      <c r="T80" s="143">
        <f t="shared" ref="T80:AC80" si="234">T36/T42</f>
        <v>41.459369817578775</v>
      </c>
      <c r="U80" s="143">
        <f t="shared" si="234"/>
        <v>46.203476811630082</v>
      </c>
      <c r="V80" s="143">
        <f t="shared" si="234"/>
        <v>51.490441819926069</v>
      </c>
      <c r="W80" s="143">
        <f t="shared" si="234"/>
        <v>57.382382923698721</v>
      </c>
      <c r="X80" s="143">
        <f t="shared" si="234"/>
        <v>63.948526243325951</v>
      </c>
      <c r="Y80" s="143">
        <f t="shared" si="234"/>
        <v>71.266019296044846</v>
      </c>
      <c r="Z80" s="143">
        <f t="shared" si="234"/>
        <v>79.42083742444801</v>
      </c>
      <c r="AA80" s="143">
        <f t="shared" si="234"/>
        <v>88.508793945653508</v>
      </c>
      <c r="AB80" s="143">
        <f t="shared" si="234"/>
        <v>98.636665889683542</v>
      </c>
      <c r="AC80" s="143">
        <f t="shared" si="234"/>
        <v>109.9234485536772</v>
      </c>
      <c r="AD80" s="137">
        <f t="shared" ref="AD80:AD82" si="235">((AC80/G80)^(1/($AC$3-$H$1) ))-1</f>
        <v>4.4870706085199608E-2</v>
      </c>
      <c r="AE80" s="31">
        <f t="shared" si="15"/>
        <v>0.05</v>
      </c>
      <c r="AF80" s="145">
        <f t="shared" si="168"/>
        <v>678.93894694918276</v>
      </c>
    </row>
    <row r="81" spans="2:32" x14ac:dyDescent="0.2">
      <c r="B81" s="20" t="s">
        <v>312</v>
      </c>
      <c r="C81" s="143">
        <f t="shared" ref="C81:P81" si="236">C40/C42</f>
        <v>0</v>
      </c>
      <c r="D81" s="143">
        <f t="shared" si="236"/>
        <v>0</v>
      </c>
      <c r="E81" s="143">
        <f t="shared" si="236"/>
        <v>0</v>
      </c>
      <c r="F81" s="143">
        <f t="shared" si="236"/>
        <v>0</v>
      </c>
      <c r="G81" s="143">
        <f t="shared" si="236"/>
        <v>18.276762402088771</v>
      </c>
      <c r="H81" s="143">
        <f t="shared" si="236"/>
        <v>16.449086161879894</v>
      </c>
      <c r="I81" s="143">
        <f t="shared" si="236"/>
        <v>23.759791122715406</v>
      </c>
      <c r="J81" s="143">
        <f t="shared" si="236"/>
        <v>25.215517241379313</v>
      </c>
      <c r="K81" s="143">
        <f t="shared" si="236"/>
        <v>5.5282555282555279</v>
      </c>
      <c r="L81" s="143">
        <f t="shared" si="236"/>
        <v>2.7579365079365079</v>
      </c>
      <c r="M81" s="143">
        <f t="shared" si="236"/>
        <v>12.956349206349207</v>
      </c>
      <c r="N81" s="143">
        <f t="shared" si="236"/>
        <v>8.75</v>
      </c>
      <c r="O81" s="143">
        <f t="shared" si="236"/>
        <v>8.174603174603174</v>
      </c>
      <c r="P81" s="143">
        <f t="shared" si="236"/>
        <v>12.182539682539684</v>
      </c>
      <c r="Q81" s="143">
        <f t="shared" ref="Q81" si="237">Q40/Q42</f>
        <v>19.94047619047619</v>
      </c>
      <c r="R81" s="118">
        <f>((P81/G81)^(1/($H$2-$H$1) ))-1</f>
        <v>-3.9751014813341978E-2</v>
      </c>
      <c r="S81" s="128"/>
      <c r="T81" s="143">
        <f t="shared" ref="T81:AC81" si="238">T40/T42</f>
        <v>22.222222222222229</v>
      </c>
      <c r="U81" s="143">
        <f t="shared" si="238"/>
        <v>24.765063571033728</v>
      </c>
      <c r="V81" s="143">
        <f t="shared" si="238"/>
        <v>27.598876815480381</v>
      </c>
      <c r="W81" s="143">
        <f t="shared" si="238"/>
        <v>30.75695724710252</v>
      </c>
      <c r="X81" s="143">
        <f t="shared" si="238"/>
        <v>34.27641006642272</v>
      </c>
      <c r="Y81" s="143">
        <f t="shared" si="238"/>
        <v>38.198586342680052</v>
      </c>
      <c r="Z81" s="143">
        <f t="shared" si="238"/>
        <v>42.569568859504152</v>
      </c>
      <c r="AA81" s="143">
        <f t="shared" si="238"/>
        <v>47.440713554870307</v>
      </c>
      <c r="AB81" s="143">
        <f t="shared" si="238"/>
        <v>52.869252916870401</v>
      </c>
      <c r="AC81" s="143">
        <f t="shared" si="238"/>
        <v>58.918968424771009</v>
      </c>
      <c r="AD81" s="137">
        <f t="shared" si="235"/>
        <v>6.0273222754608557E-2</v>
      </c>
      <c r="AE81" s="31">
        <f t="shared" si="15"/>
        <v>0.05</v>
      </c>
      <c r="AF81" s="145">
        <f t="shared" si="168"/>
        <v>363.91127556476215</v>
      </c>
    </row>
    <row r="82" spans="2:32" x14ac:dyDescent="0.2">
      <c r="B82" s="20" t="s">
        <v>313</v>
      </c>
      <c r="C82" s="143">
        <f t="shared" ref="C82:P82" si="239">C6/C42</f>
        <v>0</v>
      </c>
      <c r="D82" s="143">
        <f t="shared" si="239"/>
        <v>0</v>
      </c>
      <c r="E82" s="143">
        <f t="shared" si="239"/>
        <v>0</v>
      </c>
      <c r="F82" s="143">
        <f t="shared" si="239"/>
        <v>0</v>
      </c>
      <c r="G82" s="143">
        <f t="shared" si="239"/>
        <v>138.38120104438642</v>
      </c>
      <c r="H82" s="143">
        <f t="shared" si="239"/>
        <v>145.95300261096605</v>
      </c>
      <c r="I82" s="143">
        <f t="shared" si="239"/>
        <v>154.56919060052218</v>
      </c>
      <c r="J82" s="143">
        <f t="shared" si="239"/>
        <v>188.14655172413794</v>
      </c>
      <c r="K82" s="143">
        <f t="shared" si="239"/>
        <v>23.034398034398034</v>
      </c>
      <c r="L82" s="143">
        <f t="shared" si="239"/>
        <v>25.714285714285715</v>
      </c>
      <c r="M82" s="143">
        <f t="shared" si="239"/>
        <v>37.976190476190474</v>
      </c>
      <c r="N82" s="143">
        <f t="shared" si="239"/>
        <v>46.845238095238095</v>
      </c>
      <c r="O82" s="143">
        <f t="shared" si="239"/>
        <v>55.198412698412703</v>
      </c>
      <c r="P82" s="143">
        <f t="shared" si="239"/>
        <v>66.25</v>
      </c>
      <c r="Q82" s="143">
        <f t="shared" ref="Q82" si="240">Q6/Q42</f>
        <v>89.543650793650798</v>
      </c>
      <c r="R82" s="118">
        <f>((P82/G82)^(1/($H$2-$H$1) ))-1</f>
        <v>-7.1010343131540421E-2</v>
      </c>
      <c r="S82" s="128"/>
      <c r="T82" s="143">
        <f t="shared" ref="T82:AC82" si="241">T6/T42</f>
        <v>99.789939192924294</v>
      </c>
      <c r="U82" s="143">
        <f t="shared" si="241"/>
        <v>111.20868845380619</v>
      </c>
      <c r="V82" s="143">
        <f t="shared" si="241"/>
        <v>123.93406076444076</v>
      </c>
      <c r="W82" s="143">
        <f t="shared" si="241"/>
        <v>138.11557020514795</v>
      </c>
      <c r="X82" s="143">
        <f t="shared" si="241"/>
        <v>153.91983943260271</v>
      </c>
      <c r="Y82" s="143">
        <f t="shared" si="241"/>
        <v>171.53255737762694</v>
      </c>
      <c r="Z82" s="143">
        <f t="shared" si="241"/>
        <v>191.16066095815145</v>
      </c>
      <c r="AA82" s="143">
        <f t="shared" si="241"/>
        <v>213.03476644092501</v>
      </c>
      <c r="AB82" s="143">
        <f t="shared" si="241"/>
        <v>237.41187901874235</v>
      </c>
      <c r="AC82" s="143">
        <f t="shared" si="241"/>
        <v>264.5784124387975</v>
      </c>
      <c r="AD82" s="137">
        <f t="shared" si="235"/>
        <v>3.2937074480325013E-2</v>
      </c>
      <c r="AE82" s="31">
        <f t="shared" ref="AE82" si="242">$L$1</f>
        <v>0.05</v>
      </c>
      <c r="AF82" s="145">
        <f t="shared" si="168"/>
        <v>1634.16078271022</v>
      </c>
    </row>
    <row r="83" spans="2:32" x14ac:dyDescent="0.2">
      <c r="B83" s="20"/>
      <c r="C83" s="127"/>
      <c r="D83" s="127"/>
      <c r="E83" s="127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28"/>
      <c r="S83" s="128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38"/>
      <c r="AE83" s="20"/>
      <c r="AF83" s="153"/>
    </row>
    <row r="84" spans="2:32" x14ac:dyDescent="0.2">
      <c r="B84" s="20"/>
      <c r="C84" s="127"/>
      <c r="D84" s="127"/>
      <c r="E84" s="127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28"/>
      <c r="S84" s="128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38"/>
      <c r="AE84" s="20"/>
      <c r="AF84" s="153"/>
    </row>
    <row r="85" spans="2:32" x14ac:dyDescent="0.2">
      <c r="B85" s="108" t="s">
        <v>310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2:32" x14ac:dyDescent="0.2">
      <c r="B86" s="20" t="s">
        <v>309</v>
      </c>
      <c r="C86" s="151"/>
      <c r="D86" s="151"/>
      <c r="E86" s="151" t="e">
        <f t="shared" ref="E86:P86" si="243">E36/E25</f>
        <v>#DIV/0!</v>
      </c>
      <c r="F86" s="151" t="e">
        <f t="shared" si="243"/>
        <v>#DIV/0!</v>
      </c>
      <c r="G86" s="151">
        <f t="shared" si="243"/>
        <v>8.9285714285714288E-2</v>
      </c>
      <c r="H86" s="151">
        <f t="shared" si="243"/>
        <v>7.1842927264614012E-2</v>
      </c>
      <c r="I86" s="151">
        <f t="shared" si="243"/>
        <v>8.5114222549742075E-2</v>
      </c>
      <c r="J86" s="151">
        <f t="shared" si="243"/>
        <v>9.3401486988847579E-2</v>
      </c>
      <c r="K86" s="151">
        <f t="shared" si="243"/>
        <v>0.13059857681038092</v>
      </c>
      <c r="L86" s="151">
        <f t="shared" si="243"/>
        <v>9.107249850209706E-2</v>
      </c>
      <c r="M86" s="151">
        <f t="shared" si="243"/>
        <v>0.15595297648824413</v>
      </c>
      <c r="N86" s="151">
        <f t="shared" si="243"/>
        <v>0.10439795046968403</v>
      </c>
      <c r="O86" s="151">
        <f t="shared" si="243"/>
        <v>9.4021914276506607E-2</v>
      </c>
      <c r="P86" s="151">
        <f t="shared" si="243"/>
        <v>0.1121898597626753</v>
      </c>
      <c r="Q86" s="151">
        <f t="shared" ref="Q86" si="244">Q36/Q25</f>
        <v>0.13895064473099156</v>
      </c>
      <c r="R86" s="118">
        <f t="shared" ref="R86:R138" si="245">((P86/G86)^(1/($H$2-$H$1) ))-1</f>
        <v>2.309782825248563E-2</v>
      </c>
      <c r="S86" s="151"/>
      <c r="T86" s="151">
        <f t="shared" ref="T86:AC86" si="246">T36/T25</f>
        <v>0.13895064473099156</v>
      </c>
      <c r="U86" s="151">
        <f t="shared" si="246"/>
        <v>0.13895064473099153</v>
      </c>
      <c r="V86" s="151">
        <f t="shared" si="246"/>
        <v>0.13895064473099153</v>
      </c>
      <c r="W86" s="151">
        <f t="shared" si="246"/>
        <v>0.13895064473099153</v>
      </c>
      <c r="X86" s="151">
        <f t="shared" si="246"/>
        <v>0.13895064473099153</v>
      </c>
      <c r="Y86" s="151">
        <f t="shared" si="246"/>
        <v>0.13895064473099153</v>
      </c>
      <c r="Z86" s="151">
        <f t="shared" si="246"/>
        <v>0.1389506447309915</v>
      </c>
      <c r="AA86" s="151">
        <f t="shared" si="246"/>
        <v>0.1389506447309915</v>
      </c>
      <c r="AB86" s="151">
        <f t="shared" si="246"/>
        <v>0.13895064473099153</v>
      </c>
      <c r="AC86" s="151">
        <f t="shared" si="246"/>
        <v>0.13895064473099153</v>
      </c>
      <c r="AD86" s="137">
        <f t="shared" ref="AD86:AD125" si="247">((AC86/G86)^(1/($AC$3-$H$1) ))-1</f>
        <v>2.236018865692424E-2</v>
      </c>
      <c r="AE86" s="145"/>
      <c r="AF86" s="145"/>
    </row>
    <row r="87" spans="2:32" x14ac:dyDescent="0.2">
      <c r="B87" s="20" t="s">
        <v>266</v>
      </c>
      <c r="C87" s="151"/>
      <c r="D87" s="151"/>
      <c r="E87" s="151" t="e">
        <f t="shared" ref="E87:P87" si="248">E40/E25</f>
        <v>#DIV/0!</v>
      </c>
      <c r="F87" s="151" t="e">
        <f t="shared" si="248"/>
        <v>#DIV/0!</v>
      </c>
      <c r="G87" s="151">
        <f t="shared" si="248"/>
        <v>3.5714285714285712E-2</v>
      </c>
      <c r="H87" s="151">
        <f t="shared" si="248"/>
        <v>2.8112449799196786E-2</v>
      </c>
      <c r="I87" s="151">
        <f t="shared" si="248"/>
        <v>3.3529845246868091E-2</v>
      </c>
      <c r="J87" s="151">
        <f t="shared" si="248"/>
        <v>2.7184014869888477E-2</v>
      </c>
      <c r="K87" s="151">
        <f t="shared" si="248"/>
        <v>5.6508999581414816E-2</v>
      </c>
      <c r="L87" s="151">
        <f t="shared" si="248"/>
        <v>2.7761134411823447E-2</v>
      </c>
      <c r="M87" s="151">
        <f t="shared" si="248"/>
        <v>8.1665832916458223E-2</v>
      </c>
      <c r="N87" s="151">
        <f t="shared" si="248"/>
        <v>4.7075149444918876E-2</v>
      </c>
      <c r="O87" s="151">
        <f t="shared" si="248"/>
        <v>3.319368353206574E-2</v>
      </c>
      <c r="P87" s="151">
        <f t="shared" si="248"/>
        <v>4.731083371860071E-2</v>
      </c>
      <c r="Q87" s="151">
        <f t="shared" ref="Q87" si="249">Q40/Q25</f>
        <v>7.4477545575811474E-2</v>
      </c>
      <c r="R87" s="118">
        <f t="shared" si="245"/>
        <v>2.8517920949169717E-2</v>
      </c>
      <c r="S87" s="151"/>
      <c r="T87" s="151">
        <f t="shared" ref="T87:AC87" si="250">T40/T25</f>
        <v>7.4477545575811474E-2</v>
      </c>
      <c r="U87" s="151">
        <f t="shared" si="250"/>
        <v>7.4477545575811474E-2</v>
      </c>
      <c r="V87" s="151">
        <f t="shared" si="250"/>
        <v>7.4477545575811474E-2</v>
      </c>
      <c r="W87" s="151">
        <f t="shared" si="250"/>
        <v>7.4477545575811474E-2</v>
      </c>
      <c r="X87" s="151">
        <f t="shared" si="250"/>
        <v>7.4477545575811474E-2</v>
      </c>
      <c r="Y87" s="151">
        <f t="shared" si="250"/>
        <v>7.4477545575811474E-2</v>
      </c>
      <c r="Z87" s="151">
        <f t="shared" si="250"/>
        <v>7.4477545575811474E-2</v>
      </c>
      <c r="AA87" s="151">
        <f t="shared" si="250"/>
        <v>7.4477545575811488E-2</v>
      </c>
      <c r="AB87" s="151">
        <f t="shared" si="250"/>
        <v>7.4477545575811488E-2</v>
      </c>
      <c r="AC87" s="151">
        <f t="shared" si="250"/>
        <v>7.4477545575811488E-2</v>
      </c>
      <c r="AD87" s="137">
        <f t="shared" si="247"/>
        <v>3.7430876117315659E-2</v>
      </c>
      <c r="AE87" s="145"/>
      <c r="AF87" s="145"/>
    </row>
    <row r="88" spans="2:32" x14ac:dyDescent="0.2">
      <c r="B88" s="20" t="s">
        <v>359</v>
      </c>
      <c r="C88" s="151"/>
      <c r="D88" s="151"/>
      <c r="E88" s="151" t="e">
        <f t="shared" ref="E88:O88" si="251">E40/E7</f>
        <v>#DIV/0!</v>
      </c>
      <c r="F88" s="151" t="e">
        <f t="shared" si="251"/>
        <v>#DIV/0!</v>
      </c>
      <c r="G88" s="151">
        <f>G40/G7</f>
        <v>0.12237762237762238</v>
      </c>
      <c r="H88" s="151">
        <f t="shared" si="251"/>
        <v>0.1048252911813644</v>
      </c>
      <c r="I88" s="151">
        <f t="shared" si="251"/>
        <v>0.14353312302839116</v>
      </c>
      <c r="J88" s="151">
        <f t="shared" si="251"/>
        <v>0.12513368983957218</v>
      </c>
      <c r="K88" s="151">
        <f t="shared" si="251"/>
        <v>0.22842639593908629</v>
      </c>
      <c r="L88" s="151">
        <f t="shared" si="251"/>
        <v>0.10303928836174944</v>
      </c>
      <c r="M88" s="151">
        <f t="shared" si="251"/>
        <v>0.33197763091001525</v>
      </c>
      <c r="N88" s="151">
        <f t="shared" si="251"/>
        <v>0.18283582089552239</v>
      </c>
      <c r="O88" s="151">
        <f t="shared" si="251"/>
        <v>0.14548022598870056</v>
      </c>
      <c r="P88" s="151">
        <f t="shared" ref="P88:Q88" si="252">P40/P7</f>
        <v>0.18058823529411766</v>
      </c>
      <c r="Q88" s="151">
        <f t="shared" si="252"/>
        <v>0.21972015741145606</v>
      </c>
      <c r="R88" s="118">
        <f t="shared" si="245"/>
        <v>3.9677736815326714E-2</v>
      </c>
      <c r="S88" s="20"/>
      <c r="T88" s="151">
        <f t="shared" ref="T88" si="253">T40/T7</f>
        <v>0.21972015741145609</v>
      </c>
      <c r="U88" s="151">
        <f t="shared" ref="U88:AC88" si="254">U40/U7</f>
        <v>0.21972015741145609</v>
      </c>
      <c r="V88" s="151">
        <f t="shared" si="254"/>
        <v>0.21972015741145606</v>
      </c>
      <c r="W88" s="151">
        <f t="shared" si="254"/>
        <v>0.21972015741145609</v>
      </c>
      <c r="X88" s="151">
        <f t="shared" si="254"/>
        <v>0.21972015741145609</v>
      </c>
      <c r="Y88" s="151">
        <f t="shared" si="254"/>
        <v>0.21972015741145609</v>
      </c>
      <c r="Z88" s="151">
        <f t="shared" si="254"/>
        <v>0.21972015741145612</v>
      </c>
      <c r="AA88" s="151">
        <f t="shared" si="254"/>
        <v>0.21972015741145609</v>
      </c>
      <c r="AB88" s="151">
        <f t="shared" si="254"/>
        <v>0.21972015741145609</v>
      </c>
      <c r="AC88" s="151">
        <f t="shared" si="254"/>
        <v>0.21972015741145609</v>
      </c>
      <c r="AD88" s="137">
        <f t="shared" si="247"/>
        <v>2.9694503559966057E-2</v>
      </c>
      <c r="AE88" s="145"/>
      <c r="AF88" s="145"/>
    </row>
    <row r="89" spans="2:32" x14ac:dyDescent="0.2">
      <c r="B89" s="20" t="s">
        <v>360</v>
      </c>
      <c r="C89" s="151"/>
      <c r="D89" s="151"/>
      <c r="E89" s="151" t="e">
        <f t="shared" ref="E89:F89" si="255">(E40)/(E7+E10)</f>
        <v>#DIV/0!</v>
      </c>
      <c r="F89" s="151" t="e">
        <f t="shared" si="255"/>
        <v>#DIV/0!</v>
      </c>
      <c r="G89" s="151">
        <f>(G40)/(G7+G10)</f>
        <v>7.0493454179254789E-2</v>
      </c>
      <c r="H89" s="151">
        <f t="shared" ref="H89:O89" si="256">(H40)/(H7+H10)</f>
        <v>5.5021834061135373E-2</v>
      </c>
      <c r="I89" s="151">
        <f t="shared" si="256"/>
        <v>6.5751445086705204E-2</v>
      </c>
      <c r="J89" s="151">
        <f t="shared" si="256"/>
        <v>6.655290102389079E-2</v>
      </c>
      <c r="K89" s="151">
        <f t="shared" si="256"/>
        <v>0.14770240700218817</v>
      </c>
      <c r="L89" s="151">
        <f t="shared" si="256"/>
        <v>6.2081286288521664E-2</v>
      </c>
      <c r="M89" s="151">
        <f t="shared" si="256"/>
        <v>0.17773543821448012</v>
      </c>
      <c r="N89" s="151">
        <f t="shared" si="256"/>
        <v>9.0147179067865901E-2</v>
      </c>
      <c r="O89" s="151">
        <f t="shared" si="256"/>
        <v>7.6565694108901697E-2</v>
      </c>
      <c r="P89" s="151">
        <f t="shared" ref="P89:Q89" si="257">(P40)/(P7+P10)</f>
        <v>0.10807956345713783</v>
      </c>
      <c r="Q89" s="151">
        <f t="shared" si="257"/>
        <v>0.18069039913700108</v>
      </c>
      <c r="R89" s="118">
        <f t="shared" si="245"/>
        <v>4.3661058103093175E-2</v>
      </c>
      <c r="S89" s="20"/>
      <c r="T89" s="151">
        <f t="shared" ref="T89:AC89" si="258">(T40)/(T7+T10)</f>
        <v>0.18069039913700108</v>
      </c>
      <c r="U89" s="151">
        <f t="shared" si="258"/>
        <v>0.18069039913700111</v>
      </c>
      <c r="V89" s="151">
        <f t="shared" si="258"/>
        <v>0.18069039913700108</v>
      </c>
      <c r="W89" s="151">
        <f t="shared" si="258"/>
        <v>0.18069039913700111</v>
      </c>
      <c r="X89" s="151">
        <f t="shared" si="258"/>
        <v>0.18069039913700111</v>
      </c>
      <c r="Y89" s="151">
        <f t="shared" si="258"/>
        <v>0.18069039913700111</v>
      </c>
      <c r="Z89" s="151">
        <f t="shared" si="258"/>
        <v>0.18069039913700113</v>
      </c>
      <c r="AA89" s="151">
        <f t="shared" si="258"/>
        <v>0.18069039913700111</v>
      </c>
      <c r="AB89" s="151">
        <f t="shared" si="258"/>
        <v>0.18069039913700111</v>
      </c>
      <c r="AC89" s="151">
        <f t="shared" si="258"/>
        <v>0.18069039913700111</v>
      </c>
      <c r="AD89" s="137">
        <f t="shared" si="247"/>
        <v>4.8188315778490587E-2</v>
      </c>
      <c r="AE89" s="145"/>
      <c r="AF89" s="145"/>
    </row>
    <row r="90" spans="2:32" x14ac:dyDescent="0.2">
      <c r="B90" s="20" t="s">
        <v>376</v>
      </c>
      <c r="C90" s="151"/>
      <c r="D90" s="151"/>
      <c r="E90" s="151"/>
      <c r="F90" s="151"/>
      <c r="G90" s="151">
        <f>G20/G25</f>
        <v>5.5102040816326532E-2</v>
      </c>
      <c r="H90" s="151">
        <f t="shared" ref="H90:P90" si="259">H20/H25</f>
        <v>4.8639000446229361E-2</v>
      </c>
      <c r="I90" s="151">
        <f t="shared" si="259"/>
        <v>2.8739867354458364E-2</v>
      </c>
      <c r="J90" s="151">
        <f t="shared" si="259"/>
        <v>8.2946096654275089E-2</v>
      </c>
      <c r="K90" s="151">
        <f t="shared" si="259"/>
        <v>8.9577228966094602E-2</v>
      </c>
      <c r="L90" s="151">
        <f t="shared" si="259"/>
        <v>6.4909127221889351E-2</v>
      </c>
      <c r="M90" s="151">
        <f t="shared" si="259"/>
        <v>8.779389694847424E-2</v>
      </c>
      <c r="N90" s="151">
        <f t="shared" si="259"/>
        <v>1.6225448334756618E-2</v>
      </c>
      <c r="O90" s="151">
        <f t="shared" si="259"/>
        <v>4.3747985820174022E-2</v>
      </c>
      <c r="P90" s="151">
        <f t="shared" si="259"/>
        <v>5.9331175836030203E-2</v>
      </c>
      <c r="Q90" s="151">
        <f t="shared" ref="Q90" si="260">Q20/Q25</f>
        <v>8.3444493849118132E-2</v>
      </c>
      <c r="R90" s="118">
        <f t="shared" si="245"/>
        <v>7.4222236375001138E-3</v>
      </c>
      <c r="S90" s="20"/>
      <c r="T90" s="151">
        <f t="shared" ref="T90:AC90" si="261">T20/T25</f>
        <v>8.5679614220076639E-2</v>
      </c>
      <c r="U90" s="151">
        <f t="shared" si="261"/>
        <v>8.797460388668582E-2</v>
      </c>
      <c r="V90" s="151">
        <f t="shared" si="261"/>
        <v>9.0331066490793449E-2</v>
      </c>
      <c r="W90" s="151">
        <f t="shared" si="261"/>
        <v>9.2750648628939697E-2</v>
      </c>
      <c r="X90" s="151">
        <f t="shared" si="261"/>
        <v>9.5235041002929149E-2</v>
      </c>
      <c r="Y90" s="151">
        <f t="shared" si="261"/>
        <v>9.7785979601221873E-2</v>
      </c>
      <c r="Z90" s="151">
        <f t="shared" si="261"/>
        <v>0.10040524691196888</v>
      </c>
      <c r="AA90" s="151">
        <f t="shared" si="261"/>
        <v>0.10309467316853946</v>
      </c>
      <c r="AB90" s="151">
        <f t="shared" si="261"/>
        <v>0.10585613762841103</v>
      </c>
      <c r="AC90" s="151">
        <f t="shared" si="261"/>
        <v>0.10869156988631488</v>
      </c>
      <c r="AD90" s="137">
        <f t="shared" si="247"/>
        <v>3.4549818541430799E-2</v>
      </c>
      <c r="AE90" s="145"/>
      <c r="AF90" s="145"/>
    </row>
    <row r="91" spans="2:32" x14ac:dyDescent="0.2">
      <c r="B91" s="20" t="s">
        <v>428</v>
      </c>
      <c r="C91" s="151"/>
      <c r="D91" s="151"/>
      <c r="E91" s="151"/>
      <c r="F91" s="151"/>
      <c r="G91" s="151">
        <f>G52/G25</f>
        <v>1.7857142857142856E-2</v>
      </c>
      <c r="H91" s="151">
        <f t="shared" ref="H91:P91" si="262">H52/H25</f>
        <v>8.9245872378402504E-3</v>
      </c>
      <c r="I91" s="151">
        <f t="shared" si="262"/>
        <v>1.1422254974207811E-2</v>
      </c>
      <c r="J91" s="151">
        <f t="shared" si="262"/>
        <v>1.8355018587360595E-2</v>
      </c>
      <c r="K91" s="151">
        <f t="shared" si="262"/>
        <v>2.8463792381749686E-2</v>
      </c>
      <c r="L91" s="151">
        <f t="shared" si="262"/>
        <v>1.2782105052925903E-2</v>
      </c>
      <c r="M91" s="151">
        <f t="shared" si="262"/>
        <v>3.1390695347673837E-2</v>
      </c>
      <c r="N91" s="151">
        <f t="shared" si="262"/>
        <v>1.1421861656703673E-2</v>
      </c>
      <c r="O91" s="151">
        <f t="shared" si="262"/>
        <v>1.1601675797615211E-2</v>
      </c>
      <c r="P91" s="151">
        <f t="shared" si="262"/>
        <v>1.8801047927261519E-2</v>
      </c>
      <c r="Q91" s="151">
        <f t="shared" ref="Q91" si="263">Q52/Q25</f>
        <v>1.6822291388765377E-2</v>
      </c>
      <c r="R91" s="118">
        <f t="shared" si="245"/>
        <v>5.1641907873385406E-3</v>
      </c>
      <c r="S91" s="20"/>
      <c r="T91" s="151">
        <f t="shared" ref="T91:AC91" si="264">T52/T25</f>
        <v>1.6822291388765377E-2</v>
      </c>
      <c r="U91" s="151">
        <f t="shared" si="264"/>
        <v>1.6822291388765381E-2</v>
      </c>
      <c r="V91" s="151">
        <f t="shared" si="264"/>
        <v>1.6822291388765374E-2</v>
      </c>
      <c r="W91" s="151">
        <f t="shared" si="264"/>
        <v>1.682229138876537E-2</v>
      </c>
      <c r="X91" s="151">
        <f t="shared" si="264"/>
        <v>1.6822291388765363E-2</v>
      </c>
      <c r="Y91" s="151">
        <f t="shared" si="264"/>
        <v>1.6822291388765356E-2</v>
      </c>
      <c r="Z91" s="151">
        <f t="shared" si="264"/>
        <v>1.6822291388765353E-2</v>
      </c>
      <c r="AA91" s="151">
        <f t="shared" si="264"/>
        <v>1.6822291388765353E-2</v>
      </c>
      <c r="AB91" s="151">
        <f t="shared" si="264"/>
        <v>1.6822291388765346E-2</v>
      </c>
      <c r="AC91" s="151">
        <f t="shared" si="264"/>
        <v>1.6822291388765346E-2</v>
      </c>
      <c r="AD91" s="137">
        <f t="shared" si="247"/>
        <v>-2.9804851573725921E-3</v>
      </c>
      <c r="AE91" s="145"/>
      <c r="AF91" s="145"/>
    </row>
    <row r="92" spans="2:32" x14ac:dyDescent="0.2">
      <c r="B92" s="20"/>
      <c r="C92" s="151"/>
      <c r="D92" s="151"/>
      <c r="E92" s="151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1"/>
      <c r="S92" s="20"/>
      <c r="T92" s="151"/>
      <c r="U92" s="151"/>
      <c r="V92" s="151"/>
      <c r="W92" s="151"/>
      <c r="X92" s="151"/>
      <c r="Y92" s="151"/>
      <c r="Z92" s="151"/>
      <c r="AA92" s="151"/>
      <c r="AB92" s="151"/>
      <c r="AC92" s="151"/>
      <c r="AD92" s="3"/>
      <c r="AE92" s="145"/>
      <c r="AF92" s="145"/>
    </row>
    <row r="93" spans="2:32" x14ac:dyDescent="0.2">
      <c r="B93" s="20" t="s">
        <v>323</v>
      </c>
      <c r="C93" s="151"/>
      <c r="D93" s="151"/>
      <c r="E93" s="151"/>
      <c r="F93" s="151"/>
      <c r="G93" s="151">
        <f>G29/G25</f>
        <v>1.9387755102040816E-2</v>
      </c>
      <c r="H93" s="151">
        <f t="shared" ref="H93:P93" si="265">H29/H25</f>
        <v>1.7849174475680501E-2</v>
      </c>
      <c r="I93" s="151">
        <f t="shared" si="265"/>
        <v>1.8422991893883568E-2</v>
      </c>
      <c r="J93" s="151">
        <f t="shared" si="265"/>
        <v>1.9749070631970261E-2</v>
      </c>
      <c r="K93" s="151">
        <f t="shared" si="265"/>
        <v>2.239430724152365E-2</v>
      </c>
      <c r="L93" s="151">
        <f t="shared" si="265"/>
        <v>2.7161973237467545E-2</v>
      </c>
      <c r="M93" s="151">
        <f t="shared" si="265"/>
        <v>2.2886443221610805E-2</v>
      </c>
      <c r="N93" s="151">
        <f t="shared" si="265"/>
        <v>1.9748078565328779E-2</v>
      </c>
      <c r="O93" s="151">
        <f t="shared" si="265"/>
        <v>2.3122784402191426E-2</v>
      </c>
      <c r="P93" s="151">
        <f t="shared" si="265"/>
        <v>2.4040684234858993E-2</v>
      </c>
      <c r="Q93" s="151">
        <f t="shared" ref="Q93" si="266">Q29/Q25</f>
        <v>2.1046390988587519E-2</v>
      </c>
      <c r="R93" s="118">
        <f t="shared" si="245"/>
        <v>2.1743609025238975E-2</v>
      </c>
      <c r="S93" s="20"/>
      <c r="T93" s="151">
        <f t="shared" ref="T93:AC93" si="267">T29/T25</f>
        <v>2.1046390988587522E-2</v>
      </c>
      <c r="U93" s="151">
        <f t="shared" si="267"/>
        <v>2.1046390988587522E-2</v>
      </c>
      <c r="V93" s="151">
        <f t="shared" si="267"/>
        <v>2.1046390988587522E-2</v>
      </c>
      <c r="W93" s="151">
        <f t="shared" si="267"/>
        <v>2.1046390988587522E-2</v>
      </c>
      <c r="X93" s="151">
        <f t="shared" si="267"/>
        <v>2.1046390988587522E-2</v>
      </c>
      <c r="Y93" s="151">
        <f t="shared" si="267"/>
        <v>2.1046390988587522E-2</v>
      </c>
      <c r="Z93" s="151">
        <f t="shared" si="267"/>
        <v>2.1046390988587519E-2</v>
      </c>
      <c r="AA93" s="151">
        <f t="shared" si="267"/>
        <v>2.1046390988587522E-2</v>
      </c>
      <c r="AB93" s="151">
        <f t="shared" si="267"/>
        <v>2.1046390988587522E-2</v>
      </c>
      <c r="AC93" s="151">
        <f t="shared" si="267"/>
        <v>2.1046390988587526E-2</v>
      </c>
      <c r="AD93" s="137">
        <f t="shared" si="247"/>
        <v>4.1128049375331877E-3</v>
      </c>
      <c r="AE93" s="145"/>
      <c r="AF93" s="145"/>
    </row>
    <row r="94" spans="2:32" x14ac:dyDescent="0.2">
      <c r="B94" s="20" t="s">
        <v>369</v>
      </c>
      <c r="C94" s="151"/>
      <c r="D94" s="151"/>
      <c r="E94" s="151"/>
      <c r="F94" s="151"/>
      <c r="G94" s="151">
        <f>G29/G36</f>
        <v>0.21714285714285714</v>
      </c>
      <c r="H94" s="151">
        <f t="shared" ref="H94:P94" si="268">H29/H36</f>
        <v>0.2484472049689441</v>
      </c>
      <c r="I94" s="151">
        <f t="shared" si="268"/>
        <v>0.21645021645021645</v>
      </c>
      <c r="J94" s="151">
        <f t="shared" si="268"/>
        <v>0.21144278606965175</v>
      </c>
      <c r="K94" s="151">
        <f t="shared" si="268"/>
        <v>0.17147435897435898</v>
      </c>
      <c r="L94" s="151">
        <f t="shared" si="268"/>
        <v>0.2982456140350877</v>
      </c>
      <c r="M94" s="151">
        <f t="shared" si="268"/>
        <v>0.1467522052927025</v>
      </c>
      <c r="N94" s="151">
        <f t="shared" si="268"/>
        <v>0.18916155419222905</v>
      </c>
      <c r="O94" s="151">
        <f t="shared" si="268"/>
        <v>0.24592973436161097</v>
      </c>
      <c r="P94" s="151">
        <f t="shared" si="268"/>
        <v>0.21428571428571427</v>
      </c>
      <c r="Q94" s="151">
        <f t="shared" ref="Q94" si="269">Q29/Q36</f>
        <v>0.15146666666666667</v>
      </c>
      <c r="R94" s="118">
        <f t="shared" ref="R94" si="270">((P94/G94)^(1/($H$2-$H$1) ))-1</f>
        <v>-1.3236458819971819E-3</v>
      </c>
      <c r="S94" s="20"/>
      <c r="T94" s="151">
        <f t="shared" ref="T94:AC94" si="271">T29/T36</f>
        <v>0.15146666666666669</v>
      </c>
      <c r="U94" s="151">
        <f t="shared" si="271"/>
        <v>0.15146666666666672</v>
      </c>
      <c r="V94" s="151">
        <f t="shared" si="271"/>
        <v>0.15146666666666672</v>
      </c>
      <c r="W94" s="151">
        <f t="shared" si="271"/>
        <v>0.15146666666666669</v>
      </c>
      <c r="X94" s="151">
        <f t="shared" si="271"/>
        <v>0.15146666666666672</v>
      </c>
      <c r="Y94" s="151">
        <f t="shared" si="271"/>
        <v>0.15146666666666672</v>
      </c>
      <c r="Z94" s="151">
        <f t="shared" si="271"/>
        <v>0.15146666666666672</v>
      </c>
      <c r="AA94" s="151">
        <f t="shared" si="271"/>
        <v>0.15146666666666675</v>
      </c>
      <c r="AB94" s="151">
        <f t="shared" si="271"/>
        <v>0.15146666666666672</v>
      </c>
      <c r="AC94" s="151">
        <f t="shared" si="271"/>
        <v>0.15146666666666672</v>
      </c>
      <c r="AD94" s="137">
        <f t="shared" ref="AD94" si="272">((AC94/G94)^(1/($AC$3-$H$1) ))-1</f>
        <v>-1.7848292531189691E-2</v>
      </c>
      <c r="AE94" s="145"/>
      <c r="AF94" s="145"/>
    </row>
    <row r="95" spans="2:32" ht="12" customHeight="1" x14ac:dyDescent="0.2">
      <c r="B95" s="20" t="s">
        <v>368</v>
      </c>
      <c r="C95" s="151"/>
      <c r="D95" s="151"/>
      <c r="E95" s="151"/>
      <c r="F95" s="151"/>
      <c r="G95" s="170">
        <f t="shared" ref="G95:P95" si="273">G29/G40</f>
        <v>0.54285714285714282</v>
      </c>
      <c r="H95" s="170">
        <f t="shared" si="273"/>
        <v>0.63492063492063489</v>
      </c>
      <c r="I95" s="170">
        <f t="shared" si="273"/>
        <v>0.5494505494505495</v>
      </c>
      <c r="J95" s="170">
        <f t="shared" si="273"/>
        <v>0.72649572649572647</v>
      </c>
      <c r="K95" s="170">
        <f t="shared" si="273"/>
        <v>0.39629629629629631</v>
      </c>
      <c r="L95" s="170">
        <f t="shared" si="273"/>
        <v>0.97841726618705038</v>
      </c>
      <c r="M95" s="170">
        <f t="shared" si="273"/>
        <v>0.28024502297090353</v>
      </c>
      <c r="N95" s="170">
        <f t="shared" si="273"/>
        <v>0.41950113378684806</v>
      </c>
      <c r="O95" s="170">
        <f t="shared" si="273"/>
        <v>0.69660194174757284</v>
      </c>
      <c r="P95" s="170">
        <f t="shared" si="273"/>
        <v>0.50814332247557004</v>
      </c>
      <c r="Q95" s="170">
        <f t="shared" ref="Q95" si="274">Q29/Q40</f>
        <v>0.28258706467661693</v>
      </c>
      <c r="R95" s="118">
        <f t="shared" ref="R95" si="275">((P95/G95)^(1/($H$2-$H$1) ))-1</f>
        <v>-6.5864792299186181E-3</v>
      </c>
      <c r="S95" s="20"/>
      <c r="T95" s="170">
        <f t="shared" ref="T95:AC95" si="276">T29/T40</f>
        <v>0.28258706467661693</v>
      </c>
      <c r="U95" s="170">
        <f t="shared" si="276"/>
        <v>0.28258706467661693</v>
      </c>
      <c r="V95" s="170">
        <f t="shared" si="276"/>
        <v>0.28258706467661693</v>
      </c>
      <c r="W95" s="170">
        <f t="shared" si="276"/>
        <v>0.28258706467661693</v>
      </c>
      <c r="X95" s="170">
        <f t="shared" si="276"/>
        <v>0.28258706467661693</v>
      </c>
      <c r="Y95" s="170">
        <f t="shared" si="276"/>
        <v>0.28258706467661693</v>
      </c>
      <c r="Z95" s="170">
        <f t="shared" si="276"/>
        <v>0.28258706467661693</v>
      </c>
      <c r="AA95" s="170">
        <f t="shared" si="276"/>
        <v>0.28258706467661693</v>
      </c>
      <c r="AB95" s="170">
        <f t="shared" si="276"/>
        <v>0.28258706467661687</v>
      </c>
      <c r="AC95" s="170">
        <f t="shared" si="276"/>
        <v>0.28258706467661693</v>
      </c>
      <c r="AD95" s="137">
        <f t="shared" ref="AD95" si="277">((AC95/G95)^(1/($AC$3-$H$1) ))-1</f>
        <v>-3.2115943285280335E-2</v>
      </c>
      <c r="AE95" s="145"/>
      <c r="AF95" s="145"/>
    </row>
    <row r="96" spans="2:32" ht="12" customHeight="1" x14ac:dyDescent="0.2">
      <c r="B96" s="20" t="s">
        <v>325</v>
      </c>
      <c r="C96" s="151"/>
      <c r="D96" s="151"/>
      <c r="E96" s="151"/>
      <c r="F96" s="151"/>
      <c r="G96" s="170">
        <f t="shared" ref="G96:P96" si="278">G29/G12</f>
        <v>0.34545454545454546</v>
      </c>
      <c r="H96" s="170">
        <f t="shared" si="278"/>
        <v>0.33057851239669422</v>
      </c>
      <c r="I96" s="170">
        <f t="shared" si="278"/>
        <v>0.21645021645021645</v>
      </c>
      <c r="J96" s="170">
        <f t="shared" si="278"/>
        <v>0.44041450777202074</v>
      </c>
      <c r="K96" s="170">
        <f t="shared" si="278"/>
        <v>0.37543859649122807</v>
      </c>
      <c r="L96" s="170">
        <f t="shared" si="278"/>
        <v>0.37673130193905818</v>
      </c>
      <c r="M96" s="170">
        <f t="shared" si="278"/>
        <v>0.52586206896551724</v>
      </c>
      <c r="N96" s="170">
        <f t="shared" si="278"/>
        <v>0.96858638743455494</v>
      </c>
      <c r="O96" s="170">
        <f t="shared" si="278"/>
        <v>1.6589595375722543</v>
      </c>
      <c r="P96" s="170">
        <f t="shared" si="278"/>
        <v>0.93134328358208951</v>
      </c>
      <c r="Q96" s="170">
        <f t="shared" ref="Q96" si="279">Q29/Q12</f>
        <v>0.43425076452599387</v>
      </c>
      <c r="R96" s="118">
        <f t="shared" si="245"/>
        <v>0.10426139007786284</v>
      </c>
      <c r="S96" s="20"/>
      <c r="T96" s="151">
        <f t="shared" ref="T96:AC96" si="280">T29/T12</f>
        <v>0.43425076452599393</v>
      </c>
      <c r="U96" s="151">
        <f t="shared" si="280"/>
        <v>0.43425076452599393</v>
      </c>
      <c r="V96" s="151">
        <f t="shared" si="280"/>
        <v>0.43425076452599398</v>
      </c>
      <c r="W96" s="151">
        <f t="shared" si="280"/>
        <v>0.43425076452599398</v>
      </c>
      <c r="X96" s="151">
        <f t="shared" si="280"/>
        <v>0.43425076452599393</v>
      </c>
      <c r="Y96" s="151">
        <f t="shared" si="280"/>
        <v>0.43425076452599393</v>
      </c>
      <c r="Z96" s="151">
        <f t="shared" si="280"/>
        <v>0.43425076452599393</v>
      </c>
      <c r="AA96" s="151">
        <f t="shared" si="280"/>
        <v>0.43425076452599398</v>
      </c>
      <c r="AB96" s="151">
        <f t="shared" si="280"/>
        <v>0.43425076452599393</v>
      </c>
      <c r="AC96" s="151">
        <f t="shared" si="280"/>
        <v>0.43425076452599398</v>
      </c>
      <c r="AD96" s="137">
        <f t="shared" si="247"/>
        <v>1.1503719305324456E-2</v>
      </c>
      <c r="AE96" s="145"/>
      <c r="AF96" s="145"/>
    </row>
    <row r="97" spans="2:32" ht="12" customHeight="1" x14ac:dyDescent="0.2">
      <c r="B97" s="20" t="s">
        <v>370</v>
      </c>
      <c r="C97" s="151"/>
      <c r="D97" s="151"/>
      <c r="E97" s="151"/>
      <c r="F97" s="151"/>
      <c r="G97" s="170">
        <f>G29/G23</f>
        <v>0.35849056603773582</v>
      </c>
      <c r="H97" s="170">
        <f t="shared" ref="H97:P97" si="281">H29/H23</f>
        <v>0.36363636363636365</v>
      </c>
      <c r="I97" s="170">
        <f t="shared" si="281"/>
        <v>0.21551724137931033</v>
      </c>
      <c r="J97" s="170">
        <f t="shared" si="281"/>
        <v>0.4941860465116279</v>
      </c>
      <c r="K97" s="170">
        <f t="shared" si="281"/>
        <v>0.40225563909774437</v>
      </c>
      <c r="L97" s="170">
        <f t="shared" si="281"/>
        <v>0.49816849816849818</v>
      </c>
      <c r="M97" s="170">
        <f t="shared" si="281"/>
        <v>0.73493975903614461</v>
      </c>
      <c r="N97" s="170">
        <f t="shared" si="281"/>
        <v>1.3805970149253732</v>
      </c>
      <c r="O97" s="170">
        <f t="shared" si="281"/>
        <v>2.7075471698113209</v>
      </c>
      <c r="P97" s="170">
        <f t="shared" si="281"/>
        <v>2.1666666666666665</v>
      </c>
      <c r="Q97" s="170">
        <f t="shared" ref="Q97" si="282">Q29/Q23</f>
        <v>1.3396226415094339</v>
      </c>
      <c r="R97" s="118">
        <f t="shared" ref="R97" si="283">((P97/G97)^(1/($H$2-$H$1) ))-1</f>
        <v>0.19710277366802686</v>
      </c>
      <c r="S97" s="20"/>
      <c r="T97" s="170">
        <f t="shared" ref="T97:AC97" si="284">T29/T23</f>
        <v>1.4426705370101598</v>
      </c>
      <c r="U97" s="170">
        <f t="shared" si="284"/>
        <v>1.5536451937032492</v>
      </c>
      <c r="V97" s="170">
        <f t="shared" si="284"/>
        <v>1.673156362449653</v>
      </c>
      <c r="W97" s="170">
        <f t="shared" si="284"/>
        <v>1.8018606980227032</v>
      </c>
      <c r="X97" s="170">
        <f t="shared" si="284"/>
        <v>1.9404653671013732</v>
      </c>
      <c r="Y97" s="170">
        <f t="shared" si="284"/>
        <v>2.0897319338014788</v>
      </c>
      <c r="Z97" s="170">
        <f t="shared" si="284"/>
        <v>2.2504805440939006</v>
      </c>
      <c r="AA97" s="170">
        <f t="shared" si="284"/>
        <v>2.4235944321011238</v>
      </c>
      <c r="AB97" s="170">
        <f t="shared" si="284"/>
        <v>2.6100247730319799</v>
      </c>
      <c r="AC97" s="170">
        <f t="shared" si="284"/>
        <v>2.8107959094190553</v>
      </c>
      <c r="AD97" s="137">
        <f t="shared" ref="AD97" si="285">((AC97/G97)^(1/($AC$3-$H$1) ))-1</f>
        <v>0.10845375533828205</v>
      </c>
      <c r="AE97" s="145"/>
      <c r="AF97" s="145"/>
    </row>
    <row r="98" spans="2:32" ht="12" customHeight="1" x14ac:dyDescent="0.2">
      <c r="B98" s="20"/>
      <c r="C98" s="151"/>
      <c r="D98" s="151"/>
      <c r="E98" s="151"/>
      <c r="F98" s="151"/>
      <c r="G98" s="170"/>
      <c r="H98" s="170"/>
      <c r="I98" s="170"/>
      <c r="J98" s="170"/>
      <c r="K98" s="170"/>
      <c r="L98" s="170"/>
      <c r="M98" s="170"/>
      <c r="N98" s="170"/>
      <c r="O98" s="170"/>
      <c r="P98" s="170"/>
      <c r="Q98" s="170"/>
      <c r="R98" s="170"/>
      <c r="S98" s="20"/>
      <c r="T98" s="151"/>
      <c r="U98" s="151"/>
      <c r="V98" s="151"/>
      <c r="W98" s="151"/>
      <c r="X98" s="151"/>
      <c r="Y98" s="151"/>
      <c r="Z98" s="151"/>
      <c r="AA98" s="151"/>
      <c r="AB98" s="151"/>
      <c r="AC98" s="151"/>
      <c r="AD98" s="151"/>
      <c r="AE98" s="145"/>
      <c r="AF98" s="145"/>
    </row>
    <row r="99" spans="2:32" ht="12" customHeight="1" x14ac:dyDescent="0.2">
      <c r="B99" s="20" t="s">
        <v>402</v>
      </c>
      <c r="C99" s="151"/>
      <c r="D99" s="151"/>
      <c r="E99" s="151"/>
      <c r="F99" s="151"/>
      <c r="G99" s="127">
        <f>1/G93</f>
        <v>51.578947368421055</v>
      </c>
      <c r="H99" s="127">
        <f t="shared" ref="H99:P99" si="286">1/H93</f>
        <v>56.024999999999999</v>
      </c>
      <c r="I99" s="127">
        <f t="shared" si="286"/>
        <v>54.279999999999994</v>
      </c>
      <c r="J99" s="127">
        <f t="shared" si="286"/>
        <v>50.635294117647057</v>
      </c>
      <c r="K99" s="127">
        <f t="shared" si="286"/>
        <v>44.654205607476634</v>
      </c>
      <c r="L99" s="127">
        <f t="shared" si="286"/>
        <v>36.816176470588239</v>
      </c>
      <c r="M99" s="127">
        <f t="shared" si="286"/>
        <v>43.693989071038253</v>
      </c>
      <c r="N99" s="127">
        <f t="shared" si="286"/>
        <v>50.637837837837836</v>
      </c>
      <c r="O99" s="127">
        <f t="shared" si="286"/>
        <v>43.247386759581886</v>
      </c>
      <c r="P99" s="127">
        <f t="shared" si="286"/>
        <v>41.596153846153847</v>
      </c>
      <c r="Q99" s="127">
        <f t="shared" ref="Q99" si="287">1/Q93</f>
        <v>47.514084507042256</v>
      </c>
      <c r="R99" s="118">
        <f t="shared" si="245"/>
        <v>-2.1280885765444291E-2</v>
      </c>
      <c r="S99" s="20"/>
      <c r="T99" s="127">
        <f t="shared" ref="T99:AC99" si="288">1/T93</f>
        <v>47.514084507042249</v>
      </c>
      <c r="U99" s="127">
        <f t="shared" si="288"/>
        <v>47.514084507042249</v>
      </c>
      <c r="V99" s="127">
        <f t="shared" si="288"/>
        <v>47.514084507042249</v>
      </c>
      <c r="W99" s="127">
        <f t="shared" si="288"/>
        <v>47.514084507042249</v>
      </c>
      <c r="X99" s="127">
        <f t="shared" si="288"/>
        <v>47.514084507042249</v>
      </c>
      <c r="Y99" s="127">
        <f t="shared" si="288"/>
        <v>47.514084507042249</v>
      </c>
      <c r="Z99" s="127">
        <f t="shared" si="288"/>
        <v>47.514084507042256</v>
      </c>
      <c r="AA99" s="127">
        <f t="shared" si="288"/>
        <v>47.514084507042249</v>
      </c>
      <c r="AB99" s="127">
        <f t="shared" si="288"/>
        <v>47.514084507042249</v>
      </c>
      <c r="AC99" s="127">
        <f t="shared" si="288"/>
        <v>47.514084507042242</v>
      </c>
      <c r="AD99" s="137">
        <f t="shared" si="247"/>
        <v>-4.0959590569000781E-3</v>
      </c>
      <c r="AE99" s="145"/>
      <c r="AF99" s="145"/>
    </row>
    <row r="100" spans="2:32" ht="12" customHeight="1" x14ac:dyDescent="0.2">
      <c r="B100" s="20" t="s">
        <v>403</v>
      </c>
      <c r="C100" s="151"/>
      <c r="D100" s="151"/>
      <c r="E100" s="151"/>
      <c r="F100" s="151"/>
      <c r="G100" s="127">
        <f t="shared" ref="G100:P103" si="289">1/G94</f>
        <v>4.6052631578947372</v>
      </c>
      <c r="H100" s="127">
        <f t="shared" si="289"/>
        <v>4.0250000000000004</v>
      </c>
      <c r="I100" s="127">
        <f t="shared" si="289"/>
        <v>4.62</v>
      </c>
      <c r="J100" s="127">
        <f t="shared" si="289"/>
        <v>4.7294117647058824</v>
      </c>
      <c r="K100" s="127">
        <f t="shared" si="289"/>
        <v>5.8317757009345792</v>
      </c>
      <c r="L100" s="127">
        <f t="shared" si="289"/>
        <v>3.3529411764705883</v>
      </c>
      <c r="M100" s="127">
        <f t="shared" si="289"/>
        <v>6.8142076502732234</v>
      </c>
      <c r="N100" s="127">
        <f t="shared" si="289"/>
        <v>5.2864864864864867</v>
      </c>
      <c r="O100" s="127">
        <f t="shared" si="289"/>
        <v>4.0662020905923342</v>
      </c>
      <c r="P100" s="127">
        <f t="shared" si="289"/>
        <v>4.666666666666667</v>
      </c>
      <c r="Q100" s="127">
        <f t="shared" ref="Q100" si="290">1/Q94</f>
        <v>6.602112676056338</v>
      </c>
      <c r="R100" s="118">
        <f t="shared" si="245"/>
        <v>1.3254002425702183E-3</v>
      </c>
      <c r="S100" s="20"/>
      <c r="T100" s="127">
        <f t="shared" ref="T100:AC100" si="291">1/T94</f>
        <v>6.6021126760563371</v>
      </c>
      <c r="U100" s="127">
        <f t="shared" si="291"/>
        <v>6.6021126760563353</v>
      </c>
      <c r="V100" s="127">
        <f t="shared" si="291"/>
        <v>6.6021126760563353</v>
      </c>
      <c r="W100" s="127">
        <f t="shared" si="291"/>
        <v>6.6021126760563371</v>
      </c>
      <c r="X100" s="127">
        <f t="shared" si="291"/>
        <v>6.6021126760563353</v>
      </c>
      <c r="Y100" s="127">
        <f t="shared" si="291"/>
        <v>6.6021126760563353</v>
      </c>
      <c r="Z100" s="127">
        <f t="shared" si="291"/>
        <v>6.6021126760563353</v>
      </c>
      <c r="AA100" s="127">
        <f t="shared" si="291"/>
        <v>6.6021126760563345</v>
      </c>
      <c r="AB100" s="127">
        <f t="shared" si="291"/>
        <v>6.6021126760563353</v>
      </c>
      <c r="AC100" s="127">
        <f t="shared" si="291"/>
        <v>6.6021126760563353</v>
      </c>
      <c r="AD100" s="137">
        <f t="shared" si="247"/>
        <v>1.817264318278089E-2</v>
      </c>
      <c r="AE100" s="145"/>
      <c r="AF100" s="145"/>
    </row>
    <row r="101" spans="2:32" ht="12" customHeight="1" x14ac:dyDescent="0.2">
      <c r="B101" s="20" t="s">
        <v>404</v>
      </c>
      <c r="C101" s="151"/>
      <c r="D101" s="151"/>
      <c r="E101" s="151"/>
      <c r="F101" s="151"/>
      <c r="G101" s="127">
        <f t="shared" si="289"/>
        <v>1.8421052631578949</v>
      </c>
      <c r="H101" s="127">
        <f t="shared" si="289"/>
        <v>1.5750000000000002</v>
      </c>
      <c r="I101" s="127">
        <f t="shared" si="289"/>
        <v>1.8199999999999998</v>
      </c>
      <c r="J101" s="127">
        <f t="shared" si="289"/>
        <v>1.3764705882352941</v>
      </c>
      <c r="K101" s="127">
        <f t="shared" si="289"/>
        <v>2.5233644859813085</v>
      </c>
      <c r="L101" s="127">
        <f t="shared" si="289"/>
        <v>1.0220588235294117</v>
      </c>
      <c r="M101" s="127">
        <f t="shared" si="289"/>
        <v>3.5683060109289615</v>
      </c>
      <c r="N101" s="127">
        <f t="shared" si="289"/>
        <v>2.3837837837837839</v>
      </c>
      <c r="O101" s="127">
        <f t="shared" si="289"/>
        <v>1.4355400696864111</v>
      </c>
      <c r="P101" s="127">
        <f t="shared" si="289"/>
        <v>1.9679487179487178</v>
      </c>
      <c r="Q101" s="127">
        <f t="shared" ref="Q101" si="292">1/Q95</f>
        <v>3.538732394366197</v>
      </c>
      <c r="R101" s="118">
        <f t="shared" si="245"/>
        <v>6.6301485657380699E-3</v>
      </c>
      <c r="S101" s="20"/>
      <c r="T101" s="127">
        <f t="shared" ref="T101:AC101" si="293">1/T95</f>
        <v>3.538732394366197</v>
      </c>
      <c r="U101" s="127">
        <f t="shared" si="293"/>
        <v>3.538732394366197</v>
      </c>
      <c r="V101" s="127">
        <f t="shared" si="293"/>
        <v>3.538732394366197</v>
      </c>
      <c r="W101" s="127">
        <f t="shared" si="293"/>
        <v>3.538732394366197</v>
      </c>
      <c r="X101" s="127">
        <f t="shared" si="293"/>
        <v>3.538732394366197</v>
      </c>
      <c r="Y101" s="127">
        <f t="shared" si="293"/>
        <v>3.538732394366197</v>
      </c>
      <c r="Z101" s="127">
        <f t="shared" si="293"/>
        <v>3.538732394366197</v>
      </c>
      <c r="AA101" s="127">
        <f t="shared" si="293"/>
        <v>3.538732394366197</v>
      </c>
      <c r="AB101" s="127">
        <f t="shared" si="293"/>
        <v>3.5387323943661979</v>
      </c>
      <c r="AC101" s="127">
        <f t="shared" si="293"/>
        <v>3.538732394366197</v>
      </c>
      <c r="AD101" s="137">
        <f t="shared" si="247"/>
        <v>3.318160172437512E-2</v>
      </c>
      <c r="AE101" s="145"/>
      <c r="AF101" s="145"/>
    </row>
    <row r="102" spans="2:32" ht="12" customHeight="1" x14ac:dyDescent="0.2">
      <c r="B102" s="20" t="s">
        <v>405</v>
      </c>
      <c r="C102" s="151"/>
      <c r="D102" s="151"/>
      <c r="E102" s="151"/>
      <c r="F102" s="151"/>
      <c r="G102" s="127">
        <f t="shared" si="289"/>
        <v>2.8947368421052633</v>
      </c>
      <c r="H102" s="127">
        <f t="shared" si="289"/>
        <v>3.0249999999999999</v>
      </c>
      <c r="I102" s="127">
        <f t="shared" si="289"/>
        <v>4.62</v>
      </c>
      <c r="J102" s="127">
        <f t="shared" si="289"/>
        <v>2.2705882352941176</v>
      </c>
      <c r="K102" s="127">
        <f t="shared" si="289"/>
        <v>2.6635514018691588</v>
      </c>
      <c r="L102" s="127">
        <f t="shared" si="289"/>
        <v>2.6544117647058822</v>
      </c>
      <c r="M102" s="127">
        <f t="shared" si="289"/>
        <v>1.9016393442622952</v>
      </c>
      <c r="N102" s="127">
        <f t="shared" si="289"/>
        <v>1.0324324324324325</v>
      </c>
      <c r="O102" s="127">
        <f t="shared" si="289"/>
        <v>0.60278745644599308</v>
      </c>
      <c r="P102" s="127">
        <f t="shared" si="289"/>
        <v>1.0737179487179487</v>
      </c>
      <c r="Q102" s="127">
        <f t="shared" ref="Q102" si="294">1/Q96</f>
        <v>2.302816901408451</v>
      </c>
      <c r="R102" s="118">
        <f t="shared" si="245"/>
        <v>-9.441731008136689E-2</v>
      </c>
      <c r="S102" s="20"/>
      <c r="T102" s="127">
        <f t="shared" ref="T102:AC102" si="295">1/T96</f>
        <v>2.3028169014084505</v>
      </c>
      <c r="U102" s="127">
        <f t="shared" si="295"/>
        <v>2.3028169014084505</v>
      </c>
      <c r="V102" s="127">
        <f t="shared" si="295"/>
        <v>2.3028169014084501</v>
      </c>
      <c r="W102" s="127">
        <f t="shared" si="295"/>
        <v>2.3028169014084501</v>
      </c>
      <c r="X102" s="127">
        <f t="shared" si="295"/>
        <v>2.3028169014084505</v>
      </c>
      <c r="Y102" s="127">
        <f t="shared" si="295"/>
        <v>2.3028169014084505</v>
      </c>
      <c r="Z102" s="127">
        <f t="shared" si="295"/>
        <v>2.3028169014084505</v>
      </c>
      <c r="AA102" s="127">
        <f t="shared" si="295"/>
        <v>2.3028169014084501</v>
      </c>
      <c r="AB102" s="127">
        <f t="shared" si="295"/>
        <v>2.3028169014084505</v>
      </c>
      <c r="AC102" s="127">
        <f t="shared" si="295"/>
        <v>2.3028169014084501</v>
      </c>
      <c r="AD102" s="137">
        <f t="shared" si="247"/>
        <v>-1.1372888785050494E-2</v>
      </c>
      <c r="AE102" s="145"/>
      <c r="AF102" s="145"/>
    </row>
    <row r="103" spans="2:32" ht="12" customHeight="1" x14ac:dyDescent="0.2">
      <c r="B103" s="20" t="s">
        <v>406</v>
      </c>
      <c r="C103" s="151"/>
      <c r="D103" s="151"/>
      <c r="E103" s="151"/>
      <c r="F103" s="151"/>
      <c r="G103" s="127">
        <f t="shared" si="289"/>
        <v>2.7894736842105265</v>
      </c>
      <c r="H103" s="127">
        <f t="shared" si="289"/>
        <v>2.75</v>
      </c>
      <c r="I103" s="127">
        <f t="shared" si="289"/>
        <v>4.6400000000000006</v>
      </c>
      <c r="J103" s="127">
        <f t="shared" si="289"/>
        <v>2.0235294117647058</v>
      </c>
      <c r="K103" s="127">
        <f t="shared" si="289"/>
        <v>2.485981308411215</v>
      </c>
      <c r="L103" s="127">
        <f t="shared" si="289"/>
        <v>2.0073529411764706</v>
      </c>
      <c r="M103" s="127">
        <f t="shared" si="289"/>
        <v>1.360655737704918</v>
      </c>
      <c r="N103" s="127">
        <f t="shared" si="289"/>
        <v>0.72432432432432425</v>
      </c>
      <c r="O103" s="127">
        <f t="shared" si="289"/>
        <v>0.36933797909407662</v>
      </c>
      <c r="P103" s="127">
        <f t="shared" si="289"/>
        <v>0.46153846153846156</v>
      </c>
      <c r="Q103" s="127">
        <f t="shared" ref="Q103" si="296">1/Q97</f>
        <v>0.74647887323943662</v>
      </c>
      <c r="R103" s="118">
        <f t="shared" si="245"/>
        <v>-0.16464983458695603</v>
      </c>
      <c r="S103" s="20"/>
      <c r="T103" s="127">
        <f t="shared" ref="T103:AC103" si="297">1/T97</f>
        <v>0.69315895372233394</v>
      </c>
      <c r="U103" s="127">
        <f t="shared" si="297"/>
        <v>0.64364759988502429</v>
      </c>
      <c r="V103" s="127">
        <f t="shared" si="297"/>
        <v>0.59767277132180829</v>
      </c>
      <c r="W103" s="127">
        <f t="shared" si="297"/>
        <v>0.55498185908453623</v>
      </c>
      <c r="X103" s="127">
        <f t="shared" si="297"/>
        <v>0.51534029772135492</v>
      </c>
      <c r="Y103" s="127">
        <f t="shared" si="297"/>
        <v>0.47853027645554391</v>
      </c>
      <c r="Z103" s="127">
        <f t="shared" si="297"/>
        <v>0.44434954242300495</v>
      </c>
      <c r="AA103" s="127">
        <f t="shared" si="297"/>
        <v>0.41261028939279032</v>
      </c>
      <c r="AB103" s="127">
        <f t="shared" si="297"/>
        <v>0.38313812586473384</v>
      </c>
      <c r="AC103" s="127">
        <f t="shared" si="297"/>
        <v>0.35577111687439567</v>
      </c>
      <c r="AD103" s="137">
        <f t="shared" si="247"/>
        <v>-9.7842381620317331E-2</v>
      </c>
      <c r="AE103" s="145"/>
      <c r="AF103" s="145"/>
    </row>
    <row r="104" spans="2:32" ht="12" customHeight="1" x14ac:dyDescent="0.2">
      <c r="B104" s="20"/>
      <c r="C104" s="151"/>
      <c r="D104" s="151"/>
      <c r="E104" s="151"/>
      <c r="F104" s="151"/>
      <c r="G104" s="170"/>
      <c r="H104" s="170"/>
      <c r="I104" s="170"/>
      <c r="J104" s="170"/>
      <c r="K104" s="170"/>
      <c r="L104" s="170"/>
      <c r="M104" s="170"/>
      <c r="N104" s="170"/>
      <c r="O104" s="170"/>
      <c r="P104" s="170"/>
      <c r="Q104" s="170"/>
      <c r="R104" s="170"/>
      <c r="S104" s="20"/>
      <c r="T104" s="151"/>
      <c r="U104" s="151"/>
      <c r="V104" s="151"/>
      <c r="W104" s="151"/>
      <c r="X104" s="151"/>
      <c r="Y104" s="151"/>
      <c r="Z104" s="151"/>
      <c r="AA104" s="151"/>
      <c r="AB104" s="151"/>
      <c r="AC104" s="151"/>
      <c r="AD104" s="151"/>
      <c r="AE104" s="145"/>
      <c r="AF104" s="145"/>
    </row>
    <row r="105" spans="2:32" ht="12" customHeight="1" x14ac:dyDescent="0.2">
      <c r="B105" s="20"/>
      <c r="C105" s="151"/>
      <c r="D105" s="151"/>
      <c r="E105" s="151"/>
      <c r="F105" s="151"/>
      <c r="G105" s="170"/>
      <c r="H105" s="170"/>
      <c r="I105" s="170"/>
      <c r="J105" s="170"/>
      <c r="K105" s="170"/>
      <c r="L105" s="170"/>
      <c r="M105" s="170"/>
      <c r="N105" s="170"/>
      <c r="O105" s="170"/>
      <c r="P105" s="170"/>
      <c r="Q105" s="170"/>
      <c r="R105" s="170"/>
      <c r="S105" s="20"/>
      <c r="T105" s="151"/>
      <c r="U105" s="151"/>
      <c r="V105" s="151"/>
      <c r="W105" s="151"/>
      <c r="X105" s="151"/>
      <c r="Y105" s="151"/>
      <c r="Z105" s="151"/>
      <c r="AA105" s="151"/>
      <c r="AB105" s="151"/>
      <c r="AC105" s="151"/>
      <c r="AD105" s="151"/>
      <c r="AE105" s="145"/>
      <c r="AF105" s="145"/>
    </row>
    <row r="106" spans="2:32" x14ac:dyDescent="0.2">
      <c r="B106" s="20" t="s">
        <v>326</v>
      </c>
      <c r="C106" s="151"/>
      <c r="D106" s="151"/>
      <c r="E106" s="151"/>
      <c r="F106" s="162">
        <f t="shared" ref="F106:O106" si="298">F10-(F12+F13)</f>
        <v>0</v>
      </c>
      <c r="G106" s="162">
        <f t="shared" si="298"/>
        <v>247</v>
      </c>
      <c r="H106" s="162">
        <f t="shared" si="298"/>
        <v>420</v>
      </c>
      <c r="I106" s="162">
        <f t="shared" si="298"/>
        <v>518.6</v>
      </c>
      <c r="J106" s="162">
        <f t="shared" si="298"/>
        <v>625</v>
      </c>
      <c r="K106" s="162">
        <f t="shared" si="298"/>
        <v>356</v>
      </c>
      <c r="L106" s="162">
        <f t="shared" si="298"/>
        <v>524</v>
      </c>
      <c r="M106" s="162">
        <f t="shared" si="298"/>
        <v>1353</v>
      </c>
      <c r="N106" s="162">
        <f t="shared" si="298"/>
        <v>2278</v>
      </c>
      <c r="O106" s="162">
        <f t="shared" si="298"/>
        <v>2360</v>
      </c>
      <c r="P106" s="162">
        <f>P10-(P12+P13)</f>
        <v>1891</v>
      </c>
      <c r="Q106" s="162">
        <f>Q10-(Q12+Q13)</f>
        <v>270</v>
      </c>
      <c r="R106" s="118">
        <f t="shared" si="245"/>
        <v>0.22574310107411222</v>
      </c>
      <c r="S106" s="20"/>
      <c r="T106" s="162">
        <f>T10-(T12+T13)</f>
        <v>302.40000000000009</v>
      </c>
      <c r="U106" s="162">
        <f t="shared" ref="U106:AC106" si="299">U10-(U12+U13)</f>
        <v>338.68800000000022</v>
      </c>
      <c r="V106" s="162">
        <f t="shared" si="299"/>
        <v>379.33056000000033</v>
      </c>
      <c r="W106" s="162">
        <f t="shared" si="299"/>
        <v>424.85022720000029</v>
      </c>
      <c r="X106" s="162">
        <f t="shared" si="299"/>
        <v>475.83225446400047</v>
      </c>
      <c r="Y106" s="162">
        <f t="shared" si="299"/>
        <v>532.93212499968035</v>
      </c>
      <c r="Z106" s="162">
        <f t="shared" si="299"/>
        <v>596.88397999964218</v>
      </c>
      <c r="AA106" s="162">
        <f t="shared" si="299"/>
        <v>668.51005759959935</v>
      </c>
      <c r="AB106" s="162">
        <f t="shared" si="299"/>
        <v>748.73126451155144</v>
      </c>
      <c r="AC106" s="162">
        <f t="shared" si="299"/>
        <v>838.57901625293789</v>
      </c>
      <c r="AD106" s="137">
        <f t="shared" si="247"/>
        <v>6.3022242882888824E-2</v>
      </c>
      <c r="AE106" s="145"/>
      <c r="AF106" s="145"/>
    </row>
    <row r="107" spans="2:32" ht="12" customHeight="1" x14ac:dyDescent="0.2">
      <c r="B107" s="20" t="s">
        <v>321</v>
      </c>
      <c r="C107" s="20"/>
      <c r="D107" s="20"/>
      <c r="E107" s="20"/>
      <c r="F107" s="20"/>
      <c r="G107" s="151">
        <f t="shared" ref="G107:P107" si="300">G40/G18</f>
        <v>0.10802469135802469</v>
      </c>
      <c r="H107" s="151">
        <f t="shared" si="300"/>
        <v>8.0152671755725186E-2</v>
      </c>
      <c r="I107" s="151">
        <f t="shared" si="300"/>
        <v>0.10833333333333334</v>
      </c>
      <c r="J107" s="151">
        <f t="shared" si="300"/>
        <v>9.055727554179567E-2</v>
      </c>
      <c r="K107" s="151">
        <f t="shared" si="300"/>
        <v>0.22022838499184338</v>
      </c>
      <c r="L107" s="151">
        <f t="shared" si="300"/>
        <v>9.7543859649122808E-2</v>
      </c>
      <c r="M107" s="151">
        <f t="shared" si="300"/>
        <v>0.25507812499999999</v>
      </c>
      <c r="N107" s="151">
        <f t="shared" si="300"/>
        <v>0.12531969309462915</v>
      </c>
      <c r="O107" s="151">
        <f t="shared" si="300"/>
        <v>9.910993504931441E-2</v>
      </c>
      <c r="P107" s="151">
        <f t="shared" si="300"/>
        <v>0.14239332096474955</v>
      </c>
      <c r="Q107" s="151">
        <f t="shared" ref="Q107" si="301">Q40/Q18</f>
        <v>0.22323411816970234</v>
      </c>
      <c r="R107" s="118">
        <f t="shared" si="245"/>
        <v>2.8008388466062017E-2</v>
      </c>
      <c r="S107" s="20"/>
      <c r="T107" s="151">
        <f t="shared" ref="T107:AC107" si="302">T40/T18</f>
        <v>0.22323411816970234</v>
      </c>
      <c r="U107" s="151">
        <f t="shared" si="302"/>
        <v>0.22323411816970234</v>
      </c>
      <c r="V107" s="151">
        <f t="shared" si="302"/>
        <v>0.22323411816970234</v>
      </c>
      <c r="W107" s="151">
        <f t="shared" si="302"/>
        <v>0.22323411816970237</v>
      </c>
      <c r="X107" s="151">
        <f t="shared" si="302"/>
        <v>0.2232341181697024</v>
      </c>
      <c r="Y107" s="151">
        <f t="shared" si="302"/>
        <v>0.2232341181697024</v>
      </c>
      <c r="Z107" s="151">
        <f t="shared" si="302"/>
        <v>0.2232341181697024</v>
      </c>
      <c r="AA107" s="151">
        <f t="shared" si="302"/>
        <v>0.22323411816970243</v>
      </c>
      <c r="AB107" s="151">
        <f t="shared" si="302"/>
        <v>0.22323411816970243</v>
      </c>
      <c r="AC107" s="151">
        <f t="shared" si="302"/>
        <v>0.22323411816970243</v>
      </c>
      <c r="AD107" s="137">
        <f t="shared" si="247"/>
        <v>3.6959696138828102E-2</v>
      </c>
      <c r="AE107" s="20"/>
      <c r="AF107" s="20"/>
    </row>
    <row r="108" spans="2:32" x14ac:dyDescent="0.2">
      <c r="B108" s="20" t="s">
        <v>322</v>
      </c>
      <c r="C108" s="20"/>
      <c r="D108" s="20"/>
      <c r="E108" s="20"/>
      <c r="F108" s="20"/>
      <c r="G108" s="151">
        <f t="shared" ref="G108:P108" si="303">G40/G25</f>
        <v>3.5714285714285712E-2</v>
      </c>
      <c r="H108" s="151">
        <f t="shared" si="303"/>
        <v>2.8112449799196786E-2</v>
      </c>
      <c r="I108" s="151">
        <f t="shared" si="303"/>
        <v>3.3529845246868091E-2</v>
      </c>
      <c r="J108" s="151">
        <f t="shared" si="303"/>
        <v>2.7184014869888477E-2</v>
      </c>
      <c r="K108" s="151">
        <f t="shared" si="303"/>
        <v>5.6508999581414816E-2</v>
      </c>
      <c r="L108" s="151">
        <f t="shared" si="303"/>
        <v>2.7761134411823447E-2</v>
      </c>
      <c r="M108" s="151">
        <f t="shared" si="303"/>
        <v>8.1665832916458223E-2</v>
      </c>
      <c r="N108" s="151">
        <f t="shared" si="303"/>
        <v>4.7075149444918876E-2</v>
      </c>
      <c r="O108" s="151">
        <f t="shared" si="303"/>
        <v>3.319368353206574E-2</v>
      </c>
      <c r="P108" s="151">
        <f t="shared" si="303"/>
        <v>4.731083371860071E-2</v>
      </c>
      <c r="Q108" s="151">
        <f t="shared" ref="Q108" si="304">Q40/Q25</f>
        <v>7.4477545575811474E-2</v>
      </c>
      <c r="R108" s="118">
        <f t="shared" si="245"/>
        <v>2.8517920949169717E-2</v>
      </c>
      <c r="S108" s="20"/>
      <c r="T108" s="151">
        <f t="shared" ref="T108:AC108" si="305">T40/T25</f>
        <v>7.4477545575811474E-2</v>
      </c>
      <c r="U108" s="151">
        <f t="shared" si="305"/>
        <v>7.4477545575811474E-2</v>
      </c>
      <c r="V108" s="151">
        <f t="shared" si="305"/>
        <v>7.4477545575811474E-2</v>
      </c>
      <c r="W108" s="151">
        <f t="shared" si="305"/>
        <v>7.4477545575811474E-2</v>
      </c>
      <c r="X108" s="151">
        <f t="shared" si="305"/>
        <v>7.4477545575811474E-2</v>
      </c>
      <c r="Y108" s="151">
        <f t="shared" si="305"/>
        <v>7.4477545575811474E-2</v>
      </c>
      <c r="Z108" s="151">
        <f t="shared" si="305"/>
        <v>7.4477545575811474E-2</v>
      </c>
      <c r="AA108" s="151">
        <f t="shared" si="305"/>
        <v>7.4477545575811488E-2</v>
      </c>
      <c r="AB108" s="151">
        <f t="shared" si="305"/>
        <v>7.4477545575811488E-2</v>
      </c>
      <c r="AC108" s="151">
        <f t="shared" si="305"/>
        <v>7.4477545575811488E-2</v>
      </c>
      <c r="AD108" s="137">
        <f t="shared" si="247"/>
        <v>3.7430876117315659E-2</v>
      </c>
      <c r="AE108" s="20"/>
      <c r="AF108" s="20"/>
    </row>
    <row r="109" spans="2:32" x14ac:dyDescent="0.2">
      <c r="B109" s="20" t="s">
        <v>348</v>
      </c>
      <c r="C109" s="20"/>
      <c r="D109" s="20"/>
      <c r="E109" s="151"/>
      <c r="F109" s="151"/>
      <c r="G109" s="151">
        <f t="shared" ref="G109:O109" si="306">G25/G18</f>
        <v>3.0246913580246915</v>
      </c>
      <c r="H109" s="151">
        <f t="shared" si="306"/>
        <v>2.8511450381679388</v>
      </c>
      <c r="I109" s="151">
        <f t="shared" si="306"/>
        <v>3.230952380952381</v>
      </c>
      <c r="J109" s="151">
        <f t="shared" si="306"/>
        <v>3.3312693498452011</v>
      </c>
      <c r="K109" s="151">
        <f t="shared" si="306"/>
        <v>3.897226753670473</v>
      </c>
      <c r="L109" s="151">
        <f t="shared" si="306"/>
        <v>3.513684210526316</v>
      </c>
      <c r="M109" s="151">
        <f t="shared" si="306"/>
        <v>3.1234375000000001</v>
      </c>
      <c r="N109" s="151">
        <f t="shared" si="306"/>
        <v>2.662119920431941</v>
      </c>
      <c r="O109" s="151">
        <f t="shared" si="306"/>
        <v>2.9858070724079866</v>
      </c>
      <c r="P109" s="151">
        <f>P25/P18</f>
        <v>3.0097402597402598</v>
      </c>
      <c r="Q109" s="151">
        <f>Q25/Q18</f>
        <v>2.9973345179920035</v>
      </c>
      <c r="R109" s="118">
        <f t="shared" si="245"/>
        <v>-4.9540457461105802E-4</v>
      </c>
      <c r="S109" s="20"/>
      <c r="T109" s="151">
        <f>T25/T18</f>
        <v>2.9973345179920035</v>
      </c>
      <c r="U109" s="151">
        <f t="shared" ref="U109:AC109" si="307">U25/U18</f>
        <v>2.997334517992003</v>
      </c>
      <c r="V109" s="151">
        <f t="shared" si="307"/>
        <v>2.9973345179920035</v>
      </c>
      <c r="W109" s="151">
        <f t="shared" si="307"/>
        <v>2.9973345179920035</v>
      </c>
      <c r="X109" s="151">
        <f t="shared" si="307"/>
        <v>2.9973345179920035</v>
      </c>
      <c r="Y109" s="151">
        <f t="shared" si="307"/>
        <v>2.9973345179920039</v>
      </c>
      <c r="Z109" s="151">
        <f t="shared" si="307"/>
        <v>2.9973345179920039</v>
      </c>
      <c r="AA109" s="151">
        <f t="shared" si="307"/>
        <v>2.9973345179920039</v>
      </c>
      <c r="AB109" s="151">
        <f t="shared" si="307"/>
        <v>2.9973345179920039</v>
      </c>
      <c r="AC109" s="151">
        <f t="shared" si="307"/>
        <v>2.9973345179920035</v>
      </c>
      <c r="AD109" s="137">
        <f t="shared" si="247"/>
        <v>-4.5417963676863682E-4</v>
      </c>
      <c r="AE109" s="20"/>
      <c r="AF109" s="20"/>
    </row>
    <row r="110" spans="2:32" x14ac:dyDescent="0.2">
      <c r="B110" s="20"/>
      <c r="C110" s="20"/>
      <c r="D110" s="20"/>
      <c r="E110" s="20"/>
      <c r="F110" s="20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28"/>
      <c r="S110" s="20"/>
      <c r="T110" s="151"/>
      <c r="U110" s="151"/>
      <c r="V110" s="151"/>
      <c r="W110" s="151"/>
      <c r="X110" s="151"/>
      <c r="Y110" s="151"/>
      <c r="Z110" s="151"/>
      <c r="AA110" s="151"/>
      <c r="AB110" s="151"/>
      <c r="AC110" s="151"/>
      <c r="AD110" s="128"/>
      <c r="AE110" s="20"/>
      <c r="AF110" s="20"/>
    </row>
    <row r="111" spans="2:32" x14ac:dyDescent="0.2">
      <c r="B111" s="20" t="s">
        <v>334</v>
      </c>
      <c r="C111" s="20"/>
      <c r="D111" s="20"/>
      <c r="E111" s="164">
        <f t="shared" ref="E111:F111" si="308">E70*E42</f>
        <v>0</v>
      </c>
      <c r="F111" s="164">
        <f t="shared" si="308"/>
        <v>0</v>
      </c>
      <c r="G111" s="164">
        <f>G70*G42</f>
        <v>17.234999999999999</v>
      </c>
      <c r="H111" s="164">
        <f t="shared" ref="H111:P111" si="309">H70*H42</f>
        <v>17.234999999999999</v>
      </c>
      <c r="I111" s="164">
        <f t="shared" si="309"/>
        <v>17.234999999999999</v>
      </c>
      <c r="J111" s="164">
        <f t="shared" si="309"/>
        <v>20.88</v>
      </c>
      <c r="K111" s="164">
        <f t="shared" si="309"/>
        <v>24.42</v>
      </c>
      <c r="L111" s="164">
        <f t="shared" si="309"/>
        <v>22.68</v>
      </c>
      <c r="M111" s="164">
        <f t="shared" si="309"/>
        <v>37.799999999999997</v>
      </c>
      <c r="N111" s="164">
        <f t="shared" si="309"/>
        <v>25.2</v>
      </c>
      <c r="O111" s="164">
        <f t="shared" si="309"/>
        <v>25.2</v>
      </c>
      <c r="P111" s="164">
        <f t="shared" si="309"/>
        <v>25.2</v>
      </c>
      <c r="Q111" s="164">
        <f t="shared" ref="Q111" si="310">Q70*Q42</f>
        <v>37.799999999999997</v>
      </c>
      <c r="R111" s="118">
        <f t="shared" si="245"/>
        <v>3.8721032021620694E-2</v>
      </c>
      <c r="S111" s="20"/>
      <c r="T111" s="164">
        <f t="shared" ref="T111:AC111" si="311">T70*T42</f>
        <v>41.028120000000001</v>
      </c>
      <c r="U111" s="164">
        <f t="shared" si="311"/>
        <v>44.531921447999999</v>
      </c>
      <c r="V111" s="164">
        <f t="shared" si="311"/>
        <v>48.334947539659197</v>
      </c>
      <c r="W111" s="164">
        <f t="shared" si="311"/>
        <v>52.462752059546084</v>
      </c>
      <c r="X111" s="164">
        <f t="shared" si="311"/>
        <v>56.94307108543132</v>
      </c>
      <c r="Y111" s="164">
        <f t="shared" si="311"/>
        <v>61.806009356127156</v>
      </c>
      <c r="Z111" s="164">
        <f t="shared" si="311"/>
        <v>67.084242555140406</v>
      </c>
      <c r="AA111" s="164">
        <f t="shared" si="311"/>
        <v>72.813236869349396</v>
      </c>
      <c r="AB111" s="164">
        <f t="shared" si="311"/>
        <v>79.031487297991831</v>
      </c>
      <c r="AC111" s="164">
        <f t="shared" si="311"/>
        <v>85.780776313240324</v>
      </c>
      <c r="AD111" s="137">
        <f t="shared" si="247"/>
        <v>8.3549944500805218E-2</v>
      </c>
      <c r="AE111" s="20"/>
      <c r="AF111" s="20"/>
    </row>
    <row r="112" spans="2:32" x14ac:dyDescent="0.2">
      <c r="B112" s="20" t="s">
        <v>335</v>
      </c>
      <c r="C112" s="20"/>
      <c r="D112" s="20"/>
      <c r="E112" s="164">
        <f>(E111*0.17)+E111</f>
        <v>0</v>
      </c>
      <c r="F112" s="164">
        <f>(F111*0.17)+F111</f>
        <v>0</v>
      </c>
      <c r="G112" s="164">
        <f t="shared" ref="G112:P112" si="312">(G111*0.17)+G111</f>
        <v>20.164950000000001</v>
      </c>
      <c r="H112" s="164">
        <f t="shared" si="312"/>
        <v>20.164950000000001</v>
      </c>
      <c r="I112" s="164">
        <f t="shared" si="312"/>
        <v>20.164950000000001</v>
      </c>
      <c r="J112" s="164">
        <f t="shared" si="312"/>
        <v>24.429600000000001</v>
      </c>
      <c r="K112" s="164">
        <f t="shared" si="312"/>
        <v>28.571400000000004</v>
      </c>
      <c r="L112" s="164">
        <f t="shared" si="312"/>
        <v>26.535599999999999</v>
      </c>
      <c r="M112" s="164">
        <f t="shared" si="312"/>
        <v>44.225999999999999</v>
      </c>
      <c r="N112" s="164">
        <f t="shared" si="312"/>
        <v>29.483999999999998</v>
      </c>
      <c r="O112" s="164">
        <f t="shared" si="312"/>
        <v>29.483999999999998</v>
      </c>
      <c r="P112" s="164">
        <f t="shared" si="312"/>
        <v>29.483999999999998</v>
      </c>
      <c r="Q112" s="164">
        <f t="shared" ref="Q112" si="313">(Q111*0.17)+Q111</f>
        <v>44.225999999999999</v>
      </c>
      <c r="R112" s="118">
        <f t="shared" si="245"/>
        <v>3.8721032021620694E-2</v>
      </c>
      <c r="S112" s="20"/>
      <c r="T112" s="164">
        <f t="shared" ref="T112:AC112" si="314">(T111*0.17)+T111</f>
        <v>48.002900400000001</v>
      </c>
      <c r="U112" s="164">
        <f t="shared" si="314"/>
        <v>52.10234809416</v>
      </c>
      <c r="V112" s="164">
        <f t="shared" si="314"/>
        <v>56.551888621401261</v>
      </c>
      <c r="W112" s="164">
        <f t="shared" si="314"/>
        <v>61.381419909668921</v>
      </c>
      <c r="X112" s="164">
        <f t="shared" si="314"/>
        <v>66.623393169954653</v>
      </c>
      <c r="Y112" s="164">
        <f t="shared" si="314"/>
        <v>72.313030946668775</v>
      </c>
      <c r="Z112" s="164">
        <f t="shared" si="314"/>
        <v>78.488563789514274</v>
      </c>
      <c r="AA112" s="164">
        <f t="shared" si="314"/>
        <v>85.191487137138793</v>
      </c>
      <c r="AB112" s="164">
        <f t="shared" si="314"/>
        <v>92.46684013865044</v>
      </c>
      <c r="AC112" s="164">
        <f t="shared" si="314"/>
        <v>100.36350828649118</v>
      </c>
      <c r="AD112" s="137">
        <f t="shared" si="247"/>
        <v>8.3549944500805218E-2</v>
      </c>
      <c r="AE112" s="20"/>
      <c r="AF112" s="20"/>
    </row>
    <row r="113" spans="2:32" x14ac:dyDescent="0.2">
      <c r="B113" s="20" t="s">
        <v>336</v>
      </c>
      <c r="C113" s="20"/>
      <c r="D113" s="20"/>
      <c r="E113" s="20"/>
      <c r="F113" s="151" t="e">
        <f t="shared" ref="F113:P113" si="315">F112/F40</f>
        <v>#DIV/0!</v>
      </c>
      <c r="G113" s="151">
        <f t="shared" si="315"/>
        <v>0.28807071428571429</v>
      </c>
      <c r="H113" s="151">
        <f t="shared" si="315"/>
        <v>0.32007857142857143</v>
      </c>
      <c r="I113" s="151">
        <f t="shared" si="315"/>
        <v>0.22159285714285715</v>
      </c>
      <c r="J113" s="151">
        <f t="shared" si="315"/>
        <v>0.20880000000000001</v>
      </c>
      <c r="K113" s="151">
        <f t="shared" si="315"/>
        <v>0.10582000000000001</v>
      </c>
      <c r="L113" s="151">
        <f t="shared" si="315"/>
        <v>0.19090359712230215</v>
      </c>
      <c r="M113" s="151">
        <f t="shared" si="315"/>
        <v>6.7727411944869836E-2</v>
      </c>
      <c r="N113" s="151">
        <f t="shared" si="315"/>
        <v>6.6857142857142851E-2</v>
      </c>
      <c r="O113" s="151">
        <f t="shared" si="315"/>
        <v>7.1563106796116507E-2</v>
      </c>
      <c r="P113" s="151">
        <f t="shared" si="315"/>
        <v>4.8019543973941363E-2</v>
      </c>
      <c r="Q113" s="151">
        <f t="shared" ref="Q113" si="316">Q112/Q40</f>
        <v>4.4005970149253733E-2</v>
      </c>
      <c r="R113" s="118">
        <f t="shared" si="245"/>
        <v>-0.16402769058465627</v>
      </c>
      <c r="S113" s="20"/>
      <c r="T113" s="151">
        <f t="shared" ref="T113:AC113" si="317">T112/T40</f>
        <v>4.2646499999999997E-2</v>
      </c>
      <c r="U113" s="151">
        <f t="shared" si="317"/>
        <v>4.1329027767857136E-2</v>
      </c>
      <c r="V113" s="151">
        <f t="shared" si="317"/>
        <v>4.0052256017171543E-2</v>
      </c>
      <c r="W113" s="151">
        <f t="shared" si="317"/>
        <v>3.8814927393783914E-2</v>
      </c>
      <c r="X113" s="151">
        <f t="shared" si="317"/>
        <v>3.7615823386797372E-2</v>
      </c>
      <c r="Y113" s="151">
        <f t="shared" si="317"/>
        <v>3.6453763128598091E-2</v>
      </c>
      <c r="Z113" s="151">
        <f t="shared" si="317"/>
        <v>3.5327602231946746E-2</v>
      </c>
      <c r="AA113" s="151">
        <f t="shared" si="317"/>
        <v>3.4236231662995525E-2</v>
      </c>
      <c r="AB113" s="151">
        <f t="shared" si="317"/>
        <v>3.3178576649120842E-2</v>
      </c>
      <c r="AC113" s="151">
        <f t="shared" si="317"/>
        <v>3.215359562049621E-2</v>
      </c>
      <c r="AD113" s="137">
        <f t="shared" si="247"/>
        <v>-0.10383800568211454</v>
      </c>
      <c r="AE113" s="20"/>
      <c r="AF113" s="20"/>
    </row>
    <row r="114" spans="2:32" x14ac:dyDescent="0.2">
      <c r="B114" s="20" t="s">
        <v>329</v>
      </c>
      <c r="C114" s="20"/>
      <c r="D114" s="20"/>
      <c r="E114" s="20"/>
      <c r="F114" s="151" t="e">
        <f>1-F113</f>
        <v>#DIV/0!</v>
      </c>
      <c r="G114" s="151">
        <f>1-G113</f>
        <v>0.71192928571428571</v>
      </c>
      <c r="H114" s="151">
        <f t="shared" ref="H114:P114" si="318">1-H113</f>
        <v>0.67992142857142857</v>
      </c>
      <c r="I114" s="151">
        <f t="shared" si="318"/>
        <v>0.77840714285714285</v>
      </c>
      <c r="J114" s="151">
        <f t="shared" si="318"/>
        <v>0.79120000000000001</v>
      </c>
      <c r="K114" s="151">
        <f t="shared" si="318"/>
        <v>0.89417999999999997</v>
      </c>
      <c r="L114" s="151">
        <f t="shared" si="318"/>
        <v>0.80909640287769791</v>
      </c>
      <c r="M114" s="151">
        <f t="shared" si="318"/>
        <v>0.93227258805513014</v>
      </c>
      <c r="N114" s="151">
        <f t="shared" si="318"/>
        <v>0.93314285714285716</v>
      </c>
      <c r="O114" s="151">
        <f t="shared" si="318"/>
        <v>0.92843689320388345</v>
      </c>
      <c r="P114" s="151">
        <f t="shared" si="318"/>
        <v>0.95198045602605863</v>
      </c>
      <c r="Q114" s="151">
        <f t="shared" ref="Q114" si="319">1-Q113</f>
        <v>0.95599402985074622</v>
      </c>
      <c r="R114" s="118">
        <f t="shared" si="245"/>
        <v>2.9482852963400363E-2</v>
      </c>
      <c r="S114" s="20"/>
      <c r="T114" s="151">
        <f t="shared" ref="T114:AC114" si="320">1-T113</f>
        <v>0.95735349999999997</v>
      </c>
      <c r="U114" s="151">
        <f t="shared" si="320"/>
        <v>0.95867097223214282</v>
      </c>
      <c r="V114" s="151">
        <f t="shared" si="320"/>
        <v>0.95994774398282845</v>
      </c>
      <c r="W114" s="151">
        <f t="shared" si="320"/>
        <v>0.96118507260621611</v>
      </c>
      <c r="X114" s="151">
        <f t="shared" si="320"/>
        <v>0.96238417661320264</v>
      </c>
      <c r="Y114" s="151">
        <f t="shared" si="320"/>
        <v>0.96354623687140195</v>
      </c>
      <c r="Z114" s="151">
        <f t="shared" si="320"/>
        <v>0.96467239776805325</v>
      </c>
      <c r="AA114" s="151">
        <f t="shared" si="320"/>
        <v>0.9657637683370045</v>
      </c>
      <c r="AB114" s="151">
        <f t="shared" si="320"/>
        <v>0.96682142335087917</v>
      </c>
      <c r="AC114" s="151">
        <f t="shared" si="320"/>
        <v>0.96784640437950376</v>
      </c>
      <c r="AD114" s="137">
        <f t="shared" si="247"/>
        <v>1.5473230356034984E-2</v>
      </c>
      <c r="AE114" s="20"/>
      <c r="AF114" s="20"/>
    </row>
    <row r="115" spans="2:32" x14ac:dyDescent="0.2">
      <c r="B115" s="20" t="s">
        <v>452</v>
      </c>
      <c r="C115" s="20"/>
      <c r="D115" s="20"/>
      <c r="E115" s="20"/>
      <c r="F115" s="151" t="e">
        <f t="shared" ref="F115:P115" si="321">F112/F20</f>
        <v>#DIV/0!</v>
      </c>
      <c r="G115" s="151">
        <f t="shared" si="321"/>
        <v>0.1867125</v>
      </c>
      <c r="H115" s="151">
        <f t="shared" si="321"/>
        <v>0.18499954128440368</v>
      </c>
      <c r="I115" s="151">
        <f t="shared" si="321"/>
        <v>0.258525</v>
      </c>
      <c r="J115" s="151">
        <f t="shared" si="321"/>
        <v>6.8430252100840333E-2</v>
      </c>
      <c r="K115" s="151">
        <f t="shared" si="321"/>
        <v>6.6755607476635517E-2</v>
      </c>
      <c r="L115" s="151">
        <f t="shared" si="321"/>
        <v>8.1647999999999998E-2</v>
      </c>
      <c r="M115" s="151">
        <f t="shared" si="321"/>
        <v>6.3E-2</v>
      </c>
      <c r="N115" s="151">
        <f t="shared" si="321"/>
        <v>0.1939736842105263</v>
      </c>
      <c r="O115" s="151">
        <f t="shared" si="321"/>
        <v>5.4298342541436458E-2</v>
      </c>
      <c r="P115" s="151">
        <f t="shared" si="321"/>
        <v>3.8290909090909091E-2</v>
      </c>
      <c r="Q115" s="151">
        <f>Q112/Q20</f>
        <v>3.9277087033747778E-2</v>
      </c>
      <c r="R115" s="118">
        <f t="shared" si="245"/>
        <v>-0.14652220143961114</v>
      </c>
      <c r="S115" s="20"/>
      <c r="T115" s="151">
        <f>T112/T20</f>
        <v>3.7070739362112907E-2</v>
      </c>
      <c r="U115" s="151">
        <f t="shared" ref="U115:AC115" si="322">U112/U20</f>
        <v>3.4988330872728131E-2</v>
      </c>
      <c r="V115" s="151">
        <f t="shared" si="322"/>
        <v>3.3022899416747055E-2</v>
      </c>
      <c r="W115" s="151">
        <f t="shared" si="322"/>
        <v>3.1167873936467173E-2</v>
      </c>
      <c r="X115" s="151">
        <f t="shared" si="322"/>
        <v>2.9417052496209978E-2</v>
      </c>
      <c r="Y115" s="151">
        <f t="shared" si="322"/>
        <v>2.7764581547292444E-2</v>
      </c>
      <c r="Z115" s="151">
        <f t="shared" si="322"/>
        <v>2.6204936357766273E-2</v>
      </c>
      <c r="AA115" s="151">
        <f t="shared" si="322"/>
        <v>2.4732902541495232E-2</v>
      </c>
      <c r="AB115" s="151">
        <f t="shared" si="322"/>
        <v>2.3343558624816456E-2</v>
      </c>
      <c r="AC115" s="151">
        <f t="shared" si="322"/>
        <v>2.2032259592500682E-2</v>
      </c>
      <c r="AD115" s="137" t="s">
        <v>453</v>
      </c>
      <c r="AE115" s="20"/>
      <c r="AF115" s="20"/>
    </row>
    <row r="116" spans="2:32" x14ac:dyDescent="0.2">
      <c r="B116" s="20"/>
      <c r="C116" s="20"/>
      <c r="D116" s="20"/>
      <c r="E116" s="20"/>
      <c r="F116" s="20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1"/>
      <c r="R116" s="128"/>
      <c r="S116" s="20"/>
      <c r="T116" s="151"/>
      <c r="U116" s="151"/>
      <c r="V116" s="151"/>
      <c r="W116" s="151"/>
      <c r="X116" s="151"/>
      <c r="Y116" s="151"/>
      <c r="Z116" s="151"/>
      <c r="AA116" s="151"/>
      <c r="AB116" s="151"/>
      <c r="AC116" s="151"/>
      <c r="AD116" s="128"/>
      <c r="AE116" s="20"/>
      <c r="AF116" s="20"/>
    </row>
    <row r="117" spans="2:32" x14ac:dyDescent="0.2">
      <c r="B117" s="20" t="s">
        <v>333</v>
      </c>
      <c r="C117" s="151"/>
      <c r="D117" s="151"/>
      <c r="E117" s="151"/>
      <c r="F117" s="151" t="e">
        <f>F31/F25</f>
        <v>#DIV/0!</v>
      </c>
      <c r="G117" s="151">
        <f>G31/G25</f>
        <v>0</v>
      </c>
      <c r="H117" s="151">
        <f t="shared" ref="H117:P117" si="323">H31/H25</f>
        <v>0</v>
      </c>
      <c r="I117" s="151">
        <f t="shared" si="323"/>
        <v>0</v>
      </c>
      <c r="J117" s="151">
        <f t="shared" si="323"/>
        <v>0</v>
      </c>
      <c r="K117" s="151">
        <f t="shared" si="323"/>
        <v>0</v>
      </c>
      <c r="L117" s="151">
        <f t="shared" si="323"/>
        <v>0</v>
      </c>
      <c r="M117" s="151">
        <f t="shared" si="323"/>
        <v>0</v>
      </c>
      <c r="N117" s="151">
        <f t="shared" si="323"/>
        <v>0</v>
      </c>
      <c r="O117" s="151">
        <f t="shared" si="323"/>
        <v>0</v>
      </c>
      <c r="P117" s="151">
        <f t="shared" si="323"/>
        <v>0</v>
      </c>
      <c r="Q117" s="151">
        <f t="shared" ref="Q117" si="324">Q31/Q25</f>
        <v>0</v>
      </c>
      <c r="R117" s="118" t="e">
        <f t="shared" si="245"/>
        <v>#DIV/0!</v>
      </c>
      <c r="S117" s="20"/>
      <c r="T117" s="151">
        <f t="shared" ref="T117:AC117" si="325">T31/T25</f>
        <v>0</v>
      </c>
      <c r="U117" s="151">
        <f t="shared" si="325"/>
        <v>0</v>
      </c>
      <c r="V117" s="151">
        <f t="shared" si="325"/>
        <v>0</v>
      </c>
      <c r="W117" s="151">
        <f t="shared" si="325"/>
        <v>0</v>
      </c>
      <c r="X117" s="151">
        <f t="shared" si="325"/>
        <v>0</v>
      </c>
      <c r="Y117" s="151">
        <f t="shared" si="325"/>
        <v>0</v>
      </c>
      <c r="Z117" s="151">
        <f t="shared" si="325"/>
        <v>0</v>
      </c>
      <c r="AA117" s="151">
        <f t="shared" si="325"/>
        <v>0</v>
      </c>
      <c r="AB117" s="151">
        <f t="shared" si="325"/>
        <v>0</v>
      </c>
      <c r="AC117" s="151">
        <f t="shared" si="325"/>
        <v>0</v>
      </c>
      <c r="AD117" s="137" t="e">
        <f t="shared" si="247"/>
        <v>#DIV/0!</v>
      </c>
      <c r="AE117" s="20"/>
      <c r="AF117" s="20"/>
    </row>
    <row r="118" spans="2:32" x14ac:dyDescent="0.2">
      <c r="B118" s="20" t="s">
        <v>330</v>
      </c>
      <c r="C118" s="151"/>
      <c r="D118" s="151"/>
      <c r="E118" s="151"/>
      <c r="F118" s="151" t="e">
        <f>F32/F25</f>
        <v>#DIV/0!</v>
      </c>
      <c r="G118" s="151">
        <f>G32/G25</f>
        <v>0</v>
      </c>
      <c r="H118" s="151">
        <f t="shared" ref="H118:P118" si="326">H32/H25</f>
        <v>0</v>
      </c>
      <c r="I118" s="151">
        <f t="shared" si="326"/>
        <v>0</v>
      </c>
      <c r="J118" s="151">
        <f t="shared" si="326"/>
        <v>0</v>
      </c>
      <c r="K118" s="151">
        <f t="shared" si="326"/>
        <v>0</v>
      </c>
      <c r="L118" s="151">
        <f t="shared" si="326"/>
        <v>0</v>
      </c>
      <c r="M118" s="151">
        <f t="shared" si="326"/>
        <v>0</v>
      </c>
      <c r="N118" s="151">
        <f t="shared" si="326"/>
        <v>0</v>
      </c>
      <c r="O118" s="151">
        <f t="shared" si="326"/>
        <v>0</v>
      </c>
      <c r="P118" s="151">
        <f t="shared" si="326"/>
        <v>0</v>
      </c>
      <c r="Q118" s="151">
        <f t="shared" ref="Q118" si="327">Q32/Q25</f>
        <v>0</v>
      </c>
      <c r="R118" s="118" t="e">
        <f t="shared" si="245"/>
        <v>#DIV/0!</v>
      </c>
      <c r="S118" s="20"/>
      <c r="T118" s="151">
        <f t="shared" ref="T118:AC118" si="328">T32/T25</f>
        <v>0</v>
      </c>
      <c r="U118" s="151">
        <f t="shared" si="328"/>
        <v>0</v>
      </c>
      <c r="V118" s="151">
        <f t="shared" si="328"/>
        <v>0</v>
      </c>
      <c r="W118" s="151">
        <f t="shared" si="328"/>
        <v>0</v>
      </c>
      <c r="X118" s="151">
        <f t="shared" si="328"/>
        <v>0</v>
      </c>
      <c r="Y118" s="151">
        <f t="shared" si="328"/>
        <v>0</v>
      </c>
      <c r="Z118" s="151">
        <f t="shared" si="328"/>
        <v>0</v>
      </c>
      <c r="AA118" s="151">
        <f t="shared" si="328"/>
        <v>0</v>
      </c>
      <c r="AB118" s="151">
        <f t="shared" si="328"/>
        <v>0</v>
      </c>
      <c r="AC118" s="151">
        <f t="shared" si="328"/>
        <v>0</v>
      </c>
      <c r="AD118" s="137" t="e">
        <f t="shared" si="247"/>
        <v>#DIV/0!</v>
      </c>
      <c r="AE118" s="20"/>
      <c r="AF118" s="20"/>
    </row>
    <row r="119" spans="2:32" x14ac:dyDescent="0.2">
      <c r="B119" s="20"/>
      <c r="C119" s="20"/>
      <c r="D119" s="20"/>
      <c r="E119" s="20"/>
      <c r="F119" s="20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28"/>
      <c r="S119" s="20"/>
      <c r="T119" s="151"/>
      <c r="U119" s="151"/>
      <c r="V119" s="151"/>
      <c r="W119" s="151"/>
      <c r="X119" s="151"/>
      <c r="Y119" s="151"/>
      <c r="Z119" s="151"/>
      <c r="AA119" s="151"/>
      <c r="AB119" s="151"/>
      <c r="AC119" s="151"/>
      <c r="AD119" s="128"/>
      <c r="AE119" s="20"/>
      <c r="AF119" s="20"/>
    </row>
    <row r="120" spans="2:32" x14ac:dyDescent="0.2">
      <c r="B120" s="20" t="s">
        <v>354</v>
      </c>
      <c r="C120" s="20"/>
      <c r="D120" s="20"/>
      <c r="E120" s="20"/>
      <c r="F120" s="20"/>
      <c r="G120" s="151">
        <f>G27/G25</f>
        <v>0.9051020408163265</v>
      </c>
      <c r="H120" s="151">
        <f t="shared" ref="H120:P120" si="329">H27/H25</f>
        <v>0.91923248549754577</v>
      </c>
      <c r="I120" s="151">
        <f t="shared" si="329"/>
        <v>0.90972733971997055</v>
      </c>
      <c r="J120" s="151">
        <f t="shared" si="329"/>
        <v>0.90729553903345728</v>
      </c>
      <c r="K120" s="151">
        <f t="shared" si="329"/>
        <v>0.86563415655085807</v>
      </c>
      <c r="L120" s="151">
        <f t="shared" si="329"/>
        <v>0.90653085680047929</v>
      </c>
      <c r="M120" s="151">
        <f t="shared" si="329"/>
        <v>0.83229114557278638</v>
      </c>
      <c r="N120" s="151">
        <f t="shared" si="329"/>
        <v>0.89271989752348424</v>
      </c>
      <c r="O120" s="151">
        <f t="shared" si="329"/>
        <v>0.90573638414437641</v>
      </c>
      <c r="P120" s="151">
        <f t="shared" si="329"/>
        <v>0.87918015102481117</v>
      </c>
      <c r="Q120" s="151">
        <f t="shared" ref="Q120" si="330">Q27/Q25</f>
        <v>0.8571957907218023</v>
      </c>
      <c r="R120" s="118">
        <f t="shared" si="245"/>
        <v>-2.9015685862379126E-3</v>
      </c>
      <c r="S120" s="20"/>
      <c r="T120" s="151">
        <f t="shared" ref="T120:AC120" si="331">T27/T25</f>
        <v>0.8571957907218023</v>
      </c>
      <c r="U120" s="151">
        <f t="shared" si="331"/>
        <v>0.8571957907218023</v>
      </c>
      <c r="V120" s="151">
        <f t="shared" si="331"/>
        <v>0.85719579072180219</v>
      </c>
      <c r="W120" s="151">
        <f t="shared" si="331"/>
        <v>0.8571957907218023</v>
      </c>
      <c r="X120" s="151">
        <f t="shared" si="331"/>
        <v>0.8571957907218023</v>
      </c>
      <c r="Y120" s="151">
        <f t="shared" si="331"/>
        <v>0.8571957907218023</v>
      </c>
      <c r="Z120" s="151">
        <f t="shared" si="331"/>
        <v>0.85719579072180219</v>
      </c>
      <c r="AA120" s="151">
        <f t="shared" si="331"/>
        <v>0.85719579072180219</v>
      </c>
      <c r="AB120" s="151">
        <f t="shared" si="331"/>
        <v>0.8571957907218023</v>
      </c>
      <c r="AC120" s="151">
        <f t="shared" si="331"/>
        <v>0.8571957907218023</v>
      </c>
      <c r="AD120" s="137">
        <f t="shared" si="247"/>
        <v>-2.7153735128563339E-3</v>
      </c>
      <c r="AE120" s="20"/>
      <c r="AF120" s="20"/>
    </row>
    <row r="121" spans="2:32" x14ac:dyDescent="0.2">
      <c r="B121" s="20" t="str">
        <f>B33</f>
        <v>Top Expenses ( Raw material )</v>
      </c>
      <c r="C121" s="20"/>
      <c r="D121" s="20"/>
      <c r="E121" s="20"/>
      <c r="F121" s="20"/>
      <c r="G121" s="151">
        <f>G33/G25</f>
        <v>0.66377551020408165</v>
      </c>
      <c r="H121" s="151">
        <f t="shared" ref="H121:P121" si="332">H33/H25</f>
        <v>0.6929941990182954</v>
      </c>
      <c r="I121" s="151">
        <f t="shared" si="332"/>
        <v>0.71775976418570375</v>
      </c>
      <c r="J121" s="151">
        <f t="shared" si="332"/>
        <v>0.6761152416356877</v>
      </c>
      <c r="K121" s="151">
        <f t="shared" si="332"/>
        <v>0.63394725826705733</v>
      </c>
      <c r="L121" s="151">
        <f t="shared" si="332"/>
        <v>0.68803674855202712</v>
      </c>
      <c r="M121" s="151">
        <f t="shared" si="332"/>
        <v>0.55227613806903453</v>
      </c>
      <c r="N121" s="151">
        <f t="shared" si="332"/>
        <v>0.625533731853117</v>
      </c>
      <c r="O121" s="151">
        <f t="shared" si="332"/>
        <v>0.676603287141476</v>
      </c>
      <c r="P121" s="151">
        <f t="shared" si="332"/>
        <v>0.63037447988904305</v>
      </c>
      <c r="Q121" s="151">
        <f t="shared" ref="Q121" si="333">Q33/Q25</f>
        <v>0.59233733511190156</v>
      </c>
      <c r="R121" s="118">
        <f t="shared" si="245"/>
        <v>-5.149689645208233E-3</v>
      </c>
      <c r="S121" s="20"/>
      <c r="T121" s="151">
        <f t="shared" ref="T121:AC121" si="334">T33/T25</f>
        <v>0.59233733511190167</v>
      </c>
      <c r="U121" s="151">
        <f t="shared" si="334"/>
        <v>0.59233733511190156</v>
      </c>
      <c r="V121" s="151">
        <f t="shared" si="334"/>
        <v>0.59233733511190156</v>
      </c>
      <c r="W121" s="151">
        <f t="shared" si="334"/>
        <v>0.59233733511190156</v>
      </c>
      <c r="X121" s="151">
        <f t="shared" si="334"/>
        <v>0.59233733511190156</v>
      </c>
      <c r="Y121" s="151">
        <f t="shared" si="334"/>
        <v>0.59233733511190167</v>
      </c>
      <c r="Z121" s="151">
        <f t="shared" si="334"/>
        <v>0.59233733511190156</v>
      </c>
      <c r="AA121" s="151">
        <f t="shared" si="334"/>
        <v>0.59233733511190167</v>
      </c>
      <c r="AB121" s="151">
        <f t="shared" si="334"/>
        <v>0.59233733511190167</v>
      </c>
      <c r="AC121" s="151">
        <f t="shared" si="334"/>
        <v>0.59233733511190167</v>
      </c>
      <c r="AD121" s="137">
        <f t="shared" si="247"/>
        <v>-5.6772088877240501E-3</v>
      </c>
      <c r="AE121" s="20"/>
      <c r="AF121" s="20"/>
    </row>
    <row r="122" spans="2:32" x14ac:dyDescent="0.2">
      <c r="B122" s="20" t="str">
        <f>B34</f>
        <v>2nd highest Expenses Comp. ( Empl )</v>
      </c>
      <c r="C122" s="20"/>
      <c r="D122" s="20"/>
      <c r="E122" s="20"/>
      <c r="F122" s="20"/>
      <c r="G122" s="151">
        <f>G34/G25</f>
        <v>6.7857142857142852E-2</v>
      </c>
      <c r="H122" s="151">
        <f t="shared" ref="H122:P122" si="335">H34/H25</f>
        <v>6.3810798750557784E-2</v>
      </c>
      <c r="I122" s="151">
        <f t="shared" si="335"/>
        <v>6.0427413411938101E-2</v>
      </c>
      <c r="J122" s="151">
        <f t="shared" si="335"/>
        <v>9.4563197026022311E-2</v>
      </c>
      <c r="K122" s="151">
        <f t="shared" si="335"/>
        <v>9.2088740058601931E-2</v>
      </c>
      <c r="L122" s="151">
        <f t="shared" si="335"/>
        <v>8.2883962452566406E-2</v>
      </c>
      <c r="M122" s="151">
        <f t="shared" si="335"/>
        <v>0.13606803401700851</v>
      </c>
      <c r="N122" s="151">
        <f t="shared" si="335"/>
        <v>0.12329205807002562</v>
      </c>
      <c r="O122" s="151">
        <f t="shared" si="335"/>
        <v>0.10755720270705768</v>
      </c>
      <c r="P122" s="151">
        <f t="shared" si="335"/>
        <v>0.1133456618893512</v>
      </c>
      <c r="Q122" s="151">
        <f t="shared" ref="Q122" si="336">Q34/Q25</f>
        <v>0.11960871498443752</v>
      </c>
      <c r="R122" s="118">
        <f t="shared" si="245"/>
        <v>5.2642579588810579E-2</v>
      </c>
      <c r="S122" s="20"/>
      <c r="T122" s="151">
        <f t="shared" ref="T122:AC122" si="337">T34/T25</f>
        <v>0.11960871498443752</v>
      </c>
      <c r="U122" s="151">
        <f t="shared" si="337"/>
        <v>0.11960871498443752</v>
      </c>
      <c r="V122" s="151">
        <f t="shared" si="337"/>
        <v>0.11960871498443752</v>
      </c>
      <c r="W122" s="151">
        <f t="shared" si="337"/>
        <v>0.11960871498443752</v>
      </c>
      <c r="X122" s="151">
        <f t="shared" si="337"/>
        <v>0.11960871498443751</v>
      </c>
      <c r="Y122" s="151">
        <f t="shared" si="337"/>
        <v>0.11960871498443751</v>
      </c>
      <c r="Z122" s="151">
        <f t="shared" si="337"/>
        <v>0.11960871498443751</v>
      </c>
      <c r="AA122" s="151">
        <f t="shared" si="337"/>
        <v>0.11960871498443751</v>
      </c>
      <c r="AB122" s="151">
        <f t="shared" si="337"/>
        <v>0.11960871498443749</v>
      </c>
      <c r="AC122" s="151">
        <f t="shared" si="337"/>
        <v>0.11960871498443751</v>
      </c>
      <c r="AD122" s="137">
        <f t="shared" si="247"/>
        <v>2.8746481241869182E-2</v>
      </c>
      <c r="AE122" s="20"/>
      <c r="AF122" s="20"/>
    </row>
    <row r="123" spans="2:32" x14ac:dyDescent="0.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28"/>
      <c r="S123" s="128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38"/>
      <c r="AE123" s="20"/>
      <c r="AF123" s="20"/>
    </row>
    <row r="124" spans="2:32" x14ac:dyDescent="0.2">
      <c r="B124" s="108" t="s">
        <v>362</v>
      </c>
      <c r="C124" s="20"/>
      <c r="D124" s="20"/>
      <c r="E124" s="20"/>
      <c r="F124" s="20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118"/>
      <c r="S124" s="128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137"/>
      <c r="AE124" s="20"/>
      <c r="AF124" s="20"/>
    </row>
    <row r="125" spans="2:32" x14ac:dyDescent="0.2">
      <c r="B125" s="20" t="s">
        <v>365</v>
      </c>
      <c r="C125" s="20"/>
      <c r="D125" s="20"/>
      <c r="E125" s="20"/>
      <c r="F125" s="20"/>
      <c r="G125" s="25">
        <f>G15/G9</f>
        <v>1.1849865951742626</v>
      </c>
      <c r="H125" s="25">
        <f t="shared" ref="H125:AC125" si="338">H15/H9</f>
        <v>1.1905737704918034</v>
      </c>
      <c r="I125" s="25">
        <f t="shared" si="338"/>
        <v>1.3043478260869565</v>
      </c>
      <c r="J125" s="25">
        <f t="shared" si="338"/>
        <v>1.1707070707070708</v>
      </c>
      <c r="K125" s="25">
        <f t="shared" si="338"/>
        <v>1.3471910112359551</v>
      </c>
      <c r="L125" s="25">
        <f t="shared" si="338"/>
        <v>1.300498753117207</v>
      </c>
      <c r="M125" s="25">
        <f t="shared" si="338"/>
        <v>1.282960199004975</v>
      </c>
      <c r="N125" s="25">
        <f t="shared" si="338"/>
        <v>1.4270216962524656</v>
      </c>
      <c r="O125" s="25">
        <f t="shared" si="338"/>
        <v>1.3225677830940989</v>
      </c>
      <c r="P125" s="25">
        <f t="shared" si="338"/>
        <v>1.4882483370288249</v>
      </c>
      <c r="Q125" s="25">
        <f t="shared" ref="Q125" si="339">Q15/Q9</f>
        <v>4.7936305732484072</v>
      </c>
      <c r="R125" s="118">
        <f t="shared" si="245"/>
        <v>2.3048438510986369E-2</v>
      </c>
      <c r="S125" s="20"/>
      <c r="T125" s="20">
        <f t="shared" si="338"/>
        <v>4.7936305732484081</v>
      </c>
      <c r="U125" s="20">
        <f t="shared" si="338"/>
        <v>4.7936305732484081</v>
      </c>
      <c r="V125" s="20">
        <f t="shared" si="338"/>
        <v>4.7936305732484072</v>
      </c>
      <c r="W125" s="20">
        <f t="shared" si="338"/>
        <v>4.7936305732484072</v>
      </c>
      <c r="X125" s="20">
        <f t="shared" si="338"/>
        <v>4.7936305732484072</v>
      </c>
      <c r="Y125" s="20">
        <f t="shared" si="338"/>
        <v>4.7936305732484064</v>
      </c>
      <c r="Z125" s="20">
        <f t="shared" si="338"/>
        <v>4.7936305732484072</v>
      </c>
      <c r="AA125" s="20">
        <f t="shared" si="338"/>
        <v>4.7936305732484064</v>
      </c>
      <c r="AB125" s="20">
        <f t="shared" si="338"/>
        <v>4.7936305732484064</v>
      </c>
      <c r="AC125" s="20">
        <f t="shared" si="338"/>
        <v>4.7936305732484072</v>
      </c>
      <c r="AD125" s="137">
        <f t="shared" si="247"/>
        <v>7.2377161489662667E-2</v>
      </c>
      <c r="AE125" s="20"/>
      <c r="AF125" s="20"/>
    </row>
    <row r="126" spans="2:32" x14ac:dyDescent="0.2">
      <c r="B126" s="20" t="s">
        <v>355</v>
      </c>
      <c r="C126" s="20"/>
      <c r="D126" s="20"/>
      <c r="E126" s="20"/>
      <c r="F126" s="20"/>
      <c r="G126" s="25">
        <f>G12/G9</f>
        <v>0.29490616621983912</v>
      </c>
      <c r="H126" s="25">
        <f t="shared" ref="H126:P126" si="340">H12/H9</f>
        <v>0.24795081967213115</v>
      </c>
      <c r="I126" s="25">
        <f t="shared" si="340"/>
        <v>0.43667296786389415</v>
      </c>
      <c r="J126" s="25">
        <f t="shared" si="340"/>
        <v>0.19494949494949496</v>
      </c>
      <c r="K126" s="25">
        <f t="shared" si="340"/>
        <v>0.3202247191011236</v>
      </c>
      <c r="L126" s="25">
        <f t="shared" si="340"/>
        <v>0.45012468827930174</v>
      </c>
      <c r="M126" s="25">
        <f t="shared" si="340"/>
        <v>0.21641791044776118</v>
      </c>
      <c r="N126" s="25">
        <f t="shared" si="340"/>
        <v>9.4181459566074946E-2</v>
      </c>
      <c r="O126" s="25">
        <f t="shared" si="340"/>
        <v>6.8979266347687404E-2</v>
      </c>
      <c r="P126" s="25">
        <f t="shared" si="340"/>
        <v>0.14855875831485588</v>
      </c>
      <c r="Q126" s="25">
        <f t="shared" ref="Q126" si="341">Q12/Q9</f>
        <v>0.83312101910828029</v>
      </c>
      <c r="R126" s="118">
        <f t="shared" si="245"/>
        <v>-6.6269724411566866E-2</v>
      </c>
      <c r="S126" s="128"/>
      <c r="T126" s="20">
        <f t="shared" ref="T126:AC126" si="342">T12/T9</f>
        <v>0.83312101910828018</v>
      </c>
      <c r="U126" s="20">
        <f t="shared" si="342"/>
        <v>0.83312101910828029</v>
      </c>
      <c r="V126" s="20">
        <f t="shared" si="342"/>
        <v>0.83312101910828018</v>
      </c>
      <c r="W126" s="20">
        <f t="shared" si="342"/>
        <v>0.83312101910828018</v>
      </c>
      <c r="X126" s="20">
        <f t="shared" si="342"/>
        <v>0.83312101910828018</v>
      </c>
      <c r="Y126" s="20">
        <f t="shared" si="342"/>
        <v>0.83312101910828018</v>
      </c>
      <c r="Z126" s="20">
        <f t="shared" si="342"/>
        <v>0.83312101910828018</v>
      </c>
      <c r="AA126" s="20">
        <f t="shared" si="342"/>
        <v>0.83312101910828018</v>
      </c>
      <c r="AB126" s="20">
        <f t="shared" si="342"/>
        <v>0.83312101910828018</v>
      </c>
      <c r="AC126" s="20">
        <f t="shared" si="342"/>
        <v>0.83312101910828018</v>
      </c>
      <c r="AD126" s="118">
        <f t="shared" ref="AD126" si="343">((AC126/T126)^(1/($H$2-$H$1) ))-1</f>
        <v>0</v>
      </c>
      <c r="AE126" s="20"/>
      <c r="AF126" s="20"/>
    </row>
    <row r="127" spans="2:32" x14ac:dyDescent="0.2">
      <c r="B127" s="20" t="s">
        <v>357</v>
      </c>
      <c r="C127" s="20"/>
      <c r="D127" s="20"/>
      <c r="E127" s="20"/>
      <c r="F127" s="20"/>
      <c r="G127" s="25">
        <f>G25/360</f>
        <v>5.4444444444444446</v>
      </c>
      <c r="H127" s="25">
        <f t="shared" ref="H127:P127" si="344">H25/360</f>
        <v>6.2249999999999996</v>
      </c>
      <c r="I127" s="25">
        <f t="shared" si="344"/>
        <v>7.5388888888888888</v>
      </c>
      <c r="J127" s="25">
        <f t="shared" si="344"/>
        <v>11.955555555555556</v>
      </c>
      <c r="K127" s="25">
        <f t="shared" si="344"/>
        <v>13.272222222222222</v>
      </c>
      <c r="L127" s="25">
        <f t="shared" si="344"/>
        <v>13.908333333333333</v>
      </c>
      <c r="M127" s="25">
        <f t="shared" si="344"/>
        <v>22.211111111111112</v>
      </c>
      <c r="N127" s="25">
        <f t="shared" si="344"/>
        <v>26.022222222222222</v>
      </c>
      <c r="O127" s="25">
        <f t="shared" si="344"/>
        <v>34.477777777777774</v>
      </c>
      <c r="P127" s="25">
        <f t="shared" si="344"/>
        <v>36.049999999999997</v>
      </c>
      <c r="Q127" s="25">
        <f t="shared" ref="Q127" si="345">Q25/360</f>
        <v>37.483333333333334</v>
      </c>
      <c r="R127" s="118">
        <f t="shared" si="245"/>
        <v>0.20807854041101881</v>
      </c>
      <c r="S127" s="128"/>
      <c r="T127" s="25">
        <f t="shared" ref="T127:AC127" si="346">T25/360</f>
        <v>41.981333333333332</v>
      </c>
      <c r="U127" s="25">
        <f t="shared" si="346"/>
        <v>47.019093333333338</v>
      </c>
      <c r="V127" s="25">
        <f t="shared" si="346"/>
        <v>52.661384533333347</v>
      </c>
      <c r="W127" s="25">
        <f t="shared" si="346"/>
        <v>58.980750677333354</v>
      </c>
      <c r="X127" s="25">
        <f t="shared" si="346"/>
        <v>66.058440758613358</v>
      </c>
      <c r="Y127" s="25">
        <f t="shared" si="346"/>
        <v>73.985453649646971</v>
      </c>
      <c r="Z127" s="25">
        <f t="shared" si="346"/>
        <v>82.863708087604621</v>
      </c>
      <c r="AA127" s="25">
        <f t="shared" si="346"/>
        <v>92.807353058117187</v>
      </c>
      <c r="AB127" s="25">
        <f t="shared" si="346"/>
        <v>103.94423542509125</v>
      </c>
      <c r="AC127" s="25">
        <f t="shared" si="346"/>
        <v>116.41754367610221</v>
      </c>
      <c r="AD127" s="118">
        <f t="shared" ref="AD127:AD138" si="347">((AC127/T127)^(1/($H$2-$H$1) ))-1</f>
        <v>0.10737883930484204</v>
      </c>
      <c r="AE127" s="20"/>
      <c r="AF127" s="20"/>
    </row>
    <row r="128" spans="2:32" x14ac:dyDescent="0.2">
      <c r="B128" s="20" t="s">
        <v>356</v>
      </c>
      <c r="C128" s="20"/>
      <c r="D128" s="20"/>
      <c r="E128" s="20"/>
      <c r="F128" s="20"/>
      <c r="G128" s="25">
        <f>G27/360</f>
        <v>4.927777777777778</v>
      </c>
      <c r="H128" s="25">
        <f t="shared" ref="H128:P128" si="348">H27/360</f>
        <v>5.7222222222222223</v>
      </c>
      <c r="I128" s="25">
        <f t="shared" si="348"/>
        <v>6.8583333333333334</v>
      </c>
      <c r="J128" s="25">
        <f t="shared" si="348"/>
        <v>10.847222222222221</v>
      </c>
      <c r="K128" s="25">
        <f t="shared" si="348"/>
        <v>11.488888888888889</v>
      </c>
      <c r="L128" s="25">
        <f t="shared" si="348"/>
        <v>12.608333333333333</v>
      </c>
      <c r="M128" s="25">
        <f t="shared" si="348"/>
        <v>18.486111111111111</v>
      </c>
      <c r="N128" s="25">
        <f t="shared" si="348"/>
        <v>23.230555555555554</v>
      </c>
      <c r="O128" s="25">
        <f t="shared" si="348"/>
        <v>31.227777777777778</v>
      </c>
      <c r="P128" s="25">
        <f t="shared" si="348"/>
        <v>31.694444444444443</v>
      </c>
      <c r="Q128" s="25">
        <f t="shared" ref="Q128" si="349">Q27/360</f>
        <v>32.130555555555553</v>
      </c>
      <c r="R128" s="118">
        <f t="shared" si="245"/>
        <v>0.20457321766845404</v>
      </c>
      <c r="S128" s="128"/>
      <c r="T128" s="25">
        <f t="shared" ref="T128:AC128" si="350">T27/360</f>
        <v>35.986222222222224</v>
      </c>
      <c r="U128" s="25">
        <f t="shared" si="350"/>
        <v>40.304568888888895</v>
      </c>
      <c r="V128" s="25">
        <f t="shared" si="350"/>
        <v>45.141117155555563</v>
      </c>
      <c r="W128" s="25">
        <f t="shared" si="350"/>
        <v>50.558051214222239</v>
      </c>
      <c r="X128" s="25">
        <f t="shared" si="350"/>
        <v>56.625017359928918</v>
      </c>
      <c r="Y128" s="25">
        <f t="shared" si="350"/>
        <v>63.420019443120388</v>
      </c>
      <c r="Z128" s="25">
        <f t="shared" si="350"/>
        <v>71.030421776294844</v>
      </c>
      <c r="AA128" s="25">
        <f t="shared" si="350"/>
        <v>79.554072389450226</v>
      </c>
      <c r="AB128" s="25">
        <f t="shared" si="350"/>
        <v>89.100561076184263</v>
      </c>
      <c r="AC128" s="25">
        <f t="shared" si="350"/>
        <v>99.792628405326383</v>
      </c>
      <c r="AD128" s="118">
        <f t="shared" si="347"/>
        <v>0.10737883930484204</v>
      </c>
      <c r="AE128" s="20"/>
      <c r="AF128" s="20"/>
    </row>
    <row r="129" spans="2:32" x14ac:dyDescent="0.2">
      <c r="B129" s="20"/>
      <c r="C129" s="20"/>
      <c r="D129" s="20"/>
      <c r="E129" s="20"/>
      <c r="F129" s="20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128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128"/>
      <c r="AE129" s="20"/>
      <c r="AF129" s="20"/>
    </row>
    <row r="130" spans="2:32" x14ac:dyDescent="0.2">
      <c r="B130" s="20" t="s">
        <v>366</v>
      </c>
      <c r="C130" s="20"/>
      <c r="D130" s="20"/>
      <c r="E130" s="20"/>
      <c r="F130" s="20"/>
      <c r="G130" s="25">
        <f>G10/G7</f>
        <v>0.73601398601398604</v>
      </c>
      <c r="H130" s="25">
        <f t="shared" ref="H130:P130" si="351">H10/H7</f>
        <v>0.90515806988352743</v>
      </c>
      <c r="I130" s="25">
        <f t="shared" si="351"/>
        <v>1.1829652996845426</v>
      </c>
      <c r="J130" s="25">
        <f t="shared" si="351"/>
        <v>0.88021390374331554</v>
      </c>
      <c r="K130" s="25">
        <f t="shared" si="351"/>
        <v>0.54653130287648055</v>
      </c>
      <c r="L130" s="25">
        <f t="shared" si="351"/>
        <v>0.65974796145292813</v>
      </c>
      <c r="M130" s="25">
        <f t="shared" si="351"/>
        <v>0.86781901372648707</v>
      </c>
      <c r="N130" s="25">
        <f t="shared" si="351"/>
        <v>1.0281923714759535</v>
      </c>
      <c r="O130" s="25">
        <f t="shared" si="351"/>
        <v>0.90007062146892658</v>
      </c>
      <c r="P130" s="25">
        <f t="shared" si="351"/>
        <v>0.67088235294117649</v>
      </c>
      <c r="Q130" s="25">
        <f t="shared" ref="Q130" si="352">Q10/Q7</f>
        <v>0.2160034980323568</v>
      </c>
      <c r="R130" s="118">
        <f t="shared" si="245"/>
        <v>-9.2227402787503632E-3</v>
      </c>
      <c r="S130" s="128"/>
      <c r="T130" s="25">
        <f t="shared" ref="T130:AC130" si="353">T10/T7</f>
        <v>0.21600349803235683</v>
      </c>
      <c r="U130" s="25">
        <f t="shared" si="353"/>
        <v>0.21600349803235686</v>
      </c>
      <c r="V130" s="25">
        <f t="shared" si="353"/>
        <v>0.21600349803235683</v>
      </c>
      <c r="W130" s="25">
        <f t="shared" si="353"/>
        <v>0.21600349803235686</v>
      </c>
      <c r="X130" s="25">
        <f t="shared" si="353"/>
        <v>0.21600349803235683</v>
      </c>
      <c r="Y130" s="25">
        <f t="shared" si="353"/>
        <v>0.2160034980323568</v>
      </c>
      <c r="Z130" s="25">
        <f t="shared" si="353"/>
        <v>0.21600349803235683</v>
      </c>
      <c r="AA130" s="25">
        <f t="shared" si="353"/>
        <v>0.21600349803235683</v>
      </c>
      <c r="AB130" s="25">
        <f t="shared" si="353"/>
        <v>0.21600349803235683</v>
      </c>
      <c r="AC130" s="25">
        <f t="shared" si="353"/>
        <v>0.2160034980323568</v>
      </c>
      <c r="AD130" s="118">
        <f t="shared" si="347"/>
        <v>0</v>
      </c>
      <c r="AE130" s="20"/>
      <c r="AF130" s="20"/>
    </row>
    <row r="131" spans="2:32" x14ac:dyDescent="0.2">
      <c r="B131" s="20" t="s">
        <v>358</v>
      </c>
      <c r="C131" s="20"/>
      <c r="D131" s="20"/>
      <c r="E131" s="20"/>
      <c r="F131" s="20"/>
      <c r="G131" s="25">
        <f>G10/(G10+G7)</f>
        <v>0.42396777442094663</v>
      </c>
      <c r="H131" s="25">
        <f t="shared" ref="H131:P131" si="354">H10/(H10+H7)</f>
        <v>0.47510917030567684</v>
      </c>
      <c r="I131" s="25">
        <f t="shared" si="354"/>
        <v>0.54190751445086704</v>
      </c>
      <c r="J131" s="25">
        <f t="shared" si="354"/>
        <v>0.46814562002275312</v>
      </c>
      <c r="K131" s="25">
        <f t="shared" si="354"/>
        <v>0.35339168490153172</v>
      </c>
      <c r="L131" s="25">
        <f t="shared" si="354"/>
        <v>0.3974988834301027</v>
      </c>
      <c r="M131" s="25">
        <f t="shared" si="354"/>
        <v>0.46461622210125203</v>
      </c>
      <c r="N131" s="25">
        <f t="shared" si="354"/>
        <v>0.50695012264922323</v>
      </c>
      <c r="O131" s="25">
        <f t="shared" si="354"/>
        <v>0.47370377253298646</v>
      </c>
      <c r="P131" s="25">
        <f t="shared" si="354"/>
        <v>0.40151381798979052</v>
      </c>
      <c r="Q131" s="25">
        <f t="shared" ref="Q131" si="355">Q10/(Q10+Q7)</f>
        <v>0.17763394462423587</v>
      </c>
      <c r="R131" s="118">
        <f t="shared" si="245"/>
        <v>-5.4267715758218316E-3</v>
      </c>
      <c r="S131" s="128"/>
      <c r="T131" s="25">
        <f t="shared" ref="T131:AC131" si="356">T10/(T10+T7)</f>
        <v>0.1776339446242359</v>
      </c>
      <c r="U131" s="25">
        <f t="shared" si="356"/>
        <v>0.17763394462423593</v>
      </c>
      <c r="V131" s="25">
        <f t="shared" si="356"/>
        <v>0.1776339446242359</v>
      </c>
      <c r="W131" s="25">
        <f t="shared" si="356"/>
        <v>0.17763394462423593</v>
      </c>
      <c r="X131" s="25">
        <f t="shared" si="356"/>
        <v>0.1776339446242359</v>
      </c>
      <c r="Y131" s="25">
        <f t="shared" si="356"/>
        <v>0.1776339446242359</v>
      </c>
      <c r="Z131" s="25">
        <f t="shared" si="356"/>
        <v>0.17763394462423593</v>
      </c>
      <c r="AA131" s="25">
        <f t="shared" si="356"/>
        <v>0.1776339446242359</v>
      </c>
      <c r="AB131" s="25">
        <f t="shared" si="356"/>
        <v>0.1776339446242359</v>
      </c>
      <c r="AC131" s="25">
        <f t="shared" si="356"/>
        <v>0.1776339446242359</v>
      </c>
      <c r="AD131" s="118">
        <f t="shared" si="347"/>
        <v>0</v>
      </c>
      <c r="AE131" s="20"/>
      <c r="AF131" s="20"/>
    </row>
    <row r="132" spans="2:32" x14ac:dyDescent="0.2">
      <c r="B132" s="20"/>
      <c r="C132" s="20"/>
      <c r="D132" s="20"/>
      <c r="E132" s="20"/>
      <c r="F132" s="20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128"/>
      <c r="S132" s="128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136"/>
      <c r="AE132" s="20"/>
      <c r="AF132" s="20"/>
    </row>
    <row r="133" spans="2:32" x14ac:dyDescent="0.2">
      <c r="B133" s="20" t="s">
        <v>363</v>
      </c>
      <c r="C133" s="20"/>
      <c r="D133" s="20"/>
      <c r="E133" s="20"/>
      <c r="F133" s="20"/>
      <c r="G133" s="25">
        <f>G16</f>
        <v>213</v>
      </c>
      <c r="H133" s="25">
        <f t="shared" ref="H133:P133" si="357">H16</f>
        <v>240</v>
      </c>
      <c r="I133" s="25">
        <f t="shared" si="357"/>
        <v>465</v>
      </c>
      <c r="J133" s="25">
        <f t="shared" si="357"/>
        <v>380</v>
      </c>
      <c r="K133" s="25">
        <f t="shared" si="357"/>
        <v>502</v>
      </c>
      <c r="L133" s="25">
        <f t="shared" si="357"/>
        <v>528</v>
      </c>
      <c r="M133" s="25">
        <f t="shared" si="357"/>
        <v>573</v>
      </c>
      <c r="N133" s="25">
        <f t="shared" si="357"/>
        <v>860</v>
      </c>
      <c r="O133" s="25">
        <f t="shared" si="357"/>
        <v>880</v>
      </c>
      <c r="P133" s="25">
        <f t="shared" si="357"/>
        <v>995</v>
      </c>
      <c r="Q133" s="25">
        <f t="shared" ref="Q133" si="358">Q16</f>
        <v>859</v>
      </c>
      <c r="R133" s="118">
        <f t="shared" si="245"/>
        <v>0.16666010688904342</v>
      </c>
      <c r="S133" s="128"/>
      <c r="T133" s="25">
        <f t="shared" ref="T133:AC133" si="359">T16</f>
        <v>962.08</v>
      </c>
      <c r="U133" s="25">
        <f t="shared" si="359"/>
        <v>1077.5296000000001</v>
      </c>
      <c r="V133" s="25">
        <f t="shared" si="359"/>
        <v>1206.8331520000002</v>
      </c>
      <c r="W133" s="25">
        <f t="shared" si="359"/>
        <v>1351.6531302400003</v>
      </c>
      <c r="X133" s="25">
        <f t="shared" si="359"/>
        <v>1513.8515058688006</v>
      </c>
      <c r="Y133" s="25">
        <f t="shared" si="359"/>
        <v>1695.5136865730569</v>
      </c>
      <c r="Z133" s="25">
        <f t="shared" si="359"/>
        <v>1898.9753289618238</v>
      </c>
      <c r="AA133" s="25">
        <f t="shared" si="359"/>
        <v>2126.8523684372431</v>
      </c>
      <c r="AB133" s="25">
        <f t="shared" si="359"/>
        <v>2382.0746526497123</v>
      </c>
      <c r="AC133" s="25">
        <f t="shared" si="359"/>
        <v>2667.9236109676781</v>
      </c>
      <c r="AD133" s="118">
        <f t="shared" si="347"/>
        <v>0.10737883930484204</v>
      </c>
      <c r="AE133" s="20"/>
      <c r="AF133" s="20"/>
    </row>
    <row r="134" spans="2:32" x14ac:dyDescent="0.2">
      <c r="B134" s="20" t="s">
        <v>364</v>
      </c>
      <c r="C134" s="20"/>
      <c r="D134" s="20"/>
      <c r="E134" s="20"/>
      <c r="F134" s="20"/>
      <c r="G134" s="119">
        <f t="shared" ref="G134:P134" si="360">G133*365/G25</f>
        <v>39.66581632653061</v>
      </c>
      <c r="H134" s="119">
        <f t="shared" si="360"/>
        <v>39.089692101740297</v>
      </c>
      <c r="I134" s="119">
        <f t="shared" si="360"/>
        <v>62.536845983787764</v>
      </c>
      <c r="J134" s="119">
        <f t="shared" si="360"/>
        <v>32.225836431226767</v>
      </c>
      <c r="K134" s="119">
        <f t="shared" si="360"/>
        <v>38.348681456676431</v>
      </c>
      <c r="L134" s="119">
        <f t="shared" si="360"/>
        <v>38.490113840623131</v>
      </c>
      <c r="M134" s="119">
        <f t="shared" si="360"/>
        <v>26.156203101550776</v>
      </c>
      <c r="N134" s="119">
        <f t="shared" si="360"/>
        <v>33.507685738684884</v>
      </c>
      <c r="O134" s="119">
        <f t="shared" si="360"/>
        <v>25.878182404125042</v>
      </c>
      <c r="P134" s="119">
        <f t="shared" si="360"/>
        <v>27.983895823701648</v>
      </c>
      <c r="Q134" s="119">
        <f t="shared" ref="Q134" si="361">Q133*365/Q25</f>
        <v>23.2351415443901</v>
      </c>
      <c r="R134" s="118">
        <f t="shared" si="245"/>
        <v>-3.428455364159011E-2</v>
      </c>
      <c r="S134" s="128"/>
      <c r="T134" s="119">
        <f t="shared" ref="T134:AC134" si="362">T133*365/T25</f>
        <v>23.2351415443901</v>
      </c>
      <c r="U134" s="119">
        <f t="shared" si="362"/>
        <v>23.235141544390096</v>
      </c>
      <c r="V134" s="119">
        <f t="shared" si="362"/>
        <v>23.235141544390096</v>
      </c>
      <c r="W134" s="119">
        <f t="shared" si="362"/>
        <v>23.235141544390096</v>
      </c>
      <c r="X134" s="119">
        <f t="shared" si="362"/>
        <v>23.235141544390096</v>
      </c>
      <c r="Y134" s="119">
        <f t="shared" si="362"/>
        <v>23.2351415443901</v>
      </c>
      <c r="Z134" s="119">
        <f t="shared" si="362"/>
        <v>23.235141544390096</v>
      </c>
      <c r="AA134" s="119">
        <f t="shared" si="362"/>
        <v>23.2351415443901</v>
      </c>
      <c r="AB134" s="119">
        <f t="shared" si="362"/>
        <v>23.2351415443901</v>
      </c>
      <c r="AC134" s="119">
        <f t="shared" si="362"/>
        <v>23.2351415443901</v>
      </c>
      <c r="AD134" s="118">
        <f t="shared" si="347"/>
        <v>0</v>
      </c>
      <c r="AE134" s="20"/>
      <c r="AF134" s="20"/>
    </row>
    <row r="135" spans="2:32" x14ac:dyDescent="0.2">
      <c r="B135" s="20" t="s">
        <v>367</v>
      </c>
      <c r="C135" s="20"/>
      <c r="D135" s="20"/>
      <c r="E135" s="20"/>
      <c r="F135" s="20"/>
      <c r="G135" s="133">
        <f>G80/G29</f>
        <v>1.2024185790847877</v>
      </c>
      <c r="H135" s="133">
        <f t="shared" ref="H135:P135" si="363">H80/H29</f>
        <v>1.0509138381201044</v>
      </c>
      <c r="I135" s="133">
        <f t="shared" si="363"/>
        <v>1.206266318537859</v>
      </c>
      <c r="J135" s="133">
        <f t="shared" si="363"/>
        <v>1.0192697768762677</v>
      </c>
      <c r="K135" s="133">
        <f t="shared" si="363"/>
        <v>0.1194057268823624</v>
      </c>
      <c r="L135" s="133">
        <f t="shared" si="363"/>
        <v>6.6526610644257703E-2</v>
      </c>
      <c r="M135" s="133">
        <f t="shared" si="363"/>
        <v>0.13520253274351637</v>
      </c>
      <c r="N135" s="133">
        <f t="shared" si="363"/>
        <v>0.10489060489060489</v>
      </c>
      <c r="O135" s="133">
        <f t="shared" si="363"/>
        <v>8.0678612908578071E-2</v>
      </c>
      <c r="P135" s="133">
        <f t="shared" si="363"/>
        <v>9.2592592592592587E-2</v>
      </c>
      <c r="Q135" s="133">
        <f t="shared" ref="Q135" si="364">Q80/Q29</f>
        <v>0.13099429912810195</v>
      </c>
      <c r="R135" s="118">
        <f t="shared" si="245"/>
        <v>-0.22615842864325675</v>
      </c>
      <c r="S135" s="128"/>
      <c r="T135" s="133">
        <f t="shared" ref="T135:AC135" si="365">T80/T29</f>
        <v>0.13034258619711636</v>
      </c>
      <c r="U135" s="133">
        <f t="shared" si="365"/>
        <v>0.12969411561902125</v>
      </c>
      <c r="V135" s="133">
        <f t="shared" si="365"/>
        <v>0.1290488712627077</v>
      </c>
      <c r="W135" s="133">
        <f t="shared" si="365"/>
        <v>0.12840683707732112</v>
      </c>
      <c r="X135" s="133">
        <f t="shared" si="365"/>
        <v>0.12776799709186182</v>
      </c>
      <c r="Y135" s="133">
        <f t="shared" si="365"/>
        <v>0.12713233541478788</v>
      </c>
      <c r="Z135" s="133">
        <f t="shared" si="365"/>
        <v>0.12649983623361982</v>
      </c>
      <c r="AA135" s="133">
        <f t="shared" si="365"/>
        <v>0.12587048381454707</v>
      </c>
      <c r="AB135" s="133">
        <f t="shared" si="365"/>
        <v>0.12524426250203691</v>
      </c>
      <c r="AC135" s="133">
        <f t="shared" si="365"/>
        <v>0.1246211567184447</v>
      </c>
      <c r="AD135" s="118">
        <f t="shared" si="347"/>
        <v>-4.4787278113073148E-3</v>
      </c>
      <c r="AE135" s="20"/>
      <c r="AF135" s="20"/>
    </row>
    <row r="136" spans="2:32" x14ac:dyDescent="0.2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28"/>
      <c r="S136" s="128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136"/>
      <c r="AE136" s="20"/>
      <c r="AF136" s="20"/>
    </row>
    <row r="137" spans="2:32" x14ac:dyDescent="0.2">
      <c r="B137" s="20" t="s">
        <v>374</v>
      </c>
      <c r="C137" s="20"/>
      <c r="D137" s="20"/>
      <c r="E137" s="20"/>
      <c r="F137" s="20"/>
      <c r="G137" s="179">
        <f>G25/G14</f>
        <v>7.4809160305343507</v>
      </c>
      <c r="H137" s="179">
        <f t="shared" ref="H137:P137" si="366">H25/H14</f>
        <v>6.790909090909091</v>
      </c>
      <c r="I137" s="179">
        <f t="shared" si="366"/>
        <v>6.4773269689737472</v>
      </c>
      <c r="J137" s="179">
        <f t="shared" si="366"/>
        <v>6.746081504702194</v>
      </c>
      <c r="K137" s="179">
        <f t="shared" si="366"/>
        <v>6.6825174825174827</v>
      </c>
      <c r="L137" s="179">
        <f t="shared" si="366"/>
        <v>7.9476190476190478</v>
      </c>
      <c r="M137" s="179">
        <f t="shared" si="366"/>
        <v>8.060483870967742</v>
      </c>
      <c r="N137" s="179">
        <f t="shared" si="366"/>
        <v>5.3439817455790077</v>
      </c>
      <c r="O137" s="179">
        <f t="shared" si="366"/>
        <v>6.2091045522761377</v>
      </c>
      <c r="P137" s="179">
        <f t="shared" si="366"/>
        <v>6.3899556868537664</v>
      </c>
      <c r="Q137" s="179">
        <f t="shared" ref="Q137" si="367">Q25/Q14</f>
        <v>6.5314617618586643</v>
      </c>
      <c r="R137" s="118">
        <f t="shared" si="245"/>
        <v>-1.5639208876239263E-2</v>
      </c>
      <c r="S137" s="128"/>
      <c r="T137" s="20">
        <f t="shared" ref="T137" si="368">T25/T14</f>
        <v>6.5314617618586643</v>
      </c>
      <c r="U137" s="20">
        <f t="shared" ref="U137:AC137" si="369">U25/U14</f>
        <v>6.5314617618586635</v>
      </c>
      <c r="V137" s="20">
        <f t="shared" si="369"/>
        <v>6.5314617618586643</v>
      </c>
      <c r="W137" s="20">
        <f t="shared" si="369"/>
        <v>6.5314617618586635</v>
      </c>
      <c r="X137" s="20">
        <f t="shared" si="369"/>
        <v>6.5314617618586635</v>
      </c>
      <c r="Y137" s="20">
        <f t="shared" si="369"/>
        <v>6.5314617618586643</v>
      </c>
      <c r="Z137" s="20">
        <f t="shared" si="369"/>
        <v>6.5314617618586635</v>
      </c>
      <c r="AA137" s="20">
        <f t="shared" si="369"/>
        <v>6.5314617618586635</v>
      </c>
      <c r="AB137" s="20">
        <f t="shared" si="369"/>
        <v>6.5314617618586635</v>
      </c>
      <c r="AC137" s="20">
        <f t="shared" si="369"/>
        <v>6.5314617618586635</v>
      </c>
      <c r="AD137" s="118">
        <f t="shared" si="347"/>
        <v>0</v>
      </c>
      <c r="AE137" s="20"/>
      <c r="AF137" s="20"/>
    </row>
    <row r="138" spans="2:32" x14ac:dyDescent="0.2">
      <c r="B138" s="20" t="s">
        <v>375</v>
      </c>
      <c r="C138" s="20"/>
      <c r="D138" s="20"/>
      <c r="E138" s="20"/>
      <c r="F138" s="20"/>
      <c r="G138" s="179">
        <f>G27/G14</f>
        <v>6.770992366412214</v>
      </c>
      <c r="H138" s="179">
        <f t="shared" ref="H138:P138" si="370">H27/H14</f>
        <v>6.2424242424242422</v>
      </c>
      <c r="I138" s="179">
        <f t="shared" si="370"/>
        <v>5.892601431980907</v>
      </c>
      <c r="J138" s="179">
        <f t="shared" si="370"/>
        <v>6.1206896551724137</v>
      </c>
      <c r="K138" s="179">
        <f t="shared" si="370"/>
        <v>5.7846153846153845</v>
      </c>
      <c r="L138" s="179">
        <f t="shared" si="370"/>
        <v>7.2047619047619049</v>
      </c>
      <c r="M138" s="179">
        <f t="shared" si="370"/>
        <v>6.70866935483871</v>
      </c>
      <c r="N138" s="179">
        <f t="shared" si="370"/>
        <v>4.7706788362806618</v>
      </c>
      <c r="O138" s="179">
        <f t="shared" si="370"/>
        <v>5.6238119059529765</v>
      </c>
      <c r="P138" s="179">
        <f t="shared" si="370"/>
        <v>5.6179222058099461</v>
      </c>
      <c r="Q138" s="179">
        <f t="shared" ref="Q138" si="371">Q27/Q14</f>
        <v>5.5987415295256531</v>
      </c>
      <c r="R138" s="118">
        <f t="shared" si="245"/>
        <v>-1.8495399225288311E-2</v>
      </c>
      <c r="S138" s="128"/>
      <c r="T138" s="20">
        <f t="shared" ref="T138:AC138" si="372">T27/T14</f>
        <v>5.598741529525654</v>
      </c>
      <c r="U138" s="20">
        <f t="shared" si="372"/>
        <v>5.5987415295256531</v>
      </c>
      <c r="V138" s="20">
        <f t="shared" si="372"/>
        <v>5.5987415295256531</v>
      </c>
      <c r="W138" s="20">
        <f t="shared" si="372"/>
        <v>5.5987415295256531</v>
      </c>
      <c r="X138" s="20">
        <f t="shared" si="372"/>
        <v>5.5987415295256531</v>
      </c>
      <c r="Y138" s="20">
        <f t="shared" si="372"/>
        <v>5.5987415295256531</v>
      </c>
      <c r="Z138" s="20">
        <f t="shared" si="372"/>
        <v>5.5987415295256531</v>
      </c>
      <c r="AA138" s="20">
        <f t="shared" si="372"/>
        <v>5.5987415295256522</v>
      </c>
      <c r="AB138" s="20">
        <f t="shared" si="372"/>
        <v>5.5987415295256531</v>
      </c>
      <c r="AC138" s="20">
        <f t="shared" si="372"/>
        <v>5.5987415295256531</v>
      </c>
      <c r="AD138" s="118">
        <f t="shared" si="347"/>
        <v>0</v>
      </c>
      <c r="AE138" s="20"/>
      <c r="AF138" s="20"/>
    </row>
    <row r="139" spans="2:32" x14ac:dyDescent="0.2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28"/>
      <c r="S139" s="128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36"/>
      <c r="AE139" s="20"/>
      <c r="AF139" s="20"/>
    </row>
    <row r="140" spans="2:32" x14ac:dyDescent="0.2">
      <c r="B140" s="108" t="s">
        <v>244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3"/>
      <c r="S140" s="23"/>
      <c r="T140" s="122" t="s">
        <v>66</v>
      </c>
      <c r="U140" s="20"/>
      <c r="V140" s="20"/>
      <c r="W140" s="20"/>
      <c r="X140" s="20"/>
      <c r="Y140" s="20"/>
      <c r="Z140" s="20"/>
      <c r="AA140" s="20"/>
      <c r="AB140" s="20"/>
      <c r="AC140" s="20"/>
      <c r="AD140" s="136"/>
      <c r="AE140" s="20"/>
      <c r="AF140" s="20"/>
    </row>
    <row r="141" spans="2:32" x14ac:dyDescent="0.2">
      <c r="B141" s="23" t="s">
        <v>280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5"/>
      <c r="Q141" s="25"/>
      <c r="R141" s="159">
        <f>AVERAGE(G54:Q54)</f>
        <v>13.999210656202154</v>
      </c>
      <c r="S141" s="23"/>
      <c r="T141" s="108" t="s">
        <v>429</v>
      </c>
      <c r="U141" s="108" t="s">
        <v>430</v>
      </c>
      <c r="V141" s="20"/>
      <c r="W141" s="20"/>
      <c r="X141" s="20"/>
      <c r="Y141" s="20"/>
      <c r="Z141" s="20"/>
      <c r="AA141" s="20"/>
      <c r="AB141" s="20"/>
      <c r="AC141" s="20"/>
      <c r="AD141" s="136"/>
      <c r="AE141" s="20"/>
      <c r="AF141" s="20"/>
    </row>
    <row r="142" spans="2:32" x14ac:dyDescent="0.2">
      <c r="B142" s="20" t="s">
        <v>25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39">
        <f>T142+U142</f>
        <v>70.619976331415089</v>
      </c>
      <c r="T142" s="133">
        <f>PV($C$1, ($AC$3-$T$3), 0, -AC54)</f>
        <v>9.8404885051971824</v>
      </c>
      <c r="U142" s="133">
        <f>PV($C$1, ($AC$3-$T$3), 0, -AF54)</f>
        <v>60.779487826217903</v>
      </c>
      <c r="V142" s="20"/>
      <c r="W142" s="20"/>
      <c r="X142" s="20"/>
      <c r="Y142" s="20"/>
      <c r="Z142" s="20"/>
      <c r="AA142" s="20"/>
      <c r="AB142" s="20"/>
      <c r="AC142" s="20"/>
      <c r="AD142" s="136"/>
      <c r="AE142" s="20"/>
      <c r="AF142" s="20"/>
    </row>
    <row r="143" spans="2:32" x14ac:dyDescent="0.2">
      <c r="B143" s="20" t="s">
        <v>272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39">
        <f t="shared" ref="S143:S161" si="373">T143+U143</f>
        <v>321.4087280993956</v>
      </c>
      <c r="T143" s="133">
        <f>PV($C$1, ($AC$3-$T$3), 0, -AC56)</f>
        <v>44.786462112210856</v>
      </c>
      <c r="U143" s="133">
        <f>PV($C$1, ($AC$3-$T$3), 0, -AF56)</f>
        <v>276.62226598718473</v>
      </c>
      <c r="V143" s="20"/>
      <c r="W143" s="20"/>
      <c r="X143" s="20"/>
      <c r="Y143" s="20"/>
      <c r="Z143" s="20"/>
      <c r="AA143" s="20"/>
      <c r="AB143" s="20"/>
      <c r="AC143" s="20"/>
      <c r="AD143" s="136"/>
      <c r="AE143" s="20"/>
      <c r="AF143" s="20"/>
    </row>
    <row r="144" spans="2:32" x14ac:dyDescent="0.2">
      <c r="B144" s="20" t="s">
        <v>273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39">
        <f t="shared" si="373"/>
        <v>317.12234147629471</v>
      </c>
      <c r="T144" s="133">
        <f>PV($C$1, ($AC$3-$T$3), 0, -AC57)</f>
        <v>44.189178730303361</v>
      </c>
      <c r="U144" s="133">
        <f>PV($C$1, ($AC$3-$T$3), 0, -AF57)</f>
        <v>272.93316274599135</v>
      </c>
      <c r="V144" s="20"/>
      <c r="W144" s="20"/>
      <c r="X144" s="20"/>
      <c r="Y144" s="20"/>
      <c r="Z144" s="20"/>
      <c r="AA144" s="20"/>
      <c r="AB144" s="20"/>
      <c r="AC144" s="20"/>
      <c r="AD144" s="136"/>
      <c r="AE144" s="20"/>
      <c r="AF144" s="20"/>
    </row>
    <row r="145" spans="2:32" x14ac:dyDescent="0.2">
      <c r="B145" s="20" t="s">
        <v>274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39">
        <f t="shared" si="373"/>
        <v>69.425409567600099</v>
      </c>
      <c r="T145" s="133">
        <f>PV($C$1, ($AC$3-$T$3), 0, -AC58)</f>
        <v>9.6740324807311602</v>
      </c>
      <c r="U145" s="133">
        <f>PV($C$1, ($AC$3-$T$3), 0, -AF58)</f>
        <v>59.751377086868942</v>
      </c>
      <c r="V145" s="20"/>
      <c r="W145" s="20"/>
      <c r="X145" s="20"/>
      <c r="Y145" s="20"/>
      <c r="Z145" s="20"/>
      <c r="AA145" s="20"/>
      <c r="AB145" s="20"/>
      <c r="AC145" s="20"/>
      <c r="AD145" s="136"/>
      <c r="AE145" s="20"/>
      <c r="AF145" s="20"/>
    </row>
    <row r="146" spans="2:32" x14ac:dyDescent="0.2">
      <c r="B146" s="20" t="s">
        <v>275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39">
        <f t="shared" si="373"/>
        <v>45.95568609029398</v>
      </c>
      <c r="T146" s="133">
        <f>PV($C$1, ($AC$3-$T$3), 0, -AC64)</f>
        <v>6.4036611765163745</v>
      </c>
      <c r="U146" s="133">
        <f>PV($C$1, ($AC$3-$T$3), 0, -AF64)</f>
        <v>39.552024913777608</v>
      </c>
      <c r="V146" s="20"/>
      <c r="W146" s="20"/>
      <c r="X146" s="20"/>
      <c r="Y146" s="20"/>
      <c r="Z146" s="20"/>
      <c r="AA146" s="20"/>
      <c r="AB146" s="20"/>
      <c r="AC146" s="20"/>
      <c r="AD146" s="136"/>
      <c r="AE146" s="20"/>
      <c r="AF146" s="20"/>
    </row>
    <row r="147" spans="2:32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39"/>
      <c r="T147" s="133"/>
      <c r="U147" s="20"/>
      <c r="V147" s="20"/>
      <c r="W147" s="20"/>
      <c r="X147" s="20"/>
      <c r="Y147" s="20"/>
      <c r="Z147" s="20"/>
      <c r="AA147" s="20"/>
      <c r="AB147" s="20"/>
      <c r="AC147" s="20"/>
      <c r="AD147" s="136"/>
      <c r="AE147" s="20"/>
      <c r="AF147" s="20"/>
    </row>
    <row r="148" spans="2:32" x14ac:dyDescent="0.2">
      <c r="B148" s="20" t="s">
        <v>270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39">
        <f t="shared" si="373"/>
        <v>251.9833185317955</v>
      </c>
      <c r="T148" s="133">
        <f>PV($C$1, ($AC$3-$T$3), 0, -AC60)</f>
        <v>35.112429631479692</v>
      </c>
      <c r="U148" s="133">
        <f>PV($C$1, ($AC$3-$T$3), 0, -$AF$60)</f>
        <v>216.8708889003158</v>
      </c>
      <c r="V148" s="20"/>
      <c r="W148" s="20"/>
      <c r="X148" s="20"/>
      <c r="Y148" s="20"/>
      <c r="Z148" s="20"/>
      <c r="AA148" s="20"/>
      <c r="AB148" s="20"/>
      <c r="AC148" s="20"/>
      <c r="AD148" s="136"/>
      <c r="AE148" s="20"/>
      <c r="AF148" s="20"/>
    </row>
    <row r="149" spans="2:32" x14ac:dyDescent="0.2">
      <c r="B149" s="20" t="s">
        <v>271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39">
        <f t="shared" si="373"/>
        <v>196.82244149680957</v>
      </c>
      <c r="T149" s="133">
        <f>PV($C$1, ($AC$3-$T$3), 0, -AC61)</f>
        <v>27.426077913489859</v>
      </c>
      <c r="U149" s="133">
        <f>PV($C$1, ($AC$3-$T$3), 0, -$AF$61)</f>
        <v>169.39636358331973</v>
      </c>
      <c r="V149" s="20"/>
      <c r="W149" s="20"/>
      <c r="X149" s="20"/>
      <c r="Y149" s="20"/>
      <c r="Z149" s="20"/>
      <c r="AA149" s="20"/>
      <c r="AB149" s="20"/>
      <c r="AC149" s="20"/>
      <c r="AD149" s="136"/>
      <c r="AE149" s="20"/>
      <c r="AF149" s="20"/>
    </row>
    <row r="150" spans="2:32" x14ac:dyDescent="0.2">
      <c r="B150" s="20" t="s">
        <v>276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39">
        <f t="shared" si="373"/>
        <v>461.24330809891393</v>
      </c>
      <c r="T150" s="133">
        <f>PV($C$1, ($AC$3-$T$3), 0, -AC62)</f>
        <v>64.271608505586372</v>
      </c>
      <c r="U150" s="133">
        <f>PV($C$1, ($AC$3-$T$3), 0, -$AF$62)</f>
        <v>396.97169959332757</v>
      </c>
      <c r="V150" s="20"/>
      <c r="W150" s="20"/>
      <c r="X150" s="20"/>
      <c r="Y150" s="20"/>
      <c r="Z150" s="20"/>
      <c r="AA150" s="20"/>
      <c r="AB150" s="20"/>
      <c r="AC150" s="20"/>
      <c r="AD150" s="136"/>
      <c r="AE150" s="20"/>
      <c r="AF150" s="20"/>
    </row>
    <row r="151" spans="2:32" x14ac:dyDescent="0.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39"/>
      <c r="T151" s="133"/>
      <c r="U151" s="20"/>
      <c r="V151" s="20"/>
      <c r="W151" s="20"/>
      <c r="X151" s="20"/>
      <c r="Y151" s="20"/>
      <c r="Z151" s="20"/>
      <c r="AA151" s="20"/>
      <c r="AB151" s="20"/>
      <c r="AC151" s="20"/>
      <c r="AD151" s="136"/>
      <c r="AE151" s="20"/>
      <c r="AF151" s="20"/>
    </row>
    <row r="152" spans="2:32" x14ac:dyDescent="0.2">
      <c r="B152" s="20" t="s">
        <v>249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39">
        <f t="shared" si="373"/>
        <v>264.4208666021043</v>
      </c>
      <c r="T152" s="133">
        <f>PV($C$1, ($AC$3-$T$3), 0, -AC67)</f>
        <v>36.845530592096502</v>
      </c>
      <c r="U152" s="133">
        <f>PV($C$1, ($AC$3-$T$3), 0, -AF67)</f>
        <v>227.57533601000782</v>
      </c>
      <c r="V152" s="20"/>
      <c r="W152" s="20"/>
      <c r="X152" s="20"/>
      <c r="Y152" s="20"/>
      <c r="Z152" s="20"/>
      <c r="AA152" s="20"/>
      <c r="AB152" s="20"/>
      <c r="AC152" s="20"/>
      <c r="AD152" s="136"/>
      <c r="AE152" s="20"/>
      <c r="AF152" s="20"/>
    </row>
    <row r="153" spans="2:32" x14ac:dyDescent="0.2">
      <c r="B153" s="20" t="s">
        <v>250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39">
        <f t="shared" si="373"/>
        <v>46.642402278048586</v>
      </c>
      <c r="T153" s="133">
        <f>PV($C$1, ($AC$3-$T$3), 0, -AC68)</f>
        <v>8.4109250009595815</v>
      </c>
      <c r="U153" s="133">
        <f>PV($C$1, ($AC$3-$T$3), 0, -AF68)</f>
        <v>38.231477277089006</v>
      </c>
      <c r="V153" s="20"/>
      <c r="W153" s="20"/>
      <c r="X153" s="20"/>
      <c r="Y153" s="20"/>
      <c r="Z153" s="20"/>
      <c r="AA153" s="20"/>
      <c r="AB153" s="20"/>
      <c r="AC153" s="20"/>
      <c r="AD153" s="136"/>
      <c r="AE153" s="20"/>
      <c r="AF153" s="20"/>
    </row>
    <row r="154" spans="2:32" x14ac:dyDescent="0.2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39"/>
      <c r="T154" s="133"/>
      <c r="U154" s="133"/>
      <c r="V154" s="20"/>
      <c r="W154" s="20"/>
      <c r="X154" s="20"/>
      <c r="Y154" s="20"/>
      <c r="Z154" s="20"/>
      <c r="AA154" s="20"/>
      <c r="AB154" s="20"/>
      <c r="AC154" s="20"/>
      <c r="AD154" s="136"/>
      <c r="AE154" s="20"/>
      <c r="AF154" s="20"/>
    </row>
    <row r="155" spans="2:32" x14ac:dyDescent="0.2">
      <c r="B155" s="20" t="s">
        <v>293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39">
        <f t="shared" ref="S155" si="374">T155+U155</f>
        <v>2434.6156436268257</v>
      </c>
      <c r="T155" s="133">
        <f>PV($C$1, ($AC$3-$T$3), 0, -AC12)</f>
        <v>339.2497208332461</v>
      </c>
      <c r="U155" s="133">
        <f>PV($C$1, ($AC$3-$T$3), 0, -AF12)</f>
        <v>2095.3659227935796</v>
      </c>
      <c r="V155" s="20"/>
      <c r="W155" s="20"/>
      <c r="X155" s="20"/>
      <c r="Y155" s="20"/>
      <c r="Z155" s="20"/>
      <c r="AA155" s="20"/>
      <c r="AB155" s="20"/>
      <c r="AC155" s="20"/>
      <c r="AD155" s="136"/>
      <c r="AE155" s="20"/>
      <c r="AF155" s="20"/>
    </row>
    <row r="156" spans="2:32" x14ac:dyDescent="0.2">
      <c r="B156" s="20" t="s">
        <v>294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39">
        <f>T156+U156</f>
        <v>48.305865944976702</v>
      </c>
      <c r="T156" s="139">
        <f>T155/P42</f>
        <v>6.7311452546278989</v>
      </c>
      <c r="U156" s="139">
        <f>U155/P42</f>
        <v>41.574720690348805</v>
      </c>
      <c r="V156" s="20"/>
      <c r="W156" s="20"/>
      <c r="X156" s="20"/>
      <c r="Y156" s="20"/>
      <c r="Z156" s="20"/>
      <c r="AA156" s="20"/>
      <c r="AB156" s="20"/>
      <c r="AC156" s="20"/>
      <c r="AD156" s="136"/>
      <c r="AE156" s="20"/>
      <c r="AF156" s="20"/>
    </row>
    <row r="157" spans="2:32" x14ac:dyDescent="0.2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39"/>
      <c r="T157" s="139"/>
      <c r="U157" s="139"/>
      <c r="V157" s="20"/>
      <c r="W157" s="20"/>
      <c r="X157" s="20"/>
      <c r="Y157" s="20"/>
      <c r="Z157" s="20"/>
      <c r="AA157" s="20"/>
      <c r="AB157" s="20"/>
      <c r="AC157" s="20"/>
      <c r="AD157" s="136"/>
      <c r="AE157" s="20"/>
      <c r="AF157" s="20"/>
    </row>
    <row r="158" spans="2:32" x14ac:dyDescent="0.2">
      <c r="B158" s="108" t="s">
        <v>297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39"/>
      <c r="T158" s="133"/>
      <c r="U158" s="133"/>
      <c r="V158" s="20"/>
      <c r="W158" s="20"/>
      <c r="X158" s="20"/>
      <c r="Y158" s="20"/>
      <c r="Z158" s="20"/>
      <c r="AA158" s="20"/>
      <c r="AB158" s="20"/>
      <c r="AC158" s="20"/>
      <c r="AD158" s="136"/>
      <c r="AE158" s="20"/>
      <c r="AF158" s="20"/>
    </row>
    <row r="159" spans="2:32" x14ac:dyDescent="0.2">
      <c r="B159" s="20" t="s">
        <v>282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39">
        <f t="shared" ref="S159" si="375">T159+U159</f>
        <v>9.4202465575557497</v>
      </c>
      <c r="T159" s="133">
        <f>PV($C$1, ($AC$3-$T$3), 0, -AC70)+PV($C$1, ($AB$3-$T$3), 0, -AC70)+PV($C$1, ($AA$3-$T$3), 0, -AC70)+PV($C$1, ($Z$3-$T$3), 0, -AC70)+PV($C$1, ($Y$3-$T$3), 0, -AC70)+PV($C$1, ($X$3-$T$3), 0, -AC70)+PV($C$1, ($W$3-$T$3), 0, -AC70)+PV($C$1, ($V$3-$T$3), 0, -AC70)+PV($C$1, ($U$3-$T$3), 0, -AC70)+PV($C$1, ($T$3-$T$3), 0, -AC70)</f>
        <v>7.7499225630385853</v>
      </c>
      <c r="U159" s="133">
        <f>PV($C$1, ($AC$3-$T$3), 0, -AF70)</f>
        <v>1.6703239945171646</v>
      </c>
      <c r="V159" s="20"/>
      <c r="W159" s="20"/>
      <c r="X159" s="20"/>
      <c r="Y159" s="20"/>
      <c r="Z159" s="20"/>
      <c r="AA159" s="20"/>
      <c r="AB159" s="20"/>
      <c r="AC159" s="20"/>
      <c r="AD159" s="136"/>
      <c r="AE159" s="20"/>
      <c r="AF159" s="20"/>
    </row>
    <row r="160" spans="2:32" x14ac:dyDescent="0.2">
      <c r="B160" s="23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39"/>
      <c r="T160" s="133"/>
      <c r="U160" s="133"/>
      <c r="V160" s="20"/>
      <c r="W160" s="20"/>
      <c r="X160" s="20"/>
      <c r="Y160" s="20"/>
      <c r="Z160" s="20"/>
      <c r="AA160" s="20"/>
      <c r="AB160" s="20"/>
      <c r="AC160" s="20"/>
      <c r="AD160" s="136"/>
      <c r="AE160" s="20"/>
      <c r="AF160" s="20"/>
    </row>
    <row r="161" spans="2:32" x14ac:dyDescent="0.2">
      <c r="B161" s="20" t="s">
        <v>290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39">
        <f t="shared" si="373"/>
        <v>24587.807032583289</v>
      </c>
      <c r="T161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20228.090563576348</v>
      </c>
      <c r="U161" s="133">
        <f>PV($C$1, ($AC$3-$T$3), 0, -AF72)</f>
        <v>4359.7164690069412</v>
      </c>
      <c r="V161" s="20"/>
      <c r="W161" s="20"/>
      <c r="X161" s="20"/>
      <c r="Y161" s="20"/>
      <c r="Z161" s="20"/>
      <c r="AA161" s="20"/>
      <c r="AB161" s="20"/>
      <c r="AC161" s="20"/>
      <c r="AD161" s="136"/>
      <c r="AE161" s="20"/>
      <c r="AF161" s="20"/>
    </row>
    <row r="162" spans="2:32" x14ac:dyDescent="0.2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39"/>
      <c r="T162" s="133"/>
      <c r="U162" s="133"/>
      <c r="V162" s="20"/>
      <c r="W162" s="20"/>
      <c r="X162" s="20"/>
      <c r="Y162" s="20"/>
      <c r="Z162" s="20"/>
      <c r="AA162" s="20"/>
      <c r="AB162" s="20"/>
      <c r="AC162" s="20"/>
      <c r="AD162" s="136"/>
      <c r="AE162" s="20"/>
      <c r="AF162" s="20"/>
    </row>
    <row r="163" spans="2:32" x14ac:dyDescent="0.2">
      <c r="B163" s="20" t="s">
        <v>286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39">
        <f t="shared" ref="S163:S166" si="376">T163+U163</f>
        <v>464.11824576746938</v>
      </c>
      <c r="T163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381.82445043396751</v>
      </c>
      <c r="U163" s="133">
        <f>PV($C$1, ($AC$3-$T$3), 0, -AF74)</f>
        <v>82.293795333501876</v>
      </c>
      <c r="V163" s="20"/>
      <c r="W163" s="20"/>
      <c r="X163" s="20"/>
      <c r="Y163" s="20"/>
      <c r="Z163" s="20"/>
      <c r="AA163" s="20"/>
      <c r="AB163" s="20"/>
      <c r="AC163" s="20"/>
      <c r="AD163" s="136"/>
      <c r="AE163" s="20"/>
      <c r="AF163" s="20"/>
    </row>
    <row r="164" spans="2:32" x14ac:dyDescent="0.2">
      <c r="B164" s="20" t="s">
        <v>287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39">
        <f t="shared" si="376"/>
        <v>500.25229714031593</v>
      </c>
      <c r="T164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411.55149614529324</v>
      </c>
      <c r="U164" s="133">
        <f>PV($C$1, ($AC$3-$T$3), 0, -AF75)</f>
        <v>88.700800995022675</v>
      </c>
      <c r="V164" s="20"/>
      <c r="W164" s="20"/>
      <c r="X164" s="20"/>
      <c r="Y164" s="20"/>
      <c r="Z164" s="20"/>
      <c r="AA164" s="20"/>
      <c r="AB164" s="20"/>
      <c r="AC164" s="20"/>
      <c r="AD164" s="136"/>
      <c r="AE164" s="20"/>
      <c r="AF164" s="20"/>
    </row>
    <row r="165" spans="2:32" x14ac:dyDescent="0.2">
      <c r="B165" s="20" t="s">
        <v>288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39">
        <f t="shared" si="376"/>
        <v>-36.13405137284667</v>
      </c>
      <c r="T165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-29.727045711325854</v>
      </c>
      <c r="U165" s="133">
        <f>PV($C$1, ($AC$3-$T$3), 0, -AF76)</f>
        <v>-6.4070056615208175</v>
      </c>
      <c r="V165" s="20"/>
      <c r="W165" s="20"/>
      <c r="X165" s="20"/>
      <c r="Y165" s="20"/>
      <c r="Z165" s="20"/>
      <c r="AA165" s="20"/>
      <c r="AB165" s="20"/>
      <c r="AC165" s="20"/>
      <c r="AD165" s="136"/>
      <c r="AE165" s="20"/>
      <c r="AF165" s="20"/>
    </row>
    <row r="166" spans="2:32" x14ac:dyDescent="0.2">
      <c r="B166" s="20" t="s">
        <v>289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39">
        <f t="shared" si="376"/>
        <v>-114.72414693851927</v>
      </c>
      <c r="T166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-94.382163932965909</v>
      </c>
      <c r="U166" s="133">
        <f>PV($C$1, ($AC$3-$T$3), 0, -AF77)</f>
        <v>-20.341983005553363</v>
      </c>
      <c r="V166" s="20"/>
      <c r="W166" s="20"/>
      <c r="X166" s="20"/>
      <c r="Y166" s="20"/>
      <c r="Z166" s="20"/>
      <c r="AA166" s="20"/>
      <c r="AB166" s="20"/>
      <c r="AC166" s="20"/>
      <c r="AD166" s="136"/>
      <c r="AE166" s="20"/>
      <c r="AF166" s="20"/>
    </row>
    <row r="167" spans="2:32" x14ac:dyDescent="0.2">
      <c r="B167" s="20" t="s">
        <v>455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39">
        <f>S164+S165+S166</f>
        <v>349.39409882895001</v>
      </c>
      <c r="T167" s="139">
        <f t="shared" ref="T167:U167" si="377">T164+T165+T166</f>
        <v>287.44228650100149</v>
      </c>
      <c r="U167" s="139">
        <f t="shared" si="377"/>
        <v>61.951812327948502</v>
      </c>
      <c r="V167" s="20"/>
      <c r="W167" s="20"/>
      <c r="X167" s="20"/>
      <c r="Y167" s="20"/>
      <c r="Z167" s="20"/>
      <c r="AA167" s="20"/>
      <c r="AB167" s="20"/>
      <c r="AC167" s="20"/>
      <c r="AD167" s="136"/>
      <c r="AE167" s="20"/>
      <c r="AF167" s="20"/>
    </row>
    <row r="168" spans="2:32" x14ac:dyDescent="0.2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39"/>
      <c r="T168" s="133"/>
      <c r="U168" s="133"/>
      <c r="V168" s="20"/>
      <c r="W168" s="20"/>
      <c r="X168" s="20"/>
      <c r="Y168" s="20"/>
      <c r="Z168" s="20"/>
      <c r="AA168" s="20"/>
      <c r="AB168" s="20"/>
      <c r="AC168" s="20"/>
      <c r="AD168" s="136"/>
      <c r="AE168" s="20"/>
      <c r="AF168" s="20"/>
    </row>
    <row r="169" spans="2:32" x14ac:dyDescent="0.2">
      <c r="B169" s="20" t="s">
        <v>298</v>
      </c>
      <c r="C169" s="20"/>
      <c r="D169" s="20"/>
      <c r="E169" s="20"/>
      <c r="F169" s="20"/>
      <c r="G169" s="20">
        <v>12</v>
      </c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139">
        <f>T169+U169</f>
        <v>34.462085171926276</v>
      </c>
      <c r="T169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28.351539400956739</v>
      </c>
      <c r="U169" s="133">
        <f>PV($C$1, ($AC$3-$T$3), 0, -AF78)</f>
        <v>6.1105457709695381</v>
      </c>
      <c r="V169" s="20"/>
      <c r="W169" s="20"/>
      <c r="X169" s="20"/>
      <c r="Y169" s="20"/>
      <c r="Z169" s="20"/>
      <c r="AA169" s="20"/>
      <c r="AB169" s="20"/>
      <c r="AC169" s="20"/>
      <c r="AD169" s="136"/>
      <c r="AE169" s="20"/>
      <c r="AF169" s="20"/>
    </row>
    <row r="170" spans="2:32" x14ac:dyDescent="0.2">
      <c r="B170" s="20"/>
      <c r="C170" s="20"/>
      <c r="D170" s="20"/>
      <c r="E170" s="20"/>
      <c r="F170" s="20"/>
      <c r="G170" s="20">
        <v>30</v>
      </c>
      <c r="H170" s="20"/>
      <c r="I170" s="20"/>
      <c r="J170" s="20"/>
      <c r="K170" s="20"/>
      <c r="L170" s="20"/>
      <c r="M170" s="20"/>
      <c r="N170" s="20"/>
      <c r="O170" s="182">
        <v>41729</v>
      </c>
      <c r="P170" s="20">
        <v>125</v>
      </c>
      <c r="Q170" s="20"/>
      <c r="R170" s="20"/>
      <c r="S170" s="20"/>
      <c r="T170" s="121"/>
      <c r="U170" s="20"/>
      <c r="V170" s="20"/>
      <c r="W170" s="20"/>
      <c r="X170" s="20"/>
      <c r="Y170" s="20"/>
      <c r="Z170" s="20"/>
      <c r="AA170" s="20"/>
      <c r="AB170" s="20"/>
      <c r="AC170" s="20"/>
      <c r="AD170" s="136"/>
      <c r="AE170" s="20"/>
      <c r="AF170" s="20"/>
    </row>
    <row r="171" spans="2:32" x14ac:dyDescent="0.2">
      <c r="B171" s="108" t="s">
        <v>251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3" t="s">
        <v>390</v>
      </c>
      <c r="P171" s="20">
        <v>192</v>
      </c>
      <c r="Q171" s="20"/>
      <c r="R171" s="20">
        <v>150</v>
      </c>
      <c r="S171" s="23" t="s">
        <v>391</v>
      </c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136"/>
      <c r="AE171" s="20"/>
      <c r="AF171" s="20"/>
    </row>
    <row r="172" spans="2:32" x14ac:dyDescent="0.2">
      <c r="B172" s="20" t="s">
        <v>204</v>
      </c>
      <c r="C172" s="22">
        <v>0</v>
      </c>
      <c r="D172" s="22">
        <v>0</v>
      </c>
      <c r="E172" s="22">
        <v>0</v>
      </c>
      <c r="F172" s="22">
        <v>0</v>
      </c>
      <c r="G172" s="22">
        <v>150</v>
      </c>
      <c r="H172" s="22">
        <v>258</v>
      </c>
      <c r="I172" s="22">
        <v>285</v>
      </c>
      <c r="J172" s="22">
        <v>255</v>
      </c>
      <c r="K172" s="22">
        <v>35</v>
      </c>
      <c r="L172" s="22">
        <v>15</v>
      </c>
      <c r="M172" s="22">
        <v>61</v>
      </c>
      <c r="N172" s="22">
        <v>63</v>
      </c>
      <c r="O172" s="22">
        <v>75</v>
      </c>
      <c r="P172" s="22">
        <v>80</v>
      </c>
      <c r="Q172" s="22">
        <v>150</v>
      </c>
      <c r="R172" s="118">
        <f t="shared" ref="R172:R177" si="378">((P172/G172)^(1/($H$2-$H$1) ))-1</f>
        <v>-6.0925878206773088E-2</v>
      </c>
      <c r="S172" s="31">
        <f>L2-3%</f>
        <v>0.09</v>
      </c>
      <c r="T172" s="119">
        <f t="shared" ref="T172" si="379">P172*(1+$S172)</f>
        <v>87.2</v>
      </c>
      <c r="U172" s="119">
        <f t="shared" ref="U172:AC172" si="380">T172*(1+$S172)</f>
        <v>95.048000000000016</v>
      </c>
      <c r="V172" s="119">
        <f t="shared" si="380"/>
        <v>103.60232000000002</v>
      </c>
      <c r="W172" s="119">
        <f t="shared" si="380"/>
        <v>112.92652880000003</v>
      </c>
      <c r="X172" s="119">
        <f t="shared" si="380"/>
        <v>123.08991639200003</v>
      </c>
      <c r="Y172" s="119">
        <f t="shared" si="380"/>
        <v>134.16800886728004</v>
      </c>
      <c r="Z172" s="119">
        <f t="shared" si="380"/>
        <v>146.24312966533526</v>
      </c>
      <c r="AA172" s="119">
        <f t="shared" si="380"/>
        <v>159.40501133521545</v>
      </c>
      <c r="AB172" s="119">
        <f t="shared" si="380"/>
        <v>173.75146235538486</v>
      </c>
      <c r="AC172" s="119">
        <f t="shared" si="380"/>
        <v>189.38909396736952</v>
      </c>
      <c r="AD172" s="137">
        <f t="shared" ref="AD172:AD177" si="381">((AC172/G172)^(1/($AC$3-$H$1) ))-1</f>
        <v>1.1726639342177991E-2</v>
      </c>
      <c r="AE172" s="31">
        <v>0.08</v>
      </c>
      <c r="AF172" s="127">
        <f t="shared" ref="AF172:AF180" si="382">(AC172*(1+AD172))/($C$1-AE172)</f>
        <v>1368.642796911905</v>
      </c>
    </row>
    <row r="173" spans="2:32" x14ac:dyDescent="0.2">
      <c r="B173" s="20" t="s">
        <v>361</v>
      </c>
      <c r="C173" s="25" t="e">
        <f t="shared" ref="C173:P173" si="383">C172/C50</f>
        <v>#DIV/0!</v>
      </c>
      <c r="D173" s="25" t="e">
        <f t="shared" si="383"/>
        <v>#DIV/0!</v>
      </c>
      <c r="E173" s="25" t="e">
        <f t="shared" si="383"/>
        <v>#DIV/0!</v>
      </c>
      <c r="F173" s="25" t="e">
        <f t="shared" si="383"/>
        <v>#DIV/0!</v>
      </c>
      <c r="G173" s="25">
        <f t="shared" si="383"/>
        <v>0.29311224489795917</v>
      </c>
      <c r="H173" s="25">
        <f t="shared" si="383"/>
        <v>0.4409370816599732</v>
      </c>
      <c r="I173" s="25">
        <f t="shared" si="383"/>
        <v>0.40219233603537213</v>
      </c>
      <c r="J173" s="25">
        <f t="shared" si="383"/>
        <v>0.27490706319702601</v>
      </c>
      <c r="K173" s="25">
        <f t="shared" si="383"/>
        <v>0.35776475512766848</v>
      </c>
      <c r="L173" s="25">
        <f t="shared" si="383"/>
        <v>0.15098861593768723</v>
      </c>
      <c r="M173" s="25">
        <f t="shared" si="383"/>
        <v>0.38449224612306154</v>
      </c>
      <c r="N173" s="25">
        <f t="shared" si="383"/>
        <v>0.33894107600341589</v>
      </c>
      <c r="O173" s="25">
        <f t="shared" si="383"/>
        <v>0.30454398968739932</v>
      </c>
      <c r="P173" s="25">
        <f t="shared" si="383"/>
        <v>0.31067961165048541</v>
      </c>
      <c r="Q173" s="25">
        <f t="shared" ref="Q173" si="384">Q172/Q50</f>
        <v>0.5602489995553579</v>
      </c>
      <c r="R173" s="118">
        <f t="shared" ref="R173" si="385">((P173/G173)^(1/($H$2-$H$1) ))-1</f>
        <v>5.8376298894911027E-3</v>
      </c>
      <c r="S173" s="128"/>
      <c r="T173" s="25">
        <f t="shared" ref="T173:AC173" si="386">T172/T50</f>
        <v>0.29224988883948422</v>
      </c>
      <c r="U173" s="25">
        <f t="shared" si="386"/>
        <v>0.28584387565108299</v>
      </c>
      <c r="V173" s="25">
        <f t="shared" si="386"/>
        <v>0.27957827998390961</v>
      </c>
      <c r="W173" s="25">
        <f t="shared" si="386"/>
        <v>0.273450023936048</v>
      </c>
      <c r="X173" s="25">
        <f t="shared" si="386"/>
        <v>0.26745609707209261</v>
      </c>
      <c r="Y173" s="25">
        <f t="shared" si="386"/>
        <v>0.26159355494430697</v>
      </c>
      <c r="Z173" s="25">
        <f t="shared" si="386"/>
        <v>0.25585951764619735</v>
      </c>
      <c r="AA173" s="25">
        <f t="shared" si="386"/>
        <v>0.25025116839779182</v>
      </c>
      <c r="AB173" s="25">
        <f t="shared" si="386"/>
        <v>0.24476575216192953</v>
      </c>
      <c r="AC173" s="25">
        <f t="shared" si="386"/>
        <v>0.23940057429088007</v>
      </c>
      <c r="AD173" s="137">
        <f t="shared" ref="AD173" si="387">((AC173/G173)^(1/($AC$3-$H$1) ))-1</f>
        <v>-1.0069827928773867E-2</v>
      </c>
      <c r="AE173" s="31">
        <v>0.08</v>
      </c>
      <c r="AF173" s="127">
        <f t="shared" ref="AF173" si="388">(AC173*(1+AD173))/($C$1-AE173)</f>
        <v>1.6927846550122947</v>
      </c>
    </row>
    <row r="174" spans="2:32" x14ac:dyDescent="0.2">
      <c r="B174" s="20" t="s">
        <v>389</v>
      </c>
      <c r="C174" s="25" t="e">
        <f t="shared" ref="C174:P174" si="389">C172/C54</f>
        <v>#DIV/0!</v>
      </c>
      <c r="D174" s="25" t="e">
        <f t="shared" si="389"/>
        <v>#DIV/0!</v>
      </c>
      <c r="E174" s="25" t="e">
        <f t="shared" si="389"/>
        <v>#DIV/0!</v>
      </c>
      <c r="F174" s="25" t="e">
        <f t="shared" si="389"/>
        <v>#DIV/0!</v>
      </c>
      <c r="G174" s="25">
        <f t="shared" si="389"/>
        <v>8.2071428571428573</v>
      </c>
      <c r="H174" s="25">
        <f t="shared" si="389"/>
        <v>15.684761904761906</v>
      </c>
      <c r="I174" s="25">
        <f t="shared" si="389"/>
        <v>11.995054945054944</v>
      </c>
      <c r="J174" s="25">
        <f t="shared" si="389"/>
        <v>10.112820512820512</v>
      </c>
      <c r="K174" s="25">
        <f t="shared" si="389"/>
        <v>6.3311111111111114</v>
      </c>
      <c r="L174" s="25">
        <f t="shared" si="389"/>
        <v>5.4388489208633093</v>
      </c>
      <c r="M174" s="25">
        <f t="shared" si="389"/>
        <v>4.708116385911179</v>
      </c>
      <c r="N174" s="25">
        <f t="shared" si="389"/>
        <v>7.2</v>
      </c>
      <c r="O174" s="25">
        <f t="shared" si="389"/>
        <v>9.1747572815533989</v>
      </c>
      <c r="P174" s="25">
        <f t="shared" si="389"/>
        <v>6.5667752442996736</v>
      </c>
      <c r="Q174" s="25">
        <f t="shared" ref="Q174" si="390">Q172/Q54</f>
        <v>7.5223880597014929</v>
      </c>
      <c r="R174" s="118">
        <f t="shared" si="378"/>
        <v>-2.2051430118736337E-2</v>
      </c>
      <c r="S174" s="128"/>
      <c r="T174" s="119">
        <f t="shared" ref="T174:AC174" si="391">T172/T54</f>
        <v>3.923999999999999</v>
      </c>
      <c r="U174" s="119">
        <f t="shared" si="391"/>
        <v>3.8379873214285709</v>
      </c>
      <c r="V174" s="119">
        <f t="shared" si="391"/>
        <v>3.7538600100526134</v>
      </c>
      <c r="W174" s="119">
        <f t="shared" si="391"/>
        <v>3.6715767392965488</v>
      </c>
      <c r="X174" s="119">
        <f t="shared" si="391"/>
        <v>3.5910970884485742</v>
      </c>
      <c r="Y174" s="119">
        <f t="shared" si="391"/>
        <v>3.5123815228044553</v>
      </c>
      <c r="Z174" s="119">
        <f t="shared" si="391"/>
        <v>3.4353913742465534</v>
      </c>
      <c r="AA174" s="119">
        <f t="shared" si="391"/>
        <v>3.3600888222485596</v>
      </c>
      <c r="AB174" s="119">
        <f t="shared" si="391"/>
        <v>3.2864368752965931</v>
      </c>
      <c r="AC174" s="119">
        <f t="shared" si="391"/>
        <v>3.214399352717547</v>
      </c>
      <c r="AD174" s="137">
        <f t="shared" si="381"/>
        <v>-4.5786861698068448E-2</v>
      </c>
      <c r="AE174" s="31">
        <v>0.08</v>
      </c>
      <c r="AF174" s="127">
        <f t="shared" si="382"/>
        <v>21.908729243659341</v>
      </c>
    </row>
    <row r="175" spans="2:32" x14ac:dyDescent="0.2">
      <c r="B175" s="20" t="s">
        <v>258</v>
      </c>
      <c r="C175" s="25" t="e">
        <f t="shared" ref="C175:P175" si="392">C172/C57</f>
        <v>#DIV/0!</v>
      </c>
      <c r="D175" s="25" t="e">
        <f t="shared" si="392"/>
        <v>#DIV/0!</v>
      </c>
      <c r="E175" s="25" t="e">
        <f t="shared" si="392"/>
        <v>#DIV/0!</v>
      </c>
      <c r="F175" s="25" t="e">
        <f t="shared" si="392"/>
        <v>#DIV/0!</v>
      </c>
      <c r="G175" s="25">
        <f t="shared" si="392"/>
        <v>1.0839622641509434</v>
      </c>
      <c r="H175" s="25">
        <f t="shared" si="392"/>
        <v>1.7676923076923077</v>
      </c>
      <c r="I175" s="25">
        <f t="shared" si="392"/>
        <v>1.8438344594594596</v>
      </c>
      <c r="J175" s="25">
        <f t="shared" si="392"/>
        <v>1.3553264604810997</v>
      </c>
      <c r="K175" s="25">
        <f t="shared" si="392"/>
        <v>1.5194666666666667</v>
      </c>
      <c r="L175" s="25">
        <f t="shared" si="392"/>
        <v>0.58333333333333326</v>
      </c>
      <c r="M175" s="25">
        <f t="shared" si="392"/>
        <v>1.6062695924764891</v>
      </c>
      <c r="N175" s="25">
        <f t="shared" si="392"/>
        <v>1.3448538754764929</v>
      </c>
      <c r="O175" s="25">
        <f t="shared" si="392"/>
        <v>1.3587347232207043</v>
      </c>
      <c r="P175" s="25">
        <f t="shared" si="392"/>
        <v>1.2075471698113207</v>
      </c>
      <c r="Q175" s="25">
        <f t="shared" ref="Q175" si="393">Q172/Q57</f>
        <v>1.6751606470197207</v>
      </c>
      <c r="R175" s="118">
        <f t="shared" si="378"/>
        <v>1.0855303770292979E-2</v>
      </c>
      <c r="S175" s="128"/>
      <c r="T175" s="119">
        <f t="shared" ref="T175:AC175" si="394">T172/T57</f>
        <v>0.87383558608464418</v>
      </c>
      <c r="U175" s="119">
        <f t="shared" si="394"/>
        <v>0.85468142212180664</v>
      </c>
      <c r="V175" s="119">
        <f t="shared" si="394"/>
        <v>0.83594711059226157</v>
      </c>
      <c r="W175" s="119">
        <f t="shared" si="394"/>
        <v>0.81762344848061852</v>
      </c>
      <c r="X175" s="119">
        <f t="shared" si="394"/>
        <v>0.79970143449829767</v>
      </c>
      <c r="Y175" s="119">
        <f t="shared" si="394"/>
        <v>0.78217226466174994</v>
      </c>
      <c r="Z175" s="119">
        <f t="shared" si="394"/>
        <v>0.76502732796760176</v>
      </c>
      <c r="AA175" s="119">
        <f t="shared" si="394"/>
        <v>0.74825820216259764</v>
      </c>
      <c r="AB175" s="119">
        <f t="shared" si="394"/>
        <v>0.73185664960626562</v>
      </c>
      <c r="AC175" s="119">
        <f t="shared" si="394"/>
        <v>0.71581461322427109</v>
      </c>
      <c r="AD175" s="137">
        <f t="shared" si="381"/>
        <v>-2.0534101894656209E-2</v>
      </c>
      <c r="AE175" s="31">
        <v>0.08</v>
      </c>
      <c r="AF175" s="127">
        <f t="shared" si="382"/>
        <v>5.0079714501331418</v>
      </c>
    </row>
    <row r="176" spans="2:32" x14ac:dyDescent="0.2">
      <c r="B176" s="20" t="s">
        <v>259</v>
      </c>
      <c r="C176" s="25" t="e">
        <f t="shared" ref="C176:P176" si="395">C172/C66</f>
        <v>#DIV/0!</v>
      </c>
      <c r="D176" s="25" t="e">
        <f t="shared" si="395"/>
        <v>#DIV/0!</v>
      </c>
      <c r="E176" s="25" t="e">
        <f t="shared" si="395"/>
        <v>#DIV/0!</v>
      </c>
      <c r="F176" s="25" t="e">
        <f t="shared" si="395"/>
        <v>#DIV/0!</v>
      </c>
      <c r="G176" s="25">
        <f t="shared" si="395"/>
        <v>3.3017241379310343</v>
      </c>
      <c r="H176" s="25">
        <f t="shared" si="395"/>
        <v>7.9688709677419345</v>
      </c>
      <c r="I176" s="25">
        <f t="shared" si="395"/>
        <v>4.7171564390665512</v>
      </c>
      <c r="J176" s="25">
        <f t="shared" si="395"/>
        <v>5.9757575757575756</v>
      </c>
      <c r="K176" s="25">
        <f t="shared" si="395"/>
        <v>5.8944827586206898</v>
      </c>
      <c r="L176" s="25">
        <f t="shared" si="395"/>
        <v>2.0655737704918034</v>
      </c>
      <c r="M176" s="25">
        <f t="shared" si="395"/>
        <v>8.6847457627118647</v>
      </c>
      <c r="N176" s="25">
        <f t="shared" si="395"/>
        <v>15.718811881188119</v>
      </c>
      <c r="O176" s="25">
        <f t="shared" si="395"/>
        <v>20</v>
      </c>
      <c r="P176" s="25">
        <f t="shared" si="395"/>
        <v>10.338461538461537</v>
      </c>
      <c r="Q176" s="25">
        <f t="shared" ref="Q176" si="396">Q172/Q66</f>
        <v>10.529247910863509</v>
      </c>
      <c r="R176" s="118">
        <f t="shared" si="378"/>
        <v>0.12091198608363385</v>
      </c>
      <c r="S176" s="128"/>
      <c r="T176" s="119">
        <f t="shared" ref="T176:AC176" si="397">T172/T66</f>
        <v>5.4925069637883004</v>
      </c>
      <c r="U176" s="119">
        <f t="shared" si="397"/>
        <v>5.3721131727516909</v>
      </c>
      <c r="V176" s="119">
        <f t="shared" si="397"/>
        <v>5.2543583706168207</v>
      </c>
      <c r="W176" s="119">
        <f t="shared" si="397"/>
        <v>5.1391847116894604</v>
      </c>
      <c r="X176" s="119">
        <f t="shared" si="397"/>
        <v>5.0265356182323373</v>
      </c>
      <c r="Y176" s="119">
        <f t="shared" si="397"/>
        <v>4.9163557526719757</v>
      </c>
      <c r="Z176" s="119">
        <f t="shared" si="397"/>
        <v>4.8085909904147455</v>
      </c>
      <c r="AA176" s="119">
        <f t="shared" si="397"/>
        <v>4.7031883932587792</v>
      </c>
      <c r="AB176" s="119">
        <f t="shared" si="397"/>
        <v>4.6000961833886871</v>
      </c>
      <c r="AC176" s="119">
        <f t="shared" si="397"/>
        <v>4.4992637179403001</v>
      </c>
      <c r="AD176" s="137">
        <f t="shared" si="381"/>
        <v>1.5593782013714641E-2</v>
      </c>
      <c r="AE176" s="31">
        <v>0.08</v>
      </c>
      <c r="AF176" s="127">
        <f t="shared" si="382"/>
        <v>32.63874468271483</v>
      </c>
    </row>
    <row r="177" spans="2:46" x14ac:dyDescent="0.2">
      <c r="B177" s="20" t="s">
        <v>260</v>
      </c>
      <c r="C177" s="25" t="e">
        <f t="shared" ref="C177:P177" si="398">C172/C68</f>
        <v>#DIV/0!</v>
      </c>
      <c r="D177" s="25" t="e">
        <f t="shared" si="398"/>
        <v>#DIV/0!</v>
      </c>
      <c r="E177" s="25" t="e">
        <f t="shared" si="398"/>
        <v>#DIV/0!</v>
      </c>
      <c r="F177" s="25" t="e">
        <f t="shared" si="398"/>
        <v>#DIV/0!</v>
      </c>
      <c r="G177" s="25">
        <f t="shared" si="398"/>
        <v>2.6971830985915495</v>
      </c>
      <c r="H177" s="25">
        <f t="shared" si="398"/>
        <v>4.1172500000000003</v>
      </c>
      <c r="I177" s="25">
        <f t="shared" si="398"/>
        <v>2.3474193548387094</v>
      </c>
      <c r="J177" s="25">
        <f t="shared" si="398"/>
        <v>3.1136842105263156</v>
      </c>
      <c r="K177" s="25">
        <f t="shared" si="398"/>
        <v>3.4051792828685259</v>
      </c>
      <c r="L177" s="25">
        <f t="shared" si="398"/>
        <v>1.4318181818181819</v>
      </c>
      <c r="M177" s="25">
        <f t="shared" si="398"/>
        <v>5.3654450261780111</v>
      </c>
      <c r="N177" s="25">
        <f t="shared" si="398"/>
        <v>3.692093023255814</v>
      </c>
      <c r="O177" s="25">
        <f t="shared" si="398"/>
        <v>4.295454545454545</v>
      </c>
      <c r="P177" s="25">
        <f t="shared" si="398"/>
        <v>4.0522613065326629</v>
      </c>
      <c r="Q177" s="25">
        <f t="shared" ref="Q177" si="399">Q172/Q68</f>
        <v>8.800931315483119</v>
      </c>
      <c r="R177" s="118">
        <f t="shared" si="378"/>
        <v>4.1546589818332924E-2</v>
      </c>
      <c r="S177" s="128"/>
      <c r="T177" s="119">
        <f t="shared" ref="T177:AC177" si="400">T172/T68</f>
        <v>4.5909429569266589</v>
      </c>
      <c r="U177" s="119">
        <f t="shared" si="400"/>
        <v>4.4903111269333111</v>
      </c>
      <c r="V177" s="119">
        <f t="shared" si="400"/>
        <v>4.3918851107134769</v>
      </c>
      <c r="W177" s="119">
        <f t="shared" si="400"/>
        <v>4.2956165576170342</v>
      </c>
      <c r="X177" s="119">
        <f t="shared" si="400"/>
        <v>4.2014581768228378</v>
      </c>
      <c r="Y177" s="119">
        <f t="shared" si="400"/>
        <v>4.1093637141076584</v>
      </c>
      <c r="Z177" s="119">
        <f t="shared" si="400"/>
        <v>4.0192879291243155</v>
      </c>
      <c r="AA177" s="119">
        <f t="shared" si="400"/>
        <v>3.931186573177885</v>
      </c>
      <c r="AB177" s="119">
        <f t="shared" si="400"/>
        <v>3.8450163674890301</v>
      </c>
      <c r="AC177" s="119">
        <f t="shared" si="400"/>
        <v>3.7607349819338012</v>
      </c>
      <c r="AD177" s="137">
        <f t="shared" si="381"/>
        <v>1.6759209993736146E-2</v>
      </c>
      <c r="AE177" s="31">
        <v>0.08</v>
      </c>
      <c r="AF177" s="127">
        <f t="shared" si="382"/>
        <v>27.312585208762993</v>
      </c>
    </row>
    <row r="178" spans="2:46" x14ac:dyDescent="0.2">
      <c r="B178" s="20" t="s">
        <v>281</v>
      </c>
      <c r="C178" s="25" t="e">
        <f>C174/C123</f>
        <v>#DIV/0!</v>
      </c>
      <c r="D178" s="25" t="e">
        <f>D174/D123</f>
        <v>#DIV/0!</v>
      </c>
      <c r="E178" s="25" t="e">
        <f>E174/E123</f>
        <v>#DIV/0!</v>
      </c>
      <c r="F178" s="25" t="e">
        <f>F174/F123</f>
        <v>#DIV/0!</v>
      </c>
      <c r="G178" s="181">
        <f t="shared" ref="G178:P178" si="401">G172/G62</f>
        <v>2.6113636363636363</v>
      </c>
      <c r="H178" s="181">
        <f t="shared" si="401"/>
        <v>6.587600000000001</v>
      </c>
      <c r="I178" s="181">
        <f t="shared" si="401"/>
        <v>24.256666666666664</v>
      </c>
      <c r="J178" s="181">
        <f t="shared" si="401"/>
        <v>4.210676156583629</v>
      </c>
      <c r="K178" s="181">
        <f t="shared" si="401"/>
        <v>2.0229585798816569</v>
      </c>
      <c r="L178" s="181">
        <f t="shared" si="401"/>
        <v>1.08</v>
      </c>
      <c r="M178" s="181">
        <f t="shared" si="401"/>
        <v>4.2998601398601402</v>
      </c>
      <c r="N178" s="181">
        <f t="shared" si="401"/>
        <v>3.9789473684210526</v>
      </c>
      <c r="O178" s="181">
        <f t="shared" si="401"/>
        <v>3.4615384615384612</v>
      </c>
      <c r="P178" s="181">
        <f t="shared" si="401"/>
        <v>1.8162162162162161</v>
      </c>
      <c r="Q178" s="181">
        <f t="shared" ref="Q178" si="402">Q172/Q62</f>
        <v>1.1517367458866545</v>
      </c>
      <c r="R178" s="118">
        <f t="shared" ref="R178:R181" si="403">((P178/G178)^(1/($H$2-$H$1) ))-1</f>
        <v>-3.5660358875208242E-2</v>
      </c>
      <c r="S178" s="128"/>
      <c r="T178" s="134">
        <f t="shared" ref="T178:AC178" si="404">T172/T62</f>
        <v>0.60079524680073115</v>
      </c>
      <c r="U178" s="134">
        <f t="shared" si="404"/>
        <v>0.58762602956059007</v>
      </c>
      <c r="V178" s="134">
        <f t="shared" si="404"/>
        <v>0.57474547685906108</v>
      </c>
      <c r="W178" s="134">
        <f t="shared" si="404"/>
        <v>0.56214726127255199</v>
      </c>
      <c r="X178" s="134">
        <f t="shared" si="404"/>
        <v>0.54982519407233676</v>
      </c>
      <c r="Y178" s="134">
        <f t="shared" si="404"/>
        <v>0.5377732221844117</v>
      </c>
      <c r="Z178" s="134">
        <f t="shared" si="404"/>
        <v>0.52598542521599456</v>
      </c>
      <c r="AA178" s="134">
        <f t="shared" si="404"/>
        <v>0.51445601254719731</v>
      </c>
      <c r="AB178" s="134">
        <f t="shared" si="404"/>
        <v>0.50317932048645286</v>
      </c>
      <c r="AC178" s="134">
        <f t="shared" si="404"/>
        <v>0.49214980948828996</v>
      </c>
      <c r="AD178" s="137">
        <f t="shared" ref="AD178" si="405">((AC178/G178)^(1/($AC$3-$H$1) ))-1</f>
        <v>-8.0055772856894802E-2</v>
      </c>
      <c r="AE178" s="31">
        <v>0.08</v>
      </c>
      <c r="AF178" s="127">
        <f t="shared" si="382"/>
        <v>3.2339312580595094</v>
      </c>
    </row>
    <row r="179" spans="2:46" x14ac:dyDescent="0.2">
      <c r="B179" s="20" t="s">
        <v>371</v>
      </c>
      <c r="C179" s="160" t="e">
        <f t="shared" ref="C179:P179" si="406">C54/C172</f>
        <v>#DIV/0!</v>
      </c>
      <c r="D179" s="160" t="e">
        <f t="shared" si="406"/>
        <v>#DIV/0!</v>
      </c>
      <c r="E179" s="160" t="e">
        <f t="shared" si="406"/>
        <v>#DIV/0!</v>
      </c>
      <c r="F179" s="160" t="e">
        <f t="shared" si="406"/>
        <v>#DIV/0!</v>
      </c>
      <c r="G179" s="160">
        <f t="shared" si="406"/>
        <v>0.12184508268059181</v>
      </c>
      <c r="H179" s="160">
        <f t="shared" si="406"/>
        <v>6.375614791426315E-2</v>
      </c>
      <c r="I179" s="160">
        <f t="shared" si="406"/>
        <v>8.3367688149878619E-2</v>
      </c>
      <c r="J179" s="160">
        <f t="shared" si="406"/>
        <v>9.8884381338742403E-2</v>
      </c>
      <c r="K179" s="160">
        <f t="shared" si="406"/>
        <v>0.15795015795015793</v>
      </c>
      <c r="L179" s="160">
        <f t="shared" si="406"/>
        <v>0.18386243386243387</v>
      </c>
      <c r="M179" s="160">
        <f t="shared" si="406"/>
        <v>0.21239916731720013</v>
      </c>
      <c r="N179" s="160">
        <f t="shared" si="406"/>
        <v>0.1388888888888889</v>
      </c>
      <c r="O179" s="160">
        <f t="shared" si="406"/>
        <v>0.10899470899470899</v>
      </c>
      <c r="P179" s="160">
        <f t="shared" si="406"/>
        <v>0.15228174603174605</v>
      </c>
      <c r="Q179" s="160">
        <f t="shared" ref="Q179" si="407">Q54/Q172</f>
        <v>0.13293650793650794</v>
      </c>
      <c r="R179" s="118">
        <f t="shared" si="403"/>
        <v>2.2548660326190406E-2</v>
      </c>
      <c r="S179" s="128"/>
      <c r="T179" s="160">
        <f t="shared" ref="T179:AC179" si="408">T54/T172</f>
        <v>0.25484199796126406</v>
      </c>
      <c r="U179" s="160">
        <f t="shared" si="408"/>
        <v>0.26055323174641998</v>
      </c>
      <c r="V179" s="160">
        <f t="shared" si="408"/>
        <v>0.26639245931442823</v>
      </c>
      <c r="W179" s="160">
        <f t="shared" si="408"/>
        <v>0.27236254911877283</v>
      </c>
      <c r="X179" s="160">
        <f t="shared" si="408"/>
        <v>0.27846643389750847</v>
      </c>
      <c r="Y179" s="160">
        <f t="shared" si="408"/>
        <v>0.28470711211393446</v>
      </c>
      <c r="Z179" s="160">
        <f t="shared" si="408"/>
        <v>0.29108764942955562</v>
      </c>
      <c r="AA179" s="160">
        <f t="shared" si="408"/>
        <v>0.29761118021005273</v>
      </c>
      <c r="AB179" s="160">
        <f t="shared" si="408"/>
        <v>0.30428090906500443</v>
      </c>
      <c r="AC179" s="160">
        <f t="shared" si="408"/>
        <v>0.31110011242211422</v>
      </c>
      <c r="AD179" s="137">
        <f t="shared" ref="AD179:AD181" si="409">((AC179/G179)^(1/($AC$3-$H$1) ))-1</f>
        <v>4.7983893597973726E-2</v>
      </c>
      <c r="AE179" s="31">
        <v>0.08</v>
      </c>
      <c r="AF179" s="127">
        <f t="shared" si="382"/>
        <v>2.3287707651063898</v>
      </c>
    </row>
    <row r="180" spans="2:46" x14ac:dyDescent="0.2">
      <c r="B180" s="20" t="s">
        <v>320</v>
      </c>
      <c r="C180" s="151" t="e">
        <f t="shared" ref="C180:P180" si="410">C44/C172</f>
        <v>#DIV/0!</v>
      </c>
      <c r="D180" s="151" t="e">
        <f t="shared" si="410"/>
        <v>#DIV/0!</v>
      </c>
      <c r="E180" s="151" t="e">
        <f t="shared" si="410"/>
        <v>#DIV/0!</v>
      </c>
      <c r="F180" s="151" t="e">
        <f t="shared" si="410"/>
        <v>#DIV/0!</v>
      </c>
      <c r="G180" s="151">
        <f t="shared" si="410"/>
        <v>0.03</v>
      </c>
      <c r="H180" s="151">
        <f t="shared" si="410"/>
        <v>1.7441860465116279E-2</v>
      </c>
      <c r="I180" s="151">
        <f t="shared" si="410"/>
        <v>1.5789473684210527E-2</v>
      </c>
      <c r="J180" s="151">
        <f t="shared" si="410"/>
        <v>1.7647058823529412E-2</v>
      </c>
      <c r="K180" s="151">
        <f t="shared" si="410"/>
        <v>1.4285714285714285E-2</v>
      </c>
      <c r="L180" s="151">
        <f t="shared" si="410"/>
        <v>3.0000000000000002E-2</v>
      </c>
      <c r="M180" s="151">
        <f t="shared" si="410"/>
        <v>1.2295081967213115E-2</v>
      </c>
      <c r="N180" s="151">
        <f t="shared" si="410"/>
        <v>7.9365079365079361E-3</v>
      </c>
      <c r="O180" s="151">
        <f t="shared" si="410"/>
        <v>6.6666666666666671E-3</v>
      </c>
      <c r="P180" s="151">
        <f t="shared" si="410"/>
        <v>6.2500000000000003E-3</v>
      </c>
      <c r="Q180" s="151">
        <f t="shared" ref="Q180" si="411">Q44/Q172</f>
        <v>5.0000000000000001E-3</v>
      </c>
      <c r="R180" s="118">
        <f t="shared" si="403"/>
        <v>-0.14517763493754876</v>
      </c>
      <c r="S180" s="128"/>
      <c r="T180" s="151">
        <f t="shared" ref="T180:AC180" si="412">T44/T172</f>
        <v>9.2889908256880739E-3</v>
      </c>
      <c r="U180" s="151">
        <f t="shared" si="412"/>
        <v>9.2037707263698341E-3</v>
      </c>
      <c r="V180" s="151">
        <f t="shared" si="412"/>
        <v>9.1193324628251575E-3</v>
      </c>
      <c r="W180" s="151">
        <f t="shared" si="412"/>
        <v>9.0356688622487778E-3</v>
      </c>
      <c r="X180" s="151">
        <f t="shared" si="412"/>
        <v>8.9527728176409926E-3</v>
      </c>
      <c r="Y180" s="151">
        <f t="shared" si="412"/>
        <v>8.8706372872039193E-3</v>
      </c>
      <c r="Z180" s="151">
        <f t="shared" si="412"/>
        <v>8.7892552937433328E-3</v>
      </c>
      <c r="AA180" s="151">
        <f t="shared" si="412"/>
        <v>8.7086199240759624E-3</v>
      </c>
      <c r="AB180" s="151">
        <f t="shared" si="412"/>
        <v>8.6287243284422378E-3</v>
      </c>
      <c r="AC180" s="151">
        <f t="shared" si="412"/>
        <v>8.5495617199244176E-3</v>
      </c>
      <c r="AD180" s="137">
        <f t="shared" si="409"/>
        <v>-6.0836663900217247E-2</v>
      </c>
      <c r="AE180" s="31">
        <v>0.08</v>
      </c>
      <c r="AF180" s="127">
        <f t="shared" si="382"/>
        <v>5.735310647910865E-2</v>
      </c>
    </row>
    <row r="181" spans="2:46" x14ac:dyDescent="0.2">
      <c r="B181" s="20" t="s">
        <v>446</v>
      </c>
      <c r="C181" s="180" t="e">
        <f t="shared" ref="C181:O181" si="413">(C174)/($L$2*100)</f>
        <v>#DIV/0!</v>
      </c>
      <c r="D181" s="180" t="e">
        <f t="shared" si="413"/>
        <v>#DIV/0!</v>
      </c>
      <c r="E181" s="180" t="e">
        <f t="shared" si="413"/>
        <v>#DIV/0!</v>
      </c>
      <c r="F181" s="180" t="e">
        <f t="shared" si="413"/>
        <v>#DIV/0!</v>
      </c>
      <c r="G181" s="180">
        <f t="shared" si="413"/>
        <v>0.68392857142857144</v>
      </c>
      <c r="H181" s="180">
        <f t="shared" si="413"/>
        <v>1.3070634920634923</v>
      </c>
      <c r="I181" s="180">
        <f t="shared" si="413"/>
        <v>0.99958791208791198</v>
      </c>
      <c r="J181" s="180">
        <f t="shared" si="413"/>
        <v>0.84273504273504274</v>
      </c>
      <c r="K181" s="180">
        <f t="shared" si="413"/>
        <v>0.52759259259259261</v>
      </c>
      <c r="L181" s="180">
        <f t="shared" si="413"/>
        <v>0.45323741007194246</v>
      </c>
      <c r="M181" s="180">
        <f t="shared" si="413"/>
        <v>0.39234303215926492</v>
      </c>
      <c r="N181" s="180">
        <f t="shared" si="413"/>
        <v>0.6</v>
      </c>
      <c r="O181" s="180">
        <f t="shared" si="413"/>
        <v>0.76456310679611661</v>
      </c>
      <c r="P181" s="180">
        <f>(P174)/($L$2*100)</f>
        <v>0.5472312703583061</v>
      </c>
      <c r="Q181" s="180">
        <f>(Q174)/($L$2*100)</f>
        <v>0.62686567164179108</v>
      </c>
      <c r="R181" s="118">
        <f t="shared" si="403"/>
        <v>-2.2051430118736337E-2</v>
      </c>
      <c r="S181" s="128"/>
      <c r="T181" s="180">
        <f>(T174)/($L$2*100)</f>
        <v>0.3269999999999999</v>
      </c>
      <c r="U181" s="180">
        <f t="shared" ref="U181:AC181" si="414">(U174)/($L$2*100)</f>
        <v>0.31983227678571424</v>
      </c>
      <c r="V181" s="180">
        <f t="shared" si="414"/>
        <v>0.31282166750438445</v>
      </c>
      <c r="W181" s="180">
        <f t="shared" si="414"/>
        <v>0.30596472827471238</v>
      </c>
      <c r="X181" s="180">
        <f t="shared" si="414"/>
        <v>0.29925809070404785</v>
      </c>
      <c r="Y181" s="180">
        <f t="shared" si="414"/>
        <v>0.2926984602337046</v>
      </c>
      <c r="Z181" s="180">
        <f t="shared" si="414"/>
        <v>0.2862826145205461</v>
      </c>
      <c r="AA181" s="180">
        <f t="shared" si="414"/>
        <v>0.28000740185404666</v>
      </c>
      <c r="AB181" s="180">
        <f t="shared" si="414"/>
        <v>0.27386973960804945</v>
      </c>
      <c r="AC181" s="180">
        <f t="shared" si="414"/>
        <v>0.26786661272646223</v>
      </c>
      <c r="AD181" s="137">
        <f t="shared" si="409"/>
        <v>-4.5786861698068448E-2</v>
      </c>
      <c r="AE181" s="31">
        <v>0.08</v>
      </c>
      <c r="AF181" s="180">
        <f>(AF174)/($L$2*100)</f>
        <v>1.8257274369716117</v>
      </c>
    </row>
    <row r="182" spans="2:46" x14ac:dyDescent="0.2">
      <c r="B182" s="20" t="s">
        <v>447</v>
      </c>
      <c r="C182" s="151"/>
      <c r="D182" s="151"/>
      <c r="E182" s="151"/>
      <c r="F182" s="151"/>
      <c r="G182" s="151">
        <f t="shared" ref="G182:P182" si="415">G181-1</f>
        <v>-0.31607142857142856</v>
      </c>
      <c r="H182" s="151">
        <f t="shared" si="415"/>
        <v>0.30706349206349226</v>
      </c>
      <c r="I182" s="151">
        <f t="shared" si="415"/>
        <v>-4.1208791208802165E-4</v>
      </c>
      <c r="J182" s="151">
        <f t="shared" si="415"/>
        <v>-0.15726495726495726</v>
      </c>
      <c r="K182" s="151">
        <f t="shared" si="415"/>
        <v>-0.47240740740740739</v>
      </c>
      <c r="L182" s="151">
        <f t="shared" si="415"/>
        <v>-0.54676258992805749</v>
      </c>
      <c r="M182" s="151">
        <f t="shared" si="415"/>
        <v>-0.60765696784073508</v>
      </c>
      <c r="N182" s="151">
        <f t="shared" si="415"/>
        <v>-0.4</v>
      </c>
      <c r="O182" s="151">
        <f t="shared" si="415"/>
        <v>-0.23543689320388339</v>
      </c>
      <c r="P182" s="151">
        <f t="shared" si="415"/>
        <v>-0.4527687296416939</v>
      </c>
      <c r="Q182" s="151">
        <f>Q181-1</f>
        <v>-0.37313432835820892</v>
      </c>
      <c r="R182" s="128"/>
      <c r="S182" s="128"/>
      <c r="T182" s="134"/>
      <c r="U182" s="134"/>
      <c r="V182" s="134"/>
      <c r="W182" s="134"/>
      <c r="X182" s="134"/>
      <c r="Y182" s="134"/>
      <c r="Z182" s="134"/>
      <c r="AA182" s="134"/>
      <c r="AB182" s="134"/>
      <c r="AC182" s="134"/>
      <c r="AD182" s="136"/>
      <c r="AE182" s="20"/>
      <c r="AF182" s="127"/>
    </row>
    <row r="183" spans="2:46" x14ac:dyDescent="0.2">
      <c r="B183" s="20"/>
      <c r="C183" s="129"/>
      <c r="D183" s="129"/>
      <c r="E183" s="129"/>
      <c r="F183" s="129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34"/>
      <c r="R183" s="128"/>
      <c r="S183" s="128"/>
      <c r="T183" s="134"/>
      <c r="U183" s="134"/>
      <c r="V183" s="134"/>
      <c r="W183" s="134"/>
      <c r="X183" s="134"/>
      <c r="Y183" s="134"/>
      <c r="Z183" s="134"/>
      <c r="AA183" s="134"/>
      <c r="AB183" s="134"/>
      <c r="AC183" s="134"/>
      <c r="AD183" s="136"/>
      <c r="AE183" s="20"/>
      <c r="AF183" s="20"/>
    </row>
    <row r="184" spans="2:46" x14ac:dyDescent="0.2">
      <c r="B184" s="108" t="s">
        <v>301</v>
      </c>
      <c r="C184" s="20"/>
      <c r="D184" s="20"/>
      <c r="E184" s="20"/>
      <c r="F184" s="20"/>
      <c r="G184" s="20"/>
      <c r="H184" s="20"/>
      <c r="I184" s="20"/>
      <c r="J184" s="20"/>
      <c r="K184" s="203" t="s">
        <v>351</v>
      </c>
      <c r="L184" s="204"/>
      <c r="M184" s="20"/>
      <c r="N184" s="20"/>
      <c r="O184" s="20"/>
      <c r="P184" s="108" t="s">
        <v>430</v>
      </c>
      <c r="Q184" s="108" t="s">
        <v>429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6"/>
      <c r="AE184" s="20"/>
      <c r="AF184" s="20"/>
    </row>
    <row r="185" spans="2:46" x14ac:dyDescent="0.2">
      <c r="B185" s="20" t="s">
        <v>299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20" t="s">
        <v>352</v>
      </c>
      <c r="L185" s="22">
        <v>1</v>
      </c>
      <c r="M185" s="20"/>
      <c r="N185" s="20"/>
      <c r="O185" s="20"/>
      <c r="P185" s="128">
        <f>(Q172-S159)/Q172</f>
        <v>0.93719835628296166</v>
      </c>
      <c r="Q185" s="128">
        <f>(Q172-T159)/Q172</f>
        <v>0.94833384957974276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6"/>
      <c r="AE185" s="20"/>
      <c r="AF185" s="20"/>
    </row>
    <row r="186" spans="2:46" x14ac:dyDescent="0.2">
      <c r="B186" s="20" t="s">
        <v>349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1">
        <f>$L$185</f>
        <v>1</v>
      </c>
      <c r="L186" s="20"/>
      <c r="M186" s="128">
        <f>(Q172-(K186*S150))/Q172</f>
        <v>-2.0749553873260926</v>
      </c>
      <c r="N186" s="20"/>
      <c r="O186" s="20"/>
      <c r="P186" s="128">
        <f>(Q172-S150)/Q172</f>
        <v>-2.0749553873260926</v>
      </c>
      <c r="Q186" s="128">
        <f>(Q172-T150)/Q172</f>
        <v>0.5715226099627575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6"/>
      <c r="AE186" s="20"/>
      <c r="AF186" s="20"/>
    </row>
    <row r="187" spans="2:46" x14ac:dyDescent="0.2">
      <c r="B187" s="20" t="s">
        <v>350</v>
      </c>
      <c r="C187" s="20" t="s">
        <v>314</v>
      </c>
      <c r="D187" s="20"/>
      <c r="E187" s="20"/>
      <c r="F187" s="20"/>
      <c r="G187" s="20"/>
      <c r="H187" s="20"/>
      <c r="I187" s="20"/>
      <c r="J187" s="20"/>
      <c r="K187" s="171">
        <f>$L$185</f>
        <v>1</v>
      </c>
      <c r="L187" s="20"/>
      <c r="M187" s="128">
        <f>(Q172-(K187*S143))/Q172</f>
        <v>-1.1427248539959707</v>
      </c>
      <c r="N187" s="20"/>
      <c r="O187" s="20"/>
      <c r="P187" s="128">
        <f>(Q172-S143)/Q172</f>
        <v>-1.1427248539959707</v>
      </c>
      <c r="Q187" s="128">
        <f>(Q172-T143)/Q172</f>
        <v>0.70142358591859433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36"/>
      <c r="AE187" s="20"/>
      <c r="AF187" s="20"/>
    </row>
    <row r="188" spans="2:46" x14ac:dyDescent="0.2">
      <c r="B188" s="20" t="s">
        <v>353</v>
      </c>
      <c r="C188" s="20" t="s">
        <v>314</v>
      </c>
      <c r="D188" s="20"/>
      <c r="E188" s="20"/>
      <c r="F188" s="20"/>
      <c r="G188" s="20"/>
      <c r="H188" s="20"/>
      <c r="I188" s="20"/>
      <c r="J188" s="20"/>
      <c r="K188" s="171">
        <f>$L$185</f>
        <v>1</v>
      </c>
      <c r="L188" s="20"/>
      <c r="M188" s="128">
        <f>(Q172-(K188*S156))/Q172</f>
        <v>0.67796089370015533</v>
      </c>
      <c r="N188" s="20"/>
      <c r="O188" s="20"/>
      <c r="P188" s="128">
        <f>(Q172-S156)/Q172</f>
        <v>0.67796089370015533</v>
      </c>
      <c r="Q188" s="128">
        <f>(Q172-T156)/Q172</f>
        <v>0.95512569830248062</v>
      </c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136"/>
      <c r="AE188" s="20"/>
      <c r="AF188" s="20"/>
    </row>
    <row r="189" spans="2:46" x14ac:dyDescent="0.2">
      <c r="B189" s="20" t="s">
        <v>399</v>
      </c>
      <c r="C189" s="20" t="s">
        <v>314</v>
      </c>
      <c r="D189" s="20"/>
      <c r="E189" s="20"/>
      <c r="F189" s="20"/>
      <c r="G189" s="20"/>
      <c r="H189" s="20"/>
      <c r="I189" s="20"/>
      <c r="J189" s="20"/>
      <c r="K189" s="171">
        <f>$L$185</f>
        <v>1</v>
      </c>
      <c r="L189" s="20"/>
      <c r="M189" s="128">
        <f>(Q172-(K189*S169))/Q172</f>
        <v>0.77025276552049149</v>
      </c>
      <c r="N189" s="20"/>
      <c r="O189" s="20"/>
      <c r="P189" s="128">
        <f>(Q172-S169)/Q172</f>
        <v>0.77025276552049149</v>
      </c>
      <c r="Q189" s="128">
        <f>(Q172-T169)/Q172</f>
        <v>0.81098973732695512</v>
      </c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136"/>
      <c r="AE189" s="20"/>
      <c r="AF189" s="20"/>
    </row>
    <row r="190" spans="2:46" x14ac:dyDescent="0.2">
      <c r="B190" s="20" t="s">
        <v>456</v>
      </c>
      <c r="C190" s="20" t="s">
        <v>314</v>
      </c>
      <c r="D190" s="20"/>
      <c r="E190" s="20"/>
      <c r="F190" s="20"/>
      <c r="G190" s="20"/>
      <c r="H190" s="20"/>
      <c r="I190" s="20"/>
      <c r="J190" s="20"/>
      <c r="K190" s="171">
        <f>$L$185</f>
        <v>1</v>
      </c>
      <c r="L190" s="20"/>
      <c r="M190" s="128">
        <f>(Q172-(K190*S167))/Q172</f>
        <v>-1.329293992193</v>
      </c>
      <c r="N190" s="20"/>
      <c r="O190" s="20"/>
      <c r="P190" s="128">
        <f>(Q172-S167)/Q172</f>
        <v>-1.329293992193</v>
      </c>
      <c r="Q190" s="128">
        <f>(Q172-T167)/Q172</f>
        <v>-0.91628191000667658</v>
      </c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136"/>
      <c r="AE190" s="20"/>
      <c r="AF190" s="20"/>
    </row>
    <row r="191" spans="2:46" x14ac:dyDescent="0.2">
      <c r="B191" s="20" t="s">
        <v>300</v>
      </c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5">
        <f>Q172/S142</f>
        <v>2.1240448920013719</v>
      </c>
      <c r="Q191" s="25">
        <f>Q172/T142</f>
        <v>15.24314569553926</v>
      </c>
      <c r="R191" s="20"/>
      <c r="S191" s="20"/>
      <c r="T191" s="115" t="s">
        <v>11</v>
      </c>
      <c r="U191" s="115" t="s">
        <v>12</v>
      </c>
      <c r="V191" s="115" t="s">
        <v>13</v>
      </c>
      <c r="W191" s="115" t="s">
        <v>14</v>
      </c>
      <c r="X191" s="115" t="s">
        <v>15</v>
      </c>
      <c r="Y191" s="115" t="s">
        <v>234</v>
      </c>
      <c r="Z191" s="115" t="s">
        <v>235</v>
      </c>
      <c r="AA191" s="115" t="s">
        <v>236</v>
      </c>
      <c r="AB191" s="115" t="s">
        <v>237</v>
      </c>
      <c r="AC191" s="115" t="s">
        <v>238</v>
      </c>
      <c r="AD191" s="115" t="s">
        <v>407</v>
      </c>
      <c r="AE191" s="115" t="s">
        <v>408</v>
      </c>
      <c r="AF191" s="115" t="s">
        <v>409</v>
      </c>
      <c r="AG191" s="115" t="s">
        <v>410</v>
      </c>
      <c r="AH191" s="115" t="s">
        <v>411</v>
      </c>
      <c r="AI191" s="115" t="s">
        <v>412</v>
      </c>
      <c r="AJ191" s="115" t="s">
        <v>413</v>
      </c>
      <c r="AK191" s="115" t="s">
        <v>414</v>
      </c>
      <c r="AL191" s="115" t="s">
        <v>415</v>
      </c>
      <c r="AM191" s="115" t="s">
        <v>416</v>
      </c>
      <c r="AN191" s="115" t="s">
        <v>417</v>
      </c>
      <c r="AO191" s="115" t="s">
        <v>418</v>
      </c>
      <c r="AP191" s="115" t="s">
        <v>419</v>
      </c>
      <c r="AQ191" s="115" t="s">
        <v>420</v>
      </c>
      <c r="AR191" s="115" t="s">
        <v>421</v>
      </c>
      <c r="AS191" s="115" t="s">
        <v>422</v>
      </c>
      <c r="AT191" s="115" t="s">
        <v>423</v>
      </c>
    </row>
    <row r="192" spans="2:46" x14ac:dyDescent="0.2">
      <c r="B192" s="20" t="s">
        <v>371</v>
      </c>
      <c r="C192" s="20"/>
      <c r="D192" s="20"/>
      <c r="E192" s="20"/>
      <c r="F192" s="20"/>
      <c r="G192" s="188" t="s">
        <v>448</v>
      </c>
      <c r="H192" s="189"/>
      <c r="I192" s="188" t="s">
        <v>449</v>
      </c>
      <c r="J192" s="189"/>
      <c r="K192" s="20"/>
      <c r="L192" s="188" t="s">
        <v>450</v>
      </c>
      <c r="M192" s="189"/>
      <c r="N192" s="188" t="s">
        <v>451</v>
      </c>
      <c r="O192" s="189"/>
      <c r="P192" s="151">
        <f>1/P191</f>
        <v>0.47079984220943394</v>
      </c>
      <c r="Q192" s="151">
        <f>1/Q191</f>
        <v>6.5603256701314547E-2</v>
      </c>
      <c r="R192" s="20"/>
      <c r="S192" s="20"/>
      <c r="T192" s="129">
        <f>Q172-T193</f>
        <v>135.30082881098775</v>
      </c>
      <c r="U192" s="184">
        <f>T192-U193</f>
        <v>119.86669906252487</v>
      </c>
      <c r="V192" s="184">
        <f t="shared" ref="V192:X192" si="416">U192-V193</f>
        <v>103.66086282663885</v>
      </c>
      <c r="W192" s="184">
        <f t="shared" si="416"/>
        <v>86.644734778958522</v>
      </c>
      <c r="X192" s="184">
        <f t="shared" si="416"/>
        <v>68.777800328894187</v>
      </c>
      <c r="Y192" s="184">
        <f>X192-Y193</f>
        <v>50.017519156326628</v>
      </c>
      <c r="Z192" s="184">
        <f t="shared" ref="Z192:AC192" si="417">Y192-Z193</f>
        <v>30.319223925130693</v>
      </c>
      <c r="AA192" s="184">
        <f t="shared" si="417"/>
        <v>9.6360139323749614</v>
      </c>
      <c r="AB192" s="184">
        <f t="shared" si="417"/>
        <v>-12.081356560018559</v>
      </c>
      <c r="AC192" s="184">
        <f t="shared" si="417"/>
        <v>-34.88459557703176</v>
      </c>
      <c r="AD192" s="184">
        <f t="shared" ref="AD192" si="418">AC192-AD193</f>
        <v>-58.827996544895619</v>
      </c>
      <c r="AE192" s="184">
        <f t="shared" ref="AE192" si="419">AD192-AE193</f>
        <v>-83.968567561152668</v>
      </c>
      <c r="AF192" s="184">
        <f t="shared" ref="AF192" si="420">AE192-AF193</f>
        <v>-110.36616712822257</v>
      </c>
      <c r="AG192" s="184">
        <f t="shared" ref="AG192" si="421">AF192-AG193</f>
        <v>-138.08364667364597</v>
      </c>
      <c r="AH192" s="184">
        <f t="shared" ref="AH192" si="422">AG192-AH193</f>
        <v>-167.18700019634053</v>
      </c>
      <c r="AI192" s="184">
        <f t="shared" ref="AI192" si="423">AH192-AI193</f>
        <v>-197.74552139516985</v>
      </c>
      <c r="AJ192" s="184">
        <f t="shared" ref="AJ192" si="424">AI192-AJ193</f>
        <v>-229.83196865394063</v>
      </c>
      <c r="AK192" s="184">
        <f t="shared" ref="AK192" si="425">AJ192-AK193</f>
        <v>-263.52273827564994</v>
      </c>
      <c r="AL192" s="184">
        <f t="shared" ref="AL192" si="426">AK192-AL193</f>
        <v>-298.89804637844475</v>
      </c>
      <c r="AM192" s="184">
        <f t="shared" ref="AM192" si="427">AL192-AM193</f>
        <v>-336.04211988637928</v>
      </c>
      <c r="AN192" s="184">
        <f t="shared" ref="AN192" si="428">AM192-AN193</f>
        <v>-375.04339706971052</v>
      </c>
      <c r="AO192" s="184">
        <f t="shared" ref="AO192" si="429">AN192-AO193</f>
        <v>-415.99473811220832</v>
      </c>
      <c r="AP192" s="184">
        <f t="shared" ref="AP192" si="430">AO192-AP193</f>
        <v>-458.99364620683104</v>
      </c>
      <c r="AQ192" s="184">
        <f t="shared" ref="AQ192" si="431">AP192-AQ193</f>
        <v>-504.14249970618488</v>
      </c>
      <c r="AR192" s="184">
        <f t="shared" ref="AR192" si="432">AQ192-AR193</f>
        <v>-551.54879588050642</v>
      </c>
      <c r="AS192" s="184">
        <f t="shared" ref="AS192" si="433">AR192-AS193</f>
        <v>-601.325406863544</v>
      </c>
      <c r="AT192" s="184">
        <f t="shared" ref="AT192" si="434">AS192-AT193</f>
        <v>-653.59084839573347</v>
      </c>
    </row>
    <row r="193" spans="2:46" x14ac:dyDescent="0.2">
      <c r="B193" s="20" t="s">
        <v>396</v>
      </c>
      <c r="C193" s="20"/>
      <c r="D193" s="20"/>
      <c r="E193" s="20"/>
      <c r="F193" s="20"/>
      <c r="G193" s="190">
        <v>0</v>
      </c>
      <c r="H193" s="189">
        <v>10</v>
      </c>
      <c r="I193" s="190">
        <v>0.05</v>
      </c>
      <c r="J193" s="189">
        <v>8</v>
      </c>
      <c r="K193" s="183">
        <v>0.05</v>
      </c>
      <c r="L193" s="190">
        <v>0.12</v>
      </c>
      <c r="M193" s="189">
        <v>6</v>
      </c>
      <c r="N193" s="190">
        <v>0.2</v>
      </c>
      <c r="O193" s="189">
        <v>5</v>
      </c>
      <c r="P193" s="180">
        <f>Q172/R141</f>
        <v>10.714889837988444</v>
      </c>
      <c r="Q193" s="180">
        <f>Q172/R141</f>
        <v>10.714889837988444</v>
      </c>
      <c r="R193" s="20"/>
      <c r="S193" s="20"/>
      <c r="T193" s="185">
        <f>R141*(1+$K$193)</f>
        <v>14.699171189012262</v>
      </c>
      <c r="U193" s="185">
        <f>T193*(1+$K$193)</f>
        <v>15.434129748462876</v>
      </c>
      <c r="V193" s="185">
        <f t="shared" ref="V193:AC193" si="435">U193*(1+$K$193)</f>
        <v>16.205836235886022</v>
      </c>
      <c r="W193" s="185">
        <f t="shared" si="435"/>
        <v>17.016128047680322</v>
      </c>
      <c r="X193" s="185">
        <f t="shared" si="435"/>
        <v>17.866934450064338</v>
      </c>
      <c r="Y193" s="185">
        <f t="shared" si="435"/>
        <v>18.760281172567556</v>
      </c>
      <c r="Z193" s="185">
        <f t="shared" si="435"/>
        <v>19.698295231195935</v>
      </c>
      <c r="AA193" s="185">
        <f t="shared" si="435"/>
        <v>20.683209992755732</v>
      </c>
      <c r="AB193" s="185">
        <f t="shared" si="435"/>
        <v>21.71737049239352</v>
      </c>
      <c r="AC193" s="185">
        <f t="shared" si="435"/>
        <v>22.803239017013198</v>
      </c>
      <c r="AD193" s="185">
        <f t="shared" ref="AD193" si="436">AC193*(1+$K$193)</f>
        <v>23.943400967863859</v>
      </c>
      <c r="AE193" s="185">
        <f t="shared" ref="AE193" si="437">AD193*(1+$K$193)</f>
        <v>25.140571016257052</v>
      </c>
      <c r="AF193" s="185">
        <f t="shared" ref="AF193" si="438">AE193*(1+$K$193)</f>
        <v>26.397599567069907</v>
      </c>
      <c r="AG193" s="185">
        <f t="shared" ref="AG193" si="439">AF193*(1+$K$193)</f>
        <v>27.717479545423405</v>
      </c>
      <c r="AH193" s="185">
        <f t="shared" ref="AH193" si="440">AG193*(1+$K$193)</f>
        <v>29.103353522694576</v>
      </c>
      <c r="AI193" s="185">
        <f t="shared" ref="AI193" si="441">AH193*(1+$K$193)</f>
        <v>30.558521198829308</v>
      </c>
      <c r="AJ193" s="185">
        <f t="shared" ref="AJ193" si="442">AI193*(1+$K$193)</f>
        <v>32.086447258770775</v>
      </c>
      <c r="AK193" s="185">
        <f t="shared" ref="AK193" si="443">AJ193*(1+$K$193)</f>
        <v>33.690769621709315</v>
      </c>
      <c r="AL193" s="185">
        <f t="shared" ref="AL193" si="444">AK193*(1+$K$193)</f>
        <v>35.375308102794783</v>
      </c>
      <c r="AM193" s="185">
        <f t="shared" ref="AM193" si="445">AL193*(1+$K$193)</f>
        <v>37.144073507934522</v>
      </c>
      <c r="AN193" s="185">
        <f t="shared" ref="AN193" si="446">AM193*(1+$K$193)</f>
        <v>39.001277183331247</v>
      </c>
      <c r="AO193" s="185">
        <f t="shared" ref="AO193" si="447">AN193*(1+$K$193)</f>
        <v>40.951341042497809</v>
      </c>
      <c r="AP193" s="185">
        <f t="shared" ref="AP193" si="448">AO193*(1+$K$193)</f>
        <v>42.998908094622699</v>
      </c>
      <c r="AQ193" s="185">
        <f t="shared" ref="AQ193" si="449">AP193*(1+$K$193)</f>
        <v>45.148853499353834</v>
      </c>
      <c r="AR193" s="185">
        <f t="shared" ref="AR193" si="450">AQ193*(1+$K$193)</f>
        <v>47.406296174321525</v>
      </c>
      <c r="AS193" s="185">
        <f t="shared" ref="AS193" si="451">AR193*(1+$K$193)</f>
        <v>49.776610983037607</v>
      </c>
      <c r="AT193" s="185">
        <f t="shared" ref="AT193" si="452">AS193*(1+$K$193)</f>
        <v>52.265441532189492</v>
      </c>
    </row>
    <row r="194" spans="2:46" x14ac:dyDescent="0.2">
      <c r="B194" s="20" t="s">
        <v>395</v>
      </c>
      <c r="C194" s="20"/>
      <c r="D194" s="23" t="s">
        <v>391</v>
      </c>
      <c r="E194" s="23"/>
      <c r="F194" s="192">
        <v>150</v>
      </c>
      <c r="G194" s="190">
        <v>0</v>
      </c>
      <c r="H194" s="191">
        <v>8</v>
      </c>
      <c r="I194" s="190">
        <v>0.05</v>
      </c>
      <c r="J194" s="189">
        <v>6</v>
      </c>
      <c r="K194" s="183">
        <v>0.05</v>
      </c>
      <c r="L194" s="190">
        <v>0.12</v>
      </c>
      <c r="M194" s="189">
        <v>5</v>
      </c>
      <c r="N194" s="190">
        <v>0.2</v>
      </c>
      <c r="O194" s="189">
        <v>4</v>
      </c>
      <c r="P194" s="180">
        <f>Q172/P54</f>
        <v>12.312703583061888</v>
      </c>
      <c r="Q194" s="180">
        <f>Q172/Q54</f>
        <v>7.5223880597014929</v>
      </c>
      <c r="R194" s="20"/>
      <c r="S194" s="20"/>
      <c r="T194" s="185">
        <f>Q54*(1+$K$194)</f>
        <v>20.9375</v>
      </c>
      <c r="U194" s="185">
        <f>T194*(1+$K$194)</f>
        <v>21.984375</v>
      </c>
      <c r="V194" s="185">
        <f t="shared" ref="V194:AC194" si="453">U194*(1+$K$194)</f>
        <v>23.083593750000002</v>
      </c>
      <c r="W194" s="185">
        <f t="shared" si="453"/>
        <v>24.237773437500003</v>
      </c>
      <c r="X194" s="185">
        <f t="shared" si="453"/>
        <v>25.449662109375005</v>
      </c>
      <c r="Y194" s="185">
        <f t="shared" si="453"/>
        <v>26.722145214843756</v>
      </c>
      <c r="Z194" s="185">
        <f t="shared" si="453"/>
        <v>28.058252475585945</v>
      </c>
      <c r="AA194" s="185">
        <f t="shared" si="453"/>
        <v>29.461165099365243</v>
      </c>
      <c r="AB194" s="185">
        <f t="shared" si="453"/>
        <v>30.934223354333508</v>
      </c>
      <c r="AC194" s="185">
        <f t="shared" si="453"/>
        <v>32.480934522050184</v>
      </c>
      <c r="AD194" s="185">
        <f t="shared" ref="AD194" si="454">AC194*(1+$K$194)</f>
        <v>34.104981248152697</v>
      </c>
      <c r="AE194" s="185">
        <f t="shared" ref="AE194" si="455">AD194*(1+$K$194)</f>
        <v>35.810230310560335</v>
      </c>
      <c r="AF194" s="185">
        <f t="shared" ref="AF194" si="456">AE194*(1+$K$194)</f>
        <v>37.600741826088353</v>
      </c>
      <c r="AG194" s="185">
        <f t="shared" ref="AG194" si="457">AF194*(1+$K$194)</f>
        <v>39.480778917392769</v>
      </c>
      <c r="AH194" s="185">
        <f t="shared" ref="AH194" si="458">AG194*(1+$K$194)</f>
        <v>41.454817863262406</v>
      </c>
      <c r="AI194" s="185">
        <f t="shared" ref="AI194" si="459">AH194*(1+$K$194)</f>
        <v>43.527558756425528</v>
      </c>
      <c r="AJ194" s="185">
        <f t="shared" ref="AJ194" si="460">AI194*(1+$K$194)</f>
        <v>45.703936694246806</v>
      </c>
      <c r="AK194" s="185">
        <f t="shared" ref="AK194" si="461">AJ194*(1+$K$194)</f>
        <v>47.989133528959151</v>
      </c>
      <c r="AL194" s="185">
        <f t="shared" ref="AL194" si="462">AK194*(1+$K$194)</f>
        <v>50.388590205407112</v>
      </c>
      <c r="AM194" s="185">
        <f t="shared" ref="AM194" si="463">AL194*(1+$K$194)</f>
        <v>52.908019715677469</v>
      </c>
      <c r="AN194" s="185">
        <f t="shared" ref="AN194" si="464">AM194*(1+$K$194)</f>
        <v>55.553420701461341</v>
      </c>
      <c r="AO194" s="185">
        <f t="shared" ref="AO194" si="465">AN194*(1+$K$194)</f>
        <v>58.331091736534411</v>
      </c>
      <c r="AP194" s="185">
        <f t="shared" ref="AP194" si="466">AO194*(1+$K$194)</f>
        <v>61.247646323361131</v>
      </c>
      <c r="AQ194" s="185">
        <f t="shared" ref="AQ194" si="467">AP194*(1+$K$194)</f>
        <v>64.310028639529193</v>
      </c>
      <c r="AR194" s="185">
        <f t="shared" ref="AR194" si="468">AQ194*(1+$K$194)</f>
        <v>67.525530071505656</v>
      </c>
      <c r="AS194" s="185">
        <f t="shared" ref="AS194" si="469">AR194*(1+$K$194)</f>
        <v>70.90180657508094</v>
      </c>
      <c r="AT194" s="185">
        <f t="shared" ref="AT194" si="470">AS194*(1+$K$194)</f>
        <v>74.446896903834997</v>
      </c>
    </row>
    <row r="195" spans="2:46" x14ac:dyDescent="0.2">
      <c r="B195" s="20"/>
      <c r="C195" s="20"/>
      <c r="D195" s="23" t="s">
        <v>457</v>
      </c>
      <c r="E195" s="23"/>
      <c r="F195" s="192">
        <v>170</v>
      </c>
      <c r="G195" s="190">
        <v>0</v>
      </c>
      <c r="H195" s="189">
        <v>9</v>
      </c>
      <c r="I195" s="190">
        <v>0.05</v>
      </c>
      <c r="J195" s="189">
        <v>7</v>
      </c>
      <c r="K195" s="189"/>
      <c r="L195" s="190">
        <v>0.12</v>
      </c>
      <c r="M195" s="189">
        <v>5</v>
      </c>
      <c r="N195" s="190">
        <v>0.2</v>
      </c>
      <c r="O195" s="189">
        <v>4</v>
      </c>
      <c r="P195" s="20"/>
      <c r="Q195" s="20"/>
      <c r="R195" s="20"/>
      <c r="S195" s="20"/>
      <c r="T195" s="129">
        <f>Q172-T194</f>
        <v>129.0625</v>
      </c>
      <c r="U195" s="184">
        <f>T195-U194</f>
        <v>107.078125</v>
      </c>
      <c r="V195" s="184">
        <f t="shared" ref="V195:AA195" si="471">U195-V194</f>
        <v>83.994531249999994</v>
      </c>
      <c r="W195" s="184">
        <f t="shared" si="471"/>
        <v>59.756757812499991</v>
      </c>
      <c r="X195" s="184">
        <f t="shared" si="471"/>
        <v>34.307095703124986</v>
      </c>
      <c r="Y195" s="184">
        <f t="shared" si="471"/>
        <v>7.5849504882812298</v>
      </c>
      <c r="Z195" s="184">
        <f t="shared" si="471"/>
        <v>-20.473301987304716</v>
      </c>
      <c r="AA195" s="184">
        <f t="shared" si="471"/>
        <v>-49.934467086669954</v>
      </c>
      <c r="AB195" s="184">
        <f>AA195-AB194</f>
        <v>-80.868690441003466</v>
      </c>
      <c r="AC195" s="184">
        <f t="shared" ref="AC195" si="472">AB195-AC194</f>
        <v>-113.34962496305366</v>
      </c>
      <c r="AD195" s="184">
        <f t="shared" ref="AD195" si="473">AC195-AD194</f>
        <v>-147.45460621120634</v>
      </c>
      <c r="AE195" s="184">
        <f t="shared" ref="AE195" si="474">AD195-AE194</f>
        <v>-183.26483652176668</v>
      </c>
      <c r="AF195" s="184">
        <f t="shared" ref="AF195" si="475">AE195-AF194</f>
        <v>-220.86557834785503</v>
      </c>
      <c r="AG195" s="184">
        <f t="shared" ref="AG195" si="476">AF195-AG194</f>
        <v>-260.34635726524778</v>
      </c>
      <c r="AH195" s="184">
        <f t="shared" ref="AH195" si="477">AG195-AH194</f>
        <v>-301.80117512851018</v>
      </c>
      <c r="AI195" s="184">
        <f t="shared" ref="AI195" si="478">AH195-AI194</f>
        <v>-345.32873388493573</v>
      </c>
      <c r="AJ195" s="184">
        <f t="shared" ref="AJ195" si="479">AI195-AJ194</f>
        <v>-391.03267057918254</v>
      </c>
      <c r="AK195" s="184">
        <f t="shared" ref="AK195" si="480">AJ195-AK194</f>
        <v>-439.02180410814168</v>
      </c>
      <c r="AL195" s="184">
        <f t="shared" ref="AL195" si="481">AK195-AL194</f>
        <v>-489.41039431354881</v>
      </c>
      <c r="AM195" s="184">
        <f t="shared" ref="AM195" si="482">AL195-AM194</f>
        <v>-542.31841402922623</v>
      </c>
      <c r="AN195" s="184">
        <f t="shared" ref="AN195" si="483">AM195-AN194</f>
        <v>-597.87183473068762</v>
      </c>
      <c r="AO195" s="184">
        <f t="shared" ref="AO195" si="484">AN195-AO194</f>
        <v>-656.20292646722203</v>
      </c>
      <c r="AP195" s="184">
        <f t="shared" ref="AP195" si="485">AO195-AP194</f>
        <v>-717.45057279058312</v>
      </c>
      <c r="AQ195" s="184">
        <f t="shared" ref="AQ195" si="486">AP195-AQ194</f>
        <v>-781.76060143011227</v>
      </c>
      <c r="AR195" s="184">
        <f t="shared" ref="AR195" si="487">AQ195-AR194</f>
        <v>-849.28613150161789</v>
      </c>
      <c r="AS195" s="184">
        <f t="shared" ref="AS195" si="488">AR195-AS194</f>
        <v>-920.18793807669886</v>
      </c>
      <c r="AT195" s="184">
        <f t="shared" ref="AT195" si="489">AS195-AT194</f>
        <v>-994.63483498053381</v>
      </c>
    </row>
    <row r="196" spans="2:46" x14ac:dyDescent="0.2">
      <c r="B196" s="108" t="s">
        <v>302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2:46" x14ac:dyDescent="0.2">
      <c r="B197" s="20" t="s">
        <v>305</v>
      </c>
      <c r="C197" s="25" t="e">
        <f t="shared" ref="C197:P197" si="490">C10/C7</f>
        <v>#DIV/0!</v>
      </c>
      <c r="D197" s="25" t="e">
        <f t="shared" si="490"/>
        <v>#DIV/0!</v>
      </c>
      <c r="E197" s="25" t="e">
        <f t="shared" si="490"/>
        <v>#DIV/0!</v>
      </c>
      <c r="F197" s="25" t="e">
        <f t="shared" si="490"/>
        <v>#DIV/0!</v>
      </c>
      <c r="G197" s="25">
        <f t="shared" si="490"/>
        <v>0.73601398601398604</v>
      </c>
      <c r="H197" s="25">
        <f t="shared" si="490"/>
        <v>0.90515806988352743</v>
      </c>
      <c r="I197" s="25">
        <f t="shared" si="490"/>
        <v>1.1829652996845426</v>
      </c>
      <c r="J197" s="25">
        <f t="shared" si="490"/>
        <v>0.88021390374331554</v>
      </c>
      <c r="K197" s="25">
        <f t="shared" si="490"/>
        <v>0.54653130287648055</v>
      </c>
      <c r="L197" s="25">
        <f t="shared" si="490"/>
        <v>0.65974796145292813</v>
      </c>
      <c r="M197" s="25">
        <f t="shared" si="490"/>
        <v>0.86781901372648707</v>
      </c>
      <c r="N197" s="25">
        <f t="shared" si="490"/>
        <v>1.0281923714759535</v>
      </c>
      <c r="O197" s="25">
        <f t="shared" si="490"/>
        <v>0.90007062146892658</v>
      </c>
      <c r="P197" s="25">
        <f t="shared" si="490"/>
        <v>0.67088235294117649</v>
      </c>
      <c r="Q197" s="25">
        <f t="shared" ref="Q197" si="491">Q10/Q7</f>
        <v>0.2160034980323568</v>
      </c>
      <c r="R197" s="118">
        <f t="shared" ref="R197:R199" si="492">((P197/G197)^(1/($H$2-$H$1) ))-1</f>
        <v>-9.2227402787503632E-3</v>
      </c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46" x14ac:dyDescent="0.2">
      <c r="B198" s="20" t="s">
        <v>306</v>
      </c>
      <c r="C198" s="112" t="e">
        <f>C10/C12</f>
        <v>#DIV/0!</v>
      </c>
      <c r="D198" s="112" t="e">
        <f>D10/D12</f>
        <v>#DIV/0!</v>
      </c>
      <c r="E198" s="112" t="e">
        <f>E10/E12</f>
        <v>#DIV/0!</v>
      </c>
      <c r="F198" s="112" t="e">
        <f>F10/F12</f>
        <v>#DIV/0!</v>
      </c>
      <c r="G198" s="112">
        <f>G10/G12</f>
        <v>3.8272727272727272</v>
      </c>
      <c r="H198" s="112">
        <f t="shared" ref="H198:P198" si="493">H10/H12</f>
        <v>4.4958677685950414</v>
      </c>
      <c r="I198" s="112">
        <f t="shared" si="493"/>
        <v>3.2467532467532467</v>
      </c>
      <c r="J198" s="112">
        <f t="shared" si="493"/>
        <v>4.2642487046632125</v>
      </c>
      <c r="K198" s="112">
        <f t="shared" si="493"/>
        <v>2.2666666666666666</v>
      </c>
      <c r="L198" s="112">
        <f t="shared" si="493"/>
        <v>2.4653739612188366</v>
      </c>
      <c r="M198" s="112">
        <f t="shared" si="493"/>
        <v>4.9051724137931032</v>
      </c>
      <c r="N198" s="112">
        <f t="shared" si="493"/>
        <v>12.984293193717278</v>
      </c>
      <c r="O198" s="112">
        <f t="shared" si="493"/>
        <v>14.734104046242775</v>
      </c>
      <c r="P198" s="112">
        <f t="shared" si="493"/>
        <v>6.8089552238805968</v>
      </c>
      <c r="Q198" s="112">
        <f t="shared" ref="Q198" si="494">Q10/Q12</f>
        <v>1.510703363914373</v>
      </c>
      <c r="R198" s="118">
        <f t="shared" si="492"/>
        <v>5.9300327998124791E-2</v>
      </c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2:46" x14ac:dyDescent="0.2">
      <c r="B199" s="20" t="s">
        <v>307</v>
      </c>
      <c r="C199" s="25" t="e">
        <f>C10/(C12+C13)</f>
        <v>#DIV/0!</v>
      </c>
      <c r="D199" s="25" t="e">
        <f>D10/(D12+D13)</f>
        <v>#DIV/0!</v>
      </c>
      <c r="E199" s="25" t="e">
        <f>E10/(E12+E13)</f>
        <v>#DIV/0!</v>
      </c>
      <c r="F199" s="25" t="e">
        <f>F10/(F12+F13)</f>
        <v>#DIV/0!</v>
      </c>
      <c r="G199" s="25">
        <f>G10/(G12+G13)</f>
        <v>2.4195402298850577</v>
      </c>
      <c r="H199" s="25">
        <f t="shared" ref="H199:P199" si="495">H10/(H12+H13)</f>
        <v>4.387096774193548</v>
      </c>
      <c r="I199" s="25">
        <f t="shared" si="495"/>
        <v>3.2411408815903195</v>
      </c>
      <c r="J199" s="25">
        <f t="shared" si="495"/>
        <v>4.1565656565656566</v>
      </c>
      <c r="K199" s="25">
        <f t="shared" si="495"/>
        <v>2.2275862068965515</v>
      </c>
      <c r="L199" s="25">
        <f t="shared" si="495"/>
        <v>2.4316939890710381</v>
      </c>
      <c r="M199" s="25">
        <f t="shared" si="495"/>
        <v>4.8220338983050848</v>
      </c>
      <c r="N199" s="25">
        <f t="shared" si="495"/>
        <v>12.277227722772277</v>
      </c>
      <c r="O199" s="25">
        <f t="shared" si="495"/>
        <v>13.486772486772487</v>
      </c>
      <c r="P199" s="25">
        <f t="shared" si="495"/>
        <v>5.8487179487179484</v>
      </c>
      <c r="Q199" s="25">
        <f t="shared" ref="Q199" si="496">Q10/(Q12+Q13)</f>
        <v>1.3760445682451254</v>
      </c>
      <c r="R199" s="118">
        <f t="shared" si="492"/>
        <v>9.2276985483560336E-2</v>
      </c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2:46" x14ac:dyDescent="0.2"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46" x14ac:dyDescent="0.2"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46" x14ac:dyDescent="0.2">
      <c r="B202" s="20"/>
      <c r="C202" s="173" t="s">
        <v>377</v>
      </c>
      <c r="D202" s="174"/>
      <c r="E202" s="174"/>
      <c r="F202" s="174"/>
      <c r="G202" s="174"/>
      <c r="H202" s="174"/>
      <c r="I202" s="174"/>
      <c r="J202" s="174"/>
      <c r="K202" s="20"/>
      <c r="L202" s="200" t="s">
        <v>337</v>
      </c>
      <c r="M202" s="201"/>
      <c r="N202" s="202"/>
      <c r="O202" s="23" t="s">
        <v>340</v>
      </c>
      <c r="P202" s="20"/>
      <c r="Q202" s="136"/>
      <c r="R202" s="200" t="s">
        <v>338</v>
      </c>
      <c r="S202" s="201"/>
      <c r="T202" s="202"/>
      <c r="U202" s="23" t="s">
        <v>340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46" x14ac:dyDescent="0.2">
      <c r="B203" s="20"/>
      <c r="C203" s="165" t="s">
        <v>339</v>
      </c>
      <c r="D203" s="165" t="s">
        <v>0</v>
      </c>
      <c r="E203" s="165" t="s">
        <v>378</v>
      </c>
      <c r="F203" s="165" t="s">
        <v>379</v>
      </c>
      <c r="G203" s="165" t="s">
        <v>380</v>
      </c>
      <c r="H203" s="165" t="s">
        <v>381</v>
      </c>
      <c r="I203" s="165" t="s">
        <v>382</v>
      </c>
      <c r="J203" s="165" t="s">
        <v>383</v>
      </c>
      <c r="K203" s="20"/>
      <c r="L203" s="165" t="s">
        <v>339</v>
      </c>
      <c r="M203" s="165"/>
      <c r="N203" s="165" t="s">
        <v>0</v>
      </c>
      <c r="O203" s="165" t="s">
        <v>372</v>
      </c>
      <c r="P203" s="20"/>
      <c r="Q203" s="20"/>
      <c r="R203" s="165" t="s">
        <v>339</v>
      </c>
      <c r="S203" s="165"/>
      <c r="T203" s="165" t="s">
        <v>0</v>
      </c>
      <c r="U203" s="165" t="s">
        <v>372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46" x14ac:dyDescent="0.2">
      <c r="B204" s="20"/>
      <c r="C204" s="166" t="s">
        <v>341</v>
      </c>
      <c r="D204" s="21">
        <v>150</v>
      </c>
      <c r="E204" s="175" t="s">
        <v>384</v>
      </c>
      <c r="F204" s="22">
        <v>1</v>
      </c>
      <c r="G204" s="22">
        <v>1</v>
      </c>
      <c r="H204" s="166">
        <f>F204/G204</f>
        <v>1</v>
      </c>
      <c r="I204" s="166">
        <f>H204*D205</f>
        <v>1</v>
      </c>
      <c r="J204" s="176">
        <f>I204+D205</f>
        <v>2</v>
      </c>
      <c r="K204" s="20"/>
      <c r="L204" s="166" t="s">
        <v>341</v>
      </c>
      <c r="M204" s="166"/>
      <c r="N204" s="21">
        <v>25</v>
      </c>
      <c r="O204" s="172">
        <f>N204</f>
        <v>25</v>
      </c>
      <c r="P204" s="20"/>
      <c r="Q204" s="20"/>
      <c r="R204" s="166" t="s">
        <v>341</v>
      </c>
      <c r="S204" s="166"/>
      <c r="T204" s="21">
        <v>200</v>
      </c>
      <c r="U204" s="172">
        <f>T204</f>
        <v>200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46" x14ac:dyDescent="0.2">
      <c r="B205" s="20"/>
      <c r="C205" s="166" t="s">
        <v>342</v>
      </c>
      <c r="D205" s="21">
        <v>1</v>
      </c>
      <c r="E205" s="175" t="s">
        <v>385</v>
      </c>
      <c r="F205" s="22">
        <v>0</v>
      </c>
      <c r="G205" s="22">
        <v>1</v>
      </c>
      <c r="H205" s="166">
        <f>F205/G205</f>
        <v>0</v>
      </c>
      <c r="I205" s="166">
        <f>H205*J204</f>
        <v>0</v>
      </c>
      <c r="J205" s="166">
        <f>I205+J204</f>
        <v>2</v>
      </c>
      <c r="K205" s="20"/>
      <c r="L205" s="166" t="s">
        <v>342</v>
      </c>
      <c r="M205" s="166"/>
      <c r="N205" s="21">
        <v>1</v>
      </c>
      <c r="O205" s="172">
        <f>N205</f>
        <v>1</v>
      </c>
      <c r="P205" s="20"/>
      <c r="Q205" s="20"/>
      <c r="R205" s="166" t="s">
        <v>342</v>
      </c>
      <c r="S205" s="166"/>
      <c r="T205" s="21">
        <v>1</v>
      </c>
      <c r="U205" s="172">
        <f>T205</f>
        <v>1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46" x14ac:dyDescent="0.2">
      <c r="B206" s="20"/>
      <c r="C206" s="166" t="s">
        <v>344</v>
      </c>
      <c r="D206" s="167">
        <f>D204*D205</f>
        <v>150</v>
      </c>
      <c r="E206" s="175" t="s">
        <v>397</v>
      </c>
      <c r="F206" s="22">
        <v>0</v>
      </c>
      <c r="G206" s="22">
        <v>1</v>
      </c>
      <c r="H206" s="166">
        <f>F206/G206</f>
        <v>0</v>
      </c>
      <c r="I206" s="166">
        <f>H206*J205</f>
        <v>0</v>
      </c>
      <c r="J206" s="166">
        <f>I206+J205</f>
        <v>2</v>
      </c>
      <c r="K206" s="20"/>
      <c r="L206" s="166" t="s">
        <v>343</v>
      </c>
      <c r="M206" s="166"/>
      <c r="N206" s="167">
        <f>N204*N205</f>
        <v>25</v>
      </c>
      <c r="O206" s="172">
        <f>N206</f>
        <v>25</v>
      </c>
      <c r="P206" s="20"/>
      <c r="Q206" s="20"/>
      <c r="R206" s="166" t="s">
        <v>344</v>
      </c>
      <c r="S206" s="166"/>
      <c r="T206" s="167">
        <f>T204*T205</f>
        <v>200</v>
      </c>
      <c r="U206" s="172">
        <f>T206</f>
        <v>200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46" x14ac:dyDescent="0.2">
      <c r="B207" s="20"/>
      <c r="C207" s="166"/>
      <c r="D207" s="167"/>
      <c r="E207" s="175" t="s">
        <v>386</v>
      </c>
      <c r="F207" s="22">
        <v>10</v>
      </c>
      <c r="G207" s="22">
        <v>1</v>
      </c>
      <c r="H207" s="166">
        <f>F207/G207</f>
        <v>10</v>
      </c>
      <c r="I207" s="166">
        <f>H207*J206</f>
        <v>20</v>
      </c>
      <c r="J207" s="166">
        <f>I207</f>
        <v>20</v>
      </c>
      <c r="K207" s="20"/>
      <c r="L207" s="166" t="s">
        <v>345</v>
      </c>
      <c r="M207" s="166"/>
      <c r="N207" s="21">
        <v>192</v>
      </c>
      <c r="O207" s="21">
        <v>240</v>
      </c>
      <c r="P207" s="20"/>
      <c r="Q207" s="20"/>
      <c r="R207" s="166" t="s">
        <v>345</v>
      </c>
      <c r="S207" s="166"/>
      <c r="T207" s="21">
        <v>150</v>
      </c>
      <c r="U207" s="21">
        <v>220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46" x14ac:dyDescent="0.2">
      <c r="B208" s="20"/>
      <c r="C208" s="166" t="s">
        <v>345</v>
      </c>
      <c r="D208" s="21">
        <v>192</v>
      </c>
      <c r="E208" s="175"/>
      <c r="F208" s="166"/>
      <c r="G208" s="166"/>
      <c r="H208" s="168" t="s">
        <v>387</v>
      </c>
      <c r="I208" s="166"/>
      <c r="J208" s="166">
        <f>J207</f>
        <v>20</v>
      </c>
      <c r="K208" s="20"/>
      <c r="L208" s="166" t="s">
        <v>346</v>
      </c>
      <c r="M208" s="166"/>
      <c r="N208" s="167">
        <f>N207*N205</f>
        <v>192</v>
      </c>
      <c r="O208" s="167">
        <f>O207*O205</f>
        <v>240</v>
      </c>
      <c r="P208" s="20"/>
      <c r="Q208" s="20"/>
      <c r="R208" s="166" t="s">
        <v>342</v>
      </c>
      <c r="S208" s="166"/>
      <c r="T208" s="21">
        <v>10</v>
      </c>
      <c r="U208" s="127">
        <f>T208</f>
        <v>10</v>
      </c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/>
      <c r="C209" s="166" t="s">
        <v>342</v>
      </c>
      <c r="D209" s="21">
        <v>10</v>
      </c>
      <c r="E209" s="175" t="s">
        <v>386</v>
      </c>
      <c r="F209" s="22">
        <v>10</v>
      </c>
      <c r="G209" s="22">
        <v>2</v>
      </c>
      <c r="H209" s="166">
        <f>F209/G209</f>
        <v>5</v>
      </c>
      <c r="I209" s="176">
        <f>H209*D205</f>
        <v>5</v>
      </c>
      <c r="J209" s="176">
        <f>I209</f>
        <v>5</v>
      </c>
      <c r="K209" s="20"/>
      <c r="L209" s="166"/>
      <c r="M209" s="166"/>
      <c r="N209" s="167"/>
      <c r="O209" s="167"/>
      <c r="P209" s="20"/>
      <c r="Q209" s="20"/>
      <c r="R209" s="166" t="s">
        <v>344</v>
      </c>
      <c r="S209" s="166"/>
      <c r="T209" s="167">
        <f>T208*T207</f>
        <v>1500</v>
      </c>
      <c r="U209" s="167">
        <f>U208*U207</f>
        <v>2200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166" t="s">
        <v>344</v>
      </c>
      <c r="D210" s="167">
        <f>D209*D208</f>
        <v>1920</v>
      </c>
      <c r="E210" s="166"/>
      <c r="F210" s="166"/>
      <c r="G210" s="166"/>
      <c r="H210" s="168" t="s">
        <v>387</v>
      </c>
      <c r="I210" s="166"/>
      <c r="J210" s="166">
        <f>J209</f>
        <v>5</v>
      </c>
      <c r="K210" s="20"/>
      <c r="L210" s="166"/>
      <c r="M210" s="166"/>
      <c r="N210" s="167"/>
      <c r="O210" s="167"/>
      <c r="P210" s="20"/>
      <c r="Q210" s="20"/>
      <c r="R210" s="166"/>
      <c r="S210" s="166"/>
      <c r="T210" s="167"/>
      <c r="U210" s="167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x14ac:dyDescent="0.2">
      <c r="B211" s="20"/>
      <c r="C211" s="166"/>
      <c r="D211" s="167"/>
      <c r="E211" s="175" t="s">
        <v>386</v>
      </c>
      <c r="F211" s="22">
        <v>10</v>
      </c>
      <c r="G211" s="22">
        <v>2</v>
      </c>
      <c r="H211" s="166">
        <f>F211/G211</f>
        <v>5</v>
      </c>
      <c r="I211" s="166">
        <f>H211*J210</f>
        <v>25</v>
      </c>
      <c r="J211" s="166">
        <f>I211</f>
        <v>25</v>
      </c>
      <c r="K211" s="20"/>
      <c r="L211" s="168" t="s">
        <v>347</v>
      </c>
      <c r="M211" s="168"/>
      <c r="N211" s="169">
        <f>N208/N206</f>
        <v>7.68</v>
      </c>
      <c r="O211" s="169">
        <f>O208/O206</f>
        <v>9.6</v>
      </c>
      <c r="P211" s="20"/>
      <c r="Q211" s="20"/>
      <c r="R211" s="168" t="s">
        <v>347</v>
      </c>
      <c r="S211" s="168"/>
      <c r="T211" s="169">
        <f>T209/T206</f>
        <v>7.5</v>
      </c>
      <c r="U211" s="169">
        <f>U209/U206</f>
        <v>11</v>
      </c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x14ac:dyDescent="0.2">
      <c r="B212" s="20"/>
      <c r="C212" s="168" t="s">
        <v>347</v>
      </c>
      <c r="D212" s="169">
        <f>D210/D206</f>
        <v>12.8</v>
      </c>
      <c r="E212" s="175"/>
      <c r="F212" s="166"/>
      <c r="G212" s="166"/>
      <c r="H212" s="168" t="s">
        <v>387</v>
      </c>
      <c r="I212" s="166"/>
      <c r="J212" s="166">
        <f>J211</f>
        <v>25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x14ac:dyDescent="0.2"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 x14ac:dyDescent="0.2">
      <c r="B214" s="20"/>
      <c r="C214" s="20"/>
      <c r="D214" s="136"/>
      <c r="E214" s="177"/>
      <c r="F214" s="177"/>
      <c r="G214" s="178"/>
      <c r="H214" s="20"/>
      <c r="I214" s="136"/>
      <c r="J214" s="177"/>
      <c r="K214" s="178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 ht="14.25" x14ac:dyDescent="0.2">
      <c r="B215" s="20"/>
      <c r="C215" s="20"/>
      <c r="D215" s="193" t="s">
        <v>27</v>
      </c>
      <c r="E215" s="194"/>
      <c r="F215" s="194"/>
      <c r="G215" s="195"/>
      <c r="H215" s="20"/>
      <c r="I215" s="193" t="s">
        <v>392</v>
      </c>
      <c r="J215" s="194"/>
      <c r="K215" s="195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 x14ac:dyDescent="0.2">
      <c r="B216" s="20"/>
      <c r="C216" s="20"/>
      <c r="D216" s="20" t="s">
        <v>28</v>
      </c>
      <c r="E216" s="127"/>
      <c r="F216" s="127"/>
      <c r="G216" s="21">
        <f>D206</f>
        <v>150</v>
      </c>
      <c r="H216" s="20"/>
      <c r="I216" s="20" t="s">
        <v>28</v>
      </c>
      <c r="J216" s="127"/>
      <c r="K216" s="21">
        <f>G216</f>
        <v>150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20"/>
      <c r="D217" s="20" t="s">
        <v>29</v>
      </c>
      <c r="E217" s="127"/>
      <c r="F217" s="127"/>
      <c r="G217" s="21">
        <f>D210</f>
        <v>1920</v>
      </c>
      <c r="H217" s="20"/>
      <c r="I217" s="20" t="s">
        <v>29</v>
      </c>
      <c r="J217" s="20"/>
      <c r="K217" s="21">
        <f>G217</f>
        <v>1920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20"/>
      <c r="D218" s="20" t="s">
        <v>30</v>
      </c>
      <c r="E218" s="20"/>
      <c r="F218" s="20"/>
      <c r="G218" s="22">
        <v>10</v>
      </c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20"/>
      <c r="D219" s="23" t="s">
        <v>31</v>
      </c>
      <c r="E219" s="3"/>
      <c r="F219" s="3"/>
      <c r="G219" s="3">
        <f>((G217/G216)^(1/G218))-1</f>
        <v>0.2903900242964319</v>
      </c>
      <c r="H219" s="20"/>
      <c r="I219" s="23" t="s">
        <v>393</v>
      </c>
      <c r="J219" s="23"/>
      <c r="K219" s="23">
        <f>(K217-K216)/K216</f>
        <v>11.8</v>
      </c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 x14ac:dyDescent="0.2">
      <c r="B220" s="20"/>
      <c r="C220" s="20"/>
      <c r="D220" s="23" t="s">
        <v>32</v>
      </c>
      <c r="E220" s="164"/>
      <c r="F220" s="164"/>
      <c r="G220" s="24">
        <f>G218*12</f>
        <v>120</v>
      </c>
      <c r="H220" s="20"/>
      <c r="I220" s="23" t="s">
        <v>394</v>
      </c>
      <c r="J220" s="23"/>
      <c r="K220" s="23">
        <f>K217/K216</f>
        <v>12.8</v>
      </c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 x14ac:dyDescent="0.2">
      <c r="B221" s="20"/>
      <c r="C221" s="20"/>
      <c r="D221" s="20" t="s">
        <v>30</v>
      </c>
      <c r="E221" s="25"/>
      <c r="F221" s="25"/>
      <c r="G221" s="25">
        <f>G220/12</f>
        <v>10</v>
      </c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32" x14ac:dyDescent="0.2">
      <c r="B222" s="20"/>
      <c r="C222" s="20"/>
      <c r="D222" s="23" t="s">
        <v>33</v>
      </c>
      <c r="E222" s="3"/>
      <c r="F222" s="3"/>
      <c r="G222" s="3">
        <f>((G217/G216)^(1/G221))-1</f>
        <v>0.2903900242964319</v>
      </c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</row>
    <row r="223" spans="2:32" x14ac:dyDescent="0.2"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</row>
    <row r="224" spans="2:32" x14ac:dyDescent="0.2">
      <c r="C224" s="20"/>
      <c r="D224" s="20"/>
      <c r="E224" s="20"/>
      <c r="F224" s="20"/>
      <c r="G224" s="20"/>
      <c r="H224" s="20"/>
      <c r="I224" s="20"/>
      <c r="J224" s="20"/>
      <c r="K224" s="20"/>
    </row>
  </sheetData>
  <mergeCells count="7">
    <mergeCell ref="D215:G215"/>
    <mergeCell ref="I215:K215"/>
    <mergeCell ref="AE2:AF2"/>
    <mergeCell ref="AE3:AF3"/>
    <mergeCell ref="L202:N202"/>
    <mergeCell ref="R202:T202"/>
    <mergeCell ref="K184:L184"/>
  </mergeCells>
  <pageMargins left="0.7" right="0.7" top="0.75" bottom="0.75" header="0.3" footer="0.3"/>
  <pageSetup orientation="portrait" r:id="rId1"/>
  <ignoredErrors>
    <ignoredError sqref="C174" evalError="1"/>
    <ignoredError sqref="U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5" t="s">
        <v>27</v>
      </c>
      <c r="K5" s="205"/>
      <c r="M5" s="205" t="s">
        <v>65</v>
      </c>
      <c r="N5" s="205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5" t="s">
        <v>36</v>
      </c>
      <c r="K14" s="205"/>
      <c r="L14" s="205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5" t="s">
        <v>27</v>
      </c>
      <c r="S5" s="205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5" t="s">
        <v>36</v>
      </c>
      <c r="S14" s="205"/>
      <c r="T14" s="205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5" t="s">
        <v>27</v>
      </c>
      <c r="C2" s="205"/>
      <c r="E2" s="205" t="s">
        <v>65</v>
      </c>
      <c r="F2" s="205"/>
      <c r="H2" s="209" t="s">
        <v>36</v>
      </c>
      <c r="I2" s="210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6" t="s">
        <v>68</v>
      </c>
      <c r="E10" s="207"/>
      <c r="F10" s="207"/>
      <c r="G10" s="207"/>
      <c r="H10" s="208"/>
      <c r="I10" s="206" t="s">
        <v>72</v>
      </c>
      <c r="J10" s="207"/>
      <c r="K10" s="207"/>
      <c r="L10" s="208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6"/>
    <col min="2" max="2" width="16.5703125" style="186" customWidth="1"/>
    <col min="3" max="3" width="39.7109375" style="186" customWidth="1"/>
    <col min="4" max="5" width="9.140625" style="186"/>
    <col min="6" max="6" width="19" style="186" bestFit="1" customWidth="1"/>
    <col min="7" max="7" width="49" style="186" customWidth="1"/>
    <col min="8" max="16384" width="9.140625" style="186"/>
  </cols>
  <sheetData>
    <row r="3" spans="2:7" x14ac:dyDescent="0.2">
      <c r="B3" s="211" t="s">
        <v>431</v>
      </c>
      <c r="C3" s="212"/>
      <c r="F3" s="211" t="s">
        <v>432</v>
      </c>
      <c r="G3" s="212"/>
    </row>
    <row r="4" spans="2:7" x14ac:dyDescent="0.2">
      <c r="B4" s="187" t="s">
        <v>433</v>
      </c>
      <c r="C4" s="187"/>
      <c r="F4" s="187" t="s">
        <v>434</v>
      </c>
      <c r="G4" s="187"/>
    </row>
    <row r="5" spans="2:7" x14ac:dyDescent="0.2">
      <c r="B5" s="187" t="s">
        <v>435</v>
      </c>
      <c r="C5" s="187"/>
      <c r="F5" s="187" t="s">
        <v>292</v>
      </c>
      <c r="G5" s="187"/>
    </row>
    <row r="6" spans="2:7" x14ac:dyDescent="0.2">
      <c r="B6" s="187" t="s">
        <v>436</v>
      </c>
      <c r="C6" s="187"/>
      <c r="F6" s="187" t="s">
        <v>437</v>
      </c>
      <c r="G6" s="187"/>
    </row>
    <row r="7" spans="2:7" x14ac:dyDescent="0.2">
      <c r="B7" s="187" t="s">
        <v>438</v>
      </c>
      <c r="C7" s="187"/>
      <c r="F7" s="187" t="s">
        <v>439</v>
      </c>
      <c r="G7" s="187"/>
    </row>
    <row r="8" spans="2:7" x14ac:dyDescent="0.2">
      <c r="B8" s="187" t="s">
        <v>440</v>
      </c>
      <c r="C8" s="187"/>
      <c r="F8" s="187" t="s">
        <v>441</v>
      </c>
      <c r="G8" s="187"/>
    </row>
    <row r="9" spans="2:7" x14ac:dyDescent="0.2">
      <c r="B9" s="187" t="s">
        <v>442</v>
      </c>
      <c r="C9" s="187"/>
      <c r="F9" s="187" t="s">
        <v>443</v>
      </c>
      <c r="G9" s="187"/>
    </row>
    <row r="10" spans="2:7" x14ac:dyDescent="0.2">
      <c r="B10" s="187" t="s">
        <v>441</v>
      </c>
      <c r="C10" s="187"/>
      <c r="F10" s="187"/>
      <c r="G10" s="187"/>
    </row>
    <row r="11" spans="2:7" x14ac:dyDescent="0.2">
      <c r="B11" s="187" t="s">
        <v>444</v>
      </c>
      <c r="C11" s="187"/>
      <c r="F11" s="187"/>
      <c r="G11" s="187"/>
    </row>
    <row r="12" spans="2:7" x14ac:dyDescent="0.2">
      <c r="B12" s="187" t="s">
        <v>445</v>
      </c>
      <c r="C12" s="187"/>
      <c r="F12" s="187"/>
      <c r="G12" s="187"/>
    </row>
    <row r="13" spans="2:7" x14ac:dyDescent="0.2">
      <c r="B13" s="187"/>
      <c r="C13" s="187"/>
      <c r="F13" s="187"/>
      <c r="G13" s="187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2014-12-15T10:02:57Z</dcterms:modified>
</cp:coreProperties>
</file>
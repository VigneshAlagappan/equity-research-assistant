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R42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Q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8" i="18" l="1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75" i="18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M187" i="18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M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<sst xmlns="http://schemas.openxmlformats.org/spreadsheetml/2006/main" count="620" uniqueCount="431">
  <si>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</si>
  <si>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</si>
  <si>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</si>
  <si>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</si>
  <si>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</si>
  <si>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</si>
  <si>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</si>
  <si>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</si>
  <si>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</si>
  <si>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</si>
  <si>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</si>
  <si>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</si>
  <si>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</si>
  <si>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</si>
  <si>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</si>
  <si>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</si>
  <si>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</si>
  <si>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</si>
  <si>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</si>
  <si>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</si>
  <si>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</si>
  <si>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</si>
  <si>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</si>
  <si>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</si>
  <si>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</si>
  <si>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</si>
  <si>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</si>
  <si>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</si>
  <si>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</si>
  <si>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</si>
  <si>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</si>
  <si>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</si>
  <si>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</si>
  <si>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</si>
  <si>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</si>
  <si>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</si>
  <si>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</si>
  <si>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</si>
  <si>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</si>
  <si>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</si>
  <si>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</si>
  <si>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</si>
  <si>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</si>
  <si>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</si>
  <si>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</si>
  <si>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</si>
  <si>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</si>
  <si>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</si>
  <si>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</si>
  <si>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</si>
  <si>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</si>
  <si>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</si>
  <si>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</si>
  <si>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</si>
  <si>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</si>
  <si>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</si>
  <si>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</si>
  <si>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</si>
  <si>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</si>
  <si>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</si>
  <si>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</si>
  <si>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</si>
  <si>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</si>
  <si>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</si>
  <si>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</si>
  <si>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</si>
  <si>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</si>
  <si>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</si>
  <si>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</si>
  <si>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</si>
  <si>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</si>
  <si>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</si>
  <si>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</si>
  <si>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</si>
  <si>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</si>
  <si>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</si>
  <si>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</si>
  <si>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</si>
  <si>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</si>
  <si>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</si>
  <si>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</si>
  <si>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</si>
  <si>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</si>
  <si>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</si>
  <si>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</si>
  <si>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</si>
  <si>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</si>
  <si>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</si>
  <si>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</si>
  <si>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</si>
  <si>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</si>
  <si>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</si>
  <si>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</si>
  <si>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</si>
  <si>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</si>
  <si>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</si>
  <si>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</si>
  <si>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</si>
  <si>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</si>
  <si>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</si>
  <si>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</si>
  <si>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</si>
  <si>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</si>
  <si>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</si>
  <si>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</si>
  <si>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</si>
  <si>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</si>
  <si>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</si>
  <si>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</si>
  <si>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</si>
  <si>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</si>
  <si>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</si>
  <si>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</si>
  <si>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</si>
  <si>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</si>
  <si>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</si>
  <si>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</si>
  <si>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</si>
  <si>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</si>
  <si>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</si>
  <si>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</si>
  <si>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</si>
  <si>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</si>
  <si>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</si>
  <si>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</si>
  <si>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</si>
  <si>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</si>
  <si>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</si>
  <si>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</si>
  <si>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</si>
  <si>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</si>
  <si>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</si>
  <si>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</si>
  <si>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</si>
  <si>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</si>
  <si>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</si>
  <si>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</si>
  <si>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</si>
  <si>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</si>
  <si>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</si>
  <si>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</si>
  <si>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</si>
  <si>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</si>
  <si>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</si>
  <si>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</si>
  <si>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</si>
  <si>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</si>
  <si>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</si>
  <si>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</si>
  <si>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</si>
  <si>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</si>
  <si>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</si>
  <si>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</si>
  <si>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</si>
  <si>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</si>
  <si>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</si>
  <si>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</si>
  <si>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</si>
  <si>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</si>
  <si>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</si>
  <si>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</si>
  <si>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</si>
  <si>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</si>
  <si>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</si>
  <si>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</si>
  <si>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</si>
  <si>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</si>
  <si>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</si>
  <si>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</si>
  <si>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</si>
  <si>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</si>
  <si>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</si>
  <si>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</si>
  <si>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</si>
  <si>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</si>
  <si>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</si>
  <si>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</si>
  <si>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</si>
  <si>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</si>
  <si>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</si>
  <si>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</si>
  <si>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</si>
  <si>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</si>
  <si>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</si>
  <si>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</si>
  <si>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</si>
  <si>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</si>
  <si>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</si>
  <si>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</si>
  <si>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</si>
  <si>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</si>
  <si>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</si>
  <si>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</si>
  <si>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</si>
  <si>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</si>
  <si>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</si>
  <si>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</si>
  <si>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</si>
  <si>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</si>
  <si>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</si>
  <si>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</si>
  <si>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</si>
  <si>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</si>
  <si>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</si>
  <si>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</si>
  <si>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</si>
  <si>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</si>
  <si>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</si>
  <si>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</si>
  <si>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</si>
  <si>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</si>
  <si>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</si>
  <si>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</si>
  <si>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</si>
  <si>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</si>
  <si>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</si>
  <si>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</si>
  <si>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</si>
  <si>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</si>
  <si>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</si>
  <si>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</si>
  <si>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</si>
  <si>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</si>
  <si>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</si>
  <si>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</si>
  <si>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</si>
  <si>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</si>
  <si>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</si>
  <si>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</si>
  <si>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</si>
  <si>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</si>
  <si>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</si>
  <si>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</si>
  <si>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</si>
  <si>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</si>
  <si>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</si>
  <si>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</si>
  <si>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</si>
  <si>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</si>
  <si>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</si>
  <si>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</si>
  <si>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</si>
  <si>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</si>
  <si>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</si>
  <si>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</si>
  <si>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</si>
  <si>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</si>
  <si>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</si>
  <si>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</si>
  <si>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</si>
  <si>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</si>
  <si>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</si>
  <si>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</si>
  <si>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</si>
  <si>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</si>
  <si>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</si>
  <si>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</si>
  <si>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</si>
  <si>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</si>
  <si>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</si>
  <si>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</si>
  <si>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</si>
  <si>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</si>
  <si>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</si>
  <si>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</si>
  <si>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</si>
  <si>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</si>
  <si>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</si>
  <si>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</si>
  <si>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</si>
  <si>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</si>
  <si>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</si>
  <si>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</si>
  <si>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</si>
  <si>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</si>
  <si>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</si>
  <si>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</si>
  <si>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</si>
  <si>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</si>
  <si>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</si>
  <si>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</si>
  <si>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</si>
  <si>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</si>
  <si>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</si>
  <si>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</si>
  <si>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</si>
  <si>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</si>
  <si>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</si>
  <si>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</si>
  <si>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</si>
  <si>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</si>
  <si>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</si>
  <si>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</si>
  <si>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</si>
  <si>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</si>
  <si>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</si>
  <si>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</si>
  <si>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</si>
  <si>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</si>
  <si>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</si>
  <si>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</si>
  <si>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</si>
  <si>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</si>
  <si>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</si>
  <si>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</si>
  <si>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</si>
  <si>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</si>
  <si>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</si>
  <si>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</si>
  <si>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</si>
  <si>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</si>
  <si>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</si>
  <si>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</si>
  <si>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</si>
  <si>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</si>
  <si>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</si>
  <si>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</si>
  <si>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</si>
  <si>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</si>
  <si>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</si>
  <si>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</si>
  <si>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</si>
  <si>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</si>
  <si>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</si>
  <si>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</si>
  <si>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</si>
  <si>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</si>
  <si>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</si>
  <si>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</si>
  <si>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</si>
  <si>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</si>
  <si>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</si>
  <si>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</si>
  <si>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</si>
  <si>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</si>
  <si>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</si>
  <si>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</si>
  <si>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</si>
  <si>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</si>
  <si>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</si>
  <si>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</si>
  <si>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</si>
  <si>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</si>
  <si>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</si>
  <si>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</si>
  <si>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</si>
  <si>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</si>
  <si>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</si>
  <si>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</si>
  <si>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</si>
  <si>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</si>
  <si>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</si>
  <si>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</si>
  <si>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</si>
  <si>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</si>
  <si>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</si>
  <si>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</si>
  <si>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</si>
  <si>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</si>
  <si>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</si>
  <si>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</si>
  <si>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</si>
  <si>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</si>
  <si>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</si>
  <si>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</si>
  <si>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</si>
  <si>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</si>
  <si>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</si>
  <si>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</si>
  <si>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</si>
  <si>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</si>
  <si>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</si>
  <si>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</si>
  <si>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</si>
  <si>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</si>
  <si>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</si>
  <si>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</si>
  <si>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</si>
  <si>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</si>
  <si>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</si>
  <si>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</si>
  <si>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</si>
  <si>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</si>
  <si>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</si>
  <si>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</si>
  <si>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</si>
  <si>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</si>
  <si>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</si>
  <si>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</si>
  <si>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</si>
  <si>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</si>
  <si>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</si>
  <si>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</si>
  <si>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</si>
  <si>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</si>
  <si>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</si>
  <si>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</si>
  <si>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</si>
  <si>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</si>
  <si>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</si>
  <si>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</si>
  <si>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</si>
  <si>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</si>
  <si>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</si>
  <si>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</si>
  <si>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</si>
  <si>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</si>
  <si>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</si>
  <si>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</si>
  <si>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</si>
  <si>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</si>
  <si>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</si>
  <si>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</si>
  <si>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</si>
  <si>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</si>
  <si>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</si>
  <si>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</si>
  <si>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</si>
  <si>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</si>
  <si>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</si>
  <si>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</si>
  <si>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</si>
  <si>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</si>
  <si>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</si>
  <si>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</si>
  <si>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</si>
  <si>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</si>
  <si>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</si>
  <si>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10x2</t>
  </si>
  <si>
    <t>79x1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</si>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</sst>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174" fontId="8" fillId="5" borderId="1" xfId="2" applyNumberFormat="1" applyFont="1" applyFill="1" applyBorder="1"/>
    <xf numFmtId="1" fontId="4" fillId="6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76800"/>
        <c:axId val="106398080"/>
      </c:lineChart>
      <c:catAx>
        <c:axId val="106076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06398080"/>
        <c:crosses val="autoZero"/>
        <c:auto val="1"/>
        <c:lblAlgn val="ctr"/>
        <c:lblOffset val="100"/>
        <c:noMultiLvlLbl val="0"/>
      </c:catAx>
      <c:valAx>
        <c:axId val="10639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07680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D152" activePane="bottomRight" state="frozen"/>
      <selection pane="topRight" activeCell="C1" sqref="C1"/>
      <selection pane="bottomLeft" activeCell="A5" sqref="A5"/>
      <selection pane="bottomRight" activeCell="B176" sqref="B176:Q176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2" t="s">
        <v>291</v>
      </c>
      <c r="AE2" s="193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4" t="s">
        <v>292</v>
      </c>
      <c r="AE3" s="195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5.37</v>
      </c>
      <c r="H6" s="147">
        <v>6</v>
      </c>
      <c r="I6" s="147">
        <v>12</v>
      </c>
      <c r="J6" s="147">
        <v>14</v>
      </c>
      <c r="K6" s="147">
        <v>16</v>
      </c>
      <c r="L6" s="147">
        <v>0.43</v>
      </c>
      <c r="M6" s="147">
        <v>1</v>
      </c>
      <c r="N6" s="147">
        <v>184</v>
      </c>
      <c r="O6" s="147">
        <v>191</v>
      </c>
      <c r="P6" s="147">
        <v>244</v>
      </c>
      <c r="Q6" s="118">
        <f>((P6/G6)^(1/($H$2-$H$1) ))-1</f>
        <v>0.52811937543090592</v>
      </c>
      <c r="R6" s="31">
        <f>$L$2</f>
        <v>0.12</v>
      </c>
      <c r="S6" s="154">
        <f>P6*(1+$R6)</f>
        <v>273.28000000000003</v>
      </c>
      <c r="T6" s="154">
        <f>S6*(1+$R6)</f>
        <v>306.07360000000006</v>
      </c>
      <c r="U6" s="154">
        <f t="shared" ref="U6:AB6" si="0">T6*(1+$R6)</f>
        <v>342.80243200000007</v>
      </c>
      <c r="V6" s="154">
        <f t="shared" si="0"/>
        <v>383.93872384000014</v>
      </c>
      <c r="W6" s="154">
        <f t="shared" si="0"/>
        <v>430.01137070080017</v>
      </c>
      <c r="X6" s="154">
        <f t="shared" si="0"/>
        <v>481.61273518489622</v>
      </c>
      <c r="Y6" s="154">
        <f t="shared" si="0"/>
        <v>539.40626340708377</v>
      </c>
      <c r="Z6" s="154">
        <f t="shared" si="0"/>
        <v>604.13501501593385</v>
      </c>
      <c r="AA6" s="154">
        <f t="shared" si="0"/>
        <v>676.63121681784594</v>
      </c>
      <c r="AB6" s="154">
        <f t="shared" si="0"/>
        <v>757.8269628359875</v>
      </c>
      <c r="AC6" s="138">
        <f>((AB6/G6)^(1/($AB$3-$H$1) ))-1</f>
        <v>0.2975873987699067</v>
      </c>
      <c r="AD6" s="31">
        <f>$L$1</f>
        <v>0.05</v>
      </c>
      <c r="AE6" s="146">
        <f t="shared" ref="AE6:AE43" si="1">(AB6*(1+AD6))/($C$1-AD6)</f>
        <v>4680.6959469281592</v>
      </c>
    </row>
    <row r="7" spans="2:31" x14ac:dyDescent="0.2">
      <c r="B7" s="20" t="s">
        <v>240</v>
      </c>
      <c r="C7" s="141"/>
      <c r="D7" s="141"/>
      <c r="E7" s="147"/>
      <c r="F7" s="147"/>
      <c r="G7" s="147">
        <v>6</v>
      </c>
      <c r="H7" s="147">
        <v>7</v>
      </c>
      <c r="I7" s="147">
        <v>12</v>
      </c>
      <c r="J7" s="147">
        <v>15</v>
      </c>
      <c r="K7" s="147">
        <v>16</v>
      </c>
      <c r="L7" s="147">
        <v>16</v>
      </c>
      <c r="M7" s="147">
        <v>17</v>
      </c>
      <c r="N7" s="147">
        <v>200</v>
      </c>
      <c r="O7" s="147">
        <v>208</v>
      </c>
      <c r="P7" s="147">
        <v>263</v>
      </c>
      <c r="Q7" s="118">
        <f>((P7/G7)^(1/($H$2-$H$1) ))-1</f>
        <v>0.52202828037465498</v>
      </c>
      <c r="R7" s="31">
        <f>$L$2</f>
        <v>0.12</v>
      </c>
      <c r="S7" s="154">
        <f t="shared" ref="S7:S16" si="2">P7*(1+$R7)</f>
        <v>294.56</v>
      </c>
      <c r="T7" s="154">
        <f t="shared" ref="T7:AB7" si="3">S7*(1+$R7)</f>
        <v>329.90720000000005</v>
      </c>
      <c r="U7" s="154">
        <f t="shared" si="3"/>
        <v>369.4960640000001</v>
      </c>
      <c r="V7" s="154">
        <f t="shared" si="3"/>
        <v>413.83559168000016</v>
      </c>
      <c r="W7" s="154">
        <f t="shared" si="3"/>
        <v>463.49586268160022</v>
      </c>
      <c r="X7" s="154">
        <f t="shared" si="3"/>
        <v>519.11536620339234</v>
      </c>
      <c r="Y7" s="154">
        <f t="shared" si="3"/>
        <v>581.40921014779951</v>
      </c>
      <c r="Z7" s="154">
        <f t="shared" si="3"/>
        <v>651.17831536553547</v>
      </c>
      <c r="AA7" s="154">
        <f t="shared" si="3"/>
        <v>729.31971320939977</v>
      </c>
      <c r="AB7" s="154">
        <f t="shared" si="3"/>
        <v>816.83807879452786</v>
      </c>
      <c r="AC7" s="138">
        <f>((AB7/G7)^(1/($AB$3-$H$1) ))-1</f>
        <v>0.29513483752152148</v>
      </c>
      <c r="AD7" s="31">
        <f>$L$1</f>
        <v>0.05</v>
      </c>
      <c r="AE7" s="146">
        <f t="shared" si="1"/>
        <v>5045.1763690250255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0.14285714285714285</v>
      </c>
      <c r="I8" s="151">
        <f t="shared" ref="I8:P8" si="4">(I7-H7)/I7</f>
        <v>0.41666666666666669</v>
      </c>
      <c r="J8" s="151">
        <f t="shared" si="4"/>
        <v>0.2</v>
      </c>
      <c r="K8" s="151">
        <f t="shared" si="4"/>
        <v>6.25E-2</v>
      </c>
      <c r="L8" s="151">
        <f t="shared" si="4"/>
        <v>0</v>
      </c>
      <c r="M8" s="151">
        <f t="shared" si="4"/>
        <v>5.8823529411764705E-2</v>
      </c>
      <c r="N8" s="151">
        <f t="shared" si="4"/>
        <v>0.91500000000000004</v>
      </c>
      <c r="O8" s="151">
        <f t="shared" si="4"/>
        <v>3.8461538461538464E-2</v>
      </c>
      <c r="P8" s="151">
        <f t="shared" si="4"/>
        <v>0.20912547528517111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0</v>
      </c>
      <c r="H9" s="147">
        <v>0</v>
      </c>
      <c r="I9" s="147">
        <v>0</v>
      </c>
      <c r="J9" s="147">
        <v>0</v>
      </c>
      <c r="K9" s="147">
        <v>0</v>
      </c>
      <c r="L9" s="147">
        <v>0.02</v>
      </c>
      <c r="M9" s="147">
        <v>0.1</v>
      </c>
      <c r="N9" s="147">
        <v>1.5</v>
      </c>
      <c r="O9" s="147">
        <v>29.5</v>
      </c>
      <c r="P9" s="147">
        <v>111</v>
      </c>
      <c r="Q9" s="118" t="e">
        <f t="shared" ref="Q9:Q16" si="5">((P9/G9)^(1/($H$2-$H$1) ))-1</f>
        <v>#DIV/0!</v>
      </c>
      <c r="R9" s="31">
        <f t="shared" ref="R9:R42" si="6">$L$2</f>
        <v>0.12</v>
      </c>
      <c r="S9" s="154">
        <f t="shared" ref="S9" si="7">P9*(1+$R9)</f>
        <v>124.32000000000001</v>
      </c>
      <c r="T9" s="154">
        <f t="shared" ref="T9" si="8">S9*(1+$R9)</f>
        <v>139.23840000000001</v>
      </c>
      <c r="U9" s="154">
        <f t="shared" ref="U9" si="9">T9*(1+$R9)</f>
        <v>155.94700800000004</v>
      </c>
      <c r="V9" s="154">
        <f t="shared" ref="V9" si="10">U9*(1+$R9)</f>
        <v>174.66064896000006</v>
      </c>
      <c r="W9" s="154">
        <f t="shared" ref="W9" si="11">V9*(1+$R9)</f>
        <v>195.61992683520009</v>
      </c>
      <c r="X9" s="154">
        <f t="shared" ref="X9" si="12">W9*(1+$R9)</f>
        <v>219.09431805542411</v>
      </c>
      <c r="Y9" s="154">
        <f t="shared" ref="Y9" si="13">X9*(1+$R9)</f>
        <v>245.38563622207502</v>
      </c>
      <c r="Z9" s="154">
        <f t="shared" ref="Z9" si="14">Y9*(1+$R9)</f>
        <v>274.83191256872408</v>
      </c>
      <c r="AA9" s="154">
        <f t="shared" ref="AA9" si="15">Z9*(1+$R9)</f>
        <v>307.81174207697097</v>
      </c>
      <c r="AB9" s="154">
        <f t="shared" ref="AB9" si="16">AA9*(1+$R9)</f>
        <v>344.74915112620749</v>
      </c>
      <c r="AC9" s="138" t="e">
        <f>((AB9/G9)^(1/($AB$3-$H$1) ))-1</f>
        <v>#DIV/0!</v>
      </c>
      <c r="AD9" s="31">
        <f t="shared" ref="AD9:AD79" si="17">$L$1</f>
        <v>0.05</v>
      </c>
      <c r="AE9" s="146">
        <f t="shared" si="1"/>
        <v>2129.3329922501057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10</v>
      </c>
      <c r="Q10" s="118" t="e">
        <f t="shared" si="5"/>
        <v>#DIV/0!</v>
      </c>
      <c r="R10" s="31">
        <f t="shared" si="6"/>
        <v>0.12</v>
      </c>
      <c r="S10" s="154">
        <f t="shared" si="2"/>
        <v>11.200000000000001</v>
      </c>
      <c r="T10" s="154">
        <f t="shared" ref="T10:AB10" si="18">S10*(1+$R10)</f>
        <v>12.544000000000002</v>
      </c>
      <c r="U10" s="154">
        <f t="shared" si="18"/>
        <v>14.049280000000003</v>
      </c>
      <c r="V10" s="154">
        <f t="shared" si="18"/>
        <v>15.735193600000004</v>
      </c>
      <c r="W10" s="154">
        <f t="shared" si="18"/>
        <v>17.623416832000007</v>
      </c>
      <c r="X10" s="154">
        <f t="shared" si="18"/>
        <v>19.738226851840011</v>
      </c>
      <c r="Y10" s="154">
        <f t="shared" si="18"/>
        <v>22.106814074060814</v>
      </c>
      <c r="Z10" s="154">
        <f t="shared" si="18"/>
        <v>24.759631762948114</v>
      </c>
      <c r="AA10" s="154">
        <f t="shared" si="18"/>
        <v>27.730787574501889</v>
      </c>
      <c r="AB10" s="154">
        <f t="shared" si="18"/>
        <v>31.058482083442119</v>
      </c>
      <c r="AC10" s="138" t="e">
        <f t="shared" ref="AC10:AC42" si="19">((AB10/G10)^(1/($AB$3-$H$1) ))-1</f>
        <v>#DIV/0!</v>
      </c>
      <c r="AD10" s="31">
        <f t="shared" si="17"/>
        <v>0.05</v>
      </c>
      <c r="AE10" s="146">
        <f t="shared" si="1"/>
        <v>191.83180110361312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>
        <f t="shared" si="20"/>
        <v>1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0</v>
      </c>
      <c r="H12" s="147">
        <v>0.01</v>
      </c>
      <c r="I12" s="147">
        <v>0.01</v>
      </c>
      <c r="J12" s="147">
        <v>0.01</v>
      </c>
      <c r="K12" s="147">
        <v>0.51</v>
      </c>
      <c r="L12" s="147">
        <v>8</v>
      </c>
      <c r="M12" s="147">
        <v>14</v>
      </c>
      <c r="N12" s="147">
        <v>7</v>
      </c>
      <c r="O12" s="147">
        <v>33</v>
      </c>
      <c r="P12" s="147">
        <v>25</v>
      </c>
      <c r="Q12" s="118" t="e">
        <f t="shared" si="5"/>
        <v>#DIV/0!</v>
      </c>
      <c r="R12" s="31">
        <f t="shared" si="6"/>
        <v>0.12</v>
      </c>
      <c r="S12" s="154">
        <f t="shared" si="2"/>
        <v>28.000000000000004</v>
      </c>
      <c r="T12" s="154">
        <f t="shared" ref="T12:AB12" si="21">S12*(1+$R12)</f>
        <v>31.360000000000007</v>
      </c>
      <c r="U12" s="154">
        <f t="shared" si="21"/>
        <v>35.123200000000011</v>
      </c>
      <c r="V12" s="154">
        <f t="shared" si="21"/>
        <v>39.337984000000013</v>
      </c>
      <c r="W12" s="154">
        <f t="shared" si="21"/>
        <v>44.058542080000016</v>
      </c>
      <c r="X12" s="154">
        <f t="shared" si="21"/>
        <v>49.34556712960002</v>
      </c>
      <c r="Y12" s="154">
        <f t="shared" si="21"/>
        <v>55.267035185152025</v>
      </c>
      <c r="Z12" s="154">
        <f t="shared" si="21"/>
        <v>61.899079407370273</v>
      </c>
      <c r="AA12" s="154">
        <f t="shared" si="21"/>
        <v>69.326968936254715</v>
      </c>
      <c r="AB12" s="154">
        <f t="shared" si="21"/>
        <v>77.646205208605295</v>
      </c>
      <c r="AC12" s="138" t="e">
        <f t="shared" si="19"/>
        <v>#DIV/0!</v>
      </c>
      <c r="AD12" s="31">
        <f t="shared" si="17"/>
        <v>0.05</v>
      </c>
      <c r="AE12" s="146">
        <f t="shared" si="1"/>
        <v>479.57950275903278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3.5</v>
      </c>
      <c r="H13" s="147">
        <v>6.05</v>
      </c>
      <c r="I13" s="147">
        <v>12</v>
      </c>
      <c r="J13" s="147">
        <v>12</v>
      </c>
      <c r="K13" s="147">
        <v>9</v>
      </c>
      <c r="L13" s="147">
        <v>7</v>
      </c>
      <c r="M13" s="147">
        <v>1</v>
      </c>
      <c r="N13" s="147">
        <v>236</v>
      </c>
      <c r="O13" s="147">
        <v>7.5</v>
      </c>
      <c r="P13" s="147">
        <v>1</v>
      </c>
      <c r="Q13" s="118">
        <f t="shared" si="5"/>
        <v>-0.1299424198023702</v>
      </c>
      <c r="R13" s="31">
        <f t="shared" si="6"/>
        <v>0.12</v>
      </c>
      <c r="S13" s="154">
        <f t="shared" si="2"/>
        <v>1.1200000000000001</v>
      </c>
      <c r="T13" s="154">
        <f t="shared" ref="T13:AB13" si="22">S13*(1+$R13)</f>
        <v>1.2544000000000002</v>
      </c>
      <c r="U13" s="154">
        <f t="shared" si="22"/>
        <v>1.4049280000000004</v>
      </c>
      <c r="V13" s="154">
        <f t="shared" si="22"/>
        <v>1.5735193600000006</v>
      </c>
      <c r="W13" s="154">
        <f t="shared" si="22"/>
        <v>1.7623416832000007</v>
      </c>
      <c r="X13" s="154">
        <f t="shared" si="22"/>
        <v>1.9738226851840011</v>
      </c>
      <c r="Y13" s="154">
        <f t="shared" si="22"/>
        <v>2.2106814074060814</v>
      </c>
      <c r="Z13" s="154">
        <f t="shared" si="22"/>
        <v>2.4759631762948113</v>
      </c>
      <c r="AA13" s="154">
        <f t="shared" si="22"/>
        <v>2.7730787574501892</v>
      </c>
      <c r="AB13" s="154">
        <f t="shared" si="22"/>
        <v>3.105848208344212</v>
      </c>
      <c r="AC13" s="138">
        <f t="shared" si="19"/>
        <v>-6.2684871433505984E-3</v>
      </c>
      <c r="AD13" s="31">
        <f t="shared" si="17"/>
        <v>0.05</v>
      </c>
      <c r="AE13" s="146">
        <f t="shared" si="1"/>
        <v>19.183180110361313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1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15</v>
      </c>
      <c r="P14" s="147">
        <v>18</v>
      </c>
      <c r="Q14" s="118">
        <f t="shared" ref="Q14" si="23">((P14/G14)^(1/($H$2-$H$1) ))-1</f>
        <v>0.37871570534172849</v>
      </c>
      <c r="R14" s="31">
        <f t="shared" si="6"/>
        <v>0.12</v>
      </c>
      <c r="S14" s="154">
        <f t="shared" ref="S14" si="24">P14*(1+$R14)</f>
        <v>20.160000000000004</v>
      </c>
      <c r="T14" s="154">
        <f t="shared" ref="T14" si="25">S14*(1+$R14)</f>
        <v>22.579200000000007</v>
      </c>
      <c r="U14" s="154">
        <f t="shared" ref="U14" si="26">T14*(1+$R14)</f>
        <v>25.28870400000001</v>
      </c>
      <c r="V14" s="154">
        <f t="shared" ref="V14" si="27">U14*(1+$R14)</f>
        <v>28.323348480000014</v>
      </c>
      <c r="W14" s="154">
        <f t="shared" ref="W14" si="28">V14*(1+$R14)</f>
        <v>31.72215029760002</v>
      </c>
      <c r="X14" s="154">
        <f t="shared" ref="X14" si="29">W14*(1+$R14)</f>
        <v>35.528808333312028</v>
      </c>
      <c r="Y14" s="154">
        <f t="shared" ref="Y14" si="30">X14*(1+$R14)</f>
        <v>39.792265333309473</v>
      </c>
      <c r="Z14" s="154">
        <f t="shared" ref="Z14" si="31">Y14*(1+$R14)</f>
        <v>44.567337173306612</v>
      </c>
      <c r="AA14" s="154">
        <f t="shared" ref="AA14" si="32">Z14*(1+$R14)</f>
        <v>49.915417634103413</v>
      </c>
      <c r="AB14" s="154">
        <f t="shared" ref="AB14" si="33">AA14*(1+$R14)</f>
        <v>55.905267750195826</v>
      </c>
      <c r="AC14" s="138">
        <f t="shared" ref="AC14" si="34">((AB14/G14)^(1/($AB$3-$H$1) ))-1</f>
        <v>0.23586546477319392</v>
      </c>
      <c r="AD14" s="31">
        <f t="shared" si="17"/>
        <v>0.05</v>
      </c>
      <c r="AE14" s="146">
        <f t="shared" ref="AE14" si="35">(AB14*(1+AD14))/($C$1-AD14)</f>
        <v>345.29724198650365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1.0900000000000001</v>
      </c>
      <c r="H15" s="147">
        <v>0.01</v>
      </c>
      <c r="I15" s="147">
        <v>0.01</v>
      </c>
      <c r="J15" s="147">
        <v>0.01</v>
      </c>
      <c r="K15" s="147">
        <v>0.51</v>
      </c>
      <c r="L15" s="147">
        <v>8.3000000000000007</v>
      </c>
      <c r="M15" s="147">
        <v>14</v>
      </c>
      <c r="N15" s="147">
        <v>8</v>
      </c>
      <c r="O15" s="147">
        <v>54</v>
      </c>
      <c r="P15" s="147">
        <v>52</v>
      </c>
      <c r="Q15" s="118">
        <f t="shared" si="5"/>
        <v>0.53641499959370575</v>
      </c>
      <c r="R15" s="31">
        <f t="shared" si="6"/>
        <v>0.12</v>
      </c>
      <c r="S15" s="154">
        <f t="shared" si="2"/>
        <v>58.240000000000009</v>
      </c>
      <c r="T15" s="154">
        <f t="shared" ref="T15:AB15" si="36">S15*(1+$R15)</f>
        <v>65.228800000000021</v>
      </c>
      <c r="U15" s="154">
        <f t="shared" si="36"/>
        <v>73.056256000000033</v>
      </c>
      <c r="V15" s="154">
        <f t="shared" si="36"/>
        <v>81.823006720000052</v>
      </c>
      <c r="W15" s="154">
        <f t="shared" si="36"/>
        <v>91.641767526400074</v>
      </c>
      <c r="X15" s="154">
        <f t="shared" si="36"/>
        <v>102.63877962956809</v>
      </c>
      <c r="Y15" s="154">
        <f t="shared" si="36"/>
        <v>114.95543318511628</v>
      </c>
      <c r="Z15" s="154">
        <f t="shared" si="36"/>
        <v>128.75008516733024</v>
      </c>
      <c r="AA15" s="154">
        <f t="shared" si="36"/>
        <v>144.20009538740987</v>
      </c>
      <c r="AB15" s="154">
        <f t="shared" si="36"/>
        <v>161.50410683389907</v>
      </c>
      <c r="AC15" s="138">
        <f t="shared" si="19"/>
        <v>0.30091934627473171</v>
      </c>
      <c r="AD15" s="31">
        <f t="shared" si="17"/>
        <v>0.05</v>
      </c>
      <c r="AE15" s="146">
        <f t="shared" si="1"/>
        <v>997.52536573878854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2</v>
      </c>
      <c r="H16" s="147">
        <v>0.5</v>
      </c>
      <c r="I16" s="147">
        <v>0.28999999999999998</v>
      </c>
      <c r="J16" s="147">
        <v>2.8</v>
      </c>
      <c r="K16" s="147">
        <v>7.2</v>
      </c>
      <c r="L16" s="147">
        <v>9</v>
      </c>
      <c r="M16" s="147">
        <v>14</v>
      </c>
      <c r="N16" s="147">
        <v>18</v>
      </c>
      <c r="O16" s="147">
        <v>46</v>
      </c>
      <c r="P16" s="147">
        <v>27</v>
      </c>
      <c r="Q16" s="118">
        <f t="shared" si="5"/>
        <v>0.33534240595483999</v>
      </c>
      <c r="R16" s="31">
        <f t="shared" si="6"/>
        <v>0.12</v>
      </c>
      <c r="S16" s="154">
        <f t="shared" si="2"/>
        <v>30.240000000000002</v>
      </c>
      <c r="T16" s="154">
        <f t="shared" ref="T16:AB16" si="37">S16*(1+$R16)</f>
        <v>33.868800000000007</v>
      </c>
      <c r="U16" s="154">
        <f t="shared" si="37"/>
        <v>37.933056000000015</v>
      </c>
      <c r="V16" s="154">
        <f t="shared" si="37"/>
        <v>42.485022720000018</v>
      </c>
      <c r="W16" s="154">
        <f t="shared" si="37"/>
        <v>47.583225446400021</v>
      </c>
      <c r="X16" s="154">
        <f t="shared" si="37"/>
        <v>53.293212499968028</v>
      </c>
      <c r="Y16" s="154">
        <f t="shared" si="37"/>
        <v>59.688397999964195</v>
      </c>
      <c r="Z16" s="154">
        <f t="shared" si="37"/>
        <v>66.851005759959904</v>
      </c>
      <c r="AA16" s="154">
        <f t="shared" si="37"/>
        <v>74.873126451155102</v>
      </c>
      <c r="AB16" s="154">
        <f t="shared" si="37"/>
        <v>83.857901625293721</v>
      </c>
      <c r="AC16" s="138">
        <f t="shared" si="19"/>
        <v>0.21729397766529757</v>
      </c>
      <c r="AD16" s="31">
        <f t="shared" si="17"/>
        <v>0.05</v>
      </c>
      <c r="AE16" s="146">
        <f t="shared" si="1"/>
        <v>517.94586297975547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0.05</v>
      </c>
      <c r="H18" s="147">
        <v>0.04</v>
      </c>
      <c r="I18" s="147">
        <v>0.04</v>
      </c>
      <c r="J18" s="147">
        <v>0</v>
      </c>
      <c r="K18" s="147">
        <v>0</v>
      </c>
      <c r="L18" s="147">
        <v>0.01</v>
      </c>
      <c r="M18" s="147">
        <v>0.01</v>
      </c>
      <c r="N18" s="147">
        <v>0</v>
      </c>
      <c r="O18" s="147">
        <v>209</v>
      </c>
      <c r="P18" s="147">
        <v>349</v>
      </c>
      <c r="Q18" s="118">
        <f>((P18/G18)^(1/($H$2-$H$1) ))-1</f>
        <v>1.6735914700489118</v>
      </c>
      <c r="R18" s="31">
        <f t="shared" si="6"/>
        <v>0.12</v>
      </c>
      <c r="S18" s="154">
        <f t="shared" ref="S18:S34" si="38">P18*(1+$R18)</f>
        <v>390.88000000000005</v>
      </c>
      <c r="T18" s="154">
        <f t="shared" ref="T18:T34" si="39">S18*(1+$R18)</f>
        <v>437.7856000000001</v>
      </c>
      <c r="U18" s="154">
        <f t="shared" ref="U18:U34" si="40">T18*(1+$R18)</f>
        <v>490.31987200000015</v>
      </c>
      <c r="V18" s="154">
        <f t="shared" ref="V18:V34" si="41">U18*(1+$R18)</f>
        <v>549.15825664000022</v>
      </c>
      <c r="W18" s="154">
        <f t="shared" ref="W18:W36" si="42">V18*(1+$R18)</f>
        <v>615.05724743680025</v>
      </c>
      <c r="X18" s="154">
        <f t="shared" ref="X18:X36" si="43">W18*(1+$R18)</f>
        <v>688.86411712921631</v>
      </c>
      <c r="Y18" s="154">
        <f t="shared" ref="Y18:Y36" si="44">X18*(1+$R18)</f>
        <v>771.5278111847224</v>
      </c>
      <c r="Z18" s="154">
        <f t="shared" ref="Z18:Z36" si="45">Y18*(1+$R18)</f>
        <v>864.11114852688911</v>
      </c>
      <c r="AA18" s="154">
        <f t="shared" ref="AA18:AA36" si="46">Z18*(1+$R18)</f>
        <v>967.80448635011589</v>
      </c>
      <c r="AB18" s="154">
        <f t="shared" ref="AB18:AB36" si="47">AA18*(1+$R18)</f>
        <v>1083.94102471213</v>
      </c>
      <c r="AC18" s="138">
        <f t="shared" si="19"/>
        <v>0.69126788633373493</v>
      </c>
      <c r="AD18" s="31">
        <f t="shared" si="17"/>
        <v>0.05</v>
      </c>
      <c r="AE18" s="146">
        <f t="shared" si="1"/>
        <v>6694.9298585160977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0.67</v>
      </c>
      <c r="H25" s="147">
        <v>1.17</v>
      </c>
      <c r="I25" s="147">
        <v>5</v>
      </c>
      <c r="J25" s="147">
        <v>2.7</v>
      </c>
      <c r="K25" s="147">
        <v>1.7</v>
      </c>
      <c r="L25" s="147">
        <v>1.7</v>
      </c>
      <c r="M25" s="147">
        <v>0.73</v>
      </c>
      <c r="N25" s="147">
        <v>0.19</v>
      </c>
      <c r="O25" s="147">
        <v>551</v>
      </c>
      <c r="P25" s="147">
        <v>692</v>
      </c>
      <c r="Q25" s="118">
        <f>((P25/G25)^(1/($H$2-$H$1) ))-1</f>
        <v>1.1621825884323114</v>
      </c>
      <c r="R25" s="31">
        <f t="shared" si="6"/>
        <v>0.12</v>
      </c>
      <c r="S25" s="154">
        <f t="shared" si="38"/>
        <v>775.04000000000008</v>
      </c>
      <c r="T25" s="154">
        <f t="shared" si="39"/>
        <v>868.04480000000012</v>
      </c>
      <c r="U25" s="154">
        <f t="shared" si="40"/>
        <v>972.21017600000027</v>
      </c>
      <c r="V25" s="154">
        <f t="shared" si="41"/>
        <v>1088.8753971200003</v>
      </c>
      <c r="W25" s="154">
        <f t="shared" si="42"/>
        <v>1219.5404447744006</v>
      </c>
      <c r="X25" s="154">
        <f t="shared" si="43"/>
        <v>1365.8852981473287</v>
      </c>
      <c r="Y25" s="154">
        <f t="shared" si="44"/>
        <v>1529.7915339250083</v>
      </c>
      <c r="Z25" s="154">
        <f t="shared" si="45"/>
        <v>1713.3665179960094</v>
      </c>
      <c r="AA25" s="154">
        <f t="shared" si="46"/>
        <v>1918.9705001555308</v>
      </c>
      <c r="AB25" s="154">
        <f t="shared" si="47"/>
        <v>2149.2469601741946</v>
      </c>
      <c r="AC25" s="138">
        <f t="shared" si="19"/>
        <v>0.52945762278831121</v>
      </c>
      <c r="AD25" s="31">
        <f t="shared" si="17"/>
        <v>0.05</v>
      </c>
      <c r="AE25" s="146">
        <f t="shared" si="1"/>
        <v>13274.760636370027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0.42735042735042728</v>
      </c>
      <c r="I26" s="148">
        <f t="shared" ref="I26" si="70">(I25-H25)/I25</f>
        <v>0.76600000000000001</v>
      </c>
      <c r="J26" s="148">
        <f t="shared" ref="J26" si="71">(J25-I25)/J25</f>
        <v>-0.85185185185185175</v>
      </c>
      <c r="K26" s="148">
        <f t="shared" ref="K26" si="72">(K25-J25)/K25</f>
        <v>-0.58823529411764719</v>
      </c>
      <c r="L26" s="148">
        <f t="shared" ref="L26" si="73">(L25-K25)/L25</f>
        <v>0</v>
      </c>
      <c r="M26" s="148">
        <f t="shared" ref="M26" si="74">(M25-L25)/M25</f>
        <v>-1.3287671232876712</v>
      </c>
      <c r="N26" s="148">
        <f t="shared" ref="N26" si="75">(N25-M25)/N25</f>
        <v>-2.8421052631578947</v>
      </c>
      <c r="O26" s="148">
        <f t="shared" ref="O26" si="76">(O25-N25)/O25</f>
        <v>0.99965517241379298</v>
      </c>
      <c r="P26" s="148">
        <f t="shared" ref="P26" si="77">(P25-O25)/P25</f>
        <v>0.20375722543352601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0.03</v>
      </c>
      <c r="H27" s="147">
        <v>0.03</v>
      </c>
      <c r="I27" s="147">
        <v>7.0000000000000007E-2</v>
      </c>
      <c r="J27" s="147">
        <v>0.08</v>
      </c>
      <c r="K27" s="147">
        <v>0.04</v>
      </c>
      <c r="L27" s="147">
        <v>0.23</v>
      </c>
      <c r="M27" s="147">
        <v>0.11</v>
      </c>
      <c r="N27" s="147">
        <v>2.13</v>
      </c>
      <c r="O27" s="147">
        <v>484</v>
      </c>
      <c r="P27" s="147">
        <v>626</v>
      </c>
      <c r="Q27" s="118">
        <f>((P27/G27)^(1/($H$2-$H$1) ))-1</f>
        <v>2.019529180430546</v>
      </c>
      <c r="R27" s="31">
        <f t="shared" si="6"/>
        <v>0.12</v>
      </c>
      <c r="S27" s="154">
        <f t="shared" si="38"/>
        <v>701.12000000000012</v>
      </c>
      <c r="T27" s="154">
        <f t="shared" si="39"/>
        <v>785.25440000000026</v>
      </c>
      <c r="U27" s="154">
        <f t="shared" si="40"/>
        <v>879.48492800000042</v>
      </c>
      <c r="V27" s="154">
        <f t="shared" si="41"/>
        <v>985.02311936000058</v>
      </c>
      <c r="W27" s="154">
        <f t="shared" si="42"/>
        <v>1103.2258936832009</v>
      </c>
      <c r="X27" s="154">
        <f t="shared" si="43"/>
        <v>1235.6130009251851</v>
      </c>
      <c r="Y27" s="154">
        <f t="shared" si="44"/>
        <v>1383.8865610362075</v>
      </c>
      <c r="Z27" s="154">
        <f t="shared" si="45"/>
        <v>1549.9529483605525</v>
      </c>
      <c r="AA27" s="154">
        <f t="shared" si="46"/>
        <v>1735.9473021638189</v>
      </c>
      <c r="AB27" s="154">
        <f t="shared" si="47"/>
        <v>1944.2609784234774</v>
      </c>
      <c r="AC27" s="138">
        <f t="shared" si="19"/>
        <v>0.79161156904173335</v>
      </c>
      <c r="AD27" s="31">
        <f t="shared" si="17"/>
        <v>0.05</v>
      </c>
      <c r="AE27" s="146">
        <f t="shared" si="1"/>
        <v>12008.670749086186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</v>
      </c>
      <c r="I28" s="148">
        <f t="shared" si="78"/>
        <v>0.57142857142857151</v>
      </c>
      <c r="J28" s="148">
        <f t="shared" si="78"/>
        <v>0.12499999999999993</v>
      </c>
      <c r="K28" s="148">
        <f t="shared" si="78"/>
        <v>-1</v>
      </c>
      <c r="L28" s="148">
        <f t="shared" si="78"/>
        <v>0.82608695652173914</v>
      </c>
      <c r="M28" s="148">
        <f t="shared" si="78"/>
        <v>-1.0909090909090911</v>
      </c>
      <c r="N28" s="148">
        <f t="shared" ref="N28" si="79">(N27-M27)/N27</f>
        <v>0.94835680751173712</v>
      </c>
      <c r="O28" s="148">
        <f t="shared" ref="O28" si="80">(O27-N27)/O27</f>
        <v>0.99559917355371896</v>
      </c>
      <c r="P28" s="148">
        <f t="shared" ref="P28" si="81">(P27-O27)/P27</f>
        <v>0.2268370607028754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7.0000000000000007E-2</v>
      </c>
      <c r="P29" s="147">
        <v>0.59</v>
      </c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0.66080000000000005</v>
      </c>
      <c r="T29" s="154">
        <f t="shared" ref="T29" si="83">S29*(1+$R29)</f>
        <v>0.74009600000000009</v>
      </c>
      <c r="U29" s="154">
        <f t="shared" ref="U29" si="84">T29*(1+$R29)</f>
        <v>0.82890752000000023</v>
      </c>
      <c r="V29" s="154">
        <f t="shared" ref="V29" si="85">U29*(1+$R29)</f>
        <v>0.9283764224000004</v>
      </c>
      <c r="W29" s="154">
        <f t="shared" ref="W29" si="86">V29*(1+$R29)</f>
        <v>1.0397815930880006</v>
      </c>
      <c r="X29" s="154">
        <f t="shared" ref="X29" si="87">W29*(1+$R29)</f>
        <v>1.1645553842585608</v>
      </c>
      <c r="Y29" s="154">
        <f t="shared" ref="Y29" si="88">X29*(1+$R29)</f>
        <v>1.3043020303695883</v>
      </c>
      <c r="Z29" s="154">
        <f t="shared" ref="Z29" si="89">Y29*(1+$R29)</f>
        <v>1.460818274013939</v>
      </c>
      <c r="AA29" s="154">
        <f t="shared" ref="AA29" si="90">Z29*(1+$R29)</f>
        <v>1.6361164668956119</v>
      </c>
      <c r="AB29" s="154">
        <f t="shared" ref="AB29" si="91">AA29*(1+$R29)</f>
        <v>1.8324504429230855</v>
      </c>
      <c r="AC29" s="138" t="e">
        <f t="shared" ref="AC29" si="92">((AB29/G29)^(1/($AB$3-$H$1) ))-1</f>
        <v>#DIV/0!</v>
      </c>
      <c r="AD29" s="31">
        <f t="shared" si="17"/>
        <v>0.05</v>
      </c>
      <c r="AE29" s="146">
        <f t="shared" ref="AE29" si="93">(AB29*(1+AD29))/($C$1-AD29)</f>
        <v>11.318076265113177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>
        <f t="shared" ref="O30" si="97">(O29-N29)/O29</f>
        <v>1</v>
      </c>
      <c r="P30" s="148">
        <f t="shared" ref="P30" si="98">(P29-O29)/P29</f>
        <v>0.88135593220338992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0</v>
      </c>
      <c r="H33" s="147">
        <v>0</v>
      </c>
      <c r="I33" s="147">
        <v>0</v>
      </c>
      <c r="J33" s="147">
        <v>0</v>
      </c>
      <c r="K33" s="147">
        <v>0</v>
      </c>
      <c r="L33" s="147">
        <v>0</v>
      </c>
      <c r="M33" s="147">
        <v>0</v>
      </c>
      <c r="N33" s="147">
        <v>1.5</v>
      </c>
      <c r="O33" s="147">
        <v>245</v>
      </c>
      <c r="P33" s="147">
        <v>310</v>
      </c>
      <c r="Q33" s="118" t="e">
        <f>((P33/G33)^(1/($H$2-$H$1) ))-1</f>
        <v>#DIV/0!</v>
      </c>
      <c r="R33" s="31">
        <f t="shared" si="6"/>
        <v>0.12</v>
      </c>
      <c r="S33" s="154">
        <f t="shared" si="38"/>
        <v>347.20000000000005</v>
      </c>
      <c r="T33" s="154">
        <f t="shared" si="39"/>
        <v>388.86400000000009</v>
      </c>
      <c r="U33" s="154">
        <f t="shared" si="40"/>
        <v>435.52768000000015</v>
      </c>
      <c r="V33" s="154">
        <f t="shared" si="41"/>
        <v>487.79100160000019</v>
      </c>
      <c r="W33" s="154">
        <f t="shared" si="42"/>
        <v>546.32592179200026</v>
      </c>
      <c r="X33" s="154">
        <f t="shared" si="43"/>
        <v>611.8850324070404</v>
      </c>
      <c r="Y33" s="154">
        <f t="shared" si="44"/>
        <v>685.31123629588535</v>
      </c>
      <c r="Z33" s="154">
        <f t="shared" si="45"/>
        <v>767.54858465139171</v>
      </c>
      <c r="AA33" s="154">
        <f t="shared" si="46"/>
        <v>859.65441480955883</v>
      </c>
      <c r="AB33" s="154">
        <f t="shared" si="47"/>
        <v>962.81294458670595</v>
      </c>
      <c r="AC33" s="138" t="e">
        <f t="shared" si="19"/>
        <v>#DIV/0!</v>
      </c>
      <c r="AD33" s="31">
        <f t="shared" si="17"/>
        <v>0.05</v>
      </c>
      <c r="AE33" s="146">
        <f t="shared" si="1"/>
        <v>5946.785834212008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0</v>
      </c>
      <c r="H34" s="147">
        <v>0</v>
      </c>
      <c r="I34" s="147">
        <v>0</v>
      </c>
      <c r="J34" s="147">
        <v>0</v>
      </c>
      <c r="K34" s="147">
        <v>0</v>
      </c>
      <c r="L34" s="147">
        <v>0.05</v>
      </c>
      <c r="M34" s="147">
        <v>0.08</v>
      </c>
      <c r="N34" s="147">
        <v>0.26</v>
      </c>
      <c r="O34" s="147">
        <v>65</v>
      </c>
      <c r="P34" s="147">
        <v>76</v>
      </c>
      <c r="Q34" s="118" t="e">
        <f>((P34/G34)^(1/($H$2-$H$1) ))-1</f>
        <v>#DIV/0!</v>
      </c>
      <c r="R34" s="31">
        <f t="shared" si="6"/>
        <v>0.12</v>
      </c>
      <c r="S34" s="154">
        <f t="shared" si="38"/>
        <v>85.12</v>
      </c>
      <c r="T34" s="154">
        <f t="shared" si="39"/>
        <v>95.334400000000016</v>
      </c>
      <c r="U34" s="154">
        <f t="shared" si="40"/>
        <v>106.77452800000003</v>
      </c>
      <c r="V34" s="154">
        <f t="shared" si="41"/>
        <v>119.58747136000005</v>
      </c>
      <c r="W34" s="154">
        <f t="shared" si="42"/>
        <v>133.93796792320006</v>
      </c>
      <c r="X34" s="154">
        <f t="shared" si="43"/>
        <v>150.01052407398407</v>
      </c>
      <c r="Y34" s="154">
        <f t="shared" si="44"/>
        <v>168.01178696286217</v>
      </c>
      <c r="Z34" s="154">
        <f t="shared" si="45"/>
        <v>188.17320139840567</v>
      </c>
      <c r="AA34" s="154">
        <f t="shared" si="46"/>
        <v>210.75398556621437</v>
      </c>
      <c r="AB34" s="154">
        <f t="shared" si="47"/>
        <v>236.04446383416013</v>
      </c>
      <c r="AC34" s="138" t="e">
        <f t="shared" si="19"/>
        <v>#DIV/0!</v>
      </c>
      <c r="AD34" s="31">
        <f t="shared" si="17"/>
        <v>0.05</v>
      </c>
      <c r="AE34" s="146">
        <f t="shared" si="1"/>
        <v>1457.9216883874597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0.47</v>
      </c>
      <c r="H36" s="147">
        <v>0.93</v>
      </c>
      <c r="I36" s="147">
        <v>5.5</v>
      </c>
      <c r="J36" s="147">
        <v>2.5</v>
      </c>
      <c r="K36" s="147">
        <v>1.5</v>
      </c>
      <c r="L36" s="147">
        <v>1.0900000000000001</v>
      </c>
      <c r="M36" s="147">
        <v>0.48</v>
      </c>
      <c r="N36" s="147">
        <v>0.9</v>
      </c>
      <c r="O36" s="147">
        <v>63</v>
      </c>
      <c r="P36" s="147">
        <v>58</v>
      </c>
      <c r="Q36" s="118">
        <f>((P36/G36)^(1/($H$2-$H$1) ))-1</f>
        <v>0.7075365755462335</v>
      </c>
      <c r="R36" s="31">
        <f t="shared" si="6"/>
        <v>0.12</v>
      </c>
      <c r="S36" s="154">
        <f t="shared" ref="S36" si="102">P36*(1+$R36)</f>
        <v>64.960000000000008</v>
      </c>
      <c r="T36" s="154">
        <f t="shared" ref="T36" si="103">S36*(1+$R36)</f>
        <v>72.755200000000016</v>
      </c>
      <c r="U36" s="154">
        <f t="shared" ref="U36" si="104">T36*(1+$R36)</f>
        <v>81.485824000000022</v>
      </c>
      <c r="V36" s="154">
        <f t="shared" ref="V36" si="105">U36*(1+$R36)</f>
        <v>91.264122880000031</v>
      </c>
      <c r="W36" s="154">
        <f t="shared" si="42"/>
        <v>102.21581762560004</v>
      </c>
      <c r="X36" s="154">
        <f t="shared" si="43"/>
        <v>114.48171574067206</v>
      </c>
      <c r="Y36" s="154">
        <f t="shared" si="44"/>
        <v>128.21952162955273</v>
      </c>
      <c r="Z36" s="154">
        <f t="shared" si="45"/>
        <v>143.60586422509908</v>
      </c>
      <c r="AA36" s="154">
        <f t="shared" si="46"/>
        <v>160.83856793211098</v>
      </c>
      <c r="AB36" s="154">
        <f t="shared" si="47"/>
        <v>180.13919608396432</v>
      </c>
      <c r="AC36" s="138">
        <f t="shared" si="19"/>
        <v>0.36764766896187329</v>
      </c>
      <c r="AD36" s="31">
        <f t="shared" si="17"/>
        <v>0.05</v>
      </c>
      <c r="AE36" s="146">
        <f t="shared" si="1"/>
        <v>1112.6244464009562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0.49462365591397855</v>
      </c>
      <c r="I37" s="148">
        <f t="shared" ref="I37" si="108">(I36-H36)/I36</f>
        <v>0.83090909090909093</v>
      </c>
      <c r="J37" s="148">
        <f t="shared" ref="J37" si="109">(J36-I36)/J36</f>
        <v>-1.2</v>
      </c>
      <c r="K37" s="148">
        <f t="shared" ref="K37" si="110">(K36-J36)/K36</f>
        <v>-0.66666666666666663</v>
      </c>
      <c r="L37" s="148">
        <f t="shared" ref="L37" si="111">(L36-K36)/L36</f>
        <v>-0.3761467889908256</v>
      </c>
      <c r="M37" s="148">
        <f t="shared" ref="M37" si="112">(M36-L36)/M36</f>
        <v>-1.2708333333333335</v>
      </c>
      <c r="N37" s="148">
        <f t="shared" ref="N37" si="113">(N36-M36)/N36</f>
        <v>0.46666666666666667</v>
      </c>
      <c r="O37" s="148">
        <f t="shared" ref="O37" si="114">(O36-N36)/O36</f>
        <v>0.98571428571428577</v>
      </c>
      <c r="P37" s="148">
        <f t="shared" ref="P37" si="115">(P36-O36)/P36</f>
        <v>-8.6206896551724144E-2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0.64</v>
      </c>
      <c r="H38" s="147">
        <v>1.1399999999999999</v>
      </c>
      <c r="I38" s="147">
        <v>5.5</v>
      </c>
      <c r="J38" s="147">
        <v>2.63</v>
      </c>
      <c r="K38" s="147">
        <v>1.67</v>
      </c>
      <c r="L38" s="147">
        <v>1.5</v>
      </c>
      <c r="M38" s="147">
        <v>0.62</v>
      </c>
      <c r="N38" s="147">
        <v>-1.9</v>
      </c>
      <c r="O38" s="147">
        <v>42</v>
      </c>
      <c r="P38" s="147">
        <v>33</v>
      </c>
      <c r="Q38" s="118">
        <f>((P38/G38)^(1/($H$2-$H$1) ))-1</f>
        <v>0.5497417373914355</v>
      </c>
      <c r="R38" s="31">
        <f t="shared" si="6"/>
        <v>0.12</v>
      </c>
      <c r="S38" s="154">
        <f t="shared" ref="S38" si="116">P38*(1+$R38)</f>
        <v>36.96</v>
      </c>
      <c r="T38" s="154">
        <f t="shared" ref="T38" si="117">S38*(1+$R38)</f>
        <v>41.395200000000003</v>
      </c>
      <c r="U38" s="154">
        <f t="shared" ref="U38" si="118">T38*(1+$R38)</f>
        <v>46.362624000000011</v>
      </c>
      <c r="V38" s="154">
        <f t="shared" ref="V38" si="119">U38*(1+$R38)</f>
        <v>51.926138880000018</v>
      </c>
      <c r="W38" s="154">
        <f t="shared" ref="W38" si="120">V38*(1+$R38)</f>
        <v>58.157275545600022</v>
      </c>
      <c r="X38" s="154">
        <f t="shared" ref="X38" si="121">W38*(1+$R38)</f>
        <v>65.136148611072031</v>
      </c>
      <c r="Y38" s="154">
        <f t="shared" ref="Y38" si="122">X38*(1+$R38)</f>
        <v>72.952486444400677</v>
      </c>
      <c r="Z38" s="154">
        <f t="shared" ref="Z38" si="123">Y38*(1+$R38)</f>
        <v>81.70678481772876</v>
      </c>
      <c r="AA38" s="154">
        <f t="shared" ref="AA38" si="124">Z38*(1+$R38)</f>
        <v>91.511598995856218</v>
      </c>
      <c r="AB38" s="154">
        <f t="shared" ref="AB38" si="125">AA38*(1+$R38)</f>
        <v>102.49299087535897</v>
      </c>
      <c r="AC38" s="138">
        <f t="shared" ref="AC38" si="126">((AB38/G38)^(1/($AB$3-$H$1) ))-1</f>
        <v>0.30625228382723768</v>
      </c>
      <c r="AD38" s="31">
        <f t="shared" si="17"/>
        <v>0.05</v>
      </c>
      <c r="AE38" s="146">
        <f t="shared" ref="AE38" si="127">(AB38*(1+AD38))/($C$1-AD38)</f>
        <v>633.04494364192317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0.4385964912280701</v>
      </c>
      <c r="I39" s="148">
        <f t="shared" ref="I39" si="130">(I38-H38)/I38</f>
        <v>0.79272727272727284</v>
      </c>
      <c r="J39" s="148">
        <f t="shared" ref="J39" si="131">(J38-I38)/J38</f>
        <v>-1.0912547528517111</v>
      </c>
      <c r="K39" s="148">
        <f t="shared" ref="K39" si="132">(K38-J38)/K38</f>
        <v>-0.57485029940119758</v>
      </c>
      <c r="L39" s="148">
        <f t="shared" ref="L39" si="133">(L38-K38)/L38</f>
        <v>-0.11333333333333329</v>
      </c>
      <c r="M39" s="148">
        <f t="shared" ref="M39" si="134">(M38-L38)/M38</f>
        <v>-1.4193548387096775</v>
      </c>
      <c r="N39" s="148">
        <f t="shared" ref="N39" si="135">(N38-M38)/N38</f>
        <v>1.3263157894736843</v>
      </c>
      <c r="O39" s="148">
        <f t="shared" ref="O39" si="136">(O38-N38)/O38</f>
        <v>1.0452380952380953</v>
      </c>
      <c r="P39" s="148">
        <f t="shared" ref="P39" si="137">(P38-O38)/P38</f>
        <v>-0.27272727272727271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0.49</v>
      </c>
      <c r="H40" s="147">
        <v>1.03</v>
      </c>
      <c r="I40" s="147">
        <v>5.49</v>
      </c>
      <c r="J40" s="147">
        <v>2.4</v>
      </c>
      <c r="K40" s="147">
        <v>1.5</v>
      </c>
      <c r="L40" s="147">
        <v>1.4</v>
      </c>
      <c r="M40" s="147">
        <v>0.63</v>
      </c>
      <c r="N40" s="147">
        <v>-2.0499999999999998</v>
      </c>
      <c r="O40" s="147">
        <v>42</v>
      </c>
      <c r="P40" s="147">
        <v>33</v>
      </c>
      <c r="Q40" s="118">
        <f>((P40/G40)^(1/($H$2-$H$1) ))-1</f>
        <v>0.59641731245091179</v>
      </c>
      <c r="R40" s="31">
        <f t="shared" si="6"/>
        <v>0.12</v>
      </c>
      <c r="S40" s="154">
        <f>P40*(1+$R40)</f>
        <v>36.96</v>
      </c>
      <c r="T40" s="154">
        <f t="shared" ref="T40:AB40" si="138">S40*(1+$R40)</f>
        <v>41.395200000000003</v>
      </c>
      <c r="U40" s="154">
        <f t="shared" si="138"/>
        <v>46.362624000000011</v>
      </c>
      <c r="V40" s="154">
        <f t="shared" si="138"/>
        <v>51.926138880000018</v>
      </c>
      <c r="W40" s="154">
        <f t="shared" si="138"/>
        <v>58.157275545600022</v>
      </c>
      <c r="X40" s="154">
        <f t="shared" si="138"/>
        <v>65.136148611072031</v>
      </c>
      <c r="Y40" s="154">
        <f t="shared" si="138"/>
        <v>72.952486444400677</v>
      </c>
      <c r="Z40" s="154">
        <f t="shared" si="138"/>
        <v>81.70678481772876</v>
      </c>
      <c r="AA40" s="154">
        <f t="shared" si="138"/>
        <v>91.511598995856218</v>
      </c>
      <c r="AB40" s="154">
        <f t="shared" si="138"/>
        <v>102.49299087535897</v>
      </c>
      <c r="AC40" s="138">
        <f t="shared" si="19"/>
        <v>0.32474252682673854</v>
      </c>
      <c r="AD40" s="31">
        <f t="shared" si="17"/>
        <v>0.05</v>
      </c>
      <c r="AE40" s="146">
        <f t="shared" si="1"/>
        <v>633.04494364192317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0.52427184466019416</v>
      </c>
      <c r="I41" s="148">
        <f t="shared" si="139"/>
        <v>0.81238615664845171</v>
      </c>
      <c r="J41" s="148">
        <f t="shared" si="139"/>
        <v>-1.2875000000000001</v>
      </c>
      <c r="K41" s="148">
        <f t="shared" si="139"/>
        <v>-0.6</v>
      </c>
      <c r="L41" s="148">
        <f t="shared" si="139"/>
        <v>-7.1428571428571494E-2</v>
      </c>
      <c r="M41" s="148">
        <f t="shared" si="139"/>
        <v>-1.2222222222222221</v>
      </c>
      <c r="N41" s="148">
        <f t="shared" si="139"/>
        <v>1.3073170731707318</v>
      </c>
      <c r="O41" s="148">
        <f t="shared" si="139"/>
        <v>1.0488095238095236</v>
      </c>
      <c r="P41" s="148">
        <f t="shared" si="139"/>
        <v>-0.27272727272727271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187">
        <v>0.02</v>
      </c>
      <c r="H42" s="187">
        <v>0.02</v>
      </c>
      <c r="I42" s="187">
        <v>0.02</v>
      </c>
      <c r="J42" s="187">
        <v>0.02</v>
      </c>
      <c r="K42" s="187">
        <v>0.02</v>
      </c>
      <c r="L42" s="187">
        <v>1.6</v>
      </c>
      <c r="M42" s="187">
        <v>1.6</v>
      </c>
      <c r="N42" s="187">
        <v>1.6</v>
      </c>
      <c r="O42" s="187">
        <v>1.6</v>
      </c>
      <c r="P42" s="187">
        <v>1.82</v>
      </c>
      <c r="Q42" s="118">
        <f>((P42/G42)^(1/($H$2-$H$1) ))-1</f>
        <v>0.65071183797782051</v>
      </c>
      <c r="R42" s="31">
        <f t="shared" si="6"/>
        <v>0.12</v>
      </c>
      <c r="S42" s="154">
        <v>10</v>
      </c>
      <c r="T42" s="154">
        <f t="shared" ref="T42:AB42" si="140">S42*(1+$R42)</f>
        <v>11.200000000000001</v>
      </c>
      <c r="U42" s="154">
        <f t="shared" si="140"/>
        <v>12.544000000000002</v>
      </c>
      <c r="V42" s="154">
        <f t="shared" si="140"/>
        <v>14.049280000000003</v>
      </c>
      <c r="W42" s="154">
        <f t="shared" si="140"/>
        <v>15.735193600000004</v>
      </c>
      <c r="X42" s="154">
        <f t="shared" si="140"/>
        <v>17.623416832000007</v>
      </c>
      <c r="Y42" s="154">
        <f t="shared" si="140"/>
        <v>19.738226851840011</v>
      </c>
      <c r="Z42" s="154">
        <f t="shared" si="140"/>
        <v>22.106814074060814</v>
      </c>
      <c r="AA42" s="154">
        <f t="shared" si="140"/>
        <v>24.759631762948114</v>
      </c>
      <c r="AB42" s="154">
        <f t="shared" si="140"/>
        <v>27.730787574501889</v>
      </c>
      <c r="AC42" s="138">
        <f t="shared" si="19"/>
        <v>0.46340607329953221</v>
      </c>
      <c r="AD42" s="31">
        <f t="shared" si="17"/>
        <v>0.05</v>
      </c>
      <c r="AE42" s="146">
        <f t="shared" si="1"/>
        <v>171.27839384251169</v>
      </c>
    </row>
    <row r="43" spans="2:31" x14ac:dyDescent="0.2">
      <c r="B43" s="20" t="s">
        <v>282</v>
      </c>
      <c r="C43" s="145"/>
      <c r="D43" s="145"/>
      <c r="E43" s="145"/>
      <c r="F43" s="147"/>
      <c r="G43" s="187">
        <v>0</v>
      </c>
      <c r="H43" s="187">
        <v>0</v>
      </c>
      <c r="I43" s="187">
        <v>0</v>
      </c>
      <c r="J43" s="187">
        <v>0</v>
      </c>
      <c r="K43" s="187">
        <v>0</v>
      </c>
      <c r="L43" s="187">
        <v>1.5</v>
      </c>
      <c r="M43" s="187">
        <v>0</v>
      </c>
      <c r="N43" s="187">
        <v>0</v>
      </c>
      <c r="O43" s="187">
        <v>0</v>
      </c>
      <c r="P43" s="187">
        <v>0</v>
      </c>
      <c r="Q43" s="118" t="e">
        <f>((P43/G43)^(1/($H$2-$H$1) ))-1</f>
        <v>#DIV/0!</v>
      </c>
      <c r="R43" s="31">
        <v>0.05</v>
      </c>
      <c r="S43" s="154">
        <f t="shared" ref="S43" si="141">P43*(1+$R43)</f>
        <v>0</v>
      </c>
      <c r="T43" s="154">
        <f t="shared" ref="T43" si="142">S43*(1+$R43)</f>
        <v>0</v>
      </c>
      <c r="U43" s="154">
        <f t="shared" ref="U43" si="143">T43*(1+$R43)</f>
        <v>0</v>
      </c>
      <c r="V43" s="154">
        <f t="shared" ref="V43" si="144">U43*(1+$R43)</f>
        <v>0</v>
      </c>
      <c r="W43" s="154">
        <f t="shared" ref="W43" si="145">V43*(1+$R43)</f>
        <v>0</v>
      </c>
      <c r="X43" s="154">
        <f t="shared" ref="X43" si="146">W43*(1+$R43)</f>
        <v>0</v>
      </c>
      <c r="Y43" s="154">
        <f t="shared" ref="Y43" si="147">X43*(1+$R43)</f>
        <v>0</v>
      </c>
      <c r="Z43" s="154">
        <f t="shared" ref="Z43" si="148">Y43*(1+$R43)</f>
        <v>0</v>
      </c>
      <c r="AA43" s="154">
        <f t="shared" ref="AA43" si="149">Z43*(1+$R43)</f>
        <v>0</v>
      </c>
      <c r="AB43" s="154">
        <f t="shared" ref="AB43" si="150">AA43*(1+$R43)</f>
        <v>0</v>
      </c>
      <c r="AC43" s="138" t="e">
        <f t="shared" ref="AC43" si="151">((AB43/G43)^(1/($AB$3-$H$1) ))-1</f>
        <v>#DIV/0!</v>
      </c>
      <c r="AD43" s="31">
        <f t="shared" si="17"/>
        <v>0.05</v>
      </c>
      <c r="AE43" s="146">
        <f t="shared" si="1"/>
        <v>0</v>
      </c>
    </row>
    <row r="44" spans="2:31" x14ac:dyDescent="0.2">
      <c r="B44" s="20" t="s">
        <v>427</v>
      </c>
      <c r="C44" s="20"/>
      <c r="D44" s="20"/>
      <c r="E44" s="127"/>
      <c r="F44" s="127"/>
      <c r="G44" s="147">
        <v>0</v>
      </c>
      <c r="H44" s="147">
        <v>0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47">
        <v>0</v>
      </c>
      <c r="O44" s="147">
        <v>0</v>
      </c>
      <c r="P44" s="147">
        <v>0</v>
      </c>
      <c r="Q44" s="147" t="s">
        <v>428</v>
      </c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 t="s">
        <v>429</v>
      </c>
      <c r="M45" s="147">
        <v>0</v>
      </c>
      <c r="N45" s="147">
        <v>0</v>
      </c>
      <c r="O45" s="147">
        <v>0</v>
      </c>
      <c r="P45" s="147" t="s">
        <v>430</v>
      </c>
      <c r="Q45" s="147">
        <v>0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33.5</v>
      </c>
      <c r="H49" s="133">
        <f t="shared" si="152"/>
        <v>58.499999999999993</v>
      </c>
      <c r="I49" s="133">
        <f t="shared" si="152"/>
        <v>250</v>
      </c>
      <c r="J49" s="133">
        <f t="shared" si="152"/>
        <v>135</v>
      </c>
      <c r="K49" s="133">
        <f t="shared" si="152"/>
        <v>85</v>
      </c>
      <c r="L49" s="133">
        <f t="shared" si="152"/>
        <v>1.0625</v>
      </c>
      <c r="M49" s="133">
        <f t="shared" si="152"/>
        <v>0.45624999999999999</v>
      </c>
      <c r="N49" s="133">
        <f t="shared" si="152"/>
        <v>0.11874999999999999</v>
      </c>
      <c r="O49" s="133">
        <f t="shared" si="152"/>
        <v>344.375</v>
      </c>
      <c r="P49" s="133">
        <f t="shared" si="152"/>
        <v>380.2197802197802</v>
      </c>
      <c r="Q49" s="118">
        <f>((P49/G49)^(1/($H$2-$H$1) ))-1</f>
        <v>0.30984859906321405</v>
      </c>
      <c r="R49" s="128"/>
      <c r="S49" s="158">
        <f t="shared" ref="S49:AB49" si="153">S25/S42</f>
        <v>77.504000000000005</v>
      </c>
      <c r="T49" s="158">
        <f t="shared" si="153"/>
        <v>77.504000000000005</v>
      </c>
      <c r="U49" s="158">
        <f t="shared" si="153"/>
        <v>77.504000000000005</v>
      </c>
      <c r="V49" s="158">
        <f t="shared" si="153"/>
        <v>77.504000000000005</v>
      </c>
      <c r="W49" s="158">
        <f t="shared" si="153"/>
        <v>77.504000000000019</v>
      </c>
      <c r="X49" s="158">
        <f t="shared" si="153"/>
        <v>77.504000000000005</v>
      </c>
      <c r="Y49" s="158">
        <f t="shared" si="153"/>
        <v>77.504000000000005</v>
      </c>
      <c r="Z49" s="158">
        <f t="shared" si="153"/>
        <v>77.504000000000005</v>
      </c>
      <c r="AA49" s="158">
        <f t="shared" si="153"/>
        <v>77.504000000000005</v>
      </c>
      <c r="AB49" s="158">
        <f t="shared" si="153"/>
        <v>77.504000000000005</v>
      </c>
      <c r="AC49" s="138">
        <f t="shared" ref="AC49" si="154">((AB49/G49)^(1/($AB$3-$H$1) ))-1</f>
        <v>4.5135489522640126E-2</v>
      </c>
      <c r="AD49" s="31">
        <f t="shared" si="17"/>
        <v>0.05</v>
      </c>
      <c r="AE49" s="146">
        <f t="shared" ref="AE49:AE50" si="155">(AB49*(1+AD49))/($C$1-AD49)</f>
        <v>478.70117647058834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1.5</v>
      </c>
      <c r="H50" s="133">
        <f t="shared" si="156"/>
        <v>1.5</v>
      </c>
      <c r="I50" s="133">
        <f t="shared" si="156"/>
        <v>3.5000000000000004</v>
      </c>
      <c r="J50" s="133">
        <f t="shared" si="156"/>
        <v>4</v>
      </c>
      <c r="K50" s="133">
        <f t="shared" si="156"/>
        <v>2</v>
      </c>
      <c r="L50" s="133">
        <f t="shared" si="156"/>
        <v>0.14374999999999999</v>
      </c>
      <c r="M50" s="133">
        <f t="shared" si="156"/>
        <v>6.8749999999999992E-2</v>
      </c>
      <c r="N50" s="133">
        <f t="shared" si="156"/>
        <v>1.3312499999999998</v>
      </c>
      <c r="O50" s="133">
        <f t="shared" si="156"/>
        <v>302.5</v>
      </c>
      <c r="P50" s="133">
        <f t="shared" si="156"/>
        <v>343.95604395604397</v>
      </c>
      <c r="Q50" s="118">
        <f>((P50/G50)^(1/($H$2-$H$1) ))-1</f>
        <v>0.82922852490691179</v>
      </c>
      <c r="R50" s="128"/>
      <c r="S50" s="158">
        <f t="shared" ref="S50:AB50" si="157">S27/S42</f>
        <v>70.112000000000009</v>
      </c>
      <c r="T50" s="158">
        <f t="shared" si="157"/>
        <v>70.112000000000023</v>
      </c>
      <c r="U50" s="158">
        <f t="shared" si="157"/>
        <v>70.112000000000023</v>
      </c>
      <c r="V50" s="158">
        <f t="shared" si="157"/>
        <v>70.112000000000023</v>
      </c>
      <c r="W50" s="158">
        <f t="shared" si="157"/>
        <v>70.112000000000037</v>
      </c>
      <c r="X50" s="158">
        <f t="shared" si="157"/>
        <v>70.112000000000037</v>
      </c>
      <c r="Y50" s="158">
        <f t="shared" si="157"/>
        <v>70.112000000000037</v>
      </c>
      <c r="Z50" s="158">
        <f t="shared" si="157"/>
        <v>70.112000000000023</v>
      </c>
      <c r="AA50" s="158">
        <f t="shared" si="157"/>
        <v>70.112000000000023</v>
      </c>
      <c r="AB50" s="158">
        <f t="shared" si="157"/>
        <v>70.112000000000037</v>
      </c>
      <c r="AC50" s="138">
        <f t="shared" ref="AC50" si="158">((AB50/G50)^(1/($AB$3-$H$1) ))-1</f>
        <v>0.22427506741324255</v>
      </c>
      <c r="AD50" s="31">
        <f t="shared" si="17"/>
        <v>0.05</v>
      </c>
      <c r="AE50" s="146">
        <f t="shared" si="155"/>
        <v>433.04470588235318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24.5</v>
      </c>
      <c r="H52" s="133">
        <f t="shared" si="159"/>
        <v>51.5</v>
      </c>
      <c r="I52" s="133">
        <f t="shared" si="159"/>
        <v>274.5</v>
      </c>
      <c r="J52" s="133">
        <f t="shared" si="159"/>
        <v>120</v>
      </c>
      <c r="K52" s="133">
        <f t="shared" si="159"/>
        <v>75</v>
      </c>
      <c r="L52" s="133">
        <f t="shared" si="159"/>
        <v>0.87499999999999989</v>
      </c>
      <c r="M52" s="133">
        <f t="shared" si="159"/>
        <v>0.39374999999999999</v>
      </c>
      <c r="N52" s="133">
        <f t="shared" si="159"/>
        <v>-1.2812499999999998</v>
      </c>
      <c r="O52" s="133">
        <f t="shared" si="159"/>
        <v>26.25</v>
      </c>
      <c r="P52" s="133">
        <f t="shared" si="159"/>
        <v>18.131868131868131</v>
      </c>
      <c r="Q52" s="118">
        <f>((P52/G52)^(1/($H$2-$H$1) ))-1</f>
        <v>-3.2891583059961094E-2</v>
      </c>
      <c r="R52" s="128"/>
      <c r="S52" s="158">
        <f t="shared" ref="S52:AB52" si="160">S40/S42</f>
        <v>3.6960000000000002</v>
      </c>
      <c r="T52" s="158">
        <f t="shared" si="160"/>
        <v>3.6959999999999997</v>
      </c>
      <c r="U52" s="158">
        <f t="shared" si="160"/>
        <v>3.6960000000000002</v>
      </c>
      <c r="V52" s="158">
        <f t="shared" si="160"/>
        <v>3.6960000000000006</v>
      </c>
      <c r="W52" s="158">
        <f t="shared" si="160"/>
        <v>3.6960000000000006</v>
      </c>
      <c r="X52" s="158">
        <f t="shared" si="160"/>
        <v>3.6960000000000002</v>
      </c>
      <c r="Y52" s="158">
        <f t="shared" si="160"/>
        <v>3.6959999999999997</v>
      </c>
      <c r="Z52" s="158">
        <f t="shared" si="160"/>
        <v>3.6959999999999997</v>
      </c>
      <c r="AA52" s="158">
        <f t="shared" si="160"/>
        <v>3.6959999999999997</v>
      </c>
      <c r="AB52" s="158">
        <f t="shared" si="160"/>
        <v>3.6959999999999997</v>
      </c>
      <c r="AC52" s="138">
        <f t="shared" ref="AC52:AC66" si="161">((AB52/G52)^(1/($AB$3-$H$1) ))-1</f>
        <v>-9.4753977725505756E-2</v>
      </c>
      <c r="AD52" s="31">
        <f t="shared" si="17"/>
        <v>0.05</v>
      </c>
      <c r="AE52" s="146">
        <f t="shared" ref="AE52:AE80" si="162">(AB52*(1+AD52))/($C$1-AD52)</f>
        <v>22.828235294117647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0</v>
      </c>
      <c r="H53" s="133">
        <f t="shared" ref="H53:P53" si="164">H20/H42</f>
        <v>0</v>
      </c>
      <c r="I53" s="133">
        <f t="shared" si="164"/>
        <v>0</v>
      </c>
      <c r="J53" s="133">
        <f t="shared" si="164"/>
        <v>0</v>
      </c>
      <c r="K53" s="133">
        <f t="shared" si="164"/>
        <v>0</v>
      </c>
      <c r="L53" s="133">
        <f t="shared" si="164"/>
        <v>0</v>
      </c>
      <c r="M53" s="133">
        <f t="shared" si="164"/>
        <v>0</v>
      </c>
      <c r="N53" s="133">
        <f t="shared" si="164"/>
        <v>0</v>
      </c>
      <c r="O53" s="133">
        <f t="shared" si="164"/>
        <v>0</v>
      </c>
      <c r="P53" s="133">
        <f t="shared" si="164"/>
        <v>0</v>
      </c>
      <c r="Q53" s="118" t="e">
        <f>((P53/G53)^(1/($H$2-$H$1) ))-1</f>
        <v>#DIV/0!</v>
      </c>
      <c r="R53" s="128"/>
      <c r="S53" s="133">
        <f t="shared" ref="S53:AB53" si="165">S20/S42</f>
        <v>0</v>
      </c>
      <c r="T53" s="133">
        <f t="shared" si="165"/>
        <v>0</v>
      </c>
      <c r="U53" s="133">
        <f t="shared" si="165"/>
        <v>0</v>
      </c>
      <c r="V53" s="133">
        <f t="shared" si="165"/>
        <v>0</v>
      </c>
      <c r="W53" s="133">
        <f t="shared" si="165"/>
        <v>0</v>
      </c>
      <c r="X53" s="133">
        <f t="shared" si="165"/>
        <v>0</v>
      </c>
      <c r="Y53" s="133">
        <f t="shared" si="165"/>
        <v>0</v>
      </c>
      <c r="Z53" s="133">
        <f t="shared" si="165"/>
        <v>0</v>
      </c>
      <c r="AA53" s="133">
        <f t="shared" si="165"/>
        <v>0</v>
      </c>
      <c r="AB53" s="133">
        <f t="shared" si="165"/>
        <v>0</v>
      </c>
      <c r="AC53" s="138" t="e">
        <f t="shared" ref="AC53" si="166">((AB53/G53)^(1/($AB$3-$H$1) ))-1</f>
        <v>#DIV/0!</v>
      </c>
      <c r="AD53" s="31">
        <f t="shared" si="17"/>
        <v>0.05</v>
      </c>
      <c r="AE53" s="146">
        <f t="shared" si="162"/>
        <v>0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300</v>
      </c>
      <c r="H54" s="133">
        <f t="shared" si="167"/>
        <v>350</v>
      </c>
      <c r="I54" s="133">
        <f t="shared" si="167"/>
        <v>600</v>
      </c>
      <c r="J54" s="133">
        <f t="shared" si="167"/>
        <v>750</v>
      </c>
      <c r="K54" s="133">
        <f t="shared" si="167"/>
        <v>800</v>
      </c>
      <c r="L54" s="133">
        <f t="shared" si="167"/>
        <v>10</v>
      </c>
      <c r="M54" s="133">
        <f t="shared" si="167"/>
        <v>10.625</v>
      </c>
      <c r="N54" s="133">
        <f t="shared" si="167"/>
        <v>125</v>
      </c>
      <c r="O54" s="133">
        <f t="shared" si="167"/>
        <v>130</v>
      </c>
      <c r="P54" s="133">
        <f t="shared" si="167"/>
        <v>144.50549450549451</v>
      </c>
      <c r="Q54" s="118">
        <f>((P54/G54)^(1/($H$2-$H$1) ))-1</f>
        <v>-7.7956403196821622E-2</v>
      </c>
      <c r="R54" s="128"/>
      <c r="S54" s="158">
        <f t="shared" ref="S54:AB54" si="168">S7/S42</f>
        <v>29.456</v>
      </c>
      <c r="T54" s="158">
        <f t="shared" si="168"/>
        <v>29.456</v>
      </c>
      <c r="U54" s="158">
        <f t="shared" si="168"/>
        <v>29.456000000000003</v>
      </c>
      <c r="V54" s="158">
        <f t="shared" si="168"/>
        <v>29.456000000000007</v>
      </c>
      <c r="W54" s="158">
        <f t="shared" si="168"/>
        <v>29.456000000000007</v>
      </c>
      <c r="X54" s="158">
        <f t="shared" si="168"/>
        <v>29.456000000000007</v>
      </c>
      <c r="Y54" s="158">
        <f t="shared" si="168"/>
        <v>29.456000000000007</v>
      </c>
      <c r="Z54" s="158">
        <f t="shared" si="168"/>
        <v>29.456000000000007</v>
      </c>
      <c r="AA54" s="158">
        <f t="shared" si="168"/>
        <v>29.456000000000003</v>
      </c>
      <c r="AB54" s="158">
        <f t="shared" si="168"/>
        <v>29.456000000000007</v>
      </c>
      <c r="AC54" s="138">
        <f t="shared" si="161"/>
        <v>-0.11498601710638712</v>
      </c>
      <c r="AD54" s="31">
        <f t="shared" si="17"/>
        <v>0.05</v>
      </c>
      <c r="AE54" s="146">
        <f t="shared" si="162"/>
        <v>181.93411764705888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268.5</v>
      </c>
      <c r="H55" s="144">
        <f t="shared" si="169"/>
        <v>300</v>
      </c>
      <c r="I55" s="144">
        <f t="shared" si="169"/>
        <v>600</v>
      </c>
      <c r="J55" s="144">
        <f t="shared" si="169"/>
        <v>700</v>
      </c>
      <c r="K55" s="144">
        <f t="shared" si="169"/>
        <v>800</v>
      </c>
      <c r="L55" s="144">
        <f t="shared" si="169"/>
        <v>0.26874999999999999</v>
      </c>
      <c r="M55" s="144">
        <f t="shared" si="169"/>
        <v>0.625</v>
      </c>
      <c r="N55" s="144">
        <f t="shared" si="169"/>
        <v>115</v>
      </c>
      <c r="O55" s="144">
        <f t="shared" si="169"/>
        <v>119.375</v>
      </c>
      <c r="P55" s="144">
        <f t="shared" si="169"/>
        <v>134.06593406593407</v>
      </c>
      <c r="Q55" s="118">
        <f>((P55/G55)^(1/($H$2-$H$1) ))-1</f>
        <v>-7.4266422355760642E-2</v>
      </c>
      <c r="R55" s="128"/>
      <c r="S55" s="157">
        <f t="shared" ref="S55:AB55" si="170">S6/S42</f>
        <v>27.328000000000003</v>
      </c>
      <c r="T55" s="157">
        <f t="shared" si="170"/>
        <v>27.328000000000003</v>
      </c>
      <c r="U55" s="157">
        <f t="shared" si="170"/>
        <v>27.327999999999999</v>
      </c>
      <c r="V55" s="157">
        <f t="shared" si="170"/>
        <v>27.328000000000003</v>
      </c>
      <c r="W55" s="157">
        <f t="shared" si="170"/>
        <v>27.328000000000003</v>
      </c>
      <c r="X55" s="157">
        <f t="shared" si="170"/>
        <v>27.328000000000003</v>
      </c>
      <c r="Y55" s="157">
        <f t="shared" si="170"/>
        <v>27.327999999999996</v>
      </c>
      <c r="Z55" s="157">
        <f t="shared" si="170"/>
        <v>27.327999999999996</v>
      </c>
      <c r="AA55" s="157">
        <f t="shared" si="170"/>
        <v>27.327999999999996</v>
      </c>
      <c r="AB55" s="157">
        <f t="shared" si="170"/>
        <v>27.327999999999996</v>
      </c>
      <c r="AC55" s="138">
        <f t="shared" si="161"/>
        <v>-0.1133100904493004</v>
      </c>
      <c r="AD55" s="31">
        <f t="shared" si="17"/>
        <v>0.05</v>
      </c>
      <c r="AE55" s="146">
        <f t="shared" si="162"/>
        <v>168.79058823529411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0</v>
      </c>
      <c r="H56" s="144">
        <f t="shared" si="171"/>
        <v>0</v>
      </c>
      <c r="I56" s="144">
        <f t="shared" si="171"/>
        <v>0</v>
      </c>
      <c r="J56" s="144">
        <f t="shared" si="171"/>
        <v>0</v>
      </c>
      <c r="K56" s="144">
        <f t="shared" si="171"/>
        <v>0</v>
      </c>
      <c r="L56" s="144">
        <f t="shared" si="171"/>
        <v>0</v>
      </c>
      <c r="M56" s="144">
        <f t="shared" si="171"/>
        <v>0</v>
      </c>
      <c r="N56" s="144">
        <f t="shared" si="171"/>
        <v>0</v>
      </c>
      <c r="O56" s="144">
        <f t="shared" si="171"/>
        <v>0</v>
      </c>
      <c r="P56" s="144">
        <f t="shared" si="171"/>
        <v>5.4945054945054945</v>
      </c>
      <c r="Q56" s="118" t="e">
        <f>((P56/G56)^(1/($H$2-$H$1) ))-1</f>
        <v>#DIV/0!</v>
      </c>
      <c r="R56" s="128"/>
      <c r="S56" s="157">
        <f t="shared" ref="S56:AB56" si="172">S10/S42</f>
        <v>1.1200000000000001</v>
      </c>
      <c r="T56" s="157">
        <f t="shared" si="172"/>
        <v>1.1200000000000001</v>
      </c>
      <c r="U56" s="157">
        <f t="shared" si="172"/>
        <v>1.1200000000000001</v>
      </c>
      <c r="V56" s="157">
        <f t="shared" si="172"/>
        <v>1.1200000000000001</v>
      </c>
      <c r="W56" s="157">
        <f t="shared" si="172"/>
        <v>1.1200000000000001</v>
      </c>
      <c r="X56" s="157">
        <f t="shared" si="172"/>
        <v>1.1200000000000001</v>
      </c>
      <c r="Y56" s="157">
        <f t="shared" si="172"/>
        <v>1.1200000000000001</v>
      </c>
      <c r="Z56" s="157">
        <f t="shared" si="172"/>
        <v>1.1200000000000001</v>
      </c>
      <c r="AA56" s="157">
        <f t="shared" si="172"/>
        <v>1.1200000000000001</v>
      </c>
      <c r="AB56" s="157">
        <f t="shared" si="172"/>
        <v>1.1200000000000001</v>
      </c>
      <c r="AC56" s="138" t="e">
        <f t="shared" si="161"/>
        <v>#DIV/0!</v>
      </c>
      <c r="AD56" s="31">
        <f t="shared" si="17"/>
        <v>0.05</v>
      </c>
      <c r="AE56" s="146">
        <f t="shared" si="162"/>
        <v>6.9176470588235306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300</v>
      </c>
      <c r="H58" s="144">
        <f t="shared" si="173"/>
        <v>350</v>
      </c>
      <c r="I58" s="144">
        <f t="shared" si="173"/>
        <v>600</v>
      </c>
      <c r="J58" s="144">
        <f t="shared" si="173"/>
        <v>750</v>
      </c>
      <c r="K58" s="144">
        <f t="shared" si="173"/>
        <v>800</v>
      </c>
      <c r="L58" s="144">
        <f t="shared" si="173"/>
        <v>10</v>
      </c>
      <c r="M58" s="144">
        <f t="shared" si="173"/>
        <v>10.625</v>
      </c>
      <c r="N58" s="144">
        <f t="shared" si="173"/>
        <v>125</v>
      </c>
      <c r="O58" s="144">
        <f t="shared" si="173"/>
        <v>130</v>
      </c>
      <c r="P58" s="144">
        <f t="shared" si="173"/>
        <v>139.01098901098899</v>
      </c>
      <c r="Q58" s="118">
        <f>((P58/G58)^(1/($H$2-$H$1) ))-1</f>
        <v>-8.1919262609594257E-2</v>
      </c>
      <c r="R58" s="128"/>
      <c r="S58" s="157">
        <f t="shared" ref="S58:AB58" si="174">(S7-S10)/S42</f>
        <v>28.336000000000002</v>
      </c>
      <c r="T58" s="157">
        <f t="shared" si="174"/>
        <v>28.336000000000002</v>
      </c>
      <c r="U58" s="157">
        <f t="shared" si="174"/>
        <v>28.336000000000002</v>
      </c>
      <c r="V58" s="157">
        <f t="shared" si="174"/>
        <v>28.336000000000006</v>
      </c>
      <c r="W58" s="157">
        <f t="shared" si="174"/>
        <v>28.336000000000006</v>
      </c>
      <c r="X58" s="157">
        <f t="shared" si="174"/>
        <v>28.336000000000006</v>
      </c>
      <c r="Y58" s="157">
        <f t="shared" si="174"/>
        <v>28.336000000000006</v>
      </c>
      <c r="Z58" s="157">
        <f t="shared" si="174"/>
        <v>28.336000000000009</v>
      </c>
      <c r="AA58" s="157">
        <f t="shared" si="174"/>
        <v>28.336000000000006</v>
      </c>
      <c r="AB58" s="157">
        <f t="shared" si="174"/>
        <v>28.336000000000009</v>
      </c>
      <c r="AC58" s="138">
        <f t="shared" si="161"/>
        <v>-0.11678981654715936</v>
      </c>
      <c r="AD58" s="31">
        <f t="shared" si="17"/>
        <v>0.05</v>
      </c>
      <c r="AE58" s="146">
        <f t="shared" si="162"/>
        <v>175.01647058823536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300</v>
      </c>
      <c r="H59" s="144">
        <f t="shared" si="175"/>
        <v>350</v>
      </c>
      <c r="I59" s="144">
        <f t="shared" si="175"/>
        <v>600</v>
      </c>
      <c r="J59" s="144">
        <f t="shared" si="175"/>
        <v>750</v>
      </c>
      <c r="K59" s="144">
        <f t="shared" si="175"/>
        <v>800</v>
      </c>
      <c r="L59" s="144">
        <f t="shared" si="175"/>
        <v>9.9874999999999989</v>
      </c>
      <c r="M59" s="144">
        <f t="shared" si="175"/>
        <v>10.562499999999998</v>
      </c>
      <c r="N59" s="144">
        <f t="shared" si="175"/>
        <v>124.0625</v>
      </c>
      <c r="O59" s="144">
        <f t="shared" si="175"/>
        <v>111.5625</v>
      </c>
      <c r="P59" s="144">
        <f t="shared" si="175"/>
        <v>78.021978021978015</v>
      </c>
      <c r="Q59" s="118">
        <f>((P59/G59)^(1/($H$2-$H$1) ))-1</f>
        <v>-0.13898516648328862</v>
      </c>
      <c r="R59" s="128"/>
      <c r="S59" s="157">
        <f t="shared" ref="S59:AB59" si="176">(S7-S10-S9)/S42</f>
        <v>15.904000000000002</v>
      </c>
      <c r="T59" s="157">
        <f t="shared" si="176"/>
        <v>15.904000000000003</v>
      </c>
      <c r="U59" s="157">
        <f t="shared" si="176"/>
        <v>15.904000000000002</v>
      </c>
      <c r="V59" s="157">
        <f t="shared" si="176"/>
        <v>15.904000000000003</v>
      </c>
      <c r="W59" s="157">
        <f t="shared" si="176"/>
        <v>15.904000000000002</v>
      </c>
      <c r="X59" s="157">
        <f t="shared" si="176"/>
        <v>15.904000000000003</v>
      </c>
      <c r="Y59" s="157">
        <f t="shared" si="176"/>
        <v>15.904000000000005</v>
      </c>
      <c r="Z59" s="157">
        <f t="shared" si="176"/>
        <v>15.904000000000007</v>
      </c>
      <c r="AA59" s="157">
        <f t="shared" si="176"/>
        <v>15.904000000000005</v>
      </c>
      <c r="AB59" s="157">
        <f t="shared" si="176"/>
        <v>15.904000000000009</v>
      </c>
      <c r="AC59" s="138">
        <f t="shared" si="161"/>
        <v>-0.1432337025851107</v>
      </c>
      <c r="AD59" s="31">
        <f t="shared" si="17"/>
        <v>0.05</v>
      </c>
      <c r="AE59" s="146">
        <f t="shared" si="162"/>
        <v>98.230588235294178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354.5</v>
      </c>
      <c r="H60" s="144">
        <f t="shared" si="177"/>
        <v>350.5</v>
      </c>
      <c r="I60" s="144">
        <f t="shared" si="177"/>
        <v>600.5</v>
      </c>
      <c r="J60" s="144">
        <f t="shared" si="177"/>
        <v>750.5</v>
      </c>
      <c r="K60" s="144">
        <f t="shared" si="177"/>
        <v>825.50000000000011</v>
      </c>
      <c r="L60" s="144">
        <f t="shared" si="177"/>
        <v>15.175000000000001</v>
      </c>
      <c r="M60" s="144">
        <f t="shared" si="177"/>
        <v>19.312499999999996</v>
      </c>
      <c r="N60" s="144">
        <f t="shared" si="177"/>
        <v>129.0625</v>
      </c>
      <c r="O60" s="144">
        <f t="shared" si="177"/>
        <v>145.3125</v>
      </c>
      <c r="P60" s="144">
        <f t="shared" si="177"/>
        <v>106.59340659340658</v>
      </c>
      <c r="Q60" s="118">
        <f>((P60/G60)^(1/($H$2-$H$1) ))-1</f>
        <v>-0.12499068162590954</v>
      </c>
      <c r="R60" s="128"/>
      <c r="S60" s="157">
        <f t="shared" ref="S60:AB60" si="178">(S7+S15-S10-S9)/S42</f>
        <v>21.728000000000002</v>
      </c>
      <c r="T60" s="157">
        <f t="shared" si="178"/>
        <v>21.728000000000005</v>
      </c>
      <c r="U60" s="157">
        <f t="shared" si="178"/>
        <v>21.728000000000002</v>
      </c>
      <c r="V60" s="157">
        <f t="shared" si="178"/>
        <v>21.728000000000005</v>
      </c>
      <c r="W60" s="157">
        <f t="shared" si="178"/>
        <v>21.728000000000005</v>
      </c>
      <c r="X60" s="157">
        <f t="shared" si="178"/>
        <v>21.728000000000009</v>
      </c>
      <c r="Y60" s="157">
        <f t="shared" si="178"/>
        <v>21.728000000000005</v>
      </c>
      <c r="Z60" s="157">
        <f t="shared" si="178"/>
        <v>21.728000000000009</v>
      </c>
      <c r="AA60" s="157">
        <f t="shared" si="178"/>
        <v>21.728000000000009</v>
      </c>
      <c r="AB60" s="157">
        <f t="shared" si="178"/>
        <v>21.728000000000012</v>
      </c>
      <c r="AC60" s="138">
        <f t="shared" si="161"/>
        <v>-0.1366654283921992</v>
      </c>
      <c r="AD60" s="31">
        <f t="shared" si="17"/>
        <v>0.05</v>
      </c>
      <c r="AE60" s="146">
        <f t="shared" si="162"/>
        <v>134.20235294117657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0</v>
      </c>
      <c r="H62" s="144">
        <f t="shared" si="179"/>
        <v>0.5</v>
      </c>
      <c r="I62" s="144">
        <f t="shared" si="179"/>
        <v>0.5</v>
      </c>
      <c r="J62" s="144">
        <f t="shared" si="179"/>
        <v>0.5</v>
      </c>
      <c r="K62" s="144">
        <f t="shared" si="179"/>
        <v>25.5</v>
      </c>
      <c r="L62" s="144">
        <f t="shared" si="179"/>
        <v>5</v>
      </c>
      <c r="M62" s="144">
        <f t="shared" si="179"/>
        <v>8.75</v>
      </c>
      <c r="N62" s="144">
        <f t="shared" si="179"/>
        <v>4.375</v>
      </c>
      <c r="O62" s="144">
        <f t="shared" si="179"/>
        <v>20.625</v>
      </c>
      <c r="P62" s="144">
        <f t="shared" si="179"/>
        <v>13.736263736263735</v>
      </c>
      <c r="Q62" s="118" t="e">
        <f>((P62/G62)^(1/($H$2-$H$1) ))-1</f>
        <v>#DIV/0!</v>
      </c>
      <c r="R62" s="128"/>
      <c r="S62" s="157">
        <f t="shared" ref="S62:AB62" si="180">S12/S42</f>
        <v>2.8000000000000003</v>
      </c>
      <c r="T62" s="157">
        <f t="shared" si="180"/>
        <v>2.8000000000000003</v>
      </c>
      <c r="U62" s="157">
        <f t="shared" si="180"/>
        <v>2.8000000000000003</v>
      </c>
      <c r="V62" s="157">
        <f t="shared" si="180"/>
        <v>2.8000000000000003</v>
      </c>
      <c r="W62" s="157">
        <f t="shared" si="180"/>
        <v>2.8000000000000003</v>
      </c>
      <c r="X62" s="157">
        <f t="shared" si="180"/>
        <v>2.8</v>
      </c>
      <c r="Y62" s="157">
        <f t="shared" si="180"/>
        <v>2.8</v>
      </c>
      <c r="Z62" s="157">
        <f t="shared" si="180"/>
        <v>2.8</v>
      </c>
      <c r="AA62" s="157">
        <f t="shared" si="180"/>
        <v>2.8</v>
      </c>
      <c r="AB62" s="157">
        <f t="shared" si="180"/>
        <v>2.8000000000000003</v>
      </c>
      <c r="AC62" s="138" t="e">
        <f t="shared" si="161"/>
        <v>#DIV/0!</v>
      </c>
      <c r="AD62" s="31">
        <f t="shared" si="17"/>
        <v>0.05</v>
      </c>
      <c r="AE62" s="146">
        <f t="shared" si="162"/>
        <v>17.294117647058826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175</v>
      </c>
      <c r="H63" s="144">
        <f t="shared" si="181"/>
        <v>302.5</v>
      </c>
      <c r="I63" s="144">
        <f t="shared" si="181"/>
        <v>600</v>
      </c>
      <c r="J63" s="144">
        <f t="shared" si="181"/>
        <v>600</v>
      </c>
      <c r="K63" s="144">
        <f t="shared" si="181"/>
        <v>450</v>
      </c>
      <c r="L63" s="144">
        <f t="shared" si="181"/>
        <v>4.375</v>
      </c>
      <c r="M63" s="144">
        <f t="shared" si="181"/>
        <v>0.625</v>
      </c>
      <c r="N63" s="144">
        <f t="shared" si="181"/>
        <v>147.5</v>
      </c>
      <c r="O63" s="144">
        <f t="shared" si="181"/>
        <v>4.6875</v>
      </c>
      <c r="P63" s="144">
        <f t="shared" si="181"/>
        <v>0.54945054945054939</v>
      </c>
      <c r="Q63" s="118">
        <f>((P63/G63)^(1/($H$2-$H$1) ))-1</f>
        <v>-0.47291976698762839</v>
      </c>
      <c r="R63" s="128"/>
      <c r="S63" s="157">
        <f t="shared" ref="S63:AB63" si="182">S13/S42</f>
        <v>0.11200000000000002</v>
      </c>
      <c r="T63" s="157">
        <f t="shared" si="182"/>
        <v>0.112</v>
      </c>
      <c r="U63" s="157">
        <f t="shared" si="182"/>
        <v>0.11200000000000002</v>
      </c>
      <c r="V63" s="157">
        <f t="shared" si="182"/>
        <v>0.11200000000000002</v>
      </c>
      <c r="W63" s="157">
        <f t="shared" si="182"/>
        <v>0.11200000000000002</v>
      </c>
      <c r="X63" s="157">
        <f t="shared" si="182"/>
        <v>0.11200000000000002</v>
      </c>
      <c r="Y63" s="157">
        <f t="shared" si="182"/>
        <v>0.11200000000000002</v>
      </c>
      <c r="Z63" s="157">
        <f t="shared" si="182"/>
        <v>0.112</v>
      </c>
      <c r="AA63" s="157">
        <f t="shared" si="182"/>
        <v>0.11200000000000002</v>
      </c>
      <c r="AB63" s="157">
        <f t="shared" si="182"/>
        <v>0.11200000000000002</v>
      </c>
      <c r="AC63" s="138">
        <f t="shared" si="161"/>
        <v>-0.32094616047609437</v>
      </c>
      <c r="AD63" s="31">
        <f t="shared" si="17"/>
        <v>0.05</v>
      </c>
      <c r="AE63" s="146">
        <f t="shared" si="162"/>
        <v>0.69176470588235317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175</v>
      </c>
      <c r="H64" s="144">
        <f t="shared" si="183"/>
        <v>303</v>
      </c>
      <c r="I64" s="144">
        <f t="shared" si="183"/>
        <v>600.5</v>
      </c>
      <c r="J64" s="144">
        <f t="shared" si="183"/>
        <v>600.5</v>
      </c>
      <c r="K64" s="144">
        <f t="shared" si="183"/>
        <v>475.5</v>
      </c>
      <c r="L64" s="144">
        <f t="shared" si="183"/>
        <v>9.375</v>
      </c>
      <c r="M64" s="144">
        <f t="shared" si="183"/>
        <v>9.375</v>
      </c>
      <c r="N64" s="144">
        <f t="shared" si="183"/>
        <v>151.875</v>
      </c>
      <c r="O64" s="144">
        <f t="shared" ref="O64" si="184">(O62+O63)</f>
        <v>25.3125</v>
      </c>
      <c r="P64" s="144">
        <f t="shared" si="183"/>
        <v>14.285714285714285</v>
      </c>
      <c r="Q64" s="118">
        <f>((P64/G64)^(1/($H$2-$H$1) ))-1</f>
        <v>-0.24299980714064495</v>
      </c>
      <c r="R64" s="128"/>
      <c r="S64" s="157">
        <f t="shared" ref="S64:AB64" si="185">(S62+S63)</f>
        <v>2.9120000000000004</v>
      </c>
      <c r="T64" s="157">
        <f t="shared" si="185"/>
        <v>2.9120000000000004</v>
      </c>
      <c r="U64" s="157">
        <f t="shared" si="185"/>
        <v>2.9120000000000004</v>
      </c>
      <c r="V64" s="157">
        <f t="shared" si="185"/>
        <v>2.9120000000000004</v>
      </c>
      <c r="W64" s="157">
        <f t="shared" si="185"/>
        <v>2.9120000000000004</v>
      </c>
      <c r="X64" s="157">
        <f t="shared" si="185"/>
        <v>2.9119999999999999</v>
      </c>
      <c r="Y64" s="157">
        <f t="shared" si="185"/>
        <v>2.9119999999999999</v>
      </c>
      <c r="Z64" s="157">
        <f t="shared" si="185"/>
        <v>2.9119999999999999</v>
      </c>
      <c r="AA64" s="157">
        <f t="shared" si="185"/>
        <v>2.9119999999999999</v>
      </c>
      <c r="AB64" s="157">
        <f t="shared" si="185"/>
        <v>2.9120000000000004</v>
      </c>
      <c r="AC64" s="138">
        <f t="shared" si="161"/>
        <v>-0.19392307213681126</v>
      </c>
      <c r="AD64" s="31">
        <f t="shared" si="17"/>
        <v>0.05</v>
      </c>
      <c r="AE64" s="146">
        <f t="shared" si="162"/>
        <v>17.985882352941179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54.5</v>
      </c>
      <c r="H65" s="144">
        <f t="shared" si="186"/>
        <v>0.5</v>
      </c>
      <c r="I65" s="144">
        <f t="shared" si="186"/>
        <v>0.5</v>
      </c>
      <c r="J65" s="144">
        <f t="shared" si="186"/>
        <v>0.5</v>
      </c>
      <c r="K65" s="144">
        <f t="shared" si="186"/>
        <v>25.5</v>
      </c>
      <c r="L65" s="144">
        <f t="shared" si="186"/>
        <v>5.1875</v>
      </c>
      <c r="M65" s="144">
        <f t="shared" si="186"/>
        <v>8.75</v>
      </c>
      <c r="N65" s="144">
        <f t="shared" si="186"/>
        <v>5</v>
      </c>
      <c r="O65" s="144">
        <f t="shared" si="186"/>
        <v>33.75</v>
      </c>
      <c r="P65" s="144">
        <f t="shared" si="186"/>
        <v>28.571428571428569</v>
      </c>
      <c r="Q65" s="118">
        <f>((P65/G65)^(1/($H$2-$H$1) ))-1</f>
        <v>-6.9240939426552073E-2</v>
      </c>
      <c r="R65" s="128"/>
      <c r="S65" s="157">
        <f t="shared" ref="S65:AB65" si="187">S15/S42</f>
        <v>5.8240000000000007</v>
      </c>
      <c r="T65" s="157">
        <f t="shared" si="187"/>
        <v>5.8240000000000016</v>
      </c>
      <c r="U65" s="157">
        <f t="shared" si="187"/>
        <v>5.8240000000000016</v>
      </c>
      <c r="V65" s="157">
        <f t="shared" si="187"/>
        <v>5.8240000000000025</v>
      </c>
      <c r="W65" s="157">
        <f t="shared" si="187"/>
        <v>5.8240000000000034</v>
      </c>
      <c r="X65" s="157">
        <f t="shared" si="187"/>
        <v>5.8240000000000025</v>
      </c>
      <c r="Y65" s="157">
        <f t="shared" si="187"/>
        <v>5.8240000000000025</v>
      </c>
      <c r="Z65" s="157">
        <f t="shared" si="187"/>
        <v>5.8240000000000025</v>
      </c>
      <c r="AA65" s="157">
        <f t="shared" si="187"/>
        <v>5.8240000000000025</v>
      </c>
      <c r="AB65" s="157">
        <f t="shared" si="187"/>
        <v>5.8240000000000025</v>
      </c>
      <c r="AC65" s="138">
        <f t="shared" si="161"/>
        <v>-0.111033246334999</v>
      </c>
      <c r="AD65" s="31">
        <f t="shared" si="17"/>
        <v>0.05</v>
      </c>
      <c r="AE65" s="146">
        <f t="shared" si="162"/>
        <v>35.971764705882379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100</v>
      </c>
      <c r="H66" s="144">
        <f t="shared" si="188"/>
        <v>25</v>
      </c>
      <c r="I66" s="144">
        <f t="shared" si="188"/>
        <v>14.499999999999998</v>
      </c>
      <c r="J66" s="144">
        <f t="shared" si="188"/>
        <v>140</v>
      </c>
      <c r="K66" s="144">
        <f t="shared" si="188"/>
        <v>360</v>
      </c>
      <c r="L66" s="144">
        <f t="shared" si="188"/>
        <v>5.625</v>
      </c>
      <c r="M66" s="144">
        <f t="shared" si="188"/>
        <v>8.75</v>
      </c>
      <c r="N66" s="144">
        <f t="shared" si="188"/>
        <v>11.25</v>
      </c>
      <c r="O66" s="144">
        <f t="shared" si="188"/>
        <v>28.75</v>
      </c>
      <c r="P66" s="144">
        <f t="shared" si="188"/>
        <v>14.835164835164834</v>
      </c>
      <c r="Q66" s="118">
        <f>((P66/G66)^(1/($H$2-$H$1) ))-1</f>
        <v>-0.19105056665088138</v>
      </c>
      <c r="R66" s="128"/>
      <c r="S66" s="157">
        <f t="shared" ref="S66:AB66" si="189">S16/S42</f>
        <v>3.024</v>
      </c>
      <c r="T66" s="157">
        <f t="shared" si="189"/>
        <v>3.0240000000000005</v>
      </c>
      <c r="U66" s="157">
        <f t="shared" si="189"/>
        <v>3.0240000000000005</v>
      </c>
      <c r="V66" s="157">
        <f t="shared" si="189"/>
        <v>3.0240000000000005</v>
      </c>
      <c r="W66" s="157">
        <f t="shared" si="189"/>
        <v>3.0240000000000005</v>
      </c>
      <c r="X66" s="157">
        <f t="shared" si="189"/>
        <v>3.0240000000000005</v>
      </c>
      <c r="Y66" s="157">
        <f t="shared" si="189"/>
        <v>3.024</v>
      </c>
      <c r="Z66" s="157">
        <f t="shared" si="189"/>
        <v>3.024</v>
      </c>
      <c r="AA66" s="157">
        <f t="shared" si="189"/>
        <v>3.024</v>
      </c>
      <c r="AB66" s="157">
        <f t="shared" si="189"/>
        <v>3.0240000000000005</v>
      </c>
      <c r="AC66" s="138">
        <f t="shared" si="161"/>
        <v>-0.16817758250744952</v>
      </c>
      <c r="AD66" s="137"/>
      <c r="AE66" s="146">
        <f t="shared" si="162"/>
        <v>13.745454545454548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0</v>
      </c>
      <c r="H68" s="159">
        <f t="shared" si="190"/>
        <v>0</v>
      </c>
      <c r="I68" s="159">
        <f t="shared" si="190"/>
        <v>0</v>
      </c>
      <c r="J68" s="159">
        <f t="shared" si="190"/>
        <v>0</v>
      </c>
      <c r="K68" s="159">
        <f t="shared" si="190"/>
        <v>0</v>
      </c>
      <c r="L68" s="159">
        <f t="shared" si="190"/>
        <v>1.5</v>
      </c>
      <c r="M68" s="159">
        <f t="shared" si="190"/>
        <v>0</v>
      </c>
      <c r="N68" s="159">
        <f t="shared" si="190"/>
        <v>0</v>
      </c>
      <c r="O68" s="159">
        <f t="shared" si="190"/>
        <v>0</v>
      </c>
      <c r="P68" s="159">
        <f t="shared" si="190"/>
        <v>0</v>
      </c>
      <c r="Q68" s="118" t="e">
        <f>((P68/G68)^(1/($H$2-$H$1) ))-1</f>
        <v>#DIV/0!</v>
      </c>
      <c r="R68" s="128"/>
      <c r="S68" s="159">
        <f t="shared" ref="S68:AB68" si="191">S43</f>
        <v>0</v>
      </c>
      <c r="T68" s="159">
        <f t="shared" si="191"/>
        <v>0</v>
      </c>
      <c r="U68" s="159">
        <f t="shared" si="191"/>
        <v>0</v>
      </c>
      <c r="V68" s="159">
        <f t="shared" si="191"/>
        <v>0</v>
      </c>
      <c r="W68" s="159">
        <f t="shared" si="191"/>
        <v>0</v>
      </c>
      <c r="X68" s="159">
        <f t="shared" si="191"/>
        <v>0</v>
      </c>
      <c r="Y68" s="159">
        <f t="shared" si="191"/>
        <v>0</v>
      </c>
      <c r="Z68" s="159">
        <f t="shared" si="191"/>
        <v>0</v>
      </c>
      <c r="AA68" s="159">
        <f t="shared" si="191"/>
        <v>0</v>
      </c>
      <c r="AB68" s="159">
        <f t="shared" si="191"/>
        <v>0</v>
      </c>
      <c r="AC68" s="138" t="e">
        <f t="shared" ref="AC68" si="192">((AB68/G68)^(1/($AB$3-$H$1) ))-1</f>
        <v>#DIV/0!</v>
      </c>
      <c r="AD68" s="31">
        <f t="shared" si="17"/>
        <v>0.05</v>
      </c>
      <c r="AE68" s="146">
        <f t="shared" si="162"/>
        <v>0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0</v>
      </c>
      <c r="H72" s="144">
        <f t="shared" si="196"/>
        <v>0</v>
      </c>
      <c r="I72" s="144">
        <f t="shared" si="196"/>
        <v>0</v>
      </c>
      <c r="J72" s="144">
        <f t="shared" si="196"/>
        <v>0</v>
      </c>
      <c r="K72" s="144">
        <f t="shared" si="196"/>
        <v>0</v>
      </c>
      <c r="L72" s="144">
        <f t="shared" si="196"/>
        <v>0</v>
      </c>
      <c r="M72" s="144">
        <f t="shared" si="196"/>
        <v>0</v>
      </c>
      <c r="N72" s="144">
        <f t="shared" si="196"/>
        <v>0</v>
      </c>
      <c r="O72" s="144">
        <f t="shared" si="196"/>
        <v>0</v>
      </c>
      <c r="P72" s="144">
        <f t="shared" si="196"/>
        <v>0</v>
      </c>
      <c r="Q72" s="118" t="e">
        <f>((P72/G72)^(1/($H$2-$H$1) ))-1</f>
        <v>#DIV/0!</v>
      </c>
      <c r="R72" s="128"/>
      <c r="S72" s="146">
        <f t="shared" ref="S72:AB72" si="197">S70/S42</f>
        <v>0</v>
      </c>
      <c r="T72" s="146">
        <f t="shared" si="197"/>
        <v>0</v>
      </c>
      <c r="U72" s="146">
        <f t="shared" si="197"/>
        <v>0</v>
      </c>
      <c r="V72" s="146">
        <f t="shared" si="197"/>
        <v>0</v>
      </c>
      <c r="W72" s="146">
        <f t="shared" si="197"/>
        <v>0</v>
      </c>
      <c r="X72" s="146">
        <f t="shared" si="197"/>
        <v>0</v>
      </c>
      <c r="Y72" s="146">
        <f t="shared" si="197"/>
        <v>0</v>
      </c>
      <c r="Z72" s="146">
        <f t="shared" si="197"/>
        <v>0</v>
      </c>
      <c r="AA72" s="146">
        <f t="shared" si="197"/>
        <v>0</v>
      </c>
      <c r="AB72" s="146">
        <f t="shared" si="197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0</v>
      </c>
      <c r="H73" s="144">
        <f t="shared" si="198"/>
        <v>0</v>
      </c>
      <c r="I73" s="144">
        <f t="shared" si="198"/>
        <v>0</v>
      </c>
      <c r="J73" s="144">
        <f t="shared" si="198"/>
        <v>0</v>
      </c>
      <c r="K73" s="144">
        <f t="shared" si="198"/>
        <v>0</v>
      </c>
      <c r="L73" s="144">
        <f t="shared" si="198"/>
        <v>0</v>
      </c>
      <c r="M73" s="144">
        <f t="shared" si="198"/>
        <v>0</v>
      </c>
      <c r="N73" s="144">
        <f t="shared" si="198"/>
        <v>0</v>
      </c>
      <c r="O73" s="144">
        <f t="shared" si="198"/>
        <v>0</v>
      </c>
      <c r="P73" s="144">
        <f t="shared" si="198"/>
        <v>0</v>
      </c>
      <c r="Q73" s="118" t="e">
        <f>((P73/G73)^(1/($H$2-$H$1) ))-1</f>
        <v>#DIV/0!</v>
      </c>
      <c r="R73" s="128"/>
      <c r="S73" s="146">
        <f t="shared" ref="S73:AB73" si="199">S20/S42</f>
        <v>0</v>
      </c>
      <c r="T73" s="146">
        <f t="shared" si="199"/>
        <v>0</v>
      </c>
      <c r="U73" s="146">
        <f t="shared" si="199"/>
        <v>0</v>
      </c>
      <c r="V73" s="146">
        <f t="shared" si="199"/>
        <v>0</v>
      </c>
      <c r="W73" s="146">
        <f t="shared" si="199"/>
        <v>0</v>
      </c>
      <c r="X73" s="146">
        <f t="shared" si="199"/>
        <v>0</v>
      </c>
      <c r="Y73" s="146">
        <f t="shared" si="199"/>
        <v>0</v>
      </c>
      <c r="Z73" s="146">
        <f t="shared" si="199"/>
        <v>0</v>
      </c>
      <c r="AA73" s="146">
        <f t="shared" si="199"/>
        <v>0</v>
      </c>
      <c r="AB73" s="146">
        <f t="shared" si="199"/>
        <v>0</v>
      </c>
      <c r="AC73" s="138" t="e">
        <f t="shared" si="195"/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0</v>
      </c>
      <c r="H74" s="144">
        <f t="shared" si="200"/>
        <v>0</v>
      </c>
      <c r="I74" s="144">
        <f t="shared" si="200"/>
        <v>0</v>
      </c>
      <c r="J74" s="144">
        <f t="shared" si="200"/>
        <v>0</v>
      </c>
      <c r="K74" s="144">
        <f t="shared" si="200"/>
        <v>0</v>
      </c>
      <c r="L74" s="144">
        <f t="shared" si="200"/>
        <v>0</v>
      </c>
      <c r="M74" s="144">
        <f t="shared" si="200"/>
        <v>0</v>
      </c>
      <c r="N74" s="144">
        <f t="shared" si="200"/>
        <v>0</v>
      </c>
      <c r="O74" s="144">
        <f t="shared" si="200"/>
        <v>0</v>
      </c>
      <c r="P74" s="144">
        <f t="shared" si="200"/>
        <v>0</v>
      </c>
      <c r="Q74" s="118" t="e">
        <f>((P74/G74)^(1/($H$2-$H$1) ))-1</f>
        <v>#DIV/0!</v>
      </c>
      <c r="R74" s="128"/>
      <c r="S74" s="146">
        <f t="shared" ref="S74:AB74" si="201">S21/S42</f>
        <v>0</v>
      </c>
      <c r="T74" s="146">
        <f t="shared" si="201"/>
        <v>0</v>
      </c>
      <c r="U74" s="146">
        <f t="shared" si="201"/>
        <v>0</v>
      </c>
      <c r="V74" s="146">
        <f t="shared" si="201"/>
        <v>0</v>
      </c>
      <c r="W74" s="146">
        <f t="shared" si="201"/>
        <v>0</v>
      </c>
      <c r="X74" s="146">
        <f t="shared" si="201"/>
        <v>0</v>
      </c>
      <c r="Y74" s="146">
        <f t="shared" si="201"/>
        <v>0</v>
      </c>
      <c r="Z74" s="146">
        <f t="shared" si="201"/>
        <v>0</v>
      </c>
      <c r="AA74" s="146">
        <f t="shared" si="201"/>
        <v>0</v>
      </c>
      <c r="AB74" s="146">
        <f t="shared" si="201"/>
        <v>0</v>
      </c>
      <c r="AC74" s="138" t="e">
        <f t="shared" si="195"/>
        <v>#DIV/0!</v>
      </c>
      <c r="AD74" s="31">
        <f t="shared" si="17"/>
        <v>0.05</v>
      </c>
      <c r="AE74" s="146">
        <f t="shared" si="162"/>
        <v>0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0</v>
      </c>
      <c r="H75" s="144">
        <f t="shared" si="202"/>
        <v>0</v>
      </c>
      <c r="I75" s="144">
        <f t="shared" si="202"/>
        <v>0</v>
      </c>
      <c r="J75" s="144">
        <f t="shared" si="202"/>
        <v>0</v>
      </c>
      <c r="K75" s="144">
        <f t="shared" si="202"/>
        <v>0</v>
      </c>
      <c r="L75" s="144">
        <f t="shared" si="202"/>
        <v>0</v>
      </c>
      <c r="M75" s="144">
        <f t="shared" si="202"/>
        <v>0</v>
      </c>
      <c r="N75" s="144">
        <f t="shared" si="202"/>
        <v>0</v>
      </c>
      <c r="O75" s="144">
        <f t="shared" si="202"/>
        <v>0</v>
      </c>
      <c r="P75" s="144">
        <f t="shared" si="202"/>
        <v>0</v>
      </c>
      <c r="Q75" s="118" t="e">
        <f>((P75/G75)^(1/($H$2-$H$1) ))-1</f>
        <v>#DIV/0!</v>
      </c>
      <c r="R75" s="128"/>
      <c r="S75" s="146">
        <f t="shared" ref="S75:AB75" si="203">S22/S42</f>
        <v>0</v>
      </c>
      <c r="T75" s="146">
        <f t="shared" si="203"/>
        <v>0</v>
      </c>
      <c r="U75" s="146">
        <f t="shared" si="203"/>
        <v>0</v>
      </c>
      <c r="V75" s="146">
        <f t="shared" si="203"/>
        <v>0</v>
      </c>
      <c r="W75" s="146">
        <f t="shared" si="203"/>
        <v>0</v>
      </c>
      <c r="X75" s="146">
        <f t="shared" si="203"/>
        <v>0</v>
      </c>
      <c r="Y75" s="146">
        <f t="shared" si="203"/>
        <v>0</v>
      </c>
      <c r="Z75" s="146">
        <f t="shared" si="203"/>
        <v>0</v>
      </c>
      <c r="AA75" s="146">
        <f t="shared" si="203"/>
        <v>0</v>
      </c>
      <c r="AB75" s="146">
        <f t="shared" si="203"/>
        <v>0</v>
      </c>
      <c r="AC75" s="138" t="e">
        <f t="shared" si="195"/>
        <v>#DIV/0!</v>
      </c>
      <c r="AD75" s="31">
        <f t="shared" si="17"/>
        <v>0.05</v>
      </c>
      <c r="AE75" s="146">
        <f t="shared" si="162"/>
        <v>0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0</v>
      </c>
      <c r="H76" s="144">
        <f t="shared" si="204"/>
        <v>0</v>
      </c>
      <c r="I76" s="144">
        <f t="shared" si="204"/>
        <v>0</v>
      </c>
      <c r="J76" s="144">
        <f t="shared" si="204"/>
        <v>0</v>
      </c>
      <c r="K76" s="144">
        <f t="shared" si="204"/>
        <v>0</v>
      </c>
      <c r="L76" s="144">
        <f t="shared" si="204"/>
        <v>0</v>
      </c>
      <c r="M76" s="144">
        <f t="shared" si="204"/>
        <v>0</v>
      </c>
      <c r="N76" s="144">
        <f t="shared" si="204"/>
        <v>0</v>
      </c>
      <c r="O76" s="144">
        <f t="shared" si="204"/>
        <v>0</v>
      </c>
      <c r="P76" s="144">
        <f t="shared" si="204"/>
        <v>0</v>
      </c>
      <c r="Q76" s="118" t="e">
        <f>((P76/G76)^(1/($H$2-$H$1) ))-1</f>
        <v>#DIV/0!</v>
      </c>
      <c r="R76" s="128"/>
      <c r="S76" s="146">
        <f t="shared" ref="S76:AB76" si="205">S23/S42</f>
        <v>0</v>
      </c>
      <c r="T76" s="146">
        <f t="shared" si="205"/>
        <v>0</v>
      </c>
      <c r="U76" s="146">
        <f t="shared" si="205"/>
        <v>0</v>
      </c>
      <c r="V76" s="146">
        <f t="shared" si="205"/>
        <v>0</v>
      </c>
      <c r="W76" s="146">
        <f t="shared" si="205"/>
        <v>0</v>
      </c>
      <c r="X76" s="146">
        <f t="shared" si="205"/>
        <v>0</v>
      </c>
      <c r="Y76" s="146">
        <f t="shared" si="205"/>
        <v>0</v>
      </c>
      <c r="Z76" s="146">
        <f t="shared" si="205"/>
        <v>0</v>
      </c>
      <c r="AA76" s="146">
        <f t="shared" si="205"/>
        <v>0</v>
      </c>
      <c r="AB76" s="146">
        <f t="shared" si="205"/>
        <v>0</v>
      </c>
      <c r="AC76" s="138" t="e">
        <f t="shared" ref="AC76" si="206">((AB76/G76)^(1/($AB$3-$H$1) ))-1</f>
        <v>#DIV/0!</v>
      </c>
      <c r="AD76" s="31">
        <f t="shared" si="17"/>
        <v>0.05</v>
      </c>
      <c r="AE76" s="146">
        <f t="shared" si="16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23.499999999999996</v>
      </c>
      <c r="H78" s="144">
        <f t="shared" si="207"/>
        <v>46.5</v>
      </c>
      <c r="I78" s="144">
        <f t="shared" si="207"/>
        <v>275</v>
      </c>
      <c r="J78" s="144">
        <f t="shared" si="207"/>
        <v>125</v>
      </c>
      <c r="K78" s="144">
        <f t="shared" si="207"/>
        <v>75</v>
      </c>
      <c r="L78" s="144">
        <f t="shared" si="207"/>
        <v>0.68125000000000002</v>
      </c>
      <c r="M78" s="144">
        <f t="shared" si="207"/>
        <v>0.3</v>
      </c>
      <c r="N78" s="144">
        <f t="shared" si="207"/>
        <v>0.5625</v>
      </c>
      <c r="O78" s="144">
        <f t="shared" si="207"/>
        <v>39.375</v>
      </c>
      <c r="P78" s="144">
        <f t="shared" si="207"/>
        <v>31.868131868131869</v>
      </c>
      <c r="Q78" s="118">
        <f>((P78/G78)^(1/($H$2-$H$1) ))-1</f>
        <v>3.4424383627141841E-2</v>
      </c>
      <c r="R78" s="128"/>
      <c r="S78" s="144">
        <f t="shared" ref="S78:AB78" si="208">S36/S42</f>
        <v>6.4960000000000004</v>
      </c>
      <c r="T78" s="144">
        <f t="shared" si="208"/>
        <v>6.4960000000000004</v>
      </c>
      <c r="U78" s="144">
        <f t="shared" si="208"/>
        <v>6.4960000000000004</v>
      </c>
      <c r="V78" s="144">
        <f t="shared" si="208"/>
        <v>6.4960000000000004</v>
      </c>
      <c r="W78" s="144">
        <f t="shared" si="208"/>
        <v>6.4960000000000004</v>
      </c>
      <c r="X78" s="144">
        <f t="shared" si="208"/>
        <v>6.4960000000000004</v>
      </c>
      <c r="Y78" s="144">
        <f t="shared" si="208"/>
        <v>6.4960000000000013</v>
      </c>
      <c r="Z78" s="144">
        <f t="shared" si="208"/>
        <v>6.4960000000000013</v>
      </c>
      <c r="AA78" s="144">
        <f t="shared" si="208"/>
        <v>6.4960000000000013</v>
      </c>
      <c r="AB78" s="144">
        <f t="shared" si="208"/>
        <v>6.4960000000000022</v>
      </c>
      <c r="AC78" s="138">
        <f t="shared" ref="AC78:AC80" si="209">((AB78/G78)^(1/($AB$3-$H$1) ))-1</f>
        <v>-6.5435292421435198E-2</v>
      </c>
      <c r="AD78" s="31">
        <f t="shared" si="17"/>
        <v>0.05</v>
      </c>
      <c r="AE78" s="146">
        <f t="shared" si="162"/>
        <v>40.122352941176494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24.5</v>
      </c>
      <c r="H79" s="144">
        <f t="shared" si="210"/>
        <v>51.5</v>
      </c>
      <c r="I79" s="144">
        <f t="shared" si="210"/>
        <v>274.5</v>
      </c>
      <c r="J79" s="144">
        <f t="shared" si="210"/>
        <v>120</v>
      </c>
      <c r="K79" s="144">
        <f t="shared" si="210"/>
        <v>75</v>
      </c>
      <c r="L79" s="144">
        <f t="shared" si="210"/>
        <v>0.87499999999999989</v>
      </c>
      <c r="M79" s="144">
        <f t="shared" si="210"/>
        <v>0.39374999999999999</v>
      </c>
      <c r="N79" s="144">
        <f t="shared" si="210"/>
        <v>-1.2812499999999998</v>
      </c>
      <c r="O79" s="144">
        <f t="shared" si="210"/>
        <v>26.25</v>
      </c>
      <c r="P79" s="144">
        <f t="shared" si="210"/>
        <v>18.131868131868131</v>
      </c>
      <c r="Q79" s="118">
        <f>((P79/G79)^(1/($H$2-$H$1) ))-1</f>
        <v>-3.2891583059961094E-2</v>
      </c>
      <c r="R79" s="128"/>
      <c r="S79" s="144">
        <f t="shared" ref="S79:AB79" si="211">S40/S42</f>
        <v>3.6960000000000002</v>
      </c>
      <c r="T79" s="144">
        <f t="shared" si="211"/>
        <v>3.6959999999999997</v>
      </c>
      <c r="U79" s="144">
        <f t="shared" si="211"/>
        <v>3.6960000000000002</v>
      </c>
      <c r="V79" s="144">
        <f t="shared" si="211"/>
        <v>3.6960000000000006</v>
      </c>
      <c r="W79" s="144">
        <f t="shared" si="211"/>
        <v>3.6960000000000006</v>
      </c>
      <c r="X79" s="144">
        <f t="shared" si="211"/>
        <v>3.6960000000000002</v>
      </c>
      <c r="Y79" s="144">
        <f t="shared" si="211"/>
        <v>3.6959999999999997</v>
      </c>
      <c r="Z79" s="144">
        <f t="shared" si="211"/>
        <v>3.6959999999999997</v>
      </c>
      <c r="AA79" s="144">
        <f t="shared" si="211"/>
        <v>3.6959999999999997</v>
      </c>
      <c r="AB79" s="144">
        <f t="shared" si="211"/>
        <v>3.6959999999999997</v>
      </c>
      <c r="AC79" s="138">
        <f t="shared" si="209"/>
        <v>-9.4753977725505756E-2</v>
      </c>
      <c r="AD79" s="31">
        <f t="shared" si="17"/>
        <v>0.05</v>
      </c>
      <c r="AE79" s="146">
        <f t="shared" si="162"/>
        <v>22.828235294117647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268.5</v>
      </c>
      <c r="H80" s="144">
        <f t="shared" si="212"/>
        <v>300</v>
      </c>
      <c r="I80" s="144">
        <f t="shared" si="212"/>
        <v>600</v>
      </c>
      <c r="J80" s="144">
        <f t="shared" si="212"/>
        <v>700</v>
      </c>
      <c r="K80" s="144">
        <f t="shared" si="212"/>
        <v>800</v>
      </c>
      <c r="L80" s="144">
        <f t="shared" si="212"/>
        <v>0.26874999999999999</v>
      </c>
      <c r="M80" s="144">
        <f t="shared" si="212"/>
        <v>0.625</v>
      </c>
      <c r="N80" s="144">
        <f t="shared" si="212"/>
        <v>115</v>
      </c>
      <c r="O80" s="144">
        <f t="shared" si="212"/>
        <v>119.375</v>
      </c>
      <c r="P80" s="144">
        <f t="shared" si="212"/>
        <v>134.06593406593407</v>
      </c>
      <c r="Q80" s="118">
        <f>((P80/G80)^(1/($H$2-$H$1) ))-1</f>
        <v>-7.4266422355760642E-2</v>
      </c>
      <c r="R80" s="128"/>
      <c r="S80" s="144">
        <f t="shared" ref="S80:AB80" si="213">S6/S42</f>
        <v>27.328000000000003</v>
      </c>
      <c r="T80" s="144">
        <f t="shared" si="213"/>
        <v>27.328000000000003</v>
      </c>
      <c r="U80" s="144">
        <f t="shared" si="213"/>
        <v>27.327999999999999</v>
      </c>
      <c r="V80" s="144">
        <f t="shared" si="213"/>
        <v>27.328000000000003</v>
      </c>
      <c r="W80" s="144">
        <f t="shared" si="213"/>
        <v>27.328000000000003</v>
      </c>
      <c r="X80" s="144">
        <f t="shared" si="213"/>
        <v>27.328000000000003</v>
      </c>
      <c r="Y80" s="144">
        <f t="shared" si="213"/>
        <v>27.327999999999996</v>
      </c>
      <c r="Z80" s="144">
        <f t="shared" si="213"/>
        <v>27.327999999999996</v>
      </c>
      <c r="AA80" s="144">
        <f t="shared" si="213"/>
        <v>27.327999999999996</v>
      </c>
      <c r="AB80" s="144">
        <f t="shared" si="213"/>
        <v>27.327999999999996</v>
      </c>
      <c r="AC80" s="138">
        <f t="shared" si="209"/>
        <v>-0.1133100904493004</v>
      </c>
      <c r="AD80" s="31">
        <f t="shared" ref="AD80" si="214">$L$1</f>
        <v>0.05</v>
      </c>
      <c r="AE80" s="146">
        <f t="shared" si="162"/>
        <v>168.79058823529411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0.70149253731343275</v>
      </c>
      <c r="H84" s="152">
        <f t="shared" si="215"/>
        <v>0.79487179487179493</v>
      </c>
      <c r="I84" s="152">
        <f t="shared" si="215"/>
        <v>1.1000000000000001</v>
      </c>
      <c r="J84" s="152">
        <f t="shared" si="215"/>
        <v>0.92592592592592582</v>
      </c>
      <c r="K84" s="152">
        <f t="shared" si="215"/>
        <v>0.88235294117647056</v>
      </c>
      <c r="L84" s="152">
        <f t="shared" si="215"/>
        <v>0.64117647058823535</v>
      </c>
      <c r="M84" s="152">
        <f t="shared" si="215"/>
        <v>0.65753424657534243</v>
      </c>
      <c r="N84" s="152">
        <f t="shared" si="215"/>
        <v>4.7368421052631575</v>
      </c>
      <c r="O84" s="152">
        <f t="shared" si="215"/>
        <v>0.11433756805807622</v>
      </c>
      <c r="P84" s="152">
        <f t="shared" si="215"/>
        <v>8.3815028901734104E-2</v>
      </c>
      <c r="Q84" s="118">
        <f t="shared" ref="Q84:Q134" si="216">((P84/G84)^(1/($H$2-$H$1) ))-1</f>
        <v>-0.21027179449063949</v>
      </c>
      <c r="R84" s="152"/>
      <c r="S84" s="152">
        <f t="shared" ref="S84:AB84" si="217">S36/S25</f>
        <v>8.3815028901734104E-2</v>
      </c>
      <c r="T84" s="152">
        <f t="shared" si="217"/>
        <v>8.3815028901734118E-2</v>
      </c>
      <c r="U84" s="152">
        <f t="shared" si="217"/>
        <v>8.3815028901734104E-2</v>
      </c>
      <c r="V84" s="152">
        <f t="shared" si="217"/>
        <v>8.3815028901734104E-2</v>
      </c>
      <c r="W84" s="152">
        <f t="shared" si="217"/>
        <v>8.381502890173409E-2</v>
      </c>
      <c r="X84" s="152">
        <f t="shared" si="217"/>
        <v>8.3815028901734104E-2</v>
      </c>
      <c r="Y84" s="152">
        <f t="shared" si="217"/>
        <v>8.3815028901734118E-2</v>
      </c>
      <c r="Z84" s="152">
        <f t="shared" si="217"/>
        <v>8.3815028901734118E-2</v>
      </c>
      <c r="AA84" s="152">
        <f t="shared" si="217"/>
        <v>8.3815028901734118E-2</v>
      </c>
      <c r="AB84" s="152">
        <f t="shared" si="217"/>
        <v>8.3815028901734118E-2</v>
      </c>
      <c r="AC84" s="138">
        <f t="shared" ref="AC84:AC121" si="218">((AB84/G84)^(1/($AB$3-$H$1) ))-1</f>
        <v>-0.10579564377301731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0.73134328358208944</v>
      </c>
      <c r="H85" s="152">
        <f t="shared" si="219"/>
        <v>0.88034188034188043</v>
      </c>
      <c r="I85" s="152">
        <f t="shared" si="219"/>
        <v>1.0980000000000001</v>
      </c>
      <c r="J85" s="152">
        <f t="shared" si="219"/>
        <v>0.88888888888888884</v>
      </c>
      <c r="K85" s="152">
        <f t="shared" si="219"/>
        <v>0.88235294117647056</v>
      </c>
      <c r="L85" s="152">
        <f t="shared" si="219"/>
        <v>0.82352941176470584</v>
      </c>
      <c r="M85" s="152">
        <f t="shared" si="219"/>
        <v>0.86301369863013699</v>
      </c>
      <c r="N85" s="152">
        <f t="shared" si="219"/>
        <v>-10.789473684210526</v>
      </c>
      <c r="O85" s="152">
        <f t="shared" si="219"/>
        <v>7.6225045372050812E-2</v>
      </c>
      <c r="P85" s="152">
        <f t="shared" si="219"/>
        <v>4.7687861271676298E-2</v>
      </c>
      <c r="Q85" s="118">
        <f t="shared" si="216"/>
        <v>-0.26166396816265514</v>
      </c>
      <c r="R85" s="152"/>
      <c r="S85" s="152">
        <f t="shared" ref="S85:AB85" si="220">S40/S25</f>
        <v>4.7687861271676298E-2</v>
      </c>
      <c r="T85" s="152">
        <f t="shared" si="220"/>
        <v>4.7687861271676298E-2</v>
      </c>
      <c r="U85" s="152">
        <f t="shared" si="220"/>
        <v>4.7687861271676298E-2</v>
      </c>
      <c r="V85" s="152">
        <f t="shared" si="220"/>
        <v>4.7687861271676305E-2</v>
      </c>
      <c r="W85" s="152">
        <f t="shared" si="220"/>
        <v>4.7687861271676298E-2</v>
      </c>
      <c r="X85" s="152">
        <f t="shared" si="220"/>
        <v>4.7687861271676298E-2</v>
      </c>
      <c r="Y85" s="152">
        <f t="shared" si="220"/>
        <v>4.7687861271676298E-2</v>
      </c>
      <c r="Z85" s="152">
        <f t="shared" si="220"/>
        <v>4.7687861271676291E-2</v>
      </c>
      <c r="AA85" s="152">
        <f t="shared" si="220"/>
        <v>4.7687861271676291E-2</v>
      </c>
      <c r="AB85" s="152">
        <f t="shared" si="220"/>
        <v>4.7687861271676291E-2</v>
      </c>
      <c r="AC85" s="138">
        <f t="shared" si="218"/>
        <v>-0.13384816480783712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8.1666666666666665E-2</v>
      </c>
      <c r="H86" s="152">
        <f t="shared" si="221"/>
        <v>0.14714285714285716</v>
      </c>
      <c r="I86" s="152">
        <f t="shared" si="221"/>
        <v>0.45750000000000002</v>
      </c>
      <c r="J86" s="152">
        <f t="shared" si="221"/>
        <v>0.16</v>
      </c>
      <c r="K86" s="152">
        <f t="shared" si="221"/>
        <v>9.375E-2</v>
      </c>
      <c r="L86" s="152">
        <f t="shared" si="221"/>
        <v>8.7499999999999994E-2</v>
      </c>
      <c r="M86" s="152">
        <f t="shared" si="221"/>
        <v>3.7058823529411762E-2</v>
      </c>
      <c r="N86" s="152">
        <f t="shared" si="221"/>
        <v>-1.0249999999999999E-2</v>
      </c>
      <c r="O86" s="152">
        <f t="shared" si="221"/>
        <v>0.20192307692307693</v>
      </c>
      <c r="P86" s="152">
        <f t="shared" ref="P86" si="222">P40/P7</f>
        <v>0.12547528517110265</v>
      </c>
      <c r="Q86" s="118">
        <f t="shared" si="216"/>
        <v>4.8874934214721444E-2</v>
      </c>
      <c r="R86" s="20"/>
      <c r="S86" s="152">
        <f t="shared" ref="S86" si="223">S40/S7</f>
        <v>0.12547528517110265</v>
      </c>
      <c r="T86" s="152">
        <f t="shared" ref="T86:AB86" si="224">T40/T7</f>
        <v>0.12547528517110265</v>
      </c>
      <c r="U86" s="152">
        <f t="shared" si="224"/>
        <v>0.12547528517110265</v>
      </c>
      <c r="V86" s="152">
        <f t="shared" si="224"/>
        <v>0.12547528517110265</v>
      </c>
      <c r="W86" s="152">
        <f t="shared" si="224"/>
        <v>0.12547528517110265</v>
      </c>
      <c r="X86" s="152">
        <f t="shared" si="224"/>
        <v>0.12547528517110265</v>
      </c>
      <c r="Y86" s="152">
        <f t="shared" si="224"/>
        <v>0.12547528517110262</v>
      </c>
      <c r="Z86" s="152">
        <f t="shared" si="224"/>
        <v>0.12547528517110262</v>
      </c>
      <c r="AA86" s="152">
        <f t="shared" si="224"/>
        <v>0.12547528517110262</v>
      </c>
      <c r="AB86" s="152">
        <f t="shared" si="224"/>
        <v>0.12547528517110262</v>
      </c>
      <c r="AC86" s="138">
        <f t="shared" si="218"/>
        <v>2.2860700251007726E-2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8.1666666666666665E-2</v>
      </c>
      <c r="H87" s="152">
        <f t="shared" ref="H87:O87" si="226">(H40)/(H7+H10)</f>
        <v>0.14714285714285716</v>
      </c>
      <c r="I87" s="152">
        <f t="shared" si="226"/>
        <v>0.45750000000000002</v>
      </c>
      <c r="J87" s="152">
        <f t="shared" si="226"/>
        <v>0.16</v>
      </c>
      <c r="K87" s="152">
        <f t="shared" si="226"/>
        <v>9.375E-2</v>
      </c>
      <c r="L87" s="152">
        <f t="shared" si="226"/>
        <v>8.7499999999999994E-2</v>
      </c>
      <c r="M87" s="152">
        <f t="shared" si="226"/>
        <v>3.7058823529411762E-2</v>
      </c>
      <c r="N87" s="152">
        <f t="shared" si="226"/>
        <v>-1.0249999999999999E-2</v>
      </c>
      <c r="O87" s="152">
        <f t="shared" si="226"/>
        <v>0.20192307692307693</v>
      </c>
      <c r="P87" s="152">
        <f t="shared" ref="P87" si="227">(P40)/(P7+P10)</f>
        <v>0.12087912087912088</v>
      </c>
      <c r="Q87" s="118">
        <f t="shared" si="216"/>
        <v>4.4534864280809883E-2</v>
      </c>
      <c r="R87" s="20"/>
      <c r="S87" s="152">
        <f t="shared" ref="S87:AB87" si="228">(S40)/(S7+S10)</f>
        <v>0.12087912087912088</v>
      </c>
      <c r="T87" s="152">
        <f t="shared" si="228"/>
        <v>0.12087912087912088</v>
      </c>
      <c r="U87" s="152">
        <f t="shared" si="228"/>
        <v>0.12087912087912087</v>
      </c>
      <c r="V87" s="152">
        <f t="shared" si="228"/>
        <v>0.12087912087912088</v>
      </c>
      <c r="W87" s="152">
        <f t="shared" si="228"/>
        <v>0.12087912087912087</v>
      </c>
      <c r="X87" s="152">
        <f t="shared" si="228"/>
        <v>0.12087912087912087</v>
      </c>
      <c r="Y87" s="152">
        <f t="shared" si="228"/>
        <v>0.12087912087912084</v>
      </c>
      <c r="Z87" s="152">
        <f t="shared" si="228"/>
        <v>0.12087912087912085</v>
      </c>
      <c r="AA87" s="152">
        <f t="shared" si="228"/>
        <v>0.12087912087912085</v>
      </c>
      <c r="AB87" s="152">
        <f t="shared" si="228"/>
        <v>0.12087912087912084</v>
      </c>
      <c r="AC87" s="138">
        <f t="shared" si="218"/>
        <v>2.085367855823983E-2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</v>
      </c>
      <c r="H88" s="152">
        <f t="shared" ref="H88:P88" si="229">H20/H25</f>
        <v>0</v>
      </c>
      <c r="I88" s="152">
        <f t="shared" si="229"/>
        <v>0</v>
      </c>
      <c r="J88" s="152">
        <f t="shared" si="229"/>
        <v>0</v>
      </c>
      <c r="K88" s="152">
        <f t="shared" si="229"/>
        <v>0</v>
      </c>
      <c r="L88" s="152">
        <f t="shared" si="229"/>
        <v>0</v>
      </c>
      <c r="M88" s="152">
        <f t="shared" si="229"/>
        <v>0</v>
      </c>
      <c r="N88" s="152">
        <f t="shared" si="229"/>
        <v>0</v>
      </c>
      <c r="O88" s="152">
        <f t="shared" si="229"/>
        <v>0</v>
      </c>
      <c r="P88" s="152">
        <f t="shared" si="229"/>
        <v>0</v>
      </c>
      <c r="Q88" s="118" t="e">
        <f t="shared" si="216"/>
        <v>#DIV/0!</v>
      </c>
      <c r="R88" s="20"/>
      <c r="S88" s="152">
        <f t="shared" ref="S88:AB88" si="230">S20/S25</f>
        <v>0</v>
      </c>
      <c r="T88" s="152">
        <f t="shared" si="230"/>
        <v>0</v>
      </c>
      <c r="U88" s="152">
        <f t="shared" si="230"/>
        <v>0</v>
      </c>
      <c r="V88" s="152">
        <f t="shared" si="230"/>
        <v>0</v>
      </c>
      <c r="W88" s="152">
        <f t="shared" si="230"/>
        <v>0</v>
      </c>
      <c r="X88" s="152">
        <f t="shared" si="230"/>
        <v>0</v>
      </c>
      <c r="Y88" s="152">
        <f t="shared" si="230"/>
        <v>0</v>
      </c>
      <c r="Z88" s="152">
        <f t="shared" si="230"/>
        <v>0</v>
      </c>
      <c r="AA88" s="152">
        <f t="shared" si="230"/>
        <v>0</v>
      </c>
      <c r="AB88" s="152">
        <f t="shared" si="230"/>
        <v>0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0</v>
      </c>
      <c r="H90" s="152">
        <f t="shared" ref="H90:P90" si="231">H29/H25</f>
        <v>0</v>
      </c>
      <c r="I90" s="152">
        <f t="shared" si="231"/>
        <v>0</v>
      </c>
      <c r="J90" s="152">
        <f t="shared" si="231"/>
        <v>0</v>
      </c>
      <c r="K90" s="152">
        <f t="shared" si="231"/>
        <v>0</v>
      </c>
      <c r="L90" s="152">
        <f t="shared" si="231"/>
        <v>0</v>
      </c>
      <c r="M90" s="152">
        <f t="shared" si="231"/>
        <v>0</v>
      </c>
      <c r="N90" s="152">
        <f t="shared" si="231"/>
        <v>0</v>
      </c>
      <c r="O90" s="152">
        <f t="shared" si="231"/>
        <v>1.2704174228675137E-4</v>
      </c>
      <c r="P90" s="152">
        <f t="shared" si="231"/>
        <v>8.5260115606936417E-4</v>
      </c>
      <c r="Q90" s="118" t="e">
        <f t="shared" si="216"/>
        <v>#DIV/0!</v>
      </c>
      <c r="R90" s="20"/>
      <c r="S90" s="152">
        <f t="shared" ref="S90:AB90" si="232">S29/S25</f>
        <v>8.5260115606936417E-4</v>
      </c>
      <c r="T90" s="152">
        <f t="shared" si="232"/>
        <v>8.5260115606936417E-4</v>
      </c>
      <c r="U90" s="152">
        <f t="shared" si="232"/>
        <v>8.5260115606936417E-4</v>
      </c>
      <c r="V90" s="152">
        <f t="shared" si="232"/>
        <v>8.5260115606936428E-4</v>
      </c>
      <c r="W90" s="152">
        <f t="shared" si="232"/>
        <v>8.5260115606936417E-4</v>
      </c>
      <c r="X90" s="152">
        <f t="shared" si="232"/>
        <v>8.5260115606936428E-4</v>
      </c>
      <c r="Y90" s="152">
        <f t="shared" si="232"/>
        <v>8.5260115606936439E-4</v>
      </c>
      <c r="Z90" s="152">
        <f t="shared" si="232"/>
        <v>8.5260115606936439E-4</v>
      </c>
      <c r="AA90" s="152">
        <f t="shared" si="232"/>
        <v>8.5260115606936439E-4</v>
      </c>
      <c r="AB90" s="152">
        <f t="shared" si="232"/>
        <v>8.5260115606936439E-4</v>
      </c>
      <c r="AC90" s="138" t="e">
        <f t="shared" si="218"/>
        <v>#DIV/0!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0</v>
      </c>
      <c r="H91" s="152">
        <f t="shared" ref="H91:P91" si="233">H29/H36</f>
        <v>0</v>
      </c>
      <c r="I91" s="152">
        <f t="shared" si="233"/>
        <v>0</v>
      </c>
      <c r="J91" s="152">
        <f t="shared" si="233"/>
        <v>0</v>
      </c>
      <c r="K91" s="152">
        <f t="shared" si="233"/>
        <v>0</v>
      </c>
      <c r="L91" s="152">
        <f t="shared" si="233"/>
        <v>0</v>
      </c>
      <c r="M91" s="152">
        <f t="shared" si="233"/>
        <v>0</v>
      </c>
      <c r="N91" s="152">
        <f t="shared" si="233"/>
        <v>0</v>
      </c>
      <c r="O91" s="152">
        <f t="shared" si="233"/>
        <v>1.1111111111111111E-3</v>
      </c>
      <c r="P91" s="152">
        <f t="shared" si="233"/>
        <v>1.0172413793103447E-2</v>
      </c>
      <c r="Q91" s="118" t="e">
        <f t="shared" ref="Q91" si="234">((P91/G91)^(1/($H$2-$H$1) ))-1</f>
        <v>#DIV/0!</v>
      </c>
      <c r="R91" s="20"/>
      <c r="S91" s="152">
        <f t="shared" ref="S91:AB91" si="235">S29/S36</f>
        <v>1.0172413793103447E-2</v>
      </c>
      <c r="T91" s="152">
        <f t="shared" si="235"/>
        <v>1.0172413793103447E-2</v>
      </c>
      <c r="U91" s="152">
        <f t="shared" si="235"/>
        <v>1.0172413793103449E-2</v>
      </c>
      <c r="V91" s="152">
        <f t="shared" si="235"/>
        <v>1.0172413793103449E-2</v>
      </c>
      <c r="W91" s="152">
        <f t="shared" si="235"/>
        <v>1.0172413793103449E-2</v>
      </c>
      <c r="X91" s="152">
        <f t="shared" si="235"/>
        <v>1.0172413793103449E-2</v>
      </c>
      <c r="Y91" s="152">
        <f t="shared" si="235"/>
        <v>1.0172413793103449E-2</v>
      </c>
      <c r="Z91" s="152">
        <f t="shared" si="235"/>
        <v>1.0172413793103449E-2</v>
      </c>
      <c r="AA91" s="152">
        <f t="shared" si="235"/>
        <v>1.0172413793103449E-2</v>
      </c>
      <c r="AB91" s="152">
        <f t="shared" si="235"/>
        <v>1.0172413793103449E-2</v>
      </c>
      <c r="AC91" s="138" t="e">
        <f t="shared" ref="AC91" si="236">((AB91/G91)^(1/($AB$3-$H$1) ))-1</f>
        <v>#DIV/0!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7">G29/G40</f>
        <v>0</v>
      </c>
      <c r="H92" s="171">
        <f t="shared" si="237"/>
        <v>0</v>
      </c>
      <c r="I92" s="171">
        <f t="shared" si="237"/>
        <v>0</v>
      </c>
      <c r="J92" s="171">
        <f t="shared" si="237"/>
        <v>0</v>
      </c>
      <c r="K92" s="171">
        <f t="shared" si="237"/>
        <v>0</v>
      </c>
      <c r="L92" s="171">
        <f t="shared" si="237"/>
        <v>0</v>
      </c>
      <c r="M92" s="171">
        <f t="shared" si="237"/>
        <v>0</v>
      </c>
      <c r="N92" s="171">
        <f t="shared" si="237"/>
        <v>0</v>
      </c>
      <c r="O92" s="171">
        <f t="shared" si="237"/>
        <v>1.6666666666666668E-3</v>
      </c>
      <c r="P92" s="171">
        <f t="shared" si="237"/>
        <v>1.7878787878787879E-2</v>
      </c>
      <c r="Q92" s="118" t="e">
        <f t="shared" ref="Q92" si="238">((P92/G92)^(1/($H$2-$H$1) ))-1</f>
        <v>#DIV/0!</v>
      </c>
      <c r="R92" s="20"/>
      <c r="S92" s="171">
        <f t="shared" ref="S92:AB92" si="239">S29/S40</f>
        <v>1.7878787878787879E-2</v>
      </c>
      <c r="T92" s="171">
        <f t="shared" si="239"/>
        <v>1.7878787878787879E-2</v>
      </c>
      <c r="U92" s="171">
        <f t="shared" si="239"/>
        <v>1.7878787878787879E-2</v>
      </c>
      <c r="V92" s="171">
        <f t="shared" si="239"/>
        <v>1.7878787878787879E-2</v>
      </c>
      <c r="W92" s="171">
        <f t="shared" si="239"/>
        <v>1.7878787878787883E-2</v>
      </c>
      <c r="X92" s="171">
        <f t="shared" si="239"/>
        <v>1.7878787878787883E-2</v>
      </c>
      <c r="Y92" s="171">
        <f t="shared" si="239"/>
        <v>1.7878787878787883E-2</v>
      </c>
      <c r="Z92" s="171">
        <f t="shared" si="239"/>
        <v>1.7878787878787886E-2</v>
      </c>
      <c r="AA92" s="171">
        <f t="shared" si="239"/>
        <v>1.7878787878787886E-2</v>
      </c>
      <c r="AB92" s="171">
        <f t="shared" si="239"/>
        <v>1.7878787878787886E-2</v>
      </c>
      <c r="AC92" s="138" t="e">
        <f t="shared" ref="AC92" si="240">((AB92/G92)^(1/($AB$3-$H$1) ))-1</f>
        <v>#DIV/0!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 t="e">
        <f t="shared" ref="G93:P93" si="241">G29/G12</f>
        <v>#DIV/0!</v>
      </c>
      <c r="H93" s="171">
        <f t="shared" si="241"/>
        <v>0</v>
      </c>
      <c r="I93" s="171">
        <f t="shared" si="241"/>
        <v>0</v>
      </c>
      <c r="J93" s="171">
        <f t="shared" si="241"/>
        <v>0</v>
      </c>
      <c r="K93" s="171">
        <f t="shared" si="241"/>
        <v>0</v>
      </c>
      <c r="L93" s="171">
        <f t="shared" si="241"/>
        <v>0</v>
      </c>
      <c r="M93" s="171">
        <f t="shared" si="241"/>
        <v>0</v>
      </c>
      <c r="N93" s="171">
        <f t="shared" si="241"/>
        <v>0</v>
      </c>
      <c r="O93" s="171">
        <f t="shared" si="241"/>
        <v>2.1212121212121214E-3</v>
      </c>
      <c r="P93" s="171">
        <f t="shared" si="241"/>
        <v>2.3599999999999999E-2</v>
      </c>
      <c r="Q93" s="118" t="e">
        <f t="shared" si="216"/>
        <v>#DIV/0!</v>
      </c>
      <c r="R93" s="20"/>
      <c r="S93" s="152">
        <f t="shared" ref="S93:AB93" si="242">S29/S12</f>
        <v>2.3599999999999999E-2</v>
      </c>
      <c r="T93" s="152">
        <f t="shared" si="242"/>
        <v>2.3599999999999999E-2</v>
      </c>
      <c r="U93" s="152">
        <f t="shared" si="242"/>
        <v>2.3599999999999999E-2</v>
      </c>
      <c r="V93" s="152">
        <f t="shared" si="242"/>
        <v>2.3600000000000003E-2</v>
      </c>
      <c r="W93" s="152">
        <f t="shared" si="242"/>
        <v>2.3600000000000003E-2</v>
      </c>
      <c r="X93" s="152">
        <f t="shared" si="242"/>
        <v>2.3600000000000006E-2</v>
      </c>
      <c r="Y93" s="152">
        <f t="shared" si="242"/>
        <v>2.360000000000001E-2</v>
      </c>
      <c r="Z93" s="152">
        <f t="shared" si="242"/>
        <v>2.360000000000001E-2</v>
      </c>
      <c r="AA93" s="152">
        <f t="shared" si="242"/>
        <v>2.360000000000001E-2</v>
      </c>
      <c r="AB93" s="152">
        <f t="shared" si="242"/>
        <v>2.3600000000000006E-2</v>
      </c>
      <c r="AC93" s="138" t="e">
        <f t="shared" si="218"/>
        <v>#DIV/0!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 t="e">
        <f>1/G90</f>
        <v>#DIV/0!</v>
      </c>
      <c r="H96" s="127" t="e">
        <f t="shared" ref="H96:P96" si="247">1/H90</f>
        <v>#DIV/0!</v>
      </c>
      <c r="I96" s="127" t="e">
        <f t="shared" si="247"/>
        <v>#DIV/0!</v>
      </c>
      <c r="J96" s="127" t="e">
        <f t="shared" si="247"/>
        <v>#DIV/0!</v>
      </c>
      <c r="K96" s="127" t="e">
        <f t="shared" si="247"/>
        <v>#DIV/0!</v>
      </c>
      <c r="L96" s="127" t="e">
        <f t="shared" si="247"/>
        <v>#DIV/0!</v>
      </c>
      <c r="M96" s="127" t="e">
        <f t="shared" si="247"/>
        <v>#DIV/0!</v>
      </c>
      <c r="N96" s="127" t="e">
        <f t="shared" si="247"/>
        <v>#DIV/0!</v>
      </c>
      <c r="O96" s="127">
        <f t="shared" si="247"/>
        <v>7871.4285714285706</v>
      </c>
      <c r="P96" s="127">
        <f t="shared" si="247"/>
        <v>1172.8813559322034</v>
      </c>
      <c r="Q96" s="118" t="e">
        <f t="shared" si="216"/>
        <v>#DIV/0!</v>
      </c>
      <c r="R96" s="20"/>
      <c r="S96" s="127">
        <f t="shared" ref="S96:AB96" si="248">1/S90</f>
        <v>1172.8813559322034</v>
      </c>
      <c r="T96" s="127">
        <f t="shared" si="248"/>
        <v>1172.8813559322034</v>
      </c>
      <c r="U96" s="127">
        <f t="shared" si="248"/>
        <v>1172.8813559322034</v>
      </c>
      <c r="V96" s="127">
        <f t="shared" si="248"/>
        <v>1172.8813559322032</v>
      </c>
      <c r="W96" s="127">
        <f t="shared" si="248"/>
        <v>1172.8813559322034</v>
      </c>
      <c r="X96" s="127">
        <f t="shared" si="248"/>
        <v>1172.8813559322032</v>
      </c>
      <c r="Y96" s="127">
        <f t="shared" si="248"/>
        <v>1172.8813559322032</v>
      </c>
      <c r="Z96" s="127">
        <f t="shared" si="248"/>
        <v>1172.8813559322032</v>
      </c>
      <c r="AA96" s="127">
        <f t="shared" si="248"/>
        <v>1172.8813559322032</v>
      </c>
      <c r="AB96" s="127">
        <f t="shared" si="248"/>
        <v>1172.8813559322032</v>
      </c>
      <c r="AC96" s="138" t="e">
        <f t="shared" si="218"/>
        <v>#DIV/0!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 t="e">
        <f t="shared" ref="G97:P100" si="249">1/G91</f>
        <v>#DIV/0!</v>
      </c>
      <c r="H97" s="127" t="e">
        <f t="shared" si="249"/>
        <v>#DIV/0!</v>
      </c>
      <c r="I97" s="127" t="e">
        <f t="shared" si="249"/>
        <v>#DIV/0!</v>
      </c>
      <c r="J97" s="127" t="e">
        <f t="shared" si="249"/>
        <v>#DIV/0!</v>
      </c>
      <c r="K97" s="127" t="e">
        <f t="shared" si="249"/>
        <v>#DIV/0!</v>
      </c>
      <c r="L97" s="127" t="e">
        <f t="shared" si="249"/>
        <v>#DIV/0!</v>
      </c>
      <c r="M97" s="127" t="e">
        <f t="shared" si="249"/>
        <v>#DIV/0!</v>
      </c>
      <c r="N97" s="127" t="e">
        <f t="shared" si="249"/>
        <v>#DIV/0!</v>
      </c>
      <c r="O97" s="127">
        <f t="shared" si="249"/>
        <v>900</v>
      </c>
      <c r="P97" s="127">
        <f t="shared" si="249"/>
        <v>98.305084745762713</v>
      </c>
      <c r="Q97" s="118" t="e">
        <f t="shared" si="216"/>
        <v>#DIV/0!</v>
      </c>
      <c r="R97" s="20"/>
      <c r="S97" s="127">
        <f t="shared" ref="S97:AB97" si="250">1/S91</f>
        <v>98.305084745762713</v>
      </c>
      <c r="T97" s="127">
        <f t="shared" si="250"/>
        <v>98.305084745762713</v>
      </c>
      <c r="U97" s="127">
        <f t="shared" si="250"/>
        <v>98.305084745762699</v>
      </c>
      <c r="V97" s="127">
        <f t="shared" si="250"/>
        <v>98.305084745762699</v>
      </c>
      <c r="W97" s="127">
        <f t="shared" si="250"/>
        <v>98.305084745762699</v>
      </c>
      <c r="X97" s="127">
        <f t="shared" si="250"/>
        <v>98.305084745762699</v>
      </c>
      <c r="Y97" s="127">
        <f t="shared" si="250"/>
        <v>98.305084745762699</v>
      </c>
      <c r="Z97" s="127">
        <f t="shared" si="250"/>
        <v>98.305084745762699</v>
      </c>
      <c r="AA97" s="127">
        <f t="shared" si="250"/>
        <v>98.305084745762699</v>
      </c>
      <c r="AB97" s="127">
        <f t="shared" si="250"/>
        <v>98.305084745762699</v>
      </c>
      <c r="AC97" s="138" t="e">
        <f t="shared" si="218"/>
        <v>#DIV/0!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 t="e">
        <f t="shared" si="249"/>
        <v>#DIV/0!</v>
      </c>
      <c r="H98" s="127" t="e">
        <f t="shared" si="249"/>
        <v>#DIV/0!</v>
      </c>
      <c r="I98" s="127" t="e">
        <f t="shared" si="249"/>
        <v>#DIV/0!</v>
      </c>
      <c r="J98" s="127" t="e">
        <f t="shared" si="249"/>
        <v>#DIV/0!</v>
      </c>
      <c r="K98" s="127" t="e">
        <f t="shared" si="249"/>
        <v>#DIV/0!</v>
      </c>
      <c r="L98" s="127" t="e">
        <f t="shared" si="249"/>
        <v>#DIV/0!</v>
      </c>
      <c r="M98" s="127" t="e">
        <f t="shared" si="249"/>
        <v>#DIV/0!</v>
      </c>
      <c r="N98" s="127" t="e">
        <f t="shared" si="249"/>
        <v>#DIV/0!</v>
      </c>
      <c r="O98" s="127">
        <f t="shared" si="249"/>
        <v>600</v>
      </c>
      <c r="P98" s="127">
        <f t="shared" si="249"/>
        <v>55.932203389830505</v>
      </c>
      <c r="Q98" s="118" t="e">
        <f t="shared" si="216"/>
        <v>#DIV/0!</v>
      </c>
      <c r="R98" s="20"/>
      <c r="S98" s="127">
        <f t="shared" ref="S98:AB98" si="251">1/S92</f>
        <v>55.932203389830505</v>
      </c>
      <c r="T98" s="127">
        <f t="shared" si="251"/>
        <v>55.932203389830505</v>
      </c>
      <c r="U98" s="127">
        <f t="shared" si="251"/>
        <v>55.932203389830505</v>
      </c>
      <c r="V98" s="127">
        <f t="shared" si="251"/>
        <v>55.932203389830505</v>
      </c>
      <c r="W98" s="127">
        <f t="shared" si="251"/>
        <v>55.932203389830498</v>
      </c>
      <c r="X98" s="127">
        <f t="shared" si="251"/>
        <v>55.932203389830498</v>
      </c>
      <c r="Y98" s="127">
        <f t="shared" si="251"/>
        <v>55.932203389830498</v>
      </c>
      <c r="Z98" s="127">
        <f t="shared" si="251"/>
        <v>55.932203389830484</v>
      </c>
      <c r="AA98" s="127">
        <f t="shared" si="251"/>
        <v>55.932203389830484</v>
      </c>
      <c r="AB98" s="127">
        <f t="shared" si="251"/>
        <v>55.932203389830484</v>
      </c>
      <c r="AC98" s="138" t="e">
        <f t="shared" si="218"/>
        <v>#DIV/0!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 t="e">
        <f t="shared" si="249"/>
        <v>#DIV/0!</v>
      </c>
      <c r="H99" s="127" t="e">
        <f t="shared" si="249"/>
        <v>#DIV/0!</v>
      </c>
      <c r="I99" s="127" t="e">
        <f t="shared" si="249"/>
        <v>#DIV/0!</v>
      </c>
      <c r="J99" s="127" t="e">
        <f t="shared" si="249"/>
        <v>#DIV/0!</v>
      </c>
      <c r="K99" s="127" t="e">
        <f t="shared" si="249"/>
        <v>#DIV/0!</v>
      </c>
      <c r="L99" s="127" t="e">
        <f t="shared" si="249"/>
        <v>#DIV/0!</v>
      </c>
      <c r="M99" s="127" t="e">
        <f t="shared" si="249"/>
        <v>#DIV/0!</v>
      </c>
      <c r="N99" s="127" t="e">
        <f t="shared" si="249"/>
        <v>#DIV/0!</v>
      </c>
      <c r="O99" s="127">
        <f t="shared" si="249"/>
        <v>471.42857142857139</v>
      </c>
      <c r="P99" s="127">
        <f t="shared" si="249"/>
        <v>42.372881355932208</v>
      </c>
      <c r="Q99" s="118" t="e">
        <f t="shared" si="216"/>
        <v>#DIV/0!</v>
      </c>
      <c r="R99" s="20"/>
      <c r="S99" s="127">
        <f t="shared" ref="S99:AB99" si="252">1/S93</f>
        <v>42.372881355932208</v>
      </c>
      <c r="T99" s="127">
        <f t="shared" si="252"/>
        <v>42.372881355932208</v>
      </c>
      <c r="U99" s="127">
        <f t="shared" si="252"/>
        <v>42.372881355932208</v>
      </c>
      <c r="V99" s="127">
        <f t="shared" si="252"/>
        <v>42.372881355932201</v>
      </c>
      <c r="W99" s="127">
        <f t="shared" si="252"/>
        <v>42.372881355932201</v>
      </c>
      <c r="X99" s="127">
        <f t="shared" si="252"/>
        <v>42.372881355932194</v>
      </c>
      <c r="Y99" s="127">
        <f t="shared" si="252"/>
        <v>42.372881355932186</v>
      </c>
      <c r="Z99" s="127">
        <f t="shared" si="252"/>
        <v>42.372881355932186</v>
      </c>
      <c r="AA99" s="127">
        <f t="shared" si="252"/>
        <v>42.372881355932186</v>
      </c>
      <c r="AB99" s="127">
        <f t="shared" si="252"/>
        <v>42.372881355932194</v>
      </c>
      <c r="AC99" s="138" t="e">
        <f t="shared" si="218"/>
        <v>#DIV/0!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-3.5</v>
      </c>
      <c r="H103" s="163">
        <f t="shared" si="254"/>
        <v>-6.06</v>
      </c>
      <c r="I103" s="163">
        <f t="shared" si="254"/>
        <v>-12.01</v>
      </c>
      <c r="J103" s="163">
        <f t="shared" si="254"/>
        <v>-12.01</v>
      </c>
      <c r="K103" s="163">
        <f t="shared" si="254"/>
        <v>-9.51</v>
      </c>
      <c r="L103" s="163">
        <f t="shared" si="254"/>
        <v>-15</v>
      </c>
      <c r="M103" s="163">
        <f t="shared" si="254"/>
        <v>-15</v>
      </c>
      <c r="N103" s="163">
        <f t="shared" si="254"/>
        <v>-243</v>
      </c>
      <c r="O103" s="163">
        <f t="shared" si="254"/>
        <v>-40.5</v>
      </c>
      <c r="P103" s="163">
        <f>P10-(P12+P13)</f>
        <v>-16</v>
      </c>
      <c r="Q103" s="118">
        <f t="shared" si="216"/>
        <v>0.18396565470885062</v>
      </c>
      <c r="R103" s="20"/>
      <c r="S103" s="163">
        <f>S10-(S12+S13)</f>
        <v>-17.920000000000002</v>
      </c>
      <c r="T103" s="163">
        <f t="shared" ref="T103:AB103" si="255">T10-(T12+T13)</f>
        <v>-20.070399999999999</v>
      </c>
      <c r="U103" s="163">
        <f t="shared" si="255"/>
        <v>-22.478848000000006</v>
      </c>
      <c r="V103" s="163">
        <f t="shared" si="255"/>
        <v>-25.176309760000009</v>
      </c>
      <c r="W103" s="163">
        <f t="shared" si="255"/>
        <v>-28.197466931200008</v>
      </c>
      <c r="X103" s="163">
        <f t="shared" si="255"/>
        <v>-31.581162962944013</v>
      </c>
      <c r="Y103" s="163">
        <f t="shared" si="255"/>
        <v>-35.370902518497296</v>
      </c>
      <c r="Z103" s="163">
        <f t="shared" si="255"/>
        <v>-39.61541082071696</v>
      </c>
      <c r="AA103" s="163">
        <f t="shared" si="255"/>
        <v>-44.36926011920302</v>
      </c>
      <c r="AB103" s="163">
        <f t="shared" si="255"/>
        <v>-49.693571333507393</v>
      </c>
      <c r="AC103" s="138">
        <f t="shared" si="218"/>
        <v>0.14985690663687379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6">G40/G18</f>
        <v>9.7999999999999989</v>
      </c>
      <c r="H104" s="152">
        <f t="shared" si="256"/>
        <v>25.75</v>
      </c>
      <c r="I104" s="152">
        <f t="shared" si="256"/>
        <v>137.25</v>
      </c>
      <c r="J104" s="152" t="e">
        <f t="shared" si="256"/>
        <v>#DIV/0!</v>
      </c>
      <c r="K104" s="152" t="e">
        <f t="shared" si="256"/>
        <v>#DIV/0!</v>
      </c>
      <c r="L104" s="152">
        <f t="shared" si="256"/>
        <v>140</v>
      </c>
      <c r="M104" s="152">
        <f t="shared" si="256"/>
        <v>63</v>
      </c>
      <c r="N104" s="152" t="e">
        <f t="shared" si="256"/>
        <v>#DIV/0!</v>
      </c>
      <c r="O104" s="152">
        <f t="shared" si="256"/>
        <v>0.20095693779904306</v>
      </c>
      <c r="P104" s="152">
        <f t="shared" si="256"/>
        <v>9.4555873925501438E-2</v>
      </c>
      <c r="Q104" s="118">
        <f t="shared" si="216"/>
        <v>-0.40289407325880411</v>
      </c>
      <c r="R104" s="20"/>
      <c r="S104" s="152">
        <f t="shared" ref="S104:AB104" si="257">S40/S18</f>
        <v>9.4555873925501424E-2</v>
      </c>
      <c r="T104" s="152">
        <f t="shared" si="257"/>
        <v>9.455587392550141E-2</v>
      </c>
      <c r="U104" s="152">
        <f t="shared" si="257"/>
        <v>9.4555873925501424E-2</v>
      </c>
      <c r="V104" s="152">
        <f t="shared" si="257"/>
        <v>9.4555873925501424E-2</v>
      </c>
      <c r="W104" s="152">
        <f t="shared" si="257"/>
        <v>9.4555873925501424E-2</v>
      </c>
      <c r="X104" s="152">
        <f t="shared" si="257"/>
        <v>9.4555873925501438E-2</v>
      </c>
      <c r="Y104" s="152">
        <f t="shared" si="257"/>
        <v>9.4555873925501424E-2</v>
      </c>
      <c r="Z104" s="152">
        <f t="shared" si="257"/>
        <v>9.4555873925501424E-2</v>
      </c>
      <c r="AA104" s="152">
        <f t="shared" si="257"/>
        <v>9.4555873925501424E-2</v>
      </c>
      <c r="AB104" s="152">
        <f t="shared" si="257"/>
        <v>9.455587392550141E-2</v>
      </c>
      <c r="AC104" s="138">
        <f t="shared" si="218"/>
        <v>-0.21671632416644293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8">G40/G25</f>
        <v>0.73134328358208944</v>
      </c>
      <c r="H105" s="152">
        <f t="shared" si="258"/>
        <v>0.88034188034188043</v>
      </c>
      <c r="I105" s="152">
        <f t="shared" si="258"/>
        <v>1.0980000000000001</v>
      </c>
      <c r="J105" s="152">
        <f t="shared" si="258"/>
        <v>0.88888888888888884</v>
      </c>
      <c r="K105" s="152">
        <f t="shared" si="258"/>
        <v>0.88235294117647056</v>
      </c>
      <c r="L105" s="152">
        <f t="shared" si="258"/>
        <v>0.82352941176470584</v>
      </c>
      <c r="M105" s="152">
        <f t="shared" si="258"/>
        <v>0.86301369863013699</v>
      </c>
      <c r="N105" s="152">
        <f t="shared" si="258"/>
        <v>-10.789473684210526</v>
      </c>
      <c r="O105" s="152">
        <f t="shared" si="258"/>
        <v>7.6225045372050812E-2</v>
      </c>
      <c r="P105" s="152">
        <f t="shared" si="258"/>
        <v>4.7687861271676298E-2</v>
      </c>
      <c r="Q105" s="118">
        <f t="shared" si="216"/>
        <v>-0.26166396816265514</v>
      </c>
      <c r="R105" s="20"/>
      <c r="S105" s="152">
        <f t="shared" ref="S105:AB105" si="259">S40/S25</f>
        <v>4.7687861271676298E-2</v>
      </c>
      <c r="T105" s="152">
        <f t="shared" si="259"/>
        <v>4.7687861271676298E-2</v>
      </c>
      <c r="U105" s="152">
        <f t="shared" si="259"/>
        <v>4.7687861271676298E-2</v>
      </c>
      <c r="V105" s="152">
        <f t="shared" si="259"/>
        <v>4.7687861271676305E-2</v>
      </c>
      <c r="W105" s="152">
        <f t="shared" si="259"/>
        <v>4.7687861271676298E-2</v>
      </c>
      <c r="X105" s="152">
        <f t="shared" si="259"/>
        <v>4.7687861271676298E-2</v>
      </c>
      <c r="Y105" s="152">
        <f t="shared" si="259"/>
        <v>4.7687861271676298E-2</v>
      </c>
      <c r="Z105" s="152">
        <f t="shared" si="259"/>
        <v>4.7687861271676291E-2</v>
      </c>
      <c r="AA105" s="152">
        <f t="shared" si="259"/>
        <v>4.7687861271676291E-2</v>
      </c>
      <c r="AB105" s="152">
        <f t="shared" si="259"/>
        <v>4.7687861271676291E-2</v>
      </c>
      <c r="AC105" s="138">
        <f t="shared" si="218"/>
        <v>-0.13384816480783712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0">G25/G18</f>
        <v>13.4</v>
      </c>
      <c r="H106" s="152">
        <f t="shared" si="260"/>
        <v>29.249999999999996</v>
      </c>
      <c r="I106" s="152">
        <f t="shared" si="260"/>
        <v>125</v>
      </c>
      <c r="J106" s="152" t="e">
        <f t="shared" si="260"/>
        <v>#DIV/0!</v>
      </c>
      <c r="K106" s="152" t="e">
        <f t="shared" si="260"/>
        <v>#DIV/0!</v>
      </c>
      <c r="L106" s="152">
        <f t="shared" si="260"/>
        <v>170</v>
      </c>
      <c r="M106" s="152">
        <f t="shared" si="260"/>
        <v>73</v>
      </c>
      <c r="N106" s="152" t="e">
        <f t="shared" si="260"/>
        <v>#DIV/0!</v>
      </c>
      <c r="O106" s="152">
        <f t="shared" si="260"/>
        <v>2.6363636363636362</v>
      </c>
      <c r="P106" s="152">
        <f>P25/P18</f>
        <v>1.9828080229226361</v>
      </c>
      <c r="Q106" s="118">
        <f t="shared" si="216"/>
        <v>-0.19128161027804469</v>
      </c>
      <c r="R106" s="20"/>
      <c r="S106" s="152">
        <f>S25/S18</f>
        <v>1.9828080229226361</v>
      </c>
      <c r="T106" s="152">
        <f t="shared" ref="T106:AB106" si="261">T25/T18</f>
        <v>1.9828080229226359</v>
      </c>
      <c r="U106" s="152">
        <f t="shared" si="261"/>
        <v>1.9828080229226361</v>
      </c>
      <c r="V106" s="152">
        <f t="shared" si="261"/>
        <v>1.9828080229226359</v>
      </c>
      <c r="W106" s="152">
        <f t="shared" si="261"/>
        <v>1.9828080229226364</v>
      </c>
      <c r="X106" s="152">
        <f t="shared" si="261"/>
        <v>1.9828080229226364</v>
      </c>
      <c r="Y106" s="152">
        <f t="shared" si="261"/>
        <v>1.9828080229226361</v>
      </c>
      <c r="Z106" s="152">
        <f t="shared" si="261"/>
        <v>1.9828080229226361</v>
      </c>
      <c r="AA106" s="152">
        <f t="shared" si="261"/>
        <v>1.9828080229226361</v>
      </c>
      <c r="AB106" s="152">
        <f t="shared" si="261"/>
        <v>1.9828080229226359</v>
      </c>
      <c r="AC106" s="138">
        <f t="shared" si="218"/>
        <v>-9.5673940747606601E-2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0</v>
      </c>
      <c r="H108" s="165">
        <f t="shared" ref="H108:P108" si="263">H68*H42</f>
        <v>0</v>
      </c>
      <c r="I108" s="165">
        <f t="shared" si="263"/>
        <v>0</v>
      </c>
      <c r="J108" s="165">
        <f t="shared" si="263"/>
        <v>0</v>
      </c>
      <c r="K108" s="165">
        <f t="shared" si="263"/>
        <v>0</v>
      </c>
      <c r="L108" s="165">
        <f t="shared" si="263"/>
        <v>2.4000000000000004</v>
      </c>
      <c r="M108" s="165">
        <f t="shared" si="263"/>
        <v>0</v>
      </c>
      <c r="N108" s="165">
        <f t="shared" si="263"/>
        <v>0</v>
      </c>
      <c r="O108" s="165">
        <f t="shared" si="263"/>
        <v>0</v>
      </c>
      <c r="P108" s="165">
        <f t="shared" si="263"/>
        <v>0</v>
      </c>
      <c r="Q108" s="118" t="e">
        <f t="shared" si="216"/>
        <v>#DIV/0!</v>
      </c>
      <c r="R108" s="20"/>
      <c r="S108" s="165">
        <f t="shared" ref="S108:AB108" si="264">S68*S42</f>
        <v>0</v>
      </c>
      <c r="T108" s="165">
        <f t="shared" si="264"/>
        <v>0</v>
      </c>
      <c r="U108" s="165">
        <f t="shared" si="264"/>
        <v>0</v>
      </c>
      <c r="V108" s="165">
        <f t="shared" si="264"/>
        <v>0</v>
      </c>
      <c r="W108" s="165">
        <f t="shared" si="264"/>
        <v>0</v>
      </c>
      <c r="X108" s="165">
        <f t="shared" si="264"/>
        <v>0</v>
      </c>
      <c r="Y108" s="165">
        <f t="shared" si="264"/>
        <v>0</v>
      </c>
      <c r="Z108" s="165">
        <f t="shared" si="264"/>
        <v>0</v>
      </c>
      <c r="AA108" s="165">
        <f t="shared" si="264"/>
        <v>0</v>
      </c>
      <c r="AB108" s="165">
        <f t="shared" si="264"/>
        <v>0</v>
      </c>
      <c r="AC108" s="138" t="e">
        <f t="shared" si="218"/>
        <v>#DIV/0!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0</v>
      </c>
      <c r="H109" s="165">
        <f t="shared" si="265"/>
        <v>0</v>
      </c>
      <c r="I109" s="165">
        <f t="shared" si="265"/>
        <v>0</v>
      </c>
      <c r="J109" s="165">
        <f t="shared" si="265"/>
        <v>0</v>
      </c>
      <c r="K109" s="165">
        <f t="shared" si="265"/>
        <v>0</v>
      </c>
      <c r="L109" s="165">
        <f t="shared" si="265"/>
        <v>2.8080000000000003</v>
      </c>
      <c r="M109" s="165">
        <f t="shared" si="265"/>
        <v>0</v>
      </c>
      <c r="N109" s="165">
        <f t="shared" si="265"/>
        <v>0</v>
      </c>
      <c r="O109" s="165">
        <f t="shared" si="265"/>
        <v>0</v>
      </c>
      <c r="P109" s="165">
        <f t="shared" si="265"/>
        <v>0</v>
      </c>
      <c r="Q109" s="118" t="e">
        <f t="shared" si="216"/>
        <v>#DIV/0!</v>
      </c>
      <c r="R109" s="20"/>
      <c r="S109" s="165">
        <f t="shared" ref="S109:AB109" si="266">(S108*0.17)+S108</f>
        <v>0</v>
      </c>
      <c r="T109" s="165">
        <f t="shared" si="266"/>
        <v>0</v>
      </c>
      <c r="U109" s="165">
        <f t="shared" si="266"/>
        <v>0</v>
      </c>
      <c r="V109" s="165">
        <f t="shared" si="266"/>
        <v>0</v>
      </c>
      <c r="W109" s="165">
        <f t="shared" si="266"/>
        <v>0</v>
      </c>
      <c r="X109" s="165">
        <f t="shared" si="266"/>
        <v>0</v>
      </c>
      <c r="Y109" s="165">
        <f t="shared" si="266"/>
        <v>0</v>
      </c>
      <c r="Z109" s="165">
        <f t="shared" si="266"/>
        <v>0</v>
      </c>
      <c r="AA109" s="165">
        <f t="shared" si="266"/>
        <v>0</v>
      </c>
      <c r="AB109" s="165">
        <f t="shared" si="266"/>
        <v>0</v>
      </c>
      <c r="AC109" s="138" t="e">
        <f t="shared" si="218"/>
        <v>#DIV/0!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</v>
      </c>
      <c r="H110" s="152">
        <f t="shared" si="267"/>
        <v>0</v>
      </c>
      <c r="I110" s="152">
        <f t="shared" si="267"/>
        <v>0</v>
      </c>
      <c r="J110" s="152">
        <f t="shared" si="267"/>
        <v>0</v>
      </c>
      <c r="K110" s="152">
        <f t="shared" si="267"/>
        <v>0</v>
      </c>
      <c r="L110" s="152">
        <f t="shared" si="267"/>
        <v>2.0057142857142862</v>
      </c>
      <c r="M110" s="152">
        <f t="shared" si="267"/>
        <v>0</v>
      </c>
      <c r="N110" s="152">
        <f t="shared" si="267"/>
        <v>0</v>
      </c>
      <c r="O110" s="152">
        <f t="shared" si="267"/>
        <v>0</v>
      </c>
      <c r="P110" s="152">
        <f t="shared" si="267"/>
        <v>0</v>
      </c>
      <c r="Q110" s="118" t="e">
        <f t="shared" si="216"/>
        <v>#DIV/0!</v>
      </c>
      <c r="R110" s="20"/>
      <c r="S110" s="152">
        <f t="shared" ref="S110:AB110" si="268">S109/S40</f>
        <v>0</v>
      </c>
      <c r="T110" s="152">
        <f t="shared" si="268"/>
        <v>0</v>
      </c>
      <c r="U110" s="152">
        <f t="shared" si="268"/>
        <v>0</v>
      </c>
      <c r="V110" s="152">
        <f t="shared" si="268"/>
        <v>0</v>
      </c>
      <c r="W110" s="152">
        <f t="shared" si="268"/>
        <v>0</v>
      </c>
      <c r="X110" s="152">
        <f t="shared" si="268"/>
        <v>0</v>
      </c>
      <c r="Y110" s="152">
        <f t="shared" si="268"/>
        <v>0</v>
      </c>
      <c r="Z110" s="152">
        <f t="shared" si="268"/>
        <v>0</v>
      </c>
      <c r="AA110" s="152">
        <f t="shared" si="268"/>
        <v>0</v>
      </c>
      <c r="AB110" s="152">
        <f t="shared" si="268"/>
        <v>0</v>
      </c>
      <c r="AC110" s="138" t="e">
        <f t="shared" si="218"/>
        <v>#DIV/0!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1</v>
      </c>
      <c r="H111" s="152">
        <f t="shared" ref="H111:P111" si="269">1-H110</f>
        <v>1</v>
      </c>
      <c r="I111" s="152">
        <f t="shared" si="269"/>
        <v>1</v>
      </c>
      <c r="J111" s="152">
        <f t="shared" si="269"/>
        <v>1</v>
      </c>
      <c r="K111" s="152">
        <f t="shared" si="269"/>
        <v>1</v>
      </c>
      <c r="L111" s="152">
        <f t="shared" si="269"/>
        <v>-1.0057142857142862</v>
      </c>
      <c r="M111" s="152">
        <f t="shared" si="269"/>
        <v>1</v>
      </c>
      <c r="N111" s="152">
        <f t="shared" si="269"/>
        <v>1</v>
      </c>
      <c r="O111" s="152">
        <f t="shared" si="269"/>
        <v>1</v>
      </c>
      <c r="P111" s="152">
        <f t="shared" si="269"/>
        <v>1</v>
      </c>
      <c r="Q111" s="118">
        <f t="shared" si="216"/>
        <v>0</v>
      </c>
      <c r="R111" s="20"/>
      <c r="S111" s="152">
        <f t="shared" ref="S111:AB111" si="270">1-S110</f>
        <v>1</v>
      </c>
      <c r="T111" s="152">
        <f t="shared" si="270"/>
        <v>1</v>
      </c>
      <c r="U111" s="152">
        <f t="shared" si="270"/>
        <v>1</v>
      </c>
      <c r="V111" s="152">
        <f t="shared" si="270"/>
        <v>1</v>
      </c>
      <c r="W111" s="152">
        <f t="shared" si="270"/>
        <v>1</v>
      </c>
      <c r="X111" s="152">
        <f t="shared" si="270"/>
        <v>1</v>
      </c>
      <c r="Y111" s="152">
        <f t="shared" si="270"/>
        <v>1</v>
      </c>
      <c r="Z111" s="152">
        <f t="shared" si="270"/>
        <v>1</v>
      </c>
      <c r="AA111" s="152">
        <f t="shared" si="270"/>
        <v>1</v>
      </c>
      <c r="AB111" s="152">
        <f t="shared" si="270"/>
        <v>1</v>
      </c>
      <c r="AC111" s="138">
        <f t="shared" si="218"/>
        <v>0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4.4776119402985072E-2</v>
      </c>
      <c r="H116" s="152">
        <f t="shared" ref="H116:P116" si="275">H27/H25</f>
        <v>2.564102564102564E-2</v>
      </c>
      <c r="I116" s="152">
        <f t="shared" si="275"/>
        <v>1.4000000000000002E-2</v>
      </c>
      <c r="J116" s="152">
        <f t="shared" si="275"/>
        <v>2.9629629629629627E-2</v>
      </c>
      <c r="K116" s="152">
        <f t="shared" si="275"/>
        <v>2.3529411764705882E-2</v>
      </c>
      <c r="L116" s="152">
        <f t="shared" si="275"/>
        <v>0.13529411764705884</v>
      </c>
      <c r="M116" s="152">
        <f t="shared" si="275"/>
        <v>0.15068493150684931</v>
      </c>
      <c r="N116" s="152">
        <f t="shared" si="275"/>
        <v>11.210526315789473</v>
      </c>
      <c r="O116" s="152">
        <f t="shared" si="275"/>
        <v>0.8784029038112523</v>
      </c>
      <c r="P116" s="152">
        <f t="shared" si="275"/>
        <v>0.90462427745664742</v>
      </c>
      <c r="Q116" s="118">
        <f t="shared" si="216"/>
        <v>0.3965190528242355</v>
      </c>
      <c r="R116" s="20"/>
      <c r="S116" s="152">
        <f t="shared" ref="S116:AB116" si="276">S27/S25</f>
        <v>0.90462427745664742</v>
      </c>
      <c r="T116" s="152">
        <f t="shared" si="276"/>
        <v>0.90462427745664753</v>
      </c>
      <c r="U116" s="152">
        <f t="shared" si="276"/>
        <v>0.90462427745664753</v>
      </c>
      <c r="V116" s="152">
        <f t="shared" si="276"/>
        <v>0.90462427745664764</v>
      </c>
      <c r="W116" s="152">
        <f t="shared" si="276"/>
        <v>0.90462427745664764</v>
      </c>
      <c r="X116" s="152">
        <f t="shared" si="276"/>
        <v>0.90462427745664775</v>
      </c>
      <c r="Y116" s="152">
        <f t="shared" si="276"/>
        <v>0.90462427745664775</v>
      </c>
      <c r="Z116" s="152">
        <f t="shared" si="276"/>
        <v>0.90462427745664775</v>
      </c>
      <c r="AA116" s="152">
        <f t="shared" si="276"/>
        <v>0.90462427745664775</v>
      </c>
      <c r="AB116" s="152">
        <f t="shared" si="276"/>
        <v>0.90462427745664775</v>
      </c>
      <c r="AC116" s="138">
        <f t="shared" si="218"/>
        <v>0.17140321009711701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</v>
      </c>
      <c r="H117" s="152">
        <f t="shared" ref="H117:P117" si="277">H33/H25</f>
        <v>0</v>
      </c>
      <c r="I117" s="152">
        <f t="shared" si="277"/>
        <v>0</v>
      </c>
      <c r="J117" s="152">
        <f t="shared" si="277"/>
        <v>0</v>
      </c>
      <c r="K117" s="152">
        <f t="shared" si="277"/>
        <v>0</v>
      </c>
      <c r="L117" s="152">
        <f t="shared" si="277"/>
        <v>0</v>
      </c>
      <c r="M117" s="152">
        <f t="shared" si="277"/>
        <v>0</v>
      </c>
      <c r="N117" s="152">
        <f t="shared" si="277"/>
        <v>7.8947368421052628</v>
      </c>
      <c r="O117" s="152">
        <f t="shared" si="277"/>
        <v>0.44464609800362975</v>
      </c>
      <c r="P117" s="152">
        <f t="shared" si="277"/>
        <v>0.44797687861271679</v>
      </c>
      <c r="Q117" s="118" t="e">
        <f t="shared" si="216"/>
        <v>#DIV/0!</v>
      </c>
      <c r="R117" s="20"/>
      <c r="S117" s="152">
        <f t="shared" ref="S117:AB117" si="278">S33/S25</f>
        <v>0.44797687861271679</v>
      </c>
      <c r="T117" s="152">
        <f t="shared" si="278"/>
        <v>0.44797687861271679</v>
      </c>
      <c r="U117" s="152">
        <f t="shared" si="278"/>
        <v>0.44797687861271679</v>
      </c>
      <c r="V117" s="152">
        <f t="shared" si="278"/>
        <v>0.44797687861271679</v>
      </c>
      <c r="W117" s="152">
        <f t="shared" si="278"/>
        <v>0.44797687861271673</v>
      </c>
      <c r="X117" s="152">
        <f t="shared" si="278"/>
        <v>0.44797687861271679</v>
      </c>
      <c r="Y117" s="152">
        <f t="shared" si="278"/>
        <v>0.44797687861271684</v>
      </c>
      <c r="Z117" s="152">
        <f t="shared" si="278"/>
        <v>0.4479768786127169</v>
      </c>
      <c r="AA117" s="152">
        <f t="shared" si="278"/>
        <v>0.4479768786127169</v>
      </c>
      <c r="AB117" s="152">
        <f t="shared" si="278"/>
        <v>0.4479768786127169</v>
      </c>
      <c r="AC117" s="138" t="e">
        <f t="shared" si="218"/>
        <v>#DIV/0!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0</v>
      </c>
      <c r="H118" s="152">
        <f t="shared" ref="H118:P118" si="279">H34/H25</f>
        <v>0</v>
      </c>
      <c r="I118" s="152">
        <f t="shared" si="279"/>
        <v>0</v>
      </c>
      <c r="J118" s="152">
        <f t="shared" si="279"/>
        <v>0</v>
      </c>
      <c r="K118" s="152">
        <f t="shared" si="279"/>
        <v>0</v>
      </c>
      <c r="L118" s="152">
        <f t="shared" si="279"/>
        <v>2.9411764705882356E-2</v>
      </c>
      <c r="M118" s="152">
        <f t="shared" si="279"/>
        <v>0.10958904109589042</v>
      </c>
      <c r="N118" s="152">
        <f t="shared" si="279"/>
        <v>1.368421052631579</v>
      </c>
      <c r="O118" s="152">
        <f t="shared" si="279"/>
        <v>0.11796733212341198</v>
      </c>
      <c r="P118" s="152">
        <f t="shared" si="279"/>
        <v>0.10982658959537572</v>
      </c>
      <c r="Q118" s="118" t="e">
        <f t="shared" si="216"/>
        <v>#DIV/0!</v>
      </c>
      <c r="R118" s="20"/>
      <c r="S118" s="152">
        <f t="shared" ref="S118:AB118" si="280">S34/S25</f>
        <v>0.10982658959537572</v>
      </c>
      <c r="T118" s="152">
        <f t="shared" si="280"/>
        <v>0.10982658959537572</v>
      </c>
      <c r="U118" s="152">
        <f t="shared" si="280"/>
        <v>0.10982658959537572</v>
      </c>
      <c r="V118" s="152">
        <f t="shared" si="280"/>
        <v>0.10982658959537574</v>
      </c>
      <c r="W118" s="152">
        <f t="shared" si="280"/>
        <v>0.10982658959537572</v>
      </c>
      <c r="X118" s="152">
        <f t="shared" si="280"/>
        <v>0.10982658959537571</v>
      </c>
      <c r="Y118" s="152">
        <f t="shared" si="280"/>
        <v>0.10982658959537572</v>
      </c>
      <c r="Z118" s="152">
        <f t="shared" si="280"/>
        <v>0.10982658959537572</v>
      </c>
      <c r="AA118" s="152">
        <f t="shared" si="280"/>
        <v>0.10982658959537572</v>
      </c>
      <c r="AB118" s="152">
        <f t="shared" si="280"/>
        <v>0.10982658959537574</v>
      </c>
      <c r="AC118" s="138" t="e">
        <f t="shared" si="218"/>
        <v>#DIV/0!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 t="e">
        <f>G15/G9</f>
        <v>#DIV/0!</v>
      </c>
      <c r="H121" s="25" t="e">
        <f t="shared" ref="H121:AB121" si="281">H15/H9</f>
        <v>#DIV/0!</v>
      </c>
      <c r="I121" s="25" t="e">
        <f t="shared" si="281"/>
        <v>#DIV/0!</v>
      </c>
      <c r="J121" s="25" t="e">
        <f t="shared" si="281"/>
        <v>#DIV/0!</v>
      </c>
      <c r="K121" s="25" t="e">
        <f t="shared" si="281"/>
        <v>#DIV/0!</v>
      </c>
      <c r="L121" s="25">
        <f t="shared" si="281"/>
        <v>415</v>
      </c>
      <c r="M121" s="25">
        <f t="shared" si="281"/>
        <v>140</v>
      </c>
      <c r="N121" s="25">
        <f t="shared" si="281"/>
        <v>5.333333333333333</v>
      </c>
      <c r="O121" s="25">
        <f t="shared" si="281"/>
        <v>1.8305084745762712</v>
      </c>
      <c r="P121" s="25">
        <f t="shared" si="281"/>
        <v>0.46846846846846846</v>
      </c>
      <c r="Q121" s="118" t="e">
        <f t="shared" si="216"/>
        <v>#DIV/0!</v>
      </c>
      <c r="R121" s="20"/>
      <c r="S121" s="20">
        <f t="shared" si="281"/>
        <v>0.46846846846846851</v>
      </c>
      <c r="T121" s="20">
        <f t="shared" si="281"/>
        <v>0.46846846846846857</v>
      </c>
      <c r="U121" s="20">
        <f t="shared" si="281"/>
        <v>0.46846846846846857</v>
      </c>
      <c r="V121" s="20">
        <f t="shared" si="281"/>
        <v>0.46846846846846862</v>
      </c>
      <c r="W121" s="20">
        <f t="shared" si="281"/>
        <v>0.46846846846846862</v>
      </c>
      <c r="X121" s="20">
        <f t="shared" si="281"/>
        <v>0.46846846846846862</v>
      </c>
      <c r="Y121" s="20">
        <f t="shared" si="281"/>
        <v>0.46846846846846868</v>
      </c>
      <c r="Z121" s="20">
        <f t="shared" si="281"/>
        <v>0.46846846846846862</v>
      </c>
      <c r="AA121" s="20">
        <f t="shared" si="281"/>
        <v>0.46846846846846862</v>
      </c>
      <c r="AB121" s="20">
        <f t="shared" si="281"/>
        <v>0.46846846846846868</v>
      </c>
      <c r="AC121" s="138" t="e">
        <f t="shared" si="218"/>
        <v>#DIV/0!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 t="e">
        <f>G12/G9</f>
        <v>#DIV/0!</v>
      </c>
      <c r="H122" s="25" t="e">
        <f t="shared" ref="H122:P122" si="282">H12/H9</f>
        <v>#DIV/0!</v>
      </c>
      <c r="I122" s="25" t="e">
        <f t="shared" si="282"/>
        <v>#DIV/0!</v>
      </c>
      <c r="J122" s="25" t="e">
        <f t="shared" si="282"/>
        <v>#DIV/0!</v>
      </c>
      <c r="K122" s="25" t="e">
        <f t="shared" si="282"/>
        <v>#DIV/0!</v>
      </c>
      <c r="L122" s="25">
        <f t="shared" si="282"/>
        <v>400</v>
      </c>
      <c r="M122" s="25">
        <f t="shared" si="282"/>
        <v>140</v>
      </c>
      <c r="N122" s="25">
        <f t="shared" si="282"/>
        <v>4.666666666666667</v>
      </c>
      <c r="O122" s="25">
        <f t="shared" si="282"/>
        <v>1.1186440677966101</v>
      </c>
      <c r="P122" s="25">
        <f t="shared" si="282"/>
        <v>0.22522522522522523</v>
      </c>
      <c r="Q122" s="118" t="e">
        <f t="shared" si="216"/>
        <v>#DIV/0!</v>
      </c>
      <c r="R122" s="128"/>
      <c r="S122" s="20">
        <f t="shared" ref="S122:AB122" si="283">S12/S9</f>
        <v>0.22522522522522523</v>
      </c>
      <c r="T122" s="20">
        <f t="shared" si="283"/>
        <v>0.22522522522522526</v>
      </c>
      <c r="U122" s="20">
        <f t="shared" si="283"/>
        <v>0.22522522522522523</v>
      </c>
      <c r="V122" s="20">
        <f t="shared" si="283"/>
        <v>0.22522522522522523</v>
      </c>
      <c r="W122" s="20">
        <f t="shared" si="283"/>
        <v>0.2252252252252252</v>
      </c>
      <c r="X122" s="20">
        <f t="shared" si="283"/>
        <v>0.2252252252252252</v>
      </c>
      <c r="Y122" s="20">
        <f t="shared" si="283"/>
        <v>0.2252252252252252</v>
      </c>
      <c r="Z122" s="20">
        <f t="shared" si="283"/>
        <v>0.22522522522522517</v>
      </c>
      <c r="AA122" s="20">
        <f t="shared" si="283"/>
        <v>0.2252252252252252</v>
      </c>
      <c r="AB122" s="20">
        <f t="shared" si="283"/>
        <v>0.22522522522522523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1.8611111111111111E-3</v>
      </c>
      <c r="H123" s="25">
        <f t="shared" ref="H123:P123" si="285">H25/360</f>
        <v>3.2499999999999999E-3</v>
      </c>
      <c r="I123" s="25">
        <f t="shared" si="285"/>
        <v>1.3888888888888888E-2</v>
      </c>
      <c r="J123" s="25">
        <f t="shared" si="285"/>
        <v>7.5000000000000006E-3</v>
      </c>
      <c r="K123" s="25">
        <f t="shared" si="285"/>
        <v>4.7222222222222223E-3</v>
      </c>
      <c r="L123" s="25">
        <f t="shared" si="285"/>
        <v>4.7222222222222223E-3</v>
      </c>
      <c r="M123" s="25">
        <f t="shared" si="285"/>
        <v>2.0277777777777777E-3</v>
      </c>
      <c r="N123" s="25">
        <f t="shared" si="285"/>
        <v>5.2777777777777784E-4</v>
      </c>
      <c r="O123" s="25">
        <f t="shared" si="285"/>
        <v>1.5305555555555554</v>
      </c>
      <c r="P123" s="25">
        <f t="shared" si="285"/>
        <v>1.9222222222222223</v>
      </c>
      <c r="Q123" s="118">
        <f t="shared" si="216"/>
        <v>1.1621825884323114</v>
      </c>
      <c r="R123" s="128"/>
      <c r="S123" s="25">
        <f t="shared" ref="S123:AB123" si="286">S25/360</f>
        <v>2.1528888888888891</v>
      </c>
      <c r="T123" s="25">
        <f t="shared" si="286"/>
        <v>2.4112355555555558</v>
      </c>
      <c r="U123" s="25">
        <f t="shared" si="286"/>
        <v>2.7005838222222232</v>
      </c>
      <c r="V123" s="25">
        <f t="shared" si="286"/>
        <v>3.0246538808888896</v>
      </c>
      <c r="W123" s="25">
        <f t="shared" si="286"/>
        <v>3.3876123465955574</v>
      </c>
      <c r="X123" s="25">
        <f t="shared" si="286"/>
        <v>3.7941258281870245</v>
      </c>
      <c r="Y123" s="25">
        <f t="shared" si="286"/>
        <v>4.2494209275694672</v>
      </c>
      <c r="Z123" s="25">
        <f t="shared" si="286"/>
        <v>4.759351438877804</v>
      </c>
      <c r="AA123" s="25">
        <f t="shared" si="286"/>
        <v>5.330473611543141</v>
      </c>
      <c r="AB123" s="25">
        <f t="shared" si="286"/>
        <v>5.9701304449283183</v>
      </c>
      <c r="AC123" s="118">
        <f t="shared" ref="AC123:AC134" si="287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8.3333333333333331E-5</v>
      </c>
      <c r="H124" s="25">
        <f t="shared" ref="H124:P124" si="288">H27/360</f>
        <v>8.3333333333333331E-5</v>
      </c>
      <c r="I124" s="25">
        <f t="shared" si="288"/>
        <v>1.9444444444444446E-4</v>
      </c>
      <c r="J124" s="25">
        <f t="shared" si="288"/>
        <v>2.2222222222222223E-4</v>
      </c>
      <c r="K124" s="25">
        <f t="shared" si="288"/>
        <v>1.1111111111111112E-4</v>
      </c>
      <c r="L124" s="25">
        <f t="shared" si="288"/>
        <v>6.3888888888888893E-4</v>
      </c>
      <c r="M124" s="25">
        <f t="shared" si="288"/>
        <v>3.0555555555555555E-4</v>
      </c>
      <c r="N124" s="25">
        <f t="shared" si="288"/>
        <v>5.9166666666666664E-3</v>
      </c>
      <c r="O124" s="25">
        <f t="shared" si="288"/>
        <v>1.3444444444444446</v>
      </c>
      <c r="P124" s="25">
        <f t="shared" si="288"/>
        <v>1.7388888888888889</v>
      </c>
      <c r="Q124" s="118">
        <f t="shared" si="216"/>
        <v>2.019529180430546</v>
      </c>
      <c r="R124" s="128"/>
      <c r="S124" s="25">
        <f t="shared" ref="S124:AB124" si="289">S27/360</f>
        <v>1.9475555555555559</v>
      </c>
      <c r="T124" s="25">
        <f t="shared" si="289"/>
        <v>2.1812622222222231</v>
      </c>
      <c r="U124" s="25">
        <f t="shared" si="289"/>
        <v>2.44301368888889</v>
      </c>
      <c r="V124" s="25">
        <f t="shared" si="289"/>
        <v>2.736175331555557</v>
      </c>
      <c r="W124" s="25">
        <f t="shared" si="289"/>
        <v>3.0645163713422248</v>
      </c>
      <c r="X124" s="25">
        <f t="shared" si="289"/>
        <v>3.4322583359032919</v>
      </c>
      <c r="Y124" s="25">
        <f t="shared" si="289"/>
        <v>3.8441293362116875</v>
      </c>
      <c r="Z124" s="25">
        <f t="shared" si="289"/>
        <v>4.3054248565570905</v>
      </c>
      <c r="AA124" s="25">
        <f t="shared" si="289"/>
        <v>4.8220758393439418</v>
      </c>
      <c r="AB124" s="25">
        <f t="shared" si="289"/>
        <v>5.4007249400652153</v>
      </c>
      <c r="AC124" s="118">
        <f t="shared" si="287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</v>
      </c>
      <c r="H126" s="25">
        <f t="shared" ref="H126:P126" si="290">H10/H7</f>
        <v>0</v>
      </c>
      <c r="I126" s="25">
        <f t="shared" si="290"/>
        <v>0</v>
      </c>
      <c r="J126" s="25">
        <f t="shared" si="290"/>
        <v>0</v>
      </c>
      <c r="K126" s="25">
        <f t="shared" si="290"/>
        <v>0</v>
      </c>
      <c r="L126" s="25">
        <f t="shared" si="290"/>
        <v>0</v>
      </c>
      <c r="M126" s="25">
        <f t="shared" si="290"/>
        <v>0</v>
      </c>
      <c r="N126" s="25">
        <f t="shared" si="290"/>
        <v>0</v>
      </c>
      <c r="O126" s="25">
        <f t="shared" si="290"/>
        <v>0</v>
      </c>
      <c r="P126" s="25">
        <f t="shared" si="290"/>
        <v>3.8022813688212927E-2</v>
      </c>
      <c r="Q126" s="118" t="e">
        <f t="shared" si="216"/>
        <v>#DIV/0!</v>
      </c>
      <c r="R126" s="128"/>
      <c r="S126" s="25">
        <f t="shared" ref="S126:AB126" si="291">S10/S7</f>
        <v>3.8022813688212934E-2</v>
      </c>
      <c r="T126" s="25">
        <f t="shared" si="291"/>
        <v>3.8022813688212927E-2</v>
      </c>
      <c r="U126" s="25">
        <f t="shared" si="291"/>
        <v>3.8022813688212927E-2</v>
      </c>
      <c r="V126" s="25">
        <f t="shared" si="291"/>
        <v>3.802281368821292E-2</v>
      </c>
      <c r="W126" s="25">
        <f t="shared" si="291"/>
        <v>3.8022813688212927E-2</v>
      </c>
      <c r="X126" s="25">
        <f t="shared" si="291"/>
        <v>3.8022813688212927E-2</v>
      </c>
      <c r="Y126" s="25">
        <f t="shared" si="291"/>
        <v>3.802281368821292E-2</v>
      </c>
      <c r="Z126" s="25">
        <f t="shared" si="291"/>
        <v>3.8022813688212927E-2</v>
      </c>
      <c r="AA126" s="25">
        <f t="shared" si="291"/>
        <v>3.8022813688212927E-2</v>
      </c>
      <c r="AB126" s="25">
        <f t="shared" si="291"/>
        <v>3.802281368821292E-2</v>
      </c>
      <c r="AC126" s="118">
        <f t="shared" si="287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</v>
      </c>
      <c r="H127" s="25">
        <f t="shared" ref="H127:P127" si="292">H10/(H10+H7)</f>
        <v>0</v>
      </c>
      <c r="I127" s="25">
        <f t="shared" si="292"/>
        <v>0</v>
      </c>
      <c r="J127" s="25">
        <f t="shared" si="292"/>
        <v>0</v>
      </c>
      <c r="K127" s="25">
        <f t="shared" si="292"/>
        <v>0</v>
      </c>
      <c r="L127" s="25">
        <f t="shared" si="292"/>
        <v>0</v>
      </c>
      <c r="M127" s="25">
        <f t="shared" si="292"/>
        <v>0</v>
      </c>
      <c r="N127" s="25">
        <f t="shared" si="292"/>
        <v>0</v>
      </c>
      <c r="O127" s="25">
        <f t="shared" si="292"/>
        <v>0</v>
      </c>
      <c r="P127" s="25">
        <f t="shared" si="292"/>
        <v>3.6630036630036632E-2</v>
      </c>
      <c r="Q127" s="118" t="e">
        <f t="shared" si="216"/>
        <v>#DIV/0!</v>
      </c>
      <c r="R127" s="128"/>
      <c r="S127" s="25">
        <f t="shared" ref="S127:AB127" si="293">S10/(S10+S7)</f>
        <v>3.6630036630036632E-2</v>
      </c>
      <c r="T127" s="25">
        <f t="shared" si="293"/>
        <v>3.6630036630036632E-2</v>
      </c>
      <c r="U127" s="25">
        <f t="shared" si="293"/>
        <v>3.6630036630036625E-2</v>
      </c>
      <c r="V127" s="25">
        <f t="shared" si="293"/>
        <v>3.6630036630036625E-2</v>
      </c>
      <c r="W127" s="25">
        <f t="shared" si="293"/>
        <v>3.6630036630036625E-2</v>
      </c>
      <c r="X127" s="25">
        <f t="shared" si="293"/>
        <v>3.6630036630036632E-2</v>
      </c>
      <c r="Y127" s="25">
        <f t="shared" si="293"/>
        <v>3.6630036630036625E-2</v>
      </c>
      <c r="Z127" s="25">
        <f t="shared" si="293"/>
        <v>3.6630036630036632E-2</v>
      </c>
      <c r="AA127" s="25">
        <f t="shared" si="293"/>
        <v>3.6630036630036625E-2</v>
      </c>
      <c r="AB127" s="25">
        <f t="shared" si="293"/>
        <v>3.6630036630036625E-2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2</v>
      </c>
      <c r="H129" s="25">
        <f t="shared" ref="H129:P129" si="294">H16</f>
        <v>0.5</v>
      </c>
      <c r="I129" s="25">
        <f t="shared" si="294"/>
        <v>0.28999999999999998</v>
      </c>
      <c r="J129" s="25">
        <f t="shared" si="294"/>
        <v>2.8</v>
      </c>
      <c r="K129" s="25">
        <f t="shared" si="294"/>
        <v>7.2</v>
      </c>
      <c r="L129" s="25">
        <f t="shared" si="294"/>
        <v>9</v>
      </c>
      <c r="M129" s="25">
        <f t="shared" si="294"/>
        <v>14</v>
      </c>
      <c r="N129" s="25">
        <f t="shared" si="294"/>
        <v>18</v>
      </c>
      <c r="O129" s="25">
        <f t="shared" si="294"/>
        <v>46</v>
      </c>
      <c r="P129" s="25">
        <f t="shared" si="294"/>
        <v>27</v>
      </c>
      <c r="Q129" s="118">
        <f t="shared" si="216"/>
        <v>0.33534240595483999</v>
      </c>
      <c r="R129" s="128"/>
      <c r="S129" s="25">
        <f t="shared" ref="S129:AB129" si="295">S16</f>
        <v>30.240000000000002</v>
      </c>
      <c r="T129" s="25">
        <f t="shared" si="295"/>
        <v>33.868800000000007</v>
      </c>
      <c r="U129" s="25">
        <f t="shared" si="295"/>
        <v>37.933056000000015</v>
      </c>
      <c r="V129" s="25">
        <f t="shared" si="295"/>
        <v>42.485022720000018</v>
      </c>
      <c r="W129" s="25">
        <f t="shared" si="295"/>
        <v>47.583225446400021</v>
      </c>
      <c r="X129" s="25">
        <f t="shared" si="295"/>
        <v>53.293212499968028</v>
      </c>
      <c r="Y129" s="25">
        <f t="shared" si="295"/>
        <v>59.688397999964195</v>
      </c>
      <c r="Z129" s="25">
        <f t="shared" si="295"/>
        <v>66.851005759959904</v>
      </c>
      <c r="AA129" s="25">
        <f t="shared" si="295"/>
        <v>74.873126451155102</v>
      </c>
      <c r="AB129" s="25">
        <f t="shared" si="295"/>
        <v>83.857901625293721</v>
      </c>
      <c r="AC129" s="118">
        <f t="shared" si="287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6">G129*365/G25</f>
        <v>1089.5522388059701</v>
      </c>
      <c r="H130" s="119">
        <f t="shared" si="296"/>
        <v>155.982905982906</v>
      </c>
      <c r="I130" s="119">
        <f t="shared" si="296"/>
        <v>21.169999999999998</v>
      </c>
      <c r="J130" s="119">
        <f t="shared" si="296"/>
        <v>378.51851851851848</v>
      </c>
      <c r="K130" s="119">
        <f t="shared" si="296"/>
        <v>1545.8823529411766</v>
      </c>
      <c r="L130" s="119">
        <f t="shared" si="296"/>
        <v>1932.3529411764707</v>
      </c>
      <c r="M130" s="119">
        <f t="shared" si="296"/>
        <v>7000</v>
      </c>
      <c r="N130" s="119">
        <f t="shared" si="296"/>
        <v>34578.947368421053</v>
      </c>
      <c r="O130" s="119">
        <f t="shared" si="296"/>
        <v>30.471869328493646</v>
      </c>
      <c r="P130" s="119">
        <f t="shared" si="296"/>
        <v>14.241329479768787</v>
      </c>
      <c r="Q130" s="118">
        <f t="shared" si="216"/>
        <v>-0.38240997171148772</v>
      </c>
      <c r="R130" s="128"/>
      <c r="S130" s="119">
        <f t="shared" ref="S130:AB130" si="297">S129*365/S25</f>
        <v>14.241329479768785</v>
      </c>
      <c r="T130" s="119">
        <f t="shared" si="297"/>
        <v>14.241329479768787</v>
      </c>
      <c r="U130" s="119">
        <f t="shared" si="297"/>
        <v>14.241329479768789</v>
      </c>
      <c r="V130" s="119">
        <f t="shared" si="297"/>
        <v>14.241329479768787</v>
      </c>
      <c r="W130" s="119">
        <f t="shared" si="297"/>
        <v>14.241329479768785</v>
      </c>
      <c r="X130" s="119">
        <f t="shared" si="297"/>
        <v>14.241329479768787</v>
      </c>
      <c r="Y130" s="119">
        <f t="shared" si="297"/>
        <v>14.241329479768787</v>
      </c>
      <c r="Z130" s="119">
        <f t="shared" si="297"/>
        <v>14.241329479768785</v>
      </c>
      <c r="AA130" s="119">
        <f t="shared" si="297"/>
        <v>14.241329479768785</v>
      </c>
      <c r="AB130" s="119">
        <f t="shared" si="297"/>
        <v>14.241329479768787</v>
      </c>
      <c r="AC130" s="118">
        <f t="shared" si="28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 t="e">
        <f>G78/G29</f>
        <v>#DIV/0!</v>
      </c>
      <c r="H131" s="133" t="e">
        <f t="shared" ref="H131:P131" si="298">H78/H29</f>
        <v>#DIV/0!</v>
      </c>
      <c r="I131" s="133" t="e">
        <f t="shared" si="298"/>
        <v>#DIV/0!</v>
      </c>
      <c r="J131" s="133" t="e">
        <f t="shared" si="298"/>
        <v>#DIV/0!</v>
      </c>
      <c r="K131" s="133" t="e">
        <f t="shared" si="298"/>
        <v>#DIV/0!</v>
      </c>
      <c r="L131" s="133" t="e">
        <f t="shared" si="298"/>
        <v>#DIV/0!</v>
      </c>
      <c r="M131" s="133" t="e">
        <f t="shared" si="298"/>
        <v>#DIV/0!</v>
      </c>
      <c r="N131" s="133" t="e">
        <f t="shared" si="298"/>
        <v>#DIV/0!</v>
      </c>
      <c r="O131" s="133">
        <f t="shared" si="298"/>
        <v>562.5</v>
      </c>
      <c r="P131" s="133">
        <f t="shared" si="298"/>
        <v>54.013782827342155</v>
      </c>
      <c r="Q131" s="118" t="e">
        <f t="shared" si="216"/>
        <v>#DIV/0!</v>
      </c>
      <c r="R131" s="128"/>
      <c r="S131" s="133">
        <f t="shared" ref="S131:AB131" si="299">S78/S29</f>
        <v>9.8305084745762716</v>
      </c>
      <c r="T131" s="133">
        <f t="shared" si="299"/>
        <v>8.7772397094430996</v>
      </c>
      <c r="U131" s="133">
        <f t="shared" si="299"/>
        <v>7.8368211691456224</v>
      </c>
      <c r="V131" s="133">
        <f t="shared" si="299"/>
        <v>6.997161758165733</v>
      </c>
      <c r="W131" s="133">
        <f t="shared" si="299"/>
        <v>6.2474658555051183</v>
      </c>
      <c r="X131" s="133">
        <f t="shared" si="299"/>
        <v>5.5780945138438556</v>
      </c>
      <c r="Y131" s="133">
        <f t="shared" si="299"/>
        <v>4.9804415302177274</v>
      </c>
      <c r="Z131" s="133">
        <f t="shared" si="299"/>
        <v>4.4468227948372565</v>
      </c>
      <c r="AA131" s="133">
        <f t="shared" si="299"/>
        <v>3.970377495390407</v>
      </c>
      <c r="AB131" s="133">
        <f t="shared" si="299"/>
        <v>3.5449799065985781</v>
      </c>
      <c r="AC131" s="118">
        <f t="shared" si="287"/>
        <v>-0.10714285714285721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0.67</v>
      </c>
      <c r="H133" s="180" t="e">
        <f t="shared" ref="H133:P133" si="300">H25/H14</f>
        <v>#DIV/0!</v>
      </c>
      <c r="I133" s="180" t="e">
        <f t="shared" si="300"/>
        <v>#DIV/0!</v>
      </c>
      <c r="J133" s="180" t="e">
        <f t="shared" si="300"/>
        <v>#DIV/0!</v>
      </c>
      <c r="K133" s="180" t="e">
        <f t="shared" si="300"/>
        <v>#DIV/0!</v>
      </c>
      <c r="L133" s="180" t="e">
        <f t="shared" si="300"/>
        <v>#DIV/0!</v>
      </c>
      <c r="M133" s="180" t="e">
        <f t="shared" si="300"/>
        <v>#DIV/0!</v>
      </c>
      <c r="N133" s="180" t="e">
        <f t="shared" si="300"/>
        <v>#DIV/0!</v>
      </c>
      <c r="O133" s="180">
        <f t="shared" si="300"/>
        <v>36.733333333333334</v>
      </c>
      <c r="P133" s="180">
        <f t="shared" si="300"/>
        <v>38.444444444444443</v>
      </c>
      <c r="Q133" s="118">
        <f t="shared" si="216"/>
        <v>0.56825847421270415</v>
      </c>
      <c r="R133" s="128"/>
      <c r="S133" s="20">
        <f t="shared" ref="S133" si="301">S25/S14</f>
        <v>38.444444444444443</v>
      </c>
      <c r="T133" s="20">
        <f t="shared" ref="T133:AB133" si="302">T25/T14</f>
        <v>38.444444444444436</v>
      </c>
      <c r="U133" s="20">
        <f t="shared" si="302"/>
        <v>38.444444444444443</v>
      </c>
      <c r="V133" s="20">
        <f t="shared" si="302"/>
        <v>38.444444444444436</v>
      </c>
      <c r="W133" s="20">
        <f t="shared" si="302"/>
        <v>38.444444444444436</v>
      </c>
      <c r="X133" s="20">
        <f t="shared" si="302"/>
        <v>38.444444444444436</v>
      </c>
      <c r="Y133" s="20">
        <f t="shared" si="302"/>
        <v>38.444444444444436</v>
      </c>
      <c r="Z133" s="20">
        <f t="shared" si="302"/>
        <v>38.444444444444436</v>
      </c>
      <c r="AA133" s="20">
        <f t="shared" si="302"/>
        <v>38.444444444444436</v>
      </c>
      <c r="AB133" s="20">
        <f t="shared" si="302"/>
        <v>38.444444444444436</v>
      </c>
      <c r="AC133" s="118">
        <f t="shared" si="287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0.03</v>
      </c>
      <c r="H134" s="180" t="e">
        <f t="shared" ref="H134:P134" si="303">H27/H14</f>
        <v>#DIV/0!</v>
      </c>
      <c r="I134" s="180" t="e">
        <f t="shared" si="303"/>
        <v>#DIV/0!</v>
      </c>
      <c r="J134" s="180" t="e">
        <f t="shared" si="303"/>
        <v>#DIV/0!</v>
      </c>
      <c r="K134" s="180" t="e">
        <f t="shared" si="303"/>
        <v>#DIV/0!</v>
      </c>
      <c r="L134" s="180" t="e">
        <f t="shared" si="303"/>
        <v>#DIV/0!</v>
      </c>
      <c r="M134" s="180" t="e">
        <f t="shared" si="303"/>
        <v>#DIV/0!</v>
      </c>
      <c r="N134" s="180" t="e">
        <f t="shared" si="303"/>
        <v>#DIV/0!</v>
      </c>
      <c r="O134" s="180">
        <f t="shared" si="303"/>
        <v>32.266666666666666</v>
      </c>
      <c r="P134" s="180">
        <f t="shared" si="303"/>
        <v>34.777777777777779</v>
      </c>
      <c r="Q134" s="118">
        <f t="shared" si="216"/>
        <v>1.1901028389911064</v>
      </c>
      <c r="R134" s="128"/>
      <c r="S134" s="20">
        <f t="shared" ref="S134:AB134" si="304">S27/S14</f>
        <v>34.777777777777779</v>
      </c>
      <c r="T134" s="20">
        <f t="shared" si="304"/>
        <v>34.777777777777779</v>
      </c>
      <c r="U134" s="20">
        <f t="shared" si="304"/>
        <v>34.777777777777779</v>
      </c>
      <c r="V134" s="20">
        <f t="shared" si="304"/>
        <v>34.777777777777779</v>
      </c>
      <c r="W134" s="20">
        <f t="shared" si="304"/>
        <v>34.777777777777786</v>
      </c>
      <c r="X134" s="20">
        <f t="shared" si="304"/>
        <v>34.777777777777779</v>
      </c>
      <c r="Y134" s="20">
        <f t="shared" si="304"/>
        <v>34.777777777777786</v>
      </c>
      <c r="Z134" s="20">
        <f t="shared" si="304"/>
        <v>34.777777777777786</v>
      </c>
      <c r="AA134" s="20">
        <f t="shared" si="304"/>
        <v>34.777777777777779</v>
      </c>
      <c r="AB134" s="20">
        <f t="shared" si="304"/>
        <v>34.777777777777786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58.986936813186809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4.4300068297050226</v>
      </c>
      <c r="S138" s="133">
        <f>PV($C$1, ($AB$3-$S$3), 0, -AB52)</f>
        <v>0.61729603364742114</v>
      </c>
      <c r="T138" s="133">
        <f>PV($C$1, ($AB$3-$S$3), 0, -AE52)</f>
        <v>3.8127107960576012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35.305812006437009</v>
      </c>
      <c r="S139" s="133">
        <f>PV($C$1, ($AB$3-$S$3), 0, -AB54)</f>
        <v>4.9196623287658117</v>
      </c>
      <c r="T139" s="133">
        <f>PV($C$1, ($AB$3-$S$3), 0, -AE54)</f>
        <v>30.386149677671195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32.755202013576522</v>
      </c>
      <c r="S140" s="133">
        <f>PV($C$1, ($AB$3-$S$3), 0, -AB55)</f>
        <v>4.5642494609082043</v>
      </c>
      <c r="T140" s="133">
        <f>PV($C$1, ($AB$3-$S$3), 0, -AE55)</f>
        <v>28.190952552668321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1.3424263120318252</v>
      </c>
      <c r="S141" s="133">
        <f>PV($C$1, ($AB$3-$S$3), 0, -AB56)</f>
        <v>0.1870594041355822</v>
      </c>
      <c r="T141" s="133">
        <f>PV($C$1, ($AB$3-$S$3), 0, -AE56)</f>
        <v>1.155366907896243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3.3560657800795628</v>
      </c>
      <c r="S142" s="133">
        <f>PV($C$1, ($AB$3-$S$3), 0, -AB62)</f>
        <v>0.46764851033895544</v>
      </c>
      <c r="T142" s="133">
        <f>PV($C$1, ($AB$3-$S$3), 0, -AE62)</f>
        <v>2.8884172697406072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33.963385694405183</v>
      </c>
      <c r="S144" s="133">
        <f>PV($C$1, ($AB$3-$S$3), 0, -AB58)</f>
        <v>4.7326029246302301</v>
      </c>
      <c r="T144" s="133">
        <f>PV($C$1, ($AB$3-$S$3), 0, -$AE$58)</f>
        <v>29.230782769774954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19.062453630851923</v>
      </c>
      <c r="S145" s="133">
        <f>PV($C$1, ($AB$3-$S$3), 0, -AB59)</f>
        <v>2.6562435387252683</v>
      </c>
      <c r="T145" s="133">
        <f>PV($C$1, ($AB$3-$S$3), 0, -$AE$59)</f>
        <v>16.406210092126656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26.043070453417425</v>
      </c>
      <c r="S146" s="133">
        <f>PV($C$1, ($AB$3-$S$3), 0, -AB60)</f>
        <v>3.6289524402302962</v>
      </c>
      <c r="T146" s="133">
        <f>PV($C$1, ($AB$3-$S$3), 0, -$AE$60)</f>
        <v>22.414118013187128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6.9806168225654943</v>
      </c>
      <c r="S148" s="133">
        <f>PV($C$1, ($AB$3-$S$3), 0, -AB65)</f>
        <v>0.97270890150502765</v>
      </c>
      <c r="T148" s="133">
        <f>PV($C$1, ($AB$3-$S$3), 0, -AE65)</f>
        <v>6.0079079210604664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2.8007894419209443</v>
      </c>
      <c r="S149" s="133">
        <f>PV($C$1, ($AB$3-$S$3), 0, -AB66)</f>
        <v>0.50506039116607193</v>
      </c>
      <c r="T149" s="133">
        <f>PV($C$1, ($AB$3-$S$3), 0, -AE66)</f>
        <v>2.2957290507548724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93.066347233441348</v>
      </c>
      <c r="S151" s="133">
        <f>PV($C$1, ($AB$3-$S$3), 0, -AB12)</f>
        <v>12.968261499741825</v>
      </c>
      <c r="T151" s="133">
        <f>PV($C$1, ($AB$3-$S$3), 0, -AE12)</f>
        <v>80.09808573369952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51.135355622769964</v>
      </c>
      <c r="S152" s="140">
        <f>S151/P42</f>
        <v>7.1254184064515522</v>
      </c>
      <c r="T152" s="140">
        <f>T151/P42</f>
        <v>44.009937216318413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0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55" s="133">
        <f>PV($C$1, ($AB$3-$S$3), 0, -AE68)</f>
        <v>0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550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335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40</v>
      </c>
      <c r="K167" s="22">
        <v>40</v>
      </c>
      <c r="L167" s="22">
        <v>40</v>
      </c>
      <c r="M167" s="22">
        <v>40</v>
      </c>
      <c r="N167" s="22">
        <v>40</v>
      </c>
      <c r="O167" s="22">
        <v>40</v>
      </c>
      <c r="P167" s="22">
        <v>300</v>
      </c>
      <c r="Q167" s="118" t="e">
        <f t="shared" ref="Q167:Q172" si="309">((P167/G167)^(1/($H$2-$H$1) ))-1</f>
        <v>#DIV/0!</v>
      </c>
      <c r="R167" s="31">
        <f>L2-3%</f>
        <v>0.09</v>
      </c>
      <c r="S167" s="188">
        <v>75</v>
      </c>
      <c r="T167" s="119">
        <f t="shared" ref="T167:AB167" si="310">S167*(1+$R167)</f>
        <v>81.75</v>
      </c>
      <c r="U167" s="119">
        <f t="shared" si="310"/>
        <v>89.107500000000002</v>
      </c>
      <c r="V167" s="119">
        <f t="shared" si="310"/>
        <v>97.127175000000008</v>
      </c>
      <c r="W167" s="119">
        <f t="shared" si="310"/>
        <v>105.86862075000002</v>
      </c>
      <c r="X167" s="119">
        <f t="shared" si="310"/>
        <v>115.39679661750003</v>
      </c>
      <c r="Y167" s="119">
        <f t="shared" si="310"/>
        <v>125.78250831307504</v>
      </c>
      <c r="Z167" s="119">
        <f t="shared" si="310"/>
        <v>137.1029340612518</v>
      </c>
      <c r="AA167" s="119">
        <f t="shared" si="310"/>
        <v>149.44219812676448</v>
      </c>
      <c r="AB167" s="119">
        <f t="shared" si="310"/>
        <v>162.89199595817328</v>
      </c>
      <c r="AC167" s="138" t="e">
        <f t="shared" ref="AC167:AC172" si="311">((AB167/G167)^(1/($AB$3-$H$1) ))-1</f>
        <v>#DIV/0!</v>
      </c>
      <c r="AD167" s="31">
        <v>0.08</v>
      </c>
      <c r="AE167" s="127" t="e">
        <f t="shared" ref="AE167:AE175" si="312">(AB167*(1+AC167))/($C$1-AD167)</f>
        <v>#DIV/0!</v>
      </c>
    </row>
    <row r="168" spans="2:31" x14ac:dyDescent="0.2">
      <c r="B168" s="20" t="s">
        <v>361</v>
      </c>
      <c r="C168" s="25" t="e">
        <f t="shared" ref="C168:P168" si="313">C167/C49</f>
        <v>#DIV/0!</v>
      </c>
      <c r="D168" s="25" t="e">
        <f t="shared" si="313"/>
        <v>#DIV/0!</v>
      </c>
      <c r="E168" s="25" t="e">
        <f t="shared" si="313"/>
        <v>#DIV/0!</v>
      </c>
      <c r="F168" s="25" t="e">
        <f t="shared" si="313"/>
        <v>#DIV/0!</v>
      </c>
      <c r="G168" s="25">
        <f t="shared" si="313"/>
        <v>0</v>
      </c>
      <c r="H168" s="25">
        <f t="shared" si="313"/>
        <v>0</v>
      </c>
      <c r="I168" s="25">
        <f t="shared" si="313"/>
        <v>0</v>
      </c>
      <c r="J168" s="25">
        <f t="shared" si="313"/>
        <v>0.29629629629629628</v>
      </c>
      <c r="K168" s="25">
        <f t="shared" si="313"/>
        <v>0.47058823529411764</v>
      </c>
      <c r="L168" s="25">
        <f t="shared" si="313"/>
        <v>37.647058823529413</v>
      </c>
      <c r="M168" s="25">
        <f t="shared" si="313"/>
        <v>87.671232876712324</v>
      </c>
      <c r="N168" s="25">
        <f t="shared" si="313"/>
        <v>336.84210526315792</v>
      </c>
      <c r="O168" s="25">
        <f t="shared" si="313"/>
        <v>0.1161524500907441</v>
      </c>
      <c r="P168" s="25">
        <f t="shared" si="313"/>
        <v>0.78901734104046251</v>
      </c>
      <c r="Q168" s="118" t="e">
        <f t="shared" ref="Q168" si="314">((P168/G168)^(1/($H$2-$H$1) ))-1</f>
        <v>#DIV/0!</v>
      </c>
      <c r="R168" s="128"/>
      <c r="S168" s="25">
        <f t="shared" ref="S168:AB168" si="315">S167/S49</f>
        <v>0.96769199009083395</v>
      </c>
      <c r="T168" s="25">
        <f t="shared" si="315"/>
        <v>1.054784269199009</v>
      </c>
      <c r="U168" s="25">
        <f t="shared" si="315"/>
        <v>1.1497148534269199</v>
      </c>
      <c r="V168" s="25">
        <f t="shared" si="315"/>
        <v>1.2531891902353427</v>
      </c>
      <c r="W168" s="25">
        <f t="shared" si="315"/>
        <v>1.3659762173565235</v>
      </c>
      <c r="X168" s="25">
        <f t="shared" si="315"/>
        <v>1.4889140769186109</v>
      </c>
      <c r="Y168" s="25">
        <f t="shared" si="315"/>
        <v>1.6229163438412861</v>
      </c>
      <c r="Z168" s="25">
        <f t="shared" si="315"/>
        <v>1.7689788147870018</v>
      </c>
      <c r="AA168" s="25">
        <f t="shared" si="315"/>
        <v>1.9281869081178322</v>
      </c>
      <c r="AB168" s="25">
        <f t="shared" si="315"/>
        <v>2.101723729848437</v>
      </c>
      <c r="AC168" s="138" t="e">
        <f t="shared" ref="AC168" si="316">((AB168/G168)^(1/($AB$3-$H$1) ))-1</f>
        <v>#DIV/0!</v>
      </c>
      <c r="AD168" s="31">
        <v>0.08</v>
      </c>
      <c r="AE168" s="127" t="e">
        <f t="shared" ref="AE168" si="317">(AB168*(1+AC168))/($C$1-AD168)</f>
        <v>#DIV/0!</v>
      </c>
    </row>
    <row r="169" spans="2:31" x14ac:dyDescent="0.2">
      <c r="B169" s="20" t="s">
        <v>389</v>
      </c>
      <c r="C169" s="25" t="e">
        <f t="shared" ref="C169:P169" si="318">C167/C52</f>
        <v>#DIV/0!</v>
      </c>
      <c r="D169" s="25" t="e">
        <f t="shared" si="318"/>
        <v>#DIV/0!</v>
      </c>
      <c r="E169" s="25" t="e">
        <f t="shared" si="318"/>
        <v>#DIV/0!</v>
      </c>
      <c r="F169" s="25" t="e">
        <f t="shared" si="318"/>
        <v>#DIV/0!</v>
      </c>
      <c r="G169" s="25">
        <f t="shared" si="318"/>
        <v>0</v>
      </c>
      <c r="H169" s="25">
        <f t="shared" si="318"/>
        <v>0</v>
      </c>
      <c r="I169" s="25">
        <f t="shared" si="318"/>
        <v>0</v>
      </c>
      <c r="J169" s="25">
        <f t="shared" si="318"/>
        <v>0.33333333333333331</v>
      </c>
      <c r="K169" s="25">
        <f t="shared" si="318"/>
        <v>0.53333333333333333</v>
      </c>
      <c r="L169" s="25">
        <f t="shared" si="318"/>
        <v>45.714285714285722</v>
      </c>
      <c r="M169" s="25">
        <f t="shared" si="318"/>
        <v>101.5873015873016</v>
      </c>
      <c r="N169" s="25">
        <f t="shared" si="318"/>
        <v>-31.219512195121958</v>
      </c>
      <c r="O169" s="25">
        <f t="shared" si="318"/>
        <v>1.5238095238095237</v>
      </c>
      <c r="P169" s="25">
        <f t="shared" si="318"/>
        <v>16.545454545454547</v>
      </c>
      <c r="Q169" s="118" t="e">
        <f t="shared" si="309"/>
        <v>#DIV/0!</v>
      </c>
      <c r="R169" s="128"/>
      <c r="S169" s="119">
        <f t="shared" ref="S169:AB169" si="319">S167/S52</f>
        <v>20.29220779220779</v>
      </c>
      <c r="T169" s="119">
        <f t="shared" si="319"/>
        <v>22.118506493506494</v>
      </c>
      <c r="U169" s="119">
        <f t="shared" si="319"/>
        <v>24.109172077922079</v>
      </c>
      <c r="V169" s="119">
        <f t="shared" si="319"/>
        <v>26.278997564935064</v>
      </c>
      <c r="W169" s="119">
        <f t="shared" si="319"/>
        <v>28.644107345779222</v>
      </c>
      <c r="X169" s="119">
        <f t="shared" si="319"/>
        <v>31.222077006899358</v>
      </c>
      <c r="Y169" s="119">
        <f t="shared" si="319"/>
        <v>34.032063937520306</v>
      </c>
      <c r="Z169" s="119">
        <f t="shared" si="319"/>
        <v>37.094949691897135</v>
      </c>
      <c r="AA169" s="119">
        <f t="shared" si="319"/>
        <v>40.43349516416788</v>
      </c>
      <c r="AB169" s="119">
        <f t="shared" si="319"/>
        <v>44.07250972894299</v>
      </c>
      <c r="AC169" s="138" t="e">
        <f t="shared" si="311"/>
        <v>#DIV/0!</v>
      </c>
      <c r="AD169" s="31">
        <v>0.08</v>
      </c>
      <c r="AE169" s="127" t="e">
        <f t="shared" si="312"/>
        <v>#DIV/0!</v>
      </c>
    </row>
    <row r="170" spans="2:31" x14ac:dyDescent="0.2">
      <c r="B170" s="20" t="s">
        <v>258</v>
      </c>
      <c r="C170" s="25" t="e">
        <f t="shared" ref="C170:P170" si="320">C167/C55</f>
        <v>#DIV/0!</v>
      </c>
      <c r="D170" s="25" t="e">
        <f t="shared" si="320"/>
        <v>#DIV/0!</v>
      </c>
      <c r="E170" s="25" t="e">
        <f t="shared" si="320"/>
        <v>#DIV/0!</v>
      </c>
      <c r="F170" s="25" t="e">
        <f t="shared" si="320"/>
        <v>#DIV/0!</v>
      </c>
      <c r="G170" s="25">
        <f t="shared" si="320"/>
        <v>0</v>
      </c>
      <c r="H170" s="25">
        <f t="shared" si="320"/>
        <v>0</v>
      </c>
      <c r="I170" s="25">
        <f t="shared" si="320"/>
        <v>0</v>
      </c>
      <c r="J170" s="25">
        <f t="shared" si="320"/>
        <v>5.7142857142857141E-2</v>
      </c>
      <c r="K170" s="25">
        <f t="shared" si="320"/>
        <v>0.05</v>
      </c>
      <c r="L170" s="25">
        <f t="shared" si="320"/>
        <v>148.83720930232559</v>
      </c>
      <c r="M170" s="25">
        <f t="shared" si="320"/>
        <v>64</v>
      </c>
      <c r="N170" s="25">
        <f t="shared" si="320"/>
        <v>0.34782608695652173</v>
      </c>
      <c r="O170" s="25">
        <f t="shared" si="320"/>
        <v>0.33507853403141363</v>
      </c>
      <c r="P170" s="25">
        <f t="shared" si="320"/>
        <v>2.2377049180327866</v>
      </c>
      <c r="Q170" s="118" t="e">
        <f t="shared" si="309"/>
        <v>#DIV/0!</v>
      </c>
      <c r="R170" s="128"/>
      <c r="S170" s="119">
        <f t="shared" ref="S170:AB170" si="321">S167/S55</f>
        <v>2.7444379391100702</v>
      </c>
      <c r="T170" s="119">
        <f t="shared" si="321"/>
        <v>2.9914373536299763</v>
      </c>
      <c r="U170" s="119">
        <f t="shared" si="321"/>
        <v>3.2606667154566744</v>
      </c>
      <c r="V170" s="119">
        <f t="shared" si="321"/>
        <v>3.5541267198477753</v>
      </c>
      <c r="W170" s="119">
        <f t="shared" si="321"/>
        <v>3.8739981246340753</v>
      </c>
      <c r="X170" s="119">
        <f t="shared" si="321"/>
        <v>4.2226579558511421</v>
      </c>
      <c r="Y170" s="119">
        <f t="shared" si="321"/>
        <v>4.6026971718777467</v>
      </c>
      <c r="Z170" s="119">
        <f t="shared" si="321"/>
        <v>5.0169399173467442</v>
      </c>
      <c r="AA170" s="119">
        <f t="shared" si="321"/>
        <v>5.4684645099079514</v>
      </c>
      <c r="AB170" s="119">
        <f t="shared" si="321"/>
        <v>5.9606263157996668</v>
      </c>
      <c r="AC170" s="138" t="e">
        <f t="shared" si="311"/>
        <v>#DIV/0!</v>
      </c>
      <c r="AD170" s="31">
        <v>0.08</v>
      </c>
      <c r="AE170" s="127" t="e">
        <f t="shared" si="312"/>
        <v>#DIV/0!</v>
      </c>
    </row>
    <row r="171" spans="2:31" x14ac:dyDescent="0.2">
      <c r="B171" s="20" t="s">
        <v>259</v>
      </c>
      <c r="C171" s="25" t="e">
        <f t="shared" ref="C171:P171" si="322">C167/C64</f>
        <v>#DIV/0!</v>
      </c>
      <c r="D171" s="25" t="e">
        <f t="shared" si="322"/>
        <v>#DIV/0!</v>
      </c>
      <c r="E171" s="25" t="e">
        <f t="shared" si="322"/>
        <v>#DIV/0!</v>
      </c>
      <c r="F171" s="25" t="e">
        <f t="shared" si="322"/>
        <v>#DIV/0!</v>
      </c>
      <c r="G171" s="25">
        <f t="shared" si="322"/>
        <v>0</v>
      </c>
      <c r="H171" s="25">
        <f t="shared" si="322"/>
        <v>0</v>
      </c>
      <c r="I171" s="25">
        <f t="shared" si="322"/>
        <v>0</v>
      </c>
      <c r="J171" s="25">
        <f t="shared" si="322"/>
        <v>6.6611157368859281E-2</v>
      </c>
      <c r="K171" s="25">
        <f t="shared" si="322"/>
        <v>8.4121976866456366E-2</v>
      </c>
      <c r="L171" s="25">
        <f t="shared" si="322"/>
        <v>4.2666666666666666</v>
      </c>
      <c r="M171" s="25">
        <f t="shared" si="322"/>
        <v>4.2666666666666666</v>
      </c>
      <c r="N171" s="25">
        <f t="shared" si="322"/>
        <v>0.26337448559670784</v>
      </c>
      <c r="O171" s="25">
        <f t="shared" si="322"/>
        <v>1.5802469135802468</v>
      </c>
      <c r="P171" s="25">
        <f t="shared" si="322"/>
        <v>21</v>
      </c>
      <c r="Q171" s="118" t="e">
        <f t="shared" si="309"/>
        <v>#DIV/0!</v>
      </c>
      <c r="R171" s="128"/>
      <c r="S171" s="119">
        <f t="shared" ref="S171:AB171" si="323">S167/S64</f>
        <v>25.755494505494504</v>
      </c>
      <c r="T171" s="119">
        <f t="shared" si="323"/>
        <v>28.073489010989007</v>
      </c>
      <c r="U171" s="119">
        <f t="shared" si="323"/>
        <v>30.600103021978018</v>
      </c>
      <c r="V171" s="119">
        <f t="shared" si="323"/>
        <v>33.354112293956042</v>
      </c>
      <c r="W171" s="119">
        <f t="shared" si="323"/>
        <v>36.355982400412088</v>
      </c>
      <c r="X171" s="119">
        <f t="shared" si="323"/>
        <v>39.628020816449187</v>
      </c>
      <c r="Y171" s="119">
        <f t="shared" si="323"/>
        <v>43.194542689929619</v>
      </c>
      <c r="Z171" s="119">
        <f t="shared" si="323"/>
        <v>47.082051532023286</v>
      </c>
      <c r="AA171" s="119">
        <f t="shared" si="323"/>
        <v>51.319436169905387</v>
      </c>
      <c r="AB171" s="119">
        <f t="shared" si="323"/>
        <v>55.938185425196863</v>
      </c>
      <c r="AC171" s="138" t="e">
        <f t="shared" si="311"/>
        <v>#DIV/0!</v>
      </c>
      <c r="AD171" s="31">
        <v>0.08</v>
      </c>
      <c r="AE171" s="127" t="e">
        <f t="shared" si="312"/>
        <v>#DIV/0!</v>
      </c>
    </row>
    <row r="172" spans="2:31" x14ac:dyDescent="0.2">
      <c r="B172" s="20" t="s">
        <v>260</v>
      </c>
      <c r="C172" s="25" t="e">
        <f t="shared" ref="C172:P172" si="324">C167/C66</f>
        <v>#DIV/0!</v>
      </c>
      <c r="D172" s="25" t="e">
        <f t="shared" si="324"/>
        <v>#DIV/0!</v>
      </c>
      <c r="E172" s="25" t="e">
        <f t="shared" si="324"/>
        <v>#DIV/0!</v>
      </c>
      <c r="F172" s="25" t="e">
        <f t="shared" si="324"/>
        <v>#DIV/0!</v>
      </c>
      <c r="G172" s="25">
        <f t="shared" si="324"/>
        <v>0</v>
      </c>
      <c r="H172" s="25">
        <f t="shared" si="324"/>
        <v>0</v>
      </c>
      <c r="I172" s="25">
        <f t="shared" si="324"/>
        <v>0</v>
      </c>
      <c r="J172" s="25">
        <f t="shared" si="324"/>
        <v>0.2857142857142857</v>
      </c>
      <c r="K172" s="25">
        <f t="shared" si="324"/>
        <v>0.1111111111111111</v>
      </c>
      <c r="L172" s="25">
        <f t="shared" si="324"/>
        <v>7.1111111111111107</v>
      </c>
      <c r="M172" s="25">
        <f t="shared" si="324"/>
        <v>4.5714285714285712</v>
      </c>
      <c r="N172" s="25">
        <f t="shared" si="324"/>
        <v>3.5555555555555554</v>
      </c>
      <c r="O172" s="25">
        <f t="shared" si="324"/>
        <v>1.3913043478260869</v>
      </c>
      <c r="P172" s="25">
        <f t="shared" si="324"/>
        <v>20.222222222222225</v>
      </c>
      <c r="Q172" s="118" t="e">
        <f t="shared" si="309"/>
        <v>#DIV/0!</v>
      </c>
      <c r="R172" s="128"/>
      <c r="S172" s="119">
        <f t="shared" ref="S172:AB172" si="325">S167/S66</f>
        <v>24.801587301587301</v>
      </c>
      <c r="T172" s="119">
        <f t="shared" si="325"/>
        <v>27.033730158730155</v>
      </c>
      <c r="U172" s="119">
        <f t="shared" si="325"/>
        <v>29.46676587301587</v>
      </c>
      <c r="V172" s="119">
        <f t="shared" si="325"/>
        <v>32.1187748015873</v>
      </c>
      <c r="W172" s="119">
        <f t="shared" si="325"/>
        <v>35.00946453373016</v>
      </c>
      <c r="X172" s="119">
        <f t="shared" si="325"/>
        <v>38.160316341765878</v>
      </c>
      <c r="Y172" s="119">
        <f t="shared" si="325"/>
        <v>41.594744812524816</v>
      </c>
      <c r="Z172" s="119">
        <f t="shared" si="325"/>
        <v>45.338271845652052</v>
      </c>
      <c r="AA172" s="119">
        <f t="shared" si="325"/>
        <v>49.41871631176074</v>
      </c>
      <c r="AB172" s="119">
        <f t="shared" si="325"/>
        <v>53.866400779819202</v>
      </c>
      <c r="AC172" s="138" t="e">
        <f t="shared" si="311"/>
        <v>#DIV/0!</v>
      </c>
      <c r="AD172" s="31">
        <v>0.08</v>
      </c>
      <c r="AE172" s="127" t="e">
        <f t="shared" si="312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6">G167/G60</f>
        <v>0</v>
      </c>
      <c r="H173" s="182">
        <f t="shared" si="326"/>
        <v>0</v>
      </c>
      <c r="I173" s="182">
        <f t="shared" si="326"/>
        <v>0</v>
      </c>
      <c r="J173" s="182">
        <f t="shared" si="326"/>
        <v>5.3297801465689541E-2</v>
      </c>
      <c r="K173" s="182">
        <f t="shared" si="326"/>
        <v>4.8455481526347662E-2</v>
      </c>
      <c r="L173" s="182">
        <f t="shared" si="326"/>
        <v>2.6359143327841843</v>
      </c>
      <c r="M173" s="182">
        <f t="shared" si="326"/>
        <v>2.0711974110032365</v>
      </c>
      <c r="N173" s="182">
        <f t="shared" si="326"/>
        <v>0.30992736077481842</v>
      </c>
      <c r="O173" s="182">
        <f t="shared" si="326"/>
        <v>0.27526881720430108</v>
      </c>
      <c r="P173" s="182">
        <f t="shared" si="326"/>
        <v>2.8144329896907219</v>
      </c>
      <c r="Q173" s="118" t="e">
        <f t="shared" ref="Q173:Q175" si="327">((P173/G173)^(1/($H$2-$H$1) ))-1</f>
        <v>#DIV/0!</v>
      </c>
      <c r="R173" s="128"/>
      <c r="S173" s="135">
        <f t="shared" ref="S173:AB173" si="328">S167/S60</f>
        <v>3.4517673048600881</v>
      </c>
      <c r="T173" s="135">
        <f t="shared" si="328"/>
        <v>3.7624263622974956</v>
      </c>
      <c r="U173" s="135">
        <f t="shared" si="328"/>
        <v>4.1010447349042707</v>
      </c>
      <c r="V173" s="135">
        <f t="shared" si="328"/>
        <v>4.4701387610456544</v>
      </c>
      <c r="W173" s="135">
        <f t="shared" si="328"/>
        <v>4.8724512495397638</v>
      </c>
      <c r="X173" s="135">
        <f t="shared" si="328"/>
        <v>5.3109718619983424</v>
      </c>
      <c r="Y173" s="135">
        <f t="shared" si="328"/>
        <v>5.7889593295781943</v>
      </c>
      <c r="Z173" s="135">
        <f t="shared" si="328"/>
        <v>6.3099656692402313</v>
      </c>
      <c r="AA173" s="135">
        <f t="shared" si="328"/>
        <v>6.8778625794718531</v>
      </c>
      <c r="AB173" s="135">
        <f t="shared" si="328"/>
        <v>7.4968702116243184</v>
      </c>
      <c r="AC173" s="138" t="e">
        <f t="shared" ref="AC173" si="329">((AB173/G173)^(1/($AB$3-$H$1) ))-1</f>
        <v>#DIV/0!</v>
      </c>
      <c r="AD173" s="31">
        <v>0.08</v>
      </c>
      <c r="AE173" s="127" t="e">
        <f t="shared" si="312"/>
        <v>#DIV/0!</v>
      </c>
    </row>
    <row r="174" spans="2:31" x14ac:dyDescent="0.2">
      <c r="B174" s="20" t="s">
        <v>371</v>
      </c>
      <c r="C174" s="161" t="e">
        <f t="shared" ref="C174:P174" si="330">C52/C167</f>
        <v>#DIV/0!</v>
      </c>
      <c r="D174" s="161" t="e">
        <f t="shared" si="330"/>
        <v>#DIV/0!</v>
      </c>
      <c r="E174" s="161" t="e">
        <f t="shared" si="330"/>
        <v>#DIV/0!</v>
      </c>
      <c r="F174" s="161" t="e">
        <f t="shared" si="330"/>
        <v>#DIV/0!</v>
      </c>
      <c r="G174" s="161" t="e">
        <f t="shared" si="330"/>
        <v>#DIV/0!</v>
      </c>
      <c r="H174" s="161" t="e">
        <f t="shared" si="330"/>
        <v>#DIV/0!</v>
      </c>
      <c r="I174" s="161" t="e">
        <f t="shared" si="330"/>
        <v>#DIV/0!</v>
      </c>
      <c r="J174" s="161">
        <f t="shared" si="330"/>
        <v>3</v>
      </c>
      <c r="K174" s="161">
        <f t="shared" si="330"/>
        <v>1.875</v>
      </c>
      <c r="L174" s="161">
        <f t="shared" si="330"/>
        <v>2.1874999999999999E-2</v>
      </c>
      <c r="M174" s="161">
        <f t="shared" si="330"/>
        <v>9.8437500000000001E-3</v>
      </c>
      <c r="N174" s="161">
        <f t="shared" si="330"/>
        <v>-3.2031249999999997E-2</v>
      </c>
      <c r="O174" s="161">
        <f t="shared" si="330"/>
        <v>0.65625</v>
      </c>
      <c r="P174" s="161">
        <f t="shared" si="330"/>
        <v>6.043956043956044E-2</v>
      </c>
      <c r="Q174" s="118" t="e">
        <f t="shared" si="327"/>
        <v>#DIV/0!</v>
      </c>
      <c r="R174" s="128"/>
      <c r="S174" s="161">
        <f t="shared" ref="S174:AB174" si="331">S52/S167</f>
        <v>4.9280000000000004E-2</v>
      </c>
      <c r="T174" s="161">
        <f t="shared" si="331"/>
        <v>4.5211009174311922E-2</v>
      </c>
      <c r="U174" s="161">
        <f t="shared" si="331"/>
        <v>4.1477990068176082E-2</v>
      </c>
      <c r="V174" s="161">
        <f t="shared" si="331"/>
        <v>3.8053201897409253E-2</v>
      </c>
      <c r="W174" s="161">
        <f t="shared" si="331"/>
        <v>3.4911194401292887E-2</v>
      </c>
      <c r="X174" s="161">
        <f t="shared" si="331"/>
        <v>3.2028618716782462E-2</v>
      </c>
      <c r="Y174" s="161">
        <f t="shared" si="331"/>
        <v>2.9384053868607755E-2</v>
      </c>
      <c r="Z174" s="161">
        <f t="shared" si="331"/>
        <v>2.6957847585878672E-2</v>
      </c>
      <c r="AA174" s="161">
        <f t="shared" si="331"/>
        <v>2.473197026227401E-2</v>
      </c>
      <c r="AB174" s="161">
        <f t="shared" si="331"/>
        <v>2.2689880974563311E-2</v>
      </c>
      <c r="AC174" s="138" t="e">
        <f t="shared" ref="AC174:AC175" si="332">((AB174/G174)^(1/($AB$3-$H$1) ))-1</f>
        <v>#DIV/0!</v>
      </c>
      <c r="AD174" s="31">
        <v>0.08</v>
      </c>
      <c r="AE174" s="127" t="e">
        <f t="shared" si="312"/>
        <v>#DIV/0!</v>
      </c>
    </row>
    <row r="175" spans="2:31" x14ac:dyDescent="0.2">
      <c r="B175" s="20" t="s">
        <v>320</v>
      </c>
      <c r="C175" s="152" t="e">
        <f t="shared" ref="C175:P175" si="333">C43/C167</f>
        <v>#DIV/0!</v>
      </c>
      <c r="D175" s="152" t="e">
        <f t="shared" si="333"/>
        <v>#DIV/0!</v>
      </c>
      <c r="E175" s="152" t="e">
        <f t="shared" si="333"/>
        <v>#DIV/0!</v>
      </c>
      <c r="F175" s="152" t="e">
        <f t="shared" si="333"/>
        <v>#DIV/0!</v>
      </c>
      <c r="G175" s="152" t="e">
        <f t="shared" si="333"/>
        <v>#DIV/0!</v>
      </c>
      <c r="H175" s="152" t="e">
        <f t="shared" si="333"/>
        <v>#DIV/0!</v>
      </c>
      <c r="I175" s="152" t="e">
        <f t="shared" si="333"/>
        <v>#DIV/0!</v>
      </c>
      <c r="J175" s="152">
        <f t="shared" si="333"/>
        <v>0</v>
      </c>
      <c r="K175" s="152">
        <f t="shared" si="333"/>
        <v>0</v>
      </c>
      <c r="L175" s="152">
        <f t="shared" si="333"/>
        <v>3.7499999999999999E-2</v>
      </c>
      <c r="M175" s="152">
        <f t="shared" si="333"/>
        <v>0</v>
      </c>
      <c r="N175" s="152">
        <f t="shared" si="333"/>
        <v>0</v>
      </c>
      <c r="O175" s="152">
        <f t="shared" si="333"/>
        <v>0</v>
      </c>
      <c r="P175" s="152">
        <f t="shared" si="333"/>
        <v>0</v>
      </c>
      <c r="Q175" s="118" t="e">
        <f t="shared" si="327"/>
        <v>#DIV/0!</v>
      </c>
      <c r="R175" s="128"/>
      <c r="S175" s="152">
        <f t="shared" ref="S175:AB175" si="334">S43/S167</f>
        <v>0</v>
      </c>
      <c r="T175" s="152">
        <f t="shared" si="334"/>
        <v>0</v>
      </c>
      <c r="U175" s="152">
        <f t="shared" si="334"/>
        <v>0</v>
      </c>
      <c r="V175" s="152">
        <f t="shared" si="334"/>
        <v>0</v>
      </c>
      <c r="W175" s="152">
        <f t="shared" si="334"/>
        <v>0</v>
      </c>
      <c r="X175" s="152">
        <f t="shared" si="334"/>
        <v>0</v>
      </c>
      <c r="Y175" s="152">
        <f t="shared" si="334"/>
        <v>0</v>
      </c>
      <c r="Z175" s="152">
        <f t="shared" si="334"/>
        <v>0</v>
      </c>
      <c r="AA175" s="152">
        <f t="shared" si="334"/>
        <v>0</v>
      </c>
      <c r="AB175" s="152">
        <f t="shared" si="334"/>
        <v>0</v>
      </c>
      <c r="AC175" s="138" t="e">
        <f t="shared" si="332"/>
        <v>#DIV/0!</v>
      </c>
      <c r="AD175" s="31">
        <v>0.08</v>
      </c>
      <c r="AE175" s="127" t="e">
        <f t="shared" si="312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9" t="s">
        <v>351</v>
      </c>
      <c r="L178" s="20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1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0.91318976515527517</v>
      </c>
      <c r="N180" s="20"/>
      <c r="O180" s="20"/>
      <c r="P180" s="128">
        <f>(P167-R146)/P167</f>
        <v>0.91318976515527517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0.88231395997854334</v>
      </c>
      <c r="N181" s="20"/>
      <c r="O181" s="20"/>
      <c r="P181" s="128">
        <f>(P167-R139)/P167</f>
        <v>0.88231395997854334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0.82954881459076679</v>
      </c>
      <c r="N182" s="20"/>
      <c r="O182" s="20"/>
      <c r="P182" s="128">
        <f>(P167-R152)/P167</f>
        <v>0.82954881459076679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67.719985889948589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1.4766689432350075E-2</v>
      </c>
      <c r="Q185" s="20"/>
      <c r="R185" s="20"/>
      <c r="S185" s="185">
        <f>P167-S186</f>
        <v>238.06371634615385</v>
      </c>
      <c r="T185" s="185">
        <f>S185-T186</f>
        <v>173.03061850961541</v>
      </c>
      <c r="U185" s="185">
        <f t="shared" ref="U185:W185" si="335">T185-U186</f>
        <v>104.74586578125002</v>
      </c>
      <c r="V185" s="185">
        <f t="shared" si="335"/>
        <v>33.046875416466349</v>
      </c>
      <c r="W185" s="185">
        <f t="shared" si="335"/>
        <v>-42.237064466556504</v>
      </c>
      <c r="X185" s="185">
        <f>W185-X186</f>
        <v>-121.28520134373051</v>
      </c>
      <c r="Y185" s="185">
        <f t="shared" ref="Y185:AB185" si="336">X185-Y186</f>
        <v>-204.2857450647632</v>
      </c>
      <c r="Z185" s="185">
        <f t="shared" si="336"/>
        <v>-291.43631597184753</v>
      </c>
      <c r="AA185" s="185">
        <f t="shared" si="336"/>
        <v>-382.94441542428609</v>
      </c>
      <c r="AB185" s="185">
        <f t="shared" si="336"/>
        <v>-479.02791984934663</v>
      </c>
      <c r="AC185" s="185">
        <f t="shared" ref="AC185" si="337">AB185-AC186</f>
        <v>-579.91559949566022</v>
      </c>
      <c r="AD185" s="185">
        <f t="shared" ref="AD185" si="338">AC185-AD186</f>
        <v>-685.8476631242894</v>
      </c>
      <c r="AE185" s="185">
        <f t="shared" ref="AE185" si="339">AD185-AE186</f>
        <v>-797.07632993435004</v>
      </c>
      <c r="AF185" s="185">
        <f t="shared" ref="AF185" si="340">AE185-AF186</f>
        <v>-913.86643008491376</v>
      </c>
      <c r="AG185" s="185">
        <f t="shared" ref="AG185" si="341">AF185-AG186</f>
        <v>-1036.4960352430057</v>
      </c>
      <c r="AH185" s="185">
        <f t="shared" ref="AH185" si="342">AG185-AH186</f>
        <v>-1165.2571206590023</v>
      </c>
      <c r="AI185" s="185">
        <f t="shared" ref="AI185" si="343">AH185-AI186</f>
        <v>-1300.4562603457987</v>
      </c>
      <c r="AJ185" s="185">
        <f t="shared" ref="AJ185" si="344">AI185-AJ186</f>
        <v>-1442.4153570169349</v>
      </c>
      <c r="AK185" s="185">
        <f t="shared" ref="AK185" si="345">AJ185-AK186</f>
        <v>-1591.4724085216278</v>
      </c>
      <c r="AL185" s="185">
        <f t="shared" ref="AL185" si="346">AK185-AL186</f>
        <v>-1747.9823126015553</v>
      </c>
      <c r="AM185" s="185">
        <f t="shared" ref="AM185" si="347">AL185-AM186</f>
        <v>-1912.3177118854794</v>
      </c>
      <c r="AN185" s="185">
        <f t="shared" ref="AN185" si="348">AM185-AN186</f>
        <v>-2084.8698811335998</v>
      </c>
      <c r="AO185" s="185">
        <f t="shared" ref="AO185" si="349">AN185-AO186</f>
        <v>-2266.049658844126</v>
      </c>
      <c r="AP185" s="185">
        <f t="shared" ref="AP185" si="350">AO185-AP186</f>
        <v>-2456.2884254401788</v>
      </c>
      <c r="AQ185" s="185">
        <f t="shared" ref="AQ185" si="351">AP185-AQ186</f>
        <v>-2656.039130366034</v>
      </c>
      <c r="AR185" s="185">
        <f t="shared" ref="AR185" si="352">AQ185-AR186</f>
        <v>-2865.7773705381819</v>
      </c>
      <c r="AS185" s="185">
        <f t="shared" ref="AS185" si="353">AR185-AS186</f>
        <v>-3086.0025227189371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1">
        <f>P167/(Q137*(1+K186)^L186)</f>
        <v>5.0858718253180015</v>
      </c>
      <c r="N186" s="20"/>
      <c r="O186" s="20"/>
      <c r="P186" s="181">
        <f>P167/Q137</f>
        <v>5.0858718253180015</v>
      </c>
      <c r="Q186" s="20"/>
      <c r="R186" s="20"/>
      <c r="S186" s="186">
        <f>Q137*(1+$K$186)</f>
        <v>61.936283653846154</v>
      </c>
      <c r="T186" s="186">
        <f>S186*(1+$K$186)</f>
        <v>65.03309783653846</v>
      </c>
      <c r="U186" s="186">
        <f t="shared" ref="U186:AB186" si="354">T186*(1+$K$186)</f>
        <v>68.28475272836539</v>
      </c>
      <c r="V186" s="186">
        <f t="shared" si="354"/>
        <v>71.698990364783668</v>
      </c>
      <c r="W186" s="186">
        <f t="shared" si="354"/>
        <v>75.283939883022853</v>
      </c>
      <c r="X186" s="186">
        <f t="shared" si="354"/>
        <v>79.048136877174002</v>
      </c>
      <c r="Y186" s="186">
        <f t="shared" si="354"/>
        <v>83.000543721032699</v>
      </c>
      <c r="Z186" s="186">
        <f t="shared" si="354"/>
        <v>87.150570907084344</v>
      </c>
      <c r="AA186" s="186">
        <f t="shared" si="354"/>
        <v>91.508099452438572</v>
      </c>
      <c r="AB186" s="186">
        <f t="shared" si="354"/>
        <v>96.083504425060511</v>
      </c>
      <c r="AC186" s="186">
        <f t="shared" ref="AC186" si="355">AB186*(1+$K$186)</f>
        <v>100.88767964631354</v>
      </c>
      <c r="AD186" s="186">
        <f t="shared" ref="AD186" si="356">AC186*(1+$K$186)</f>
        <v>105.93206362862922</v>
      </c>
      <c r="AE186" s="186">
        <f t="shared" ref="AE186" si="357">AD186*(1+$K$186)</f>
        <v>111.22866681006069</v>
      </c>
      <c r="AF186" s="186">
        <f t="shared" ref="AF186" si="358">AE186*(1+$K$186)</f>
        <v>116.79010015056373</v>
      </c>
      <c r="AG186" s="186">
        <f t="shared" ref="AG186" si="359">AF186*(1+$K$186)</f>
        <v>122.62960515809192</v>
      </c>
      <c r="AH186" s="186">
        <f t="shared" ref="AH186" si="360">AG186*(1+$K$186)</f>
        <v>128.76108541599652</v>
      </c>
      <c r="AI186" s="186">
        <f t="shared" ref="AI186" si="361">AH186*(1+$K$186)</f>
        <v>135.19913968679634</v>
      </c>
      <c r="AJ186" s="186">
        <f t="shared" ref="AJ186" si="362">AI186*(1+$K$186)</f>
        <v>141.95909667113617</v>
      </c>
      <c r="AK186" s="186">
        <f t="shared" ref="AK186" si="363">AJ186*(1+$K$186)</f>
        <v>149.05705150469299</v>
      </c>
      <c r="AL186" s="186">
        <f t="shared" ref="AL186" si="364">AK186*(1+$K$186)</f>
        <v>156.50990407992765</v>
      </c>
      <c r="AM186" s="186">
        <f t="shared" ref="AM186" si="365">AL186*(1+$K$186)</f>
        <v>164.33539928392403</v>
      </c>
      <c r="AN186" s="186">
        <f t="shared" ref="AN186" si="366">AM186*(1+$K$186)</f>
        <v>172.55216924812024</v>
      </c>
      <c r="AO186" s="186">
        <f t="shared" ref="AO186" si="367">AN186*(1+$K$186)</f>
        <v>181.17977771052625</v>
      </c>
      <c r="AP186" s="186">
        <f t="shared" ref="AP186" si="368">AO186*(1+$K$186)</f>
        <v>190.23876659605259</v>
      </c>
      <c r="AQ186" s="186">
        <f t="shared" ref="AQ186" si="369">AP186*(1+$K$186)</f>
        <v>199.75070492585522</v>
      </c>
      <c r="AR186" s="186">
        <f t="shared" ref="AR186" si="370">AQ186*(1+$K$186)</f>
        <v>209.73824017214798</v>
      </c>
      <c r="AS186" s="186">
        <f t="shared" ref="AS186" si="371">AR186*(1+$K$186)</f>
        <v>220.2251521807554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1">
        <f>P167/(P52*(1+K187)^L187)</f>
        <v>16.545454545454547</v>
      </c>
      <c r="N187" s="20"/>
      <c r="O187" s="20"/>
      <c r="P187" s="181">
        <f>P167/P52</f>
        <v>16.545454545454547</v>
      </c>
      <c r="Q187" s="20"/>
      <c r="R187" s="20"/>
      <c r="S187" s="186">
        <f>P52*(1+$K$187)</f>
        <v>19.03846153846154</v>
      </c>
      <c r="T187" s="186">
        <f>S187*(1+$K$187)</f>
        <v>19.990384615384617</v>
      </c>
      <c r="U187" s="186">
        <f t="shared" ref="U187:AB187" si="372">T187*(1+$K$187)</f>
        <v>20.989903846153847</v>
      </c>
      <c r="V187" s="186">
        <f t="shared" si="372"/>
        <v>22.039399038461539</v>
      </c>
      <c r="W187" s="186">
        <f t="shared" si="372"/>
        <v>23.141368990384617</v>
      </c>
      <c r="X187" s="186">
        <f t="shared" si="372"/>
        <v>24.29843743990385</v>
      </c>
      <c r="Y187" s="186">
        <f t="shared" si="372"/>
        <v>25.513359311899045</v>
      </c>
      <c r="Z187" s="186">
        <f t="shared" si="372"/>
        <v>26.789027277493997</v>
      </c>
      <c r="AA187" s="186">
        <f t="shared" si="372"/>
        <v>28.128478641368698</v>
      </c>
      <c r="AB187" s="186">
        <f t="shared" si="372"/>
        <v>29.534902573437133</v>
      </c>
      <c r="AC187" s="186">
        <f t="shared" ref="AC187" si="373">AB187*(1+$K$187)</f>
        <v>31.011647702108991</v>
      </c>
      <c r="AD187" s="186">
        <f t="shared" ref="AD187" si="374">AC187*(1+$K$187)</f>
        <v>32.562230087214445</v>
      </c>
      <c r="AE187" s="186">
        <f t="shared" ref="AE187" si="375">AD187*(1+$K$187)</f>
        <v>34.190341591575169</v>
      </c>
      <c r="AF187" s="186">
        <f t="shared" ref="AF187" si="376">AE187*(1+$K$187)</f>
        <v>35.899858671153929</v>
      </c>
      <c r="AG187" s="186">
        <f t="shared" ref="AG187" si="377">AF187*(1+$K$187)</f>
        <v>37.69485160471163</v>
      </c>
      <c r="AH187" s="186">
        <f t="shared" ref="AH187" si="378">AG187*(1+$K$187)</f>
        <v>39.579594184947211</v>
      </c>
      <c r="AI187" s="186">
        <f t="shared" ref="AI187" si="379">AH187*(1+$K$187)</f>
        <v>41.558573894194573</v>
      </c>
      <c r="AJ187" s="186">
        <f t="shared" ref="AJ187" si="380">AI187*(1+$K$187)</f>
        <v>43.636502588904307</v>
      </c>
      <c r="AK187" s="186">
        <f t="shared" ref="AK187" si="381">AJ187*(1+$K$187)</f>
        <v>45.818327718349522</v>
      </c>
      <c r="AL187" s="186">
        <f t="shared" ref="AL187" si="382">AK187*(1+$K$187)</f>
        <v>48.109244104266999</v>
      </c>
      <c r="AM187" s="186">
        <f t="shared" ref="AM187" si="383">AL187*(1+$K$187)</f>
        <v>50.514706309480353</v>
      </c>
      <c r="AN187" s="186">
        <f t="shared" ref="AN187" si="384">AM187*(1+$K$187)</f>
        <v>53.040441624954376</v>
      </c>
      <c r="AO187" s="186">
        <f t="shared" ref="AO187" si="385">AN187*(1+$K$187)</f>
        <v>55.692463706202098</v>
      </c>
      <c r="AP187" s="186">
        <f t="shared" ref="AP187" si="386">AO187*(1+$K$187)</f>
        <v>58.477086891512208</v>
      </c>
      <c r="AQ187" s="186">
        <f t="shared" ref="AQ187" si="387">AP187*(1+$K$187)</f>
        <v>61.400941236087824</v>
      </c>
      <c r="AR187" s="186">
        <f t="shared" ref="AR187" si="388">AQ187*(1+$K$187)</f>
        <v>64.47098829789222</v>
      </c>
      <c r="AS187" s="186">
        <f t="shared" ref="AS187" si="389">AR187*(1+$K$187)</f>
        <v>67.69453771278684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280.96153846153845</v>
      </c>
      <c r="T188" s="185">
        <f>S188-T187</f>
        <v>260.97115384615381</v>
      </c>
      <c r="U188" s="185">
        <f t="shared" ref="U188:Z188" si="390">T188-U187</f>
        <v>239.98124999999996</v>
      </c>
      <c r="V188" s="185">
        <f t="shared" si="390"/>
        <v>217.94185096153842</v>
      </c>
      <c r="W188" s="185">
        <f t="shared" si="390"/>
        <v>194.8004819711538</v>
      </c>
      <c r="X188" s="185">
        <f t="shared" si="390"/>
        <v>170.50204453124996</v>
      </c>
      <c r="Y188" s="185">
        <f t="shared" si="390"/>
        <v>144.98868521935091</v>
      </c>
      <c r="Z188" s="185">
        <f t="shared" si="390"/>
        <v>118.19965794185691</v>
      </c>
      <c r="AA188" s="185">
        <f>Z188-AA187</f>
        <v>90.071179300488211</v>
      </c>
      <c r="AB188" s="185">
        <f t="shared" ref="AB188" si="391">AA188-AB187</f>
        <v>60.536276727051074</v>
      </c>
      <c r="AC188" s="185">
        <f t="shared" ref="AC188" si="392">AB188-AC187</f>
        <v>29.524629024942083</v>
      </c>
      <c r="AD188" s="185">
        <f t="shared" ref="AD188" si="393">AC188-AD187</f>
        <v>-3.0376010622723619</v>
      </c>
      <c r="AE188" s="185">
        <f t="shared" ref="AE188" si="394">AD188-AE187</f>
        <v>-37.227942653847535</v>
      </c>
      <c r="AF188" s="185">
        <f t="shared" ref="AF188" si="395">AE188-AF187</f>
        <v>-73.127801325001457</v>
      </c>
      <c r="AG188" s="185">
        <f t="shared" ref="AG188" si="396">AF188-AG187</f>
        <v>-110.82265292971309</v>
      </c>
      <c r="AH188" s="185">
        <f t="shared" ref="AH188" si="397">AG188-AH187</f>
        <v>-150.4022471146603</v>
      </c>
      <c r="AI188" s="185">
        <f t="shared" ref="AI188" si="398">AH188-AI187</f>
        <v>-191.96082100885488</v>
      </c>
      <c r="AJ188" s="185">
        <f t="shared" ref="AJ188" si="399">AI188-AJ187</f>
        <v>-235.59732359775919</v>
      </c>
      <c r="AK188" s="185">
        <f t="shared" ref="AK188" si="400">AJ188-AK187</f>
        <v>-281.41565131610872</v>
      </c>
      <c r="AL188" s="185">
        <f t="shared" ref="AL188" si="401">AK188-AL187</f>
        <v>-329.52489542037574</v>
      </c>
      <c r="AM188" s="185">
        <f t="shared" ref="AM188" si="402">AL188-AM187</f>
        <v>-380.03960172985609</v>
      </c>
      <c r="AN188" s="185">
        <f t="shared" ref="AN188" si="403">AM188-AN187</f>
        <v>-433.08004335481047</v>
      </c>
      <c r="AO188" s="185">
        <f t="shared" ref="AO188" si="404">AN188-AO187</f>
        <v>-488.77250706101256</v>
      </c>
      <c r="AP188" s="185">
        <f t="shared" ref="AP188" si="405">AO188-AP187</f>
        <v>-547.24959395252472</v>
      </c>
      <c r="AQ188" s="185">
        <f t="shared" ref="AQ188" si="406">AP188-AQ187</f>
        <v>-608.65053518861259</v>
      </c>
      <c r="AR188" s="185">
        <f t="shared" ref="AR188" si="407">AQ188-AR187</f>
        <v>-673.12152348650477</v>
      </c>
      <c r="AS188" s="185">
        <f t="shared" ref="AS188" si="408">AR188-AS187</f>
        <v>-740.81606119929165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09">C10/C7</f>
        <v>#DIV/0!</v>
      </c>
      <c r="D190" s="25" t="e">
        <f t="shared" si="409"/>
        <v>#DIV/0!</v>
      </c>
      <c r="E190" s="25" t="e">
        <f t="shared" si="409"/>
        <v>#DIV/0!</v>
      </c>
      <c r="F190" s="25" t="e">
        <f t="shared" si="409"/>
        <v>#DIV/0!</v>
      </c>
      <c r="G190" s="25">
        <f t="shared" si="409"/>
        <v>0</v>
      </c>
      <c r="H190" s="25">
        <f t="shared" si="409"/>
        <v>0</v>
      </c>
      <c r="I190" s="25">
        <f t="shared" si="409"/>
        <v>0</v>
      </c>
      <c r="J190" s="25">
        <f t="shared" si="409"/>
        <v>0</v>
      </c>
      <c r="K190" s="25">
        <f t="shared" si="409"/>
        <v>0</v>
      </c>
      <c r="L190" s="25">
        <f t="shared" si="409"/>
        <v>0</v>
      </c>
      <c r="M190" s="25">
        <f t="shared" si="409"/>
        <v>0</v>
      </c>
      <c r="N190" s="25">
        <f t="shared" si="409"/>
        <v>0</v>
      </c>
      <c r="O190" s="25">
        <f t="shared" si="409"/>
        <v>0</v>
      </c>
      <c r="P190" s="25">
        <f t="shared" si="409"/>
        <v>3.8022813688212927E-2</v>
      </c>
      <c r="Q190" s="118" t="e">
        <f t="shared" ref="Q190:Q192" si="410">((P190/G190)^(1/($H$2-$H$1) ))-1</f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 t="e">
        <f>G10/G12</f>
        <v>#DIV/0!</v>
      </c>
      <c r="H191" s="112">
        <f t="shared" ref="H191:P191" si="411">H10/H12</f>
        <v>0</v>
      </c>
      <c r="I191" s="112">
        <f t="shared" si="411"/>
        <v>0</v>
      </c>
      <c r="J191" s="112">
        <f t="shared" si="411"/>
        <v>0</v>
      </c>
      <c r="K191" s="112">
        <f t="shared" si="411"/>
        <v>0</v>
      </c>
      <c r="L191" s="112">
        <f t="shared" si="411"/>
        <v>0</v>
      </c>
      <c r="M191" s="112">
        <f t="shared" si="411"/>
        <v>0</v>
      </c>
      <c r="N191" s="112">
        <f t="shared" si="411"/>
        <v>0</v>
      </c>
      <c r="O191" s="112">
        <f t="shared" si="411"/>
        <v>0</v>
      </c>
      <c r="P191" s="112">
        <f t="shared" si="411"/>
        <v>0.4</v>
      </c>
      <c r="Q191" s="118" t="e">
        <f t="shared" si="410"/>
        <v>#DIV/0!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0</v>
      </c>
      <c r="H192" s="25">
        <f t="shared" ref="H192:P192" si="412">H10/(H12+H13)</f>
        <v>0</v>
      </c>
      <c r="I192" s="25">
        <f t="shared" si="412"/>
        <v>0</v>
      </c>
      <c r="J192" s="25">
        <f t="shared" si="412"/>
        <v>0</v>
      </c>
      <c r="K192" s="25">
        <f t="shared" si="412"/>
        <v>0</v>
      </c>
      <c r="L192" s="25">
        <f t="shared" si="412"/>
        <v>0</v>
      </c>
      <c r="M192" s="25">
        <f t="shared" si="412"/>
        <v>0</v>
      </c>
      <c r="N192" s="25">
        <f t="shared" si="412"/>
        <v>0</v>
      </c>
      <c r="O192" s="25">
        <f t="shared" si="412"/>
        <v>0</v>
      </c>
      <c r="P192" s="25">
        <f t="shared" si="412"/>
        <v>0.38461538461538464</v>
      </c>
      <c r="Q192" s="118" t="e">
        <f t="shared" si="410"/>
        <v>#DIV/0!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6" t="s">
        <v>337</v>
      </c>
      <c r="M195" s="197"/>
      <c r="N195" s="198"/>
      <c r="O195" s="23" t="s">
        <v>340</v>
      </c>
      <c r="P195" s="20"/>
      <c r="Q195" s="196" t="s">
        <v>338</v>
      </c>
      <c r="R195" s="197"/>
      <c r="S195" s="198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</v>
      </c>
      <c r="O197" s="173">
        <f>N197</f>
        <v>1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1</v>
      </c>
      <c r="G198" s="22">
        <v>1</v>
      </c>
      <c r="H198" s="167">
        <f>F198/G198</f>
        <v>1</v>
      </c>
      <c r="I198" s="167">
        <f>H198*J197</f>
        <v>2</v>
      </c>
      <c r="J198" s="167">
        <f>I198+J197</f>
        <v>4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4</v>
      </c>
      <c r="K199" s="20"/>
      <c r="L199" s="167" t="s">
        <v>343</v>
      </c>
      <c r="M199" s="167"/>
      <c r="N199" s="168">
        <f>N197*N198</f>
        <v>1</v>
      </c>
      <c r="O199" s="173">
        <f>N199</f>
        <v>1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2</v>
      </c>
      <c r="H200" s="167">
        <f>F200/G200</f>
        <v>5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</v>
      </c>
      <c r="O200" s="21">
        <v>1565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</v>
      </c>
      <c r="O201" s="168">
        <f>O200*O198</f>
        <v>1565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1</v>
      </c>
      <c r="O204" s="170">
        <f>O201/O199</f>
        <v>1565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9" t="s">
        <v>27</v>
      </c>
      <c r="E208" s="190"/>
      <c r="F208" s="190"/>
      <c r="G208" s="191"/>
      <c r="H208" s="20"/>
      <c r="I208" s="189" t="s">
        <v>393</v>
      </c>
      <c r="J208" s="190"/>
      <c r="K208" s="191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1" t="s">
        <v>27</v>
      </c>
      <c r="K5" s="201"/>
      <c r="M5" s="201" t="s">
        <v>65</v>
      </c>
      <c r="N5" s="20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1" t="s">
        <v>36</v>
      </c>
      <c r="K14" s="201"/>
      <c r="L14" s="20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1" t="s">
        <v>27</v>
      </c>
      <c r="S5" s="20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1" t="s">
        <v>36</v>
      </c>
      <c r="S14" s="201"/>
      <c r="T14" s="20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1" t="s">
        <v>27</v>
      </c>
      <c r="C2" s="201"/>
      <c r="E2" s="201" t="s">
        <v>65</v>
      </c>
      <c r="F2" s="201"/>
      <c r="H2" s="205" t="s">
        <v>36</v>
      </c>
      <c r="I2" s="20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2" t="s">
        <v>68</v>
      </c>
      <c r="E10" s="203"/>
      <c r="F10" s="203"/>
      <c r="G10" s="203"/>
      <c r="H10" s="204"/>
      <c r="I10" s="202" t="s">
        <v>72</v>
      </c>
      <c r="J10" s="203"/>
      <c r="K10" s="203"/>
      <c r="L10" s="20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2014-08-09T14:57:11Z</dcterms:modified>
</cp:coreProperties>
</file>
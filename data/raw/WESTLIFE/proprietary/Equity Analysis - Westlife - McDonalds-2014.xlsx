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42" i="18" l="1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6" i="18" s="1"/>
  <c r="Q175" i="18" s="1"/>
  <c r="Q67" i="18"/>
  <c r="Q68" i="18"/>
  <c r="Q176" i="18" s="1"/>
  <c r="Q70" i="18"/>
  <c r="Q72" i="18"/>
  <c r="Q74" i="18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7" i="18"/>
  <c r="Q138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173" i="18"/>
  <c r="Q180" i="18" s="1"/>
  <c r="Q181" i="18" s="1"/>
  <c r="T192" i="18"/>
  <c r="T193" i="18" s="1"/>
  <c r="Q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H192" i="18" l="1"/>
  <c r="R52" i="18"/>
  <c r="P91" i="18"/>
  <c r="R91" i="18" s="1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T14" i="18" l="1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Q191" i="18"/>
  <c r="P191" i="18"/>
  <c r="T191" i="18"/>
  <c r="T190" i="18" s="1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<sst xmlns="http://schemas.openxmlformats.org/spreadsheetml/2006/main" count="651" uniqueCount="459">
  <si>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</si>
  <si>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</si>
  <si>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</si>
  <si>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</si>
  <si>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</si>
  <si>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</si>
  <si>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</si>
  <si>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</si>
  <si>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</si>
  <si>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</si>
  <si>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</si>
  <si>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</si>
  <si>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</si>
  <si>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</si>
  <si>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</si>
  <si>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</si>
  <si>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</si>
  <si>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</si>
  <si>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</si>
  <si>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</si>
  <si>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</si>
  <si>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</si>
  <si>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</si>
  <si>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</si>
  <si>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</si>
  <si>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</si>
  <si>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</si>
  <si>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</si>
  <si>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</si>
  <si>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</si>
  <si>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</si>
  <si>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</si>
  <si>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</si>
  <si>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</si>
  <si>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</si>
  <si>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</si>
  <si>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</si>
  <si>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</si>
  <si>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</si>
  <si>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</si>
  <si>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</si>
  <si>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</si>
  <si>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</si>
  <si>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</si>
  <si>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</si>
  <si>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</si>
  <si>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</si>
  <si>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</si>
  <si>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</si>
  <si>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</si>
  <si>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</si>
  <si>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</si>
  <si>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</si>
  <si>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</si>
  <si>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</si>
  <si>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</si>
  <si>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</si>
  <si>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</si>
  <si>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</si>
  <si>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</si>
  <si>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</si>
  <si>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</si>
  <si>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</si>
  <si>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</si>
  <si>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</si>
  <si>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</si>
  <si>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</si>
  <si>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</si>
  <si>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</si>
  <si>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</si>
  <si>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</si>
  <si>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</si>
  <si>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</si>
  <si>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</si>
  <si>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</si>
  <si>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</si>
  <si>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</si>
  <si>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</si>
  <si>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</si>
  <si>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</si>
  <si>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</si>
  <si>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</si>
  <si>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</si>
  <si>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</si>
  <si>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</si>
  <si>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</si>
  <si>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</si>
  <si>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</si>
  <si>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</si>
  <si>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</si>
  <si>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</si>
  <si>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</si>
  <si>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</si>
  <si>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</si>
  <si>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</si>
  <si>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</si>
  <si>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</si>
  <si>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</si>
  <si>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</si>
  <si>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</si>
  <si>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</si>
  <si>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</si>
  <si>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</si>
  <si>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</si>
  <si>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</si>
  <si>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</si>
  <si>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</si>
  <si>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</si>
  <si>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</si>
  <si>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</si>
  <si>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</si>
  <si>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</si>
  <si>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</si>
  <si>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</si>
  <si>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</si>
  <si>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</si>
  <si>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</si>
  <si>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</si>
  <si>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</si>
  <si>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</si>
  <si>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</si>
  <si>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</si>
  <si>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</si>
  <si>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</si>
  <si>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</si>
  <si>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</si>
  <si>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</si>
  <si>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</si>
  <si>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</si>
  <si>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</si>
  <si>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</si>
  <si>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</si>
  <si>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</si>
  <si>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</si>
  <si>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</si>
  <si>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</si>
  <si>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</si>
  <si>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</si>
  <si>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</si>
  <si>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</si>
  <si>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</si>
  <si>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</si>
  <si>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</si>
  <si>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</si>
  <si>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</si>
  <si>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</si>
  <si>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</si>
  <si>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</si>
  <si>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</si>
  <si>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</si>
  <si>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</si>
  <si>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</si>
  <si>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</si>
  <si>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</si>
  <si>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</si>
  <si>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</si>
  <si>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</si>
  <si>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</si>
  <si>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</si>
  <si>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</si>
  <si>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</si>
  <si>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</si>
  <si>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</si>
  <si>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</si>
  <si>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</si>
  <si>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</si>
  <si>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</si>
  <si>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</si>
  <si>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</si>
  <si>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</si>
  <si>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</si>
  <si>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</si>
  <si>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</si>
  <si>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</si>
  <si>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</si>
  <si>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</si>
  <si>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</si>
  <si>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</si>
  <si>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</si>
  <si>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</si>
  <si>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</si>
  <si>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</si>
  <si>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</si>
  <si>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</si>
  <si>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</si>
  <si>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</si>
  <si>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</si>
  <si>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</si>
  <si>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</si>
  <si>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</si>
  <si>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</si>
  <si>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</si>
  <si>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</si>
  <si>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</si>
  <si>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</si>
  <si>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</si>
  <si>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</si>
  <si>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</si>
  <si>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</si>
  <si>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</si>
  <si>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</si>
  <si>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</si>
  <si>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</si>
  <si>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</si>
  <si>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</si>
  <si>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</si>
  <si>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</si>
  <si>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</si>
  <si>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</si>
  <si>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</si>
  <si>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</si>
  <si>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</si>
  <si>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</si>
  <si>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</si>
  <si>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</si>
  <si>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</si>
  <si>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</si>
  <si>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</si>
  <si>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</si>
  <si>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</si>
  <si>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</si>
  <si>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</si>
  <si>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</si>
  <si>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</si>
  <si>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</si>
  <si>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</si>
  <si>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</si>
  <si>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</si>
  <si>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</si>
  <si>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</si>
  <si>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</si>
  <si>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</si>
  <si>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</si>
  <si>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</si>
  <si>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</si>
  <si>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</si>
  <si>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</si>
  <si>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</si>
  <si>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</si>
  <si>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</si>
  <si>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</si>
  <si>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</si>
  <si>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</si>
  <si>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</si>
  <si>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</si>
  <si>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</si>
  <si>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</si>
  <si>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</si>
  <si>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</si>
  <si>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</si>
  <si>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</si>
  <si>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</si>
  <si>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</si>
  <si>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</si>
  <si>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</si>
  <si>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</si>
  <si>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</si>
  <si>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</si>
  <si>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</si>
  <si>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</si>
  <si>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</si>
  <si>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</si>
  <si>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</si>
  <si>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</si>
  <si>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</si>
  <si>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</si>
  <si>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</si>
  <si>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</si>
  <si>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</si>
  <si>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</si>
  <si>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</si>
  <si>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</si>
  <si>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</si>
  <si>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</si>
  <si>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</si>
  <si>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</si>
  <si>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</si>
  <si>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</si>
  <si>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</si>
  <si>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</si>
  <si>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</si>
  <si>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</si>
  <si>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</si>
  <si>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</si>
  <si>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</si>
  <si>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</si>
  <si>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</si>
  <si>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</si>
  <si>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</si>
  <si>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</si>
  <si>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</si>
  <si>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</si>
  <si>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</si>
  <si>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</si>
  <si>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</si>
  <si>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</si>
  <si>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</si>
  <si>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</si>
  <si>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</si>
  <si>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</si>
  <si>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</si>
  <si>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</si>
  <si>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</si>
  <si>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</si>
  <si>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</si>
  <si>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</si>
  <si>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</si>
  <si>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</si>
  <si>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</si>
  <si>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</si>
  <si>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</si>
  <si>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</si>
  <si>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</si>
  <si>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</si>
  <si>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</si>
  <si>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</si>
  <si>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</si>
  <si>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</si>
  <si>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</si>
  <si>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</si>
  <si>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</si>
  <si>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</si>
  <si>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</si>
  <si>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</si>
  <si>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</si>
  <si>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</si>
  <si>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</si>
  <si>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</si>
  <si>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</si>
  <si>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</si>
  <si>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</si>
  <si>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</si>
  <si>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</si>
  <si>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</si>
  <si>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</si>
  <si>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</si>
  <si>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</si>
  <si>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</si>
  <si>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</si>
  <si>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</si>
  <si>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</si>
  <si>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</si>
  <si>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</si>
  <si>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</si>
  <si>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</si>
  <si>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</si>
  <si>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</si>
  <si>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</si>
  <si>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</si>
  <si>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</si>
  <si>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</si>
  <si>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</si>
  <si>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</si>
  <si>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</si>
  <si>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</si>
  <si>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</si>
  <si>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</si>
  <si>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</si>
  <si>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</si>
  <si>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</si>
  <si>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</si>
  <si>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</si>
  <si>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</si>
  <si>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</si>
  <si>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</si>
  <si>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</si>
  <si>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</si>
  <si>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</si>
  <si>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</si>
  <si>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</si>
  <si>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</si>
  <si>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</si>
  <si>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</si>
  <si>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</si>
  <si>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</si>
  <si>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</si>
  <si>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</si>
  <si>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</si>
  <si>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</si>
  <si>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</si>
  <si>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</si>
  <si>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</si>
  <si>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</si>
  <si>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</si>
  <si>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</si>
  <si>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</si>
  <si>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</si>
  <si>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</si>
  <si>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</si>
  <si>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</si>
  <si>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</si>
  <si>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</si>
  <si>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</si>
  <si>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</si>
  <si>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</si>
  <si>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</si>
  <si>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</si>
  <si>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</si>
  <si>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</si>
  <si>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</si>
  <si>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</si>
  <si>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</si>
  <si>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</si>
  <si>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</si>
  <si>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</si>
  <si>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</si>
  <si>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</si>
  <si>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</si>
  <si>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</si>
  <si>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</si>
  <si>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</si>
  <si>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</si>
  <si>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</si>
  <si>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</si>
  <si>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</si>
  <si>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</si>
  <si>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</si>
  <si>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</si>
  <si>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</si>
  <si>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</si>
  <si>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</si>
  <si>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</si>
  <si>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</si>
  <si>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</si>
  <si>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</si>
  <si>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</si>
  <si>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</si>
  <si>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</si>
  <si>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</si>
  <si>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</si>
  <si>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</si>
  <si>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</si>
  <si>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</si>
  <si>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</si>
  <si>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</si>
  <si>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</si>
  <si>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</si>
  <si>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</si>
  <si>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</si>
  <si>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</si>
  <si>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</si>
  <si>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</si>
  <si>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</si>
  <si>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</si>
  <si>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</si>
  <si>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</si>
  <si>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</si>
  <si>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</si>
  <si>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</si>
  <si>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</si>
  <si>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</si>
  <si>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</si>
  <si>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</si>
  <si>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</si>
  <si>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</si>
  <si>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</si>
  <si>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79x1</t>
  </si>
  <si>
    <t>1x1</t>
  </si>
  <si>
    <t>10x2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</si>
</sst>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16" fillId="9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99424"/>
        <c:axId val="38711680"/>
      </c:lineChart>
      <c:catAx>
        <c:axId val="9459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38711680"/>
        <c:crosses val="autoZero"/>
        <c:auto val="1"/>
        <c:lblAlgn val="ctr"/>
        <c:lblOffset val="100"/>
        <c:noMultiLvlLbl val="0"/>
      </c:catAx>
      <c:valAx>
        <c:axId val="38711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59942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E154" activePane="bottomRight" state="frozen"/>
      <selection pane="topRight" activeCell="C1" sqref="C1"/>
      <selection pane="bottomLeft" activeCell="A5" sqref="A5"/>
      <selection pane="bottomRight" activeCell="Q172" sqref="Q172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2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5.37</v>
      </c>
      <c r="H6" s="147">
        <v>6</v>
      </c>
      <c r="I6" s="147">
        <v>12</v>
      </c>
      <c r="J6" s="147">
        <v>14</v>
      </c>
      <c r="K6" s="147">
        <v>16</v>
      </c>
      <c r="L6" s="147">
        <v>0.43</v>
      </c>
      <c r="M6" s="147">
        <v>1</v>
      </c>
      <c r="N6" s="147">
        <v>184</v>
      </c>
      <c r="O6" s="147">
        <v>191</v>
      </c>
      <c r="P6" s="147">
        <v>244</v>
      </c>
      <c r="Q6" s="147">
        <v>529.9</v>
      </c>
      <c r="R6" s="118">
        <f>((Q6/G6)^(1/($H$2-$H$1) ))-1</f>
        <v>0.66563546490107361</v>
      </c>
      <c r="S6" s="31">
        <f>$L$2</f>
        <v>0.12</v>
      </c>
      <c r="T6" s="154">
        <f>Q6*(1+$S6)</f>
        <v>593.48800000000006</v>
      </c>
      <c r="U6" s="154">
        <f>T6*(1+$S6)</f>
        <v>664.70656000000008</v>
      </c>
      <c r="V6" s="154">
        <f t="shared" ref="V6:AC6" si="0">U6*(1+$S6)</f>
        <v>744.4713472000002</v>
      </c>
      <c r="W6" s="154">
        <f t="shared" si="0"/>
        <v>833.8079088640003</v>
      </c>
      <c r="X6" s="154">
        <f t="shared" si="0"/>
        <v>933.86485792768042</v>
      </c>
      <c r="Y6" s="154">
        <f t="shared" si="0"/>
        <v>1045.9286408790022</v>
      </c>
      <c r="Z6" s="154">
        <f t="shared" si="0"/>
        <v>1171.4400777844826</v>
      </c>
      <c r="AA6" s="154">
        <f t="shared" si="0"/>
        <v>1312.0128871186207</v>
      </c>
      <c r="AB6" s="154">
        <f t="shared" si="0"/>
        <v>1469.4544335728554</v>
      </c>
      <c r="AC6" s="154">
        <f t="shared" si="0"/>
        <v>1645.7889656015982</v>
      </c>
      <c r="AD6" s="138">
        <f>((AC6/G6)^(1/($AC$3-$H$1) ))-1</f>
        <v>0.3314350728903277</v>
      </c>
      <c r="AE6" s="31">
        <f>$L$1</f>
        <v>0.05</v>
      </c>
      <c r="AF6" s="146">
        <f t="shared" ref="AF6:AF44" si="1">(AC6*(1+AE6))/($C$1-AE6)</f>
        <v>10165.16714048046</v>
      </c>
    </row>
    <row r="7" spans="2:32" x14ac:dyDescent="0.2">
      <c r="B7" s="20" t="s">
        <v>240</v>
      </c>
      <c r="C7" s="141"/>
      <c r="D7" s="141"/>
      <c r="E7" s="147"/>
      <c r="F7" s="147"/>
      <c r="G7" s="147">
        <v>6</v>
      </c>
      <c r="H7" s="147">
        <v>7</v>
      </c>
      <c r="I7" s="147">
        <v>12</v>
      </c>
      <c r="J7" s="147">
        <v>15</v>
      </c>
      <c r="K7" s="147">
        <v>16</v>
      </c>
      <c r="L7" s="147">
        <v>16</v>
      </c>
      <c r="M7" s="147">
        <v>17</v>
      </c>
      <c r="N7" s="147">
        <v>200</v>
      </c>
      <c r="O7" s="147">
        <v>208</v>
      </c>
      <c r="P7" s="147">
        <v>263</v>
      </c>
      <c r="Q7" s="147">
        <v>561</v>
      </c>
      <c r="R7" s="118">
        <f>((Q7/G7)^(1/($H$2-$H$1) ))-1</f>
        <v>0.65569016059263507</v>
      </c>
      <c r="S7" s="31">
        <f>$L$2</f>
        <v>0.12</v>
      </c>
      <c r="T7" s="154">
        <f t="shared" ref="T7:T44" si="2">Q7*(1+$S7)</f>
        <v>628.32000000000005</v>
      </c>
      <c r="U7" s="154">
        <f t="shared" ref="U7:AC7" si="3">T7*(1+$S7)</f>
        <v>703.71840000000009</v>
      </c>
      <c r="V7" s="154">
        <f t="shared" si="3"/>
        <v>788.16460800000016</v>
      </c>
      <c r="W7" s="154">
        <f t="shared" si="3"/>
        <v>882.74436096000022</v>
      </c>
      <c r="X7" s="154">
        <f t="shared" si="3"/>
        <v>988.67368427520034</v>
      </c>
      <c r="Y7" s="154">
        <f t="shared" si="3"/>
        <v>1107.3145263882245</v>
      </c>
      <c r="Z7" s="154">
        <f t="shared" si="3"/>
        <v>1240.1922695548117</v>
      </c>
      <c r="AA7" s="154">
        <f t="shared" si="3"/>
        <v>1389.0153419013893</v>
      </c>
      <c r="AB7" s="154">
        <f t="shared" si="3"/>
        <v>1555.6971829295562</v>
      </c>
      <c r="AC7" s="154">
        <f t="shared" si="3"/>
        <v>1742.380844881103</v>
      </c>
      <c r="AD7" s="138">
        <f>((AC7/G7)^(1/($AC$3-$H$1) ))-1</f>
        <v>0.32785175488872387</v>
      </c>
      <c r="AE7" s="31">
        <f>$L$1</f>
        <v>0.05</v>
      </c>
      <c r="AF7" s="146">
        <f t="shared" si="1"/>
        <v>10761.764041912696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0.14285714285714285</v>
      </c>
      <c r="I8" s="151">
        <f t="shared" ref="I8:P8" si="4">(I7-H7)/I7</f>
        <v>0.41666666666666669</v>
      </c>
      <c r="J8" s="151">
        <f t="shared" si="4"/>
        <v>0.2</v>
      </c>
      <c r="K8" s="151">
        <f t="shared" si="4"/>
        <v>6.25E-2</v>
      </c>
      <c r="L8" s="151">
        <f t="shared" si="4"/>
        <v>0</v>
      </c>
      <c r="M8" s="151">
        <f t="shared" si="4"/>
        <v>5.8823529411764705E-2</v>
      </c>
      <c r="N8" s="151">
        <f t="shared" si="4"/>
        <v>0.91500000000000004</v>
      </c>
      <c r="O8" s="151">
        <f t="shared" si="4"/>
        <v>3.8461538461538464E-2</v>
      </c>
      <c r="P8" s="151">
        <f t="shared" si="4"/>
        <v>0.20912547528517111</v>
      </c>
      <c r="Q8" s="151">
        <f t="shared" ref="I8:Q8" si="5">(Q7-P7)/Q7</f>
        <v>0.5311942959001783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0</v>
      </c>
      <c r="H9" s="147">
        <v>0</v>
      </c>
      <c r="I9" s="147">
        <v>0</v>
      </c>
      <c r="J9" s="147">
        <v>0</v>
      </c>
      <c r="K9" s="147">
        <v>0</v>
      </c>
      <c r="L9" s="147">
        <v>0.02</v>
      </c>
      <c r="M9" s="147">
        <v>0.1</v>
      </c>
      <c r="N9" s="147">
        <v>1.5</v>
      </c>
      <c r="O9" s="147">
        <v>29.5</v>
      </c>
      <c r="P9" s="147">
        <v>111</v>
      </c>
      <c r="Q9" s="147">
        <v>165</v>
      </c>
      <c r="R9" s="118" t="e">
        <f>((Q9/G9)^(1/($H$2-$H$1) ))-1</f>
        <v>#DIV/0!</v>
      </c>
      <c r="S9" s="31">
        <f t="shared" ref="S9:S40" si="6">$L$2</f>
        <v>0.12</v>
      </c>
      <c r="T9" s="154">
        <f t="shared" si="2"/>
        <v>184.8</v>
      </c>
      <c r="U9" s="154">
        <f t="shared" ref="U9" si="7">T9*(1+$S9)</f>
        <v>206.97600000000003</v>
      </c>
      <c r="V9" s="154">
        <f t="shared" ref="V9" si="8">U9*(1+$S9)</f>
        <v>231.81312000000005</v>
      </c>
      <c r="W9" s="154">
        <f t="shared" ref="W9" si="9">V9*(1+$S9)</f>
        <v>259.6306944000001</v>
      </c>
      <c r="X9" s="154">
        <f t="shared" ref="X9" si="10">W9*(1+$S9)</f>
        <v>290.78637772800016</v>
      </c>
      <c r="Y9" s="154">
        <f t="shared" ref="Y9" si="11">X9*(1+$S9)</f>
        <v>325.68074305536021</v>
      </c>
      <c r="Z9" s="154">
        <f t="shared" ref="Z9" si="12">Y9*(1+$S9)</f>
        <v>364.7624322220035</v>
      </c>
      <c r="AA9" s="154">
        <f t="shared" ref="AA9" si="13">Z9*(1+$S9)</f>
        <v>408.53392408864397</v>
      </c>
      <c r="AB9" s="154">
        <f t="shared" ref="AB9" si="14">AA9*(1+$S9)</f>
        <v>457.55799497928132</v>
      </c>
      <c r="AC9" s="154">
        <f t="shared" ref="AC9" si="15">AB9*(1+$S9)</f>
        <v>512.46495437679516</v>
      </c>
      <c r="AD9" s="138" t="e">
        <f>((AC9/G9)^(1/($AC$3-$H$1) ))-1</f>
        <v>#DIV/0!</v>
      </c>
      <c r="AE9" s="31">
        <f t="shared" ref="AE9:AE81" si="16">$L$1</f>
        <v>0.05</v>
      </c>
      <c r="AF9" s="146">
        <f t="shared" si="1"/>
        <v>3165.224718209618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10</v>
      </c>
      <c r="Q10" s="147"/>
      <c r="R10" s="118" t="e">
        <f>((Q10/G10)^(1/($H$2-$H$1) ))-1</f>
        <v>#DIV/0!</v>
      </c>
      <c r="S10" s="31">
        <f t="shared" si="6"/>
        <v>0.12</v>
      </c>
      <c r="T10" s="154">
        <f t="shared" si="2"/>
        <v>0</v>
      </c>
      <c r="U10" s="154">
        <f t="shared" ref="U10:AC10" si="17">T10*(1+$S10)</f>
        <v>0</v>
      </c>
      <c r="V10" s="154">
        <f t="shared" si="17"/>
        <v>0</v>
      </c>
      <c r="W10" s="154">
        <f t="shared" si="17"/>
        <v>0</v>
      </c>
      <c r="X10" s="154">
        <f t="shared" si="17"/>
        <v>0</v>
      </c>
      <c r="Y10" s="154">
        <f t="shared" si="17"/>
        <v>0</v>
      </c>
      <c r="Z10" s="154">
        <f t="shared" si="17"/>
        <v>0</v>
      </c>
      <c r="AA10" s="154">
        <f t="shared" si="17"/>
        <v>0</v>
      </c>
      <c r="AB10" s="154">
        <f t="shared" si="17"/>
        <v>0</v>
      </c>
      <c r="AC10" s="154">
        <f t="shared" si="17"/>
        <v>0</v>
      </c>
      <c r="AD10" s="138" t="e">
        <f t="shared" ref="AD10:AD42" si="18">((AC10/G10)^(1/($AC$3-$H$1) ))-1</f>
        <v>#DIV/0!</v>
      </c>
      <c r="AE10" s="31">
        <f t="shared" si="16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19">(H10-G10)/H10</f>
        <v>#DIV/0!</v>
      </c>
      <c r="I11" s="148" t="e">
        <f t="shared" si="19"/>
        <v>#DIV/0!</v>
      </c>
      <c r="J11" s="148" t="e">
        <f t="shared" si="19"/>
        <v>#DIV/0!</v>
      </c>
      <c r="K11" s="148" t="e">
        <f t="shared" si="19"/>
        <v>#DIV/0!</v>
      </c>
      <c r="L11" s="148" t="e">
        <f t="shared" si="19"/>
        <v>#DIV/0!</v>
      </c>
      <c r="M11" s="148" t="e">
        <f t="shared" si="19"/>
        <v>#DIV/0!</v>
      </c>
      <c r="N11" s="148" t="e">
        <f t="shared" si="19"/>
        <v>#DIV/0!</v>
      </c>
      <c r="O11" s="148" t="e">
        <f t="shared" si="19"/>
        <v>#DIV/0!</v>
      </c>
      <c r="P11" s="148">
        <f t="shared" si="19"/>
        <v>1</v>
      </c>
      <c r="Q11" s="148" t="e">
        <f t="shared" ref="H11:Q11" si="20">(Q10-P10)/Q10</f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0</v>
      </c>
      <c r="H12" s="147">
        <v>0.01</v>
      </c>
      <c r="I12" s="147">
        <v>0.01</v>
      </c>
      <c r="J12" s="147">
        <v>0.01</v>
      </c>
      <c r="K12" s="147">
        <v>0.51</v>
      </c>
      <c r="L12" s="147">
        <v>8</v>
      </c>
      <c r="M12" s="147">
        <v>14</v>
      </c>
      <c r="N12" s="147">
        <v>7</v>
      </c>
      <c r="O12" s="147">
        <v>33</v>
      </c>
      <c r="P12" s="147">
        <v>25</v>
      </c>
      <c r="Q12" s="147"/>
      <c r="R12" s="118" t="e">
        <f>((Q12/G12)^(1/($H$2-$H$1) ))-1</f>
        <v>#DIV/0!</v>
      </c>
      <c r="S12" s="31">
        <f t="shared" si="6"/>
        <v>0.12</v>
      </c>
      <c r="T12" s="154">
        <f t="shared" si="2"/>
        <v>0</v>
      </c>
      <c r="U12" s="154">
        <f t="shared" ref="U12:AC12" si="21">T12*(1+$S12)</f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54">
        <f t="shared" si="21"/>
        <v>0</v>
      </c>
      <c r="AD12" s="138" t="e">
        <f t="shared" si="18"/>
        <v>#DIV/0!</v>
      </c>
      <c r="AE12" s="31">
        <f t="shared" si="16"/>
        <v>0.05</v>
      </c>
      <c r="AF12" s="146">
        <f t="shared" si="1"/>
        <v>0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3.5</v>
      </c>
      <c r="H13" s="147">
        <v>6.05</v>
      </c>
      <c r="I13" s="147">
        <v>12</v>
      </c>
      <c r="J13" s="147">
        <v>12</v>
      </c>
      <c r="K13" s="147">
        <v>9</v>
      </c>
      <c r="L13" s="147">
        <v>7</v>
      </c>
      <c r="M13" s="147">
        <v>1</v>
      </c>
      <c r="N13" s="147">
        <v>236</v>
      </c>
      <c r="O13" s="147">
        <v>7.5</v>
      </c>
      <c r="P13" s="147">
        <v>1</v>
      </c>
      <c r="Q13" s="147"/>
      <c r="R13" s="118">
        <f>((Q13/G13)^(1/($H$2-$H$1) ))-1</f>
        <v>-1</v>
      </c>
      <c r="S13" s="31">
        <f t="shared" si="6"/>
        <v>0.12</v>
      </c>
      <c r="T13" s="154">
        <f t="shared" si="2"/>
        <v>0</v>
      </c>
      <c r="U13" s="154">
        <f t="shared" ref="U13:AC13" si="22">T13*(1+$S13)</f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54">
        <f t="shared" si="22"/>
        <v>0</v>
      </c>
      <c r="AD13" s="138">
        <f t="shared" si="18"/>
        <v>-1</v>
      </c>
      <c r="AE13" s="31">
        <f t="shared" si="16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15</v>
      </c>
      <c r="P14" s="147">
        <v>18</v>
      </c>
      <c r="Q14" s="147"/>
      <c r="R14" s="118">
        <f>((Q14/G14)^(1/($H$2-$H$1) ))-1</f>
        <v>-1</v>
      </c>
      <c r="S14" s="31">
        <f t="shared" si="6"/>
        <v>0.12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>
        <f t="shared" ref="AD14" si="32">((AC14/G14)^(1/($AC$3-$H$1) ))-1</f>
        <v>-1</v>
      </c>
      <c r="AE14" s="31">
        <f t="shared" si="16"/>
        <v>0.05</v>
      </c>
      <c r="AF14" s="146">
        <f t="shared" ref="AF14" si="33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1.0900000000000001</v>
      </c>
      <c r="H15" s="147">
        <v>0.01</v>
      </c>
      <c r="I15" s="147">
        <v>0.01</v>
      </c>
      <c r="J15" s="147">
        <v>0.01</v>
      </c>
      <c r="K15" s="147">
        <v>0.51</v>
      </c>
      <c r="L15" s="147">
        <v>8.3000000000000007</v>
      </c>
      <c r="M15" s="147">
        <v>14</v>
      </c>
      <c r="N15" s="147">
        <v>8</v>
      </c>
      <c r="O15" s="147">
        <v>54</v>
      </c>
      <c r="P15" s="147">
        <v>52</v>
      </c>
      <c r="Q15" s="147"/>
      <c r="R15" s="118">
        <f>((Q15/G15)^(1/($H$2-$H$1) ))-1</f>
        <v>-1</v>
      </c>
      <c r="S15" s="31">
        <f t="shared" si="6"/>
        <v>0.12</v>
      </c>
      <c r="T15" s="154">
        <f t="shared" si="2"/>
        <v>0</v>
      </c>
      <c r="U15" s="154">
        <f t="shared" ref="U15:AC15" si="34">T15*(1+$S15)</f>
        <v>0</v>
      </c>
      <c r="V15" s="154">
        <f t="shared" si="34"/>
        <v>0</v>
      </c>
      <c r="W15" s="154">
        <f t="shared" si="34"/>
        <v>0</v>
      </c>
      <c r="X15" s="154">
        <f t="shared" si="34"/>
        <v>0</v>
      </c>
      <c r="Y15" s="154">
        <f t="shared" si="34"/>
        <v>0</v>
      </c>
      <c r="Z15" s="154">
        <f t="shared" si="34"/>
        <v>0</v>
      </c>
      <c r="AA15" s="154">
        <f t="shared" si="34"/>
        <v>0</v>
      </c>
      <c r="AB15" s="154">
        <f t="shared" si="34"/>
        <v>0</v>
      </c>
      <c r="AC15" s="154">
        <f t="shared" si="34"/>
        <v>0</v>
      </c>
      <c r="AD15" s="138">
        <f t="shared" si="18"/>
        <v>-1</v>
      </c>
      <c r="AE15" s="31">
        <f t="shared" si="16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2</v>
      </c>
      <c r="H16" s="147">
        <v>0.5</v>
      </c>
      <c r="I16" s="147">
        <v>0.28999999999999998</v>
      </c>
      <c r="J16" s="147">
        <v>2.8</v>
      </c>
      <c r="K16" s="147">
        <v>7.2</v>
      </c>
      <c r="L16" s="147">
        <v>9</v>
      </c>
      <c r="M16" s="147">
        <v>14</v>
      </c>
      <c r="N16" s="147">
        <v>18</v>
      </c>
      <c r="O16" s="147">
        <v>46</v>
      </c>
      <c r="P16" s="147">
        <v>27</v>
      </c>
      <c r="Q16" s="147"/>
      <c r="R16" s="118">
        <f>((Q16/G16)^(1/($H$2-$H$1) ))-1</f>
        <v>-1</v>
      </c>
      <c r="S16" s="31">
        <f t="shared" si="6"/>
        <v>0.12</v>
      </c>
      <c r="T16" s="154">
        <f t="shared" si="2"/>
        <v>0</v>
      </c>
      <c r="U16" s="154">
        <f t="shared" ref="U16:AC16" si="35">T16*(1+$S16)</f>
        <v>0</v>
      </c>
      <c r="V16" s="154">
        <f t="shared" si="35"/>
        <v>0</v>
      </c>
      <c r="W16" s="154">
        <f t="shared" si="35"/>
        <v>0</v>
      </c>
      <c r="X16" s="154">
        <f t="shared" si="35"/>
        <v>0</v>
      </c>
      <c r="Y16" s="154">
        <f t="shared" si="35"/>
        <v>0</v>
      </c>
      <c r="Z16" s="154">
        <f t="shared" si="35"/>
        <v>0</v>
      </c>
      <c r="AA16" s="154">
        <f t="shared" si="35"/>
        <v>0</v>
      </c>
      <c r="AB16" s="154">
        <f t="shared" si="35"/>
        <v>0</v>
      </c>
      <c r="AC16" s="154">
        <f t="shared" si="35"/>
        <v>0</v>
      </c>
      <c r="AD16" s="138">
        <f t="shared" si="18"/>
        <v>-1</v>
      </c>
      <c r="AE16" s="31">
        <f t="shared" si="16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0.05</v>
      </c>
      <c r="H18" s="147">
        <v>0.04</v>
      </c>
      <c r="I18" s="147">
        <v>0.04</v>
      </c>
      <c r="J18" s="147">
        <v>0</v>
      </c>
      <c r="K18" s="147">
        <v>0</v>
      </c>
      <c r="L18" s="147">
        <v>0.01</v>
      </c>
      <c r="M18" s="147">
        <v>0.01</v>
      </c>
      <c r="N18" s="147">
        <v>0</v>
      </c>
      <c r="O18" s="147">
        <v>209</v>
      </c>
      <c r="P18" s="147">
        <v>349</v>
      </c>
      <c r="Q18" s="147"/>
      <c r="R18" s="118">
        <f>((Q18/G18)^(1/($H$2-$H$1) ))-1</f>
        <v>-1</v>
      </c>
      <c r="S18" s="31">
        <f t="shared" si="6"/>
        <v>0.12</v>
      </c>
      <c r="T18" s="154">
        <f t="shared" si="2"/>
        <v>0</v>
      </c>
      <c r="U18" s="154">
        <f t="shared" ref="U18:U34" si="36">T18*(1+$S18)</f>
        <v>0</v>
      </c>
      <c r="V18" s="154">
        <f t="shared" ref="V18:V34" si="37">U18*(1+$S18)</f>
        <v>0</v>
      </c>
      <c r="W18" s="154">
        <f t="shared" ref="W18:W34" si="38">V18*(1+$S18)</f>
        <v>0</v>
      </c>
      <c r="X18" s="154">
        <f t="shared" ref="X18:X36" si="39">W18*(1+$S18)</f>
        <v>0</v>
      </c>
      <c r="Y18" s="154">
        <f t="shared" ref="Y18:Y36" si="40">X18*(1+$S18)</f>
        <v>0</v>
      </c>
      <c r="Z18" s="154">
        <f t="shared" ref="Z18:Z36" si="41">Y18*(1+$S18)</f>
        <v>0</v>
      </c>
      <c r="AA18" s="154">
        <f t="shared" ref="AA18:AA36" si="42">Z18*(1+$S18)</f>
        <v>0</v>
      </c>
      <c r="AB18" s="154">
        <f t="shared" ref="AB18:AB36" si="43">AA18*(1+$S18)</f>
        <v>0</v>
      </c>
      <c r="AC18" s="154">
        <f t="shared" ref="AC18:AC36" si="44">AB18*(1+$S18)</f>
        <v>0</v>
      </c>
      <c r="AD18" s="138">
        <f t="shared" si="18"/>
        <v>-1</v>
      </c>
      <c r="AE18" s="31">
        <f t="shared" si="16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18" t="e">
        <f>((Q20/G20)^(1/($H$2-$H$1) ))-1</f>
        <v>#DIV/0!</v>
      </c>
      <c r="S20" s="31">
        <f t="shared" si="6"/>
        <v>0.12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 t="e">
        <f t="shared" ref="AD20:AD22" si="54">((AC20/G20)^(1/($AC$3-$H$1) ))-1</f>
        <v>#DIV/0!</v>
      </c>
      <c r="AE20" s="31">
        <f t="shared" si="16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18" t="e">
        <f>((Q21/G21)^(1/($H$2-$H$1) ))-1</f>
        <v>#DIV/0!</v>
      </c>
      <c r="S21" s="31">
        <f t="shared" si="6"/>
        <v>0.12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 t="e">
        <f t="shared" si="54"/>
        <v>#DIV/0!</v>
      </c>
      <c r="AE21" s="31">
        <f t="shared" si="16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18" t="e">
        <f>((Q22/G22)^(1/($H$2-$H$1) ))-1</f>
        <v>#DIV/0!</v>
      </c>
      <c r="S22" s="31">
        <f t="shared" si="6"/>
        <v>0.12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 t="e">
        <f t="shared" si="54"/>
        <v>#DIV/0!</v>
      </c>
      <c r="AE22" s="31">
        <f t="shared" si="16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18" t="e">
        <f>((Q23/G23)^(1/($H$2-$H$1) ))-1</f>
        <v>#DIV/0!</v>
      </c>
      <c r="S23" s="31">
        <f t="shared" si="6"/>
        <v>0.12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 t="e">
        <f t="shared" ref="AD23" si="64">((AC23/G23)^(1/($AC$3-$H$1) ))-1</f>
        <v>#DIV/0!</v>
      </c>
      <c r="AE23" s="31">
        <f t="shared" si="16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0.67</v>
      </c>
      <c r="H25" s="147">
        <v>1.17</v>
      </c>
      <c r="I25" s="147">
        <v>5</v>
      </c>
      <c r="J25" s="147">
        <v>2.7</v>
      </c>
      <c r="K25" s="147">
        <v>1.7</v>
      </c>
      <c r="L25" s="147">
        <v>1.7</v>
      </c>
      <c r="M25" s="147">
        <v>0.73</v>
      </c>
      <c r="N25" s="147">
        <v>0.19</v>
      </c>
      <c r="O25" s="147">
        <v>551</v>
      </c>
      <c r="P25" s="147">
        <v>692</v>
      </c>
      <c r="Q25" s="147">
        <v>740</v>
      </c>
      <c r="R25" s="118">
        <f>((Q25/G25)^(1/($H$2-$H$1) ))-1</f>
        <v>1.1783544456299602</v>
      </c>
      <c r="S25" s="31">
        <f t="shared" si="6"/>
        <v>0.12</v>
      </c>
      <c r="T25" s="154">
        <f t="shared" si="2"/>
        <v>828.80000000000007</v>
      </c>
      <c r="U25" s="154">
        <f t="shared" si="36"/>
        <v>928.2560000000002</v>
      </c>
      <c r="V25" s="154">
        <f t="shared" si="37"/>
        <v>1039.6467200000004</v>
      </c>
      <c r="W25" s="154">
        <f t="shared" si="38"/>
        <v>1164.4043264000006</v>
      </c>
      <c r="X25" s="154">
        <f t="shared" si="39"/>
        <v>1304.1328455680009</v>
      </c>
      <c r="Y25" s="154">
        <f t="shared" si="40"/>
        <v>1460.6287870361612</v>
      </c>
      <c r="Z25" s="154">
        <f t="shared" si="41"/>
        <v>1635.9042414805006</v>
      </c>
      <c r="AA25" s="154">
        <f t="shared" si="42"/>
        <v>1832.2127504581608</v>
      </c>
      <c r="AB25" s="154">
        <f t="shared" si="43"/>
        <v>2052.0782805131403</v>
      </c>
      <c r="AC25" s="154">
        <f t="shared" si="44"/>
        <v>2298.3276741747172</v>
      </c>
      <c r="AD25" s="138">
        <f t="shared" si="18"/>
        <v>0.50233524918944572</v>
      </c>
      <c r="AE25" s="31">
        <f t="shared" si="16"/>
        <v>0.05</v>
      </c>
      <c r="AF25" s="146">
        <f t="shared" si="1"/>
        <v>14195.553281667371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0.42735042735042728</v>
      </c>
      <c r="I26" s="148">
        <f t="shared" ref="I26:P26" si="65">(I25-H25)/I25</f>
        <v>0.76600000000000001</v>
      </c>
      <c r="J26" s="148">
        <f t="shared" si="65"/>
        <v>-0.85185185185185175</v>
      </c>
      <c r="K26" s="148">
        <f t="shared" si="65"/>
        <v>-0.58823529411764719</v>
      </c>
      <c r="L26" s="148">
        <f t="shared" si="65"/>
        <v>0</v>
      </c>
      <c r="M26" s="148">
        <f t="shared" si="65"/>
        <v>-1.3287671232876712</v>
      </c>
      <c r="N26" s="148">
        <f t="shared" si="65"/>
        <v>-2.8421052631578947</v>
      </c>
      <c r="O26" s="148">
        <f t="shared" si="65"/>
        <v>0.99965517241379298</v>
      </c>
      <c r="P26" s="148">
        <f t="shared" si="65"/>
        <v>0.20375722543352601</v>
      </c>
      <c r="Q26" s="148">
        <f t="shared" ref="P26:Q26" si="66">(Q25-P25)/Q25</f>
        <v>6.4864864864864868E-2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0.03</v>
      </c>
      <c r="H27" s="147">
        <v>0.03</v>
      </c>
      <c r="I27" s="147">
        <v>7.0000000000000007E-2</v>
      </c>
      <c r="J27" s="147">
        <v>0.08</v>
      </c>
      <c r="K27" s="147">
        <v>0.04</v>
      </c>
      <c r="L27" s="147">
        <v>0.23</v>
      </c>
      <c r="M27" s="147">
        <v>0.11</v>
      </c>
      <c r="N27" s="147">
        <v>2.13</v>
      </c>
      <c r="O27" s="147">
        <v>484</v>
      </c>
      <c r="P27" s="147">
        <v>626</v>
      </c>
      <c r="Q27" s="147">
        <v>740</v>
      </c>
      <c r="R27" s="118">
        <f>((Q27/G27)^(1/($H$2-$H$1) ))-1</f>
        <v>2.0761837516222017</v>
      </c>
      <c r="S27" s="31">
        <f t="shared" si="6"/>
        <v>0.12</v>
      </c>
      <c r="T27" s="154">
        <f t="shared" si="2"/>
        <v>828.80000000000007</v>
      </c>
      <c r="U27" s="154">
        <f t="shared" si="36"/>
        <v>928.2560000000002</v>
      </c>
      <c r="V27" s="154">
        <f t="shared" si="37"/>
        <v>1039.6467200000004</v>
      </c>
      <c r="W27" s="154">
        <f t="shared" si="38"/>
        <v>1164.4043264000006</v>
      </c>
      <c r="X27" s="154">
        <f t="shared" si="39"/>
        <v>1304.1328455680009</v>
      </c>
      <c r="Y27" s="154">
        <f t="shared" si="40"/>
        <v>1460.6287870361612</v>
      </c>
      <c r="Z27" s="154">
        <f t="shared" si="41"/>
        <v>1635.9042414805006</v>
      </c>
      <c r="AA27" s="154">
        <f t="shared" si="42"/>
        <v>1832.2127504581608</v>
      </c>
      <c r="AB27" s="154">
        <f t="shared" si="43"/>
        <v>2052.0782805131403</v>
      </c>
      <c r="AC27" s="154">
        <f t="shared" si="44"/>
        <v>2298.3276741747172</v>
      </c>
      <c r="AD27" s="138">
        <f t="shared" si="18"/>
        <v>0.75474710501762377</v>
      </c>
      <c r="AE27" s="31">
        <f t="shared" si="16"/>
        <v>0.05</v>
      </c>
      <c r="AF27" s="146">
        <f t="shared" si="1"/>
        <v>14195.553281667371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</v>
      </c>
      <c r="I28" s="148">
        <f t="shared" si="67"/>
        <v>0.57142857142857151</v>
      </c>
      <c r="J28" s="148">
        <f t="shared" si="67"/>
        <v>0.12499999999999993</v>
      </c>
      <c r="K28" s="148">
        <f t="shared" si="67"/>
        <v>-1</v>
      </c>
      <c r="L28" s="148">
        <f t="shared" si="67"/>
        <v>0.82608695652173914</v>
      </c>
      <c r="M28" s="148">
        <f t="shared" si="67"/>
        <v>-1.0909090909090911</v>
      </c>
      <c r="N28" s="148">
        <f t="shared" si="67"/>
        <v>0.94835680751173712</v>
      </c>
      <c r="O28" s="148">
        <f t="shared" si="67"/>
        <v>0.99559917355371896</v>
      </c>
      <c r="P28" s="148">
        <f t="shared" si="67"/>
        <v>0.2268370607028754</v>
      </c>
      <c r="Q28" s="148">
        <f t="shared" ref="P28:Q28" si="68">(Q27-P27)/Q27</f>
        <v>0.15405405405405406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7">
        <v>0</v>
      </c>
      <c r="M29" s="147">
        <v>0</v>
      </c>
      <c r="N29" s="147">
        <v>0</v>
      </c>
      <c r="O29" s="147">
        <v>7.0000000000000007E-2</v>
      </c>
      <c r="P29" s="147">
        <v>0.59</v>
      </c>
      <c r="Q29" s="147">
        <v>4.63</v>
      </c>
      <c r="R29" s="118" t="e">
        <f>((Q29/G29)^(1/($H$2-$H$1) ))-1</f>
        <v>#DIV/0!</v>
      </c>
      <c r="S29" s="31">
        <f t="shared" si="6"/>
        <v>0.12</v>
      </c>
      <c r="T29" s="154">
        <f t="shared" si="2"/>
        <v>5.1856</v>
      </c>
      <c r="U29" s="154">
        <f t="shared" ref="U29" si="69">T29*(1+$S29)</f>
        <v>5.8078720000000006</v>
      </c>
      <c r="V29" s="154">
        <f t="shared" ref="V29" si="70">U29*(1+$S29)</f>
        <v>6.5048166400000014</v>
      </c>
      <c r="W29" s="154">
        <f t="shared" ref="W29" si="71">V29*(1+$S29)</f>
        <v>7.2853946368000022</v>
      </c>
      <c r="X29" s="154">
        <f t="shared" ref="X29" si="72">W29*(1+$S29)</f>
        <v>8.1596419932160025</v>
      </c>
      <c r="Y29" s="154">
        <f t="shared" ref="Y29" si="73">X29*(1+$S29)</f>
        <v>9.1387990324019235</v>
      </c>
      <c r="Z29" s="154">
        <f t="shared" ref="Z29" si="74">Y29*(1+$S29)</f>
        <v>10.235454916290156</v>
      </c>
      <c r="AA29" s="154">
        <f t="shared" ref="AA29" si="75">Z29*(1+$S29)</f>
        <v>11.463709506244975</v>
      </c>
      <c r="AB29" s="154">
        <f t="shared" ref="AB29" si="76">AA29*(1+$S29)</f>
        <v>12.839354646994373</v>
      </c>
      <c r="AC29" s="154">
        <f t="shared" ref="AC29" si="77">AB29*(1+$S29)</f>
        <v>14.380077204633698</v>
      </c>
      <c r="AD29" s="138" t="e">
        <f t="shared" ref="AD29" si="78">((AC29/G29)^(1/($AC$3-$H$1) ))-1</f>
        <v>#DIV/0!</v>
      </c>
      <c r="AE29" s="31">
        <f t="shared" si="16"/>
        <v>0.05</v>
      </c>
      <c r="AF29" s="146">
        <f t="shared" ref="AF29" si="79">(AC29*(1+AE29))/($C$1-AE29)</f>
        <v>88.818123910972858</v>
      </c>
    </row>
    <row r="30" spans="2:32" s="123" customFormat="1" x14ac:dyDescent="0.2">
      <c r="B30" s="23"/>
      <c r="C30" s="149"/>
      <c r="D30" s="149"/>
      <c r="E30" s="150"/>
      <c r="F30" s="150"/>
      <c r="G30" s="148" t="e">
        <f t="shared" ref="G30:P30" si="80">(G29-F29)/G29</f>
        <v>#DIV/0!</v>
      </c>
      <c r="H30" s="148" t="e">
        <f t="shared" si="80"/>
        <v>#DIV/0!</v>
      </c>
      <c r="I30" s="148" t="e">
        <f t="shared" si="80"/>
        <v>#DIV/0!</v>
      </c>
      <c r="J30" s="148" t="e">
        <f t="shared" si="80"/>
        <v>#DIV/0!</v>
      </c>
      <c r="K30" s="148" t="e">
        <f t="shared" si="80"/>
        <v>#DIV/0!</v>
      </c>
      <c r="L30" s="148" t="e">
        <f t="shared" si="80"/>
        <v>#DIV/0!</v>
      </c>
      <c r="M30" s="148" t="e">
        <f t="shared" si="80"/>
        <v>#DIV/0!</v>
      </c>
      <c r="N30" s="148" t="e">
        <f t="shared" si="80"/>
        <v>#DIV/0!</v>
      </c>
      <c r="O30" s="148">
        <f t="shared" si="80"/>
        <v>1</v>
      </c>
      <c r="P30" s="148">
        <f t="shared" si="80"/>
        <v>0.88135593220338992</v>
      </c>
      <c r="Q30" s="148">
        <f t="shared" ref="P30:Q30" si="81">(Q29-P29)/Q29</f>
        <v>0.87257019438444927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6"/>
        <v>0.12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6"/>
        <v>0.12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1.5</v>
      </c>
      <c r="O33" s="147">
        <v>245</v>
      </c>
      <c r="P33" s="147">
        <v>310</v>
      </c>
      <c r="Q33" s="147">
        <v>319</v>
      </c>
      <c r="R33" s="118" t="e">
        <f>((Q33/G33)^(1/($H$2-$H$1) ))-1</f>
        <v>#DIV/0!</v>
      </c>
      <c r="S33" s="31">
        <f t="shared" si="6"/>
        <v>0.12</v>
      </c>
      <c r="T33" s="154">
        <f t="shared" si="2"/>
        <v>357.28000000000003</v>
      </c>
      <c r="U33" s="154">
        <f t="shared" si="36"/>
        <v>400.1536000000001</v>
      </c>
      <c r="V33" s="154">
        <f t="shared" si="37"/>
        <v>448.17203200000017</v>
      </c>
      <c r="W33" s="154">
        <f t="shared" si="38"/>
        <v>501.95267584000027</v>
      </c>
      <c r="X33" s="154">
        <f t="shared" si="39"/>
        <v>562.18699694080033</v>
      </c>
      <c r="Y33" s="154">
        <f t="shared" si="40"/>
        <v>629.64943657369645</v>
      </c>
      <c r="Z33" s="154">
        <f t="shared" si="41"/>
        <v>705.20736896254004</v>
      </c>
      <c r="AA33" s="154">
        <f t="shared" si="42"/>
        <v>789.83225323804493</v>
      </c>
      <c r="AB33" s="154">
        <f t="shared" si="43"/>
        <v>884.61212362661036</v>
      </c>
      <c r="AC33" s="154">
        <f t="shared" si="44"/>
        <v>990.76557846180367</v>
      </c>
      <c r="AD33" s="138" t="e">
        <f t="shared" si="18"/>
        <v>#DIV/0!</v>
      </c>
      <c r="AE33" s="31">
        <f t="shared" si="16"/>
        <v>0.05</v>
      </c>
      <c r="AF33" s="146">
        <f t="shared" si="1"/>
        <v>6119.4344552052589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0</v>
      </c>
      <c r="H34" s="147">
        <v>0</v>
      </c>
      <c r="I34" s="147">
        <v>0</v>
      </c>
      <c r="J34" s="147">
        <v>0</v>
      </c>
      <c r="K34" s="147">
        <v>0</v>
      </c>
      <c r="L34" s="147">
        <v>0.05</v>
      </c>
      <c r="M34" s="147">
        <v>0.08</v>
      </c>
      <c r="N34" s="147">
        <v>0.26</v>
      </c>
      <c r="O34" s="147">
        <v>65</v>
      </c>
      <c r="P34" s="147">
        <v>76</v>
      </c>
      <c r="Q34" s="147">
        <v>90.7</v>
      </c>
      <c r="R34" s="118" t="e">
        <f>((Q34/G34)^(1/($H$2-$H$1) ))-1</f>
        <v>#DIV/0!</v>
      </c>
      <c r="S34" s="31">
        <f t="shared" si="6"/>
        <v>0.12</v>
      </c>
      <c r="T34" s="154">
        <f t="shared" si="2"/>
        <v>101.58400000000002</v>
      </c>
      <c r="U34" s="154">
        <f t="shared" si="36"/>
        <v>113.77408000000003</v>
      </c>
      <c r="V34" s="154">
        <f t="shared" si="37"/>
        <v>127.42696960000004</v>
      </c>
      <c r="W34" s="154">
        <f t="shared" si="38"/>
        <v>142.71820595200006</v>
      </c>
      <c r="X34" s="154">
        <f t="shared" si="39"/>
        <v>159.84439066624009</v>
      </c>
      <c r="Y34" s="154">
        <f t="shared" si="40"/>
        <v>179.02571754618893</v>
      </c>
      <c r="Z34" s="154">
        <f t="shared" si="41"/>
        <v>200.50880365173163</v>
      </c>
      <c r="AA34" s="154">
        <f t="shared" si="42"/>
        <v>224.56986008993945</v>
      </c>
      <c r="AB34" s="154">
        <f t="shared" si="43"/>
        <v>251.51824330073222</v>
      </c>
      <c r="AC34" s="154">
        <f t="shared" si="44"/>
        <v>281.7004324968201</v>
      </c>
      <c r="AD34" s="138" t="e">
        <f t="shared" si="18"/>
        <v>#DIV/0!</v>
      </c>
      <c r="AE34" s="31">
        <f t="shared" si="16"/>
        <v>0.05</v>
      </c>
      <c r="AF34" s="146">
        <f t="shared" si="1"/>
        <v>1739.9144360097716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0.47</v>
      </c>
      <c r="H36" s="147">
        <v>0.93</v>
      </c>
      <c r="I36" s="147">
        <v>5.5</v>
      </c>
      <c r="J36" s="147">
        <v>2.5</v>
      </c>
      <c r="K36" s="147">
        <v>1.5</v>
      </c>
      <c r="L36" s="147">
        <v>1.0900000000000001</v>
      </c>
      <c r="M36" s="147">
        <v>0.48</v>
      </c>
      <c r="N36" s="147">
        <v>0.9</v>
      </c>
      <c r="O36" s="147">
        <v>63</v>
      </c>
      <c r="P36" s="147">
        <v>58</v>
      </c>
      <c r="Q36" s="147">
        <v>-41.5</v>
      </c>
      <c r="R36" s="118">
        <f>((Q36/G36)^(1/($H$2-$H$1) ))-1</f>
        <v>-2.6451923946505413</v>
      </c>
      <c r="S36" s="31">
        <f t="shared" si="6"/>
        <v>0.12</v>
      </c>
      <c r="T36" s="154">
        <f t="shared" si="2"/>
        <v>-46.480000000000004</v>
      </c>
      <c r="U36" s="154">
        <f t="shared" ref="U36" si="85">T36*(1+$S36)</f>
        <v>-52.057600000000008</v>
      </c>
      <c r="V36" s="154">
        <f t="shared" ref="V36" si="86">U36*(1+$S36)</f>
        <v>-58.304512000000017</v>
      </c>
      <c r="W36" s="154">
        <f t="shared" ref="W36" si="87">V36*(1+$S36)</f>
        <v>-65.301053440000018</v>
      </c>
      <c r="X36" s="154">
        <f t="shared" si="39"/>
        <v>-73.137179852800031</v>
      </c>
      <c r="Y36" s="154">
        <f t="shared" si="40"/>
        <v>-81.913641435136043</v>
      </c>
      <c r="Z36" s="154">
        <f t="shared" si="41"/>
        <v>-91.743278407352378</v>
      </c>
      <c r="AA36" s="154">
        <f t="shared" si="42"/>
        <v>-102.75247181623467</v>
      </c>
      <c r="AB36" s="154">
        <f t="shared" si="43"/>
        <v>-115.08276843418285</v>
      </c>
      <c r="AC36" s="154">
        <f t="shared" si="44"/>
        <v>-128.89270064628479</v>
      </c>
      <c r="AD36" s="138" t="e">
        <f t="shared" si="18"/>
        <v>#NUM!</v>
      </c>
      <c r="AE36" s="31">
        <f t="shared" si="16"/>
        <v>0.05</v>
      </c>
      <c r="AF36" s="146">
        <f t="shared" si="1"/>
        <v>-796.10197457999436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0.49462365591397855</v>
      </c>
      <c r="I37" s="148">
        <f t="shared" si="88"/>
        <v>0.83090909090909093</v>
      </c>
      <c r="J37" s="148">
        <f t="shared" si="88"/>
        <v>-1.2</v>
      </c>
      <c r="K37" s="148">
        <f t="shared" si="88"/>
        <v>-0.66666666666666663</v>
      </c>
      <c r="L37" s="148">
        <f t="shared" si="88"/>
        <v>-0.3761467889908256</v>
      </c>
      <c r="M37" s="148">
        <f t="shared" si="88"/>
        <v>-1.2708333333333335</v>
      </c>
      <c r="N37" s="148">
        <f t="shared" si="88"/>
        <v>0.46666666666666667</v>
      </c>
      <c r="O37" s="148">
        <f t="shared" si="88"/>
        <v>0.98571428571428577</v>
      </c>
      <c r="P37" s="148">
        <f t="shared" si="88"/>
        <v>-8.6206896551724144E-2</v>
      </c>
      <c r="Q37" s="148">
        <f t="shared" ref="P37:Q37" si="89">(Q36-P36)/Q36</f>
        <v>2.3975903614457832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0.64</v>
      </c>
      <c r="H38" s="147">
        <v>1.1399999999999999</v>
      </c>
      <c r="I38" s="147">
        <v>5.5</v>
      </c>
      <c r="J38" s="147">
        <v>2.63</v>
      </c>
      <c r="K38" s="147">
        <v>1.67</v>
      </c>
      <c r="L38" s="147">
        <v>1.5</v>
      </c>
      <c r="M38" s="147">
        <v>0.62</v>
      </c>
      <c r="N38" s="147">
        <v>-1.9</v>
      </c>
      <c r="O38" s="147">
        <v>42</v>
      </c>
      <c r="P38" s="147">
        <v>33</v>
      </c>
      <c r="Q38" s="147">
        <v>0.65</v>
      </c>
      <c r="R38" s="118">
        <f>((Q38/G38)^(1/($H$2-$H$1) ))-1</f>
        <v>1.7241720712348751E-3</v>
      </c>
      <c r="S38" s="31">
        <f t="shared" si="6"/>
        <v>0.12</v>
      </c>
      <c r="T38" s="154">
        <f t="shared" si="2"/>
        <v>0.72800000000000009</v>
      </c>
      <c r="U38" s="154">
        <f t="shared" ref="U38" si="90">T38*(1+$S38)</f>
        <v>0.8153600000000002</v>
      </c>
      <c r="V38" s="154">
        <f t="shared" ref="V38" si="91">U38*(1+$S38)</f>
        <v>0.91320320000000033</v>
      </c>
      <c r="W38" s="154">
        <f t="shared" ref="W38" si="92">V38*(1+$S38)</f>
        <v>1.0227875840000005</v>
      </c>
      <c r="X38" s="154">
        <f t="shared" ref="X38" si="93">W38*(1+$S38)</f>
        <v>1.1455220940800006</v>
      </c>
      <c r="Y38" s="154">
        <f t="shared" ref="Y38" si="94">X38*(1+$S38)</f>
        <v>1.2829847453696008</v>
      </c>
      <c r="Z38" s="154">
        <f t="shared" ref="Z38" si="95">Y38*(1+$S38)</f>
        <v>1.436942914813953</v>
      </c>
      <c r="AA38" s="154">
        <f t="shared" ref="AA38" si="96">Z38*(1+$S38)</f>
        <v>1.6093760645916275</v>
      </c>
      <c r="AB38" s="154">
        <f t="shared" ref="AB38" si="97">AA38*(1+$S38)</f>
        <v>1.8025011923426231</v>
      </c>
      <c r="AC38" s="154">
        <f t="shared" ref="AC38" si="98">AB38*(1+$S38)</f>
        <v>2.018801335423738</v>
      </c>
      <c r="AD38" s="138">
        <f t="shared" ref="AD38" si="99">((AC38/G38)^(1/($AC$3-$H$1) ))-1</f>
        <v>5.9121246937698491E-2</v>
      </c>
      <c r="AE38" s="31">
        <f t="shared" si="16"/>
        <v>0.05</v>
      </c>
      <c r="AF38" s="146">
        <f t="shared" ref="AF38" si="100">(AC38*(1+AE38))/($C$1-AE38)</f>
        <v>12.469067071734854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0.4385964912280701</v>
      </c>
      <c r="I39" s="148">
        <f t="shared" si="101"/>
        <v>0.79272727272727284</v>
      </c>
      <c r="J39" s="148">
        <f t="shared" si="101"/>
        <v>-1.0912547528517111</v>
      </c>
      <c r="K39" s="148">
        <f t="shared" si="101"/>
        <v>-0.57485029940119758</v>
      </c>
      <c r="L39" s="148">
        <f t="shared" si="101"/>
        <v>-0.11333333333333329</v>
      </c>
      <c r="M39" s="148">
        <f t="shared" si="101"/>
        <v>-1.4193548387096775</v>
      </c>
      <c r="N39" s="148">
        <f t="shared" si="101"/>
        <v>1.3263157894736843</v>
      </c>
      <c r="O39" s="148">
        <f t="shared" si="101"/>
        <v>1.0452380952380953</v>
      </c>
      <c r="P39" s="148">
        <f t="shared" si="101"/>
        <v>-0.27272727272727271</v>
      </c>
      <c r="Q39" s="148">
        <f t="shared" ref="P39:Q39" si="102">(Q38-P38)/Q38</f>
        <v>-49.769230769230766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0.49</v>
      </c>
      <c r="H40" s="147">
        <v>1.03</v>
      </c>
      <c r="I40" s="147">
        <v>5.49</v>
      </c>
      <c r="J40" s="147">
        <v>2.4</v>
      </c>
      <c r="K40" s="147">
        <v>1.5</v>
      </c>
      <c r="L40" s="147">
        <v>1.4</v>
      </c>
      <c r="M40" s="147">
        <v>0.63</v>
      </c>
      <c r="N40" s="147">
        <v>-2.0499999999999998</v>
      </c>
      <c r="O40" s="147">
        <v>42</v>
      </c>
      <c r="P40" s="147">
        <v>33</v>
      </c>
      <c r="Q40" s="147">
        <v>0.95</v>
      </c>
      <c r="R40" s="118">
        <f>((Q40/G40)^(1/($H$2-$H$1) ))-1</f>
        <v>7.6335099181319643E-2</v>
      </c>
      <c r="S40" s="31">
        <f t="shared" si="6"/>
        <v>0.12</v>
      </c>
      <c r="T40" s="154">
        <f t="shared" si="2"/>
        <v>1.0640000000000001</v>
      </c>
      <c r="U40" s="154">
        <f t="shared" ref="U40:AC40" si="103">T40*(1+$S40)</f>
        <v>1.1916800000000001</v>
      </c>
      <c r="V40" s="154">
        <f t="shared" si="103"/>
        <v>1.3346816000000001</v>
      </c>
      <c r="W40" s="154">
        <f t="shared" si="103"/>
        <v>1.4948433920000004</v>
      </c>
      <c r="X40" s="154">
        <f t="shared" si="103"/>
        <v>1.6742245990400006</v>
      </c>
      <c r="Y40" s="154">
        <f t="shared" si="103"/>
        <v>1.875131550924801</v>
      </c>
      <c r="Z40" s="154">
        <f t="shared" si="103"/>
        <v>2.1001473370357773</v>
      </c>
      <c r="AA40" s="154">
        <f t="shared" si="103"/>
        <v>2.3521650174800706</v>
      </c>
      <c r="AB40" s="154">
        <f t="shared" si="103"/>
        <v>2.6344248195776792</v>
      </c>
      <c r="AC40" s="154">
        <f t="shared" si="103"/>
        <v>2.950555797927001</v>
      </c>
      <c r="AD40" s="138">
        <f t="shared" si="18"/>
        <v>9.3919559308564882E-2</v>
      </c>
      <c r="AE40" s="31">
        <f t="shared" si="16"/>
        <v>0.05</v>
      </c>
      <c r="AF40" s="146">
        <f t="shared" si="1"/>
        <v>18.224021104843246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0.52427184466019416</v>
      </c>
      <c r="I41" s="148">
        <f t="shared" si="104"/>
        <v>0.81238615664845171</v>
      </c>
      <c r="J41" s="148">
        <f t="shared" si="104"/>
        <v>-1.2875000000000001</v>
      </c>
      <c r="K41" s="148">
        <f t="shared" si="104"/>
        <v>-0.6</v>
      </c>
      <c r="L41" s="148">
        <f t="shared" si="104"/>
        <v>-7.1428571428571494E-2</v>
      </c>
      <c r="M41" s="148">
        <f t="shared" si="104"/>
        <v>-1.2222222222222221</v>
      </c>
      <c r="N41" s="148">
        <f t="shared" si="104"/>
        <v>1.3073170731707318</v>
      </c>
      <c r="O41" s="148">
        <f t="shared" si="104"/>
        <v>1.0488095238095236</v>
      </c>
      <c r="P41" s="148">
        <f t="shared" si="104"/>
        <v>-0.27272727272727271</v>
      </c>
      <c r="Q41" s="148">
        <f t="shared" ref="H41:Q41" si="105">(Q40-P40)/Q40</f>
        <v>-33.736842105263158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213">
        <v>0.02</v>
      </c>
      <c r="H42" s="213">
        <v>0.02</v>
      </c>
      <c r="I42" s="213">
        <v>0.02</v>
      </c>
      <c r="J42" s="213">
        <v>0.02</v>
      </c>
      <c r="K42" s="213">
        <v>0.02</v>
      </c>
      <c r="L42" s="213">
        <v>1.6</v>
      </c>
      <c r="M42" s="213">
        <v>1.6</v>
      </c>
      <c r="N42" s="213">
        <v>1.6</v>
      </c>
      <c r="O42" s="213">
        <v>1.6</v>
      </c>
      <c r="P42" s="213">
        <v>1.82</v>
      </c>
      <c r="Q42" s="145">
        <f>5.88+9.6</f>
        <v>15.48</v>
      </c>
      <c r="R42" s="118">
        <f>((Q42/G42)^(1/($H$2-$H$1) ))-1</f>
        <v>1.093973676620497</v>
      </c>
      <c r="S42" s="31">
        <f>P1</f>
        <v>0.05</v>
      </c>
      <c r="T42" s="154">
        <f t="shared" si="2"/>
        <v>16.254000000000001</v>
      </c>
      <c r="U42" s="154">
        <f t="shared" ref="U42:AC42" si="106">T42*(1+$S42)</f>
        <v>17.066700000000001</v>
      </c>
      <c r="V42" s="154">
        <f t="shared" si="106"/>
        <v>17.920035000000002</v>
      </c>
      <c r="W42" s="154">
        <f t="shared" si="106"/>
        <v>18.816036750000002</v>
      </c>
      <c r="X42" s="154">
        <f t="shared" si="106"/>
        <v>19.756838587500003</v>
      </c>
      <c r="Y42" s="154">
        <f t="shared" si="106"/>
        <v>20.744680516875004</v>
      </c>
      <c r="Z42" s="154">
        <f t="shared" si="106"/>
        <v>21.781914542718756</v>
      </c>
      <c r="AA42" s="154">
        <f t="shared" si="106"/>
        <v>22.871010269854693</v>
      </c>
      <c r="AB42" s="154">
        <f t="shared" si="106"/>
        <v>24.014560783347427</v>
      </c>
      <c r="AC42" s="154">
        <f t="shared" si="106"/>
        <v>25.2152888225148</v>
      </c>
      <c r="AD42" s="138">
        <f t="shared" si="18"/>
        <v>0.42899825207180742</v>
      </c>
      <c r="AE42" s="31">
        <f t="shared" si="16"/>
        <v>0.05</v>
      </c>
      <c r="AF42" s="146">
        <f t="shared" si="1"/>
        <v>155.74148978612084</v>
      </c>
    </row>
    <row r="43" spans="2:32" x14ac:dyDescent="0.2">
      <c r="B43" s="20"/>
      <c r="C43" s="142"/>
      <c r="D43" s="142"/>
      <c r="E43" s="143"/>
      <c r="F43" s="147"/>
      <c r="G43" s="148">
        <f>(G42-F42)/G42</f>
        <v>-49</v>
      </c>
      <c r="H43" s="148">
        <f t="shared" ref="H43" si="107">(H42-G42)/H42</f>
        <v>0</v>
      </c>
      <c r="I43" s="148">
        <f t="shared" ref="I43" si="108">(I42-H42)/I42</f>
        <v>0</v>
      </c>
      <c r="J43" s="148">
        <f t="shared" ref="J43" si="109">(J42-I42)/J42</f>
        <v>0</v>
      </c>
      <c r="K43" s="148">
        <f t="shared" ref="K43" si="110">(K42-J42)/K42</f>
        <v>0</v>
      </c>
      <c r="L43" s="148">
        <f t="shared" ref="L43" si="111">(L42-K42)/L42</f>
        <v>0.98750000000000004</v>
      </c>
      <c r="M43" s="148">
        <f t="shared" ref="M43" si="112">(M42-L42)/M42</f>
        <v>0</v>
      </c>
      <c r="N43" s="148">
        <f t="shared" ref="N43" si="113">(N42-M42)/N42</f>
        <v>0</v>
      </c>
      <c r="O43" s="148">
        <f t="shared" ref="O43" si="114">(O42-N42)/O42</f>
        <v>0</v>
      </c>
      <c r="P43" s="148">
        <f t="shared" ref="P43:Q43" si="115">(P42-O42)/P42</f>
        <v>0.12087912087912087</v>
      </c>
      <c r="Q43" s="148">
        <f t="shared" si="115"/>
        <v>0.88242894056847543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1.5</v>
      </c>
      <c r="M44" s="213">
        <v>0</v>
      </c>
      <c r="N44" s="213">
        <v>0</v>
      </c>
      <c r="O44" s="213">
        <v>0</v>
      </c>
      <c r="P44" s="213">
        <v>0</v>
      </c>
      <c r="Q44" s="145">
        <v>0</v>
      </c>
      <c r="R44" s="118" t="e">
        <f>((Q44/G44)^(1/($H$2-$H$1) ))-1</f>
        <v>#DIV/0!</v>
      </c>
      <c r="S44" s="31">
        <f>P1</f>
        <v>0.05</v>
      </c>
      <c r="T44" s="154">
        <f t="shared" si="2"/>
        <v>0</v>
      </c>
      <c r="U44" s="154">
        <f t="shared" ref="U44" si="116">T44*(1+$S44)</f>
        <v>0</v>
      </c>
      <c r="V44" s="154">
        <f t="shared" ref="V44" si="117">U44*(1+$S44)</f>
        <v>0</v>
      </c>
      <c r="W44" s="154">
        <f t="shared" ref="W44" si="118">V44*(1+$S44)</f>
        <v>0</v>
      </c>
      <c r="X44" s="154">
        <f t="shared" ref="X44" si="119">W44*(1+$S44)</f>
        <v>0</v>
      </c>
      <c r="Y44" s="154">
        <f t="shared" ref="Y44" si="120">X44*(1+$S44)</f>
        <v>0</v>
      </c>
      <c r="Z44" s="154">
        <f t="shared" ref="Z44" si="121">Y44*(1+$S44)</f>
        <v>0</v>
      </c>
      <c r="AA44" s="154">
        <f t="shared" ref="AA44" si="122">Z44*(1+$S44)</f>
        <v>0</v>
      </c>
      <c r="AB44" s="154">
        <f t="shared" ref="AB44" si="123">AA44*(1+$S44)</f>
        <v>0</v>
      </c>
      <c r="AC44" s="154">
        <f t="shared" ref="AC44" si="124">AB44*(1+$S44)</f>
        <v>0</v>
      </c>
      <c r="AD44" s="138" t="e">
        <f t="shared" ref="AD44" si="125">((AC44/G44)^(1/($AC$3-$H$1) ))-1</f>
        <v>#DIV/0!</v>
      </c>
      <c r="AE44" s="31">
        <f t="shared" si="16"/>
        <v>0.05</v>
      </c>
      <c r="AF44" s="146">
        <f t="shared" si="1"/>
        <v>0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 t="s">
        <v>458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 t="s">
        <v>456</v>
      </c>
      <c r="M46" s="147">
        <v>0</v>
      </c>
      <c r="N46" s="147">
        <v>0</v>
      </c>
      <c r="O46" s="147">
        <v>0</v>
      </c>
      <c r="P46" s="147" t="s">
        <v>457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33.5</v>
      </c>
      <c r="H50" s="133">
        <f t="shared" si="126"/>
        <v>58.499999999999993</v>
      </c>
      <c r="I50" s="133">
        <f t="shared" si="126"/>
        <v>250</v>
      </c>
      <c r="J50" s="133">
        <f t="shared" si="126"/>
        <v>135</v>
      </c>
      <c r="K50" s="133">
        <f t="shared" si="126"/>
        <v>85</v>
      </c>
      <c r="L50" s="133">
        <f t="shared" si="126"/>
        <v>1.0625</v>
      </c>
      <c r="M50" s="133">
        <f t="shared" si="126"/>
        <v>0.45624999999999999</v>
      </c>
      <c r="N50" s="133">
        <f t="shared" si="126"/>
        <v>0.11874999999999999</v>
      </c>
      <c r="O50" s="133">
        <f t="shared" si="126"/>
        <v>344.375</v>
      </c>
      <c r="P50" s="133">
        <f t="shared" si="126"/>
        <v>380.2197802197802</v>
      </c>
      <c r="Q50" s="133">
        <f t="shared" ref="Q50" si="127">Q25/Q42</f>
        <v>47.803617571059434</v>
      </c>
      <c r="R50" s="118">
        <f>((P50/G50)^(1/($H$2-$H$1) ))-1</f>
        <v>0.30984859906321405</v>
      </c>
      <c r="S50" s="128"/>
      <c r="T50" s="158">
        <f t="shared" ref="T50:AC50" si="128">T25/T42</f>
        <v>50.990525409130058</v>
      </c>
      <c r="U50" s="158">
        <f t="shared" si="128"/>
        <v>54.389893769738741</v>
      </c>
      <c r="V50" s="158">
        <f t="shared" si="128"/>
        <v>58.015886687721327</v>
      </c>
      <c r="W50" s="158">
        <f t="shared" si="128"/>
        <v>61.883612466902761</v>
      </c>
      <c r="X50" s="158">
        <f t="shared" si="128"/>
        <v>66.009186631362951</v>
      </c>
      <c r="Y50" s="158">
        <f t="shared" si="128"/>
        <v>70.409799073453826</v>
      </c>
      <c r="Z50" s="158">
        <f t="shared" si="128"/>
        <v>75.103785678350732</v>
      </c>
      <c r="AA50" s="158">
        <f t="shared" si="128"/>
        <v>80.110704723574131</v>
      </c>
      <c r="AB50" s="158">
        <f t="shared" si="128"/>
        <v>85.451418371812409</v>
      </c>
      <c r="AC50" s="158">
        <f t="shared" si="128"/>
        <v>91.148179596599903</v>
      </c>
      <c r="AD50" s="138">
        <f t="shared" ref="AD50" si="129">((AC50/G50)^(1/($AC$3-$H$1) ))-1</f>
        <v>5.1320564606228025E-2</v>
      </c>
      <c r="AE50" s="31">
        <f t="shared" si="16"/>
        <v>0.05</v>
      </c>
      <c r="AF50" s="146">
        <f t="shared" ref="AF50:AF51" si="130">(AC50*(1+AE50))/($C$1-AE50)</f>
        <v>562.97405044958771</v>
      </c>
    </row>
    <row r="51" spans="2:32" x14ac:dyDescent="0.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1.5</v>
      </c>
      <c r="H51" s="133">
        <f t="shared" si="131"/>
        <v>1.5</v>
      </c>
      <c r="I51" s="133">
        <f t="shared" si="131"/>
        <v>3.5000000000000004</v>
      </c>
      <c r="J51" s="133">
        <f t="shared" si="131"/>
        <v>4</v>
      </c>
      <c r="K51" s="133">
        <f t="shared" si="131"/>
        <v>2</v>
      </c>
      <c r="L51" s="133">
        <f t="shared" si="131"/>
        <v>0.14374999999999999</v>
      </c>
      <c r="M51" s="133">
        <f t="shared" si="131"/>
        <v>6.8749999999999992E-2</v>
      </c>
      <c r="N51" s="133">
        <f t="shared" si="131"/>
        <v>1.3312499999999998</v>
      </c>
      <c r="O51" s="133">
        <f t="shared" si="131"/>
        <v>302.5</v>
      </c>
      <c r="P51" s="133">
        <f t="shared" si="131"/>
        <v>343.95604395604397</v>
      </c>
      <c r="Q51" s="133">
        <f t="shared" ref="Q51" si="132">Q27/Q42</f>
        <v>47.803617571059434</v>
      </c>
      <c r="R51" s="118">
        <f>((P51/G51)^(1/($H$2-$H$1) ))-1</f>
        <v>0.82922852490691179</v>
      </c>
      <c r="S51" s="128"/>
      <c r="T51" s="158">
        <f t="shared" ref="T51:AC51" si="133">T27/T42</f>
        <v>50.990525409130058</v>
      </c>
      <c r="U51" s="158">
        <f t="shared" si="133"/>
        <v>54.389893769738741</v>
      </c>
      <c r="V51" s="158">
        <f t="shared" si="133"/>
        <v>58.015886687721327</v>
      </c>
      <c r="W51" s="158">
        <f t="shared" si="133"/>
        <v>61.883612466902761</v>
      </c>
      <c r="X51" s="158">
        <f t="shared" si="133"/>
        <v>66.009186631362951</v>
      </c>
      <c r="Y51" s="158">
        <f t="shared" si="133"/>
        <v>70.409799073453826</v>
      </c>
      <c r="Z51" s="158">
        <f t="shared" si="133"/>
        <v>75.103785678350732</v>
      </c>
      <c r="AA51" s="158">
        <f t="shared" si="133"/>
        <v>80.110704723574131</v>
      </c>
      <c r="AB51" s="158">
        <f t="shared" si="133"/>
        <v>85.451418371812409</v>
      </c>
      <c r="AC51" s="158">
        <f t="shared" si="133"/>
        <v>91.148179596599903</v>
      </c>
      <c r="AD51" s="138">
        <f t="shared" ref="AD51" si="134">((AC51/G51)^(1/($AC$3-$H$1) ))-1</f>
        <v>0.22795608915093846</v>
      </c>
      <c r="AE51" s="31">
        <f t="shared" si="16"/>
        <v>0.05</v>
      </c>
      <c r="AF51" s="146">
        <f t="shared" si="130"/>
        <v>562.97405044958771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0.15000000000000002</v>
      </c>
      <c r="H52" s="133">
        <f t="shared" ref="H52:P52" si="135">H38-H40</f>
        <v>0.10999999999999988</v>
      </c>
      <c r="I52" s="133">
        <f t="shared" si="135"/>
        <v>9.9999999999997868E-3</v>
      </c>
      <c r="J52" s="133">
        <f t="shared" si="135"/>
        <v>0.22999999999999998</v>
      </c>
      <c r="K52" s="133">
        <f t="shared" si="135"/>
        <v>0.16999999999999993</v>
      </c>
      <c r="L52" s="133">
        <f t="shared" si="135"/>
        <v>0.10000000000000009</v>
      </c>
      <c r="M52" s="133">
        <f t="shared" si="135"/>
        <v>-1.0000000000000009E-2</v>
      </c>
      <c r="N52" s="133">
        <f t="shared" si="135"/>
        <v>0.14999999999999991</v>
      </c>
      <c r="O52" s="133">
        <f t="shared" si="135"/>
        <v>0</v>
      </c>
      <c r="P52" s="133">
        <f t="shared" si="135"/>
        <v>0</v>
      </c>
      <c r="Q52" s="133">
        <f t="shared" ref="Q52" si="136">Q38-Q40</f>
        <v>-0.29999999999999993</v>
      </c>
      <c r="R52" s="118">
        <f>((P52/G52)^(1/($H$2-$H$1) ))-1</f>
        <v>-1</v>
      </c>
      <c r="S52" s="128"/>
      <c r="T52" s="133">
        <f t="shared" ref="T52:AC52" si="137">T38-T40</f>
        <v>-0.33599999999999997</v>
      </c>
      <c r="U52" s="133">
        <f t="shared" si="137"/>
        <v>-0.37631999999999988</v>
      </c>
      <c r="V52" s="133">
        <f t="shared" si="137"/>
        <v>-0.42147839999999981</v>
      </c>
      <c r="W52" s="133">
        <f t="shared" si="137"/>
        <v>-0.47205580799999991</v>
      </c>
      <c r="X52" s="133">
        <f t="shared" si="137"/>
        <v>-0.52870250496000004</v>
      </c>
      <c r="Y52" s="133">
        <f t="shared" si="137"/>
        <v>-0.59214680555520016</v>
      </c>
      <c r="Z52" s="133">
        <f t="shared" si="137"/>
        <v>-0.6632044222218243</v>
      </c>
      <c r="AA52" s="133">
        <f t="shared" si="137"/>
        <v>-0.74278895288844304</v>
      </c>
      <c r="AB52" s="133">
        <f t="shared" si="137"/>
        <v>-0.83192362723505608</v>
      </c>
      <c r="AC52" s="133">
        <f t="shared" si="137"/>
        <v>-0.93175446250326299</v>
      </c>
      <c r="AD52" s="138" t="e">
        <f t="shared" ref="AD52" si="138">((AC52/G52)^(1/($AC$3-$H$1) ))-1</f>
        <v>#NUM!</v>
      </c>
      <c r="AE52" s="31">
        <f t="shared" si="16"/>
        <v>0.05</v>
      </c>
      <c r="AF52" s="146">
        <f t="shared" ref="AF52" si="139">(AC52*(1+AE52))/($C$1-AE52)</f>
        <v>-5.7549540331083904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24.5</v>
      </c>
      <c r="H54" s="133">
        <f t="shared" si="140"/>
        <v>51.5</v>
      </c>
      <c r="I54" s="133">
        <f t="shared" si="140"/>
        <v>274.5</v>
      </c>
      <c r="J54" s="133">
        <f t="shared" si="140"/>
        <v>120</v>
      </c>
      <c r="K54" s="133">
        <f t="shared" si="140"/>
        <v>75</v>
      </c>
      <c r="L54" s="133">
        <f t="shared" si="140"/>
        <v>0.87499999999999989</v>
      </c>
      <c r="M54" s="133">
        <f t="shared" si="140"/>
        <v>0.39374999999999999</v>
      </c>
      <c r="N54" s="133">
        <f t="shared" si="140"/>
        <v>-1.2812499999999998</v>
      </c>
      <c r="O54" s="133">
        <f t="shared" si="140"/>
        <v>26.25</v>
      </c>
      <c r="P54" s="133">
        <f t="shared" si="140"/>
        <v>18.131868131868131</v>
      </c>
      <c r="Q54" s="133">
        <f t="shared" ref="Q54" si="141">Q40/Q42</f>
        <v>6.1369509043927642E-2</v>
      </c>
      <c r="R54" s="118">
        <f>((P54/G54)^(1/($H$2-$H$1) ))-1</f>
        <v>-3.2891583059961094E-2</v>
      </c>
      <c r="S54" s="128"/>
      <c r="T54" s="158">
        <f t="shared" ref="T54:AC54" si="142">T40/T42</f>
        <v>6.5460809646856161E-2</v>
      </c>
      <c r="U54" s="158">
        <f t="shared" si="142"/>
        <v>6.9824863623313235E-2</v>
      </c>
      <c r="V54" s="158">
        <f t="shared" si="142"/>
        <v>7.447985453153412E-2</v>
      </c>
      <c r="W54" s="158">
        <f t="shared" si="142"/>
        <v>7.9445178166969735E-2</v>
      </c>
      <c r="X54" s="158">
        <f t="shared" si="142"/>
        <v>8.4741523378101064E-2</v>
      </c>
      <c r="Y54" s="158">
        <f t="shared" si="142"/>
        <v>9.0390958269974481E-2</v>
      </c>
      <c r="Z54" s="158">
        <f t="shared" si="142"/>
        <v>9.6417022154639445E-2</v>
      </c>
      <c r="AA54" s="158">
        <f t="shared" si="142"/>
        <v>0.1028448236316154</v>
      </c>
      <c r="AB54" s="158">
        <f t="shared" si="142"/>
        <v>0.10970114520705644</v>
      </c>
      <c r="AC54" s="158">
        <f t="shared" si="142"/>
        <v>0.11701455488752688</v>
      </c>
      <c r="AD54" s="138">
        <f t="shared" ref="AD54:AD68" si="143">((AC54/G54)^(1/($AC$3-$H$1) ))-1</f>
        <v>-0.23448502633046242</v>
      </c>
      <c r="AE54" s="31">
        <f t="shared" si="16"/>
        <v>0.05</v>
      </c>
      <c r="AF54" s="146">
        <f t="shared" ref="AF54:AF82" si="144">(AC54*(1+AE54))/($C$1-AE54)</f>
        <v>0.72273695665825433</v>
      </c>
    </row>
    <row r="55" spans="2:32" x14ac:dyDescent="0.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0</v>
      </c>
      <c r="H55" s="133">
        <f t="shared" ref="H55:P55" si="146">H20/H42</f>
        <v>0</v>
      </c>
      <c r="I55" s="133">
        <f t="shared" si="146"/>
        <v>0</v>
      </c>
      <c r="J55" s="133">
        <f t="shared" si="146"/>
        <v>0</v>
      </c>
      <c r="K55" s="133">
        <f t="shared" si="146"/>
        <v>0</v>
      </c>
      <c r="L55" s="133">
        <f t="shared" si="146"/>
        <v>0</v>
      </c>
      <c r="M55" s="133">
        <f t="shared" si="146"/>
        <v>0</v>
      </c>
      <c r="N55" s="133">
        <f t="shared" si="146"/>
        <v>0</v>
      </c>
      <c r="O55" s="133">
        <f t="shared" si="146"/>
        <v>0</v>
      </c>
      <c r="P55" s="133">
        <f t="shared" si="146"/>
        <v>0</v>
      </c>
      <c r="Q55" s="133">
        <f t="shared" ref="Q55" si="147">Q20/Q42</f>
        <v>0</v>
      </c>
      <c r="R55" s="118" t="e">
        <f>((P55/G55)^(1/($H$2-$H$1) ))-1</f>
        <v>#DIV/0!</v>
      </c>
      <c r="S55" s="128"/>
      <c r="T55" s="133">
        <f t="shared" ref="T55:AC55" si="148">T20/T42</f>
        <v>0</v>
      </c>
      <c r="U55" s="133">
        <f t="shared" si="148"/>
        <v>0</v>
      </c>
      <c r="V55" s="133">
        <f t="shared" si="148"/>
        <v>0</v>
      </c>
      <c r="W55" s="133">
        <f t="shared" si="148"/>
        <v>0</v>
      </c>
      <c r="X55" s="133">
        <f t="shared" si="148"/>
        <v>0</v>
      </c>
      <c r="Y55" s="133">
        <f t="shared" si="148"/>
        <v>0</v>
      </c>
      <c r="Z55" s="133">
        <f t="shared" si="148"/>
        <v>0</v>
      </c>
      <c r="AA55" s="133">
        <f t="shared" si="148"/>
        <v>0</v>
      </c>
      <c r="AB55" s="133">
        <f t="shared" si="148"/>
        <v>0</v>
      </c>
      <c r="AC55" s="133">
        <f t="shared" si="148"/>
        <v>0</v>
      </c>
      <c r="AD55" s="138" t="e">
        <f t="shared" ref="AD55" si="149">((AC55/G55)^(1/($AC$3-$H$1) ))-1</f>
        <v>#DIV/0!</v>
      </c>
      <c r="AE55" s="31">
        <f t="shared" si="16"/>
        <v>0.05</v>
      </c>
      <c r="AF55" s="146">
        <f t="shared" si="144"/>
        <v>0</v>
      </c>
    </row>
    <row r="56" spans="2:32" x14ac:dyDescent="0.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300</v>
      </c>
      <c r="H56" s="133">
        <f t="shared" si="150"/>
        <v>350</v>
      </c>
      <c r="I56" s="133">
        <f t="shared" si="150"/>
        <v>600</v>
      </c>
      <c r="J56" s="133">
        <f t="shared" si="150"/>
        <v>750</v>
      </c>
      <c r="K56" s="133">
        <f t="shared" si="150"/>
        <v>800</v>
      </c>
      <c r="L56" s="133">
        <f t="shared" si="150"/>
        <v>10</v>
      </c>
      <c r="M56" s="133">
        <f t="shared" si="150"/>
        <v>10.625</v>
      </c>
      <c r="N56" s="133">
        <f t="shared" si="150"/>
        <v>125</v>
      </c>
      <c r="O56" s="133">
        <f t="shared" si="150"/>
        <v>130</v>
      </c>
      <c r="P56" s="133">
        <f t="shared" si="150"/>
        <v>144.50549450549451</v>
      </c>
      <c r="Q56" s="133">
        <f t="shared" ref="Q56" si="151">Q7/Q42</f>
        <v>36.240310077519382</v>
      </c>
      <c r="R56" s="118">
        <f>((P56/G56)^(1/($H$2-$H$1) ))-1</f>
        <v>-7.7956403196821622E-2</v>
      </c>
      <c r="S56" s="128"/>
      <c r="T56" s="158">
        <f t="shared" ref="T56:AC56" si="152">T7/T42</f>
        <v>38.656330749354005</v>
      </c>
      <c r="U56" s="158">
        <f t="shared" si="152"/>
        <v>41.233419465977612</v>
      </c>
      <c r="V56" s="158">
        <f t="shared" si="152"/>
        <v>43.982314097042781</v>
      </c>
      <c r="W56" s="158">
        <f t="shared" si="152"/>
        <v>46.914468370178973</v>
      </c>
      <c r="X56" s="158">
        <f t="shared" si="152"/>
        <v>50.042099594857575</v>
      </c>
      <c r="Y56" s="158">
        <f t="shared" si="152"/>
        <v>53.378239567848084</v>
      </c>
      <c r="Z56" s="158">
        <f t="shared" si="152"/>
        <v>56.936788872371295</v>
      </c>
      <c r="AA56" s="158">
        <f t="shared" si="152"/>
        <v>60.732574797196058</v>
      </c>
      <c r="AB56" s="158">
        <f t="shared" si="152"/>
        <v>64.781413117009137</v>
      </c>
      <c r="AC56" s="158">
        <f t="shared" si="152"/>
        <v>69.10017399147641</v>
      </c>
      <c r="AD56" s="138">
        <f t="shared" si="143"/>
        <v>-7.0781400212658219E-2</v>
      </c>
      <c r="AE56" s="31">
        <f t="shared" si="16"/>
        <v>0.05</v>
      </c>
      <c r="AF56" s="146">
        <f t="shared" si="144"/>
        <v>426.79519230029553</v>
      </c>
    </row>
    <row r="57" spans="2:32" x14ac:dyDescent="0.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268.5</v>
      </c>
      <c r="H57" s="144">
        <f t="shared" si="153"/>
        <v>300</v>
      </c>
      <c r="I57" s="144">
        <f t="shared" si="153"/>
        <v>600</v>
      </c>
      <c r="J57" s="144">
        <f t="shared" si="153"/>
        <v>700</v>
      </c>
      <c r="K57" s="144">
        <f t="shared" si="153"/>
        <v>800</v>
      </c>
      <c r="L57" s="144">
        <f t="shared" si="153"/>
        <v>0.26874999999999999</v>
      </c>
      <c r="M57" s="144">
        <f t="shared" si="153"/>
        <v>0.625</v>
      </c>
      <c r="N57" s="144">
        <f t="shared" si="153"/>
        <v>115</v>
      </c>
      <c r="O57" s="144">
        <f t="shared" si="153"/>
        <v>119.375</v>
      </c>
      <c r="P57" s="144">
        <f t="shared" si="153"/>
        <v>134.06593406593407</v>
      </c>
      <c r="Q57" s="144">
        <f t="shared" ref="Q57" si="154">Q6/Q42</f>
        <v>34.231266149870798</v>
      </c>
      <c r="R57" s="118">
        <f>((P57/G57)^(1/($H$2-$H$1) ))-1</f>
        <v>-7.4266422355760642E-2</v>
      </c>
      <c r="S57" s="128"/>
      <c r="T57" s="157">
        <f t="shared" ref="T57:AC57" si="155">T6/T42</f>
        <v>36.513350559862189</v>
      </c>
      <c r="U57" s="157">
        <f t="shared" si="155"/>
        <v>38.947573930519667</v>
      </c>
      <c r="V57" s="157">
        <f t="shared" si="155"/>
        <v>41.544078859220981</v>
      </c>
      <c r="W57" s="157">
        <f t="shared" si="155"/>
        <v>44.313684116502387</v>
      </c>
      <c r="X57" s="157">
        <f t="shared" si="155"/>
        <v>47.267929724269216</v>
      </c>
      <c r="Y57" s="157">
        <f t="shared" si="155"/>
        <v>50.419125039220496</v>
      </c>
      <c r="Z57" s="157">
        <f t="shared" si="155"/>
        <v>53.7804000418352</v>
      </c>
      <c r="AA57" s="157">
        <f t="shared" si="155"/>
        <v>57.365760044624224</v>
      </c>
      <c r="AB57" s="157">
        <f t="shared" si="155"/>
        <v>61.190144047599183</v>
      </c>
      <c r="AC57" s="157">
        <f t="shared" si="155"/>
        <v>65.269486984105797</v>
      </c>
      <c r="AD57" s="138">
        <f t="shared" si="143"/>
        <v>-6.8273826815414052E-2</v>
      </c>
      <c r="AE57" s="31">
        <f t="shared" si="16"/>
        <v>0.05</v>
      </c>
      <c r="AF57" s="146">
        <f t="shared" si="144"/>
        <v>403.13506666653586</v>
      </c>
    </row>
    <row r="58" spans="2:32" x14ac:dyDescent="0.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0</v>
      </c>
      <c r="H58" s="144">
        <f t="shared" si="156"/>
        <v>0</v>
      </c>
      <c r="I58" s="144">
        <f t="shared" si="156"/>
        <v>0</v>
      </c>
      <c r="J58" s="144">
        <f t="shared" si="156"/>
        <v>0</v>
      </c>
      <c r="K58" s="144">
        <f t="shared" si="156"/>
        <v>0</v>
      </c>
      <c r="L58" s="144">
        <f t="shared" si="156"/>
        <v>0</v>
      </c>
      <c r="M58" s="144">
        <f t="shared" si="156"/>
        <v>0</v>
      </c>
      <c r="N58" s="144">
        <f t="shared" si="156"/>
        <v>0</v>
      </c>
      <c r="O58" s="144">
        <f t="shared" si="156"/>
        <v>0</v>
      </c>
      <c r="P58" s="144">
        <f t="shared" si="156"/>
        <v>5.4945054945054945</v>
      </c>
      <c r="Q58" s="144">
        <f t="shared" ref="Q58" si="157">Q10/Q42</f>
        <v>0</v>
      </c>
      <c r="R58" s="118" t="e">
        <f>((P58/G58)^(1/($H$2-$H$1) ))-1</f>
        <v>#DIV/0!</v>
      </c>
      <c r="S58" s="128"/>
      <c r="T58" s="157">
        <f t="shared" ref="T58:AC58" si="158">T10/T42</f>
        <v>0</v>
      </c>
      <c r="U58" s="157">
        <f t="shared" si="158"/>
        <v>0</v>
      </c>
      <c r="V58" s="157">
        <f t="shared" si="158"/>
        <v>0</v>
      </c>
      <c r="W58" s="157">
        <f t="shared" si="158"/>
        <v>0</v>
      </c>
      <c r="X58" s="157">
        <f t="shared" si="158"/>
        <v>0</v>
      </c>
      <c r="Y58" s="157">
        <f t="shared" si="158"/>
        <v>0</v>
      </c>
      <c r="Z58" s="157">
        <f t="shared" si="158"/>
        <v>0</v>
      </c>
      <c r="AA58" s="157">
        <f t="shared" si="158"/>
        <v>0</v>
      </c>
      <c r="AB58" s="157">
        <f t="shared" si="158"/>
        <v>0</v>
      </c>
      <c r="AC58" s="157">
        <f t="shared" si="158"/>
        <v>0</v>
      </c>
      <c r="AD58" s="138" t="e">
        <f t="shared" si="143"/>
        <v>#DIV/0!</v>
      </c>
      <c r="AE58" s="31">
        <f t="shared" si="16"/>
        <v>0.05</v>
      </c>
      <c r="AF58" s="146">
        <f t="shared" si="144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300</v>
      </c>
      <c r="H60" s="144">
        <f t="shared" si="159"/>
        <v>350</v>
      </c>
      <c r="I60" s="144">
        <f t="shared" si="159"/>
        <v>600</v>
      </c>
      <c r="J60" s="144">
        <f t="shared" si="159"/>
        <v>750</v>
      </c>
      <c r="K60" s="144">
        <f t="shared" si="159"/>
        <v>800</v>
      </c>
      <c r="L60" s="144">
        <f t="shared" si="159"/>
        <v>10</v>
      </c>
      <c r="M60" s="144">
        <f t="shared" si="159"/>
        <v>10.625</v>
      </c>
      <c r="N60" s="144">
        <f t="shared" si="159"/>
        <v>125</v>
      </c>
      <c r="O60" s="144">
        <f t="shared" si="159"/>
        <v>130</v>
      </c>
      <c r="P60" s="144">
        <f t="shared" si="159"/>
        <v>139.01098901098899</v>
      </c>
      <c r="Q60" s="144">
        <f t="shared" ref="Q60" si="160">(Q7-Q10)/Q42</f>
        <v>36.240310077519382</v>
      </c>
      <c r="R60" s="118">
        <f>((P60/G60)^(1/($H$2-$H$1) ))-1</f>
        <v>-8.1919262609594257E-2</v>
      </c>
      <c r="S60" s="128"/>
      <c r="T60" s="157">
        <f t="shared" ref="T60:AC60" si="161">(T7-T10)/T42</f>
        <v>38.656330749354005</v>
      </c>
      <c r="U60" s="157">
        <f t="shared" si="161"/>
        <v>41.233419465977612</v>
      </c>
      <c r="V60" s="157">
        <f t="shared" si="161"/>
        <v>43.982314097042781</v>
      </c>
      <c r="W60" s="157">
        <f t="shared" si="161"/>
        <v>46.914468370178973</v>
      </c>
      <c r="X60" s="157">
        <f t="shared" si="161"/>
        <v>50.042099594857575</v>
      </c>
      <c r="Y60" s="157">
        <f t="shared" si="161"/>
        <v>53.378239567848084</v>
      </c>
      <c r="Z60" s="157">
        <f t="shared" si="161"/>
        <v>56.936788872371295</v>
      </c>
      <c r="AA60" s="157">
        <f t="shared" si="161"/>
        <v>60.732574797196058</v>
      </c>
      <c r="AB60" s="157">
        <f t="shared" si="161"/>
        <v>64.781413117009137</v>
      </c>
      <c r="AC60" s="157">
        <f t="shared" si="161"/>
        <v>69.10017399147641</v>
      </c>
      <c r="AD60" s="138">
        <f t="shared" si="143"/>
        <v>-7.0781400212658219E-2</v>
      </c>
      <c r="AE60" s="31">
        <f t="shared" si="16"/>
        <v>0.05</v>
      </c>
      <c r="AF60" s="146">
        <f t="shared" si="144"/>
        <v>426.79519230029553</v>
      </c>
    </row>
    <row r="61" spans="2:32" x14ac:dyDescent="0.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300</v>
      </c>
      <c r="H61" s="144">
        <f t="shared" si="162"/>
        <v>350</v>
      </c>
      <c r="I61" s="144">
        <f t="shared" si="162"/>
        <v>600</v>
      </c>
      <c r="J61" s="144">
        <f t="shared" si="162"/>
        <v>750</v>
      </c>
      <c r="K61" s="144">
        <f t="shared" si="162"/>
        <v>800</v>
      </c>
      <c r="L61" s="144">
        <f t="shared" si="162"/>
        <v>9.9874999999999989</v>
      </c>
      <c r="M61" s="144">
        <f t="shared" si="162"/>
        <v>10.562499999999998</v>
      </c>
      <c r="N61" s="144">
        <f t="shared" si="162"/>
        <v>124.0625</v>
      </c>
      <c r="O61" s="144">
        <f t="shared" si="162"/>
        <v>111.5625</v>
      </c>
      <c r="P61" s="144">
        <f t="shared" si="162"/>
        <v>78.021978021978015</v>
      </c>
      <c r="Q61" s="144">
        <f t="shared" ref="Q61" si="163">(Q7-Q10-Q9)/Q42</f>
        <v>25.581395348837209</v>
      </c>
      <c r="R61" s="118">
        <f>((P61/G61)^(1/($H$2-$H$1) ))-1</f>
        <v>-0.13898516648328862</v>
      </c>
      <c r="S61" s="128"/>
      <c r="T61" s="157">
        <f t="shared" ref="T61:AC61" si="164">(T7-T10-T9)/T42</f>
        <v>27.286821705426355</v>
      </c>
      <c r="U61" s="157">
        <f t="shared" si="164"/>
        <v>29.105943152454785</v>
      </c>
      <c r="V61" s="157">
        <f t="shared" si="164"/>
        <v>31.046339362618436</v>
      </c>
      <c r="W61" s="157">
        <f t="shared" si="164"/>
        <v>33.116095320126334</v>
      </c>
      <c r="X61" s="157">
        <f t="shared" si="164"/>
        <v>35.323835008134758</v>
      </c>
      <c r="Y61" s="157">
        <f t="shared" si="164"/>
        <v>37.678757342010414</v>
      </c>
      <c r="Z61" s="157">
        <f t="shared" si="164"/>
        <v>40.190674498144439</v>
      </c>
      <c r="AA61" s="157">
        <f t="shared" si="164"/>
        <v>42.870052798020744</v>
      </c>
      <c r="AB61" s="157">
        <f t="shared" si="164"/>
        <v>45.728056317888793</v>
      </c>
      <c r="AC61" s="157">
        <f t="shared" si="164"/>
        <v>48.776593405748045</v>
      </c>
      <c r="AD61" s="138">
        <f t="shared" si="143"/>
        <v>-8.6823954458624453E-2</v>
      </c>
      <c r="AE61" s="31">
        <f t="shared" si="16"/>
        <v>0.05</v>
      </c>
      <c r="AF61" s="146">
        <f t="shared" si="144"/>
        <v>301.26719456491446</v>
      </c>
    </row>
    <row r="62" spans="2:32" x14ac:dyDescent="0.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354.5</v>
      </c>
      <c r="H62" s="144">
        <f t="shared" si="165"/>
        <v>350.5</v>
      </c>
      <c r="I62" s="144">
        <f t="shared" si="165"/>
        <v>600.5</v>
      </c>
      <c r="J62" s="144">
        <f t="shared" si="165"/>
        <v>750.5</v>
      </c>
      <c r="K62" s="144">
        <f t="shared" si="165"/>
        <v>825.50000000000011</v>
      </c>
      <c r="L62" s="144">
        <f t="shared" si="165"/>
        <v>15.175000000000001</v>
      </c>
      <c r="M62" s="144">
        <f t="shared" si="165"/>
        <v>19.312499999999996</v>
      </c>
      <c r="N62" s="144">
        <f t="shared" si="165"/>
        <v>129.0625</v>
      </c>
      <c r="O62" s="144">
        <f t="shared" si="165"/>
        <v>145.3125</v>
      </c>
      <c r="P62" s="144">
        <f t="shared" si="165"/>
        <v>106.59340659340658</v>
      </c>
      <c r="Q62" s="144">
        <f t="shared" ref="Q62" si="166">(Q7+Q15-Q10-Q9)/Q42</f>
        <v>25.581395348837209</v>
      </c>
      <c r="R62" s="118">
        <f>((P62/G62)^(1/($H$2-$H$1) ))-1</f>
        <v>-0.12499068162590954</v>
      </c>
      <c r="S62" s="128"/>
      <c r="T62" s="157">
        <f t="shared" ref="T62:AC62" si="167">(T7+T15-T10-T9)/T42</f>
        <v>27.286821705426355</v>
      </c>
      <c r="U62" s="157">
        <f t="shared" si="167"/>
        <v>29.105943152454785</v>
      </c>
      <c r="V62" s="157">
        <f t="shared" si="167"/>
        <v>31.046339362618436</v>
      </c>
      <c r="W62" s="157">
        <f t="shared" si="167"/>
        <v>33.116095320126334</v>
      </c>
      <c r="X62" s="157">
        <f t="shared" si="167"/>
        <v>35.323835008134758</v>
      </c>
      <c r="Y62" s="157">
        <f t="shared" si="167"/>
        <v>37.678757342010414</v>
      </c>
      <c r="Z62" s="157">
        <f t="shared" si="167"/>
        <v>40.190674498144439</v>
      </c>
      <c r="AA62" s="157">
        <f t="shared" si="167"/>
        <v>42.870052798020744</v>
      </c>
      <c r="AB62" s="157">
        <f t="shared" si="167"/>
        <v>45.728056317888793</v>
      </c>
      <c r="AC62" s="157">
        <f t="shared" si="167"/>
        <v>48.776593405748045</v>
      </c>
      <c r="AD62" s="138">
        <f t="shared" si="143"/>
        <v>-9.441387191255346E-2</v>
      </c>
      <c r="AE62" s="31">
        <f t="shared" si="16"/>
        <v>0.05</v>
      </c>
      <c r="AF62" s="146">
        <f t="shared" si="144"/>
        <v>301.26719456491446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0</v>
      </c>
      <c r="H64" s="144">
        <f t="shared" si="168"/>
        <v>0.5</v>
      </c>
      <c r="I64" s="144">
        <f t="shared" si="168"/>
        <v>0.5</v>
      </c>
      <c r="J64" s="144">
        <f t="shared" si="168"/>
        <v>0.5</v>
      </c>
      <c r="K64" s="144">
        <f t="shared" si="168"/>
        <v>25.5</v>
      </c>
      <c r="L64" s="144">
        <f t="shared" si="168"/>
        <v>5</v>
      </c>
      <c r="M64" s="144">
        <f t="shared" si="168"/>
        <v>8.75</v>
      </c>
      <c r="N64" s="144">
        <f t="shared" si="168"/>
        <v>4.375</v>
      </c>
      <c r="O64" s="144">
        <f t="shared" si="168"/>
        <v>20.625</v>
      </c>
      <c r="P64" s="144">
        <f t="shared" si="168"/>
        <v>13.736263736263735</v>
      </c>
      <c r="Q64" s="144">
        <f t="shared" ref="Q64" si="169">Q12/Q42</f>
        <v>0</v>
      </c>
      <c r="R64" s="118" t="e">
        <f>((P64/G64)^(1/($H$2-$H$1) ))-1</f>
        <v>#DIV/0!</v>
      </c>
      <c r="S64" s="128"/>
      <c r="T64" s="157">
        <f t="shared" ref="T64:AC64" si="170">T12/T42</f>
        <v>0</v>
      </c>
      <c r="U64" s="157">
        <f t="shared" si="170"/>
        <v>0</v>
      </c>
      <c r="V64" s="157">
        <f t="shared" si="170"/>
        <v>0</v>
      </c>
      <c r="W64" s="157">
        <f t="shared" si="170"/>
        <v>0</v>
      </c>
      <c r="X64" s="157">
        <f t="shared" si="170"/>
        <v>0</v>
      </c>
      <c r="Y64" s="157">
        <f t="shared" si="170"/>
        <v>0</v>
      </c>
      <c r="Z64" s="157">
        <f t="shared" si="170"/>
        <v>0</v>
      </c>
      <c r="AA64" s="157">
        <f t="shared" si="170"/>
        <v>0</v>
      </c>
      <c r="AB64" s="157">
        <f t="shared" si="170"/>
        <v>0</v>
      </c>
      <c r="AC64" s="157">
        <f t="shared" si="170"/>
        <v>0</v>
      </c>
      <c r="AD64" s="138" t="e">
        <f t="shared" si="143"/>
        <v>#DIV/0!</v>
      </c>
      <c r="AE64" s="31">
        <f t="shared" si="16"/>
        <v>0.05</v>
      </c>
      <c r="AF64" s="146">
        <f t="shared" si="144"/>
        <v>0</v>
      </c>
    </row>
    <row r="65" spans="2:32" x14ac:dyDescent="0.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175</v>
      </c>
      <c r="H65" s="144">
        <f t="shared" si="171"/>
        <v>302.5</v>
      </c>
      <c r="I65" s="144">
        <f t="shared" si="171"/>
        <v>600</v>
      </c>
      <c r="J65" s="144">
        <f t="shared" si="171"/>
        <v>600</v>
      </c>
      <c r="K65" s="144">
        <f t="shared" si="171"/>
        <v>450</v>
      </c>
      <c r="L65" s="144">
        <f t="shared" si="171"/>
        <v>4.375</v>
      </c>
      <c r="M65" s="144">
        <f t="shared" si="171"/>
        <v>0.625</v>
      </c>
      <c r="N65" s="144">
        <f t="shared" si="171"/>
        <v>147.5</v>
      </c>
      <c r="O65" s="144">
        <f t="shared" si="171"/>
        <v>4.6875</v>
      </c>
      <c r="P65" s="144">
        <f t="shared" si="171"/>
        <v>0.54945054945054939</v>
      </c>
      <c r="Q65" s="144">
        <f t="shared" ref="Q65" si="172">Q13/Q42</f>
        <v>0</v>
      </c>
      <c r="R65" s="118">
        <f>((P65/G65)^(1/($H$2-$H$1) ))-1</f>
        <v>-0.47291976698762839</v>
      </c>
      <c r="S65" s="128"/>
      <c r="T65" s="157">
        <f t="shared" ref="T65:AC65" si="173">T13/T42</f>
        <v>0</v>
      </c>
      <c r="U65" s="157">
        <f t="shared" si="173"/>
        <v>0</v>
      </c>
      <c r="V65" s="157">
        <f t="shared" si="173"/>
        <v>0</v>
      </c>
      <c r="W65" s="157">
        <f t="shared" si="173"/>
        <v>0</v>
      </c>
      <c r="X65" s="157">
        <f t="shared" si="173"/>
        <v>0</v>
      </c>
      <c r="Y65" s="157">
        <f t="shared" si="173"/>
        <v>0</v>
      </c>
      <c r="Z65" s="157">
        <f t="shared" si="173"/>
        <v>0</v>
      </c>
      <c r="AA65" s="157">
        <f t="shared" si="173"/>
        <v>0</v>
      </c>
      <c r="AB65" s="157">
        <f t="shared" si="173"/>
        <v>0</v>
      </c>
      <c r="AC65" s="157">
        <f t="shared" si="173"/>
        <v>0</v>
      </c>
      <c r="AD65" s="138">
        <f t="shared" si="143"/>
        <v>-1</v>
      </c>
      <c r="AE65" s="31">
        <f t="shared" si="16"/>
        <v>0.05</v>
      </c>
      <c r="AF65" s="146">
        <f t="shared" si="144"/>
        <v>0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175</v>
      </c>
      <c r="H66" s="144">
        <f t="shared" si="174"/>
        <v>303</v>
      </c>
      <c r="I66" s="144">
        <f t="shared" si="174"/>
        <v>600.5</v>
      </c>
      <c r="J66" s="144">
        <f t="shared" si="174"/>
        <v>600.5</v>
      </c>
      <c r="K66" s="144">
        <f t="shared" si="174"/>
        <v>475.5</v>
      </c>
      <c r="L66" s="144">
        <f t="shared" si="174"/>
        <v>9.375</v>
      </c>
      <c r="M66" s="144">
        <f t="shared" si="174"/>
        <v>9.375</v>
      </c>
      <c r="N66" s="144">
        <f t="shared" si="174"/>
        <v>151.875</v>
      </c>
      <c r="O66" s="144">
        <f t="shared" ref="O66" si="175">(O64+O65)</f>
        <v>25.3125</v>
      </c>
      <c r="P66" s="144">
        <f t="shared" si="174"/>
        <v>14.285714285714285</v>
      </c>
      <c r="Q66" s="144">
        <f t="shared" ref="Q66" si="176">(Q64+Q65)</f>
        <v>0</v>
      </c>
      <c r="R66" s="118">
        <f>((P66/G66)^(1/($H$2-$H$1) ))-1</f>
        <v>-0.24299980714064495</v>
      </c>
      <c r="S66" s="128"/>
      <c r="T66" s="157">
        <f t="shared" ref="T66:AC66" si="177">(T64+T65)</f>
        <v>0</v>
      </c>
      <c r="U66" s="157">
        <f t="shared" si="177"/>
        <v>0</v>
      </c>
      <c r="V66" s="157">
        <f t="shared" si="177"/>
        <v>0</v>
      </c>
      <c r="W66" s="157">
        <f t="shared" si="177"/>
        <v>0</v>
      </c>
      <c r="X66" s="157">
        <f t="shared" si="177"/>
        <v>0</v>
      </c>
      <c r="Y66" s="157">
        <f t="shared" si="177"/>
        <v>0</v>
      </c>
      <c r="Z66" s="157">
        <f t="shared" si="177"/>
        <v>0</v>
      </c>
      <c r="AA66" s="157">
        <f t="shared" si="177"/>
        <v>0</v>
      </c>
      <c r="AB66" s="157">
        <f t="shared" si="177"/>
        <v>0</v>
      </c>
      <c r="AC66" s="157">
        <f t="shared" si="177"/>
        <v>0</v>
      </c>
      <c r="AD66" s="138">
        <f t="shared" si="143"/>
        <v>-1</v>
      </c>
      <c r="AE66" s="31">
        <f t="shared" si="16"/>
        <v>0.05</v>
      </c>
      <c r="AF66" s="146">
        <f t="shared" si="144"/>
        <v>0</v>
      </c>
    </row>
    <row r="67" spans="2:32" x14ac:dyDescent="0.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54.5</v>
      </c>
      <c r="H67" s="144">
        <f t="shared" si="178"/>
        <v>0.5</v>
      </c>
      <c r="I67" s="144">
        <f t="shared" si="178"/>
        <v>0.5</v>
      </c>
      <c r="J67" s="144">
        <f t="shared" si="178"/>
        <v>0.5</v>
      </c>
      <c r="K67" s="144">
        <f t="shared" si="178"/>
        <v>25.5</v>
      </c>
      <c r="L67" s="144">
        <f t="shared" si="178"/>
        <v>5.1875</v>
      </c>
      <c r="M67" s="144">
        <f t="shared" si="178"/>
        <v>8.75</v>
      </c>
      <c r="N67" s="144">
        <f t="shared" si="178"/>
        <v>5</v>
      </c>
      <c r="O67" s="144">
        <f t="shared" si="178"/>
        <v>33.75</v>
      </c>
      <c r="P67" s="144">
        <f t="shared" si="178"/>
        <v>28.571428571428569</v>
      </c>
      <c r="Q67" s="144">
        <f t="shared" ref="Q67" si="179">Q15/Q42</f>
        <v>0</v>
      </c>
      <c r="R67" s="118">
        <f>((P67/G67)^(1/($H$2-$H$1) ))-1</f>
        <v>-6.9240939426552073E-2</v>
      </c>
      <c r="S67" s="128"/>
      <c r="T67" s="157">
        <f t="shared" ref="T67:AC67" si="180">T15/T42</f>
        <v>0</v>
      </c>
      <c r="U67" s="157">
        <f t="shared" si="180"/>
        <v>0</v>
      </c>
      <c r="V67" s="157">
        <f t="shared" si="180"/>
        <v>0</v>
      </c>
      <c r="W67" s="157">
        <f t="shared" si="180"/>
        <v>0</v>
      </c>
      <c r="X67" s="157">
        <f t="shared" si="180"/>
        <v>0</v>
      </c>
      <c r="Y67" s="157">
        <f t="shared" si="180"/>
        <v>0</v>
      </c>
      <c r="Z67" s="157">
        <f t="shared" si="180"/>
        <v>0</v>
      </c>
      <c r="AA67" s="157">
        <f t="shared" si="180"/>
        <v>0</v>
      </c>
      <c r="AB67" s="157">
        <f t="shared" si="180"/>
        <v>0</v>
      </c>
      <c r="AC67" s="157">
        <f t="shared" si="180"/>
        <v>0</v>
      </c>
      <c r="AD67" s="138">
        <f t="shared" si="143"/>
        <v>-1</v>
      </c>
      <c r="AE67" s="31">
        <f t="shared" si="16"/>
        <v>0.05</v>
      </c>
      <c r="AF67" s="146">
        <f t="shared" si="144"/>
        <v>0</v>
      </c>
    </row>
    <row r="68" spans="2:32" x14ac:dyDescent="0.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100</v>
      </c>
      <c r="H68" s="144">
        <f t="shared" si="181"/>
        <v>25</v>
      </c>
      <c r="I68" s="144">
        <f t="shared" si="181"/>
        <v>14.499999999999998</v>
      </c>
      <c r="J68" s="144">
        <f t="shared" si="181"/>
        <v>140</v>
      </c>
      <c r="K68" s="144">
        <f t="shared" si="181"/>
        <v>360</v>
      </c>
      <c r="L68" s="144">
        <f t="shared" si="181"/>
        <v>5.625</v>
      </c>
      <c r="M68" s="144">
        <f t="shared" si="181"/>
        <v>8.75</v>
      </c>
      <c r="N68" s="144">
        <f t="shared" si="181"/>
        <v>11.25</v>
      </c>
      <c r="O68" s="144">
        <f t="shared" si="181"/>
        <v>28.75</v>
      </c>
      <c r="P68" s="144">
        <f t="shared" si="181"/>
        <v>14.835164835164834</v>
      </c>
      <c r="Q68" s="144">
        <f t="shared" ref="Q68" si="182">Q16/Q42</f>
        <v>0</v>
      </c>
      <c r="R68" s="118">
        <f>((P68/G68)^(1/($H$2-$H$1) ))-1</f>
        <v>-0.19105056665088138</v>
      </c>
      <c r="S68" s="128"/>
      <c r="T68" s="157">
        <f t="shared" ref="T68:AC68" si="183">T16/T42</f>
        <v>0</v>
      </c>
      <c r="U68" s="157">
        <f t="shared" si="183"/>
        <v>0</v>
      </c>
      <c r="V68" s="157">
        <f t="shared" si="183"/>
        <v>0</v>
      </c>
      <c r="W68" s="157">
        <f t="shared" si="183"/>
        <v>0</v>
      </c>
      <c r="X68" s="157">
        <f t="shared" si="183"/>
        <v>0</v>
      </c>
      <c r="Y68" s="157">
        <f t="shared" si="183"/>
        <v>0</v>
      </c>
      <c r="Z68" s="157">
        <f t="shared" si="183"/>
        <v>0</v>
      </c>
      <c r="AA68" s="157">
        <f t="shared" si="183"/>
        <v>0</v>
      </c>
      <c r="AB68" s="157">
        <f t="shared" si="183"/>
        <v>0</v>
      </c>
      <c r="AC68" s="157">
        <f t="shared" si="183"/>
        <v>0</v>
      </c>
      <c r="AD68" s="138">
        <f t="shared" si="143"/>
        <v>-1</v>
      </c>
      <c r="AE68" s="137"/>
      <c r="AF68" s="146">
        <f t="shared" si="144"/>
        <v>0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0</v>
      </c>
      <c r="H70" s="159">
        <f t="shared" si="184"/>
        <v>0</v>
      </c>
      <c r="I70" s="159">
        <f t="shared" si="184"/>
        <v>0</v>
      </c>
      <c r="J70" s="159">
        <f t="shared" si="184"/>
        <v>0</v>
      </c>
      <c r="K70" s="159">
        <f t="shared" si="184"/>
        <v>0</v>
      </c>
      <c r="L70" s="159">
        <f t="shared" si="184"/>
        <v>1.5</v>
      </c>
      <c r="M70" s="159">
        <f t="shared" si="184"/>
        <v>0</v>
      </c>
      <c r="N70" s="159">
        <f t="shared" si="184"/>
        <v>0</v>
      </c>
      <c r="O70" s="159">
        <f t="shared" si="184"/>
        <v>0</v>
      </c>
      <c r="P70" s="159">
        <f t="shared" si="184"/>
        <v>0</v>
      </c>
      <c r="Q70" s="159">
        <f t="shared" ref="Q70" si="185">Q44</f>
        <v>0</v>
      </c>
      <c r="R70" s="118" t="e">
        <f>((P70/G70)^(1/($H$2-$H$1) ))-1</f>
        <v>#DIV/0!</v>
      </c>
      <c r="S70" s="128"/>
      <c r="T70" s="159">
        <f t="shared" ref="T70:AC70" si="186">T44</f>
        <v>0</v>
      </c>
      <c r="U70" s="159">
        <f t="shared" si="186"/>
        <v>0</v>
      </c>
      <c r="V70" s="159">
        <f t="shared" si="186"/>
        <v>0</v>
      </c>
      <c r="W70" s="159">
        <f t="shared" si="186"/>
        <v>0</v>
      </c>
      <c r="X70" s="159">
        <f t="shared" si="186"/>
        <v>0</v>
      </c>
      <c r="Y70" s="159">
        <f t="shared" si="186"/>
        <v>0</v>
      </c>
      <c r="Z70" s="159">
        <f t="shared" si="186"/>
        <v>0</v>
      </c>
      <c r="AA70" s="159">
        <f t="shared" si="186"/>
        <v>0</v>
      </c>
      <c r="AB70" s="159">
        <f t="shared" si="186"/>
        <v>0</v>
      </c>
      <c r="AC70" s="159">
        <f t="shared" si="186"/>
        <v>0</v>
      </c>
      <c r="AD70" s="138" t="e">
        <f t="shared" ref="AD70" si="187">((AC70/G70)^(1/($AC$3-$H$1) ))-1</f>
        <v>#DIV/0!</v>
      </c>
      <c r="AE70" s="31">
        <f t="shared" si="16"/>
        <v>0.05</v>
      </c>
      <c r="AF70" s="146">
        <f t="shared" si="144"/>
        <v>0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0</v>
      </c>
      <c r="H72" s="144">
        <f t="shared" si="188"/>
        <v>0</v>
      </c>
      <c r="I72" s="144">
        <f t="shared" si="188"/>
        <v>0</v>
      </c>
      <c r="J72" s="144">
        <f t="shared" si="188"/>
        <v>0</v>
      </c>
      <c r="K72" s="144">
        <f t="shared" si="188"/>
        <v>0</v>
      </c>
      <c r="L72" s="144">
        <f t="shared" si="188"/>
        <v>0</v>
      </c>
      <c r="M72" s="144">
        <f t="shared" si="188"/>
        <v>0</v>
      </c>
      <c r="N72" s="144">
        <f t="shared" si="188"/>
        <v>0</v>
      </c>
      <c r="O72" s="144">
        <f t="shared" si="188"/>
        <v>0</v>
      </c>
      <c r="P72" s="144">
        <f t="shared" si="188"/>
        <v>0</v>
      </c>
      <c r="Q72" s="144">
        <f t="shared" ref="Q72" si="189">Q20+Q21</f>
        <v>0</v>
      </c>
      <c r="R72" s="118" t="e">
        <f>((P72/G72)^(1/($H$2-$H$1) ))-1</f>
        <v>#DIV/0!</v>
      </c>
      <c r="S72" s="128"/>
      <c r="T72" s="144">
        <f t="shared" ref="T72:AC72" si="190">T20+T21</f>
        <v>0</v>
      </c>
      <c r="U72" s="144">
        <f t="shared" si="190"/>
        <v>0</v>
      </c>
      <c r="V72" s="144">
        <f t="shared" si="190"/>
        <v>0</v>
      </c>
      <c r="W72" s="144">
        <f t="shared" si="190"/>
        <v>0</v>
      </c>
      <c r="X72" s="144">
        <f t="shared" si="190"/>
        <v>0</v>
      </c>
      <c r="Y72" s="144">
        <f t="shared" si="190"/>
        <v>0</v>
      </c>
      <c r="Z72" s="144">
        <f t="shared" si="190"/>
        <v>0</v>
      </c>
      <c r="AA72" s="144">
        <f t="shared" si="190"/>
        <v>0</v>
      </c>
      <c r="AB72" s="144">
        <f t="shared" si="190"/>
        <v>0</v>
      </c>
      <c r="AC72" s="144">
        <f t="shared" si="190"/>
        <v>0</v>
      </c>
      <c r="AD72" s="138" t="e">
        <f t="shared" ref="AD72:AD77" si="191">((AC72/G72)^(1/($AC$3-$H$1) ))-1</f>
        <v>#DIV/0!</v>
      </c>
      <c r="AE72" s="31">
        <f t="shared" si="16"/>
        <v>0.05</v>
      </c>
      <c r="AF72" s="146">
        <f t="shared" si="144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0</v>
      </c>
      <c r="H74" s="144">
        <f t="shared" si="192"/>
        <v>0</v>
      </c>
      <c r="I74" s="144">
        <f t="shared" si="192"/>
        <v>0</v>
      </c>
      <c r="J74" s="144">
        <f t="shared" si="192"/>
        <v>0</v>
      </c>
      <c r="K74" s="144">
        <f t="shared" si="192"/>
        <v>0</v>
      </c>
      <c r="L74" s="144">
        <f t="shared" si="192"/>
        <v>0</v>
      </c>
      <c r="M74" s="144">
        <f t="shared" si="192"/>
        <v>0</v>
      </c>
      <c r="N74" s="144">
        <f t="shared" si="192"/>
        <v>0</v>
      </c>
      <c r="O74" s="144">
        <f t="shared" si="192"/>
        <v>0</v>
      </c>
      <c r="P74" s="144">
        <f t="shared" si="192"/>
        <v>0</v>
      </c>
      <c r="Q74" s="144">
        <f t="shared" ref="Q74" si="193">Q72/Q42</f>
        <v>0</v>
      </c>
      <c r="R74" s="118" t="e">
        <f>((P74/G74)^(1/($H$2-$H$1) ))-1</f>
        <v>#DIV/0!</v>
      </c>
      <c r="S74" s="128"/>
      <c r="T74" s="146">
        <f t="shared" ref="T74:AC74" si="194">T72/T42</f>
        <v>0</v>
      </c>
      <c r="U74" s="146">
        <f t="shared" si="194"/>
        <v>0</v>
      </c>
      <c r="V74" s="146">
        <f t="shared" si="194"/>
        <v>0</v>
      </c>
      <c r="W74" s="146">
        <f t="shared" si="194"/>
        <v>0</v>
      </c>
      <c r="X74" s="146">
        <f t="shared" si="194"/>
        <v>0</v>
      </c>
      <c r="Y74" s="146">
        <f t="shared" si="194"/>
        <v>0</v>
      </c>
      <c r="Z74" s="146">
        <f t="shared" si="194"/>
        <v>0</v>
      </c>
      <c r="AA74" s="146">
        <f t="shared" si="194"/>
        <v>0</v>
      </c>
      <c r="AB74" s="146">
        <f t="shared" si="194"/>
        <v>0</v>
      </c>
      <c r="AC74" s="146">
        <f t="shared" si="194"/>
        <v>0</v>
      </c>
      <c r="AD74" s="138" t="e">
        <f t="shared" si="191"/>
        <v>#DIV/0!</v>
      </c>
      <c r="AE74" s="31">
        <f t="shared" si="16"/>
        <v>0.05</v>
      </c>
      <c r="AF74" s="146">
        <f t="shared" si="144"/>
        <v>0</v>
      </c>
    </row>
    <row r="75" spans="2:32" x14ac:dyDescent="0.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0</v>
      </c>
      <c r="H75" s="144">
        <f t="shared" si="195"/>
        <v>0</v>
      </c>
      <c r="I75" s="144">
        <f t="shared" si="195"/>
        <v>0</v>
      </c>
      <c r="J75" s="144">
        <f t="shared" si="195"/>
        <v>0</v>
      </c>
      <c r="K75" s="144">
        <f t="shared" si="195"/>
        <v>0</v>
      </c>
      <c r="L75" s="144">
        <f t="shared" si="195"/>
        <v>0</v>
      </c>
      <c r="M75" s="144">
        <f t="shared" si="195"/>
        <v>0</v>
      </c>
      <c r="N75" s="144">
        <f t="shared" si="195"/>
        <v>0</v>
      </c>
      <c r="O75" s="144">
        <f t="shared" si="195"/>
        <v>0</v>
      </c>
      <c r="P75" s="144">
        <f t="shared" si="195"/>
        <v>0</v>
      </c>
      <c r="Q75" s="144">
        <f t="shared" ref="Q75" si="196">Q20/Q42</f>
        <v>0</v>
      </c>
      <c r="R75" s="118" t="e">
        <f>((P75/G75)^(1/($H$2-$H$1) ))-1</f>
        <v>#DIV/0!</v>
      </c>
      <c r="S75" s="128"/>
      <c r="T75" s="146">
        <f t="shared" ref="T75:AC75" si="197">T20/T42</f>
        <v>0</v>
      </c>
      <c r="U75" s="146">
        <f t="shared" si="197"/>
        <v>0</v>
      </c>
      <c r="V75" s="146">
        <f t="shared" si="197"/>
        <v>0</v>
      </c>
      <c r="W75" s="146">
        <f t="shared" si="197"/>
        <v>0</v>
      </c>
      <c r="X75" s="146">
        <f t="shared" si="197"/>
        <v>0</v>
      </c>
      <c r="Y75" s="146">
        <f t="shared" si="197"/>
        <v>0</v>
      </c>
      <c r="Z75" s="146">
        <f t="shared" si="197"/>
        <v>0</v>
      </c>
      <c r="AA75" s="146">
        <f t="shared" si="197"/>
        <v>0</v>
      </c>
      <c r="AB75" s="146">
        <f t="shared" si="197"/>
        <v>0</v>
      </c>
      <c r="AC75" s="146">
        <f t="shared" si="197"/>
        <v>0</v>
      </c>
      <c r="AD75" s="138" t="e">
        <f t="shared" si="191"/>
        <v>#DIV/0!</v>
      </c>
      <c r="AE75" s="31">
        <f t="shared" si="16"/>
        <v>0.05</v>
      </c>
      <c r="AF75" s="146">
        <f t="shared" si="144"/>
        <v>0</v>
      </c>
    </row>
    <row r="76" spans="2:32" x14ac:dyDescent="0.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0</v>
      </c>
      <c r="H76" s="144">
        <f t="shared" si="198"/>
        <v>0</v>
      </c>
      <c r="I76" s="144">
        <f t="shared" si="198"/>
        <v>0</v>
      </c>
      <c r="J76" s="144">
        <f t="shared" si="198"/>
        <v>0</v>
      </c>
      <c r="K76" s="144">
        <f t="shared" si="198"/>
        <v>0</v>
      </c>
      <c r="L76" s="144">
        <f t="shared" si="198"/>
        <v>0</v>
      </c>
      <c r="M76" s="144">
        <f t="shared" si="198"/>
        <v>0</v>
      </c>
      <c r="N76" s="144">
        <f t="shared" si="198"/>
        <v>0</v>
      </c>
      <c r="O76" s="144">
        <f t="shared" si="198"/>
        <v>0</v>
      </c>
      <c r="P76" s="144">
        <f t="shared" si="198"/>
        <v>0</v>
      </c>
      <c r="Q76" s="144">
        <f t="shared" ref="Q76" si="199">Q21/Q42</f>
        <v>0</v>
      </c>
      <c r="R76" s="118" t="e">
        <f>((P76/G76)^(1/($H$2-$H$1) ))-1</f>
        <v>#DIV/0!</v>
      </c>
      <c r="S76" s="128"/>
      <c r="T76" s="146">
        <f t="shared" ref="T76:AC76" si="200">T21/T42</f>
        <v>0</v>
      </c>
      <c r="U76" s="146">
        <f t="shared" si="200"/>
        <v>0</v>
      </c>
      <c r="V76" s="146">
        <f t="shared" si="200"/>
        <v>0</v>
      </c>
      <c r="W76" s="146">
        <f t="shared" si="200"/>
        <v>0</v>
      </c>
      <c r="X76" s="146">
        <f t="shared" si="200"/>
        <v>0</v>
      </c>
      <c r="Y76" s="146">
        <f t="shared" si="200"/>
        <v>0</v>
      </c>
      <c r="Z76" s="146">
        <f t="shared" si="200"/>
        <v>0</v>
      </c>
      <c r="AA76" s="146">
        <f t="shared" si="200"/>
        <v>0</v>
      </c>
      <c r="AB76" s="146">
        <f t="shared" si="200"/>
        <v>0</v>
      </c>
      <c r="AC76" s="146">
        <f t="shared" si="200"/>
        <v>0</v>
      </c>
      <c r="AD76" s="138" t="e">
        <f t="shared" si="191"/>
        <v>#DIV/0!</v>
      </c>
      <c r="AE76" s="31">
        <f t="shared" si="16"/>
        <v>0.05</v>
      </c>
      <c r="AF76" s="146">
        <f t="shared" si="144"/>
        <v>0</v>
      </c>
    </row>
    <row r="77" spans="2:32" x14ac:dyDescent="0.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0</v>
      </c>
      <c r="H77" s="144">
        <f t="shared" si="201"/>
        <v>0</v>
      </c>
      <c r="I77" s="144">
        <f t="shared" si="201"/>
        <v>0</v>
      </c>
      <c r="J77" s="144">
        <f t="shared" si="201"/>
        <v>0</v>
      </c>
      <c r="K77" s="144">
        <f t="shared" si="201"/>
        <v>0</v>
      </c>
      <c r="L77" s="144">
        <f t="shared" si="201"/>
        <v>0</v>
      </c>
      <c r="M77" s="144">
        <f t="shared" si="201"/>
        <v>0</v>
      </c>
      <c r="N77" s="144">
        <f t="shared" si="201"/>
        <v>0</v>
      </c>
      <c r="O77" s="144">
        <f t="shared" si="201"/>
        <v>0</v>
      </c>
      <c r="P77" s="144">
        <f t="shared" si="201"/>
        <v>0</v>
      </c>
      <c r="Q77" s="144">
        <f t="shared" ref="Q77" si="202">Q22/Q42</f>
        <v>0</v>
      </c>
      <c r="R77" s="118" t="e">
        <f>((P77/G77)^(1/($H$2-$H$1) ))-1</f>
        <v>#DIV/0!</v>
      </c>
      <c r="S77" s="128"/>
      <c r="T77" s="146">
        <f t="shared" ref="T77:AC77" si="203">T22/T42</f>
        <v>0</v>
      </c>
      <c r="U77" s="146">
        <f t="shared" si="203"/>
        <v>0</v>
      </c>
      <c r="V77" s="146">
        <f t="shared" si="203"/>
        <v>0</v>
      </c>
      <c r="W77" s="146">
        <f t="shared" si="203"/>
        <v>0</v>
      </c>
      <c r="X77" s="146">
        <f t="shared" si="203"/>
        <v>0</v>
      </c>
      <c r="Y77" s="146">
        <f t="shared" si="203"/>
        <v>0</v>
      </c>
      <c r="Z77" s="146">
        <f t="shared" si="203"/>
        <v>0</v>
      </c>
      <c r="AA77" s="146">
        <f t="shared" si="203"/>
        <v>0</v>
      </c>
      <c r="AB77" s="146">
        <f t="shared" si="203"/>
        <v>0</v>
      </c>
      <c r="AC77" s="146">
        <f t="shared" si="203"/>
        <v>0</v>
      </c>
      <c r="AD77" s="138" t="e">
        <f t="shared" si="191"/>
        <v>#DIV/0!</v>
      </c>
      <c r="AE77" s="31">
        <f t="shared" si="16"/>
        <v>0.05</v>
      </c>
      <c r="AF77" s="146">
        <f t="shared" si="144"/>
        <v>0</v>
      </c>
    </row>
    <row r="78" spans="2:32" x14ac:dyDescent="0.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0</v>
      </c>
      <c r="H78" s="144">
        <f t="shared" si="204"/>
        <v>0</v>
      </c>
      <c r="I78" s="144">
        <f t="shared" si="204"/>
        <v>0</v>
      </c>
      <c r="J78" s="144">
        <f t="shared" si="204"/>
        <v>0</v>
      </c>
      <c r="K78" s="144">
        <f t="shared" si="204"/>
        <v>0</v>
      </c>
      <c r="L78" s="144">
        <f t="shared" si="204"/>
        <v>0</v>
      </c>
      <c r="M78" s="144">
        <f t="shared" si="204"/>
        <v>0</v>
      </c>
      <c r="N78" s="144">
        <f t="shared" si="204"/>
        <v>0</v>
      </c>
      <c r="O78" s="144">
        <f t="shared" si="204"/>
        <v>0</v>
      </c>
      <c r="P78" s="144">
        <f t="shared" si="204"/>
        <v>0</v>
      </c>
      <c r="Q78" s="144">
        <f t="shared" ref="Q78" si="205">Q23/Q42</f>
        <v>0</v>
      </c>
      <c r="R78" s="118" t="e">
        <f>((P78/G78)^(1/($H$2-$H$1) ))-1</f>
        <v>#DIV/0!</v>
      </c>
      <c r="S78" s="128"/>
      <c r="T78" s="146">
        <f t="shared" ref="T78:AC78" si="206">T23/T42</f>
        <v>0</v>
      </c>
      <c r="U78" s="146">
        <f t="shared" si="206"/>
        <v>0</v>
      </c>
      <c r="V78" s="146">
        <f t="shared" si="206"/>
        <v>0</v>
      </c>
      <c r="W78" s="146">
        <f t="shared" si="206"/>
        <v>0</v>
      </c>
      <c r="X78" s="146">
        <f t="shared" si="206"/>
        <v>0</v>
      </c>
      <c r="Y78" s="146">
        <f t="shared" si="206"/>
        <v>0</v>
      </c>
      <c r="Z78" s="146">
        <f t="shared" si="206"/>
        <v>0</v>
      </c>
      <c r="AA78" s="146">
        <f t="shared" si="206"/>
        <v>0</v>
      </c>
      <c r="AB78" s="146">
        <f t="shared" si="206"/>
        <v>0</v>
      </c>
      <c r="AC78" s="146">
        <f t="shared" si="206"/>
        <v>0</v>
      </c>
      <c r="AD78" s="138" t="e">
        <f t="shared" ref="AD78" si="207">((AC78/G78)^(1/($AC$3-$H$1) ))-1</f>
        <v>#DIV/0!</v>
      </c>
      <c r="AE78" s="31">
        <f t="shared" si="16"/>
        <v>0.05</v>
      </c>
      <c r="AF78" s="146">
        <f t="shared" si="144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23.499999999999996</v>
      </c>
      <c r="H80" s="144">
        <f t="shared" si="208"/>
        <v>46.5</v>
      </c>
      <c r="I80" s="144">
        <f t="shared" si="208"/>
        <v>275</v>
      </c>
      <c r="J80" s="144">
        <f t="shared" si="208"/>
        <v>125</v>
      </c>
      <c r="K80" s="144">
        <f t="shared" si="208"/>
        <v>75</v>
      </c>
      <c r="L80" s="144">
        <f t="shared" si="208"/>
        <v>0.68125000000000002</v>
      </c>
      <c r="M80" s="144">
        <f t="shared" si="208"/>
        <v>0.3</v>
      </c>
      <c r="N80" s="144">
        <f t="shared" si="208"/>
        <v>0.5625</v>
      </c>
      <c r="O80" s="144">
        <f t="shared" si="208"/>
        <v>39.375</v>
      </c>
      <c r="P80" s="144">
        <f t="shared" si="208"/>
        <v>31.868131868131869</v>
      </c>
      <c r="Q80" s="144">
        <f t="shared" ref="Q80" si="209">Q36/Q42</f>
        <v>-2.680878552971576</v>
      </c>
      <c r="R80" s="118">
        <f>((P80/G80)^(1/($H$2-$H$1) ))-1</f>
        <v>3.4424383627141841E-2</v>
      </c>
      <c r="S80" s="128"/>
      <c r="T80" s="144">
        <f t="shared" ref="T80:AC80" si="210">T36/T42</f>
        <v>-2.8596037898363478</v>
      </c>
      <c r="U80" s="144">
        <f t="shared" si="210"/>
        <v>-3.0502440424921047</v>
      </c>
      <c r="V80" s="144">
        <f t="shared" si="210"/>
        <v>-3.2535936453249121</v>
      </c>
      <c r="W80" s="144">
        <f t="shared" si="210"/>
        <v>-3.470499888346573</v>
      </c>
      <c r="X80" s="144">
        <f t="shared" si="210"/>
        <v>-3.7018665475696784</v>
      </c>
      <c r="Y80" s="144">
        <f t="shared" si="210"/>
        <v>-3.9486576507409903</v>
      </c>
      <c r="Z80" s="144">
        <f t="shared" si="210"/>
        <v>-4.2119014941237234</v>
      </c>
      <c r="AA80" s="144">
        <f t="shared" si="210"/>
        <v>-4.4926949270653047</v>
      </c>
      <c r="AB80" s="144">
        <f t="shared" si="210"/>
        <v>-4.7922079222029925</v>
      </c>
      <c r="AC80" s="144">
        <f t="shared" si="210"/>
        <v>-5.1116884503498587</v>
      </c>
      <c r="AD80" s="138" t="e">
        <f t="shared" ref="AD80:AD82" si="211">((AC80/G80)^(1/($AC$3-$H$1) ))-1</f>
        <v>#NUM!</v>
      </c>
      <c r="AE80" s="31">
        <f t="shared" si="16"/>
        <v>0.05</v>
      </c>
      <c r="AF80" s="146">
        <f t="shared" si="144"/>
        <v>-31.572193369807952</v>
      </c>
    </row>
    <row r="81" spans="2:32" x14ac:dyDescent="0.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24.5</v>
      </c>
      <c r="H81" s="144">
        <f t="shared" si="212"/>
        <v>51.5</v>
      </c>
      <c r="I81" s="144">
        <f t="shared" si="212"/>
        <v>274.5</v>
      </c>
      <c r="J81" s="144">
        <f t="shared" si="212"/>
        <v>120</v>
      </c>
      <c r="K81" s="144">
        <f t="shared" si="212"/>
        <v>75</v>
      </c>
      <c r="L81" s="144">
        <f t="shared" si="212"/>
        <v>0.87499999999999989</v>
      </c>
      <c r="M81" s="144">
        <f t="shared" si="212"/>
        <v>0.39374999999999999</v>
      </c>
      <c r="N81" s="144">
        <f t="shared" si="212"/>
        <v>-1.2812499999999998</v>
      </c>
      <c r="O81" s="144">
        <f t="shared" si="212"/>
        <v>26.25</v>
      </c>
      <c r="P81" s="144">
        <f t="shared" si="212"/>
        <v>18.131868131868131</v>
      </c>
      <c r="Q81" s="144">
        <f t="shared" ref="Q81" si="213">Q40/Q42</f>
        <v>6.1369509043927642E-2</v>
      </c>
      <c r="R81" s="118">
        <f>((P81/G81)^(1/($H$2-$H$1) ))-1</f>
        <v>-3.2891583059961094E-2</v>
      </c>
      <c r="S81" s="128"/>
      <c r="T81" s="144">
        <f t="shared" ref="T81:AC81" si="214">T40/T42</f>
        <v>6.5460809646856161E-2</v>
      </c>
      <c r="U81" s="144">
        <f t="shared" si="214"/>
        <v>6.9824863623313235E-2</v>
      </c>
      <c r="V81" s="144">
        <f t="shared" si="214"/>
        <v>7.447985453153412E-2</v>
      </c>
      <c r="W81" s="144">
        <f t="shared" si="214"/>
        <v>7.9445178166969735E-2</v>
      </c>
      <c r="X81" s="144">
        <f t="shared" si="214"/>
        <v>8.4741523378101064E-2</v>
      </c>
      <c r="Y81" s="144">
        <f t="shared" si="214"/>
        <v>9.0390958269974481E-2</v>
      </c>
      <c r="Z81" s="144">
        <f t="shared" si="214"/>
        <v>9.6417022154639445E-2</v>
      </c>
      <c r="AA81" s="144">
        <f t="shared" si="214"/>
        <v>0.1028448236316154</v>
      </c>
      <c r="AB81" s="144">
        <f t="shared" si="214"/>
        <v>0.10970114520705644</v>
      </c>
      <c r="AC81" s="144">
        <f t="shared" si="214"/>
        <v>0.11701455488752688</v>
      </c>
      <c r="AD81" s="138">
        <f t="shared" si="211"/>
        <v>-0.23448502633046242</v>
      </c>
      <c r="AE81" s="31">
        <f t="shared" si="16"/>
        <v>0.05</v>
      </c>
      <c r="AF81" s="146">
        <f t="shared" si="144"/>
        <v>0.72273695665825433</v>
      </c>
    </row>
    <row r="82" spans="2:32" x14ac:dyDescent="0.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268.5</v>
      </c>
      <c r="H82" s="144">
        <f t="shared" si="215"/>
        <v>300</v>
      </c>
      <c r="I82" s="144">
        <f t="shared" si="215"/>
        <v>600</v>
      </c>
      <c r="J82" s="144">
        <f t="shared" si="215"/>
        <v>700</v>
      </c>
      <c r="K82" s="144">
        <f t="shared" si="215"/>
        <v>800</v>
      </c>
      <c r="L82" s="144">
        <f t="shared" si="215"/>
        <v>0.26874999999999999</v>
      </c>
      <c r="M82" s="144">
        <f t="shared" si="215"/>
        <v>0.625</v>
      </c>
      <c r="N82" s="144">
        <f t="shared" si="215"/>
        <v>115</v>
      </c>
      <c r="O82" s="144">
        <f t="shared" si="215"/>
        <v>119.375</v>
      </c>
      <c r="P82" s="144">
        <f t="shared" si="215"/>
        <v>134.06593406593407</v>
      </c>
      <c r="Q82" s="144">
        <f t="shared" ref="Q82" si="216">Q6/Q42</f>
        <v>34.231266149870798</v>
      </c>
      <c r="R82" s="118">
        <f>((P82/G82)^(1/($H$2-$H$1) ))-1</f>
        <v>-7.4266422355760642E-2</v>
      </c>
      <c r="S82" s="128"/>
      <c r="T82" s="144">
        <f t="shared" ref="T82:AC82" si="217">T6/T42</f>
        <v>36.513350559862189</v>
      </c>
      <c r="U82" s="144">
        <f t="shared" si="217"/>
        <v>38.947573930519667</v>
      </c>
      <c r="V82" s="144">
        <f t="shared" si="217"/>
        <v>41.544078859220981</v>
      </c>
      <c r="W82" s="144">
        <f t="shared" si="217"/>
        <v>44.313684116502387</v>
      </c>
      <c r="X82" s="144">
        <f t="shared" si="217"/>
        <v>47.267929724269216</v>
      </c>
      <c r="Y82" s="144">
        <f t="shared" si="217"/>
        <v>50.419125039220496</v>
      </c>
      <c r="Z82" s="144">
        <f t="shared" si="217"/>
        <v>53.7804000418352</v>
      </c>
      <c r="AA82" s="144">
        <f t="shared" si="217"/>
        <v>57.365760044624224</v>
      </c>
      <c r="AB82" s="144">
        <f t="shared" si="217"/>
        <v>61.190144047599183</v>
      </c>
      <c r="AC82" s="144">
        <f t="shared" si="217"/>
        <v>65.269486984105797</v>
      </c>
      <c r="AD82" s="138">
        <f t="shared" si="211"/>
        <v>-6.8273826815414052E-2</v>
      </c>
      <c r="AE82" s="31">
        <f t="shared" ref="AE82" si="218">$L$1</f>
        <v>0.05</v>
      </c>
      <c r="AF82" s="146">
        <f t="shared" si="144"/>
        <v>403.13506666653586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>
        <f t="shared" si="219"/>
        <v>0.70149253731343275</v>
      </c>
      <c r="H86" s="152">
        <f t="shared" si="219"/>
        <v>0.79487179487179493</v>
      </c>
      <c r="I86" s="152">
        <f t="shared" si="219"/>
        <v>1.1000000000000001</v>
      </c>
      <c r="J86" s="152">
        <f t="shared" si="219"/>
        <v>0.92592592592592582</v>
      </c>
      <c r="K86" s="152">
        <f t="shared" si="219"/>
        <v>0.88235294117647056</v>
      </c>
      <c r="L86" s="152">
        <f t="shared" si="219"/>
        <v>0.64117647058823535</v>
      </c>
      <c r="M86" s="152">
        <f t="shared" si="219"/>
        <v>0.65753424657534243</v>
      </c>
      <c r="N86" s="152">
        <f t="shared" si="219"/>
        <v>4.7368421052631575</v>
      </c>
      <c r="O86" s="152">
        <f t="shared" si="219"/>
        <v>0.11433756805807622</v>
      </c>
      <c r="P86" s="152">
        <f t="shared" si="219"/>
        <v>8.3815028901734104E-2</v>
      </c>
      <c r="Q86" s="152">
        <f t="shared" ref="Q86" si="220">Q36/Q25</f>
        <v>-5.6081081081081084E-2</v>
      </c>
      <c r="R86" s="118">
        <f t="shared" ref="R86:R138" si="221">((P86/G86)^(1/($H$2-$H$1) ))-1</f>
        <v>-0.21027179449063949</v>
      </c>
      <c r="S86" s="152"/>
      <c r="T86" s="152">
        <f t="shared" ref="T86:AC86" si="222">T36/T25</f>
        <v>-5.6081081081081084E-2</v>
      </c>
      <c r="U86" s="152">
        <f t="shared" si="222"/>
        <v>-5.6081081081081077E-2</v>
      </c>
      <c r="V86" s="152">
        <f t="shared" si="222"/>
        <v>-5.6081081081081077E-2</v>
      </c>
      <c r="W86" s="152">
        <f t="shared" si="222"/>
        <v>-5.6081081081081063E-2</v>
      </c>
      <c r="X86" s="152">
        <f t="shared" si="222"/>
        <v>-5.6081081081081063E-2</v>
      </c>
      <c r="Y86" s="152">
        <f t="shared" si="222"/>
        <v>-5.6081081081081063E-2</v>
      </c>
      <c r="Z86" s="152">
        <f t="shared" si="222"/>
        <v>-5.608108108108107E-2</v>
      </c>
      <c r="AA86" s="152">
        <f t="shared" si="222"/>
        <v>-5.608108108108107E-2</v>
      </c>
      <c r="AB86" s="152">
        <f t="shared" si="222"/>
        <v>-5.6081081081081077E-2</v>
      </c>
      <c r="AC86" s="152">
        <f t="shared" si="222"/>
        <v>-5.608108108108107E-2</v>
      </c>
      <c r="AD86" s="138" t="e">
        <f t="shared" ref="AD86:AD125" si="223">((AC86/G86)^(1/($AC$3-$H$1) ))-1</f>
        <v>#NUM!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>
        <f t="shared" si="224"/>
        <v>0.73134328358208944</v>
      </c>
      <c r="H87" s="152">
        <f t="shared" si="224"/>
        <v>0.88034188034188043</v>
      </c>
      <c r="I87" s="152">
        <f t="shared" si="224"/>
        <v>1.0980000000000001</v>
      </c>
      <c r="J87" s="152">
        <f t="shared" si="224"/>
        <v>0.88888888888888884</v>
      </c>
      <c r="K87" s="152">
        <f t="shared" si="224"/>
        <v>0.88235294117647056</v>
      </c>
      <c r="L87" s="152">
        <f t="shared" si="224"/>
        <v>0.82352941176470584</v>
      </c>
      <c r="M87" s="152">
        <f t="shared" si="224"/>
        <v>0.86301369863013699</v>
      </c>
      <c r="N87" s="152">
        <f t="shared" si="224"/>
        <v>-10.789473684210526</v>
      </c>
      <c r="O87" s="152">
        <f t="shared" si="224"/>
        <v>7.6225045372050812E-2</v>
      </c>
      <c r="P87" s="152">
        <f t="shared" si="224"/>
        <v>4.7687861271676298E-2</v>
      </c>
      <c r="Q87" s="152">
        <f t="shared" ref="Q87" si="225">Q40/Q25</f>
        <v>1.2837837837837837E-3</v>
      </c>
      <c r="R87" s="118">
        <f t="shared" si="221"/>
        <v>-0.26166396816265514</v>
      </c>
      <c r="S87" s="152"/>
      <c r="T87" s="152">
        <f t="shared" ref="T87:AC87" si="226">T40/T25</f>
        <v>1.2837837837837837E-3</v>
      </c>
      <c r="U87" s="152">
        <f t="shared" si="226"/>
        <v>1.2837837837837837E-3</v>
      </c>
      <c r="V87" s="152">
        <f t="shared" si="226"/>
        <v>1.2837837837837835E-3</v>
      </c>
      <c r="W87" s="152">
        <f t="shared" si="226"/>
        <v>1.2837837837837835E-3</v>
      </c>
      <c r="X87" s="152">
        <f t="shared" si="226"/>
        <v>1.2837837837837835E-3</v>
      </c>
      <c r="Y87" s="152">
        <f t="shared" si="226"/>
        <v>1.2837837837837835E-3</v>
      </c>
      <c r="Z87" s="152">
        <f t="shared" si="226"/>
        <v>1.2837837837837835E-3</v>
      </c>
      <c r="AA87" s="152">
        <f t="shared" si="226"/>
        <v>1.2837837837837835E-3</v>
      </c>
      <c r="AB87" s="152">
        <f t="shared" si="226"/>
        <v>1.2837837837837832E-3</v>
      </c>
      <c r="AC87" s="152">
        <f t="shared" si="226"/>
        <v>1.2837837837837835E-3</v>
      </c>
      <c r="AD87" s="138">
        <f t="shared" si="223"/>
        <v>-0.27185389552780115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8.1666666666666665E-2</v>
      </c>
      <c r="H88" s="152">
        <f t="shared" si="227"/>
        <v>0.14714285714285716</v>
      </c>
      <c r="I88" s="152">
        <f t="shared" si="227"/>
        <v>0.45750000000000002</v>
      </c>
      <c r="J88" s="152">
        <f t="shared" si="227"/>
        <v>0.16</v>
      </c>
      <c r="K88" s="152">
        <f t="shared" si="227"/>
        <v>9.375E-2</v>
      </c>
      <c r="L88" s="152">
        <f t="shared" si="227"/>
        <v>8.7499999999999994E-2</v>
      </c>
      <c r="M88" s="152">
        <f t="shared" si="227"/>
        <v>3.7058823529411762E-2</v>
      </c>
      <c r="N88" s="152">
        <f t="shared" si="227"/>
        <v>-1.0249999999999999E-2</v>
      </c>
      <c r="O88" s="152">
        <f t="shared" si="227"/>
        <v>0.20192307692307693</v>
      </c>
      <c r="P88" s="152">
        <f t="shared" ref="P88:Q88" si="228">P40/P7</f>
        <v>0.12547528517110265</v>
      </c>
      <c r="Q88" s="152">
        <f t="shared" si="228"/>
        <v>1.693404634581105E-3</v>
      </c>
      <c r="R88" s="118">
        <f t="shared" si="221"/>
        <v>4.8874934214721444E-2</v>
      </c>
      <c r="S88" s="20"/>
      <c r="T88" s="152">
        <f t="shared" ref="T88" si="229">T40/T7</f>
        <v>1.693404634581105E-3</v>
      </c>
      <c r="U88" s="152">
        <f t="shared" ref="U88:AC88" si="230">U40/U7</f>
        <v>1.693404634581105E-3</v>
      </c>
      <c r="V88" s="152">
        <f t="shared" si="230"/>
        <v>1.693404634581105E-3</v>
      </c>
      <c r="W88" s="152">
        <f t="shared" si="230"/>
        <v>1.6934046345811052E-3</v>
      </c>
      <c r="X88" s="152">
        <f t="shared" si="230"/>
        <v>1.6934046345811052E-3</v>
      </c>
      <c r="Y88" s="152">
        <f t="shared" si="230"/>
        <v>1.6934046345811052E-3</v>
      </c>
      <c r="Z88" s="152">
        <f t="shared" si="230"/>
        <v>1.693404634581105E-3</v>
      </c>
      <c r="AA88" s="152">
        <f t="shared" si="230"/>
        <v>1.6934046345811048E-3</v>
      </c>
      <c r="AB88" s="152">
        <f t="shared" si="230"/>
        <v>1.6934046345811048E-3</v>
      </c>
      <c r="AC88" s="152">
        <f t="shared" si="230"/>
        <v>1.6934046345811048E-3</v>
      </c>
      <c r="AD88" s="138">
        <f t="shared" si="223"/>
        <v>-0.17617342803433866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8.1666666666666665E-2</v>
      </c>
      <c r="H89" s="152">
        <f t="shared" ref="H89:O89" si="232">(H40)/(H7+H10)</f>
        <v>0.14714285714285716</v>
      </c>
      <c r="I89" s="152">
        <f t="shared" si="232"/>
        <v>0.45750000000000002</v>
      </c>
      <c r="J89" s="152">
        <f t="shared" si="232"/>
        <v>0.16</v>
      </c>
      <c r="K89" s="152">
        <f t="shared" si="232"/>
        <v>9.375E-2</v>
      </c>
      <c r="L89" s="152">
        <f t="shared" si="232"/>
        <v>8.7499999999999994E-2</v>
      </c>
      <c r="M89" s="152">
        <f t="shared" si="232"/>
        <v>3.7058823529411762E-2</v>
      </c>
      <c r="N89" s="152">
        <f t="shared" si="232"/>
        <v>-1.0249999999999999E-2</v>
      </c>
      <c r="O89" s="152">
        <f t="shared" si="232"/>
        <v>0.20192307692307693</v>
      </c>
      <c r="P89" s="152">
        <f t="shared" ref="P89:Q89" si="233">(P40)/(P7+P10)</f>
        <v>0.12087912087912088</v>
      </c>
      <c r="Q89" s="152">
        <f t="shared" si="233"/>
        <v>1.693404634581105E-3</v>
      </c>
      <c r="R89" s="118">
        <f t="shared" si="221"/>
        <v>4.4534864280809883E-2</v>
      </c>
      <c r="S89" s="20"/>
      <c r="T89" s="152">
        <f t="shared" ref="T89:AC89" si="234">(T40)/(T7+T10)</f>
        <v>1.693404634581105E-3</v>
      </c>
      <c r="U89" s="152">
        <f t="shared" si="234"/>
        <v>1.693404634581105E-3</v>
      </c>
      <c r="V89" s="152">
        <f t="shared" si="234"/>
        <v>1.693404634581105E-3</v>
      </c>
      <c r="W89" s="152">
        <f t="shared" si="234"/>
        <v>1.6934046345811052E-3</v>
      </c>
      <c r="X89" s="152">
        <f t="shared" si="234"/>
        <v>1.6934046345811052E-3</v>
      </c>
      <c r="Y89" s="152">
        <f t="shared" si="234"/>
        <v>1.6934046345811052E-3</v>
      </c>
      <c r="Z89" s="152">
        <f t="shared" si="234"/>
        <v>1.693404634581105E-3</v>
      </c>
      <c r="AA89" s="152">
        <f t="shared" si="234"/>
        <v>1.6934046345811048E-3</v>
      </c>
      <c r="AB89" s="152">
        <f t="shared" si="234"/>
        <v>1.6934046345811048E-3</v>
      </c>
      <c r="AC89" s="152">
        <f t="shared" si="234"/>
        <v>1.6934046345811048E-3</v>
      </c>
      <c r="AD89" s="138">
        <f t="shared" si="223"/>
        <v>-0.17617342803433866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35">H20/H25</f>
        <v>0</v>
      </c>
      <c r="I90" s="152">
        <f t="shared" si="235"/>
        <v>0</v>
      </c>
      <c r="J90" s="152">
        <f t="shared" si="235"/>
        <v>0</v>
      </c>
      <c r="K90" s="152">
        <f t="shared" si="235"/>
        <v>0</v>
      </c>
      <c r="L90" s="152">
        <f t="shared" si="235"/>
        <v>0</v>
      </c>
      <c r="M90" s="152">
        <f t="shared" si="235"/>
        <v>0</v>
      </c>
      <c r="N90" s="152">
        <f t="shared" si="235"/>
        <v>0</v>
      </c>
      <c r="O90" s="152">
        <f t="shared" si="235"/>
        <v>0</v>
      </c>
      <c r="P90" s="152">
        <f t="shared" si="235"/>
        <v>0</v>
      </c>
      <c r="Q90" s="152">
        <f t="shared" ref="Q90" si="236">Q20/Q25</f>
        <v>0</v>
      </c>
      <c r="R90" s="118" t="e">
        <f t="shared" si="221"/>
        <v>#DIV/0!</v>
      </c>
      <c r="S90" s="20"/>
      <c r="T90" s="152">
        <f t="shared" ref="T90:AC90" si="237">T20/T25</f>
        <v>0</v>
      </c>
      <c r="U90" s="152">
        <f t="shared" si="237"/>
        <v>0</v>
      </c>
      <c r="V90" s="152">
        <f t="shared" si="237"/>
        <v>0</v>
      </c>
      <c r="W90" s="152">
        <f t="shared" si="237"/>
        <v>0</v>
      </c>
      <c r="X90" s="152">
        <f t="shared" si="237"/>
        <v>0</v>
      </c>
      <c r="Y90" s="152">
        <f t="shared" si="237"/>
        <v>0</v>
      </c>
      <c r="Z90" s="152">
        <f t="shared" si="237"/>
        <v>0</v>
      </c>
      <c r="AA90" s="152">
        <f t="shared" si="237"/>
        <v>0</v>
      </c>
      <c r="AB90" s="152">
        <f t="shared" si="237"/>
        <v>0</v>
      </c>
      <c r="AC90" s="152">
        <f t="shared" si="237"/>
        <v>0</v>
      </c>
      <c r="AD90" s="138" t="e">
        <f t="shared" si="223"/>
        <v>#DIV/0!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0.22388059701492538</v>
      </c>
      <c r="H91" s="152">
        <f t="shared" ref="H91:P91" si="238">H52/H25</f>
        <v>9.4017094017093919E-2</v>
      </c>
      <c r="I91" s="152">
        <f t="shared" si="238"/>
        <v>1.9999999999999575E-3</v>
      </c>
      <c r="J91" s="152">
        <f t="shared" si="238"/>
        <v>8.5185185185185169E-2</v>
      </c>
      <c r="K91" s="152">
        <f t="shared" si="238"/>
        <v>9.9999999999999964E-2</v>
      </c>
      <c r="L91" s="152">
        <f t="shared" si="238"/>
        <v>5.8823529411764761E-2</v>
      </c>
      <c r="M91" s="152">
        <f t="shared" si="238"/>
        <v>-1.3698630136986314E-2</v>
      </c>
      <c r="N91" s="152">
        <f t="shared" si="238"/>
        <v>0.78947368421052588</v>
      </c>
      <c r="O91" s="152">
        <f t="shared" si="238"/>
        <v>0</v>
      </c>
      <c r="P91" s="152">
        <f t="shared" si="238"/>
        <v>0</v>
      </c>
      <c r="Q91" s="152">
        <f t="shared" ref="Q91" si="239">Q52/Q25</f>
        <v>-4.0540540540540533E-4</v>
      </c>
      <c r="R91" s="118">
        <f t="shared" si="221"/>
        <v>-1</v>
      </c>
      <c r="S91" s="20"/>
      <c r="T91" s="152">
        <f t="shared" ref="T91:AC91" si="240">T52/T25</f>
        <v>-4.0540540540540533E-4</v>
      </c>
      <c r="U91" s="152">
        <f t="shared" si="240"/>
        <v>-4.0540540540540517E-4</v>
      </c>
      <c r="V91" s="152">
        <f t="shared" si="240"/>
        <v>-4.0540540540540506E-4</v>
      </c>
      <c r="W91" s="152">
        <f t="shared" si="240"/>
        <v>-4.0540540540540511E-4</v>
      </c>
      <c r="X91" s="152">
        <f t="shared" si="240"/>
        <v>-4.0540540540540517E-4</v>
      </c>
      <c r="Y91" s="152">
        <f t="shared" si="240"/>
        <v>-4.0540540540540522E-4</v>
      </c>
      <c r="Z91" s="152">
        <f t="shared" si="240"/>
        <v>-4.0540540540540528E-4</v>
      </c>
      <c r="AA91" s="152">
        <f t="shared" si="240"/>
        <v>-4.0540540540540511E-4</v>
      </c>
      <c r="AB91" s="152">
        <f t="shared" si="240"/>
        <v>-4.0540540540540501E-4</v>
      </c>
      <c r="AC91" s="152">
        <f t="shared" si="240"/>
        <v>-4.0540540540540506E-4</v>
      </c>
      <c r="AD91" s="138" t="e">
        <f t="shared" si="223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</v>
      </c>
      <c r="H93" s="152">
        <f t="shared" ref="H93:P93" si="241">H29/H25</f>
        <v>0</v>
      </c>
      <c r="I93" s="152">
        <f t="shared" si="241"/>
        <v>0</v>
      </c>
      <c r="J93" s="152">
        <f t="shared" si="241"/>
        <v>0</v>
      </c>
      <c r="K93" s="152">
        <f t="shared" si="241"/>
        <v>0</v>
      </c>
      <c r="L93" s="152">
        <f t="shared" si="241"/>
        <v>0</v>
      </c>
      <c r="M93" s="152">
        <f t="shared" si="241"/>
        <v>0</v>
      </c>
      <c r="N93" s="152">
        <f t="shared" si="241"/>
        <v>0</v>
      </c>
      <c r="O93" s="152">
        <f t="shared" si="241"/>
        <v>1.2704174228675137E-4</v>
      </c>
      <c r="P93" s="152">
        <f t="shared" si="241"/>
        <v>8.5260115606936417E-4</v>
      </c>
      <c r="Q93" s="152">
        <f t="shared" ref="Q93" si="242">Q29/Q25</f>
        <v>6.2567567567567567E-3</v>
      </c>
      <c r="R93" s="118" t="e">
        <f t="shared" si="221"/>
        <v>#DIV/0!</v>
      </c>
      <c r="S93" s="20"/>
      <c r="T93" s="152">
        <f t="shared" ref="T93:AC93" si="243">T29/T25</f>
        <v>6.2567567567567558E-3</v>
      </c>
      <c r="U93" s="152">
        <f t="shared" si="243"/>
        <v>6.2567567567567558E-3</v>
      </c>
      <c r="V93" s="152">
        <f t="shared" si="243"/>
        <v>6.2567567567567558E-3</v>
      </c>
      <c r="W93" s="152">
        <f t="shared" si="243"/>
        <v>6.256756756756755E-3</v>
      </c>
      <c r="X93" s="152">
        <f t="shared" si="243"/>
        <v>6.2567567567567541E-3</v>
      </c>
      <c r="Y93" s="152">
        <f t="shared" si="243"/>
        <v>6.2567567567567541E-3</v>
      </c>
      <c r="Z93" s="152">
        <f t="shared" si="243"/>
        <v>6.256756756756755E-3</v>
      </c>
      <c r="AA93" s="152">
        <f t="shared" si="243"/>
        <v>6.2567567567567541E-3</v>
      </c>
      <c r="AB93" s="152">
        <f t="shared" si="243"/>
        <v>6.2567567567567541E-3</v>
      </c>
      <c r="AC93" s="152">
        <f t="shared" si="243"/>
        <v>6.2567567567567541E-3</v>
      </c>
      <c r="AD93" s="138" t="e">
        <f t="shared" si="223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</v>
      </c>
      <c r="H94" s="152">
        <f t="shared" ref="H94:P94" si="244">H29/H36</f>
        <v>0</v>
      </c>
      <c r="I94" s="152">
        <f t="shared" si="244"/>
        <v>0</v>
      </c>
      <c r="J94" s="152">
        <f t="shared" si="244"/>
        <v>0</v>
      </c>
      <c r="K94" s="152">
        <f t="shared" si="244"/>
        <v>0</v>
      </c>
      <c r="L94" s="152">
        <f t="shared" si="244"/>
        <v>0</v>
      </c>
      <c r="M94" s="152">
        <f t="shared" si="244"/>
        <v>0</v>
      </c>
      <c r="N94" s="152">
        <f t="shared" si="244"/>
        <v>0</v>
      </c>
      <c r="O94" s="152">
        <f t="shared" si="244"/>
        <v>1.1111111111111111E-3</v>
      </c>
      <c r="P94" s="152">
        <f t="shared" si="244"/>
        <v>1.0172413793103447E-2</v>
      </c>
      <c r="Q94" s="152">
        <f t="shared" ref="Q94" si="245">Q29/Q36</f>
        <v>-0.11156626506024096</v>
      </c>
      <c r="R94" s="118" t="e">
        <f t="shared" ref="R94" si="246">((P94/G94)^(1/($H$2-$H$1) ))-1</f>
        <v>#DIV/0!</v>
      </c>
      <c r="S94" s="20"/>
      <c r="T94" s="152">
        <f t="shared" ref="T94:AC94" si="247">T29/T36</f>
        <v>-0.11156626506024095</v>
      </c>
      <c r="U94" s="152">
        <f t="shared" si="247"/>
        <v>-0.11156626506024096</v>
      </c>
      <c r="V94" s="152">
        <f t="shared" si="247"/>
        <v>-0.11156626506024095</v>
      </c>
      <c r="W94" s="152">
        <f t="shared" si="247"/>
        <v>-0.11156626506024096</v>
      </c>
      <c r="X94" s="152">
        <f t="shared" si="247"/>
        <v>-0.11156626506024095</v>
      </c>
      <c r="Y94" s="152">
        <f t="shared" si="247"/>
        <v>-0.11156626506024095</v>
      </c>
      <c r="Z94" s="152">
        <f t="shared" si="247"/>
        <v>-0.11156626506024095</v>
      </c>
      <c r="AA94" s="152">
        <f t="shared" si="247"/>
        <v>-0.11156626506024094</v>
      </c>
      <c r="AB94" s="152">
        <f t="shared" si="247"/>
        <v>-0.11156626506024094</v>
      </c>
      <c r="AC94" s="152">
        <f t="shared" si="247"/>
        <v>-0.11156626506024095</v>
      </c>
      <c r="AD94" s="138" t="e">
        <f t="shared" ref="AD94" si="248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9">G29/G40</f>
        <v>0</v>
      </c>
      <c r="H95" s="171">
        <f t="shared" si="249"/>
        <v>0</v>
      </c>
      <c r="I95" s="171">
        <f t="shared" si="249"/>
        <v>0</v>
      </c>
      <c r="J95" s="171">
        <f t="shared" si="249"/>
        <v>0</v>
      </c>
      <c r="K95" s="171">
        <f t="shared" si="249"/>
        <v>0</v>
      </c>
      <c r="L95" s="171">
        <f t="shared" si="249"/>
        <v>0</v>
      </c>
      <c r="M95" s="171">
        <f t="shared" si="249"/>
        <v>0</v>
      </c>
      <c r="N95" s="171">
        <f t="shared" si="249"/>
        <v>0</v>
      </c>
      <c r="O95" s="171">
        <f t="shared" si="249"/>
        <v>1.6666666666666668E-3</v>
      </c>
      <c r="P95" s="171">
        <f t="shared" si="249"/>
        <v>1.7878787878787879E-2</v>
      </c>
      <c r="Q95" s="171">
        <f t="shared" ref="Q95" si="250">Q29/Q40</f>
        <v>4.8736842105263163</v>
      </c>
      <c r="R95" s="118" t="e">
        <f t="shared" ref="R95" si="251">((P95/G95)^(1/($H$2-$H$1) ))-1</f>
        <v>#DIV/0!</v>
      </c>
      <c r="S95" s="20"/>
      <c r="T95" s="171">
        <f t="shared" ref="T95:AC95" si="252">T29/T40</f>
        <v>4.8736842105263154</v>
      </c>
      <c r="U95" s="171">
        <f t="shared" si="252"/>
        <v>4.8736842105263163</v>
      </c>
      <c r="V95" s="171">
        <f t="shared" si="252"/>
        <v>4.8736842105263163</v>
      </c>
      <c r="W95" s="171">
        <f t="shared" si="252"/>
        <v>4.8736842105263163</v>
      </c>
      <c r="X95" s="171">
        <f t="shared" si="252"/>
        <v>4.8736842105263154</v>
      </c>
      <c r="Y95" s="171">
        <f t="shared" si="252"/>
        <v>4.8736842105263154</v>
      </c>
      <c r="Z95" s="171">
        <f t="shared" si="252"/>
        <v>4.8736842105263154</v>
      </c>
      <c r="AA95" s="171">
        <f t="shared" si="252"/>
        <v>4.8736842105263154</v>
      </c>
      <c r="AB95" s="171">
        <f t="shared" si="252"/>
        <v>4.8736842105263154</v>
      </c>
      <c r="AC95" s="171">
        <f t="shared" si="252"/>
        <v>4.8736842105263154</v>
      </c>
      <c r="AD95" s="138" t="e">
        <f t="shared" ref="AD95" si="253">((AC95/G95)^(1/($AC$3-$H$1) ))-1</f>
        <v>#DIV/0!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 t="e">
        <f t="shared" ref="G96:P96" si="254">G29/G12</f>
        <v>#DIV/0!</v>
      </c>
      <c r="H96" s="171">
        <f t="shared" si="254"/>
        <v>0</v>
      </c>
      <c r="I96" s="171">
        <f t="shared" si="254"/>
        <v>0</v>
      </c>
      <c r="J96" s="171">
        <f t="shared" si="254"/>
        <v>0</v>
      </c>
      <c r="K96" s="171">
        <f t="shared" si="254"/>
        <v>0</v>
      </c>
      <c r="L96" s="171">
        <f t="shared" si="254"/>
        <v>0</v>
      </c>
      <c r="M96" s="171">
        <f t="shared" si="254"/>
        <v>0</v>
      </c>
      <c r="N96" s="171">
        <f t="shared" si="254"/>
        <v>0</v>
      </c>
      <c r="O96" s="171">
        <f t="shared" si="254"/>
        <v>2.1212121212121214E-3</v>
      </c>
      <c r="P96" s="171">
        <f t="shared" si="254"/>
        <v>2.3599999999999999E-2</v>
      </c>
      <c r="Q96" s="171" t="e">
        <f t="shared" ref="Q96" si="255">Q29/Q12</f>
        <v>#DIV/0!</v>
      </c>
      <c r="R96" s="118" t="e">
        <f t="shared" si="221"/>
        <v>#DIV/0!</v>
      </c>
      <c r="S96" s="20"/>
      <c r="T96" s="152" t="e">
        <f t="shared" ref="T96:AC96" si="256">T29/T12</f>
        <v>#DIV/0!</v>
      </c>
      <c r="U96" s="152" t="e">
        <f t="shared" si="256"/>
        <v>#DIV/0!</v>
      </c>
      <c r="V96" s="152" t="e">
        <f t="shared" si="256"/>
        <v>#DIV/0!</v>
      </c>
      <c r="W96" s="152" t="e">
        <f t="shared" si="256"/>
        <v>#DIV/0!</v>
      </c>
      <c r="X96" s="152" t="e">
        <f t="shared" si="256"/>
        <v>#DIV/0!</v>
      </c>
      <c r="Y96" s="152" t="e">
        <f t="shared" si="256"/>
        <v>#DIV/0!</v>
      </c>
      <c r="Z96" s="152" t="e">
        <f t="shared" si="256"/>
        <v>#DIV/0!</v>
      </c>
      <c r="AA96" s="152" t="e">
        <f t="shared" si="256"/>
        <v>#DIV/0!</v>
      </c>
      <c r="AB96" s="152" t="e">
        <f t="shared" si="256"/>
        <v>#DIV/0!</v>
      </c>
      <c r="AC96" s="152" t="e">
        <f t="shared" si="256"/>
        <v>#DIV/0!</v>
      </c>
      <c r="AD96" s="138" t="e">
        <f t="shared" si="223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57">H29/H23</f>
        <v>#DIV/0!</v>
      </c>
      <c r="I97" s="171" t="e">
        <f t="shared" si="257"/>
        <v>#DIV/0!</v>
      </c>
      <c r="J97" s="171" t="e">
        <f t="shared" si="257"/>
        <v>#DIV/0!</v>
      </c>
      <c r="K97" s="171" t="e">
        <f t="shared" si="257"/>
        <v>#DIV/0!</v>
      </c>
      <c r="L97" s="171" t="e">
        <f t="shared" si="257"/>
        <v>#DIV/0!</v>
      </c>
      <c r="M97" s="171" t="e">
        <f t="shared" si="257"/>
        <v>#DIV/0!</v>
      </c>
      <c r="N97" s="171" t="e">
        <f t="shared" si="257"/>
        <v>#DIV/0!</v>
      </c>
      <c r="O97" s="171" t="e">
        <f t="shared" si="257"/>
        <v>#DIV/0!</v>
      </c>
      <c r="P97" s="171" t="e">
        <f t="shared" si="257"/>
        <v>#DIV/0!</v>
      </c>
      <c r="Q97" s="171" t="e">
        <f t="shared" ref="Q97" si="258">Q29/Q23</f>
        <v>#DIV/0!</v>
      </c>
      <c r="R97" s="118" t="e">
        <f t="shared" ref="R97" si="259">((P97/G97)^(1/($H$2-$H$1) ))-1</f>
        <v>#DIV/0!</v>
      </c>
      <c r="S97" s="20"/>
      <c r="T97" s="171" t="e">
        <f t="shared" ref="T97:AC97" si="260">T29/T23</f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71" t="e">
        <f t="shared" si="260"/>
        <v>#DIV/0!</v>
      </c>
      <c r="AD97" s="138" t="e">
        <f t="shared" ref="AD97" si="261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62">1/H93</f>
        <v>#DIV/0!</v>
      </c>
      <c r="I99" s="127" t="e">
        <f t="shared" si="262"/>
        <v>#DIV/0!</v>
      </c>
      <c r="J99" s="127" t="e">
        <f t="shared" si="262"/>
        <v>#DIV/0!</v>
      </c>
      <c r="K99" s="127" t="e">
        <f t="shared" si="262"/>
        <v>#DIV/0!</v>
      </c>
      <c r="L99" s="127" t="e">
        <f t="shared" si="262"/>
        <v>#DIV/0!</v>
      </c>
      <c r="M99" s="127" t="e">
        <f t="shared" si="262"/>
        <v>#DIV/0!</v>
      </c>
      <c r="N99" s="127" t="e">
        <f t="shared" si="262"/>
        <v>#DIV/0!</v>
      </c>
      <c r="O99" s="127">
        <f t="shared" si="262"/>
        <v>7871.4285714285706</v>
      </c>
      <c r="P99" s="127">
        <f t="shared" si="262"/>
        <v>1172.8813559322034</v>
      </c>
      <c r="Q99" s="127">
        <f t="shared" ref="Q99" si="263">1/Q93</f>
        <v>159.82721382289418</v>
      </c>
      <c r="R99" s="118" t="e">
        <f t="shared" si="221"/>
        <v>#DIV/0!</v>
      </c>
      <c r="S99" s="20"/>
      <c r="T99" s="127">
        <f t="shared" ref="T99:AC99" si="264">1/T93</f>
        <v>159.82721382289418</v>
      </c>
      <c r="U99" s="127">
        <f t="shared" si="264"/>
        <v>159.82721382289418</v>
      </c>
      <c r="V99" s="127">
        <f t="shared" si="264"/>
        <v>159.82721382289418</v>
      </c>
      <c r="W99" s="127">
        <f t="shared" si="264"/>
        <v>159.82721382289421</v>
      </c>
      <c r="X99" s="127">
        <f t="shared" si="264"/>
        <v>159.82721382289424</v>
      </c>
      <c r="Y99" s="127">
        <f t="shared" si="264"/>
        <v>159.82721382289424</v>
      </c>
      <c r="Z99" s="127">
        <f t="shared" si="264"/>
        <v>159.82721382289421</v>
      </c>
      <c r="AA99" s="127">
        <f t="shared" si="264"/>
        <v>159.82721382289424</v>
      </c>
      <c r="AB99" s="127">
        <f t="shared" si="264"/>
        <v>159.82721382289424</v>
      </c>
      <c r="AC99" s="127">
        <f t="shared" si="264"/>
        <v>159.82721382289424</v>
      </c>
      <c r="AD99" s="138" t="e">
        <f t="shared" si="223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 t="e">
        <f t="shared" ref="G100:P103" si="265">1/G94</f>
        <v>#DIV/0!</v>
      </c>
      <c r="H100" s="127" t="e">
        <f t="shared" si="265"/>
        <v>#DIV/0!</v>
      </c>
      <c r="I100" s="127" t="e">
        <f t="shared" si="265"/>
        <v>#DIV/0!</v>
      </c>
      <c r="J100" s="127" t="e">
        <f t="shared" si="265"/>
        <v>#DIV/0!</v>
      </c>
      <c r="K100" s="127" t="e">
        <f t="shared" si="265"/>
        <v>#DIV/0!</v>
      </c>
      <c r="L100" s="127" t="e">
        <f t="shared" si="265"/>
        <v>#DIV/0!</v>
      </c>
      <c r="M100" s="127" t="e">
        <f t="shared" si="265"/>
        <v>#DIV/0!</v>
      </c>
      <c r="N100" s="127" t="e">
        <f t="shared" si="265"/>
        <v>#DIV/0!</v>
      </c>
      <c r="O100" s="127">
        <f t="shared" si="265"/>
        <v>900</v>
      </c>
      <c r="P100" s="127">
        <f t="shared" si="265"/>
        <v>98.305084745762713</v>
      </c>
      <c r="Q100" s="127">
        <f t="shared" ref="Q100" si="266">1/Q94</f>
        <v>-8.96328293736501</v>
      </c>
      <c r="R100" s="118" t="e">
        <f t="shared" si="221"/>
        <v>#DIV/0!</v>
      </c>
      <c r="S100" s="20"/>
      <c r="T100" s="127">
        <f t="shared" ref="T100:AC100" si="267">1/T94</f>
        <v>-8.9632829373650118</v>
      </c>
      <c r="U100" s="127">
        <f t="shared" si="267"/>
        <v>-8.96328293736501</v>
      </c>
      <c r="V100" s="127">
        <f t="shared" si="267"/>
        <v>-8.9632829373650118</v>
      </c>
      <c r="W100" s="127">
        <f t="shared" si="267"/>
        <v>-8.96328293736501</v>
      </c>
      <c r="X100" s="127">
        <f t="shared" si="267"/>
        <v>-8.9632829373650118</v>
      </c>
      <c r="Y100" s="127">
        <f t="shared" si="267"/>
        <v>-8.9632829373650118</v>
      </c>
      <c r="Z100" s="127">
        <f t="shared" si="267"/>
        <v>-8.9632829373650118</v>
      </c>
      <c r="AA100" s="127">
        <f t="shared" si="267"/>
        <v>-8.9632829373650136</v>
      </c>
      <c r="AB100" s="127">
        <f t="shared" si="267"/>
        <v>-8.9632829373650136</v>
      </c>
      <c r="AC100" s="127">
        <f t="shared" si="267"/>
        <v>-8.9632829373650118</v>
      </c>
      <c r="AD100" s="138" t="e">
        <f t="shared" si="223"/>
        <v>#DIV/0!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 t="e">
        <f t="shared" si="265"/>
        <v>#DIV/0!</v>
      </c>
      <c r="H101" s="127" t="e">
        <f t="shared" si="265"/>
        <v>#DIV/0!</v>
      </c>
      <c r="I101" s="127" t="e">
        <f t="shared" si="265"/>
        <v>#DIV/0!</v>
      </c>
      <c r="J101" s="127" t="e">
        <f t="shared" si="265"/>
        <v>#DIV/0!</v>
      </c>
      <c r="K101" s="127" t="e">
        <f t="shared" si="265"/>
        <v>#DIV/0!</v>
      </c>
      <c r="L101" s="127" t="e">
        <f t="shared" si="265"/>
        <v>#DIV/0!</v>
      </c>
      <c r="M101" s="127" t="e">
        <f t="shared" si="265"/>
        <v>#DIV/0!</v>
      </c>
      <c r="N101" s="127" t="e">
        <f t="shared" si="265"/>
        <v>#DIV/0!</v>
      </c>
      <c r="O101" s="127">
        <f t="shared" si="265"/>
        <v>600</v>
      </c>
      <c r="P101" s="127">
        <f t="shared" si="265"/>
        <v>55.932203389830505</v>
      </c>
      <c r="Q101" s="127">
        <f t="shared" ref="Q101" si="268">1/Q95</f>
        <v>0.20518358531317493</v>
      </c>
      <c r="R101" s="118" t="e">
        <f t="shared" si="221"/>
        <v>#DIV/0!</v>
      </c>
      <c r="S101" s="20"/>
      <c r="T101" s="127">
        <f t="shared" ref="T101:AC101" si="269">1/T95</f>
        <v>0.20518358531317496</v>
      </c>
      <c r="U101" s="127">
        <f t="shared" si="269"/>
        <v>0.20518358531317493</v>
      </c>
      <c r="V101" s="127">
        <f t="shared" si="269"/>
        <v>0.20518358531317493</v>
      </c>
      <c r="W101" s="127">
        <f t="shared" si="269"/>
        <v>0.20518358531317493</v>
      </c>
      <c r="X101" s="127">
        <f t="shared" si="269"/>
        <v>0.20518358531317496</v>
      </c>
      <c r="Y101" s="127">
        <f t="shared" si="269"/>
        <v>0.20518358531317496</v>
      </c>
      <c r="Z101" s="127">
        <f t="shared" si="269"/>
        <v>0.20518358531317496</v>
      </c>
      <c r="AA101" s="127">
        <f t="shared" si="269"/>
        <v>0.20518358531317496</v>
      </c>
      <c r="AB101" s="127">
        <f t="shared" si="269"/>
        <v>0.20518358531317496</v>
      </c>
      <c r="AC101" s="127">
        <f t="shared" si="269"/>
        <v>0.20518358531317496</v>
      </c>
      <c r="AD101" s="138" t="e">
        <f t="shared" si="223"/>
        <v>#DIV/0!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 t="e">
        <f t="shared" si="265"/>
        <v>#DIV/0!</v>
      </c>
      <c r="H102" s="127" t="e">
        <f t="shared" si="265"/>
        <v>#DIV/0!</v>
      </c>
      <c r="I102" s="127" t="e">
        <f t="shared" si="265"/>
        <v>#DIV/0!</v>
      </c>
      <c r="J102" s="127" t="e">
        <f t="shared" si="265"/>
        <v>#DIV/0!</v>
      </c>
      <c r="K102" s="127" t="e">
        <f t="shared" si="265"/>
        <v>#DIV/0!</v>
      </c>
      <c r="L102" s="127" t="e">
        <f t="shared" si="265"/>
        <v>#DIV/0!</v>
      </c>
      <c r="M102" s="127" t="e">
        <f t="shared" si="265"/>
        <v>#DIV/0!</v>
      </c>
      <c r="N102" s="127" t="e">
        <f t="shared" si="265"/>
        <v>#DIV/0!</v>
      </c>
      <c r="O102" s="127">
        <f t="shared" si="265"/>
        <v>471.42857142857139</v>
      </c>
      <c r="P102" s="127">
        <f t="shared" si="265"/>
        <v>42.372881355932208</v>
      </c>
      <c r="Q102" s="127" t="e">
        <f t="shared" ref="Q102" si="270">1/Q96</f>
        <v>#DIV/0!</v>
      </c>
      <c r="R102" s="118" t="e">
        <f t="shared" si="221"/>
        <v>#DIV/0!</v>
      </c>
      <c r="S102" s="20"/>
      <c r="T102" s="127" t="e">
        <f t="shared" ref="T102:AC102" si="271">1/T96</f>
        <v>#DIV/0!</v>
      </c>
      <c r="U102" s="127" t="e">
        <f t="shared" si="271"/>
        <v>#DIV/0!</v>
      </c>
      <c r="V102" s="127" t="e">
        <f t="shared" si="271"/>
        <v>#DIV/0!</v>
      </c>
      <c r="W102" s="127" t="e">
        <f t="shared" si="271"/>
        <v>#DIV/0!</v>
      </c>
      <c r="X102" s="127" t="e">
        <f t="shared" si="271"/>
        <v>#DIV/0!</v>
      </c>
      <c r="Y102" s="127" t="e">
        <f t="shared" si="271"/>
        <v>#DIV/0!</v>
      </c>
      <c r="Z102" s="127" t="e">
        <f t="shared" si="271"/>
        <v>#DIV/0!</v>
      </c>
      <c r="AA102" s="127" t="e">
        <f t="shared" si="271"/>
        <v>#DIV/0!</v>
      </c>
      <c r="AB102" s="127" t="e">
        <f t="shared" si="271"/>
        <v>#DIV/0!</v>
      </c>
      <c r="AC102" s="127" t="e">
        <f t="shared" si="271"/>
        <v>#DIV/0!</v>
      </c>
      <c r="AD102" s="138" t="e">
        <f t="shared" si="223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65"/>
        <v>#DIV/0!</v>
      </c>
      <c r="H103" s="127" t="e">
        <f t="shared" si="265"/>
        <v>#DIV/0!</v>
      </c>
      <c r="I103" s="127" t="e">
        <f t="shared" si="265"/>
        <v>#DIV/0!</v>
      </c>
      <c r="J103" s="127" t="e">
        <f t="shared" si="265"/>
        <v>#DIV/0!</v>
      </c>
      <c r="K103" s="127" t="e">
        <f t="shared" si="265"/>
        <v>#DIV/0!</v>
      </c>
      <c r="L103" s="127" t="e">
        <f t="shared" si="265"/>
        <v>#DIV/0!</v>
      </c>
      <c r="M103" s="127" t="e">
        <f t="shared" si="265"/>
        <v>#DIV/0!</v>
      </c>
      <c r="N103" s="127" t="e">
        <f t="shared" si="265"/>
        <v>#DIV/0!</v>
      </c>
      <c r="O103" s="127" t="e">
        <f t="shared" si="265"/>
        <v>#DIV/0!</v>
      </c>
      <c r="P103" s="127" t="e">
        <f t="shared" si="265"/>
        <v>#DIV/0!</v>
      </c>
      <c r="Q103" s="127" t="e">
        <f t="shared" ref="Q103" si="272">1/Q97</f>
        <v>#DIV/0!</v>
      </c>
      <c r="R103" s="118" t="e">
        <f t="shared" si="221"/>
        <v>#DIV/0!</v>
      </c>
      <c r="S103" s="20"/>
      <c r="T103" s="127" t="e">
        <f t="shared" ref="T103:AC103" si="273">1/T97</f>
        <v>#DIV/0!</v>
      </c>
      <c r="U103" s="127" t="e">
        <f t="shared" si="273"/>
        <v>#DIV/0!</v>
      </c>
      <c r="V103" s="127" t="e">
        <f t="shared" si="273"/>
        <v>#DIV/0!</v>
      </c>
      <c r="W103" s="127" t="e">
        <f t="shared" si="273"/>
        <v>#DIV/0!</v>
      </c>
      <c r="X103" s="127" t="e">
        <f t="shared" si="273"/>
        <v>#DIV/0!</v>
      </c>
      <c r="Y103" s="127" t="e">
        <f t="shared" si="273"/>
        <v>#DIV/0!</v>
      </c>
      <c r="Z103" s="127" t="e">
        <f t="shared" si="273"/>
        <v>#DIV/0!</v>
      </c>
      <c r="AA103" s="127" t="e">
        <f t="shared" si="273"/>
        <v>#DIV/0!</v>
      </c>
      <c r="AB103" s="127" t="e">
        <f t="shared" si="273"/>
        <v>#DIV/0!</v>
      </c>
      <c r="AC103" s="127" t="e">
        <f t="shared" si="273"/>
        <v>#DIV/0!</v>
      </c>
      <c r="AD103" s="138" t="e">
        <f t="shared" si="223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-3.5</v>
      </c>
      <c r="H106" s="163">
        <f t="shared" si="274"/>
        <v>-6.06</v>
      </c>
      <c r="I106" s="163">
        <f t="shared" si="274"/>
        <v>-12.01</v>
      </c>
      <c r="J106" s="163">
        <f t="shared" si="274"/>
        <v>-12.01</v>
      </c>
      <c r="K106" s="163">
        <f t="shared" si="274"/>
        <v>-9.51</v>
      </c>
      <c r="L106" s="163">
        <f t="shared" si="274"/>
        <v>-15</v>
      </c>
      <c r="M106" s="163">
        <f t="shared" si="274"/>
        <v>-15</v>
      </c>
      <c r="N106" s="163">
        <f t="shared" si="274"/>
        <v>-243</v>
      </c>
      <c r="O106" s="163">
        <f t="shared" si="274"/>
        <v>-40.5</v>
      </c>
      <c r="P106" s="163">
        <f>P10-(P12+P13)</f>
        <v>-16</v>
      </c>
      <c r="Q106" s="163">
        <f>Q10-(Q12+Q13)</f>
        <v>0</v>
      </c>
      <c r="R106" s="118">
        <f t="shared" si="221"/>
        <v>0.18396565470885062</v>
      </c>
      <c r="S106" s="20"/>
      <c r="T106" s="163">
        <f>T10-(T12+T13)</f>
        <v>0</v>
      </c>
      <c r="U106" s="163">
        <f t="shared" ref="U106:AC106" si="275">U10-(U12+U13)</f>
        <v>0</v>
      </c>
      <c r="V106" s="163">
        <f t="shared" si="275"/>
        <v>0</v>
      </c>
      <c r="W106" s="163">
        <f t="shared" si="275"/>
        <v>0</v>
      </c>
      <c r="X106" s="163">
        <f t="shared" si="275"/>
        <v>0</v>
      </c>
      <c r="Y106" s="163">
        <f t="shared" si="275"/>
        <v>0</v>
      </c>
      <c r="Z106" s="163">
        <f t="shared" si="275"/>
        <v>0</v>
      </c>
      <c r="AA106" s="163">
        <f t="shared" si="275"/>
        <v>0</v>
      </c>
      <c r="AB106" s="163">
        <f t="shared" si="275"/>
        <v>0</v>
      </c>
      <c r="AC106" s="163">
        <f t="shared" si="275"/>
        <v>0</v>
      </c>
      <c r="AD106" s="138">
        <f t="shared" si="223"/>
        <v>-1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6">G40/G18</f>
        <v>9.7999999999999989</v>
      </c>
      <c r="H107" s="152">
        <f t="shared" si="276"/>
        <v>25.75</v>
      </c>
      <c r="I107" s="152">
        <f t="shared" si="276"/>
        <v>137.25</v>
      </c>
      <c r="J107" s="152" t="e">
        <f t="shared" si="276"/>
        <v>#DIV/0!</v>
      </c>
      <c r="K107" s="152" t="e">
        <f t="shared" si="276"/>
        <v>#DIV/0!</v>
      </c>
      <c r="L107" s="152">
        <f t="shared" si="276"/>
        <v>140</v>
      </c>
      <c r="M107" s="152">
        <f t="shared" si="276"/>
        <v>63</v>
      </c>
      <c r="N107" s="152" t="e">
        <f t="shared" si="276"/>
        <v>#DIV/0!</v>
      </c>
      <c r="O107" s="152">
        <f t="shared" si="276"/>
        <v>0.20095693779904306</v>
      </c>
      <c r="P107" s="152">
        <f t="shared" si="276"/>
        <v>9.4555873925501438E-2</v>
      </c>
      <c r="Q107" s="152" t="e">
        <f t="shared" ref="Q107" si="277">Q40/Q18</f>
        <v>#DIV/0!</v>
      </c>
      <c r="R107" s="118">
        <f t="shared" si="221"/>
        <v>-0.40289407325880411</v>
      </c>
      <c r="S107" s="20"/>
      <c r="T107" s="152" t="e">
        <f t="shared" ref="T107:AC107" si="278">T40/T18</f>
        <v>#DIV/0!</v>
      </c>
      <c r="U107" s="152" t="e">
        <f t="shared" si="278"/>
        <v>#DIV/0!</v>
      </c>
      <c r="V107" s="152" t="e">
        <f t="shared" si="278"/>
        <v>#DIV/0!</v>
      </c>
      <c r="W107" s="152" t="e">
        <f t="shared" si="278"/>
        <v>#DIV/0!</v>
      </c>
      <c r="X107" s="152" t="e">
        <f t="shared" si="278"/>
        <v>#DIV/0!</v>
      </c>
      <c r="Y107" s="152" t="e">
        <f t="shared" si="278"/>
        <v>#DIV/0!</v>
      </c>
      <c r="Z107" s="152" t="e">
        <f t="shared" si="278"/>
        <v>#DIV/0!</v>
      </c>
      <c r="AA107" s="152" t="e">
        <f t="shared" si="278"/>
        <v>#DIV/0!</v>
      </c>
      <c r="AB107" s="152" t="e">
        <f t="shared" si="278"/>
        <v>#DIV/0!</v>
      </c>
      <c r="AC107" s="152" t="e">
        <f t="shared" si="278"/>
        <v>#DIV/0!</v>
      </c>
      <c r="AD107" s="138" t="e">
        <f t="shared" si="223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9">G40/G25</f>
        <v>0.73134328358208944</v>
      </c>
      <c r="H108" s="152">
        <f t="shared" si="279"/>
        <v>0.88034188034188043</v>
      </c>
      <c r="I108" s="152">
        <f t="shared" si="279"/>
        <v>1.0980000000000001</v>
      </c>
      <c r="J108" s="152">
        <f t="shared" si="279"/>
        <v>0.88888888888888884</v>
      </c>
      <c r="K108" s="152">
        <f t="shared" si="279"/>
        <v>0.88235294117647056</v>
      </c>
      <c r="L108" s="152">
        <f t="shared" si="279"/>
        <v>0.82352941176470584</v>
      </c>
      <c r="M108" s="152">
        <f t="shared" si="279"/>
        <v>0.86301369863013699</v>
      </c>
      <c r="N108" s="152">
        <f t="shared" si="279"/>
        <v>-10.789473684210526</v>
      </c>
      <c r="O108" s="152">
        <f t="shared" si="279"/>
        <v>7.6225045372050812E-2</v>
      </c>
      <c r="P108" s="152">
        <f t="shared" si="279"/>
        <v>4.7687861271676298E-2</v>
      </c>
      <c r="Q108" s="152">
        <f t="shared" ref="Q108" si="280">Q40/Q25</f>
        <v>1.2837837837837837E-3</v>
      </c>
      <c r="R108" s="118">
        <f t="shared" si="221"/>
        <v>-0.26166396816265514</v>
      </c>
      <c r="S108" s="20"/>
      <c r="T108" s="152">
        <f t="shared" ref="T108:AC108" si="281">T40/T25</f>
        <v>1.2837837837837837E-3</v>
      </c>
      <c r="U108" s="152">
        <f t="shared" si="281"/>
        <v>1.2837837837837837E-3</v>
      </c>
      <c r="V108" s="152">
        <f t="shared" si="281"/>
        <v>1.2837837837837835E-3</v>
      </c>
      <c r="W108" s="152">
        <f t="shared" si="281"/>
        <v>1.2837837837837835E-3</v>
      </c>
      <c r="X108" s="152">
        <f t="shared" si="281"/>
        <v>1.2837837837837835E-3</v>
      </c>
      <c r="Y108" s="152">
        <f t="shared" si="281"/>
        <v>1.2837837837837835E-3</v>
      </c>
      <c r="Z108" s="152">
        <f t="shared" si="281"/>
        <v>1.2837837837837835E-3</v>
      </c>
      <c r="AA108" s="152">
        <f t="shared" si="281"/>
        <v>1.2837837837837835E-3</v>
      </c>
      <c r="AB108" s="152">
        <f t="shared" si="281"/>
        <v>1.2837837837837832E-3</v>
      </c>
      <c r="AC108" s="152">
        <f t="shared" si="281"/>
        <v>1.2837837837837835E-3</v>
      </c>
      <c r="AD108" s="138">
        <f t="shared" si="223"/>
        <v>-0.27185389552780115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2">G25/G18</f>
        <v>13.4</v>
      </c>
      <c r="H109" s="152">
        <f t="shared" si="282"/>
        <v>29.249999999999996</v>
      </c>
      <c r="I109" s="152">
        <f t="shared" si="282"/>
        <v>125</v>
      </c>
      <c r="J109" s="152" t="e">
        <f t="shared" si="282"/>
        <v>#DIV/0!</v>
      </c>
      <c r="K109" s="152" t="e">
        <f t="shared" si="282"/>
        <v>#DIV/0!</v>
      </c>
      <c r="L109" s="152">
        <f t="shared" si="282"/>
        <v>170</v>
      </c>
      <c r="M109" s="152">
        <f t="shared" si="282"/>
        <v>73</v>
      </c>
      <c r="N109" s="152" t="e">
        <f t="shared" si="282"/>
        <v>#DIV/0!</v>
      </c>
      <c r="O109" s="152">
        <f t="shared" si="282"/>
        <v>2.6363636363636362</v>
      </c>
      <c r="P109" s="152">
        <f>P25/P18</f>
        <v>1.9828080229226361</v>
      </c>
      <c r="Q109" s="152" t="e">
        <f>Q25/Q18</f>
        <v>#DIV/0!</v>
      </c>
      <c r="R109" s="118">
        <f t="shared" si="221"/>
        <v>-0.19128161027804469</v>
      </c>
      <c r="S109" s="20"/>
      <c r="T109" s="152" t="e">
        <f>T25/T18</f>
        <v>#DIV/0!</v>
      </c>
      <c r="U109" s="152" t="e">
        <f t="shared" ref="U109:AC109" si="283">U25/U18</f>
        <v>#DIV/0!</v>
      </c>
      <c r="V109" s="152" t="e">
        <f t="shared" si="283"/>
        <v>#DIV/0!</v>
      </c>
      <c r="W109" s="152" t="e">
        <f t="shared" si="283"/>
        <v>#DIV/0!</v>
      </c>
      <c r="X109" s="152" t="e">
        <f t="shared" si="283"/>
        <v>#DIV/0!</v>
      </c>
      <c r="Y109" s="152" t="e">
        <f t="shared" si="283"/>
        <v>#DIV/0!</v>
      </c>
      <c r="Z109" s="152" t="e">
        <f t="shared" si="283"/>
        <v>#DIV/0!</v>
      </c>
      <c r="AA109" s="152" t="e">
        <f t="shared" si="283"/>
        <v>#DIV/0!</v>
      </c>
      <c r="AB109" s="152" t="e">
        <f t="shared" si="283"/>
        <v>#DIV/0!</v>
      </c>
      <c r="AC109" s="152" t="e">
        <f t="shared" si="283"/>
        <v>#DIV/0!</v>
      </c>
      <c r="AD109" s="138" t="e">
        <f t="shared" si="223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0</v>
      </c>
      <c r="H111" s="165">
        <f t="shared" ref="H111:P111" si="285">H70*H42</f>
        <v>0</v>
      </c>
      <c r="I111" s="165">
        <f t="shared" si="285"/>
        <v>0</v>
      </c>
      <c r="J111" s="165">
        <f t="shared" si="285"/>
        <v>0</v>
      </c>
      <c r="K111" s="165">
        <f t="shared" si="285"/>
        <v>0</v>
      </c>
      <c r="L111" s="165">
        <f t="shared" si="285"/>
        <v>2.4000000000000004</v>
      </c>
      <c r="M111" s="165">
        <f t="shared" si="285"/>
        <v>0</v>
      </c>
      <c r="N111" s="165">
        <f t="shared" si="285"/>
        <v>0</v>
      </c>
      <c r="O111" s="165">
        <f t="shared" si="285"/>
        <v>0</v>
      </c>
      <c r="P111" s="165">
        <f t="shared" si="285"/>
        <v>0</v>
      </c>
      <c r="Q111" s="165">
        <f t="shared" ref="Q111" si="286">Q70*Q42</f>
        <v>0</v>
      </c>
      <c r="R111" s="118" t="e">
        <f t="shared" si="221"/>
        <v>#DIV/0!</v>
      </c>
      <c r="S111" s="20"/>
      <c r="T111" s="165">
        <f t="shared" ref="T111:AC111" si="287">T70*T42</f>
        <v>0</v>
      </c>
      <c r="U111" s="165">
        <f t="shared" si="287"/>
        <v>0</v>
      </c>
      <c r="V111" s="165">
        <f t="shared" si="287"/>
        <v>0</v>
      </c>
      <c r="W111" s="165">
        <f t="shared" si="287"/>
        <v>0</v>
      </c>
      <c r="X111" s="165">
        <f t="shared" si="287"/>
        <v>0</v>
      </c>
      <c r="Y111" s="165">
        <f t="shared" si="287"/>
        <v>0</v>
      </c>
      <c r="Z111" s="165">
        <f t="shared" si="287"/>
        <v>0</v>
      </c>
      <c r="AA111" s="165">
        <f t="shared" si="287"/>
        <v>0</v>
      </c>
      <c r="AB111" s="165">
        <f t="shared" si="287"/>
        <v>0</v>
      </c>
      <c r="AC111" s="165">
        <f t="shared" si="287"/>
        <v>0</v>
      </c>
      <c r="AD111" s="138" t="e">
        <f t="shared" si="223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0</v>
      </c>
      <c r="H112" s="165">
        <f t="shared" si="288"/>
        <v>0</v>
      </c>
      <c r="I112" s="165">
        <f t="shared" si="288"/>
        <v>0</v>
      </c>
      <c r="J112" s="165">
        <f t="shared" si="288"/>
        <v>0</v>
      </c>
      <c r="K112" s="165">
        <f t="shared" si="288"/>
        <v>0</v>
      </c>
      <c r="L112" s="165">
        <f t="shared" si="288"/>
        <v>2.8080000000000003</v>
      </c>
      <c r="M112" s="165">
        <f t="shared" si="288"/>
        <v>0</v>
      </c>
      <c r="N112" s="165">
        <f t="shared" si="288"/>
        <v>0</v>
      </c>
      <c r="O112" s="165">
        <f t="shared" si="288"/>
        <v>0</v>
      </c>
      <c r="P112" s="165">
        <f t="shared" si="288"/>
        <v>0</v>
      </c>
      <c r="Q112" s="165">
        <f t="shared" ref="Q112" si="289">(Q111*0.17)+Q111</f>
        <v>0</v>
      </c>
      <c r="R112" s="118" t="e">
        <f t="shared" si="221"/>
        <v>#DIV/0!</v>
      </c>
      <c r="S112" s="20"/>
      <c r="T112" s="165">
        <f t="shared" ref="T112:AC112" si="290">(T111*0.17)+T111</f>
        <v>0</v>
      </c>
      <c r="U112" s="165">
        <f t="shared" si="290"/>
        <v>0</v>
      </c>
      <c r="V112" s="165">
        <f t="shared" si="290"/>
        <v>0</v>
      </c>
      <c r="W112" s="165">
        <f t="shared" si="290"/>
        <v>0</v>
      </c>
      <c r="X112" s="165">
        <f t="shared" si="290"/>
        <v>0</v>
      </c>
      <c r="Y112" s="165">
        <f t="shared" si="290"/>
        <v>0</v>
      </c>
      <c r="Z112" s="165">
        <f t="shared" si="290"/>
        <v>0</v>
      </c>
      <c r="AA112" s="165">
        <f t="shared" si="290"/>
        <v>0</v>
      </c>
      <c r="AB112" s="165">
        <f t="shared" si="290"/>
        <v>0</v>
      </c>
      <c r="AC112" s="165">
        <f t="shared" si="290"/>
        <v>0</v>
      </c>
      <c r="AD112" s="138" t="e">
        <f t="shared" si="223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0</v>
      </c>
      <c r="H113" s="152">
        <f t="shared" si="291"/>
        <v>0</v>
      </c>
      <c r="I113" s="152">
        <f t="shared" si="291"/>
        <v>0</v>
      </c>
      <c r="J113" s="152">
        <f t="shared" si="291"/>
        <v>0</v>
      </c>
      <c r="K113" s="152">
        <f t="shared" si="291"/>
        <v>0</v>
      </c>
      <c r="L113" s="152">
        <f t="shared" si="291"/>
        <v>2.0057142857142862</v>
      </c>
      <c r="M113" s="152">
        <f t="shared" si="291"/>
        <v>0</v>
      </c>
      <c r="N113" s="152">
        <f t="shared" si="291"/>
        <v>0</v>
      </c>
      <c r="O113" s="152">
        <f t="shared" si="291"/>
        <v>0</v>
      </c>
      <c r="P113" s="152">
        <f t="shared" si="291"/>
        <v>0</v>
      </c>
      <c r="Q113" s="152">
        <f t="shared" ref="Q113" si="292">Q112/Q40</f>
        <v>0</v>
      </c>
      <c r="R113" s="118" t="e">
        <f t="shared" si="221"/>
        <v>#DIV/0!</v>
      </c>
      <c r="S113" s="20"/>
      <c r="T113" s="152">
        <f t="shared" ref="T113:AC113" si="293">T112/T40</f>
        <v>0</v>
      </c>
      <c r="U113" s="152">
        <f t="shared" si="293"/>
        <v>0</v>
      </c>
      <c r="V113" s="152">
        <f t="shared" si="293"/>
        <v>0</v>
      </c>
      <c r="W113" s="152">
        <f t="shared" si="293"/>
        <v>0</v>
      </c>
      <c r="X113" s="152">
        <f t="shared" si="293"/>
        <v>0</v>
      </c>
      <c r="Y113" s="152">
        <f t="shared" si="293"/>
        <v>0</v>
      </c>
      <c r="Z113" s="152">
        <f t="shared" si="293"/>
        <v>0</v>
      </c>
      <c r="AA113" s="152">
        <f t="shared" si="293"/>
        <v>0</v>
      </c>
      <c r="AB113" s="152">
        <f t="shared" si="293"/>
        <v>0</v>
      </c>
      <c r="AC113" s="152">
        <f t="shared" si="293"/>
        <v>0</v>
      </c>
      <c r="AD113" s="138" t="e">
        <f t="shared" si="223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>
        <f t="shared" ref="H114:P114" si="294">1-H113</f>
        <v>1</v>
      </c>
      <c r="I114" s="152">
        <f t="shared" si="294"/>
        <v>1</v>
      </c>
      <c r="J114" s="152">
        <f t="shared" si="294"/>
        <v>1</v>
      </c>
      <c r="K114" s="152">
        <f t="shared" si="294"/>
        <v>1</v>
      </c>
      <c r="L114" s="152">
        <f t="shared" si="294"/>
        <v>-1.0057142857142862</v>
      </c>
      <c r="M114" s="152">
        <f t="shared" si="294"/>
        <v>1</v>
      </c>
      <c r="N114" s="152">
        <f t="shared" si="294"/>
        <v>1</v>
      </c>
      <c r="O114" s="152">
        <f t="shared" si="294"/>
        <v>1</v>
      </c>
      <c r="P114" s="152">
        <f t="shared" si="294"/>
        <v>1</v>
      </c>
      <c r="Q114" s="152">
        <f t="shared" ref="Q114" si="295">1-Q113</f>
        <v>1</v>
      </c>
      <c r="R114" s="118">
        <f t="shared" si="221"/>
        <v>0</v>
      </c>
      <c r="S114" s="20"/>
      <c r="T114" s="152">
        <f t="shared" ref="T114:AC114" si="296">1-T113</f>
        <v>1</v>
      </c>
      <c r="U114" s="152">
        <f t="shared" si="296"/>
        <v>1</v>
      </c>
      <c r="V114" s="152">
        <f t="shared" si="296"/>
        <v>1</v>
      </c>
      <c r="W114" s="152">
        <f t="shared" si="296"/>
        <v>1</v>
      </c>
      <c r="X114" s="152">
        <f t="shared" si="296"/>
        <v>1</v>
      </c>
      <c r="Y114" s="152">
        <f t="shared" si="296"/>
        <v>1</v>
      </c>
      <c r="Z114" s="152">
        <f t="shared" si="296"/>
        <v>1</v>
      </c>
      <c r="AA114" s="152">
        <f t="shared" si="296"/>
        <v>1</v>
      </c>
      <c r="AB114" s="152">
        <f t="shared" si="296"/>
        <v>1</v>
      </c>
      <c r="AC114" s="152">
        <f t="shared" si="296"/>
        <v>1</v>
      </c>
      <c r="AD114" s="138">
        <f t="shared" si="223"/>
        <v>0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297">F112/F20</f>
        <v>#DIV/0!</v>
      </c>
      <c r="G115" s="152" t="e">
        <f t="shared" si="297"/>
        <v>#DIV/0!</v>
      </c>
      <c r="H115" s="152" t="e">
        <f t="shared" si="297"/>
        <v>#DIV/0!</v>
      </c>
      <c r="I115" s="152" t="e">
        <f t="shared" si="297"/>
        <v>#DIV/0!</v>
      </c>
      <c r="J115" s="152" t="e">
        <f t="shared" si="297"/>
        <v>#DIV/0!</v>
      </c>
      <c r="K115" s="152" t="e">
        <f t="shared" si="297"/>
        <v>#DIV/0!</v>
      </c>
      <c r="L115" s="152" t="e">
        <f t="shared" si="297"/>
        <v>#DIV/0!</v>
      </c>
      <c r="M115" s="152" t="e">
        <f t="shared" si="297"/>
        <v>#DIV/0!</v>
      </c>
      <c r="N115" s="152" t="e">
        <f t="shared" si="297"/>
        <v>#DIV/0!</v>
      </c>
      <c r="O115" s="152" t="e">
        <f t="shared" si="297"/>
        <v>#DIV/0!</v>
      </c>
      <c r="P115" s="152" t="e">
        <f t="shared" si="297"/>
        <v>#DIV/0!</v>
      </c>
      <c r="Q115" s="152" t="e">
        <f>Q112/Q20</f>
        <v>#DIV/0!</v>
      </c>
      <c r="R115" s="118" t="e">
        <f t="shared" si="221"/>
        <v>#DIV/0!</v>
      </c>
      <c r="S115" s="20"/>
      <c r="T115" s="152" t="e">
        <f>T112/T20</f>
        <v>#DIV/0!</v>
      </c>
      <c r="U115" s="152" t="e">
        <f t="shared" ref="U115:AC115" si="298">U112/U20</f>
        <v>#DIV/0!</v>
      </c>
      <c r="V115" s="152" t="e">
        <f t="shared" si="298"/>
        <v>#DIV/0!</v>
      </c>
      <c r="W115" s="152" t="e">
        <f t="shared" si="298"/>
        <v>#DIV/0!</v>
      </c>
      <c r="X115" s="152" t="e">
        <f t="shared" si="298"/>
        <v>#DIV/0!</v>
      </c>
      <c r="Y115" s="152" t="e">
        <f t="shared" si="298"/>
        <v>#DIV/0!</v>
      </c>
      <c r="Z115" s="152" t="e">
        <f t="shared" si="298"/>
        <v>#DIV/0!</v>
      </c>
      <c r="AA115" s="152" t="e">
        <f t="shared" si="298"/>
        <v>#DIV/0!</v>
      </c>
      <c r="AB115" s="152" t="e">
        <f t="shared" si="298"/>
        <v>#DIV/0!</v>
      </c>
      <c r="AC115" s="152" t="e">
        <f t="shared" si="298"/>
        <v>#DIV/0!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299">H31/H25</f>
        <v>0</v>
      </c>
      <c r="I117" s="152">
        <f t="shared" si="299"/>
        <v>0</v>
      </c>
      <c r="J117" s="152">
        <f t="shared" si="299"/>
        <v>0</v>
      </c>
      <c r="K117" s="152">
        <f t="shared" si="299"/>
        <v>0</v>
      </c>
      <c r="L117" s="152">
        <f t="shared" si="299"/>
        <v>0</v>
      </c>
      <c r="M117" s="152">
        <f t="shared" si="299"/>
        <v>0</v>
      </c>
      <c r="N117" s="152">
        <f t="shared" si="299"/>
        <v>0</v>
      </c>
      <c r="O117" s="152">
        <f t="shared" si="299"/>
        <v>0</v>
      </c>
      <c r="P117" s="152">
        <f t="shared" si="299"/>
        <v>0</v>
      </c>
      <c r="Q117" s="152">
        <f t="shared" ref="Q117" si="300">Q31/Q25</f>
        <v>0</v>
      </c>
      <c r="R117" s="118" t="e">
        <f t="shared" si="221"/>
        <v>#DIV/0!</v>
      </c>
      <c r="S117" s="20"/>
      <c r="T117" s="152">
        <f t="shared" ref="T117:AC117" si="301">T31/T25</f>
        <v>0</v>
      </c>
      <c r="U117" s="152">
        <f t="shared" si="301"/>
        <v>0</v>
      </c>
      <c r="V117" s="152">
        <f t="shared" si="301"/>
        <v>0</v>
      </c>
      <c r="W117" s="152">
        <f t="shared" si="301"/>
        <v>0</v>
      </c>
      <c r="X117" s="152">
        <f t="shared" si="301"/>
        <v>0</v>
      </c>
      <c r="Y117" s="152">
        <f t="shared" si="301"/>
        <v>0</v>
      </c>
      <c r="Z117" s="152">
        <f t="shared" si="301"/>
        <v>0</v>
      </c>
      <c r="AA117" s="152">
        <f t="shared" si="301"/>
        <v>0</v>
      </c>
      <c r="AB117" s="152">
        <f t="shared" si="301"/>
        <v>0</v>
      </c>
      <c r="AC117" s="152">
        <f t="shared" si="301"/>
        <v>0</v>
      </c>
      <c r="AD117" s="138" t="e">
        <f t="shared" si="223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02">H32/H25</f>
        <v>0</v>
      </c>
      <c r="I118" s="152">
        <f t="shared" si="302"/>
        <v>0</v>
      </c>
      <c r="J118" s="152">
        <f t="shared" si="302"/>
        <v>0</v>
      </c>
      <c r="K118" s="152">
        <f t="shared" si="302"/>
        <v>0</v>
      </c>
      <c r="L118" s="152">
        <f t="shared" si="302"/>
        <v>0</v>
      </c>
      <c r="M118" s="152">
        <f t="shared" si="302"/>
        <v>0</v>
      </c>
      <c r="N118" s="152">
        <f t="shared" si="302"/>
        <v>0</v>
      </c>
      <c r="O118" s="152">
        <f t="shared" si="302"/>
        <v>0</v>
      </c>
      <c r="P118" s="152">
        <f t="shared" si="302"/>
        <v>0</v>
      </c>
      <c r="Q118" s="152">
        <f t="shared" ref="Q118" si="303">Q32/Q25</f>
        <v>0</v>
      </c>
      <c r="R118" s="118" t="e">
        <f t="shared" si="221"/>
        <v>#DIV/0!</v>
      </c>
      <c r="S118" s="20"/>
      <c r="T118" s="152">
        <f t="shared" ref="T118:AC118" si="304">T32/T25</f>
        <v>0</v>
      </c>
      <c r="U118" s="152">
        <f t="shared" si="304"/>
        <v>0</v>
      </c>
      <c r="V118" s="152">
        <f t="shared" si="304"/>
        <v>0</v>
      </c>
      <c r="W118" s="152">
        <f t="shared" si="304"/>
        <v>0</v>
      </c>
      <c r="X118" s="152">
        <f t="shared" si="304"/>
        <v>0</v>
      </c>
      <c r="Y118" s="152">
        <f t="shared" si="304"/>
        <v>0</v>
      </c>
      <c r="Z118" s="152">
        <f t="shared" si="304"/>
        <v>0</v>
      </c>
      <c r="AA118" s="152">
        <f t="shared" si="304"/>
        <v>0</v>
      </c>
      <c r="AB118" s="152">
        <f t="shared" si="304"/>
        <v>0</v>
      </c>
      <c r="AC118" s="152">
        <f t="shared" si="304"/>
        <v>0</v>
      </c>
      <c r="AD118" s="138" t="e">
        <f t="shared" si="223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4.4776119402985072E-2</v>
      </c>
      <c r="H120" s="152">
        <f t="shared" ref="H120:P120" si="305">H27/H25</f>
        <v>2.564102564102564E-2</v>
      </c>
      <c r="I120" s="152">
        <f t="shared" si="305"/>
        <v>1.4000000000000002E-2</v>
      </c>
      <c r="J120" s="152">
        <f t="shared" si="305"/>
        <v>2.9629629629629627E-2</v>
      </c>
      <c r="K120" s="152">
        <f t="shared" si="305"/>
        <v>2.3529411764705882E-2</v>
      </c>
      <c r="L120" s="152">
        <f t="shared" si="305"/>
        <v>0.13529411764705884</v>
      </c>
      <c r="M120" s="152">
        <f t="shared" si="305"/>
        <v>0.15068493150684931</v>
      </c>
      <c r="N120" s="152">
        <f t="shared" si="305"/>
        <v>11.210526315789473</v>
      </c>
      <c r="O120" s="152">
        <f t="shared" si="305"/>
        <v>0.8784029038112523</v>
      </c>
      <c r="P120" s="152">
        <f t="shared" si="305"/>
        <v>0.90462427745664742</v>
      </c>
      <c r="Q120" s="152">
        <f t="shared" ref="Q120" si="306">Q27/Q25</f>
        <v>1</v>
      </c>
      <c r="R120" s="118">
        <f t="shared" si="221"/>
        <v>0.3965190528242355</v>
      </c>
      <c r="S120" s="20"/>
      <c r="T120" s="152">
        <f t="shared" ref="T120:AC120" si="307">T27/T25</f>
        <v>1</v>
      </c>
      <c r="U120" s="152">
        <f t="shared" si="307"/>
        <v>1</v>
      </c>
      <c r="V120" s="152">
        <f t="shared" si="307"/>
        <v>1</v>
      </c>
      <c r="W120" s="152">
        <f t="shared" si="307"/>
        <v>1</v>
      </c>
      <c r="X120" s="152">
        <f t="shared" si="307"/>
        <v>1</v>
      </c>
      <c r="Y120" s="152">
        <f t="shared" si="307"/>
        <v>1</v>
      </c>
      <c r="Z120" s="152">
        <f t="shared" si="307"/>
        <v>1</v>
      </c>
      <c r="AA120" s="152">
        <f t="shared" si="307"/>
        <v>1</v>
      </c>
      <c r="AB120" s="152">
        <f t="shared" si="307"/>
        <v>1</v>
      </c>
      <c r="AC120" s="152">
        <f t="shared" si="307"/>
        <v>1</v>
      </c>
      <c r="AD120" s="138">
        <f t="shared" si="223"/>
        <v>0.16801300240033767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>
        <f t="shared" ref="H121:P121" si="308">H33/H25</f>
        <v>0</v>
      </c>
      <c r="I121" s="152">
        <f t="shared" si="308"/>
        <v>0</v>
      </c>
      <c r="J121" s="152">
        <f t="shared" si="308"/>
        <v>0</v>
      </c>
      <c r="K121" s="152">
        <f t="shared" si="308"/>
        <v>0</v>
      </c>
      <c r="L121" s="152">
        <f t="shared" si="308"/>
        <v>0</v>
      </c>
      <c r="M121" s="152">
        <f t="shared" si="308"/>
        <v>0</v>
      </c>
      <c r="N121" s="152">
        <f t="shared" si="308"/>
        <v>7.8947368421052628</v>
      </c>
      <c r="O121" s="152">
        <f t="shared" si="308"/>
        <v>0.44464609800362975</v>
      </c>
      <c r="P121" s="152">
        <f t="shared" si="308"/>
        <v>0.44797687861271679</v>
      </c>
      <c r="Q121" s="152">
        <f t="shared" ref="Q121" si="309">Q33/Q25</f>
        <v>0.43108108108108106</v>
      </c>
      <c r="R121" s="118" t="e">
        <f t="shared" si="221"/>
        <v>#DIV/0!</v>
      </c>
      <c r="S121" s="20"/>
      <c r="T121" s="152">
        <f t="shared" ref="T121:AC121" si="310">T33/T25</f>
        <v>0.43108108108108106</v>
      </c>
      <c r="U121" s="152">
        <f t="shared" si="310"/>
        <v>0.43108108108108112</v>
      </c>
      <c r="V121" s="152">
        <f t="shared" si="310"/>
        <v>0.43108108108108106</v>
      </c>
      <c r="W121" s="152">
        <f t="shared" si="310"/>
        <v>0.43108108108108106</v>
      </c>
      <c r="X121" s="152">
        <f t="shared" si="310"/>
        <v>0.43108108108108101</v>
      </c>
      <c r="Y121" s="152">
        <f t="shared" si="310"/>
        <v>0.43108108108108106</v>
      </c>
      <c r="Z121" s="152">
        <f t="shared" si="310"/>
        <v>0.43108108108108106</v>
      </c>
      <c r="AA121" s="152">
        <f t="shared" si="310"/>
        <v>0.43108108108108106</v>
      </c>
      <c r="AB121" s="152">
        <f t="shared" si="310"/>
        <v>0.43108108108108101</v>
      </c>
      <c r="AC121" s="152">
        <f t="shared" si="310"/>
        <v>0.43108108108108101</v>
      </c>
      <c r="AD121" s="138" t="e">
        <f t="shared" si="223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</v>
      </c>
      <c r="H122" s="152">
        <f t="shared" ref="H122:P122" si="311">H34/H25</f>
        <v>0</v>
      </c>
      <c r="I122" s="152">
        <f t="shared" si="311"/>
        <v>0</v>
      </c>
      <c r="J122" s="152">
        <f t="shared" si="311"/>
        <v>0</v>
      </c>
      <c r="K122" s="152">
        <f t="shared" si="311"/>
        <v>0</v>
      </c>
      <c r="L122" s="152">
        <f t="shared" si="311"/>
        <v>2.9411764705882356E-2</v>
      </c>
      <c r="M122" s="152">
        <f t="shared" si="311"/>
        <v>0.10958904109589042</v>
      </c>
      <c r="N122" s="152">
        <f t="shared" si="311"/>
        <v>1.368421052631579</v>
      </c>
      <c r="O122" s="152">
        <f t="shared" si="311"/>
        <v>0.11796733212341198</v>
      </c>
      <c r="P122" s="152">
        <f t="shared" si="311"/>
        <v>0.10982658959537572</v>
      </c>
      <c r="Q122" s="152">
        <f t="shared" ref="Q122" si="312">Q34/Q25</f>
        <v>0.12256756756756756</v>
      </c>
      <c r="R122" s="118" t="e">
        <f t="shared" si="221"/>
        <v>#DIV/0!</v>
      </c>
      <c r="S122" s="20"/>
      <c r="T122" s="152">
        <f t="shared" ref="T122:AC122" si="313">T34/T25</f>
        <v>0.12256756756756758</v>
      </c>
      <c r="U122" s="152">
        <f t="shared" si="313"/>
        <v>0.12256756756756756</v>
      </c>
      <c r="V122" s="152">
        <f t="shared" si="313"/>
        <v>0.12256756756756755</v>
      </c>
      <c r="W122" s="152">
        <f t="shared" si="313"/>
        <v>0.12256756756756755</v>
      </c>
      <c r="X122" s="152">
        <f t="shared" si="313"/>
        <v>0.12256756756756755</v>
      </c>
      <c r="Y122" s="152">
        <f t="shared" si="313"/>
        <v>0.12256756756756756</v>
      </c>
      <c r="Z122" s="152">
        <f t="shared" si="313"/>
        <v>0.12256756756756756</v>
      </c>
      <c r="AA122" s="152">
        <f t="shared" si="313"/>
        <v>0.12256756756756758</v>
      </c>
      <c r="AB122" s="152">
        <f t="shared" si="313"/>
        <v>0.12256756756756758</v>
      </c>
      <c r="AC122" s="152">
        <f t="shared" si="313"/>
        <v>0.12256756756756758</v>
      </c>
      <c r="AD122" s="138" t="e">
        <f t="shared" si="223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 t="e">
        <f>G15/G9</f>
        <v>#DIV/0!</v>
      </c>
      <c r="H125" s="25" t="e">
        <f t="shared" ref="H125:AC125" si="314">H15/H9</f>
        <v>#DIV/0!</v>
      </c>
      <c r="I125" s="25" t="e">
        <f t="shared" si="314"/>
        <v>#DIV/0!</v>
      </c>
      <c r="J125" s="25" t="e">
        <f t="shared" si="314"/>
        <v>#DIV/0!</v>
      </c>
      <c r="K125" s="25" t="e">
        <f t="shared" si="314"/>
        <v>#DIV/0!</v>
      </c>
      <c r="L125" s="25">
        <f t="shared" si="314"/>
        <v>415</v>
      </c>
      <c r="M125" s="25">
        <f t="shared" si="314"/>
        <v>140</v>
      </c>
      <c r="N125" s="25">
        <f t="shared" si="314"/>
        <v>5.333333333333333</v>
      </c>
      <c r="O125" s="25">
        <f t="shared" si="314"/>
        <v>1.8305084745762712</v>
      </c>
      <c r="P125" s="25">
        <f t="shared" si="314"/>
        <v>0.46846846846846846</v>
      </c>
      <c r="Q125" s="25">
        <f t="shared" ref="Q125" si="315">Q15/Q9</f>
        <v>0</v>
      </c>
      <c r="R125" s="118" t="e">
        <f t="shared" si="221"/>
        <v>#DIV/0!</v>
      </c>
      <c r="S125" s="20"/>
      <c r="T125" s="20">
        <f t="shared" si="314"/>
        <v>0</v>
      </c>
      <c r="U125" s="20">
        <f t="shared" si="314"/>
        <v>0</v>
      </c>
      <c r="V125" s="20">
        <f t="shared" si="314"/>
        <v>0</v>
      </c>
      <c r="W125" s="20">
        <f t="shared" si="314"/>
        <v>0</v>
      </c>
      <c r="X125" s="20">
        <f t="shared" si="314"/>
        <v>0</v>
      </c>
      <c r="Y125" s="20">
        <f t="shared" si="314"/>
        <v>0</v>
      </c>
      <c r="Z125" s="20">
        <f t="shared" si="314"/>
        <v>0</v>
      </c>
      <c r="AA125" s="20">
        <f t="shared" si="314"/>
        <v>0</v>
      </c>
      <c r="AB125" s="20">
        <f t="shared" si="314"/>
        <v>0</v>
      </c>
      <c r="AC125" s="20">
        <f t="shared" si="314"/>
        <v>0</v>
      </c>
      <c r="AD125" s="138" t="e">
        <f t="shared" si="223"/>
        <v>#DIV/0!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 t="e">
        <f>G12/G9</f>
        <v>#DIV/0!</v>
      </c>
      <c r="H126" s="25" t="e">
        <f t="shared" ref="H126:P126" si="316">H12/H9</f>
        <v>#DIV/0!</v>
      </c>
      <c r="I126" s="25" t="e">
        <f t="shared" si="316"/>
        <v>#DIV/0!</v>
      </c>
      <c r="J126" s="25" t="e">
        <f t="shared" si="316"/>
        <v>#DIV/0!</v>
      </c>
      <c r="K126" s="25" t="e">
        <f t="shared" si="316"/>
        <v>#DIV/0!</v>
      </c>
      <c r="L126" s="25">
        <f t="shared" si="316"/>
        <v>400</v>
      </c>
      <c r="M126" s="25">
        <f t="shared" si="316"/>
        <v>140</v>
      </c>
      <c r="N126" s="25">
        <f t="shared" si="316"/>
        <v>4.666666666666667</v>
      </c>
      <c r="O126" s="25">
        <f t="shared" si="316"/>
        <v>1.1186440677966101</v>
      </c>
      <c r="P126" s="25">
        <f t="shared" si="316"/>
        <v>0.22522522522522523</v>
      </c>
      <c r="Q126" s="25">
        <f t="shared" ref="Q126" si="317">Q12/Q9</f>
        <v>0</v>
      </c>
      <c r="R126" s="118" t="e">
        <f t="shared" si="221"/>
        <v>#DIV/0!</v>
      </c>
      <c r="S126" s="128"/>
      <c r="T126" s="20">
        <f t="shared" ref="T126:AC126" si="318">T12/T9</f>
        <v>0</v>
      </c>
      <c r="U126" s="20">
        <f t="shared" si="318"/>
        <v>0</v>
      </c>
      <c r="V126" s="20">
        <f t="shared" si="318"/>
        <v>0</v>
      </c>
      <c r="W126" s="20">
        <f t="shared" si="318"/>
        <v>0</v>
      </c>
      <c r="X126" s="20">
        <f t="shared" si="318"/>
        <v>0</v>
      </c>
      <c r="Y126" s="20">
        <f t="shared" si="318"/>
        <v>0</v>
      </c>
      <c r="Z126" s="20">
        <f t="shared" si="318"/>
        <v>0</v>
      </c>
      <c r="AA126" s="20">
        <f t="shared" si="318"/>
        <v>0</v>
      </c>
      <c r="AB126" s="20">
        <f t="shared" si="318"/>
        <v>0</v>
      </c>
      <c r="AC126" s="20">
        <f t="shared" si="318"/>
        <v>0</v>
      </c>
      <c r="AD126" s="118" t="e">
        <f t="shared" ref="AD126" si="319">((AC126/T126)^(1/($H$2-$H$1) ))-1</f>
        <v>#DIV/0!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1.8611111111111111E-3</v>
      </c>
      <c r="H127" s="25">
        <f t="shared" ref="H127:P127" si="320">H25/360</f>
        <v>3.2499999999999999E-3</v>
      </c>
      <c r="I127" s="25">
        <f t="shared" si="320"/>
        <v>1.3888888888888888E-2</v>
      </c>
      <c r="J127" s="25">
        <f t="shared" si="320"/>
        <v>7.5000000000000006E-3</v>
      </c>
      <c r="K127" s="25">
        <f t="shared" si="320"/>
        <v>4.7222222222222223E-3</v>
      </c>
      <c r="L127" s="25">
        <f t="shared" si="320"/>
        <v>4.7222222222222223E-3</v>
      </c>
      <c r="M127" s="25">
        <f t="shared" si="320"/>
        <v>2.0277777777777777E-3</v>
      </c>
      <c r="N127" s="25">
        <f t="shared" si="320"/>
        <v>5.2777777777777784E-4</v>
      </c>
      <c r="O127" s="25">
        <f t="shared" si="320"/>
        <v>1.5305555555555554</v>
      </c>
      <c r="P127" s="25">
        <f t="shared" si="320"/>
        <v>1.9222222222222223</v>
      </c>
      <c r="Q127" s="25">
        <f t="shared" ref="Q127" si="321">Q25/360</f>
        <v>2.0555555555555554</v>
      </c>
      <c r="R127" s="118">
        <f t="shared" si="221"/>
        <v>1.1621825884323114</v>
      </c>
      <c r="S127" s="128"/>
      <c r="T127" s="25">
        <f t="shared" ref="T127:AC127" si="322">T25/360</f>
        <v>2.3022222222222224</v>
      </c>
      <c r="U127" s="25">
        <f t="shared" si="322"/>
        <v>2.5784888888888893</v>
      </c>
      <c r="V127" s="25">
        <f t="shared" si="322"/>
        <v>2.8879075555555569</v>
      </c>
      <c r="W127" s="25">
        <f t="shared" si="322"/>
        <v>3.2344564622222238</v>
      </c>
      <c r="X127" s="25">
        <f t="shared" si="322"/>
        <v>3.6225912376888916</v>
      </c>
      <c r="Y127" s="25">
        <f t="shared" si="322"/>
        <v>4.057302186211559</v>
      </c>
      <c r="Z127" s="25">
        <f t="shared" si="322"/>
        <v>4.5441784485569459</v>
      </c>
      <c r="AA127" s="25">
        <f t="shared" si="322"/>
        <v>5.0894798623837803</v>
      </c>
      <c r="AB127" s="25">
        <f t="shared" si="322"/>
        <v>5.7002174458698338</v>
      </c>
      <c r="AC127" s="25">
        <f t="shared" si="322"/>
        <v>6.3842435393742143</v>
      </c>
      <c r="AD127" s="118">
        <f t="shared" ref="AD127:AD138" si="323">((AC127/T127)^(1/($H$2-$H$1) ))-1</f>
        <v>0.12000000000000011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8.3333333333333331E-5</v>
      </c>
      <c r="H128" s="25">
        <f t="shared" ref="H128:P128" si="324">H27/360</f>
        <v>8.3333333333333331E-5</v>
      </c>
      <c r="I128" s="25">
        <f t="shared" si="324"/>
        <v>1.9444444444444446E-4</v>
      </c>
      <c r="J128" s="25">
        <f t="shared" si="324"/>
        <v>2.2222222222222223E-4</v>
      </c>
      <c r="K128" s="25">
        <f t="shared" si="324"/>
        <v>1.1111111111111112E-4</v>
      </c>
      <c r="L128" s="25">
        <f t="shared" si="324"/>
        <v>6.3888888888888893E-4</v>
      </c>
      <c r="M128" s="25">
        <f t="shared" si="324"/>
        <v>3.0555555555555555E-4</v>
      </c>
      <c r="N128" s="25">
        <f t="shared" si="324"/>
        <v>5.9166666666666664E-3</v>
      </c>
      <c r="O128" s="25">
        <f t="shared" si="324"/>
        <v>1.3444444444444446</v>
      </c>
      <c r="P128" s="25">
        <f t="shared" si="324"/>
        <v>1.7388888888888889</v>
      </c>
      <c r="Q128" s="25">
        <f t="shared" ref="Q128" si="325">Q27/360</f>
        <v>2.0555555555555554</v>
      </c>
      <c r="R128" s="118">
        <f t="shared" si="221"/>
        <v>2.019529180430546</v>
      </c>
      <c r="S128" s="128"/>
      <c r="T128" s="25">
        <f t="shared" ref="T128:AC128" si="326">T27/360</f>
        <v>2.3022222222222224</v>
      </c>
      <c r="U128" s="25">
        <f t="shared" si="326"/>
        <v>2.5784888888888893</v>
      </c>
      <c r="V128" s="25">
        <f t="shared" si="326"/>
        <v>2.8879075555555569</v>
      </c>
      <c r="W128" s="25">
        <f t="shared" si="326"/>
        <v>3.2344564622222238</v>
      </c>
      <c r="X128" s="25">
        <f t="shared" si="326"/>
        <v>3.6225912376888916</v>
      </c>
      <c r="Y128" s="25">
        <f t="shared" si="326"/>
        <v>4.057302186211559</v>
      </c>
      <c r="Z128" s="25">
        <f t="shared" si="326"/>
        <v>4.5441784485569459</v>
      </c>
      <c r="AA128" s="25">
        <f t="shared" si="326"/>
        <v>5.0894798623837803</v>
      </c>
      <c r="AB128" s="25">
        <f t="shared" si="326"/>
        <v>5.7002174458698338</v>
      </c>
      <c r="AC128" s="25">
        <f t="shared" si="326"/>
        <v>6.3842435393742143</v>
      </c>
      <c r="AD128" s="118">
        <f t="shared" si="323"/>
        <v>0.12000000000000011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</v>
      </c>
      <c r="H130" s="25">
        <f t="shared" ref="H130:P130" si="327">H10/H7</f>
        <v>0</v>
      </c>
      <c r="I130" s="25">
        <f t="shared" si="327"/>
        <v>0</v>
      </c>
      <c r="J130" s="25">
        <f t="shared" si="327"/>
        <v>0</v>
      </c>
      <c r="K130" s="25">
        <f t="shared" si="327"/>
        <v>0</v>
      </c>
      <c r="L130" s="25">
        <f t="shared" si="327"/>
        <v>0</v>
      </c>
      <c r="M130" s="25">
        <f t="shared" si="327"/>
        <v>0</v>
      </c>
      <c r="N130" s="25">
        <f t="shared" si="327"/>
        <v>0</v>
      </c>
      <c r="O130" s="25">
        <f t="shared" si="327"/>
        <v>0</v>
      </c>
      <c r="P130" s="25">
        <f t="shared" si="327"/>
        <v>3.8022813688212927E-2</v>
      </c>
      <c r="Q130" s="25">
        <f t="shared" ref="Q130" si="328">Q10/Q7</f>
        <v>0</v>
      </c>
      <c r="R130" s="118" t="e">
        <f t="shared" si="221"/>
        <v>#DIV/0!</v>
      </c>
      <c r="S130" s="128"/>
      <c r="T130" s="25">
        <f t="shared" ref="T130:AC130" si="329">T10/T7</f>
        <v>0</v>
      </c>
      <c r="U130" s="25">
        <f t="shared" si="329"/>
        <v>0</v>
      </c>
      <c r="V130" s="25">
        <f t="shared" si="329"/>
        <v>0</v>
      </c>
      <c r="W130" s="25">
        <f t="shared" si="329"/>
        <v>0</v>
      </c>
      <c r="X130" s="25">
        <f t="shared" si="329"/>
        <v>0</v>
      </c>
      <c r="Y130" s="25">
        <f t="shared" si="329"/>
        <v>0</v>
      </c>
      <c r="Z130" s="25">
        <f t="shared" si="329"/>
        <v>0</v>
      </c>
      <c r="AA130" s="25">
        <f t="shared" si="329"/>
        <v>0</v>
      </c>
      <c r="AB130" s="25">
        <f t="shared" si="329"/>
        <v>0</v>
      </c>
      <c r="AC130" s="25">
        <f t="shared" si="329"/>
        <v>0</v>
      </c>
      <c r="AD130" s="118" t="e">
        <f t="shared" si="323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</v>
      </c>
      <c r="H131" s="25">
        <f t="shared" ref="H131:P131" si="330">H10/(H10+H7)</f>
        <v>0</v>
      </c>
      <c r="I131" s="25">
        <f t="shared" si="330"/>
        <v>0</v>
      </c>
      <c r="J131" s="25">
        <f t="shared" si="330"/>
        <v>0</v>
      </c>
      <c r="K131" s="25">
        <f t="shared" si="330"/>
        <v>0</v>
      </c>
      <c r="L131" s="25">
        <f t="shared" si="330"/>
        <v>0</v>
      </c>
      <c r="M131" s="25">
        <f t="shared" si="330"/>
        <v>0</v>
      </c>
      <c r="N131" s="25">
        <f t="shared" si="330"/>
        <v>0</v>
      </c>
      <c r="O131" s="25">
        <f t="shared" si="330"/>
        <v>0</v>
      </c>
      <c r="P131" s="25">
        <f t="shared" si="330"/>
        <v>3.6630036630036632E-2</v>
      </c>
      <c r="Q131" s="25">
        <f t="shared" ref="Q131" si="331">Q10/(Q10+Q7)</f>
        <v>0</v>
      </c>
      <c r="R131" s="118" t="e">
        <f t="shared" si="221"/>
        <v>#DIV/0!</v>
      </c>
      <c r="S131" s="128"/>
      <c r="T131" s="25">
        <f t="shared" ref="T131:AC131" si="332">T10/(T10+T7)</f>
        <v>0</v>
      </c>
      <c r="U131" s="25">
        <f t="shared" si="332"/>
        <v>0</v>
      </c>
      <c r="V131" s="25">
        <f t="shared" si="332"/>
        <v>0</v>
      </c>
      <c r="W131" s="25">
        <f t="shared" si="332"/>
        <v>0</v>
      </c>
      <c r="X131" s="25">
        <f t="shared" si="332"/>
        <v>0</v>
      </c>
      <c r="Y131" s="25">
        <f t="shared" si="332"/>
        <v>0</v>
      </c>
      <c r="Z131" s="25">
        <f t="shared" si="332"/>
        <v>0</v>
      </c>
      <c r="AA131" s="25">
        <f t="shared" si="332"/>
        <v>0</v>
      </c>
      <c r="AB131" s="25">
        <f t="shared" si="332"/>
        <v>0</v>
      </c>
      <c r="AC131" s="25">
        <f t="shared" si="332"/>
        <v>0</v>
      </c>
      <c r="AD131" s="118" t="e">
        <f t="shared" si="323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2</v>
      </c>
      <c r="H133" s="25">
        <f t="shared" ref="H133:P133" si="333">H16</f>
        <v>0.5</v>
      </c>
      <c r="I133" s="25">
        <f t="shared" si="333"/>
        <v>0.28999999999999998</v>
      </c>
      <c r="J133" s="25">
        <f t="shared" si="333"/>
        <v>2.8</v>
      </c>
      <c r="K133" s="25">
        <f t="shared" si="333"/>
        <v>7.2</v>
      </c>
      <c r="L133" s="25">
        <f t="shared" si="333"/>
        <v>9</v>
      </c>
      <c r="M133" s="25">
        <f t="shared" si="333"/>
        <v>14</v>
      </c>
      <c r="N133" s="25">
        <f t="shared" si="333"/>
        <v>18</v>
      </c>
      <c r="O133" s="25">
        <f t="shared" si="333"/>
        <v>46</v>
      </c>
      <c r="P133" s="25">
        <f t="shared" si="333"/>
        <v>27</v>
      </c>
      <c r="Q133" s="25">
        <f t="shared" ref="Q133" si="334">Q16</f>
        <v>0</v>
      </c>
      <c r="R133" s="118">
        <f t="shared" si="221"/>
        <v>0.33534240595483999</v>
      </c>
      <c r="S133" s="128"/>
      <c r="T133" s="25">
        <f t="shared" ref="T133:AC133" si="335">T16</f>
        <v>0</v>
      </c>
      <c r="U133" s="25">
        <f t="shared" si="335"/>
        <v>0</v>
      </c>
      <c r="V133" s="25">
        <f t="shared" si="335"/>
        <v>0</v>
      </c>
      <c r="W133" s="25">
        <f t="shared" si="335"/>
        <v>0</v>
      </c>
      <c r="X133" s="25">
        <f t="shared" si="335"/>
        <v>0</v>
      </c>
      <c r="Y133" s="25">
        <f t="shared" si="335"/>
        <v>0</v>
      </c>
      <c r="Z133" s="25">
        <f t="shared" si="335"/>
        <v>0</v>
      </c>
      <c r="AA133" s="25">
        <f t="shared" si="335"/>
        <v>0</v>
      </c>
      <c r="AB133" s="25">
        <f t="shared" si="335"/>
        <v>0</v>
      </c>
      <c r="AC133" s="25">
        <f t="shared" si="335"/>
        <v>0</v>
      </c>
      <c r="AD133" s="118" t="e">
        <f t="shared" si="323"/>
        <v>#DIV/0!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36">G133*365/G25</f>
        <v>1089.5522388059701</v>
      </c>
      <c r="H134" s="119">
        <f t="shared" si="336"/>
        <v>155.982905982906</v>
      </c>
      <c r="I134" s="119">
        <f t="shared" si="336"/>
        <v>21.169999999999998</v>
      </c>
      <c r="J134" s="119">
        <f t="shared" si="336"/>
        <v>378.51851851851848</v>
      </c>
      <c r="K134" s="119">
        <f t="shared" si="336"/>
        <v>1545.8823529411766</v>
      </c>
      <c r="L134" s="119">
        <f t="shared" si="336"/>
        <v>1932.3529411764707</v>
      </c>
      <c r="M134" s="119">
        <f t="shared" si="336"/>
        <v>7000</v>
      </c>
      <c r="N134" s="119">
        <f t="shared" si="336"/>
        <v>34578.947368421053</v>
      </c>
      <c r="O134" s="119">
        <f t="shared" si="336"/>
        <v>30.471869328493646</v>
      </c>
      <c r="P134" s="119">
        <f t="shared" si="336"/>
        <v>14.241329479768787</v>
      </c>
      <c r="Q134" s="119">
        <f t="shared" ref="Q134" si="337">Q133*365/Q25</f>
        <v>0</v>
      </c>
      <c r="R134" s="118">
        <f t="shared" si="221"/>
        <v>-0.38240997171148772</v>
      </c>
      <c r="S134" s="128"/>
      <c r="T134" s="119">
        <f t="shared" ref="T134:AC134" si="338">T133*365/T25</f>
        <v>0</v>
      </c>
      <c r="U134" s="119">
        <f t="shared" si="338"/>
        <v>0</v>
      </c>
      <c r="V134" s="119">
        <f t="shared" si="338"/>
        <v>0</v>
      </c>
      <c r="W134" s="119">
        <f t="shared" si="338"/>
        <v>0</v>
      </c>
      <c r="X134" s="119">
        <f t="shared" si="338"/>
        <v>0</v>
      </c>
      <c r="Y134" s="119">
        <f t="shared" si="338"/>
        <v>0</v>
      </c>
      <c r="Z134" s="119">
        <f t="shared" si="338"/>
        <v>0</v>
      </c>
      <c r="AA134" s="119">
        <f t="shared" si="338"/>
        <v>0</v>
      </c>
      <c r="AB134" s="119">
        <f t="shared" si="338"/>
        <v>0</v>
      </c>
      <c r="AC134" s="119">
        <f t="shared" si="338"/>
        <v>0</v>
      </c>
      <c r="AD134" s="118" t="e">
        <f t="shared" si="323"/>
        <v>#DIV/0!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 t="e">
        <f>G80/G29</f>
        <v>#DIV/0!</v>
      </c>
      <c r="H135" s="133" t="e">
        <f t="shared" ref="H135:P135" si="339">H80/H29</f>
        <v>#DIV/0!</v>
      </c>
      <c r="I135" s="133" t="e">
        <f t="shared" si="339"/>
        <v>#DIV/0!</v>
      </c>
      <c r="J135" s="133" t="e">
        <f t="shared" si="339"/>
        <v>#DIV/0!</v>
      </c>
      <c r="K135" s="133" t="e">
        <f t="shared" si="339"/>
        <v>#DIV/0!</v>
      </c>
      <c r="L135" s="133" t="e">
        <f t="shared" si="339"/>
        <v>#DIV/0!</v>
      </c>
      <c r="M135" s="133" t="e">
        <f t="shared" si="339"/>
        <v>#DIV/0!</v>
      </c>
      <c r="N135" s="133" t="e">
        <f t="shared" si="339"/>
        <v>#DIV/0!</v>
      </c>
      <c r="O135" s="133">
        <f t="shared" si="339"/>
        <v>562.5</v>
      </c>
      <c r="P135" s="133">
        <f t="shared" si="339"/>
        <v>54.013782827342155</v>
      </c>
      <c r="Q135" s="133">
        <f t="shared" ref="Q135" si="340">Q80/Q29</f>
        <v>-0.5790234455662151</v>
      </c>
      <c r="R135" s="118" t="e">
        <f t="shared" si="221"/>
        <v>#DIV/0!</v>
      </c>
      <c r="S135" s="128"/>
      <c r="T135" s="133">
        <f t="shared" ref="T135:AC135" si="341">T80/T29</f>
        <v>-0.5514509005392525</v>
      </c>
      <c r="U135" s="133">
        <f t="shared" si="341"/>
        <v>-0.52519133384690719</v>
      </c>
      <c r="V135" s="133">
        <f t="shared" si="341"/>
        <v>-0.50018222271134016</v>
      </c>
      <c r="W135" s="133">
        <f t="shared" si="341"/>
        <v>-0.47636402162984776</v>
      </c>
      <c r="X135" s="133">
        <f t="shared" si="341"/>
        <v>-0.45368002059985507</v>
      </c>
      <c r="Y135" s="133">
        <f t="shared" si="341"/>
        <v>-0.4320762100951</v>
      </c>
      <c r="Z135" s="133">
        <f t="shared" si="341"/>
        <v>-0.4115011524715238</v>
      </c>
      <c r="AA135" s="133">
        <f t="shared" si="341"/>
        <v>-0.39190585949668932</v>
      </c>
      <c r="AB135" s="133">
        <f t="shared" si="341"/>
        <v>-0.37324367571113271</v>
      </c>
      <c r="AC135" s="133">
        <f t="shared" si="341"/>
        <v>-0.35547016734393588</v>
      </c>
      <c r="AD135" s="118">
        <f t="shared" si="323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0.67</v>
      </c>
      <c r="H137" s="180" t="e">
        <f t="shared" ref="H137:P137" si="342">H25/H14</f>
        <v>#DIV/0!</v>
      </c>
      <c r="I137" s="180" t="e">
        <f t="shared" si="342"/>
        <v>#DIV/0!</v>
      </c>
      <c r="J137" s="180" t="e">
        <f t="shared" si="342"/>
        <v>#DIV/0!</v>
      </c>
      <c r="K137" s="180" t="e">
        <f t="shared" si="342"/>
        <v>#DIV/0!</v>
      </c>
      <c r="L137" s="180" t="e">
        <f t="shared" si="342"/>
        <v>#DIV/0!</v>
      </c>
      <c r="M137" s="180" t="e">
        <f t="shared" si="342"/>
        <v>#DIV/0!</v>
      </c>
      <c r="N137" s="180" t="e">
        <f t="shared" si="342"/>
        <v>#DIV/0!</v>
      </c>
      <c r="O137" s="180">
        <f t="shared" si="342"/>
        <v>36.733333333333334</v>
      </c>
      <c r="P137" s="180">
        <f t="shared" si="342"/>
        <v>38.444444444444443</v>
      </c>
      <c r="Q137" s="180" t="e">
        <f t="shared" ref="Q137" si="343">Q25/Q14</f>
        <v>#DIV/0!</v>
      </c>
      <c r="R137" s="118">
        <f t="shared" si="221"/>
        <v>0.56825847421270415</v>
      </c>
      <c r="S137" s="128"/>
      <c r="T137" s="20" t="e">
        <f t="shared" ref="T137" si="344">T25/T14</f>
        <v>#DIV/0!</v>
      </c>
      <c r="U137" s="20" t="e">
        <f t="shared" ref="U137:AC137" si="345">U25/U14</f>
        <v>#DIV/0!</v>
      </c>
      <c r="V137" s="20" t="e">
        <f t="shared" si="345"/>
        <v>#DIV/0!</v>
      </c>
      <c r="W137" s="20" t="e">
        <f t="shared" si="345"/>
        <v>#DIV/0!</v>
      </c>
      <c r="X137" s="20" t="e">
        <f t="shared" si="345"/>
        <v>#DIV/0!</v>
      </c>
      <c r="Y137" s="20" t="e">
        <f t="shared" si="345"/>
        <v>#DIV/0!</v>
      </c>
      <c r="Z137" s="20" t="e">
        <f t="shared" si="345"/>
        <v>#DIV/0!</v>
      </c>
      <c r="AA137" s="20" t="e">
        <f t="shared" si="345"/>
        <v>#DIV/0!</v>
      </c>
      <c r="AB137" s="20" t="e">
        <f t="shared" si="345"/>
        <v>#DIV/0!</v>
      </c>
      <c r="AC137" s="20" t="e">
        <f t="shared" si="345"/>
        <v>#DIV/0!</v>
      </c>
      <c r="AD137" s="118" t="e">
        <f t="shared" si="323"/>
        <v>#DIV/0!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0.03</v>
      </c>
      <c r="H138" s="180" t="e">
        <f t="shared" ref="H138:P138" si="346">H27/H14</f>
        <v>#DIV/0!</v>
      </c>
      <c r="I138" s="180" t="e">
        <f t="shared" si="346"/>
        <v>#DIV/0!</v>
      </c>
      <c r="J138" s="180" t="e">
        <f t="shared" si="346"/>
        <v>#DIV/0!</v>
      </c>
      <c r="K138" s="180" t="e">
        <f t="shared" si="346"/>
        <v>#DIV/0!</v>
      </c>
      <c r="L138" s="180" t="e">
        <f t="shared" si="346"/>
        <v>#DIV/0!</v>
      </c>
      <c r="M138" s="180" t="e">
        <f t="shared" si="346"/>
        <v>#DIV/0!</v>
      </c>
      <c r="N138" s="180" t="e">
        <f t="shared" si="346"/>
        <v>#DIV/0!</v>
      </c>
      <c r="O138" s="180">
        <f t="shared" si="346"/>
        <v>32.266666666666666</v>
      </c>
      <c r="P138" s="180">
        <f t="shared" si="346"/>
        <v>34.777777777777779</v>
      </c>
      <c r="Q138" s="180" t="e">
        <f t="shared" ref="Q138" si="347">Q27/Q14</f>
        <v>#DIV/0!</v>
      </c>
      <c r="R138" s="118">
        <f t="shared" si="221"/>
        <v>1.1901028389911064</v>
      </c>
      <c r="S138" s="128"/>
      <c r="T138" s="20" t="e">
        <f t="shared" ref="T138:AC138" si="348">T27/T14</f>
        <v>#DIV/0!</v>
      </c>
      <c r="U138" s="20" t="e">
        <f t="shared" si="348"/>
        <v>#DIV/0!</v>
      </c>
      <c r="V138" s="20" t="e">
        <f t="shared" si="348"/>
        <v>#DIV/0!</v>
      </c>
      <c r="W138" s="20" t="e">
        <f t="shared" si="348"/>
        <v>#DIV/0!</v>
      </c>
      <c r="X138" s="20" t="e">
        <f t="shared" si="348"/>
        <v>#DIV/0!</v>
      </c>
      <c r="Y138" s="20" t="e">
        <f t="shared" si="348"/>
        <v>#DIV/0!</v>
      </c>
      <c r="Z138" s="20" t="e">
        <f t="shared" si="348"/>
        <v>#DIV/0!</v>
      </c>
      <c r="AA138" s="20" t="e">
        <f t="shared" si="348"/>
        <v>#DIV/0!</v>
      </c>
      <c r="AB138" s="20" t="e">
        <f t="shared" si="348"/>
        <v>#DIV/0!</v>
      </c>
      <c r="AC138" s="20" t="e">
        <f t="shared" si="348"/>
        <v>#DIV/0!</v>
      </c>
      <c r="AD138" s="118" t="e">
        <f t="shared" si="323"/>
        <v>#DIV/0!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53.630067058264736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0.14025305122473955</v>
      </c>
      <c r="T142" s="133">
        <f>PV($C$1, ($AC$3-$T$3), 0, -AC54)</f>
        <v>1.9543457957545671E-2</v>
      </c>
      <c r="U142" s="133">
        <f>PV($C$1, ($AC$3-$T$3), 0, -AF54)</f>
        <v>0.12070959326719387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49">T143+U143</f>
        <v>82.823117617977786</v>
      </c>
      <c r="T143" s="133">
        <f>PV($C$1, ($AC$3-$T$3), 0, -AC56)</f>
        <v>11.54092622545592</v>
      </c>
      <c r="U143" s="133">
        <f>PV($C$1, ($AC$3-$T$3), 0, -AF56)</f>
        <v>71.282191392521867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9"/>
        <v>78.231675625252109</v>
      </c>
      <c r="T144" s="133">
        <f>PV($C$1, ($AC$3-$T$3), 0, -AC57)</f>
        <v>10.901135128108898</v>
      </c>
      <c r="U144" s="133">
        <f>PV($C$1, ($AC$3-$T$3), 0, -AF57)</f>
        <v>67.330540497143204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9"/>
        <v>0</v>
      </c>
      <c r="T145" s="133">
        <f>PV($C$1, ($AC$3-$T$3), 0, -AC58)</f>
        <v>0</v>
      </c>
      <c r="U145" s="133">
        <f>PV($C$1, ($AC$3-$T$3), 0, -AF58)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49"/>
        <v>0</v>
      </c>
      <c r="T146" s="133">
        <f>PV($C$1, ($AC$3-$T$3), 0, -AC64)</f>
        <v>0</v>
      </c>
      <c r="U146" s="133">
        <f>PV($C$1, ($AC$3-$T$3), 0, -AF64)</f>
        <v>0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9"/>
        <v>82.823117617977786</v>
      </c>
      <c r="T148" s="133">
        <f>PV($C$1, ($AC$3-$T$3), 0, -AC60)</f>
        <v>11.54092622545592</v>
      </c>
      <c r="U148" s="133">
        <f>PV($C$1, ($AC$3-$T$3), 0, -$AF$60)</f>
        <v>71.282191392521867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9"/>
        <v>58.463377142101962</v>
      </c>
      <c r="T149" s="133">
        <f>PV($C$1, ($AC$3-$T$3), 0, -AC61)</f>
        <v>8.146536159145354</v>
      </c>
      <c r="U149" s="133">
        <f>PV($C$1, ($AC$3-$T$3), 0, -$AF$61)</f>
        <v>50.316840982956606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49"/>
        <v>58.463377142101962</v>
      </c>
      <c r="T150" s="133">
        <f>PV($C$1, ($AC$3-$T$3), 0, -AC62)</f>
        <v>8.146536159145354</v>
      </c>
      <c r="U150" s="133">
        <f>PV($C$1, ($AC$3-$T$3), 0, -$AF$62)</f>
        <v>50.316840982956606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9"/>
        <v>0</v>
      </c>
      <c r="T152" s="133">
        <f>PV($C$1, ($AC$3-$T$3), 0, -AC67)</f>
        <v>0</v>
      </c>
      <c r="U152" s="133">
        <f>PV($C$1, ($AC$3-$T$3), 0, -AF67)</f>
        <v>0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49"/>
        <v>0</v>
      </c>
      <c r="T153" s="133">
        <f>PV($C$1, ($AC$3-$T$3), 0, -AC68)</f>
        <v>0</v>
      </c>
      <c r="U153" s="133">
        <f>PV($C$1, ($AC$3-$T$3), 0, -AF68)</f>
        <v>0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50">T155+U155</f>
        <v>0</v>
      </c>
      <c r="T155" s="133">
        <f>PV($C$1, ($AC$3-$T$3), 0, -AC12)</f>
        <v>0</v>
      </c>
      <c r="U155" s="133">
        <f>PV($C$1, ($AC$3-$T$3), 0, -AF12)</f>
        <v>0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0</v>
      </c>
      <c r="T156" s="140">
        <f>T155/P42</f>
        <v>0</v>
      </c>
      <c r="U156" s="140">
        <f>U155/P42</f>
        <v>0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51">T159+U159</f>
        <v>0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0</v>
      </c>
      <c r="U159" s="133">
        <f>PV($C$1, ($AC$3-$T$3), 0, -AF70)</f>
        <v>0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49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52">T163+U163</f>
        <v>0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3" s="133">
        <f>PV($C$1, ($AC$3-$T$3), 0, -AF74)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2"/>
        <v>0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4" s="133">
        <f>PV($C$1, ($AC$3-$T$3), 0, -AF75)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2"/>
        <v>0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5" s="133">
        <f>PV($C$1, ($AC$3-$T$3), 0, -AF76)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52"/>
        <v>0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6" s="133">
        <f>PV($C$1, ($AC$3-$T$3), 0, -AF77)</f>
        <v>0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0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8" s="133">
        <f>PV($C$1, ($AC$3-$T$3), 0, -AF78)</f>
        <v>0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310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320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40</v>
      </c>
      <c r="K171" s="22">
        <v>40</v>
      </c>
      <c r="L171" s="22">
        <v>40</v>
      </c>
      <c r="M171" s="22">
        <v>40</v>
      </c>
      <c r="N171" s="22">
        <v>40</v>
      </c>
      <c r="O171" s="22">
        <v>40</v>
      </c>
      <c r="P171" s="22">
        <v>550</v>
      </c>
      <c r="Q171" s="22">
        <v>200</v>
      </c>
      <c r="R171" s="118" t="e">
        <f t="shared" ref="R171:R176" si="353">((P171/G171)^(1/($H$2-$H$1) ))-1</f>
        <v>#DIV/0!</v>
      </c>
      <c r="S171" s="31">
        <f>L2-3%</f>
        <v>0.09</v>
      </c>
      <c r="T171" s="119">
        <f t="shared" ref="T171" si="354">P171*(1+$S171)</f>
        <v>599.5</v>
      </c>
      <c r="U171" s="119">
        <f t="shared" ref="U171:AC171" si="355">T171*(1+$S171)</f>
        <v>653.45500000000004</v>
      </c>
      <c r="V171" s="119">
        <f t="shared" si="355"/>
        <v>712.26595000000009</v>
      </c>
      <c r="W171" s="119">
        <f t="shared" si="355"/>
        <v>776.36988550000012</v>
      </c>
      <c r="X171" s="119">
        <f t="shared" si="355"/>
        <v>846.24317519500016</v>
      </c>
      <c r="Y171" s="119">
        <f t="shared" si="355"/>
        <v>922.40506096255024</v>
      </c>
      <c r="Z171" s="119">
        <f t="shared" si="355"/>
        <v>1005.4215164491799</v>
      </c>
      <c r="AA171" s="119">
        <f t="shared" si="355"/>
        <v>1095.9094529296062</v>
      </c>
      <c r="AB171" s="119">
        <f t="shared" si="355"/>
        <v>1194.5413036932709</v>
      </c>
      <c r="AC171" s="119">
        <f t="shared" si="355"/>
        <v>1302.0500210256655</v>
      </c>
      <c r="AD171" s="138" t="e">
        <f t="shared" ref="AD171:AD176" si="356">((AC171/G171)^(1/($AC$3-$H$1) ))-1</f>
        <v>#DIV/0!</v>
      </c>
      <c r="AE171" s="31">
        <v>0.08</v>
      </c>
      <c r="AF171" s="127" t="e">
        <f t="shared" ref="AF171:AF179" si="357">(AC171*(1+AD171))/($C$1-AE171)</f>
        <v>#DIV/0!</v>
      </c>
    </row>
    <row r="172" spans="2:32" x14ac:dyDescent="0.2">
      <c r="B172" s="20" t="s">
        <v>361</v>
      </c>
      <c r="C172" s="25" t="e">
        <f t="shared" ref="C172:P172" si="358">C171/C50</f>
        <v>#DIV/0!</v>
      </c>
      <c r="D172" s="25" t="e">
        <f t="shared" si="358"/>
        <v>#DIV/0!</v>
      </c>
      <c r="E172" s="25" t="e">
        <f t="shared" si="358"/>
        <v>#DIV/0!</v>
      </c>
      <c r="F172" s="25" t="e">
        <f t="shared" si="358"/>
        <v>#DIV/0!</v>
      </c>
      <c r="G172" s="25">
        <f t="shared" si="358"/>
        <v>0</v>
      </c>
      <c r="H172" s="25">
        <f t="shared" si="358"/>
        <v>0</v>
      </c>
      <c r="I172" s="25">
        <f t="shared" si="358"/>
        <v>0</v>
      </c>
      <c r="J172" s="25">
        <f t="shared" si="358"/>
        <v>0.29629629629629628</v>
      </c>
      <c r="K172" s="25">
        <f t="shared" si="358"/>
        <v>0.47058823529411764</v>
      </c>
      <c r="L172" s="25">
        <f t="shared" si="358"/>
        <v>37.647058823529413</v>
      </c>
      <c r="M172" s="25">
        <f t="shared" si="358"/>
        <v>87.671232876712324</v>
      </c>
      <c r="N172" s="25">
        <f t="shared" si="358"/>
        <v>336.84210526315792</v>
      </c>
      <c r="O172" s="25">
        <f t="shared" si="358"/>
        <v>0.1161524500907441</v>
      </c>
      <c r="P172" s="25">
        <f t="shared" si="358"/>
        <v>1.4465317919075145</v>
      </c>
      <c r="Q172" s="25">
        <f t="shared" ref="Q172" si="359">Q171/Q50</f>
        <v>4.1837837837837837</v>
      </c>
      <c r="R172" s="118" t="e">
        <f t="shared" ref="R172" si="360">((P172/G172)^(1/($H$2-$H$1) ))-1</f>
        <v>#DIV/0!</v>
      </c>
      <c r="S172" s="128"/>
      <c r="T172" s="25">
        <f t="shared" ref="T172:AC172" si="361">T171/T50</f>
        <v>11.75708614864865</v>
      </c>
      <c r="U172" s="25">
        <f t="shared" si="361"/>
        <v>12.014272408150337</v>
      </c>
      <c r="V172" s="25">
        <f t="shared" si="361"/>
        <v>12.277084617078625</v>
      </c>
      <c r="W172" s="25">
        <f t="shared" si="361"/>
        <v>12.545645843077217</v>
      </c>
      <c r="X172" s="25">
        <f t="shared" si="361"/>
        <v>12.820081845894531</v>
      </c>
      <c r="Y172" s="25">
        <f t="shared" si="361"/>
        <v>13.100521136273473</v>
      </c>
      <c r="Z172" s="25">
        <f t="shared" si="361"/>
        <v>13.387095036129459</v>
      </c>
      <c r="AA172" s="25">
        <f t="shared" si="361"/>
        <v>13.679937740044791</v>
      </c>
      <c r="AB172" s="25">
        <f t="shared" si="361"/>
        <v>13.979186378108272</v>
      </c>
      <c r="AC172" s="25">
        <f t="shared" si="361"/>
        <v>14.284981080129391</v>
      </c>
      <c r="AD172" s="138" t="e">
        <f t="shared" ref="AD172" si="362">((AC172/G172)^(1/($AC$3-$H$1) ))-1</f>
        <v>#DIV/0!</v>
      </c>
      <c r="AE172" s="31">
        <v>0.08</v>
      </c>
      <c r="AF172" s="127" t="e">
        <f t="shared" ref="AF172" si="363">(AC172*(1+AD172))/($C$1-AE172)</f>
        <v>#DIV/0!</v>
      </c>
    </row>
    <row r="173" spans="2:32" x14ac:dyDescent="0.2">
      <c r="B173" s="20" t="s">
        <v>389</v>
      </c>
      <c r="C173" s="25" t="e">
        <f t="shared" ref="C173:P173" si="364">C171/C54</f>
        <v>#DIV/0!</v>
      </c>
      <c r="D173" s="25" t="e">
        <f t="shared" si="364"/>
        <v>#DIV/0!</v>
      </c>
      <c r="E173" s="25" t="e">
        <f t="shared" si="364"/>
        <v>#DIV/0!</v>
      </c>
      <c r="F173" s="25" t="e">
        <f t="shared" si="364"/>
        <v>#DIV/0!</v>
      </c>
      <c r="G173" s="25">
        <f t="shared" si="364"/>
        <v>0</v>
      </c>
      <c r="H173" s="25">
        <f t="shared" si="364"/>
        <v>0</v>
      </c>
      <c r="I173" s="25">
        <f t="shared" si="364"/>
        <v>0</v>
      </c>
      <c r="J173" s="25">
        <f t="shared" si="364"/>
        <v>0.33333333333333331</v>
      </c>
      <c r="K173" s="25">
        <f t="shared" si="364"/>
        <v>0.53333333333333333</v>
      </c>
      <c r="L173" s="25">
        <f t="shared" si="364"/>
        <v>45.714285714285722</v>
      </c>
      <c r="M173" s="25">
        <f t="shared" si="364"/>
        <v>101.5873015873016</v>
      </c>
      <c r="N173" s="25">
        <f t="shared" si="364"/>
        <v>-31.219512195121958</v>
      </c>
      <c r="O173" s="25">
        <f t="shared" si="364"/>
        <v>1.5238095238095237</v>
      </c>
      <c r="P173" s="25">
        <f t="shared" si="364"/>
        <v>30.333333333333336</v>
      </c>
      <c r="Q173" s="25">
        <f t="shared" ref="Q173" si="365">Q171/Q54</f>
        <v>3258.9473684210529</v>
      </c>
      <c r="R173" s="118" t="e">
        <f t="shared" si="353"/>
        <v>#DIV/0!</v>
      </c>
      <c r="S173" s="128"/>
      <c r="T173" s="119">
        <f t="shared" ref="T173:AC173" si="366">T171/T54</f>
        <v>9158.1513157894733</v>
      </c>
      <c r="U173" s="119">
        <f t="shared" si="366"/>
        <v>9358.4858758223691</v>
      </c>
      <c r="V173" s="119">
        <f t="shared" si="366"/>
        <v>9563.2027543559834</v>
      </c>
      <c r="W173" s="119">
        <f t="shared" si="366"/>
        <v>9772.3978146075206</v>
      </c>
      <c r="X173" s="119">
        <f t="shared" si="366"/>
        <v>9986.1690168020577</v>
      </c>
      <c r="Y173" s="119">
        <f t="shared" si="366"/>
        <v>10204.616464044602</v>
      </c>
      <c r="Z173" s="119">
        <f t="shared" si="366"/>
        <v>10427.842449195579</v>
      </c>
      <c r="AA173" s="119">
        <f t="shared" si="366"/>
        <v>10655.951502771735</v>
      </c>
      <c r="AB173" s="119">
        <f t="shared" si="366"/>
        <v>10889.050441894868</v>
      </c>
      <c r="AC173" s="119">
        <f t="shared" si="366"/>
        <v>11127.248420311318</v>
      </c>
      <c r="AD173" s="138" t="e">
        <f t="shared" si="356"/>
        <v>#DIV/0!</v>
      </c>
      <c r="AE173" s="31">
        <v>0.08</v>
      </c>
      <c r="AF173" s="127" t="e">
        <f t="shared" si="357"/>
        <v>#DIV/0!</v>
      </c>
    </row>
    <row r="174" spans="2:32" x14ac:dyDescent="0.2">
      <c r="B174" s="20" t="s">
        <v>258</v>
      </c>
      <c r="C174" s="25" t="e">
        <f t="shared" ref="C174:P174" si="367">C171/C57</f>
        <v>#DIV/0!</v>
      </c>
      <c r="D174" s="25" t="e">
        <f t="shared" si="367"/>
        <v>#DIV/0!</v>
      </c>
      <c r="E174" s="25" t="e">
        <f t="shared" si="367"/>
        <v>#DIV/0!</v>
      </c>
      <c r="F174" s="25" t="e">
        <f t="shared" si="367"/>
        <v>#DIV/0!</v>
      </c>
      <c r="G174" s="25">
        <f t="shared" si="367"/>
        <v>0</v>
      </c>
      <c r="H174" s="25">
        <f t="shared" si="367"/>
        <v>0</v>
      </c>
      <c r="I174" s="25">
        <f t="shared" si="367"/>
        <v>0</v>
      </c>
      <c r="J174" s="25">
        <f t="shared" si="367"/>
        <v>5.7142857142857141E-2</v>
      </c>
      <c r="K174" s="25">
        <f t="shared" si="367"/>
        <v>0.05</v>
      </c>
      <c r="L174" s="25">
        <f t="shared" si="367"/>
        <v>148.83720930232559</v>
      </c>
      <c r="M174" s="25">
        <f t="shared" si="367"/>
        <v>64</v>
      </c>
      <c r="N174" s="25">
        <f t="shared" si="367"/>
        <v>0.34782608695652173</v>
      </c>
      <c r="O174" s="25">
        <f t="shared" si="367"/>
        <v>0.33507853403141363</v>
      </c>
      <c r="P174" s="25">
        <f t="shared" si="367"/>
        <v>4.1024590163934427</v>
      </c>
      <c r="Q174" s="25">
        <f t="shared" ref="Q174" si="368">Q171/Q57</f>
        <v>5.8426118135497269</v>
      </c>
      <c r="R174" s="118" t="e">
        <f t="shared" si="353"/>
        <v>#DIV/0!</v>
      </c>
      <c r="S174" s="128"/>
      <c r="T174" s="119">
        <f t="shared" ref="T174:AC174" si="369">T171/T57</f>
        <v>16.418652104170597</v>
      </c>
      <c r="U174" s="119">
        <f t="shared" si="369"/>
        <v>16.777810118949333</v>
      </c>
      <c r="V174" s="119">
        <f t="shared" si="369"/>
        <v>17.144824715301347</v>
      </c>
      <c r="W174" s="119">
        <f t="shared" si="369"/>
        <v>17.519867755948564</v>
      </c>
      <c r="X174" s="119">
        <f t="shared" si="369"/>
        <v>17.903114863109938</v>
      </c>
      <c r="Y174" s="119">
        <f t="shared" si="369"/>
        <v>18.294745500740468</v>
      </c>
      <c r="Z174" s="119">
        <f t="shared" si="369"/>
        <v>18.694943058569166</v>
      </c>
      <c r="AA174" s="119">
        <f t="shared" si="369"/>
        <v>19.103894937975365</v>
      </c>
      <c r="AB174" s="119">
        <f t="shared" si="369"/>
        <v>19.521792639743577</v>
      </c>
      <c r="AC174" s="119">
        <f t="shared" si="369"/>
        <v>19.948831853737968</v>
      </c>
      <c r="AD174" s="138" t="e">
        <f t="shared" si="356"/>
        <v>#DIV/0!</v>
      </c>
      <c r="AE174" s="31">
        <v>0.08</v>
      </c>
      <c r="AF174" s="127" t="e">
        <f t="shared" si="357"/>
        <v>#DIV/0!</v>
      </c>
    </row>
    <row r="175" spans="2:32" x14ac:dyDescent="0.2">
      <c r="B175" s="20" t="s">
        <v>259</v>
      </c>
      <c r="C175" s="25" t="e">
        <f t="shared" ref="C175:P175" si="370">C171/C66</f>
        <v>#DIV/0!</v>
      </c>
      <c r="D175" s="25" t="e">
        <f t="shared" si="370"/>
        <v>#DIV/0!</v>
      </c>
      <c r="E175" s="25" t="e">
        <f t="shared" si="370"/>
        <v>#DIV/0!</v>
      </c>
      <c r="F175" s="25" t="e">
        <f t="shared" si="370"/>
        <v>#DIV/0!</v>
      </c>
      <c r="G175" s="25">
        <f t="shared" si="370"/>
        <v>0</v>
      </c>
      <c r="H175" s="25">
        <f t="shared" si="370"/>
        <v>0</v>
      </c>
      <c r="I175" s="25">
        <f t="shared" si="370"/>
        <v>0</v>
      </c>
      <c r="J175" s="25">
        <f t="shared" si="370"/>
        <v>6.6611157368859281E-2</v>
      </c>
      <c r="K175" s="25">
        <f t="shared" si="370"/>
        <v>8.4121976866456366E-2</v>
      </c>
      <c r="L175" s="25">
        <f t="shared" si="370"/>
        <v>4.2666666666666666</v>
      </c>
      <c r="M175" s="25">
        <f t="shared" si="370"/>
        <v>4.2666666666666666</v>
      </c>
      <c r="N175" s="25">
        <f t="shared" si="370"/>
        <v>0.26337448559670784</v>
      </c>
      <c r="O175" s="25">
        <f t="shared" si="370"/>
        <v>1.5802469135802468</v>
      </c>
      <c r="P175" s="25">
        <f t="shared" si="370"/>
        <v>38.5</v>
      </c>
      <c r="Q175" s="25" t="e">
        <f t="shared" ref="Q175" si="371">Q171/Q66</f>
        <v>#DIV/0!</v>
      </c>
      <c r="R175" s="118" t="e">
        <f t="shared" si="353"/>
        <v>#DIV/0!</v>
      </c>
      <c r="S175" s="128"/>
      <c r="T175" s="119" t="e">
        <f t="shared" ref="T175:AC175" si="372">T171/T66</f>
        <v>#DIV/0!</v>
      </c>
      <c r="U175" s="119" t="e">
        <f t="shared" si="372"/>
        <v>#DIV/0!</v>
      </c>
      <c r="V175" s="119" t="e">
        <f t="shared" si="372"/>
        <v>#DIV/0!</v>
      </c>
      <c r="W175" s="119" t="e">
        <f t="shared" si="372"/>
        <v>#DIV/0!</v>
      </c>
      <c r="X175" s="119" t="e">
        <f t="shared" si="372"/>
        <v>#DIV/0!</v>
      </c>
      <c r="Y175" s="119" t="e">
        <f t="shared" si="372"/>
        <v>#DIV/0!</v>
      </c>
      <c r="Z175" s="119" t="e">
        <f t="shared" si="372"/>
        <v>#DIV/0!</v>
      </c>
      <c r="AA175" s="119" t="e">
        <f t="shared" si="372"/>
        <v>#DIV/0!</v>
      </c>
      <c r="AB175" s="119" t="e">
        <f t="shared" si="372"/>
        <v>#DIV/0!</v>
      </c>
      <c r="AC175" s="119" t="e">
        <f t="shared" si="372"/>
        <v>#DIV/0!</v>
      </c>
      <c r="AD175" s="138" t="e">
        <f t="shared" si="356"/>
        <v>#DIV/0!</v>
      </c>
      <c r="AE175" s="31">
        <v>0.08</v>
      </c>
      <c r="AF175" s="127" t="e">
        <f t="shared" si="357"/>
        <v>#DIV/0!</v>
      </c>
    </row>
    <row r="176" spans="2:32" x14ac:dyDescent="0.2">
      <c r="B176" s="20" t="s">
        <v>260</v>
      </c>
      <c r="C176" s="25" t="e">
        <f t="shared" ref="C176:P176" si="373">C171/C68</f>
        <v>#DIV/0!</v>
      </c>
      <c r="D176" s="25" t="e">
        <f t="shared" si="373"/>
        <v>#DIV/0!</v>
      </c>
      <c r="E176" s="25" t="e">
        <f t="shared" si="373"/>
        <v>#DIV/0!</v>
      </c>
      <c r="F176" s="25" t="e">
        <f t="shared" si="373"/>
        <v>#DIV/0!</v>
      </c>
      <c r="G176" s="25">
        <f t="shared" si="373"/>
        <v>0</v>
      </c>
      <c r="H176" s="25">
        <f t="shared" si="373"/>
        <v>0</v>
      </c>
      <c r="I176" s="25">
        <f t="shared" si="373"/>
        <v>0</v>
      </c>
      <c r="J176" s="25">
        <f t="shared" si="373"/>
        <v>0.2857142857142857</v>
      </c>
      <c r="K176" s="25">
        <f t="shared" si="373"/>
        <v>0.1111111111111111</v>
      </c>
      <c r="L176" s="25">
        <f t="shared" si="373"/>
        <v>7.1111111111111107</v>
      </c>
      <c r="M176" s="25">
        <f t="shared" si="373"/>
        <v>4.5714285714285712</v>
      </c>
      <c r="N176" s="25">
        <f t="shared" si="373"/>
        <v>3.5555555555555554</v>
      </c>
      <c r="O176" s="25">
        <f t="shared" si="373"/>
        <v>1.3913043478260869</v>
      </c>
      <c r="P176" s="25">
        <f t="shared" si="373"/>
        <v>37.074074074074076</v>
      </c>
      <c r="Q176" s="25" t="e">
        <f t="shared" ref="Q176" si="374">Q171/Q68</f>
        <v>#DIV/0!</v>
      </c>
      <c r="R176" s="118" t="e">
        <f t="shared" si="353"/>
        <v>#DIV/0!</v>
      </c>
      <c r="S176" s="128"/>
      <c r="T176" s="119" t="e">
        <f t="shared" ref="T176:AC176" si="375">T171/T68</f>
        <v>#DIV/0!</v>
      </c>
      <c r="U176" s="119" t="e">
        <f t="shared" si="375"/>
        <v>#DIV/0!</v>
      </c>
      <c r="V176" s="119" t="e">
        <f t="shared" si="375"/>
        <v>#DIV/0!</v>
      </c>
      <c r="W176" s="119" t="e">
        <f t="shared" si="375"/>
        <v>#DIV/0!</v>
      </c>
      <c r="X176" s="119" t="e">
        <f t="shared" si="375"/>
        <v>#DIV/0!</v>
      </c>
      <c r="Y176" s="119" t="e">
        <f t="shared" si="375"/>
        <v>#DIV/0!</v>
      </c>
      <c r="Z176" s="119" t="e">
        <f t="shared" si="375"/>
        <v>#DIV/0!</v>
      </c>
      <c r="AA176" s="119" t="e">
        <f t="shared" si="375"/>
        <v>#DIV/0!</v>
      </c>
      <c r="AB176" s="119" t="e">
        <f t="shared" si="375"/>
        <v>#DIV/0!</v>
      </c>
      <c r="AC176" s="119" t="e">
        <f t="shared" si="375"/>
        <v>#DIV/0!</v>
      </c>
      <c r="AD176" s="138" t="e">
        <f t="shared" si="356"/>
        <v>#DIV/0!</v>
      </c>
      <c r="AE176" s="31">
        <v>0.08</v>
      </c>
      <c r="AF176" s="127" t="e">
        <f t="shared" si="357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376">G171/G62</f>
        <v>0</v>
      </c>
      <c r="H177" s="182">
        <f t="shared" si="376"/>
        <v>0</v>
      </c>
      <c r="I177" s="182">
        <f t="shared" si="376"/>
        <v>0</v>
      </c>
      <c r="J177" s="182">
        <f t="shared" si="376"/>
        <v>5.3297801465689541E-2</v>
      </c>
      <c r="K177" s="182">
        <f t="shared" si="376"/>
        <v>4.8455481526347662E-2</v>
      </c>
      <c r="L177" s="182">
        <f t="shared" si="376"/>
        <v>2.6359143327841843</v>
      </c>
      <c r="M177" s="182">
        <f t="shared" si="376"/>
        <v>2.0711974110032365</v>
      </c>
      <c r="N177" s="182">
        <f t="shared" si="376"/>
        <v>0.30992736077481842</v>
      </c>
      <c r="O177" s="182">
        <f t="shared" si="376"/>
        <v>0.27526881720430108</v>
      </c>
      <c r="P177" s="182">
        <f t="shared" si="376"/>
        <v>5.15979381443299</v>
      </c>
      <c r="Q177" s="182">
        <f t="shared" ref="Q177" si="377">Q171/Q62</f>
        <v>7.8181818181818183</v>
      </c>
      <c r="R177" s="118" t="e">
        <f t="shared" ref="R177:R180" si="378">((P177/G177)^(1/($H$2-$H$1) ))-1</f>
        <v>#DIV/0!</v>
      </c>
      <c r="S177" s="128"/>
      <c r="T177" s="135">
        <f t="shared" ref="T177:AC177" si="379">T171/T62</f>
        <v>21.970312500000002</v>
      </c>
      <c r="U177" s="135">
        <f t="shared" si="379"/>
        <v>22.450913085937497</v>
      </c>
      <c r="V177" s="135">
        <f t="shared" si="379"/>
        <v>22.942026809692383</v>
      </c>
      <c r="W177" s="135">
        <f t="shared" si="379"/>
        <v>23.443883646154404</v>
      </c>
      <c r="X177" s="135">
        <f t="shared" si="379"/>
        <v>23.95671860091403</v>
      </c>
      <c r="Y177" s="135">
        <f t="shared" si="379"/>
        <v>24.480771820309023</v>
      </c>
      <c r="Z177" s="135">
        <f t="shared" si="379"/>
        <v>25.016288703878288</v>
      </c>
      <c r="AA177" s="135">
        <f t="shared" si="379"/>
        <v>25.563520019275622</v>
      </c>
      <c r="AB177" s="135">
        <f t="shared" si="379"/>
        <v>26.122722019697282</v>
      </c>
      <c r="AC177" s="135">
        <f t="shared" si="379"/>
        <v>26.694156563878163</v>
      </c>
      <c r="AD177" s="138" t="e">
        <f t="shared" ref="AD177" si="380">((AC177/G177)^(1/($AC$3-$H$1) ))-1</f>
        <v>#DIV/0!</v>
      </c>
      <c r="AE177" s="31">
        <v>0.08</v>
      </c>
      <c r="AF177" s="127" t="e">
        <f t="shared" si="357"/>
        <v>#DIV/0!</v>
      </c>
    </row>
    <row r="178" spans="2:46" x14ac:dyDescent="0.2">
      <c r="B178" s="20" t="s">
        <v>371</v>
      </c>
      <c r="C178" s="161" t="e">
        <f t="shared" ref="C178:P178" si="381">C54/C171</f>
        <v>#DIV/0!</v>
      </c>
      <c r="D178" s="161" t="e">
        <f t="shared" si="381"/>
        <v>#DIV/0!</v>
      </c>
      <c r="E178" s="161" t="e">
        <f t="shared" si="381"/>
        <v>#DIV/0!</v>
      </c>
      <c r="F178" s="161" t="e">
        <f t="shared" si="381"/>
        <v>#DIV/0!</v>
      </c>
      <c r="G178" s="161" t="e">
        <f t="shared" si="381"/>
        <v>#DIV/0!</v>
      </c>
      <c r="H178" s="161" t="e">
        <f t="shared" si="381"/>
        <v>#DIV/0!</v>
      </c>
      <c r="I178" s="161" t="e">
        <f t="shared" si="381"/>
        <v>#DIV/0!</v>
      </c>
      <c r="J178" s="161">
        <f t="shared" si="381"/>
        <v>3</v>
      </c>
      <c r="K178" s="161">
        <f t="shared" si="381"/>
        <v>1.875</v>
      </c>
      <c r="L178" s="161">
        <f t="shared" si="381"/>
        <v>2.1874999999999999E-2</v>
      </c>
      <c r="M178" s="161">
        <f t="shared" si="381"/>
        <v>9.8437500000000001E-3</v>
      </c>
      <c r="N178" s="161">
        <f t="shared" si="381"/>
        <v>-3.2031249999999997E-2</v>
      </c>
      <c r="O178" s="161">
        <f t="shared" si="381"/>
        <v>0.65625</v>
      </c>
      <c r="P178" s="161">
        <f t="shared" si="381"/>
        <v>3.2967032967032968E-2</v>
      </c>
      <c r="Q178" s="161">
        <f t="shared" ref="Q178" si="382">Q54/Q171</f>
        <v>3.0684754521963822E-4</v>
      </c>
      <c r="R178" s="118" t="e">
        <f t="shared" si="378"/>
        <v>#DIV/0!</v>
      </c>
      <c r="S178" s="128"/>
      <c r="T178" s="161">
        <f t="shared" ref="T178:AC178" si="383">T54/T171</f>
        <v>1.0919234303061912E-4</v>
      </c>
      <c r="U178" s="161">
        <f t="shared" si="383"/>
        <v>1.0685489226237956E-4</v>
      </c>
      <c r="V178" s="161">
        <f t="shared" si="383"/>
        <v>1.045674786665488E-4</v>
      </c>
      <c r="W178" s="161">
        <f t="shared" si="383"/>
        <v>1.0232903111099577E-4</v>
      </c>
      <c r="X178" s="161">
        <f t="shared" si="383"/>
        <v>1.001385013930234E-4</v>
      </c>
      <c r="Y178" s="161">
        <f t="shared" si="383"/>
        <v>9.799486374852443E-5</v>
      </c>
      <c r="Z178" s="161">
        <f t="shared" si="383"/>
        <v>9.589711437164469E-5</v>
      </c>
      <c r="AA178" s="161">
        <f t="shared" si="383"/>
        <v>9.3844270944728721E-5</v>
      </c>
      <c r="AB178" s="161">
        <f t="shared" si="383"/>
        <v>9.1835372178327806E-5</v>
      </c>
      <c r="AC178" s="161">
        <f t="shared" si="383"/>
        <v>8.9869477361054727E-5</v>
      </c>
      <c r="AD178" s="138" t="e">
        <f t="shared" ref="AD178:AD180" si="384">((AC178/G178)^(1/($AC$3-$H$1) ))-1</f>
        <v>#DIV/0!</v>
      </c>
      <c r="AE178" s="31">
        <v>0.08</v>
      </c>
      <c r="AF178" s="127" t="e">
        <f t="shared" si="357"/>
        <v>#DIV/0!</v>
      </c>
    </row>
    <row r="179" spans="2:46" x14ac:dyDescent="0.2">
      <c r="B179" s="20" t="s">
        <v>320</v>
      </c>
      <c r="C179" s="152" t="e">
        <f t="shared" ref="C179:P179" si="385">C44/C171</f>
        <v>#DIV/0!</v>
      </c>
      <c r="D179" s="152" t="e">
        <f t="shared" si="385"/>
        <v>#DIV/0!</v>
      </c>
      <c r="E179" s="152" t="e">
        <f t="shared" si="385"/>
        <v>#DIV/0!</v>
      </c>
      <c r="F179" s="152" t="e">
        <f t="shared" si="385"/>
        <v>#DIV/0!</v>
      </c>
      <c r="G179" s="152" t="e">
        <f t="shared" si="385"/>
        <v>#DIV/0!</v>
      </c>
      <c r="H179" s="152" t="e">
        <f t="shared" si="385"/>
        <v>#DIV/0!</v>
      </c>
      <c r="I179" s="152" t="e">
        <f t="shared" si="385"/>
        <v>#DIV/0!</v>
      </c>
      <c r="J179" s="152">
        <f t="shared" si="385"/>
        <v>0</v>
      </c>
      <c r="K179" s="152">
        <f t="shared" si="385"/>
        <v>0</v>
      </c>
      <c r="L179" s="152">
        <f t="shared" si="385"/>
        <v>3.7499999999999999E-2</v>
      </c>
      <c r="M179" s="152">
        <f t="shared" si="385"/>
        <v>0</v>
      </c>
      <c r="N179" s="152">
        <f t="shared" si="385"/>
        <v>0</v>
      </c>
      <c r="O179" s="152">
        <f t="shared" si="385"/>
        <v>0</v>
      </c>
      <c r="P179" s="152">
        <f t="shared" si="385"/>
        <v>0</v>
      </c>
      <c r="Q179" s="152">
        <f t="shared" ref="Q179" si="386">Q44/Q171</f>
        <v>0</v>
      </c>
      <c r="R179" s="118" t="e">
        <f t="shared" si="378"/>
        <v>#DIV/0!</v>
      </c>
      <c r="S179" s="128"/>
      <c r="T179" s="152">
        <f t="shared" ref="T179:AC179" si="387">T44/T171</f>
        <v>0</v>
      </c>
      <c r="U179" s="152">
        <f t="shared" si="387"/>
        <v>0</v>
      </c>
      <c r="V179" s="152">
        <f t="shared" si="387"/>
        <v>0</v>
      </c>
      <c r="W179" s="152">
        <f t="shared" si="387"/>
        <v>0</v>
      </c>
      <c r="X179" s="152">
        <f t="shared" si="387"/>
        <v>0</v>
      </c>
      <c r="Y179" s="152">
        <f t="shared" si="387"/>
        <v>0</v>
      </c>
      <c r="Z179" s="152">
        <f t="shared" si="387"/>
        <v>0</v>
      </c>
      <c r="AA179" s="152">
        <f t="shared" si="387"/>
        <v>0</v>
      </c>
      <c r="AB179" s="152">
        <f t="shared" si="387"/>
        <v>0</v>
      </c>
      <c r="AC179" s="152">
        <f t="shared" si="387"/>
        <v>0</v>
      </c>
      <c r="AD179" s="138" t="e">
        <f t="shared" si="384"/>
        <v>#DIV/0!</v>
      </c>
      <c r="AE179" s="31">
        <v>0.08</v>
      </c>
      <c r="AF179" s="127" t="e">
        <f t="shared" si="357"/>
        <v>#DIV/0!</v>
      </c>
    </row>
    <row r="180" spans="2:46" x14ac:dyDescent="0.2">
      <c r="B180" s="20" t="s">
        <v>447</v>
      </c>
      <c r="C180" s="181" t="e">
        <f t="shared" ref="C180:O180" si="388">(C173)/($L$2*100)</f>
        <v>#DIV/0!</v>
      </c>
      <c r="D180" s="181" t="e">
        <f t="shared" si="388"/>
        <v>#DIV/0!</v>
      </c>
      <c r="E180" s="181" t="e">
        <f t="shared" si="388"/>
        <v>#DIV/0!</v>
      </c>
      <c r="F180" s="181" t="e">
        <f t="shared" si="388"/>
        <v>#DIV/0!</v>
      </c>
      <c r="G180" s="181">
        <f t="shared" si="388"/>
        <v>0</v>
      </c>
      <c r="H180" s="181">
        <f t="shared" si="388"/>
        <v>0</v>
      </c>
      <c r="I180" s="181">
        <f t="shared" si="388"/>
        <v>0</v>
      </c>
      <c r="J180" s="181">
        <f t="shared" si="388"/>
        <v>2.7777777777777776E-2</v>
      </c>
      <c r="K180" s="181">
        <f t="shared" si="388"/>
        <v>4.4444444444444446E-2</v>
      </c>
      <c r="L180" s="181">
        <f t="shared" si="388"/>
        <v>3.8095238095238102</v>
      </c>
      <c r="M180" s="181">
        <f t="shared" si="388"/>
        <v>8.4656084656084669</v>
      </c>
      <c r="N180" s="181">
        <f t="shared" si="388"/>
        <v>-2.601626016260163</v>
      </c>
      <c r="O180" s="181">
        <f t="shared" si="388"/>
        <v>0.12698412698412698</v>
      </c>
      <c r="P180" s="181">
        <f>(P173)/($L$2*100)</f>
        <v>2.5277777777777781</v>
      </c>
      <c r="Q180" s="181">
        <f>(Q173)/($L$2*100)</f>
        <v>271.5789473684211</v>
      </c>
      <c r="R180" s="118" t="e">
        <f t="shared" si="378"/>
        <v>#DIV/0!</v>
      </c>
      <c r="S180" s="128"/>
      <c r="T180" s="181">
        <f>(T173)/($L$2*100)</f>
        <v>763.17927631578948</v>
      </c>
      <c r="U180" s="181">
        <f t="shared" ref="U180:AC180" si="389">(U173)/($L$2*100)</f>
        <v>779.87382298519742</v>
      </c>
      <c r="V180" s="181">
        <f t="shared" si="389"/>
        <v>796.93356286299866</v>
      </c>
      <c r="W180" s="181">
        <f t="shared" si="389"/>
        <v>814.36648455062675</v>
      </c>
      <c r="X180" s="181">
        <f t="shared" si="389"/>
        <v>832.18075140017152</v>
      </c>
      <c r="Y180" s="181">
        <f t="shared" si="389"/>
        <v>850.38470533705015</v>
      </c>
      <c r="Z180" s="181">
        <f t="shared" si="389"/>
        <v>868.98687076629824</v>
      </c>
      <c r="AA180" s="181">
        <f t="shared" si="389"/>
        <v>887.99595856431131</v>
      </c>
      <c r="AB180" s="181">
        <f t="shared" si="389"/>
        <v>907.4208701579056</v>
      </c>
      <c r="AC180" s="181">
        <f t="shared" si="389"/>
        <v>927.2707016926098</v>
      </c>
      <c r="AD180" s="138" t="e">
        <f t="shared" si="384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390">G180-1</f>
        <v>-1</v>
      </c>
      <c r="H181" s="152">
        <f t="shared" si="390"/>
        <v>-1</v>
      </c>
      <c r="I181" s="152">
        <f t="shared" si="390"/>
        <v>-1</v>
      </c>
      <c r="J181" s="152">
        <f t="shared" si="390"/>
        <v>-0.97222222222222221</v>
      </c>
      <c r="K181" s="152">
        <f t="shared" si="390"/>
        <v>-0.9555555555555556</v>
      </c>
      <c r="L181" s="152">
        <f t="shared" si="390"/>
        <v>2.8095238095238102</v>
      </c>
      <c r="M181" s="152">
        <f t="shared" si="390"/>
        <v>7.4656084656084669</v>
      </c>
      <c r="N181" s="152">
        <f t="shared" si="390"/>
        <v>-3.601626016260163</v>
      </c>
      <c r="O181" s="152">
        <f t="shared" si="390"/>
        <v>-0.87301587301587302</v>
      </c>
      <c r="P181" s="152">
        <f t="shared" si="390"/>
        <v>1.5277777777777781</v>
      </c>
      <c r="Q181" s="152">
        <f>Q180-1</f>
        <v>270.5789473684211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1</v>
      </c>
      <c r="Q184" s="128">
        <f>(Q171-T159)/Q171</f>
        <v>1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0.89370295065072369</v>
      </c>
      <c r="N185" s="20"/>
      <c r="O185" s="20"/>
      <c r="P185" s="128">
        <f>(Q171-S150)/Q171</f>
        <v>0.70768311428949016</v>
      </c>
      <c r="Q185" s="128">
        <f>(Q171-T150)/Q171</f>
        <v>0.95926731920427333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0.84941251342185853</v>
      </c>
      <c r="N186" s="20"/>
      <c r="O186" s="20"/>
      <c r="P186" s="128">
        <f>(Q171-S143)/Q171</f>
        <v>0.58588441191011109</v>
      </c>
      <c r="Q186" s="128">
        <f>(Q171-T143)/Q171</f>
        <v>0.94229536887272047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1</v>
      </c>
      <c r="N187" s="20"/>
      <c r="O187" s="20"/>
      <c r="P187" s="128">
        <f>(Q171-S156)/Q171</f>
        <v>1</v>
      </c>
      <c r="Q187" s="128">
        <f>(Q171-T156)/Q171</f>
        <v>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1</v>
      </c>
      <c r="N188" s="20"/>
      <c r="O188" s="20"/>
      <c r="P188" s="128">
        <f>(Q171-S168)/Q171</f>
        <v>1</v>
      </c>
      <c r="Q188" s="128">
        <f>(Q171-T168)/Q171</f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1425.993932064428</v>
      </c>
      <c r="Q189" s="25">
        <f>Q171/T142</f>
        <v>10233.603512462369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7.0126525612369773E-4</v>
      </c>
      <c r="Q190" s="152">
        <f>1/Q189</f>
        <v>9.7717289787728346E-5</v>
      </c>
      <c r="R190" s="20"/>
      <c r="S190" s="20"/>
      <c r="T190" s="129">
        <f>Q171-T191</f>
        <v>143.68842958882203</v>
      </c>
      <c r="U190" s="185">
        <f>T190-U191</f>
        <v>84.561280657085149</v>
      </c>
      <c r="V190" s="185">
        <f t="shared" ref="V190:X190" si="391">U190-V191</f>
        <v>22.477774278761423</v>
      </c>
      <c r="W190" s="185">
        <f t="shared" si="391"/>
        <v>-42.709907418478487</v>
      </c>
      <c r="X190" s="185">
        <f t="shared" si="391"/>
        <v>-111.15697320058038</v>
      </c>
      <c r="Y190" s="185">
        <f>X190-Y191</f>
        <v>-183.02639227178739</v>
      </c>
      <c r="Z190" s="185">
        <f t="shared" ref="Z190:AC190" si="392">Y190-Z191</f>
        <v>-258.48928229655473</v>
      </c>
      <c r="AA190" s="185">
        <f t="shared" si="392"/>
        <v>-337.72531682256044</v>
      </c>
      <c r="AB190" s="185">
        <f t="shared" si="392"/>
        <v>-420.92315307486649</v>
      </c>
      <c r="AC190" s="185">
        <f t="shared" si="392"/>
        <v>-508.28088113978782</v>
      </c>
      <c r="AD190" s="185">
        <f t="shared" ref="AD190" si="393">AC190-AD191</f>
        <v>-600.00649560795523</v>
      </c>
      <c r="AE190" s="185">
        <f t="shared" ref="AE190" si="394">AD190-AE191</f>
        <v>-696.31839079953102</v>
      </c>
      <c r="AF190" s="185">
        <f t="shared" ref="AF190" si="395">AE190-AF191</f>
        <v>-797.44588075068555</v>
      </c>
      <c r="AG190" s="185">
        <f t="shared" ref="AG190" si="396">AF190-AG191</f>
        <v>-903.62974519939792</v>
      </c>
      <c r="AH190" s="185">
        <f t="shared" ref="AH190" si="397">AG190-AH191</f>
        <v>-1015.1228028705459</v>
      </c>
      <c r="AI190" s="185">
        <f t="shared" ref="AI190" si="398">AH190-AI191</f>
        <v>-1132.1905134252513</v>
      </c>
      <c r="AJ190" s="185">
        <f t="shared" ref="AJ190" si="399">AI190-AJ191</f>
        <v>-1255.111609507692</v>
      </c>
      <c r="AK190" s="185">
        <f t="shared" ref="AK190" si="400">AJ190-AK191</f>
        <v>-1384.1787603942548</v>
      </c>
      <c r="AL190" s="185">
        <f t="shared" ref="AL190" si="401">AK190-AL191</f>
        <v>-1519.6992688251457</v>
      </c>
      <c r="AM190" s="185">
        <f t="shared" ref="AM190" si="402">AL190-AM191</f>
        <v>-1661.9958026775812</v>
      </c>
      <c r="AN190" s="185">
        <f t="shared" ref="AN190" si="403">AM190-AN191</f>
        <v>-1811.4071632226382</v>
      </c>
      <c r="AO190" s="185">
        <f t="shared" ref="AO190" si="404">AN190-AO191</f>
        <v>-1968.2890917949483</v>
      </c>
      <c r="AP190" s="185">
        <f t="shared" ref="AP190" si="405">AO190-AP191</f>
        <v>-2133.0151167958738</v>
      </c>
      <c r="AQ190" s="185">
        <f t="shared" ref="AQ190" si="406">AP190-AQ191</f>
        <v>-2305.9774430468456</v>
      </c>
      <c r="AR190" s="185">
        <f t="shared" ref="AR190" si="407">AQ190-AR191</f>
        <v>-2487.5878856103659</v>
      </c>
      <c r="AS190" s="185">
        <f t="shared" ref="AS190" si="408">AR190-AS191</f>
        <v>-2678.2788503020624</v>
      </c>
      <c r="AT190" s="185">
        <f t="shared" ref="AT190" si="409">AS190-AT191</f>
        <v>-2878.5043632283437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3.7292513504172233</v>
      </c>
      <c r="Q191" s="181">
        <f>Q171/R141</f>
        <v>3.7292513504172233</v>
      </c>
      <c r="R191" s="20"/>
      <c r="S191" s="20"/>
      <c r="T191" s="186">
        <f>R141*(1+$K$191)</f>
        <v>56.311570411177975</v>
      </c>
      <c r="U191" s="186">
        <f>T191*(1+$K$191)</f>
        <v>59.127148931736876</v>
      </c>
      <c r="V191" s="186">
        <f t="shared" ref="V191:AC191" si="410">U191*(1+$K$191)</f>
        <v>62.083506378323726</v>
      </c>
      <c r="W191" s="186">
        <f t="shared" si="410"/>
        <v>65.18768169723991</v>
      </c>
      <c r="X191" s="186">
        <f t="shared" si="410"/>
        <v>68.447065782101902</v>
      </c>
      <c r="Y191" s="186">
        <f t="shared" si="410"/>
        <v>71.869419071207005</v>
      </c>
      <c r="Z191" s="186">
        <f t="shared" si="410"/>
        <v>75.462890024767361</v>
      </c>
      <c r="AA191" s="186">
        <f t="shared" si="410"/>
        <v>79.236034526005739</v>
      </c>
      <c r="AB191" s="186">
        <f t="shared" si="410"/>
        <v>83.197836252306033</v>
      </c>
      <c r="AC191" s="186">
        <f t="shared" si="410"/>
        <v>87.357728064921332</v>
      </c>
      <c r="AD191" s="186">
        <f t="shared" ref="AD191" si="411">AC191*(1+$K$191)</f>
        <v>91.725614468167407</v>
      </c>
      <c r="AE191" s="186">
        <f t="shared" ref="AE191" si="412">AD191*(1+$K$191)</f>
        <v>96.311895191575786</v>
      </c>
      <c r="AF191" s="186">
        <f t="shared" ref="AF191" si="413">AE191*(1+$K$191)</f>
        <v>101.12748995115459</v>
      </c>
      <c r="AG191" s="186">
        <f t="shared" ref="AG191" si="414">AF191*(1+$K$191)</f>
        <v>106.18386444871233</v>
      </c>
      <c r="AH191" s="186">
        <f t="shared" ref="AH191" si="415">AG191*(1+$K$191)</f>
        <v>111.49305767114795</v>
      </c>
      <c r="AI191" s="186">
        <f t="shared" ref="AI191" si="416">AH191*(1+$K$191)</f>
        <v>117.06771055470536</v>
      </c>
      <c r="AJ191" s="186">
        <f t="shared" ref="AJ191" si="417">AI191*(1+$K$191)</f>
        <v>122.92109608244063</v>
      </c>
      <c r="AK191" s="186">
        <f t="shared" ref="AK191" si="418">AJ191*(1+$K$191)</f>
        <v>129.06715088656267</v>
      </c>
      <c r="AL191" s="186">
        <f t="shared" ref="AL191" si="419">AK191*(1+$K$191)</f>
        <v>135.5205084308908</v>
      </c>
      <c r="AM191" s="186">
        <f t="shared" ref="AM191" si="420">AL191*(1+$K$191)</f>
        <v>142.29653385243535</v>
      </c>
      <c r="AN191" s="186">
        <f t="shared" ref="AN191" si="421">AM191*(1+$K$191)</f>
        <v>149.41136054505711</v>
      </c>
      <c r="AO191" s="186">
        <f t="shared" ref="AO191" si="422">AN191*(1+$K$191)</f>
        <v>156.88192857230996</v>
      </c>
      <c r="AP191" s="186">
        <f t="shared" ref="AP191" si="423">AO191*(1+$K$191)</f>
        <v>164.72602500092546</v>
      </c>
      <c r="AQ191" s="186">
        <f t="shared" ref="AQ191" si="424">AP191*(1+$K$191)</f>
        <v>172.96232625097173</v>
      </c>
      <c r="AR191" s="186">
        <f t="shared" ref="AR191" si="425">AQ191*(1+$K$191)</f>
        <v>181.61044256352031</v>
      </c>
      <c r="AS191" s="186">
        <f t="shared" ref="AS191" si="426">AR191*(1+$K$191)</f>
        <v>190.69096469169634</v>
      </c>
      <c r="AT191" s="186">
        <f t="shared" ref="AT191" si="427">AS191*(1+$K$191)</f>
        <v>200.22551292628117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>
        <f>Q173</f>
        <v>3258.9473684210529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3258.9473684210529</v>
      </c>
      <c r="Q192" s="181">
        <f>Q171/Q54</f>
        <v>3258.9473684210529</v>
      </c>
      <c r="R192" s="20"/>
      <c r="S192" s="20"/>
      <c r="T192" s="186">
        <f>Q54*(1+$K$192)</f>
        <v>6.4437984496124021E-2</v>
      </c>
      <c r="U192" s="186">
        <f>T192*(1+$K$192)</f>
        <v>6.7659883720930222E-2</v>
      </c>
      <c r="V192" s="186">
        <f t="shared" ref="V192:AC192" si="428">U192*(1+$K$192)</f>
        <v>7.1042877906976734E-2</v>
      </c>
      <c r="W192" s="186">
        <f t="shared" si="428"/>
        <v>7.4595021802325578E-2</v>
      </c>
      <c r="X192" s="186">
        <f t="shared" si="428"/>
        <v>7.8324772892441857E-2</v>
      </c>
      <c r="Y192" s="186">
        <f t="shared" si="428"/>
        <v>8.2241011537063952E-2</v>
      </c>
      <c r="Z192" s="186">
        <f t="shared" si="428"/>
        <v>8.6353062113917148E-2</v>
      </c>
      <c r="AA192" s="186">
        <f t="shared" si="428"/>
        <v>9.0670715219613007E-2</v>
      </c>
      <c r="AB192" s="186">
        <f t="shared" si="428"/>
        <v>9.5204250980593666E-2</v>
      </c>
      <c r="AC192" s="186">
        <f t="shared" si="428"/>
        <v>9.9964463529623349E-2</v>
      </c>
      <c r="AD192" s="186">
        <f t="shared" ref="AD192" si="429">AC192*(1+$K$192)</f>
        <v>0.10496268670610452</v>
      </c>
      <c r="AE192" s="186">
        <f t="shared" ref="AE192" si="430">AD192*(1+$K$192)</f>
        <v>0.11021082104140975</v>
      </c>
      <c r="AF192" s="186">
        <f t="shared" ref="AF192" si="431">AE192*(1+$K$192)</f>
        <v>0.11572136209348025</v>
      </c>
      <c r="AG192" s="186">
        <f t="shared" ref="AG192" si="432">AF192*(1+$K$192)</f>
        <v>0.12150743019815426</v>
      </c>
      <c r="AH192" s="186">
        <f t="shared" ref="AH192" si="433">AG192*(1+$K$192)</f>
        <v>0.12758280170806197</v>
      </c>
      <c r="AI192" s="186">
        <f t="shared" ref="AI192" si="434">AH192*(1+$K$192)</f>
        <v>0.13396194179346507</v>
      </c>
      <c r="AJ192" s="186">
        <f t="shared" ref="AJ192" si="435">AI192*(1+$K$192)</f>
        <v>0.14066003888313833</v>
      </c>
      <c r="AK192" s="186">
        <f t="shared" ref="AK192" si="436">AJ192*(1+$K$192)</f>
        <v>0.14769304082729526</v>
      </c>
      <c r="AL192" s="186">
        <f t="shared" ref="AL192" si="437">AK192*(1+$K$192)</f>
        <v>0.15507769286866002</v>
      </c>
      <c r="AM192" s="186">
        <f t="shared" ref="AM192" si="438">AL192*(1+$K$192)</f>
        <v>0.16283157751209304</v>
      </c>
      <c r="AN192" s="186">
        <f t="shared" ref="AN192" si="439">AM192*(1+$K$192)</f>
        <v>0.17097315638769769</v>
      </c>
      <c r="AO192" s="186">
        <f t="shared" ref="AO192" si="440">AN192*(1+$K$192)</f>
        <v>0.17952181420708258</v>
      </c>
      <c r="AP192" s="186">
        <f t="shared" ref="AP192" si="441">AO192*(1+$K$192)</f>
        <v>0.1884979049174367</v>
      </c>
      <c r="AQ192" s="186">
        <f t="shared" ref="AQ192" si="442">AP192*(1+$K$192)</f>
        <v>0.19792280016330854</v>
      </c>
      <c r="AR192" s="186">
        <f t="shared" ref="AR192" si="443">AQ192*(1+$K$192)</f>
        <v>0.20781894017147398</v>
      </c>
      <c r="AS192" s="186">
        <f t="shared" ref="AS192" si="444">AR192*(1+$K$192)</f>
        <v>0.21820988718004769</v>
      </c>
      <c r="AT192" s="186">
        <f t="shared" ref="AT192" si="445">AS192*(1+$K$192)</f>
        <v>0.22912038153905009</v>
      </c>
    </row>
    <row r="193" spans="2:46" x14ac:dyDescent="0.2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199.93556201550388</v>
      </c>
      <c r="U193" s="185">
        <f>T193-U192</f>
        <v>199.86790213178296</v>
      </c>
      <c r="V193" s="185">
        <f t="shared" ref="V193:AA193" si="446">U193-V192</f>
        <v>199.79685925387597</v>
      </c>
      <c r="W193" s="185">
        <f t="shared" si="446"/>
        <v>199.72226423207363</v>
      </c>
      <c r="X193" s="185">
        <f t="shared" si="446"/>
        <v>199.64393945918118</v>
      </c>
      <c r="Y193" s="185">
        <f t="shared" si="446"/>
        <v>199.56169844764412</v>
      </c>
      <c r="Z193" s="185">
        <f t="shared" si="446"/>
        <v>199.4753453855302</v>
      </c>
      <c r="AA193" s="185">
        <f t="shared" si="446"/>
        <v>199.3846746703106</v>
      </c>
      <c r="AB193" s="185">
        <f>AA193-AB192</f>
        <v>199.28947041933</v>
      </c>
      <c r="AC193" s="185">
        <f t="shared" ref="AC193" si="447">AB193-AC192</f>
        <v>199.18950595580037</v>
      </c>
      <c r="AD193" s="185">
        <f t="shared" ref="AD193" si="448">AC193-AD192</f>
        <v>199.08454326909427</v>
      </c>
      <c r="AE193" s="185">
        <f t="shared" ref="AE193" si="449">AD193-AE192</f>
        <v>198.97433244805285</v>
      </c>
      <c r="AF193" s="185">
        <f t="shared" ref="AF193" si="450">AE193-AF192</f>
        <v>198.85861108595938</v>
      </c>
      <c r="AG193" s="185">
        <f t="shared" ref="AG193" si="451">AF193-AG192</f>
        <v>198.73710365576122</v>
      </c>
      <c r="AH193" s="185">
        <f t="shared" ref="AH193" si="452">AG193-AH192</f>
        <v>198.60952085405316</v>
      </c>
      <c r="AI193" s="185">
        <f t="shared" ref="AI193" si="453">AH193-AI192</f>
        <v>198.47555891225969</v>
      </c>
      <c r="AJ193" s="185">
        <f t="shared" ref="AJ193" si="454">AI193-AJ192</f>
        <v>198.33489887337655</v>
      </c>
      <c r="AK193" s="185">
        <f t="shared" ref="AK193" si="455">AJ193-AK192</f>
        <v>198.18720583254924</v>
      </c>
      <c r="AL193" s="185">
        <f t="shared" ref="AL193" si="456">AK193-AL192</f>
        <v>198.03212813968057</v>
      </c>
      <c r="AM193" s="185">
        <f t="shared" ref="AM193" si="457">AL193-AM192</f>
        <v>197.86929656216847</v>
      </c>
      <c r="AN193" s="185">
        <f t="shared" ref="AN193" si="458">AM193-AN192</f>
        <v>197.69832340578077</v>
      </c>
      <c r="AO193" s="185">
        <f t="shared" ref="AO193" si="459">AN193-AO192</f>
        <v>197.51880159157369</v>
      </c>
      <c r="AP193" s="185">
        <f t="shared" ref="AP193" si="460">AO193-AP192</f>
        <v>197.33030368665626</v>
      </c>
      <c r="AQ193" s="185">
        <f t="shared" ref="AQ193" si="461">AP193-AQ192</f>
        <v>197.13238088649297</v>
      </c>
      <c r="AR193" s="185">
        <f t="shared" ref="AR193" si="462">AQ193-AR192</f>
        <v>196.92456194632149</v>
      </c>
      <c r="AS193" s="185">
        <f t="shared" ref="AS193" si="463">AR193-AS192</f>
        <v>196.70635205914144</v>
      </c>
      <c r="AT193" s="185">
        <f t="shared" ref="AT193" si="464">AS193-AT192</f>
        <v>196.47723167760239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65">C10/C7</f>
        <v>#DIV/0!</v>
      </c>
      <c r="D195" s="25" t="e">
        <f t="shared" si="465"/>
        <v>#DIV/0!</v>
      </c>
      <c r="E195" s="25" t="e">
        <f t="shared" si="465"/>
        <v>#DIV/0!</v>
      </c>
      <c r="F195" s="25" t="e">
        <f t="shared" si="465"/>
        <v>#DIV/0!</v>
      </c>
      <c r="G195" s="25">
        <f t="shared" si="465"/>
        <v>0</v>
      </c>
      <c r="H195" s="25">
        <f t="shared" si="465"/>
        <v>0</v>
      </c>
      <c r="I195" s="25">
        <f t="shared" si="465"/>
        <v>0</v>
      </c>
      <c r="J195" s="25">
        <f t="shared" si="465"/>
        <v>0</v>
      </c>
      <c r="K195" s="25">
        <f t="shared" si="465"/>
        <v>0</v>
      </c>
      <c r="L195" s="25">
        <f t="shared" si="465"/>
        <v>0</v>
      </c>
      <c r="M195" s="25">
        <f t="shared" si="465"/>
        <v>0</v>
      </c>
      <c r="N195" s="25">
        <f t="shared" si="465"/>
        <v>0</v>
      </c>
      <c r="O195" s="25">
        <f t="shared" si="465"/>
        <v>0</v>
      </c>
      <c r="P195" s="25">
        <f t="shared" si="465"/>
        <v>3.8022813688212927E-2</v>
      </c>
      <c r="Q195" s="25">
        <f t="shared" ref="Q195" si="466">Q10/Q7</f>
        <v>0</v>
      </c>
      <c r="R195" s="118" t="e">
        <f t="shared" ref="R195:R197" si="467">((P195/G195)^(1/($H$2-$H$1) ))-1</f>
        <v>#DIV/0!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 t="e">
        <f>G10/G12</f>
        <v>#DIV/0!</v>
      </c>
      <c r="H196" s="112">
        <f t="shared" ref="H196:P196" si="468">H10/H12</f>
        <v>0</v>
      </c>
      <c r="I196" s="112">
        <f t="shared" si="468"/>
        <v>0</v>
      </c>
      <c r="J196" s="112">
        <f t="shared" si="468"/>
        <v>0</v>
      </c>
      <c r="K196" s="112">
        <f t="shared" si="468"/>
        <v>0</v>
      </c>
      <c r="L196" s="112">
        <f t="shared" si="468"/>
        <v>0</v>
      </c>
      <c r="M196" s="112">
        <f t="shared" si="468"/>
        <v>0</v>
      </c>
      <c r="N196" s="112">
        <f t="shared" si="468"/>
        <v>0</v>
      </c>
      <c r="O196" s="112">
        <f t="shared" si="468"/>
        <v>0</v>
      </c>
      <c r="P196" s="112">
        <f t="shared" si="468"/>
        <v>0.4</v>
      </c>
      <c r="Q196" s="112" t="e">
        <f t="shared" ref="Q196" si="469">Q10/Q12</f>
        <v>#DIV/0!</v>
      </c>
      <c r="R196" s="118" t="e">
        <f t="shared" si="467"/>
        <v>#DIV/0!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0</v>
      </c>
      <c r="H197" s="25">
        <f t="shared" ref="H197:P197" si="470">H10/(H12+H13)</f>
        <v>0</v>
      </c>
      <c r="I197" s="25">
        <f t="shared" si="470"/>
        <v>0</v>
      </c>
      <c r="J197" s="25">
        <f t="shared" si="470"/>
        <v>0</v>
      </c>
      <c r="K197" s="25">
        <f t="shared" si="470"/>
        <v>0</v>
      </c>
      <c r="L197" s="25">
        <f t="shared" si="470"/>
        <v>0</v>
      </c>
      <c r="M197" s="25">
        <f t="shared" si="470"/>
        <v>0</v>
      </c>
      <c r="N197" s="25">
        <f t="shared" si="470"/>
        <v>0</v>
      </c>
      <c r="O197" s="25">
        <f t="shared" si="470"/>
        <v>0</v>
      </c>
      <c r="P197" s="25">
        <f t="shared" si="470"/>
        <v>0.38461538461538464</v>
      </c>
      <c r="Q197" s="25" t="e">
        <f t="shared" ref="Q197" si="471">Q10/(Q12+Q13)</f>
        <v>#DIV/0!</v>
      </c>
      <c r="R197" s="118" t="e">
        <f t="shared" si="467"/>
        <v>#DIV/0!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393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394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432</v>
      </c>
      <c r="C3" s="212"/>
      <c r="F3" s="211" t="s">
        <v>433</v>
      </c>
      <c r="G3" s="212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2014-08-09T16:47:21Z</dcterms:modified>
</cp:coreProperties>
</file>
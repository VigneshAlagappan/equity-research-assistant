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U60" i="18"/>
  <c r="U58"/>
  <c r="U56"/>
  <c r="U54"/>
  <c r="U52"/>
  <c r="U48"/>
  <c r="U46"/>
  <c r="U44"/>
  <c r="U39"/>
  <c r="U37"/>
  <c r="U30"/>
  <c r="U28"/>
  <c r="U26"/>
  <c r="U11"/>
  <c r="U8"/>
  <c r="S60"/>
  <c r="R60"/>
  <c r="Q60"/>
  <c r="P60"/>
  <c r="O60"/>
  <c r="N60"/>
  <c r="M60"/>
  <c r="L60"/>
  <c r="K60"/>
  <c r="J60"/>
  <c r="I60"/>
  <c r="H60"/>
  <c r="G60"/>
  <c r="S58"/>
  <c r="R58"/>
  <c r="Q58"/>
  <c r="P58"/>
  <c r="O58"/>
  <c r="N58"/>
  <c r="M58"/>
  <c r="L58"/>
  <c r="K58"/>
  <c r="J58"/>
  <c r="I58"/>
  <c r="H58"/>
  <c r="G58"/>
  <c r="S56"/>
  <c r="R56"/>
  <c r="Q56"/>
  <c r="P56"/>
  <c r="O56"/>
  <c r="N56"/>
  <c r="M56"/>
  <c r="L56"/>
  <c r="K56"/>
  <c r="J56"/>
  <c r="I56"/>
  <c r="H56"/>
  <c r="G56"/>
  <c r="S54"/>
  <c r="R54"/>
  <c r="Q54"/>
  <c r="P54"/>
  <c r="O54"/>
  <c r="N54"/>
  <c r="M54"/>
  <c r="L54"/>
  <c r="K54"/>
  <c r="J54"/>
  <c r="I54"/>
  <c r="H54"/>
  <c r="G54"/>
  <c r="R52"/>
  <c r="Q52"/>
  <c r="P52"/>
  <c r="O52"/>
  <c r="N52"/>
  <c r="M52"/>
  <c r="L52"/>
  <c r="K52"/>
  <c r="J52"/>
  <c r="I52"/>
  <c r="H52"/>
  <c r="G52"/>
  <c r="S52"/>
  <c r="I49"/>
  <c r="H49" s="1"/>
  <c r="G49" s="1"/>
  <c r="S48"/>
  <c r="R48"/>
  <c r="Q48"/>
  <c r="P48"/>
  <c r="O48"/>
  <c r="N48"/>
  <c r="M48"/>
  <c r="L48"/>
  <c r="K48"/>
  <c r="I47"/>
  <c r="S46"/>
  <c r="R46"/>
  <c r="Q46"/>
  <c r="P46"/>
  <c r="O46"/>
  <c r="N46"/>
  <c r="M46"/>
  <c r="L46"/>
  <c r="K46"/>
  <c r="I45"/>
  <c r="S44"/>
  <c r="R44"/>
  <c r="Q44"/>
  <c r="P44"/>
  <c r="O44"/>
  <c r="N44"/>
  <c r="M44"/>
  <c r="L44"/>
  <c r="K44"/>
  <c r="I43"/>
  <c r="I42"/>
  <c r="H42"/>
  <c r="G42" s="1"/>
  <c r="I41"/>
  <c r="H41" s="1"/>
  <c r="G41" s="1"/>
  <c r="I40"/>
  <c r="H40"/>
  <c r="G40" s="1"/>
  <c r="S39"/>
  <c r="R39"/>
  <c r="Q39"/>
  <c r="P39"/>
  <c r="O39"/>
  <c r="N39"/>
  <c r="M39"/>
  <c r="L39"/>
  <c r="K39"/>
  <c r="I38"/>
  <c r="J39" s="1"/>
  <c r="H38"/>
  <c r="S37"/>
  <c r="R37"/>
  <c r="Q37"/>
  <c r="P37"/>
  <c r="O37"/>
  <c r="N37"/>
  <c r="M37"/>
  <c r="L37"/>
  <c r="K37"/>
  <c r="I36"/>
  <c r="J37" s="1"/>
  <c r="H36"/>
  <c r="S33"/>
  <c r="S32"/>
  <c r="S31"/>
  <c r="S30"/>
  <c r="R30"/>
  <c r="Q30"/>
  <c r="P30"/>
  <c r="O30"/>
  <c r="N30"/>
  <c r="M30"/>
  <c r="L30"/>
  <c r="K30"/>
  <c r="J30"/>
  <c r="I30"/>
  <c r="H30"/>
  <c r="G30"/>
  <c r="S28"/>
  <c r="R28"/>
  <c r="Q28"/>
  <c r="P28"/>
  <c r="O28"/>
  <c r="N28"/>
  <c r="M28"/>
  <c r="L28"/>
  <c r="K28"/>
  <c r="J28"/>
  <c r="I28"/>
  <c r="H28"/>
  <c r="G28"/>
  <c r="S26"/>
  <c r="R26"/>
  <c r="Q26"/>
  <c r="P26"/>
  <c r="O26"/>
  <c r="N26"/>
  <c r="M26"/>
  <c r="L26"/>
  <c r="K26"/>
  <c r="J26"/>
  <c r="I26"/>
  <c r="H26"/>
  <c r="G26"/>
  <c r="S18"/>
  <c r="S16"/>
  <c r="S15"/>
  <c r="S14"/>
  <c r="S13"/>
  <c r="S12"/>
  <c r="L12"/>
  <c r="K12"/>
  <c r="H12"/>
  <c r="G12"/>
  <c r="R11"/>
  <c r="Q11"/>
  <c r="P11"/>
  <c r="O11"/>
  <c r="N11"/>
  <c r="M11"/>
  <c r="L11"/>
  <c r="K11"/>
  <c r="J11"/>
  <c r="I11"/>
  <c r="H11"/>
  <c r="G11"/>
  <c r="S10"/>
  <c r="S11" s="1"/>
  <c r="S8"/>
  <c r="R8"/>
  <c r="Q8"/>
  <c r="P8"/>
  <c r="O8"/>
  <c r="N8"/>
  <c r="M8"/>
  <c r="L8"/>
  <c r="K8"/>
  <c r="J8"/>
  <c r="I8"/>
  <c r="H8"/>
  <c r="G8"/>
  <c r="I37" l="1"/>
  <c r="I39"/>
  <c r="J44"/>
  <c r="J46"/>
  <c r="J48"/>
  <c r="G36"/>
  <c r="G37" s="1"/>
  <c r="G38"/>
  <c r="G39" s="1"/>
  <c r="H43"/>
  <c r="H45"/>
  <c r="H47"/>
  <c r="G47" l="1"/>
  <c r="G48" s="1"/>
  <c r="G43"/>
  <c r="G44" s="1"/>
  <c r="I48"/>
  <c r="I44"/>
  <c r="H37"/>
  <c r="H46"/>
  <c r="G45"/>
  <c r="G46" s="1"/>
  <c r="I46"/>
  <c r="H39"/>
  <c r="H44" l="1"/>
  <c r="H48"/>
  <c r="U66" l="1"/>
  <c r="U67"/>
  <c r="U68"/>
  <c r="U70"/>
  <c r="U71"/>
  <c r="U72"/>
  <c r="U73"/>
  <c r="U74"/>
  <c r="U75"/>
  <c r="U76"/>
  <c r="U78"/>
  <c r="U79"/>
  <c r="U80"/>
  <c r="U82"/>
  <c r="U83"/>
  <c r="U84" s="1"/>
  <c r="U207" s="1"/>
  <c r="U85"/>
  <c r="U86"/>
  <c r="U88"/>
  <c r="U90"/>
  <c r="U92" s="1"/>
  <c r="U93"/>
  <c r="U94"/>
  <c r="U95"/>
  <c r="U96"/>
  <c r="U98"/>
  <c r="U99"/>
  <c r="U100"/>
  <c r="U102"/>
  <c r="U105"/>
  <c r="U106"/>
  <c r="U107"/>
  <c r="U108"/>
  <c r="U109"/>
  <c r="U110"/>
  <c r="U112"/>
  <c r="U113"/>
  <c r="U114"/>
  <c r="U115"/>
  <c r="U116"/>
  <c r="U122" s="1"/>
  <c r="U118"/>
  <c r="U119"/>
  <c r="U120"/>
  <c r="U121"/>
  <c r="U124"/>
  <c r="U125"/>
  <c r="U126"/>
  <c r="U127"/>
  <c r="U128"/>
  <c r="U129"/>
  <c r="U130"/>
  <c r="U131"/>
  <c r="U132"/>
  <c r="U134"/>
  <c r="U135"/>
  <c r="U136"/>
  <c r="U137"/>
  <c r="U139"/>
  <c r="U140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202"/>
  <c r="U203"/>
  <c r="U204"/>
  <c r="U205"/>
  <c r="U206"/>
  <c r="U208"/>
  <c r="U209"/>
  <c r="U211"/>
  <c r="U212"/>
  <c r="U214"/>
  <c r="U215"/>
  <c r="U216"/>
  <c r="U217" s="1"/>
  <c r="V153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36"/>
  <c r="V38"/>
  <c r="V40"/>
  <c r="V41"/>
  <c r="V42"/>
  <c r="V43"/>
  <c r="V45"/>
  <c r="V47"/>
  <c r="V49"/>
  <c r="V50"/>
  <c r="V51"/>
  <c r="V53"/>
  <c r="V55"/>
  <c r="V57"/>
  <c r="V59"/>
  <c r="V6"/>
  <c r="U143" l="1"/>
  <c r="G211"/>
  <c r="G212"/>
  <c r="G66"/>
  <c r="G202" s="1"/>
  <c r="G67"/>
  <c r="G68"/>
  <c r="G70"/>
  <c r="G204" s="1"/>
  <c r="G71"/>
  <c r="G205" s="1"/>
  <c r="G72"/>
  <c r="G73"/>
  <c r="G74"/>
  <c r="G75"/>
  <c r="G206" s="1"/>
  <c r="G76"/>
  <c r="G78"/>
  <c r="G79"/>
  <c r="G80"/>
  <c r="G209" s="1"/>
  <c r="G82"/>
  <c r="G83"/>
  <c r="G85"/>
  <c r="G86"/>
  <c r="G208" s="1"/>
  <c r="G88"/>
  <c r="G139" s="1"/>
  <c r="G140" s="1"/>
  <c r="G141" s="1"/>
  <c r="G142" s="1"/>
  <c r="G90"/>
  <c r="G92" s="1"/>
  <c r="G93"/>
  <c r="G94"/>
  <c r="G95"/>
  <c r="G96"/>
  <c r="G98"/>
  <c r="G164" s="1"/>
  <c r="G99"/>
  <c r="G100"/>
  <c r="G102"/>
  <c r="G105"/>
  <c r="G106"/>
  <c r="G107"/>
  <c r="G108"/>
  <c r="G109"/>
  <c r="G110"/>
  <c r="G112"/>
  <c r="G118" s="1"/>
  <c r="G113"/>
  <c r="G119" s="1"/>
  <c r="G114"/>
  <c r="G120" s="1"/>
  <c r="G115"/>
  <c r="G121" s="1"/>
  <c r="G116"/>
  <c r="G122" s="1"/>
  <c r="G134"/>
  <c r="G135"/>
  <c r="G136"/>
  <c r="G137"/>
  <c r="G145"/>
  <c r="G146"/>
  <c r="G147"/>
  <c r="G149"/>
  <c r="G150"/>
  <c r="G151"/>
  <c r="G154"/>
  <c r="G155"/>
  <c r="G156"/>
  <c r="G157"/>
  <c r="G159"/>
  <c r="G160"/>
  <c r="G162"/>
  <c r="G163" s="1"/>
  <c r="G166"/>
  <c r="G167"/>
  <c r="AI232"/>
  <c r="AJ231"/>
  <c r="AI231"/>
  <c r="AI230"/>
  <c r="AI229"/>
  <c r="G203" l="1"/>
  <c r="G216" s="1"/>
  <c r="G217" s="1"/>
  <c r="G84"/>
  <c r="G207" s="1"/>
  <c r="G143"/>
  <c r="G215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H69" l="1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V201"/>
  <c r="H248"/>
  <c r="I248"/>
  <c r="H249"/>
  <c r="I249"/>
  <c r="H250"/>
  <c r="I250"/>
  <c r="H211"/>
  <c r="I211"/>
  <c r="H212"/>
  <c r="I212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I143" l="1"/>
  <c r="H141"/>
  <c r="H142" s="1"/>
  <c r="H143"/>
  <c r="I125"/>
  <c r="I126"/>
  <c r="I127"/>
  <c r="I128"/>
  <c r="I131"/>
  <c r="I129"/>
  <c r="I124"/>
  <c r="I132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X47" s="1"/>
  <c r="Y47" s="1"/>
  <c r="Z47" s="1"/>
  <c r="AA47" s="1"/>
  <c r="AB47" s="1"/>
  <c r="AC47" s="1"/>
  <c r="AD47" s="1"/>
  <c r="AE47" s="1"/>
  <c r="AF47" s="1"/>
  <c r="AG47" s="1"/>
  <c r="T48"/>
  <c r="T130"/>
  <c r="S130"/>
  <c r="R130"/>
  <c r="Q130"/>
  <c r="P130"/>
  <c r="O130"/>
  <c r="N130"/>
  <c r="M130"/>
  <c r="L130"/>
  <c r="K130"/>
  <c r="X57"/>
  <c r="G129" l="1"/>
  <c r="V129" s="1"/>
  <c r="G125"/>
  <c r="G127"/>
  <c r="V127" s="1"/>
  <c r="G131"/>
  <c r="G126"/>
  <c r="V126" s="1"/>
  <c r="G128"/>
  <c r="V128" s="1"/>
  <c r="G124"/>
  <c r="G132"/>
  <c r="H129"/>
  <c r="H125"/>
  <c r="H126"/>
  <c r="H127"/>
  <c r="H128"/>
  <c r="H131"/>
  <c r="H124"/>
  <c r="H132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H47" i="18"/>
  <c r="T126"/>
  <c r="S126"/>
  <c r="R126"/>
  <c r="Q126"/>
  <c r="P126"/>
  <c r="O126"/>
  <c r="N126"/>
  <c r="M126"/>
  <c r="L126"/>
  <c r="K126"/>
  <c r="W49"/>
  <c r="T46"/>
  <c r="T44"/>
  <c r="T39"/>
  <c r="T37"/>
  <c r="J126"/>
  <c r="J130" l="1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T132" i="18"/>
  <c r="V132" s="1"/>
  <c r="T131"/>
  <c r="V131" s="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V125" s="1"/>
  <c r="S125"/>
  <c r="R125"/>
  <c r="Q125"/>
  <c r="P125"/>
  <c r="O125"/>
  <c r="N125"/>
  <c r="M125"/>
  <c r="L125"/>
  <c r="K125"/>
  <c r="J125"/>
  <c r="T124"/>
  <c r="V124" s="1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X40" s="1"/>
  <c r="Y40" s="1"/>
  <c r="Z40" s="1"/>
  <c r="AA40" s="1"/>
  <c r="AB40" s="1"/>
  <c r="AC40" s="1"/>
  <c r="AD40" s="1"/>
  <c r="AE40" s="1"/>
  <c r="AF40" s="1"/>
  <c r="AG40" s="1"/>
  <c r="X49"/>
  <c r="Y49" s="1"/>
  <c r="Z49" s="1"/>
  <c r="AA49" s="1"/>
  <c r="AB49" s="1"/>
  <c r="AC49" s="1"/>
  <c r="AD49" s="1"/>
  <c r="AE49" s="1"/>
  <c r="AF49" s="1"/>
  <c r="AG49" s="1"/>
  <c r="W45"/>
  <c r="X45" s="1"/>
  <c r="Y45" s="1"/>
  <c r="Z45" s="1"/>
  <c r="AA45" s="1"/>
  <c r="AB45" s="1"/>
  <c r="AC45" s="1"/>
  <c r="AD45" s="1"/>
  <c r="AE45" s="1"/>
  <c r="AF45" s="1"/>
  <c r="AG45" s="1"/>
  <c r="G130" l="1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AH45"/>
  <c r="AH40"/>
  <c r="W43"/>
  <c r="X43" s="1"/>
  <c r="Y43" s="1"/>
  <c r="Z43" s="1"/>
  <c r="AA43" s="1"/>
  <c r="AB43" s="1"/>
  <c r="AC43" s="1"/>
  <c r="AD43" s="1"/>
  <c r="AE43" s="1"/>
  <c r="AF43" s="1"/>
  <c r="AG43" s="1"/>
  <c r="AH43" s="1"/>
  <c r="W42"/>
  <c r="X42" s="1"/>
  <c r="Y42" s="1"/>
  <c r="Z42" s="1"/>
  <c r="AA42" s="1"/>
  <c r="AB42" s="1"/>
  <c r="AC42" s="1"/>
  <c r="AD42" s="1"/>
  <c r="AE42" s="1"/>
  <c r="AF42" s="1"/>
  <c r="AG42" s="1"/>
  <c r="AH42" s="1"/>
  <c r="W41"/>
  <c r="X41" s="1"/>
  <c r="Y41" s="1"/>
  <c r="Z41" s="1"/>
  <c r="AA41" s="1"/>
  <c r="AB41" s="1"/>
  <c r="AC41" s="1"/>
  <c r="AD41" s="1"/>
  <c r="AE41" s="1"/>
  <c r="AF41" s="1"/>
  <c r="AG41" s="1"/>
  <c r="W38"/>
  <c r="X38" s="1"/>
  <c r="W36"/>
  <c r="X36" s="1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X128"/>
  <c r="AH41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V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T58"/>
  <c r="T56"/>
  <c r="T54"/>
  <c r="T52"/>
  <c r="T30"/>
  <c r="T28"/>
  <c r="T26"/>
  <c r="T11"/>
  <c r="T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T102"/>
  <c r="V102" s="1"/>
  <c r="S102"/>
  <c r="R102"/>
  <c r="Q102"/>
  <c r="U170" s="1"/>
  <c r="P102"/>
  <c r="O102"/>
  <c r="N102"/>
  <c r="M102"/>
  <c r="L102"/>
  <c r="K102"/>
  <c r="J102"/>
  <c r="W170" l="1"/>
  <c r="U220" s="1"/>
  <c r="U219" s="1"/>
  <c r="H82" i="20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T170"/>
  <c r="U225" s="1"/>
  <c r="C1"/>
  <c r="AJ47" s="1"/>
  <c r="U221" l="1"/>
  <c r="U222" s="1"/>
  <c r="U224"/>
  <c r="U226"/>
  <c r="U227" s="1"/>
  <c r="T225"/>
  <c r="G225"/>
  <c r="G219"/>
  <c r="G221"/>
  <c r="G222" s="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S244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V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V70" s="1"/>
  <c r="X224" l="1"/>
  <c r="G224"/>
  <c r="G226"/>
  <c r="G227" s="1"/>
  <c r="V220"/>
  <c r="T219"/>
  <c r="X219"/>
  <c r="T205"/>
  <c r="V205" s="1"/>
  <c r="T204"/>
  <c r="V204" s="1"/>
  <c r="H219"/>
  <c r="H221"/>
  <c r="I224"/>
  <c r="I226"/>
  <c r="I227" s="1"/>
  <c r="V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V224" l="1"/>
  <c r="V221"/>
  <c r="H222"/>
  <c r="V222" s="1"/>
  <c r="V226"/>
  <c r="H227"/>
  <c r="V227" s="1"/>
  <c r="V219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V147" s="1"/>
  <c r="T146"/>
  <c r="V146" s="1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V211" s="1"/>
  <c r="T66"/>
  <c r="V66" s="1"/>
  <c r="T67"/>
  <c r="V67" s="1"/>
  <c r="T68"/>
  <c r="V68" s="1"/>
  <c r="T72"/>
  <c r="V72" s="1"/>
  <c r="T73"/>
  <c r="T74"/>
  <c r="V74" s="1"/>
  <c r="T75"/>
  <c r="V75" s="1"/>
  <c r="T76"/>
  <c r="V76" s="1"/>
  <c r="T78"/>
  <c r="V78" s="1"/>
  <c r="T79"/>
  <c r="V79" s="1"/>
  <c r="T80"/>
  <c r="V80" s="1"/>
  <c r="T82"/>
  <c r="V82" s="1"/>
  <c r="T83"/>
  <c r="V83" s="1"/>
  <c r="T85"/>
  <c r="V85" s="1"/>
  <c r="T86"/>
  <c r="V86" s="1"/>
  <c r="T88"/>
  <c r="V88" s="1"/>
  <c r="T90"/>
  <c r="V90" s="1"/>
  <c r="T93"/>
  <c r="V93" s="1"/>
  <c r="T94"/>
  <c r="V94" s="1"/>
  <c r="T95"/>
  <c r="V95" s="1"/>
  <c r="T96"/>
  <c r="V96" s="1"/>
  <c r="T98"/>
  <c r="V98" s="1"/>
  <c r="T99"/>
  <c r="V99" s="1"/>
  <c r="T100"/>
  <c r="V100" s="1"/>
  <c r="T105"/>
  <c r="V105" s="1"/>
  <c r="T106"/>
  <c r="V106" s="1"/>
  <c r="T107"/>
  <c r="V107" s="1"/>
  <c r="T108"/>
  <c r="V108" s="1"/>
  <c r="T109"/>
  <c r="V109" s="1"/>
  <c r="T112"/>
  <c r="V112" s="1"/>
  <c r="T113"/>
  <c r="V113" s="1"/>
  <c r="T114"/>
  <c r="V114" s="1"/>
  <c r="T115"/>
  <c r="V115" s="1"/>
  <c r="T116"/>
  <c r="V116" s="1"/>
  <c r="T134"/>
  <c r="V134" s="1"/>
  <c r="T135"/>
  <c r="V135" s="1"/>
  <c r="T136"/>
  <c r="V136" s="1"/>
  <c r="T137"/>
  <c r="V137" s="1"/>
  <c r="T145"/>
  <c r="V145" s="1"/>
  <c r="T149"/>
  <c r="V149" s="1"/>
  <c r="T150"/>
  <c r="V150" s="1"/>
  <c r="T151"/>
  <c r="V151" s="1"/>
  <c r="T154"/>
  <c r="V154" s="1"/>
  <c r="T155"/>
  <c r="V155" s="1"/>
  <c r="T156"/>
  <c r="V156" s="1"/>
  <c r="T157"/>
  <c r="V157" s="1"/>
  <c r="T159"/>
  <c r="V159" s="1"/>
  <c r="T160"/>
  <c r="V160" s="1"/>
  <c r="T162"/>
  <c r="V162" s="1"/>
  <c r="T166"/>
  <c r="V166" s="1"/>
  <c r="T167"/>
  <c r="V167" s="1"/>
  <c r="X17"/>
  <c r="X19"/>
  <c r="X24"/>
  <c r="T92" l="1"/>
  <c r="V92" s="1"/>
  <c r="T139"/>
  <c r="V139" s="1"/>
  <c r="T214"/>
  <c r="V214" s="1"/>
  <c r="T110"/>
  <c r="V110" s="1"/>
  <c r="T164"/>
  <c r="V164" s="1"/>
  <c r="T122"/>
  <c r="V122" s="1"/>
  <c r="T120"/>
  <c r="V120" s="1"/>
  <c r="T119"/>
  <c r="V119" s="1"/>
  <c r="T202"/>
  <c r="V202" s="1"/>
  <c r="T118"/>
  <c r="V118" s="1"/>
  <c r="T163"/>
  <c r="V163" s="1"/>
  <c r="T208"/>
  <c r="V208" s="1"/>
  <c r="T121"/>
  <c r="V121" s="1"/>
  <c r="T209"/>
  <c r="V209" s="1"/>
  <c r="T206"/>
  <c r="V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S245" i="18"/>
  <c r="T203"/>
  <c r="V203" s="1"/>
  <c r="T84"/>
  <c r="V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V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V215" s="1"/>
  <c r="K245"/>
  <c r="X59"/>
  <c r="V140" l="1"/>
  <c r="T143"/>
  <c r="V143" s="1"/>
  <c r="T141"/>
  <c r="T142" s="1"/>
  <c r="V142" s="1"/>
  <c r="T217"/>
  <c r="V217" s="1"/>
  <c r="V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V141" l="1"/>
  <c r="F71" i="20"/>
  <c r="G71"/>
  <c r="C72" s="1"/>
  <c r="B117"/>
  <c r="F116"/>
  <c r="G116" s="1"/>
  <c r="C117" s="1"/>
  <c r="I117"/>
  <c r="M116"/>
  <c r="N116" s="1"/>
  <c r="J117" s="1"/>
  <c r="M61"/>
  <c r="N61"/>
  <c r="AI53" i="18"/>
  <c r="W53"/>
  <c r="J62" i="20" l="1"/>
  <c r="P61"/>
  <c r="F72"/>
  <c r="G72" s="1"/>
  <c r="C73" s="1"/>
  <c r="I118"/>
  <c r="M117"/>
  <c r="N117" s="1"/>
  <c r="J118" s="1"/>
  <c r="B118"/>
  <c r="F117"/>
  <c r="G117" s="1"/>
  <c r="C118" s="1"/>
  <c r="X53" i="18"/>
  <c r="F73" i="20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X14"/>
  <c r="Y14" s="1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X32"/>
  <c r="Y32" s="1"/>
  <c r="Z32" s="1"/>
  <c r="AA32" s="1"/>
  <c r="AB32" s="1"/>
  <c r="AC32" s="1"/>
  <c r="AD32" s="1"/>
  <c r="AE32" s="1"/>
  <c r="AF32" s="1"/>
  <c r="AG32" s="1"/>
  <c r="AH32" s="1"/>
  <c r="O262"/>
  <c r="V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X25" s="1"/>
  <c r="X129" s="1"/>
  <c r="W27"/>
  <c r="X27" s="1"/>
  <c r="W29"/>
  <c r="X29" s="1"/>
  <c r="W31"/>
  <c r="W33"/>
  <c r="X33" s="1"/>
  <c r="W34"/>
  <c r="X34" s="1"/>
  <c r="W51"/>
  <c r="X51" s="1"/>
  <c r="W55"/>
  <c r="X55" s="1"/>
  <c r="X130" s="1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J65" i="20" l="1"/>
  <c r="P64"/>
  <c r="F78"/>
  <c r="G78" s="1"/>
  <c r="X132" i="18"/>
  <c r="X131"/>
  <c r="X124"/>
  <c r="X125"/>
  <c r="X68"/>
  <c r="X110" s="1"/>
  <c r="AD53"/>
  <c r="AJ32"/>
  <c r="X3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V250"/>
  <c r="V249"/>
  <c r="V248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K214" l="1"/>
  <c r="V170"/>
  <c r="X244" s="1"/>
  <c r="X243" s="1"/>
  <c r="N81" i="20"/>
  <c r="N82" s="1"/>
  <c r="J79"/>
  <c r="AB125" i="18"/>
  <c r="AB129"/>
  <c r="AB147"/>
  <c r="AB124"/>
  <c r="X211"/>
  <c r="AF113"/>
  <c r="AF119" s="1"/>
  <c r="X134"/>
  <c r="W188"/>
  <c r="S237" s="1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S240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AG209"/>
  <c r="AH80"/>
  <c r="X179"/>
  <c r="AH72"/>
  <c r="AJ72"/>
  <c r="Y171" s="1"/>
  <c r="X171"/>
  <c r="AG203"/>
  <c r="AG215" s="1"/>
  <c r="AH215" s="1"/>
  <c r="AJ66"/>
  <c r="AH66"/>
  <c r="AG202"/>
  <c r="AH100"/>
  <c r="AJ100"/>
  <c r="X198"/>
  <c r="AJ96"/>
  <c r="Y198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AJ74"/>
  <c r="Y172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T241"/>
  <c r="W198"/>
  <c r="AJ226"/>
  <c r="W194"/>
  <c r="AH205"/>
  <c r="AJ205" s="1"/>
  <c r="W182"/>
  <c r="T239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2" s="1"/>
  <c r="S243" s="1"/>
  <c r="T242"/>
  <c r="T243" s="1"/>
  <c r="W179"/>
  <c r="T238"/>
  <c r="AG143"/>
  <c r="AH140"/>
  <c r="AG141"/>
  <c r="U229" l="1"/>
  <c r="U231"/>
  <c r="U232" s="1"/>
  <c r="AJ230"/>
  <c r="AJ229"/>
  <c r="T231"/>
  <c r="T229"/>
  <c r="V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S238"/>
  <c r="P238"/>
  <c r="P239"/>
  <c r="S239"/>
  <c r="P241"/>
  <c r="S241"/>
  <c r="AH207"/>
  <c r="AJ207" s="1"/>
  <c r="AJ221" s="1"/>
  <c r="V229" l="1"/>
  <c r="J232"/>
  <c r="AH232" s="1"/>
  <c r="AH231"/>
  <c r="V231"/>
  <c r="T232"/>
  <c r="V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W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<sst xmlns="http://schemas.openxmlformats.org/spreadsheetml/2006/main" count="781" uniqueCount="515">
  <si>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</si>
  <si>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</si>
  <si>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</si>
  <si>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</si>
  <si>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</si>
  <si>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</si>
  <si>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</si>
  <si>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</si>
  <si>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</si>
  <si>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</si>
  <si>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</si>
  <si>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</si>
  <si>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</si>
  <si>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</si>
  <si>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</si>
  <si>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</si>
  <si>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</si>
  <si>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</si>
  <si>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</si>
  <si>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</si>
  <si>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</si>
  <si>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</si>
  <si>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</si>
  <si>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</si>
  <si>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</si>
  <si>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</si>
  <si>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</si>
  <si>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</si>
  <si>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</si>
  <si>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</si>
  <si>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</si>
  <si>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</si>
  <si>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</si>
  <si>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</si>
  <si>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</si>
  <si>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</si>
  <si>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</si>
  <si>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</si>
  <si>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</si>
  <si>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</si>
  <si>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</si>
  <si>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</si>
  <si>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</si>
  <si>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</si>
  <si>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</si>
  <si>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</si>
  <si>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</si>
  <si>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</si>
  <si>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</si>
  <si>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</si>
  <si>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</si>
  <si>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</si>
  <si>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</si>
  <si>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</si>
  <si>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</si>
  <si>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</si>
  <si>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</si>
  <si>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</si>
  <si>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</si>
  <si>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</si>
  <si>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</si>
  <si>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</si>
  <si>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</si>
  <si>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</si>
  <si>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</si>
  <si>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</si>
  <si>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</si>
  <si>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</si>
  <si>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</si>
  <si>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</si>
  <si>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</si>
  <si>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</si>
  <si>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</si>
  <si>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</si>
  <si>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</si>
  <si>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</si>
  <si>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</si>
  <si>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</si>
  <si>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</si>
  <si>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</si>
  <si>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</si>
  <si>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</si>
  <si>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</si>
  <si>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</si>
  <si>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</si>
  <si>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</si>
  <si>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</si>
  <si>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</si>
  <si>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</si>
  <si>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</si>
  <si>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</si>
  <si>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</si>
  <si>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</si>
  <si>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</si>
  <si>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</si>
  <si>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</si>
  <si>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</si>
  <si>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</si>
  <si>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</si>
  <si>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</si>
  <si>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</si>
  <si>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</si>
  <si>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</si>
  <si>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</si>
  <si>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</si>
  <si>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</si>
  <si>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</si>
  <si>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</si>
  <si>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</si>
  <si>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</si>
  <si>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</si>
  <si>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</si>
  <si>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</si>
  <si>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</si>
  <si>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</si>
  <si>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</si>
  <si>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</si>
  <si>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</si>
  <si>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</si>
  <si>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</si>
  <si>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</si>
  <si>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</si>
  <si>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</si>
  <si>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</si>
  <si>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</si>
  <si>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</si>
  <si>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</si>
  <si>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</si>
  <si>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</si>
  <si>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</si>
  <si>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</si>
  <si>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</si>
  <si>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</si>
  <si>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</si>
  <si>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</si>
  <si>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</si>
  <si>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</si>
  <si>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</si>
  <si>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</si>
  <si>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</si>
  <si>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</si>
  <si>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</si>
  <si>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</si>
  <si>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</si>
  <si>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</si>
  <si>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</si>
  <si>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</si>
  <si>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</si>
  <si>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</si>
  <si>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</si>
  <si>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</si>
  <si>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</si>
  <si>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</si>
  <si>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</si>
  <si>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</si>
  <si>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</si>
  <si>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</si>
  <si>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</si>
  <si>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</si>
  <si>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</si>
  <si>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</si>
  <si>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</si>
  <si>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</si>
  <si>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</si>
  <si>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</si>
  <si>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</si>
  <si>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</si>
  <si>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</si>
  <si>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</si>
  <si>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</si>
  <si>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</si>
  <si>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</si>
  <si>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</si>
  <si>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</si>
  <si>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</si>
  <si>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</si>
  <si>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</si>
  <si>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</si>
  <si>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</si>
  <si>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</si>
  <si>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</si>
  <si>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</si>
  <si>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</si>
  <si>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</si>
  <si>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</si>
  <si>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</si>
  <si>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</si>
  <si>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</si>
  <si>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</si>
  <si>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</si>
  <si>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</si>
  <si>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</si>
  <si>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</si>
  <si>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</si>
  <si>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</si>
  <si>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</si>
  <si>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</si>
  <si>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</si>
  <si>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</si>
  <si>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</si>
  <si>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</si>
  <si>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</si>
  <si>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</si>
  <si>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</si>
  <si>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</si>
  <si>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</si>
  <si>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</si>
  <si>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</si>
  <si>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</si>
  <si>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</si>
  <si>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</si>
  <si>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</si>
  <si>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</si>
  <si>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</si>
  <si>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</si>
  <si>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</si>
  <si>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</si>
  <si>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</si>
  <si>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</si>
  <si>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</si>
  <si>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</si>
  <si>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</si>
  <si>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</si>
  <si>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</si>
  <si>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</si>
  <si>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</si>
  <si>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</si>
  <si>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</si>
  <si>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</si>
  <si>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</si>
  <si>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</si>
  <si>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</si>
  <si>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</si>
  <si>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</si>
  <si>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</si>
  <si>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</si>
  <si>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</si>
  <si>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</si>
  <si>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</si>
  <si>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</si>
  <si>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</si>
  <si>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</si>
  <si>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</si>
  <si>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</si>
  <si>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</si>
  <si>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</si>
  <si>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</si>
  <si>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</si>
  <si>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</si>
  <si>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</si>
  <si>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</si>
  <si>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</si>
  <si>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</si>
  <si>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</si>
  <si>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</si>
  <si>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</si>
  <si>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</si>
  <si>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</si>
  <si>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</si>
  <si>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</si>
  <si>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</si>
  <si>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</si>
  <si>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</si>
  <si>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</si>
  <si>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</si>
  <si>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</si>
  <si>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</si>
  <si>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</si>
  <si>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</si>
  <si>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</si>
  <si>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</si>
  <si>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</si>
  <si>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</si>
  <si>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</si>
  <si>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</si>
  <si>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</si>
  <si>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</si>
  <si>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</si>
  <si>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</si>
  <si>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</si>
  <si>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</si>
  <si>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</si>
  <si>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</si>
  <si>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</si>
  <si>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</si>
  <si>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</si>
  <si>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</si>
  <si>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</si>
  <si>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</si>
  <si>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</si>
  <si>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</si>
  <si>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</si>
  <si>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</si>
  <si>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</si>
  <si>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</si>
  <si>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</si>
  <si>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</si>
  <si>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</si>
  <si>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</si>
  <si>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</si>
  <si>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</si>
  <si>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</si>
  <si>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</si>
  <si>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</si>
  <si>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</si>
  <si>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</si>
  <si>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</si>
  <si>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</si>
  <si>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</si>
  <si>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</si>
  <si>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</si>
  <si>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</si>
  <si>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</si>
  <si>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</si>
  <si>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</si>
  <si>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</si>
  <si>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</si>
  <si>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</si>
  <si>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</si>
  <si>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</si>
  <si>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</si>
  <si>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</si>
  <si>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</si>
  <si>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</si>
  <si>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</si>
  <si>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</si>
  <si>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</si>
  <si>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</si>
  <si>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</si>
  <si>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</si>
  <si>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</si>
  <si>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</si>
  <si>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</si>
  <si>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</si>
  <si>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</si>
  <si>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</si>
  <si>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</si>
  <si>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</si>
  <si>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</si>
  <si>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</si>
  <si>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</si>
  <si>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</si>
  <si>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</si>
  <si>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</si>
  <si>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</si>
  <si>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</si>
  <si>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</si>
  <si>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</si>
  <si>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</si>
  <si>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</si>
  <si>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</si>
  <si>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</si>
  <si>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</si>
  <si>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</si>
  <si>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</si>
  <si>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</si>
  <si>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</si>
  <si>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</si>
  <si>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</si>
  <si>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</si>
  <si>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</si>
  <si>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</si>
  <si>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</si>
  <si>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</si>
  <si>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</si>
  <si>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</si>
  <si>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</si>
  <si>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</si>
  <si>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</si>
  <si>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</si>
  <si>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</si>
  <si>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</si>
  <si>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</si>
  <si>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</si>
  <si>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</si>
  <si>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</si>
  <si>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</si>
  <si>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</si>
  <si>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</si>
  <si>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</si>
  <si>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</si>
  <si>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</si>
  <si>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</si>
  <si>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</si>
  <si>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</si>
  <si>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</si>
  <si>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</si>
  <si>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</si>
  <si>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</si>
  <si>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</si>
  <si>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</si>
  <si>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</si>
  <si>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</si>
  <si>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</si>
  <si>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</si>
  <si>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</si>
  <si>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</si>
  <si>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</si>
  <si>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</si>
  <si>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</si>
  <si>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</si>
  <si>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</si>
  <si>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</si>
  <si>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</si>
  <si>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</si>
  <si>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</si>
  <si>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</si>
  <si>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</si>
  <si>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</si>
  <si>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</si>
  <si>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</si>
  <si>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</si>
  <si>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</si>
  <si>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</si>
  <si>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</si>
  <si>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</si>
  <si>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</si>
  <si>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</si>
  <si>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</si>
  <si>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</si>
  <si>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</si>
  <si>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</si>
  <si>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</si>
  <si>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</si>
  <si>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</si>
  <si>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</si>
  <si>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</si>
  <si>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</si>
  <si>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</si>
  <si>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</si>
  <si>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</si>
  <si>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</si>
  <si>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</si>
  <si>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</si>
  <si>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</si>
  <si>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</si>
  <si>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</si>
  <si>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</si>
  <si>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</si>
  <si>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</si>
  <si>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</si>
  <si>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</si>
  <si>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</si>
  <si>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</si>
  <si>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</si>
  <si>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</si>
  <si>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</si>
  <si>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</si>
  <si>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</si>
  <si>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</si>
  <si>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</si>
  <si>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</si>
  <si>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</si>
  <si>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</si>
  <si>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</si>
  <si>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</si>
  <si>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</si>
  <si>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</si>
  <si>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</si>
  <si>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</si>
  <si>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</si>
  <si>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</si>
  <si>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</si>
  <si>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</si>
  <si>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</si>
  <si>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</si>
  <si>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</si>
  <si>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</si>
  <si>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</si>
  <si>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</si>
  <si>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</si>
  <si>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</si>
  <si>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</si>
  <si>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</si>
  <si>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</si>
  <si>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</si>
  <si>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</si>
  <si>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</si>
  <si>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</si>
  <si>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</si>
  <si>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</si>
  <si>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</si>
  <si>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</si>
  <si>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</si>
  <si>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</si>
  <si>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</si>
  <si>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</si>
  <si>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</si>
  <si>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</si>
  <si>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</si>
  <si>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</si>
  <si>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</si>
  <si>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</si>
  <si>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</si>
  <si>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</si>
  <si>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</si>
  <si>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</si>
  <si>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</si>
  <si>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</si>
  <si>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</si>
  <si>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</si>
  <si>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</si>
  <si>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</si>
  <si>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</si>
  <si>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</si>
  <si>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</si>
  <si>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</si>
  <si>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</si>
  <si>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</si>
  <si>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</si>
  <si>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</si>
  <si>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</si>
  <si>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</si>
  <si>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13 yrs</t>
  </si>
  <si>
    <t>10x1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</si>
</sst>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64" fontId="23" fillId="5" borderId="1" xfId="2" applyNumberFormat="1" applyFont="1" applyFill="1" applyBorder="1"/>
    <xf numFmtId="9" fontId="24" fillId="5" borderId="1" xfId="1" applyNumberFormat="1" applyFont="1" applyFill="1" applyBorder="1"/>
    <xf numFmtId="174" fontId="23" fillId="5" borderId="1" xfId="2" applyNumberFormat="1" applyFont="1" applyFill="1" applyBorder="1"/>
    <xf numFmtId="43" fontId="23" fillId="5" borderId="1" xfId="2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1585664"/>
        <c:axId val="61591552"/>
      </c:lineChart>
      <c:catAx>
        <c:axId val="61585664"/>
        <c:scaling>
          <c:orientation val="minMax"/>
        </c:scaling>
        <c:axPos val="b"/>
        <c:tickLblPos val="nextTo"/>
        <c:crossAx val="61591552"/>
        <c:crosses val="autoZero"/>
        <c:auto val="1"/>
        <c:lblAlgn val="ctr"/>
        <c:lblOffset val="100"/>
      </c:catAx>
      <c:valAx>
        <c:axId val="61591552"/>
        <c:scaling>
          <c:orientation val="minMax"/>
        </c:scaling>
        <c:axPos val="l"/>
        <c:majorGridlines/>
        <c:numFmt formatCode="General" sourceLinked="1"/>
        <c:tickLblPos val="nextTo"/>
        <c:crossAx val="6158566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55" l="0.70000000000000062" r="0.70000000000000062" t="0.750000000000006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91" t="s">
        <v>440</v>
      </c>
      <c r="C3" s="291"/>
      <c r="D3" s="291"/>
      <c r="G3" s="291" t="s">
        <v>441</v>
      </c>
      <c r="H3" s="291"/>
      <c r="I3" s="291"/>
      <c r="P3" s="300" t="s">
        <v>442</v>
      </c>
      <c r="Q3" s="301"/>
      <c r="R3" s="301"/>
      <c r="S3" s="302"/>
      <c r="T3" s="300" t="s">
        <v>443</v>
      </c>
      <c r="U3" s="301"/>
      <c r="V3" s="301"/>
      <c r="W3" s="302"/>
    </row>
    <row r="4" spans="2:23">
      <c r="B4" s="185" t="s">
        <v>444</v>
      </c>
      <c r="C4" s="303">
        <v>9500000</v>
      </c>
      <c r="D4" s="303"/>
      <c r="G4" s="185" t="s">
        <v>445</v>
      </c>
      <c r="H4" s="293">
        <v>200000</v>
      </c>
      <c r="I4" s="293"/>
      <c r="K4" s="186" t="s">
        <v>446</v>
      </c>
      <c r="L4" s="186" t="s">
        <v>78</v>
      </c>
      <c r="M4" s="186" t="s">
        <v>393</v>
      </c>
      <c r="N4" s="186" t="s">
        <v>447</v>
      </c>
      <c r="O4" s="186" t="s">
        <v>448</v>
      </c>
      <c r="P4" s="187" t="s">
        <v>449</v>
      </c>
      <c r="Q4" s="188" t="s">
        <v>287</v>
      </c>
      <c r="R4" s="188" t="s">
        <v>448</v>
      </c>
      <c r="S4" s="189" t="s">
        <v>450</v>
      </c>
      <c r="T4" s="187" t="s">
        <v>449</v>
      </c>
      <c r="U4" s="188" t="s">
        <v>287</v>
      </c>
      <c r="V4" s="188" t="s">
        <v>448</v>
      </c>
      <c r="W4" s="189" t="s">
        <v>450</v>
      </c>
    </row>
    <row r="5" spans="2:23">
      <c r="B5" s="185" t="s">
        <v>451</v>
      </c>
      <c r="C5" s="294">
        <v>0.08</v>
      </c>
      <c r="D5" s="295"/>
      <c r="G5" s="185" t="s">
        <v>451</v>
      </c>
      <c r="H5" s="299">
        <v>0.12</v>
      </c>
      <c r="I5" s="299"/>
      <c r="K5" s="185" t="s">
        <v>452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453</v>
      </c>
      <c r="C6" s="293">
        <v>30</v>
      </c>
      <c r="D6" s="293"/>
      <c r="G6" s="185" t="s">
        <v>453</v>
      </c>
      <c r="H6" s="293">
        <v>10</v>
      </c>
      <c r="I6" s="293"/>
      <c r="K6" s="185" t="s">
        <v>454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455</v>
      </c>
    </row>
    <row r="7" spans="2:23">
      <c r="B7" s="185"/>
      <c r="C7" s="292"/>
      <c r="D7" s="292"/>
      <c r="G7" s="185"/>
      <c r="H7" s="292"/>
      <c r="I7" s="292"/>
      <c r="K7" s="185" t="s">
        <v>456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92"/>
      <c r="D8" s="292"/>
      <c r="G8" s="185"/>
      <c r="H8" s="292"/>
      <c r="I8" s="292"/>
      <c r="K8" s="185" t="s">
        <v>457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445</v>
      </c>
      <c r="C9" s="290">
        <f>C4*(1/(1+C5)^C6)</f>
        <v>944084.6592231117</v>
      </c>
      <c r="D9" s="290"/>
      <c r="G9" s="203" t="s">
        <v>458</v>
      </c>
      <c r="H9" s="290">
        <f>H4*((1+H5)^H6)</f>
        <v>621169.64166884217</v>
      </c>
      <c r="I9" s="290"/>
      <c r="K9" s="185" t="s">
        <v>459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460</v>
      </c>
      <c r="C10" s="290">
        <f>C4-C9</f>
        <v>8555915.3407768887</v>
      </c>
      <c r="D10" s="290"/>
      <c r="G10" s="203" t="s">
        <v>460</v>
      </c>
      <c r="H10" s="298">
        <f>H9-H4</f>
        <v>421169.64166884217</v>
      </c>
      <c r="I10" s="298"/>
      <c r="K10" s="185" t="s">
        <v>461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462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463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91" t="s">
        <v>464</v>
      </c>
      <c r="C14" s="291"/>
      <c r="D14" s="291"/>
      <c r="G14" s="291" t="s">
        <v>465</v>
      </c>
      <c r="H14" s="291"/>
      <c r="I14" s="291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466</v>
      </c>
      <c r="C15" s="293">
        <v>24000</v>
      </c>
      <c r="D15" s="293"/>
      <c r="G15" s="185" t="s">
        <v>466</v>
      </c>
      <c r="H15" s="293">
        <v>200000</v>
      </c>
      <c r="I15" s="293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451</v>
      </c>
      <c r="C16" s="294">
        <v>0.1</v>
      </c>
      <c r="D16" s="295"/>
      <c r="G16" s="185" t="s">
        <v>451</v>
      </c>
      <c r="H16" s="294">
        <v>0.12</v>
      </c>
      <c r="I16" s="295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453</v>
      </c>
      <c r="C17" s="293">
        <v>20</v>
      </c>
      <c r="D17" s="293"/>
      <c r="G17" s="185" t="s">
        <v>453</v>
      </c>
      <c r="H17" s="293">
        <v>10</v>
      </c>
      <c r="I17" s="293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92"/>
      <c r="D18" s="292"/>
      <c r="G18" s="185"/>
      <c r="H18" s="292"/>
      <c r="I18" s="292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467</v>
      </c>
      <c r="C19" s="286">
        <f>( ( 1-  (1/ ( (1+C16)^C17) ) ) / C16)</f>
        <v>8.5135637197585652</v>
      </c>
      <c r="D19" s="287"/>
      <c r="G19" s="203" t="s">
        <v>468</v>
      </c>
      <c r="H19" s="286">
        <f>( ((1+H16)^H17) -1 ) / H16</f>
        <v>17.548735069535095</v>
      </c>
      <c r="I19" s="287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469</v>
      </c>
      <c r="C20" s="296">
        <f>C19 * C15</f>
        <v>204325.52927420556</v>
      </c>
      <c r="D20" s="297"/>
      <c r="G20" s="203" t="s">
        <v>470</v>
      </c>
      <c r="H20" s="286">
        <f>H19 * H15</f>
        <v>3509747.013907019</v>
      </c>
      <c r="I20" s="287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88"/>
      <c r="D21" s="289"/>
      <c r="G21" s="203"/>
      <c r="H21" s="288"/>
      <c r="I21" s="289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90"/>
      <c r="D22" s="290"/>
      <c r="G22" s="203"/>
      <c r="H22" s="290"/>
      <c r="I22" s="290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91" t="s">
        <v>471</v>
      </c>
      <c r="C26" s="291"/>
      <c r="D26" s="291"/>
      <c r="G26" s="291" t="s">
        <v>472</v>
      </c>
      <c r="H26" s="291"/>
      <c r="I26" s="291"/>
      <c r="K26" s="291" t="s">
        <v>15</v>
      </c>
      <c r="L26" s="291"/>
    </row>
    <row r="27" spans="2:18">
      <c r="B27" s="185" t="s">
        <v>466</v>
      </c>
      <c r="C27" s="293">
        <v>100</v>
      </c>
      <c r="D27" s="293"/>
      <c r="G27" s="185" t="s">
        <v>466</v>
      </c>
      <c r="H27" s="293">
        <v>200000</v>
      </c>
      <c r="I27" s="293"/>
      <c r="K27" s="10" t="s">
        <v>16</v>
      </c>
      <c r="L27" s="11">
        <v>45</v>
      </c>
      <c r="M27" s="216">
        <f>L27*M39</f>
        <v>9375000</v>
      </c>
      <c r="N27" t="s">
        <v>473</v>
      </c>
    </row>
    <row r="28" spans="2:18">
      <c r="B28" s="185" t="s">
        <v>451</v>
      </c>
      <c r="C28" s="294">
        <v>0.05</v>
      </c>
      <c r="D28" s="295"/>
      <c r="G28" s="185" t="s">
        <v>451</v>
      </c>
      <c r="H28" s="294">
        <v>0.12</v>
      </c>
      <c r="I28" s="295"/>
      <c r="K28" s="10" t="s">
        <v>17</v>
      </c>
      <c r="L28" s="11">
        <v>240</v>
      </c>
      <c r="M28" s="217"/>
      <c r="R28">
        <v>416</v>
      </c>
    </row>
    <row r="29" spans="2:18">
      <c r="B29" s="185" t="s">
        <v>453</v>
      </c>
      <c r="C29" s="293">
        <v>3</v>
      </c>
      <c r="D29" s="293"/>
      <c r="G29" s="185" t="s">
        <v>453</v>
      </c>
      <c r="H29" s="293">
        <v>11</v>
      </c>
      <c r="I29" s="293"/>
      <c r="K29" s="10" t="s">
        <v>18</v>
      </c>
      <c r="L29" s="12">
        <v>10</v>
      </c>
      <c r="M29" s="218">
        <f>L27/100000</f>
        <v>4.4999999999999999E-4</v>
      </c>
      <c r="N29" t="s">
        <v>474</v>
      </c>
    </row>
    <row r="30" spans="2:18" ht="15.75" thickBot="1">
      <c r="B30" s="185"/>
      <c r="C30" s="292"/>
      <c r="D30" s="292"/>
      <c r="G30" s="185"/>
      <c r="H30" s="292"/>
      <c r="I30" s="292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475</v>
      </c>
    </row>
    <row r="31" spans="2:18">
      <c r="B31" s="203" t="s">
        <v>467</v>
      </c>
      <c r="C31" s="286">
        <f>( ( ( 1-  (1/ ( (1+C28)^C29) ) ) / C28) ) * (1+C28)</f>
        <v>2.859410430839004</v>
      </c>
      <c r="D31" s="287"/>
      <c r="G31" s="203" t="s">
        <v>468</v>
      </c>
      <c r="H31" s="286">
        <f>(( ((1+H28)^H29) -1 ) / H28 ) * ( 1+H28)</f>
        <v>23.133133271224832</v>
      </c>
      <c r="I31" s="287"/>
      <c r="K31" s="13" t="s">
        <v>20</v>
      </c>
      <c r="L31" s="14">
        <f>L29*12</f>
        <v>120</v>
      </c>
      <c r="P31" s="219" t="s">
        <v>476</v>
      </c>
      <c r="Q31" s="220" t="s">
        <v>477</v>
      </c>
    </row>
    <row r="32" spans="2:18">
      <c r="B32" s="203" t="s">
        <v>478</v>
      </c>
      <c r="C32" s="286">
        <f>C31 * C27</f>
        <v>285.94104308390041</v>
      </c>
      <c r="D32" s="287"/>
      <c r="G32" s="203" t="s">
        <v>479</v>
      </c>
      <c r="H32" s="286">
        <f>H31 * H27</f>
        <v>4626626.6542449668</v>
      </c>
      <c r="I32" s="287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288"/>
      <c r="D33" s="289"/>
      <c r="G33" s="203"/>
      <c r="H33" s="288"/>
      <c r="I33" s="289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>
      <c r="B34" s="203"/>
      <c r="C34" s="290"/>
      <c r="D34" s="290"/>
      <c r="G34" s="203"/>
      <c r="H34" s="290"/>
      <c r="I34" s="290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91" t="s">
        <v>24</v>
      </c>
      <c r="C36" s="291"/>
      <c r="D36" s="291"/>
      <c r="E36" s="223"/>
      <c r="G36" s="291" t="s">
        <v>53</v>
      </c>
      <c r="H36" s="291"/>
      <c r="K36" s="291" t="s">
        <v>337</v>
      </c>
      <c r="L36" s="291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480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481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482</v>
      </c>
      <c r="L39" s="10"/>
      <c r="M39" s="217">
        <f>M37/L38</f>
        <v>208333.33333333334</v>
      </c>
      <c r="N39" t="s">
        <v>483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>
      <c r="B42" s="229" t="s">
        <v>484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85" t="s">
        <v>458</v>
      </c>
      <c r="D43" s="285"/>
      <c r="E43" s="285"/>
      <c r="F43" s="285"/>
      <c r="J43" s="285" t="s">
        <v>458</v>
      </c>
      <c r="K43" s="285"/>
      <c r="L43" s="285"/>
      <c r="M43" s="285"/>
    </row>
    <row r="44" spans="2:17" ht="15.75" thickBot="1">
      <c r="B44" s="233"/>
      <c r="C44" s="278" t="s">
        <v>485</v>
      </c>
      <c r="D44" s="279"/>
      <c r="E44" s="234" t="s">
        <v>486</v>
      </c>
      <c r="F44" s="234"/>
      <c r="G44" s="235"/>
      <c r="I44" s="233"/>
      <c r="J44" s="278" t="s">
        <v>487</v>
      </c>
      <c r="K44" s="279"/>
      <c r="L44" s="234" t="s">
        <v>488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80" t="s">
        <v>489</v>
      </c>
      <c r="C46" s="281"/>
      <c r="D46" s="281"/>
      <c r="E46" s="281"/>
      <c r="F46" s="281"/>
      <c r="G46" s="282"/>
      <c r="I46" s="280" t="s">
        <v>489</v>
      </c>
      <c r="J46" s="281"/>
      <c r="K46" s="281"/>
      <c r="L46" s="281"/>
      <c r="M46" s="281"/>
      <c r="N46" s="282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490</v>
      </c>
      <c r="D48" s="238" t="s">
        <v>491</v>
      </c>
      <c r="E48" s="238" t="s">
        <v>492</v>
      </c>
      <c r="F48" s="238" t="s">
        <v>493</v>
      </c>
      <c r="G48" s="239" t="s">
        <v>494</v>
      </c>
      <c r="I48" s="237" t="s">
        <v>14</v>
      </c>
      <c r="J48" s="238" t="s">
        <v>490</v>
      </c>
      <c r="K48" s="238" t="s">
        <v>495</v>
      </c>
      <c r="L48" s="238" t="s">
        <v>492</v>
      </c>
      <c r="M48" s="238" t="s">
        <v>493</v>
      </c>
      <c r="N48" s="239" t="s">
        <v>494</v>
      </c>
      <c r="O48" s="240" t="s">
        <v>496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283" t="s">
        <v>497</v>
      </c>
      <c r="C81" s="284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283" t="s">
        <v>497</v>
      </c>
      <c r="J81" s="284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498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498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85" t="s">
        <v>499</v>
      </c>
      <c r="D84" s="285"/>
      <c r="E84" s="285"/>
      <c r="F84" s="285"/>
      <c r="H84" s="254">
        <f t="shared" si="14"/>
        <v>0</v>
      </c>
      <c r="J84" s="285" t="s">
        <v>499</v>
      </c>
      <c r="K84" s="285"/>
      <c r="L84" s="285"/>
      <c r="M84" s="285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78" t="s">
        <v>485</v>
      </c>
      <c r="D86" s="279"/>
      <c r="E86" s="234" t="s">
        <v>486</v>
      </c>
      <c r="F86" s="234"/>
      <c r="G86" s="235"/>
      <c r="H86" s="254">
        <f t="shared" si="14"/>
        <v>0</v>
      </c>
      <c r="I86" s="233"/>
      <c r="J86" s="278" t="s">
        <v>500</v>
      </c>
      <c r="K86" s="279"/>
      <c r="L86" s="234" t="s">
        <v>501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80" t="s">
        <v>502</v>
      </c>
      <c r="C88" s="281"/>
      <c r="D88" s="281"/>
      <c r="E88" s="281"/>
      <c r="F88" s="281"/>
      <c r="G88" s="282"/>
      <c r="H88" s="254">
        <f t="shared" si="14"/>
        <v>0</v>
      </c>
      <c r="I88" s="280" t="s">
        <v>502</v>
      </c>
      <c r="J88" s="281"/>
      <c r="K88" s="281"/>
      <c r="L88" s="281"/>
      <c r="M88" s="281"/>
      <c r="N88" s="282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490</v>
      </c>
      <c r="D90" s="238" t="s">
        <v>503</v>
      </c>
      <c r="E90" s="238" t="s">
        <v>492</v>
      </c>
      <c r="F90" s="238" t="s">
        <v>504</v>
      </c>
      <c r="G90" s="239" t="s">
        <v>505</v>
      </c>
      <c r="I90" s="237" t="s">
        <v>14</v>
      </c>
      <c r="J90" s="238" t="s">
        <v>506</v>
      </c>
      <c r="K90" s="238" t="s">
        <v>507</v>
      </c>
      <c r="L90" s="238" t="s">
        <v>492</v>
      </c>
      <c r="M90" s="238" t="s">
        <v>504</v>
      </c>
      <c r="N90" s="239" t="s">
        <v>505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283" t="s">
        <v>508</v>
      </c>
      <c r="C124" s="284"/>
      <c r="D124" s="259">
        <f>SUM(D91:D123)</f>
        <v>1900</v>
      </c>
      <c r="E124" s="257"/>
      <c r="F124" s="257"/>
      <c r="G124" s="271">
        <f>G121</f>
        <v>1413.1902480939689</v>
      </c>
      <c r="I124" s="283" t="s">
        <v>508</v>
      </c>
      <c r="J124" s="284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I189" activePane="bottomRight" state="frozen"/>
      <selection pane="topRight" activeCell="C1" sqref="C1"/>
      <selection pane="bottomLeft" activeCell="A5" sqref="A5"/>
      <selection pane="bottomRight" activeCell="U204" sqref="U204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7" width="8.85546875" style="89" bestFit="1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42578125" style="89" bestFit="1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1">
        <v>0.15</v>
      </c>
      <c r="Q2" s="89" t="s">
        <v>409</v>
      </c>
      <c r="S2" s="141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8" t="s">
        <v>241</v>
      </c>
      <c r="AJ2" s="309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10" t="s">
        <v>242</v>
      </c>
      <c r="AJ3" s="311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/>
      <c r="G6" s="125">
        <v>132</v>
      </c>
      <c r="H6" s="125">
        <v>145</v>
      </c>
      <c r="I6" s="125">
        <v>219</v>
      </c>
      <c r="J6" s="125">
        <v>287</v>
      </c>
      <c r="K6" s="125">
        <v>336</v>
      </c>
      <c r="L6" s="125">
        <v>398</v>
      </c>
      <c r="M6" s="125">
        <v>511</v>
      </c>
      <c r="N6" s="125">
        <v>622</v>
      </c>
      <c r="O6" s="125">
        <v>693</v>
      </c>
      <c r="P6" s="125">
        <v>805</v>
      </c>
      <c r="Q6" s="125">
        <v>1020</v>
      </c>
      <c r="R6" s="182">
        <v>1301</v>
      </c>
      <c r="S6" s="182">
        <v>1600</v>
      </c>
      <c r="T6" s="182">
        <v>1883.78</v>
      </c>
      <c r="U6" s="274">
        <v>1883.78</v>
      </c>
      <c r="V6" s="101">
        <f>((T6/G6)^(1/($K$2-$K$1) ))-1</f>
        <v>0.20909704773850191</v>
      </c>
      <c r="W6" s="21">
        <f>$O$2</f>
        <v>0.15</v>
      </c>
      <c r="X6" s="131">
        <f>T6*(1+$W6)</f>
        <v>2166.3469999999998</v>
      </c>
      <c r="Y6" s="131">
        <f>X6*(1+$W6)</f>
        <v>2491.2990499999996</v>
      </c>
      <c r="Z6" s="131">
        <f t="shared" ref="Z6:AG6" si="0">Y6*(1+$W6)</f>
        <v>2864.9939074999993</v>
      </c>
      <c r="AA6" s="131">
        <f t="shared" si="0"/>
        <v>3294.7429936249991</v>
      </c>
      <c r="AB6" s="131">
        <f t="shared" si="0"/>
        <v>3788.9544426687489</v>
      </c>
      <c r="AC6" s="131">
        <f t="shared" si="0"/>
        <v>4357.2976090690609</v>
      </c>
      <c r="AD6" s="131">
        <f t="shared" si="0"/>
        <v>5010.8922504294196</v>
      </c>
      <c r="AE6" s="131">
        <f t="shared" si="0"/>
        <v>5762.5260879938323</v>
      </c>
      <c r="AF6" s="131">
        <f t="shared" si="0"/>
        <v>6626.9050011929066</v>
      </c>
      <c r="AG6" s="131">
        <f t="shared" si="0"/>
        <v>7620.9407513718425</v>
      </c>
      <c r="AH6" s="116">
        <f>((AG6/J6)^(1/($AG$3-$K$1) ))-1</f>
        <v>0.15323695751836919</v>
      </c>
      <c r="AI6" s="21">
        <f>$O$1</f>
        <v>0.05</v>
      </c>
      <c r="AJ6" s="124">
        <f t="shared" ref="AJ6:AJ59" si="1">(AG6*(1+AI6))/($C$1-AI6)</f>
        <v>47070.516405531976</v>
      </c>
    </row>
    <row r="7" spans="2:36">
      <c r="B7" s="10" t="s">
        <v>198</v>
      </c>
      <c r="C7" s="119"/>
      <c r="D7" s="119"/>
      <c r="E7" s="125"/>
      <c r="F7" s="125"/>
      <c r="G7" s="125">
        <v>150</v>
      </c>
      <c r="H7" s="125">
        <v>178</v>
      </c>
      <c r="I7" s="125">
        <v>266</v>
      </c>
      <c r="J7" s="125">
        <v>311</v>
      </c>
      <c r="K7" s="125">
        <v>361</v>
      </c>
      <c r="L7" s="125">
        <v>422</v>
      </c>
      <c r="M7" s="125">
        <v>535</v>
      </c>
      <c r="N7" s="125">
        <v>6447</v>
      </c>
      <c r="O7" s="125">
        <v>717</v>
      </c>
      <c r="P7" s="125">
        <v>829</v>
      </c>
      <c r="Q7" s="125">
        <v>1043</v>
      </c>
      <c r="R7" s="182">
        <v>1324</v>
      </c>
      <c r="S7" s="182">
        <v>1624</v>
      </c>
      <c r="T7" s="182">
        <v>1907</v>
      </c>
      <c r="U7" s="274">
        <v>1907</v>
      </c>
      <c r="V7" s="101">
        <f t="shared" ref="V7:V59" si="2">((T7/G7)^(1/($K$2-$K$1) ))-1</f>
        <v>0.19915596980049077</v>
      </c>
      <c r="W7" s="21">
        <f>$O$2</f>
        <v>0.15</v>
      </c>
      <c r="X7" s="131">
        <f t="shared" ref="X7:X59" si="3">T7*(1+$W7)</f>
        <v>2193.0499999999997</v>
      </c>
      <c r="Y7" s="131">
        <f t="shared" ref="Y7:AG7" si="4">X7*(1+$W7)</f>
        <v>2522.0074999999997</v>
      </c>
      <c r="Z7" s="131">
        <f t="shared" si="4"/>
        <v>2900.3086249999997</v>
      </c>
      <c r="AA7" s="131">
        <f t="shared" si="4"/>
        <v>3335.3549187499993</v>
      </c>
      <c r="AB7" s="131">
        <f t="shared" si="4"/>
        <v>3835.6581565624988</v>
      </c>
      <c r="AC7" s="131">
        <f t="shared" si="4"/>
        <v>4411.0068800468734</v>
      </c>
      <c r="AD7" s="131">
        <f t="shared" si="4"/>
        <v>5072.6579120539045</v>
      </c>
      <c r="AE7" s="131">
        <f t="shared" si="4"/>
        <v>5833.5565988619901</v>
      </c>
      <c r="AF7" s="131">
        <f t="shared" si="4"/>
        <v>6708.5900886912877</v>
      </c>
      <c r="AG7" s="131">
        <f t="shared" si="4"/>
        <v>7714.8786019949803</v>
      </c>
      <c r="AH7" s="116">
        <f>((AG7/J7)^(1/($AG$3-$K$1) ))-1</f>
        <v>0.14982943477736788</v>
      </c>
      <c r="AI7" s="21">
        <f>$O$1</f>
        <v>0.05</v>
      </c>
      <c r="AJ7" s="124">
        <f t="shared" si="1"/>
        <v>47650.720777027826</v>
      </c>
    </row>
    <row r="8" spans="2:36">
      <c r="B8" s="10"/>
      <c r="C8" s="119"/>
      <c r="D8" s="119"/>
      <c r="E8" s="125"/>
      <c r="F8" s="272"/>
      <c r="G8" s="128" t="e">
        <f t="shared" ref="G8:S8" si="5">(G7-F7)/F7</f>
        <v>#DIV/0!</v>
      </c>
      <c r="H8" s="128">
        <f t="shared" si="5"/>
        <v>0.18666666666666668</v>
      </c>
      <c r="I8" s="128">
        <f t="shared" si="5"/>
        <v>0.4943820224719101</v>
      </c>
      <c r="J8" s="128">
        <f t="shared" si="5"/>
        <v>0.16917293233082706</v>
      </c>
      <c r="K8" s="128">
        <f t="shared" si="5"/>
        <v>0.16077170418006431</v>
      </c>
      <c r="L8" s="128">
        <f t="shared" si="5"/>
        <v>0.16897506925207756</v>
      </c>
      <c r="M8" s="128">
        <f t="shared" si="5"/>
        <v>0.26777251184834122</v>
      </c>
      <c r="N8" s="128">
        <f t="shared" si="5"/>
        <v>11.050467289719625</v>
      </c>
      <c r="O8" s="128">
        <f t="shared" si="5"/>
        <v>-0.88878548161935789</v>
      </c>
      <c r="P8" s="128">
        <f t="shared" si="5"/>
        <v>0.15620641562064155</v>
      </c>
      <c r="Q8" s="128">
        <f t="shared" si="5"/>
        <v>0.25814234016887816</v>
      </c>
      <c r="R8" s="128">
        <f t="shared" si="5"/>
        <v>0.2694151486097795</v>
      </c>
      <c r="S8" s="128">
        <f t="shared" si="5"/>
        <v>0.22658610271903323</v>
      </c>
      <c r="T8" s="128">
        <f t="shared" ref="T8:U8" si="6">(T7-S7)/S7</f>
        <v>0.17426108374384236</v>
      </c>
      <c r="U8" s="275">
        <f t="shared" si="6"/>
        <v>0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/>
      <c r="G9" s="125">
        <v>19</v>
      </c>
      <c r="H9" s="125">
        <v>43</v>
      </c>
      <c r="I9" s="125">
        <v>29</v>
      </c>
      <c r="J9" s="125">
        <v>182</v>
      </c>
      <c r="K9" s="125">
        <v>189</v>
      </c>
      <c r="L9" s="125">
        <v>144</v>
      </c>
      <c r="M9" s="125">
        <v>205</v>
      </c>
      <c r="N9" s="125">
        <v>314</v>
      </c>
      <c r="O9" s="125">
        <v>401</v>
      </c>
      <c r="P9" s="125">
        <v>318</v>
      </c>
      <c r="Q9" s="125">
        <v>317</v>
      </c>
      <c r="R9" s="182">
        <v>410.79</v>
      </c>
      <c r="S9" s="182">
        <v>294</v>
      </c>
      <c r="T9" s="182">
        <v>447</v>
      </c>
      <c r="U9" s="274">
        <v>447</v>
      </c>
      <c r="V9" s="101">
        <f t="shared" si="2"/>
        <v>0.25304923962983117</v>
      </c>
      <c r="W9" s="21">
        <f t="shared" ref="W9:W55" si="7">$O$2</f>
        <v>0.15</v>
      </c>
      <c r="X9" s="131">
        <f t="shared" si="3"/>
        <v>514.04999999999995</v>
      </c>
      <c r="Y9" s="131">
        <f t="shared" ref="Y9" si="8">X9*(1+$W9)</f>
        <v>591.15749999999991</v>
      </c>
      <c r="Z9" s="131">
        <f t="shared" ref="Z9" si="9">Y9*(1+$W9)</f>
        <v>679.83112499999982</v>
      </c>
      <c r="AA9" s="131">
        <f t="shared" ref="AA9" si="10">Z9*(1+$W9)</f>
        <v>781.80579374999968</v>
      </c>
      <c r="AB9" s="131">
        <f t="shared" ref="AB9" si="11">AA9*(1+$W9)</f>
        <v>899.07666281249953</v>
      </c>
      <c r="AC9" s="131">
        <f t="shared" ref="AC9" si="12">AB9*(1+$W9)</f>
        <v>1033.9381622343744</v>
      </c>
      <c r="AD9" s="131">
        <f t="shared" ref="AD9" si="13">AC9*(1+$W9)</f>
        <v>1189.0288865695304</v>
      </c>
      <c r="AE9" s="131">
        <f t="shared" ref="AE9" si="14">AD9*(1+$W9)</f>
        <v>1367.3832195549599</v>
      </c>
      <c r="AF9" s="131">
        <f t="shared" ref="AF9" si="15">AE9*(1+$W9)</f>
        <v>1572.4907024882036</v>
      </c>
      <c r="AG9" s="131">
        <f t="shared" ref="AG9" si="16">AF9*(1+$W9)</f>
        <v>1808.3643078614341</v>
      </c>
      <c r="AH9" s="116">
        <f>((AG9/J9)^(1/($AG$3-$K$1) ))-1</f>
        <v>0.10498696237336236</v>
      </c>
      <c r="AI9" s="21">
        <f t="shared" ref="AI9:AI99" si="17">$O$1</f>
        <v>0.05</v>
      </c>
      <c r="AJ9" s="124">
        <f t="shared" si="1"/>
        <v>11169.308960320623</v>
      </c>
    </row>
    <row r="10" spans="2:36">
      <c r="B10" s="10" t="s">
        <v>3</v>
      </c>
      <c r="C10" s="119"/>
      <c r="D10" s="119"/>
      <c r="E10" s="125"/>
      <c r="F10" s="125"/>
      <c r="G10" s="125">
        <v>172</v>
      </c>
      <c r="H10" s="125">
        <v>296</v>
      </c>
      <c r="I10" s="125">
        <v>452</v>
      </c>
      <c r="J10" s="125">
        <v>487</v>
      </c>
      <c r="K10" s="125">
        <v>772</v>
      </c>
      <c r="L10" s="125">
        <v>600</v>
      </c>
      <c r="M10" s="125">
        <v>604</v>
      </c>
      <c r="N10" s="125">
        <v>900</v>
      </c>
      <c r="O10" s="125">
        <v>875</v>
      </c>
      <c r="P10" s="125">
        <v>835</v>
      </c>
      <c r="Q10" s="125">
        <v>1315</v>
      </c>
      <c r="R10" s="182">
        <v>1281.45</v>
      </c>
      <c r="S10" s="182">
        <f t="shared" ref="S10:S33" si="18">R10</f>
        <v>1281.45</v>
      </c>
      <c r="T10" s="182">
        <v>1052</v>
      </c>
      <c r="U10" s="274">
        <v>1052</v>
      </c>
      <c r="V10" s="101">
        <f t="shared" si="2"/>
        <v>0.13809276838959805</v>
      </c>
      <c r="W10" s="21">
        <f t="shared" si="7"/>
        <v>0.15</v>
      </c>
      <c r="X10" s="131">
        <f t="shared" si="3"/>
        <v>1209.8</v>
      </c>
      <c r="Y10" s="131">
        <f t="shared" ref="Y10:AG10" si="19">X10*(1+$W10)</f>
        <v>1391.2699999999998</v>
      </c>
      <c r="Z10" s="131">
        <f t="shared" si="19"/>
        <v>1599.9604999999997</v>
      </c>
      <c r="AA10" s="131">
        <f t="shared" si="19"/>
        <v>1839.9545749999995</v>
      </c>
      <c r="AB10" s="131">
        <f t="shared" si="19"/>
        <v>2115.9477612499991</v>
      </c>
      <c r="AC10" s="131">
        <f t="shared" si="19"/>
        <v>2433.3399254374986</v>
      </c>
      <c r="AD10" s="131">
        <f t="shared" si="19"/>
        <v>2798.3409142531232</v>
      </c>
      <c r="AE10" s="131">
        <f t="shared" si="19"/>
        <v>3218.0920513910914</v>
      </c>
      <c r="AF10" s="131">
        <f t="shared" si="19"/>
        <v>3700.8058590997548</v>
      </c>
      <c r="AG10" s="131">
        <f t="shared" si="19"/>
        <v>4255.9267379647181</v>
      </c>
      <c r="AH10" s="116">
        <f t="shared" ref="AH10:AH57" si="20">((AG10/J10)^(1/($AG$3-$K$1) ))-1</f>
        <v>9.8836985440748704E-2</v>
      </c>
      <c r="AI10" s="21">
        <f t="shared" si="17"/>
        <v>0.05</v>
      </c>
      <c r="AJ10" s="124">
        <f t="shared" si="1"/>
        <v>26286.606322723263</v>
      </c>
    </row>
    <row r="11" spans="2:36">
      <c r="B11" s="10"/>
      <c r="C11" s="119"/>
      <c r="D11" s="119"/>
      <c r="E11" s="125"/>
      <c r="F11" s="272"/>
      <c r="G11" s="128" t="e">
        <f t="shared" ref="G11:S11" si="21">(G10-F10)/F10</f>
        <v>#DIV/0!</v>
      </c>
      <c r="H11" s="128">
        <f t="shared" si="21"/>
        <v>0.72093023255813948</v>
      </c>
      <c r="I11" s="128">
        <f t="shared" si="21"/>
        <v>0.52702702702702697</v>
      </c>
      <c r="J11" s="128">
        <f t="shared" si="21"/>
        <v>7.7433628318584066E-2</v>
      </c>
      <c r="K11" s="128">
        <f t="shared" si="21"/>
        <v>0.58521560574948661</v>
      </c>
      <c r="L11" s="128">
        <f t="shared" si="21"/>
        <v>-0.22279792746113988</v>
      </c>
      <c r="M11" s="128">
        <f t="shared" si="21"/>
        <v>6.6666666666666671E-3</v>
      </c>
      <c r="N11" s="128">
        <f t="shared" si="21"/>
        <v>0.49006622516556292</v>
      </c>
      <c r="O11" s="128">
        <f t="shared" si="21"/>
        <v>-2.7777777777777776E-2</v>
      </c>
      <c r="P11" s="128">
        <f t="shared" si="21"/>
        <v>-4.5714285714285714E-2</v>
      </c>
      <c r="Q11" s="128">
        <f t="shared" si="21"/>
        <v>0.57485029940119758</v>
      </c>
      <c r="R11" s="128">
        <f t="shared" si="21"/>
        <v>-2.5513307984790842E-2</v>
      </c>
      <c r="S11" s="128">
        <f t="shared" si="21"/>
        <v>0</v>
      </c>
      <c r="T11" s="128">
        <f t="shared" ref="T11:U11" si="22">(T10-S10)/S10</f>
        <v>-0.17905497678411178</v>
      </c>
      <c r="U11" s="275">
        <f t="shared" si="22"/>
        <v>0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7"/>
        <v>0.05</v>
      </c>
      <c r="AJ11" s="131"/>
    </row>
    <row r="12" spans="2:36">
      <c r="B12" s="10" t="s">
        <v>2</v>
      </c>
      <c r="C12" s="119"/>
      <c r="D12" s="119"/>
      <c r="E12" s="125"/>
      <c r="F12" s="125"/>
      <c r="G12" s="125">
        <f>13+7</f>
        <v>20</v>
      </c>
      <c r="H12" s="125">
        <f>10+3</f>
        <v>13</v>
      </c>
      <c r="I12" s="125">
        <v>66</v>
      </c>
      <c r="J12" s="125">
        <v>38</v>
      </c>
      <c r="K12" s="125">
        <f>29+17</f>
        <v>46</v>
      </c>
      <c r="L12" s="125">
        <f>11+22</f>
        <v>33</v>
      </c>
      <c r="M12" s="125">
        <v>44</v>
      </c>
      <c r="N12" s="125">
        <v>5.3</v>
      </c>
      <c r="O12" s="125">
        <v>17</v>
      </c>
      <c r="P12" s="125">
        <v>13</v>
      </c>
      <c r="Q12" s="125">
        <v>66</v>
      </c>
      <c r="R12" s="182">
        <v>24.34</v>
      </c>
      <c r="S12" s="182">
        <f t="shared" si="18"/>
        <v>24.34</v>
      </c>
      <c r="T12" s="182">
        <v>4</v>
      </c>
      <c r="U12" s="274">
        <v>4</v>
      </c>
      <c r="V12" s="101">
        <f t="shared" si="2"/>
        <v>-0.10859806781572867</v>
      </c>
      <c r="W12" s="21">
        <f t="shared" si="7"/>
        <v>0.15</v>
      </c>
      <c r="X12" s="131">
        <f t="shared" si="3"/>
        <v>4.5999999999999996</v>
      </c>
      <c r="Y12" s="131">
        <f t="shared" ref="Y12:AG12" si="23">X12*(1+$W12)</f>
        <v>5.2899999999999991</v>
      </c>
      <c r="Z12" s="131">
        <f t="shared" si="23"/>
        <v>6.0834999999999981</v>
      </c>
      <c r="AA12" s="131">
        <f t="shared" si="23"/>
        <v>6.9960249999999977</v>
      </c>
      <c r="AB12" s="131">
        <f t="shared" si="23"/>
        <v>8.0454287499999975</v>
      </c>
      <c r="AC12" s="131">
        <f t="shared" si="23"/>
        <v>9.2522430624999963</v>
      </c>
      <c r="AD12" s="131">
        <f t="shared" si="23"/>
        <v>10.640079521874995</v>
      </c>
      <c r="AE12" s="131">
        <f t="shared" si="23"/>
        <v>12.236091450156243</v>
      </c>
      <c r="AF12" s="131">
        <f t="shared" si="23"/>
        <v>14.071505167679678</v>
      </c>
      <c r="AG12" s="131">
        <f t="shared" si="23"/>
        <v>16.18223094283163</v>
      </c>
      <c r="AH12" s="116">
        <f t="shared" si="20"/>
        <v>-3.6435827879886862E-2</v>
      </c>
      <c r="AI12" s="21">
        <f t="shared" si="17"/>
        <v>0.05</v>
      </c>
      <c r="AJ12" s="124">
        <f t="shared" si="1"/>
        <v>99.949073470430676</v>
      </c>
    </row>
    <row r="13" spans="2:36">
      <c r="B13" s="10" t="s">
        <v>191</v>
      </c>
      <c r="C13" s="119"/>
      <c r="D13" s="119"/>
      <c r="E13" s="125"/>
      <c r="F13" s="125"/>
      <c r="G13" s="125">
        <v>0.01</v>
      </c>
      <c r="H13" s="125">
        <v>0.01</v>
      </c>
      <c r="I13" s="125">
        <v>0.01</v>
      </c>
      <c r="J13" s="125">
        <v>9</v>
      </c>
      <c r="K13" s="125">
        <v>0.35</v>
      </c>
      <c r="L13" s="125">
        <v>0.2</v>
      </c>
      <c r="M13" s="125">
        <v>0.35</v>
      </c>
      <c r="N13" s="125">
        <v>9</v>
      </c>
      <c r="O13" s="125">
        <v>7</v>
      </c>
      <c r="P13" s="125">
        <v>6</v>
      </c>
      <c r="Q13" s="125">
        <v>6.3</v>
      </c>
      <c r="R13" s="182">
        <v>6.59</v>
      </c>
      <c r="S13" s="182">
        <f t="shared" si="18"/>
        <v>6.59</v>
      </c>
      <c r="T13" s="182">
        <v>10</v>
      </c>
      <c r="U13" s="274">
        <v>10</v>
      </c>
      <c r="V13" s="101">
        <f t="shared" si="2"/>
        <v>0.63789370695406422</v>
      </c>
      <c r="W13" s="21">
        <f t="shared" si="7"/>
        <v>0.15</v>
      </c>
      <c r="X13" s="131">
        <f t="shared" si="3"/>
        <v>11.5</v>
      </c>
      <c r="Y13" s="131">
        <f t="shared" ref="Y13:AG13" si="24">X13*(1+$W13)</f>
        <v>13.225</v>
      </c>
      <c r="Z13" s="131">
        <f t="shared" si="24"/>
        <v>15.208749999999998</v>
      </c>
      <c r="AA13" s="131">
        <f t="shared" si="24"/>
        <v>17.490062499999997</v>
      </c>
      <c r="AB13" s="131">
        <f t="shared" si="24"/>
        <v>20.113571874999995</v>
      </c>
      <c r="AC13" s="131">
        <f t="shared" si="24"/>
        <v>23.130607656249992</v>
      </c>
      <c r="AD13" s="131">
        <f t="shared" si="24"/>
        <v>26.600198804687491</v>
      </c>
      <c r="AE13" s="131">
        <f t="shared" si="24"/>
        <v>30.590228625390612</v>
      </c>
      <c r="AF13" s="131">
        <f t="shared" si="24"/>
        <v>35.178762919199201</v>
      </c>
      <c r="AG13" s="131">
        <f t="shared" si="24"/>
        <v>40.455577357079079</v>
      </c>
      <c r="AH13" s="116">
        <f t="shared" si="20"/>
        <v>6.7529343594270097E-2</v>
      </c>
      <c r="AI13" s="21">
        <f t="shared" si="17"/>
        <v>0.05</v>
      </c>
      <c r="AJ13" s="124">
        <f t="shared" si="1"/>
        <v>249.87268367607672</v>
      </c>
    </row>
    <row r="14" spans="2:36">
      <c r="B14" s="10" t="s">
        <v>318</v>
      </c>
      <c r="C14" s="119"/>
      <c r="D14" s="119"/>
      <c r="E14" s="125"/>
      <c r="F14" s="125"/>
      <c r="G14" s="125">
        <v>184</v>
      </c>
      <c r="H14" s="125">
        <v>304</v>
      </c>
      <c r="I14" s="125">
        <v>377</v>
      </c>
      <c r="J14" s="125">
        <v>581</v>
      </c>
      <c r="K14" s="125">
        <v>834</v>
      </c>
      <c r="L14" s="125">
        <v>788</v>
      </c>
      <c r="M14" s="125">
        <v>781</v>
      </c>
      <c r="N14" s="125">
        <v>1208</v>
      </c>
      <c r="O14" s="125">
        <v>1237</v>
      </c>
      <c r="P14" s="125">
        <v>1260</v>
      </c>
      <c r="Q14" s="125">
        <v>1690</v>
      </c>
      <c r="R14" s="182">
        <v>1859.67</v>
      </c>
      <c r="S14" s="182">
        <f t="shared" si="18"/>
        <v>1859.67</v>
      </c>
      <c r="T14" s="182">
        <v>2019</v>
      </c>
      <c r="U14" s="274">
        <v>2019</v>
      </c>
      <c r="V14" s="101">
        <f t="shared" si="2"/>
        <v>0.18661125689619551</v>
      </c>
      <c r="W14" s="21">
        <f t="shared" si="7"/>
        <v>0.15</v>
      </c>
      <c r="X14" s="131">
        <f t="shared" si="3"/>
        <v>2321.85</v>
      </c>
      <c r="Y14" s="131">
        <f t="shared" ref="Y14" si="25">X14*(1+$W14)</f>
        <v>2670.1274999999996</v>
      </c>
      <c r="Z14" s="131">
        <f t="shared" ref="Z14" si="26">Y14*(1+$W14)</f>
        <v>3070.6466249999994</v>
      </c>
      <c r="AA14" s="131">
        <f t="shared" ref="AA14" si="27">Z14*(1+$W14)</f>
        <v>3531.2436187499989</v>
      </c>
      <c r="AB14" s="131">
        <f t="shared" ref="AB14" si="28">AA14*(1+$W14)</f>
        <v>4060.9301615624986</v>
      </c>
      <c r="AC14" s="131">
        <f t="shared" ref="AC14" si="29">AB14*(1+$W14)</f>
        <v>4670.0696857968733</v>
      </c>
      <c r="AD14" s="131">
        <f t="shared" ref="AD14" si="30">AC14*(1+$W14)</f>
        <v>5370.5801386664034</v>
      </c>
      <c r="AE14" s="131">
        <f t="shared" ref="AE14" si="31">AD14*(1+$W14)</f>
        <v>6176.167159466363</v>
      </c>
      <c r="AF14" s="131">
        <f t="shared" ref="AF14" si="32">AE14*(1+$W14)</f>
        <v>7102.5922333863173</v>
      </c>
      <c r="AG14" s="131">
        <f t="shared" ref="AG14" si="33">AF14*(1+$W14)</f>
        <v>8167.9810683942642</v>
      </c>
      <c r="AH14" s="116">
        <f t="shared" ref="AH14" si="34">((AG14/J14)^(1/($AG$3-$K$1) ))-1</f>
        <v>0.12178692423368043</v>
      </c>
      <c r="AI14" s="21">
        <f t="shared" si="17"/>
        <v>0.05</v>
      </c>
      <c r="AJ14" s="124">
        <f t="shared" ref="AJ14" si="35">(AG14*(1+AI14))/($C$1-AI14)</f>
        <v>50449.294834199878</v>
      </c>
    </row>
    <row r="15" spans="2:36">
      <c r="B15" s="10" t="s">
        <v>11</v>
      </c>
      <c r="C15" s="119"/>
      <c r="D15" s="119"/>
      <c r="E15" s="125"/>
      <c r="F15" s="125"/>
      <c r="G15" s="125">
        <v>234</v>
      </c>
      <c r="H15" s="125">
        <v>401</v>
      </c>
      <c r="I15" s="125">
        <v>524</v>
      </c>
      <c r="J15" s="125">
        <v>709</v>
      </c>
      <c r="K15" s="125">
        <v>1044</v>
      </c>
      <c r="L15" s="125">
        <v>869</v>
      </c>
      <c r="M15" s="125">
        <v>958</v>
      </c>
      <c r="N15" s="125">
        <v>1361</v>
      </c>
      <c r="O15" s="125">
        <v>1483</v>
      </c>
      <c r="P15" s="125">
        <v>1468</v>
      </c>
      <c r="Q15" s="125">
        <v>2043</v>
      </c>
      <c r="R15" s="182">
        <v>2223.9899999999998</v>
      </c>
      <c r="S15" s="182">
        <f t="shared" si="18"/>
        <v>2223.9899999999998</v>
      </c>
      <c r="T15" s="182">
        <v>2254</v>
      </c>
      <c r="U15" s="274">
        <v>2254</v>
      </c>
      <c r="V15" s="101">
        <f t="shared" si="2"/>
        <v>0.17562010304652498</v>
      </c>
      <c r="W15" s="21">
        <f t="shared" si="7"/>
        <v>0.15</v>
      </c>
      <c r="X15" s="131">
        <f t="shared" si="3"/>
        <v>2592.1</v>
      </c>
      <c r="Y15" s="131">
        <f t="shared" ref="Y15:AG15" si="36">X15*(1+$W15)</f>
        <v>2980.9149999999995</v>
      </c>
      <c r="Z15" s="131">
        <f t="shared" si="36"/>
        <v>3428.0522499999993</v>
      </c>
      <c r="AA15" s="131">
        <f t="shared" si="36"/>
        <v>3942.2600874999989</v>
      </c>
      <c r="AB15" s="131">
        <f t="shared" si="36"/>
        <v>4533.5991006249988</v>
      </c>
      <c r="AC15" s="131">
        <f t="shared" si="36"/>
        <v>5213.6389657187483</v>
      </c>
      <c r="AD15" s="131">
        <f t="shared" si="36"/>
        <v>5995.6848105765603</v>
      </c>
      <c r="AE15" s="131">
        <f t="shared" si="36"/>
        <v>6895.0375321630436</v>
      </c>
      <c r="AF15" s="131">
        <f t="shared" si="36"/>
        <v>7929.2931619874998</v>
      </c>
      <c r="AG15" s="131">
        <f t="shared" si="36"/>
        <v>9118.6871362856236</v>
      </c>
      <c r="AH15" s="116">
        <f t="shared" si="20"/>
        <v>0.1174544506172619</v>
      </c>
      <c r="AI15" s="21">
        <f t="shared" si="17"/>
        <v>0.05</v>
      </c>
      <c r="AJ15" s="124">
        <f t="shared" si="1"/>
        <v>56321.302900587682</v>
      </c>
    </row>
    <row r="16" spans="2:36">
      <c r="B16" s="10" t="s">
        <v>12</v>
      </c>
      <c r="C16" s="119"/>
      <c r="D16" s="119"/>
      <c r="E16" s="125"/>
      <c r="F16" s="125"/>
      <c r="G16" s="125">
        <v>239</v>
      </c>
      <c r="H16" s="125">
        <v>366</v>
      </c>
      <c r="I16" s="125">
        <v>571</v>
      </c>
      <c r="J16" s="125">
        <v>551</v>
      </c>
      <c r="K16" s="125">
        <v>898</v>
      </c>
      <c r="L16" s="125">
        <v>772</v>
      </c>
      <c r="M16" s="125">
        <v>786</v>
      </c>
      <c r="N16" s="125">
        <v>1133</v>
      </c>
      <c r="O16" s="125">
        <v>1160</v>
      </c>
      <c r="P16" s="125">
        <v>1202</v>
      </c>
      <c r="Q16" s="125">
        <v>1777</v>
      </c>
      <c r="R16" s="182">
        <v>1847.21</v>
      </c>
      <c r="S16" s="182">
        <f t="shared" si="18"/>
        <v>1847.21</v>
      </c>
      <c r="T16" s="182">
        <v>1935</v>
      </c>
      <c r="U16" s="274">
        <v>1935</v>
      </c>
      <c r="V16" s="101">
        <f t="shared" si="2"/>
        <v>0.16112068521565637</v>
      </c>
      <c r="W16" s="21">
        <f t="shared" si="7"/>
        <v>0.15</v>
      </c>
      <c r="X16" s="131">
        <f t="shared" si="3"/>
        <v>2225.25</v>
      </c>
      <c r="Y16" s="131">
        <f t="shared" ref="Y16:AG16" si="37">X16*(1+$W16)</f>
        <v>2559.0374999999999</v>
      </c>
      <c r="Z16" s="131">
        <f t="shared" si="37"/>
        <v>2942.8931249999996</v>
      </c>
      <c r="AA16" s="131">
        <f t="shared" si="37"/>
        <v>3384.3270937499992</v>
      </c>
      <c r="AB16" s="131">
        <f t="shared" si="37"/>
        <v>3891.976157812499</v>
      </c>
      <c r="AC16" s="131">
        <f t="shared" si="37"/>
        <v>4475.7725814843734</v>
      </c>
      <c r="AD16" s="131">
        <f t="shared" si="37"/>
        <v>5147.1384687070295</v>
      </c>
      <c r="AE16" s="131">
        <f t="shared" si="37"/>
        <v>5919.2092390130838</v>
      </c>
      <c r="AF16" s="131">
        <f t="shared" si="37"/>
        <v>6807.0906248650463</v>
      </c>
      <c r="AG16" s="131">
        <f t="shared" si="37"/>
        <v>7828.1542185948028</v>
      </c>
      <c r="AH16" s="116">
        <f t="shared" si="20"/>
        <v>0.122300182795402</v>
      </c>
      <c r="AI16" s="21">
        <f t="shared" si="17"/>
        <v>0.05</v>
      </c>
      <c r="AJ16" s="124">
        <f t="shared" si="1"/>
        <v>48350.364291320846</v>
      </c>
    </row>
    <row r="17" spans="2:36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82"/>
      <c r="U17" s="274"/>
      <c r="V17" s="10"/>
      <c r="W17" s="10"/>
      <c r="X17" s="131">
        <f t="shared" si="3"/>
        <v>0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/>
      <c r="G18" s="125">
        <v>63</v>
      </c>
      <c r="H18" s="125">
        <v>89</v>
      </c>
      <c r="I18" s="125">
        <v>117</v>
      </c>
      <c r="J18" s="125">
        <v>213</v>
      </c>
      <c r="K18" s="125">
        <v>227</v>
      </c>
      <c r="L18" s="125">
        <v>217</v>
      </c>
      <c r="M18" s="125">
        <v>318</v>
      </c>
      <c r="N18" s="125">
        <v>385</v>
      </c>
      <c r="O18" s="125">
        <v>418</v>
      </c>
      <c r="P18" s="125">
        <v>442</v>
      </c>
      <c r="Q18" s="125">
        <v>562</v>
      </c>
      <c r="R18" s="182">
        <v>639</v>
      </c>
      <c r="S18" s="182">
        <f t="shared" si="18"/>
        <v>639</v>
      </c>
      <c r="T18" s="182">
        <v>1009</v>
      </c>
      <c r="U18" s="274">
        <v>1009</v>
      </c>
      <c r="V18" s="101">
        <f t="shared" si="2"/>
        <v>0.21909999579554951</v>
      </c>
      <c r="W18" s="21">
        <f t="shared" si="7"/>
        <v>0.15</v>
      </c>
      <c r="X18" s="131">
        <f t="shared" si="3"/>
        <v>1160.3499999999999</v>
      </c>
      <c r="Y18" s="131">
        <f t="shared" ref="Y18:Y34" si="38">X18*(1+$W18)</f>
        <v>1334.4024999999997</v>
      </c>
      <c r="Z18" s="131">
        <f t="shared" ref="Z18:Z34" si="39">Y18*(1+$W18)</f>
        <v>1534.5628749999996</v>
      </c>
      <c r="AA18" s="131">
        <f t="shared" ref="AA18:AA34" si="40">Z18*(1+$W18)</f>
        <v>1764.7473062499994</v>
      </c>
      <c r="AB18" s="131">
        <f t="shared" ref="AB18:AB51" si="41">AA18*(1+$W18)</f>
        <v>2029.4594021874991</v>
      </c>
      <c r="AC18" s="131">
        <f t="shared" ref="AC18:AC51" si="42">AB18*(1+$W18)</f>
        <v>2333.8783125156237</v>
      </c>
      <c r="AD18" s="131">
        <f t="shared" ref="AD18:AD51" si="43">AC18*(1+$W18)</f>
        <v>2683.9600593929672</v>
      </c>
      <c r="AE18" s="131">
        <f t="shared" ref="AE18:AE51" si="44">AD18*(1+$W18)</f>
        <v>3086.5540683019121</v>
      </c>
      <c r="AF18" s="131">
        <f t="shared" ref="AF18:AF51" si="45">AE18*(1+$W18)</f>
        <v>3549.5371785471989</v>
      </c>
      <c r="AG18" s="131">
        <f t="shared" ref="AG18:AG51" si="46">AF18*(1+$W18)</f>
        <v>4081.9677553292786</v>
      </c>
      <c r="AH18" s="116">
        <f t="shared" si="20"/>
        <v>0.13699991787511556</v>
      </c>
      <c r="AI18" s="21">
        <f t="shared" si="17"/>
        <v>0.05</v>
      </c>
      <c r="AJ18" s="124">
        <f t="shared" si="1"/>
        <v>25212.153782916135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82"/>
      <c r="U19" s="274"/>
      <c r="V19" s="10"/>
      <c r="W19" s="10"/>
      <c r="X19" s="131">
        <f t="shared" si="3"/>
        <v>0</v>
      </c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>
        <v>-8</v>
      </c>
      <c r="H20" s="125">
        <v>-95</v>
      </c>
      <c r="I20" s="125">
        <v>-140</v>
      </c>
      <c r="J20" s="125">
        <v>163</v>
      </c>
      <c r="K20" s="125">
        <v>-214</v>
      </c>
      <c r="L20" s="125">
        <v>282</v>
      </c>
      <c r="M20" s="125">
        <v>171</v>
      </c>
      <c r="N20" s="125">
        <v>-151</v>
      </c>
      <c r="O20" s="125">
        <v>141</v>
      </c>
      <c r="P20" s="125">
        <v>170</v>
      </c>
      <c r="Q20" s="125">
        <v>-207</v>
      </c>
      <c r="R20" s="125">
        <v>324</v>
      </c>
      <c r="S20" s="125">
        <v>427</v>
      </c>
      <c r="T20" s="125">
        <v>266</v>
      </c>
      <c r="U20" s="125">
        <v>266</v>
      </c>
      <c r="V20" s="101" t="e">
        <f t="shared" si="2"/>
        <v>#NUM!</v>
      </c>
      <c r="W20" s="21">
        <f t="shared" si="7"/>
        <v>0.15</v>
      </c>
      <c r="X20" s="131">
        <f t="shared" si="3"/>
        <v>305.89999999999998</v>
      </c>
      <c r="Y20" s="131">
        <f t="shared" ref="Y20:Y22" si="47">X20*(1+$W20)</f>
        <v>351.78499999999997</v>
      </c>
      <c r="Z20" s="131">
        <f t="shared" ref="Z20:Z22" si="48">Y20*(1+$W20)</f>
        <v>404.55274999999995</v>
      </c>
      <c r="AA20" s="131">
        <f t="shared" ref="AA20:AA22" si="49">Z20*(1+$W20)</f>
        <v>465.23566249999988</v>
      </c>
      <c r="AB20" s="131">
        <f t="shared" ref="AB20:AB22" si="50">AA20*(1+$W20)</f>
        <v>535.02101187499977</v>
      </c>
      <c r="AC20" s="131">
        <f t="shared" ref="AC20:AC22" si="51">AB20*(1+$W20)</f>
        <v>615.2741636562497</v>
      </c>
      <c r="AD20" s="131">
        <f t="shared" ref="AD20:AD22" si="52">AC20*(1+$W20)</f>
        <v>707.56528820468714</v>
      </c>
      <c r="AE20" s="131">
        <f t="shared" ref="AE20:AE22" si="53">AD20*(1+$W20)</f>
        <v>813.70008143539019</v>
      </c>
      <c r="AF20" s="131">
        <f t="shared" ref="AF20:AF22" si="54">AE20*(1+$W20)</f>
        <v>935.75509365069865</v>
      </c>
      <c r="AG20" s="131">
        <f t="shared" ref="AG20:AG22" si="55">AF20*(1+$W20)</f>
        <v>1076.1183576983033</v>
      </c>
      <c r="AH20" s="116">
        <f t="shared" ref="AH20:AH22" si="56">((AG20/J20)^(1/($AG$3-$K$1) ))-1</f>
        <v>8.55202562794386E-2</v>
      </c>
      <c r="AI20" s="21">
        <f t="shared" si="17"/>
        <v>0.05</v>
      </c>
      <c r="AJ20" s="124">
        <f t="shared" si="1"/>
        <v>6646.6133857836394</v>
      </c>
    </row>
    <row r="21" spans="2:36">
      <c r="B21" s="10" t="s">
        <v>235</v>
      </c>
      <c r="C21" s="119"/>
      <c r="D21" s="119"/>
      <c r="E21" s="125"/>
      <c r="F21" s="125"/>
      <c r="G21" s="125">
        <v>-27</v>
      </c>
      <c r="H21" s="125">
        <v>-35</v>
      </c>
      <c r="I21" s="125">
        <v>-51</v>
      </c>
      <c r="J21" s="125">
        <v>-120</v>
      </c>
      <c r="K21" s="125">
        <v>-12</v>
      </c>
      <c r="L21" s="125">
        <v>-38</v>
      </c>
      <c r="M21" s="125">
        <v>-130</v>
      </c>
      <c r="N21" s="125">
        <v>-96</v>
      </c>
      <c r="O21" s="125">
        <v>-62</v>
      </c>
      <c r="P21" s="125">
        <v>-58</v>
      </c>
      <c r="Q21" s="125">
        <v>-125</v>
      </c>
      <c r="R21" s="125">
        <v>-231</v>
      </c>
      <c r="S21" s="125">
        <v>-83</v>
      </c>
      <c r="T21" s="125">
        <v>-202</v>
      </c>
      <c r="U21" s="125">
        <v>-202</v>
      </c>
      <c r="V21" s="101">
        <f t="shared" si="2"/>
        <v>0.15458971918809339</v>
      </c>
      <c r="W21" s="21">
        <f t="shared" si="7"/>
        <v>0.15</v>
      </c>
      <c r="X21" s="131">
        <f t="shared" si="3"/>
        <v>-232.29999999999998</v>
      </c>
      <c r="Y21" s="131">
        <f t="shared" si="47"/>
        <v>-267.14499999999998</v>
      </c>
      <c r="Z21" s="131">
        <f t="shared" si="48"/>
        <v>-307.21674999999993</v>
      </c>
      <c r="AA21" s="131">
        <f t="shared" si="49"/>
        <v>-353.29926249999988</v>
      </c>
      <c r="AB21" s="131">
        <f t="shared" si="50"/>
        <v>-406.29415187499984</v>
      </c>
      <c r="AC21" s="131">
        <f t="shared" si="51"/>
        <v>-467.23827465624976</v>
      </c>
      <c r="AD21" s="131">
        <f t="shared" si="52"/>
        <v>-537.32401585468722</v>
      </c>
      <c r="AE21" s="131">
        <f t="shared" si="53"/>
        <v>-617.92261823289027</v>
      </c>
      <c r="AF21" s="131">
        <f t="shared" si="54"/>
        <v>-710.61101096782374</v>
      </c>
      <c r="AG21" s="131">
        <f t="shared" si="55"/>
        <v>-817.20266261299719</v>
      </c>
      <c r="AH21" s="116">
        <f t="shared" si="56"/>
        <v>8.6985745797984793E-2</v>
      </c>
      <c r="AI21" s="21">
        <f t="shared" si="17"/>
        <v>0.05</v>
      </c>
      <c r="AJ21" s="124">
        <f t="shared" si="1"/>
        <v>-5047.4282102567477</v>
      </c>
    </row>
    <row r="22" spans="2:36">
      <c r="B22" s="10" t="s">
        <v>236</v>
      </c>
      <c r="C22" s="119"/>
      <c r="D22" s="119"/>
      <c r="E22" s="125"/>
      <c r="F22" s="125"/>
      <c r="G22" s="125">
        <v>35</v>
      </c>
      <c r="H22" s="125">
        <v>132</v>
      </c>
      <c r="I22" s="125">
        <v>186</v>
      </c>
      <c r="J22" s="125">
        <v>-13</v>
      </c>
      <c r="K22" s="125">
        <v>219</v>
      </c>
      <c r="L22" s="125">
        <v>-261</v>
      </c>
      <c r="M22" s="125">
        <v>-46</v>
      </c>
      <c r="N22" s="125">
        <v>245</v>
      </c>
      <c r="O22" s="125">
        <v>-68</v>
      </c>
      <c r="P22" s="125">
        <v>-116</v>
      </c>
      <c r="Q22" s="125">
        <v>384</v>
      </c>
      <c r="R22" s="125">
        <v>-150</v>
      </c>
      <c r="S22" s="125">
        <v>-333</v>
      </c>
      <c r="T22" s="125">
        <v>-78</v>
      </c>
      <c r="U22" s="125">
        <v>-78</v>
      </c>
      <c r="V22" s="101" t="e">
        <f t="shared" si="2"/>
        <v>#NUM!</v>
      </c>
      <c r="W22" s="21">
        <f t="shared" si="7"/>
        <v>0.15</v>
      </c>
      <c r="X22" s="131">
        <f t="shared" si="3"/>
        <v>-89.699999999999989</v>
      </c>
      <c r="Y22" s="131">
        <f t="shared" si="47"/>
        <v>-103.15499999999997</v>
      </c>
      <c r="Z22" s="131">
        <f t="shared" si="48"/>
        <v>-118.62824999999997</v>
      </c>
      <c r="AA22" s="131">
        <f t="shared" si="49"/>
        <v>-136.42248749999996</v>
      </c>
      <c r="AB22" s="131">
        <f t="shared" si="50"/>
        <v>-156.88586062499994</v>
      </c>
      <c r="AC22" s="131">
        <f t="shared" si="51"/>
        <v>-180.41873971874992</v>
      </c>
      <c r="AD22" s="131">
        <f t="shared" si="52"/>
        <v>-207.48155067656239</v>
      </c>
      <c r="AE22" s="131">
        <f t="shared" si="53"/>
        <v>-238.60378327804673</v>
      </c>
      <c r="AF22" s="131">
        <f t="shared" si="54"/>
        <v>-274.39435076975371</v>
      </c>
      <c r="AG22" s="131">
        <f t="shared" si="55"/>
        <v>-315.55350338521674</v>
      </c>
      <c r="AH22" s="116">
        <f t="shared" si="56"/>
        <v>0.14874339796098845</v>
      </c>
      <c r="AI22" s="21">
        <f t="shared" si="17"/>
        <v>0.05</v>
      </c>
      <c r="AJ22" s="124">
        <f t="shared" si="1"/>
        <v>-1949.0069326733978</v>
      </c>
    </row>
    <row r="23" spans="2:36">
      <c r="B23" s="10" t="s">
        <v>245</v>
      </c>
      <c r="C23" s="119"/>
      <c r="D23" s="119"/>
      <c r="E23" s="125"/>
      <c r="F23" s="125"/>
      <c r="G23" s="125">
        <v>7</v>
      </c>
      <c r="H23" s="125">
        <v>10</v>
      </c>
      <c r="I23" s="125">
        <v>5</v>
      </c>
      <c r="J23" s="125">
        <v>36</v>
      </c>
      <c r="K23" s="125">
        <v>29</v>
      </c>
      <c r="L23" s="125">
        <v>11</v>
      </c>
      <c r="M23" s="125">
        <v>6</v>
      </c>
      <c r="N23" s="125">
        <v>5</v>
      </c>
      <c r="O23" s="125">
        <v>17</v>
      </c>
      <c r="P23" s="125">
        <v>13</v>
      </c>
      <c r="Q23" s="125">
        <v>64</v>
      </c>
      <c r="R23" s="125">
        <v>-57</v>
      </c>
      <c r="S23" s="125">
        <v>11</v>
      </c>
      <c r="T23" s="125">
        <v>-15</v>
      </c>
      <c r="U23" s="125">
        <v>-15</v>
      </c>
      <c r="V23" s="101" t="e">
        <f t="shared" si="2"/>
        <v>#NUM!</v>
      </c>
      <c r="W23" s="21">
        <f t="shared" si="7"/>
        <v>0.15</v>
      </c>
      <c r="X23" s="131">
        <f t="shared" si="3"/>
        <v>-17.25</v>
      </c>
      <c r="Y23" s="131">
        <f t="shared" ref="Y23" si="57">X23*(1+$W23)</f>
        <v>-19.837499999999999</v>
      </c>
      <c r="Z23" s="131">
        <f t="shared" ref="Z23" si="58">Y23*(1+$W23)</f>
        <v>-22.813124999999996</v>
      </c>
      <c r="AA23" s="131">
        <f t="shared" ref="AA23" si="59">Z23*(1+$W23)</f>
        <v>-26.235093749999994</v>
      </c>
      <c r="AB23" s="131">
        <f t="shared" ref="AB23" si="60">AA23*(1+$W23)</f>
        <v>-30.17035781249999</v>
      </c>
      <c r="AC23" s="131">
        <f t="shared" ref="AC23" si="61">AB23*(1+$W23)</f>
        <v>-34.695911484374989</v>
      </c>
      <c r="AD23" s="131">
        <f t="shared" ref="AD23" si="62">AC23*(1+$W23)</f>
        <v>-39.900298207031234</v>
      </c>
      <c r="AE23" s="131">
        <f t="shared" ref="AE23" si="63">AD23*(1+$W23)</f>
        <v>-45.885342938085913</v>
      </c>
      <c r="AF23" s="131">
        <f t="shared" ref="AF23" si="64">AE23*(1+$W23)</f>
        <v>-52.768144378798794</v>
      </c>
      <c r="AG23" s="131">
        <f t="shared" ref="AG23" si="65">AF23*(1+$W23)</f>
        <v>-60.683366035618612</v>
      </c>
      <c r="AH23" s="116">
        <f t="shared" ref="AH23" si="66">((AG23/J23)^(1/($AG$3-$K$1) ))-1</f>
        <v>-2.0229618599840267</v>
      </c>
      <c r="AI23" s="21">
        <f t="shared" si="17"/>
        <v>0.05</v>
      </c>
      <c r="AJ23" s="124">
        <f t="shared" si="1"/>
        <v>-374.80902551411498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82"/>
      <c r="U24" s="274"/>
      <c r="V24" s="10"/>
      <c r="W24" s="10"/>
      <c r="X24" s="131">
        <f t="shared" si="3"/>
        <v>0</v>
      </c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/>
      <c r="G25" s="125">
        <v>483</v>
      </c>
      <c r="H25" s="125">
        <v>568</v>
      </c>
      <c r="I25" s="125">
        <v>748</v>
      </c>
      <c r="J25" s="125">
        <v>975</v>
      </c>
      <c r="K25" s="125">
        <v>1153</v>
      </c>
      <c r="L25" s="125">
        <v>1459</v>
      </c>
      <c r="M25" s="125">
        <v>1489</v>
      </c>
      <c r="N25" s="125">
        <v>1807</v>
      </c>
      <c r="O25" s="125">
        <v>1743</v>
      </c>
      <c r="P25" s="125">
        <v>2183</v>
      </c>
      <c r="Q25" s="125">
        <v>2860</v>
      </c>
      <c r="R25" s="182">
        <v>3302</v>
      </c>
      <c r="S25" s="182">
        <v>3428</v>
      </c>
      <c r="T25" s="182">
        <v>3418</v>
      </c>
      <c r="U25" s="274">
        <v>3418</v>
      </c>
      <c r="V25" s="101">
        <f t="shared" si="2"/>
        <v>0.15001043356778365</v>
      </c>
      <c r="W25" s="21">
        <f t="shared" si="7"/>
        <v>0.15</v>
      </c>
      <c r="X25" s="131">
        <f t="shared" si="3"/>
        <v>3930.7</v>
      </c>
      <c r="Y25" s="131">
        <f t="shared" si="38"/>
        <v>4520.3049999999994</v>
      </c>
      <c r="Z25" s="131">
        <f t="shared" si="39"/>
        <v>5198.3507499999987</v>
      </c>
      <c r="AA25" s="131">
        <f t="shared" si="40"/>
        <v>5978.1033624999982</v>
      </c>
      <c r="AB25" s="131">
        <f t="shared" si="41"/>
        <v>6874.8188668749972</v>
      </c>
      <c r="AC25" s="131">
        <f t="shared" si="42"/>
        <v>7906.0416969062462</v>
      </c>
      <c r="AD25" s="131">
        <f t="shared" si="43"/>
        <v>9091.9479514421819</v>
      </c>
      <c r="AE25" s="131">
        <f t="shared" si="44"/>
        <v>10455.740144158508</v>
      </c>
      <c r="AF25" s="131">
        <f t="shared" si="45"/>
        <v>12024.101165782284</v>
      </c>
      <c r="AG25" s="131">
        <f t="shared" si="46"/>
        <v>13827.716340649626</v>
      </c>
      <c r="AH25" s="116">
        <f t="shared" si="20"/>
        <v>0.12221457877690756</v>
      </c>
      <c r="AI25" s="21">
        <f t="shared" si="17"/>
        <v>0.05</v>
      </c>
      <c r="AJ25" s="124">
        <f t="shared" si="1"/>
        <v>85406.483280482993</v>
      </c>
    </row>
    <row r="26" spans="2:36" s="106" customFormat="1">
      <c r="B26" s="13"/>
      <c r="C26" s="126"/>
      <c r="D26" s="126"/>
      <c r="E26" s="127"/>
      <c r="F26" s="272"/>
      <c r="G26" s="128" t="e">
        <f t="shared" ref="G26:S26" si="67">(G25-F25)/F25</f>
        <v>#DIV/0!</v>
      </c>
      <c r="H26" s="128">
        <f t="shared" si="67"/>
        <v>0.17598343685300208</v>
      </c>
      <c r="I26" s="128">
        <f t="shared" si="67"/>
        <v>0.31690140845070425</v>
      </c>
      <c r="J26" s="128">
        <f t="shared" si="67"/>
        <v>0.303475935828877</v>
      </c>
      <c r="K26" s="128">
        <f t="shared" si="67"/>
        <v>0.18256410256410258</v>
      </c>
      <c r="L26" s="128">
        <f t="shared" si="67"/>
        <v>0.26539462272333042</v>
      </c>
      <c r="M26" s="128">
        <f t="shared" si="67"/>
        <v>2.0562028786840301E-2</v>
      </c>
      <c r="N26" s="128">
        <f t="shared" si="67"/>
        <v>0.21356615177971794</v>
      </c>
      <c r="O26" s="128">
        <f t="shared" si="67"/>
        <v>-3.5417819590481459E-2</v>
      </c>
      <c r="P26" s="128">
        <f t="shared" si="67"/>
        <v>0.25243832472748134</v>
      </c>
      <c r="Q26" s="128">
        <f t="shared" si="67"/>
        <v>0.31012368300503895</v>
      </c>
      <c r="R26" s="128">
        <f t="shared" si="67"/>
        <v>0.15454545454545454</v>
      </c>
      <c r="S26" s="128">
        <f t="shared" si="67"/>
        <v>3.8158691701998787E-2</v>
      </c>
      <c r="T26" s="128">
        <f t="shared" ref="T26:U26" si="68">(T25-S25)/S25</f>
        <v>-2.9171528588098016E-3</v>
      </c>
      <c r="U26" s="275">
        <f t="shared" si="68"/>
        <v>0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/>
      <c r="G27" s="125">
        <v>447</v>
      </c>
      <c r="H27" s="125">
        <v>524</v>
      </c>
      <c r="I27" s="125">
        <v>656</v>
      </c>
      <c r="J27" s="125">
        <v>854</v>
      </c>
      <c r="K27" s="125">
        <v>998</v>
      </c>
      <c r="L27" s="125">
        <v>1250</v>
      </c>
      <c r="M27" s="125">
        <v>1269</v>
      </c>
      <c r="N27" s="125">
        <v>1565</v>
      </c>
      <c r="O27" s="125">
        <v>1533</v>
      </c>
      <c r="P27" s="125">
        <v>1872</v>
      </c>
      <c r="Q27" s="125">
        <v>2400</v>
      </c>
      <c r="R27" s="182">
        <v>2774</v>
      </c>
      <c r="S27" s="182">
        <v>2902</v>
      </c>
      <c r="T27" s="182">
        <v>2764</v>
      </c>
      <c r="U27" s="274">
        <v>2764</v>
      </c>
      <c r="V27" s="101">
        <f t="shared" si="2"/>
        <v>0.13898096321926445</v>
      </c>
      <c r="W27" s="21">
        <f t="shared" si="7"/>
        <v>0.15</v>
      </c>
      <c r="X27" s="131">
        <f t="shared" si="3"/>
        <v>3178.6</v>
      </c>
      <c r="Y27" s="131">
        <f t="shared" si="38"/>
        <v>3655.3899999999994</v>
      </c>
      <c r="Z27" s="131">
        <f t="shared" si="39"/>
        <v>4203.6984999999986</v>
      </c>
      <c r="AA27" s="131">
        <f t="shared" si="40"/>
        <v>4834.2532749999982</v>
      </c>
      <c r="AB27" s="131">
        <f t="shared" si="41"/>
        <v>5559.3912662499979</v>
      </c>
      <c r="AC27" s="131">
        <f t="shared" si="42"/>
        <v>6393.2999561874967</v>
      </c>
      <c r="AD27" s="131">
        <f t="shared" si="43"/>
        <v>7352.2949496156207</v>
      </c>
      <c r="AE27" s="131">
        <f t="shared" si="44"/>
        <v>8455.1391920579626</v>
      </c>
      <c r="AF27" s="131">
        <f t="shared" si="45"/>
        <v>9723.4100708666556</v>
      </c>
      <c r="AG27" s="131">
        <f t="shared" si="46"/>
        <v>11181.921581496654</v>
      </c>
      <c r="AH27" s="116">
        <f t="shared" si="20"/>
        <v>0.11832430571988373</v>
      </c>
      <c r="AI27" s="21">
        <f t="shared" si="17"/>
        <v>0.05</v>
      </c>
      <c r="AJ27" s="124">
        <f t="shared" si="1"/>
        <v>69064.809768067586</v>
      </c>
    </row>
    <row r="28" spans="2:36" s="106" customFormat="1">
      <c r="B28" s="13"/>
      <c r="C28" s="126"/>
      <c r="D28" s="126"/>
      <c r="E28" s="127"/>
      <c r="F28" s="272"/>
      <c r="G28" s="128" t="e">
        <f t="shared" ref="G28:S28" si="69">(G27-F27)/F27</f>
        <v>#DIV/0!</v>
      </c>
      <c r="H28" s="128">
        <f t="shared" si="69"/>
        <v>0.17225950782997762</v>
      </c>
      <c r="I28" s="128">
        <f t="shared" si="69"/>
        <v>0.25190839694656486</v>
      </c>
      <c r="J28" s="128">
        <f t="shared" si="69"/>
        <v>0.30182926829268292</v>
      </c>
      <c r="K28" s="128">
        <f t="shared" si="69"/>
        <v>0.16861826697892271</v>
      </c>
      <c r="L28" s="128">
        <f t="shared" si="69"/>
        <v>0.25250501002004005</v>
      </c>
      <c r="M28" s="128">
        <f t="shared" si="69"/>
        <v>1.52E-2</v>
      </c>
      <c r="N28" s="128">
        <f t="shared" si="69"/>
        <v>0.23325453112687156</v>
      </c>
      <c r="O28" s="128">
        <f t="shared" si="69"/>
        <v>-2.0447284345047924E-2</v>
      </c>
      <c r="P28" s="128">
        <f t="shared" si="69"/>
        <v>0.22113502935420742</v>
      </c>
      <c r="Q28" s="128">
        <f t="shared" si="69"/>
        <v>0.28205128205128205</v>
      </c>
      <c r="R28" s="128">
        <f t="shared" si="69"/>
        <v>0.15583333333333332</v>
      </c>
      <c r="S28" s="128">
        <f t="shared" si="69"/>
        <v>4.6142754145638065E-2</v>
      </c>
      <c r="T28" s="128">
        <f t="shared" ref="T28:U28" si="70">(T27-S27)/S27</f>
        <v>-4.755341144038594E-2</v>
      </c>
      <c r="U28" s="275">
        <f t="shared" si="70"/>
        <v>0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/>
      <c r="G29" s="125">
        <v>8</v>
      </c>
      <c r="H29" s="125">
        <v>11</v>
      </c>
      <c r="I29" s="125">
        <v>31</v>
      </c>
      <c r="J29" s="125">
        <v>46</v>
      </c>
      <c r="K29" s="125">
        <v>65</v>
      </c>
      <c r="L29" s="125">
        <v>93</v>
      </c>
      <c r="M29" s="125">
        <v>42</v>
      </c>
      <c r="N29" s="125">
        <v>48</v>
      </c>
      <c r="O29" s="125">
        <v>70</v>
      </c>
      <c r="P29" s="125">
        <v>77</v>
      </c>
      <c r="Q29" s="125">
        <v>76</v>
      </c>
      <c r="R29" s="182">
        <v>80.89</v>
      </c>
      <c r="S29" s="182">
        <v>63.42</v>
      </c>
      <c r="T29" s="182">
        <v>55</v>
      </c>
      <c r="U29" s="274">
        <v>55</v>
      </c>
      <c r="V29" s="101">
        <f t="shared" si="2"/>
        <v>0.1476387216446422</v>
      </c>
      <c r="W29" s="21">
        <f t="shared" si="7"/>
        <v>0.15</v>
      </c>
      <c r="X29" s="131">
        <f t="shared" si="3"/>
        <v>63.249999999999993</v>
      </c>
      <c r="Y29" s="131">
        <f t="shared" ref="Y29" si="71">X29*(1+$W29)</f>
        <v>72.737499999999983</v>
      </c>
      <c r="Z29" s="131">
        <f t="shared" ref="Z29" si="72">Y29*(1+$W29)</f>
        <v>83.648124999999979</v>
      </c>
      <c r="AA29" s="131">
        <f t="shared" ref="AA29" si="73">Z29*(1+$W29)</f>
        <v>96.195343749999964</v>
      </c>
      <c r="AB29" s="131">
        <f t="shared" ref="AB29" si="74">AA29*(1+$W29)</f>
        <v>110.62464531249995</v>
      </c>
      <c r="AC29" s="131">
        <f t="shared" ref="AC29" si="75">AB29*(1+$W29)</f>
        <v>127.21834210937493</v>
      </c>
      <c r="AD29" s="131">
        <f t="shared" ref="AD29" si="76">AC29*(1+$W29)</f>
        <v>146.30109342578115</v>
      </c>
      <c r="AE29" s="131">
        <f t="shared" ref="AE29" si="77">AD29*(1+$W29)</f>
        <v>168.2462574396483</v>
      </c>
      <c r="AF29" s="131">
        <f t="shared" ref="AF29" si="78">AE29*(1+$W29)</f>
        <v>193.48319605559553</v>
      </c>
      <c r="AG29" s="131">
        <f t="shared" ref="AG29" si="79">AF29*(1+$W29)</f>
        <v>222.50567546393484</v>
      </c>
      <c r="AH29" s="116">
        <f t="shared" ref="AH29" si="80">((AG29/J29)^(1/($AG$3-$K$1) ))-1</f>
        <v>7.0938396398286585E-2</v>
      </c>
      <c r="AI29" s="21">
        <f t="shared" si="17"/>
        <v>0.05</v>
      </c>
      <c r="AJ29" s="124">
        <f t="shared" ref="AJ29" si="81">(AG29*(1+AI29))/($C$1-AI29)</f>
        <v>1374.2997602184212</v>
      </c>
    </row>
    <row r="30" spans="2:36" s="106" customFormat="1">
      <c r="B30" s="13"/>
      <c r="C30" s="126"/>
      <c r="D30" s="126"/>
      <c r="E30" s="127"/>
      <c r="F30" s="272"/>
      <c r="G30" s="128" t="e">
        <f t="shared" ref="G30:S30" si="82">(G29-F29)/F29</f>
        <v>#DIV/0!</v>
      </c>
      <c r="H30" s="128">
        <f t="shared" si="82"/>
        <v>0.375</v>
      </c>
      <c r="I30" s="128">
        <f t="shared" si="82"/>
        <v>1.8181818181818181</v>
      </c>
      <c r="J30" s="128">
        <f t="shared" si="82"/>
        <v>0.4838709677419355</v>
      </c>
      <c r="K30" s="128">
        <f t="shared" si="82"/>
        <v>0.41304347826086957</v>
      </c>
      <c r="L30" s="128">
        <f t="shared" si="82"/>
        <v>0.43076923076923079</v>
      </c>
      <c r="M30" s="128">
        <f t="shared" si="82"/>
        <v>-0.54838709677419351</v>
      </c>
      <c r="N30" s="128">
        <f t="shared" si="82"/>
        <v>0.14285714285714285</v>
      </c>
      <c r="O30" s="128">
        <f t="shared" si="82"/>
        <v>0.45833333333333331</v>
      </c>
      <c r="P30" s="128">
        <f t="shared" si="82"/>
        <v>0.1</v>
      </c>
      <c r="Q30" s="128">
        <f t="shared" si="82"/>
        <v>-1.2987012987012988E-2</v>
      </c>
      <c r="R30" s="128">
        <f t="shared" si="82"/>
        <v>6.4342105263157909E-2</v>
      </c>
      <c r="S30" s="128">
        <f t="shared" si="82"/>
        <v>-0.2159723080726913</v>
      </c>
      <c r="T30" s="128">
        <f t="shared" ref="T30:U30" si="83">(T29-S29)/S29</f>
        <v>-0.13276568905707981</v>
      </c>
      <c r="U30" s="275">
        <f t="shared" si="83"/>
        <v>0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9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>
        <v>0</v>
      </c>
      <c r="H31" s="125">
        <v>0</v>
      </c>
      <c r="I31" s="125">
        <v>0</v>
      </c>
      <c r="J31" s="125"/>
      <c r="K31" s="125"/>
      <c r="L31" s="125"/>
      <c r="M31" s="125"/>
      <c r="N31" s="125"/>
      <c r="O31" s="125"/>
      <c r="P31" s="125"/>
      <c r="Q31" s="125"/>
      <c r="R31" s="182">
        <v>0</v>
      </c>
      <c r="S31" s="182">
        <f t="shared" si="18"/>
        <v>0</v>
      </c>
      <c r="T31" s="182">
        <v>0</v>
      </c>
      <c r="U31" s="274">
        <v>0</v>
      </c>
      <c r="V31" s="101" t="e">
        <f t="shared" si="2"/>
        <v>#DIV/0!</v>
      </c>
      <c r="W31" s="21">
        <f t="shared" si="7"/>
        <v>0.15</v>
      </c>
      <c r="X31" s="131">
        <f t="shared" si="3"/>
        <v>0</v>
      </c>
      <c r="Y31" s="131">
        <f>X31*(1+$W31)</f>
        <v>0</v>
      </c>
      <c r="Z31" s="131">
        <f t="shared" ref="Z31:AG32" si="84">Y31*(1+$W31)</f>
        <v>0</v>
      </c>
      <c r="AA31" s="131">
        <f t="shared" si="84"/>
        <v>0</v>
      </c>
      <c r="AB31" s="131">
        <f t="shared" si="84"/>
        <v>0</v>
      </c>
      <c r="AC31" s="131">
        <f t="shared" si="84"/>
        <v>0</v>
      </c>
      <c r="AD31" s="131">
        <f t="shared" si="84"/>
        <v>0</v>
      </c>
      <c r="AE31" s="131">
        <f t="shared" si="84"/>
        <v>0</v>
      </c>
      <c r="AF31" s="131">
        <f t="shared" si="84"/>
        <v>0</v>
      </c>
      <c r="AG31" s="131">
        <f t="shared" si="84"/>
        <v>0</v>
      </c>
      <c r="AH31" s="116" t="e">
        <f t="shared" ref="AH31" si="85">((AG31/J31)^(1/($AG$3-$K$1) ))-1</f>
        <v>#DIV/0!</v>
      </c>
      <c r="AI31" s="21">
        <f t="shared" si="17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>
        <v>0</v>
      </c>
      <c r="H32" s="125">
        <v>0</v>
      </c>
      <c r="I32" s="125">
        <v>0</v>
      </c>
      <c r="J32" s="125"/>
      <c r="K32" s="125"/>
      <c r="L32" s="125"/>
      <c r="M32" s="125"/>
      <c r="N32" s="125"/>
      <c r="O32" s="125"/>
      <c r="P32" s="125"/>
      <c r="Q32" s="125"/>
      <c r="R32" s="182">
        <v>0</v>
      </c>
      <c r="S32" s="182">
        <f t="shared" si="18"/>
        <v>0</v>
      </c>
      <c r="T32" s="182">
        <v>0</v>
      </c>
      <c r="U32" s="274">
        <v>0</v>
      </c>
      <c r="V32" s="101" t="e">
        <f t="shared" si="2"/>
        <v>#DIV/0!</v>
      </c>
      <c r="W32" s="21">
        <f t="shared" si="7"/>
        <v>0.15</v>
      </c>
      <c r="X32" s="131">
        <f t="shared" si="3"/>
        <v>0</v>
      </c>
      <c r="Y32" s="131">
        <f>X32*(1+$W32)</f>
        <v>0</v>
      </c>
      <c r="Z32" s="131">
        <f t="shared" si="84"/>
        <v>0</v>
      </c>
      <c r="AA32" s="131">
        <f t="shared" si="84"/>
        <v>0</v>
      </c>
      <c r="AB32" s="131">
        <f t="shared" si="84"/>
        <v>0</v>
      </c>
      <c r="AC32" s="131">
        <f t="shared" si="84"/>
        <v>0</v>
      </c>
      <c r="AD32" s="131">
        <f t="shared" si="84"/>
        <v>0</v>
      </c>
      <c r="AE32" s="131">
        <f t="shared" si="84"/>
        <v>0</v>
      </c>
      <c r="AF32" s="131">
        <f t="shared" si="84"/>
        <v>0</v>
      </c>
      <c r="AG32" s="131">
        <f t="shared" si="84"/>
        <v>0</v>
      </c>
      <c r="AH32" s="116" t="e">
        <f t="shared" ref="AH32" si="86">((AG32/J32)^(1/($AG$3-$K$1) ))-1</f>
        <v>#DIV/0!</v>
      </c>
      <c r="AI32" s="21">
        <f t="shared" si="17"/>
        <v>0.05</v>
      </c>
      <c r="AJ32" s="124">
        <f t="shared" si="1"/>
        <v>0</v>
      </c>
    </row>
    <row r="33" spans="1:36">
      <c r="B33" s="10" t="s">
        <v>509</v>
      </c>
      <c r="C33" s="119"/>
      <c r="D33" s="119"/>
      <c r="E33" s="125"/>
      <c r="F33" s="125"/>
      <c r="G33" s="125">
        <v>376</v>
      </c>
      <c r="H33" s="125">
        <v>453</v>
      </c>
      <c r="I33" s="125">
        <v>571</v>
      </c>
      <c r="J33" s="125">
        <v>752</v>
      </c>
      <c r="K33" s="125">
        <v>886</v>
      </c>
      <c r="L33" s="125">
        <v>1084</v>
      </c>
      <c r="M33" s="125">
        <v>1156</v>
      </c>
      <c r="N33" s="125">
        <v>1434</v>
      </c>
      <c r="O33" s="125">
        <v>1354</v>
      </c>
      <c r="P33" s="125">
        <v>1678</v>
      </c>
      <c r="Q33" s="125">
        <v>2197</v>
      </c>
      <c r="R33" s="182">
        <v>2511.27</v>
      </c>
      <c r="S33" s="182">
        <f t="shared" si="18"/>
        <v>2511.27</v>
      </c>
      <c r="T33" s="182">
        <v>2497</v>
      </c>
      <c r="U33" s="274">
        <v>2497</v>
      </c>
      <c r="V33" s="101">
        <f t="shared" si="2"/>
        <v>0.14480301387382388</v>
      </c>
      <c r="W33" s="21">
        <f t="shared" si="7"/>
        <v>0.15</v>
      </c>
      <c r="X33" s="131">
        <f t="shared" si="3"/>
        <v>2871.5499999999997</v>
      </c>
      <c r="Y33" s="131">
        <f t="shared" si="38"/>
        <v>3302.2824999999993</v>
      </c>
      <c r="Z33" s="131">
        <f t="shared" si="39"/>
        <v>3797.6248749999991</v>
      </c>
      <c r="AA33" s="131">
        <f t="shared" si="40"/>
        <v>4367.2686062499988</v>
      </c>
      <c r="AB33" s="131">
        <f t="shared" si="41"/>
        <v>5022.3588971874979</v>
      </c>
      <c r="AC33" s="131">
        <f t="shared" si="42"/>
        <v>5775.7127317656223</v>
      </c>
      <c r="AD33" s="131">
        <f t="shared" si="43"/>
        <v>6642.0696415304647</v>
      </c>
      <c r="AE33" s="131">
        <f t="shared" si="44"/>
        <v>7638.3800877600333</v>
      </c>
      <c r="AF33" s="131">
        <f t="shared" si="45"/>
        <v>8784.1371009240374</v>
      </c>
      <c r="AG33" s="131">
        <f t="shared" si="46"/>
        <v>10101.757666062642</v>
      </c>
      <c r="AH33" s="116">
        <f t="shared" si="20"/>
        <v>0.11957003313491588</v>
      </c>
      <c r="AI33" s="21">
        <f t="shared" si="17"/>
        <v>0.05</v>
      </c>
      <c r="AJ33" s="124">
        <f t="shared" si="1"/>
        <v>62393.209113916331</v>
      </c>
    </row>
    <row r="34" spans="1:36">
      <c r="B34" s="10" t="s">
        <v>510</v>
      </c>
      <c r="C34" s="119"/>
      <c r="D34" s="119"/>
      <c r="E34" s="125"/>
      <c r="F34" s="125"/>
      <c r="G34" s="125">
        <v>52</v>
      </c>
      <c r="H34" s="125">
        <v>46</v>
      </c>
      <c r="I34" s="125">
        <v>55</v>
      </c>
      <c r="J34" s="125">
        <v>64</v>
      </c>
      <c r="K34" s="125">
        <v>77</v>
      </c>
      <c r="L34" s="125">
        <v>132</v>
      </c>
      <c r="M34" s="125">
        <v>72</v>
      </c>
      <c r="N34" s="125">
        <v>77</v>
      </c>
      <c r="O34" s="125">
        <v>127</v>
      </c>
      <c r="P34" s="125">
        <v>143</v>
      </c>
      <c r="Q34" s="125">
        <v>147</v>
      </c>
      <c r="R34" s="182">
        <v>54.34</v>
      </c>
      <c r="S34" s="182">
        <v>63</v>
      </c>
      <c r="T34" s="182">
        <v>72</v>
      </c>
      <c r="U34" s="274">
        <v>72</v>
      </c>
      <c r="V34" s="101">
        <f t="shared" si="2"/>
        <v>2.3516714970966301E-2</v>
      </c>
      <c r="W34" s="21">
        <f t="shared" si="7"/>
        <v>0.15</v>
      </c>
      <c r="X34" s="131">
        <f t="shared" si="3"/>
        <v>82.8</v>
      </c>
      <c r="Y34" s="131">
        <f t="shared" si="38"/>
        <v>95.219999999999985</v>
      </c>
      <c r="Z34" s="131">
        <f t="shared" si="39"/>
        <v>109.50299999999997</v>
      </c>
      <c r="AA34" s="131">
        <f t="shared" si="40"/>
        <v>125.92844999999996</v>
      </c>
      <c r="AB34" s="131">
        <f t="shared" si="41"/>
        <v>144.81771749999993</v>
      </c>
      <c r="AC34" s="131">
        <f t="shared" si="42"/>
        <v>166.54037512499991</v>
      </c>
      <c r="AD34" s="131">
        <f t="shared" si="43"/>
        <v>191.52143139374988</v>
      </c>
      <c r="AE34" s="131">
        <f t="shared" si="44"/>
        <v>220.24964610281233</v>
      </c>
      <c r="AF34" s="131">
        <f t="shared" si="45"/>
        <v>253.28709301823417</v>
      </c>
      <c r="AG34" s="131">
        <f t="shared" si="46"/>
        <v>291.2801569709693</v>
      </c>
      <c r="AH34" s="116">
        <f t="shared" si="20"/>
        <v>6.8106082140811042E-2</v>
      </c>
      <c r="AI34" s="21">
        <f t="shared" si="17"/>
        <v>0.05</v>
      </c>
      <c r="AJ34" s="124">
        <f t="shared" si="1"/>
        <v>1799.0833224677519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276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304" t="s">
        <v>423</v>
      </c>
      <c r="B36" s="179" t="s">
        <v>417</v>
      </c>
      <c r="C36" s="119"/>
      <c r="D36" s="119"/>
      <c r="E36" s="125"/>
      <c r="F36" s="182"/>
      <c r="G36" s="182">
        <f t="shared" ref="G36:H36" si="87">H36</f>
        <v>0</v>
      </c>
      <c r="H36" s="182">
        <f t="shared" si="87"/>
        <v>0</v>
      </c>
      <c r="I36" s="182">
        <f>J36</f>
        <v>0</v>
      </c>
      <c r="J36" s="182"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274">
        <v>0</v>
      </c>
      <c r="V36" s="101" t="e">
        <f t="shared" si="2"/>
        <v>#DIV/0!</v>
      </c>
      <c r="W36" s="21">
        <f t="shared" si="7"/>
        <v>0.15</v>
      </c>
      <c r="X36" s="131">
        <f t="shared" ref="X36:X49" si="88">T36*(1+$W36)</f>
        <v>0</v>
      </c>
      <c r="Y36" s="131">
        <f t="shared" ref="Y36:Y49" si="89">X36*(1+$W36)</f>
        <v>0</v>
      </c>
      <c r="Z36" s="131">
        <f t="shared" ref="Z36:Z49" si="90">Y36*(1+$W36)</f>
        <v>0</v>
      </c>
      <c r="AA36" s="131">
        <f t="shared" ref="AA36:AA49" si="91">Z36*(1+$W36)</f>
        <v>0</v>
      </c>
      <c r="AB36" s="131">
        <f t="shared" ref="AB36:AB49" si="92">AA36*(1+$W36)</f>
        <v>0</v>
      </c>
      <c r="AC36" s="131">
        <f t="shared" ref="AC36:AC49" si="93">AB36*(1+$W36)</f>
        <v>0</v>
      </c>
      <c r="AD36" s="131">
        <f t="shared" ref="AD36:AD49" si="94">AC36*(1+$W36)</f>
        <v>0</v>
      </c>
      <c r="AE36" s="131">
        <f t="shared" ref="AE36:AE49" si="95">AD36*(1+$W36)</f>
        <v>0</v>
      </c>
      <c r="AF36" s="131">
        <f t="shared" ref="AF36:AF49" si="96">AE36*(1+$W36)</f>
        <v>0</v>
      </c>
      <c r="AG36" s="131">
        <f t="shared" ref="AG36:AG49" si="97">AF36*(1+$W36)</f>
        <v>0</v>
      </c>
      <c r="AH36" s="116" t="e">
        <f t="shared" ref="AH36:AH49" si="98">((AG36/J36)^(1/($AG$3-$K$1) ))-1</f>
        <v>#DIV/0!</v>
      </c>
      <c r="AI36" s="21">
        <f t="shared" si="17"/>
        <v>0.05</v>
      </c>
      <c r="AJ36" s="124">
        <f t="shared" ref="AJ36:AJ49" si="99">(AG36*(1+AI36))/($C$1-AI36)</f>
        <v>0</v>
      </c>
    </row>
    <row r="37" spans="1:36">
      <c r="A37" s="304"/>
      <c r="B37" s="179"/>
      <c r="C37" s="119"/>
      <c r="D37" s="119"/>
      <c r="E37" s="125"/>
      <c r="F37" s="128"/>
      <c r="G37" s="128" t="e">
        <f t="shared" ref="G37:S37" si="100">(G36-F36)/F36</f>
        <v>#DIV/0!</v>
      </c>
      <c r="H37" s="128" t="e">
        <f t="shared" si="100"/>
        <v>#DIV/0!</v>
      </c>
      <c r="I37" s="128" t="e">
        <f t="shared" si="100"/>
        <v>#DIV/0!</v>
      </c>
      <c r="J37" s="128" t="e">
        <f t="shared" si="100"/>
        <v>#DIV/0!</v>
      </c>
      <c r="K37" s="128" t="e">
        <f t="shared" si="100"/>
        <v>#DIV/0!</v>
      </c>
      <c r="L37" s="128" t="e">
        <f t="shared" si="100"/>
        <v>#DIV/0!</v>
      </c>
      <c r="M37" s="128" t="e">
        <f t="shared" si="100"/>
        <v>#DIV/0!</v>
      </c>
      <c r="N37" s="128" t="e">
        <f t="shared" si="100"/>
        <v>#DIV/0!</v>
      </c>
      <c r="O37" s="128" t="e">
        <f t="shared" si="100"/>
        <v>#DIV/0!</v>
      </c>
      <c r="P37" s="128" t="e">
        <f t="shared" si="100"/>
        <v>#DIV/0!</v>
      </c>
      <c r="Q37" s="128" t="e">
        <f t="shared" si="100"/>
        <v>#DIV/0!</v>
      </c>
      <c r="R37" s="128" t="e">
        <f t="shared" si="100"/>
        <v>#DIV/0!</v>
      </c>
      <c r="S37" s="128" t="e">
        <f t="shared" si="100"/>
        <v>#DIV/0!</v>
      </c>
      <c r="T37" s="128" t="e">
        <f t="shared" ref="T37:U37" si="101">(T36-S36)/S36</f>
        <v>#DIV/0!</v>
      </c>
      <c r="U37" s="275" t="e">
        <f t="shared" si="101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304"/>
      <c r="B38" s="179" t="s">
        <v>418</v>
      </c>
      <c r="C38" s="119"/>
      <c r="D38" s="119"/>
      <c r="E38" s="125"/>
      <c r="F38" s="182"/>
      <c r="G38" s="182">
        <f t="shared" ref="G38:H38" si="102">H38</f>
        <v>0</v>
      </c>
      <c r="H38" s="182">
        <f t="shared" si="102"/>
        <v>0</v>
      </c>
      <c r="I38" s="182">
        <f>J38</f>
        <v>0</v>
      </c>
      <c r="J38" s="182"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0</v>
      </c>
      <c r="U38" s="274">
        <v>0</v>
      </c>
      <c r="V38" s="101" t="e">
        <f t="shared" si="2"/>
        <v>#DIV/0!</v>
      </c>
      <c r="W38" s="21">
        <f t="shared" si="7"/>
        <v>0.15</v>
      </c>
      <c r="X38" s="131">
        <f t="shared" si="88"/>
        <v>0</v>
      </c>
      <c r="Y38" s="131">
        <f t="shared" si="89"/>
        <v>0</v>
      </c>
      <c r="Z38" s="131">
        <f t="shared" si="90"/>
        <v>0</v>
      </c>
      <c r="AA38" s="131">
        <f t="shared" si="91"/>
        <v>0</v>
      </c>
      <c r="AB38" s="131">
        <f t="shared" si="92"/>
        <v>0</v>
      </c>
      <c r="AC38" s="131">
        <f t="shared" si="93"/>
        <v>0</v>
      </c>
      <c r="AD38" s="131">
        <f t="shared" si="94"/>
        <v>0</v>
      </c>
      <c r="AE38" s="131">
        <f t="shared" si="95"/>
        <v>0</v>
      </c>
      <c r="AF38" s="131">
        <f t="shared" si="96"/>
        <v>0</v>
      </c>
      <c r="AG38" s="131">
        <f t="shared" si="97"/>
        <v>0</v>
      </c>
      <c r="AH38" s="116" t="e">
        <f t="shared" si="98"/>
        <v>#DIV/0!</v>
      </c>
      <c r="AI38" s="21">
        <f t="shared" si="17"/>
        <v>0.05</v>
      </c>
      <c r="AJ38" s="124">
        <f t="shared" si="99"/>
        <v>0</v>
      </c>
    </row>
    <row r="39" spans="1:36">
      <c r="A39" s="304"/>
      <c r="B39" s="179"/>
      <c r="C39" s="119"/>
      <c r="D39" s="119"/>
      <c r="E39" s="125"/>
      <c r="F39" s="128"/>
      <c r="G39" s="128" t="e">
        <f t="shared" ref="G39:S39" si="103">(G38-F38)/F38</f>
        <v>#DIV/0!</v>
      </c>
      <c r="H39" s="128" t="e">
        <f t="shared" si="103"/>
        <v>#DIV/0!</v>
      </c>
      <c r="I39" s="128" t="e">
        <f t="shared" si="103"/>
        <v>#DIV/0!</v>
      </c>
      <c r="J39" s="128" t="e">
        <f t="shared" si="103"/>
        <v>#DIV/0!</v>
      </c>
      <c r="K39" s="128" t="e">
        <f t="shared" si="103"/>
        <v>#DIV/0!</v>
      </c>
      <c r="L39" s="128" t="e">
        <f t="shared" si="103"/>
        <v>#DIV/0!</v>
      </c>
      <c r="M39" s="128" t="e">
        <f t="shared" si="103"/>
        <v>#DIV/0!</v>
      </c>
      <c r="N39" s="128" t="e">
        <f t="shared" si="103"/>
        <v>#DIV/0!</v>
      </c>
      <c r="O39" s="128" t="e">
        <f t="shared" si="103"/>
        <v>#DIV/0!</v>
      </c>
      <c r="P39" s="128" t="e">
        <f t="shared" si="103"/>
        <v>#DIV/0!</v>
      </c>
      <c r="Q39" s="128" t="e">
        <f t="shared" si="103"/>
        <v>#DIV/0!</v>
      </c>
      <c r="R39" s="128" t="e">
        <f t="shared" si="103"/>
        <v>#DIV/0!</v>
      </c>
      <c r="S39" s="128" t="e">
        <f t="shared" si="103"/>
        <v>#DIV/0!</v>
      </c>
      <c r="T39" s="128" t="e">
        <f t="shared" ref="T39:U39" si="104">(T38-S38)/S38</f>
        <v>#DIV/0!</v>
      </c>
      <c r="U39" s="275" t="e">
        <f t="shared" si="104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304"/>
      <c r="B40" s="179" t="s">
        <v>422</v>
      </c>
      <c r="C40" s="119"/>
      <c r="D40" s="119"/>
      <c r="E40" s="125"/>
      <c r="F40" s="182"/>
      <c r="G40" s="182">
        <f t="shared" ref="G40:H43" si="105">H40</f>
        <v>0</v>
      </c>
      <c r="H40" s="182">
        <f t="shared" si="105"/>
        <v>0</v>
      </c>
      <c r="I40" s="182">
        <f>J40</f>
        <v>0</v>
      </c>
      <c r="J40" s="182"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82">
        <v>0</v>
      </c>
      <c r="U40" s="274">
        <v>0</v>
      </c>
      <c r="V40" s="101" t="e">
        <f t="shared" si="2"/>
        <v>#DIV/0!</v>
      </c>
      <c r="W40" s="21">
        <f t="shared" si="7"/>
        <v>0.15</v>
      </c>
      <c r="X40" s="131">
        <f t="shared" si="88"/>
        <v>0</v>
      </c>
      <c r="Y40" s="131">
        <f t="shared" si="89"/>
        <v>0</v>
      </c>
      <c r="Z40" s="131">
        <f t="shared" si="90"/>
        <v>0</v>
      </c>
      <c r="AA40" s="131">
        <f t="shared" si="91"/>
        <v>0</v>
      </c>
      <c r="AB40" s="131">
        <f t="shared" si="92"/>
        <v>0</v>
      </c>
      <c r="AC40" s="131">
        <f t="shared" si="93"/>
        <v>0</v>
      </c>
      <c r="AD40" s="131">
        <f t="shared" si="94"/>
        <v>0</v>
      </c>
      <c r="AE40" s="131">
        <f t="shared" si="95"/>
        <v>0</v>
      </c>
      <c r="AF40" s="131">
        <f t="shared" si="96"/>
        <v>0</v>
      </c>
      <c r="AG40" s="131">
        <f t="shared" si="97"/>
        <v>0</v>
      </c>
      <c r="AH40" s="116" t="e">
        <f t="shared" si="98"/>
        <v>#DIV/0!</v>
      </c>
      <c r="AI40" s="21">
        <f t="shared" si="17"/>
        <v>0.05</v>
      </c>
      <c r="AJ40" s="124">
        <f t="shared" si="99"/>
        <v>0</v>
      </c>
    </row>
    <row r="41" spans="1:36">
      <c r="A41" s="304"/>
      <c r="B41" s="179" t="s">
        <v>419</v>
      </c>
      <c r="C41" s="119"/>
      <c r="D41" s="119"/>
      <c r="E41" s="125"/>
      <c r="F41" s="182"/>
      <c r="G41" s="182">
        <f t="shared" si="105"/>
        <v>0</v>
      </c>
      <c r="H41" s="182">
        <f t="shared" si="105"/>
        <v>0</v>
      </c>
      <c r="I41" s="182">
        <f>J41</f>
        <v>0</v>
      </c>
      <c r="J41" s="182"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274">
        <v>0</v>
      </c>
      <c r="V41" s="101" t="e">
        <f t="shared" si="2"/>
        <v>#DIV/0!</v>
      </c>
      <c r="W41" s="21">
        <f t="shared" si="7"/>
        <v>0.15</v>
      </c>
      <c r="X41" s="131">
        <f t="shared" si="88"/>
        <v>0</v>
      </c>
      <c r="Y41" s="131">
        <f t="shared" si="89"/>
        <v>0</v>
      </c>
      <c r="Z41" s="131">
        <f t="shared" si="90"/>
        <v>0</v>
      </c>
      <c r="AA41" s="131">
        <f t="shared" si="91"/>
        <v>0</v>
      </c>
      <c r="AB41" s="131">
        <f t="shared" si="92"/>
        <v>0</v>
      </c>
      <c r="AC41" s="131">
        <f t="shared" si="93"/>
        <v>0</v>
      </c>
      <c r="AD41" s="131">
        <f t="shared" si="94"/>
        <v>0</v>
      </c>
      <c r="AE41" s="131">
        <f t="shared" si="95"/>
        <v>0</v>
      </c>
      <c r="AF41" s="131">
        <f t="shared" si="96"/>
        <v>0</v>
      </c>
      <c r="AG41" s="131">
        <f t="shared" si="97"/>
        <v>0</v>
      </c>
      <c r="AH41" s="116" t="e">
        <f t="shared" si="98"/>
        <v>#DIV/0!</v>
      </c>
      <c r="AI41" s="21">
        <f t="shared" si="17"/>
        <v>0.05</v>
      </c>
      <c r="AJ41" s="124">
        <f t="shared" si="99"/>
        <v>0</v>
      </c>
    </row>
    <row r="42" spans="1:36">
      <c r="A42" s="304"/>
      <c r="B42" s="179" t="s">
        <v>421</v>
      </c>
      <c r="C42" s="119"/>
      <c r="D42" s="119"/>
      <c r="E42" s="125"/>
      <c r="F42" s="182"/>
      <c r="G42" s="182">
        <f t="shared" si="105"/>
        <v>0</v>
      </c>
      <c r="H42" s="182">
        <f t="shared" si="105"/>
        <v>0</v>
      </c>
      <c r="I42" s="182">
        <f>J42</f>
        <v>0</v>
      </c>
      <c r="J42" s="182"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0</v>
      </c>
      <c r="U42" s="274">
        <v>0</v>
      </c>
      <c r="V42" s="101" t="e">
        <f t="shared" si="2"/>
        <v>#DIV/0!</v>
      </c>
      <c r="W42" s="21">
        <f t="shared" si="7"/>
        <v>0.15</v>
      </c>
      <c r="X42" s="131">
        <f t="shared" si="88"/>
        <v>0</v>
      </c>
      <c r="Y42" s="131">
        <f t="shared" si="89"/>
        <v>0</v>
      </c>
      <c r="Z42" s="131">
        <f t="shared" si="90"/>
        <v>0</v>
      </c>
      <c r="AA42" s="131">
        <f t="shared" si="91"/>
        <v>0</v>
      </c>
      <c r="AB42" s="131">
        <f t="shared" si="92"/>
        <v>0</v>
      </c>
      <c r="AC42" s="131">
        <f t="shared" si="93"/>
        <v>0</v>
      </c>
      <c r="AD42" s="131">
        <f t="shared" si="94"/>
        <v>0</v>
      </c>
      <c r="AE42" s="131">
        <f t="shared" si="95"/>
        <v>0</v>
      </c>
      <c r="AF42" s="131">
        <f t="shared" si="96"/>
        <v>0</v>
      </c>
      <c r="AG42" s="131">
        <f t="shared" si="97"/>
        <v>0</v>
      </c>
      <c r="AH42" s="116" t="e">
        <f t="shared" si="98"/>
        <v>#DIV/0!</v>
      </c>
      <c r="AI42" s="21">
        <f t="shared" si="17"/>
        <v>0.05</v>
      </c>
      <c r="AJ42" s="124">
        <f t="shared" si="99"/>
        <v>0</v>
      </c>
    </row>
    <row r="43" spans="1:36">
      <c r="A43" s="304"/>
      <c r="B43" s="179" t="s">
        <v>420</v>
      </c>
      <c r="C43" s="119"/>
      <c r="D43" s="119"/>
      <c r="E43" s="125"/>
      <c r="F43" s="182"/>
      <c r="G43" s="182">
        <f t="shared" si="105"/>
        <v>0</v>
      </c>
      <c r="H43" s="182">
        <f t="shared" si="105"/>
        <v>0</v>
      </c>
      <c r="I43" s="182">
        <f>J43</f>
        <v>0</v>
      </c>
      <c r="J43" s="182"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82">
        <v>0</v>
      </c>
      <c r="U43" s="274">
        <v>0</v>
      </c>
      <c r="V43" s="101" t="e">
        <f t="shared" si="2"/>
        <v>#DIV/0!</v>
      </c>
      <c r="W43" s="21">
        <f t="shared" si="7"/>
        <v>0.15</v>
      </c>
      <c r="X43" s="131">
        <f t="shared" si="88"/>
        <v>0</v>
      </c>
      <c r="Y43" s="131">
        <f t="shared" si="89"/>
        <v>0</v>
      </c>
      <c r="Z43" s="131">
        <f t="shared" si="90"/>
        <v>0</v>
      </c>
      <c r="AA43" s="131">
        <f t="shared" si="91"/>
        <v>0</v>
      </c>
      <c r="AB43" s="131">
        <f t="shared" si="92"/>
        <v>0</v>
      </c>
      <c r="AC43" s="131">
        <f t="shared" si="93"/>
        <v>0</v>
      </c>
      <c r="AD43" s="131">
        <f t="shared" si="94"/>
        <v>0</v>
      </c>
      <c r="AE43" s="131">
        <f t="shared" si="95"/>
        <v>0</v>
      </c>
      <c r="AF43" s="131">
        <f t="shared" si="96"/>
        <v>0</v>
      </c>
      <c r="AG43" s="131">
        <f t="shared" si="97"/>
        <v>0</v>
      </c>
      <c r="AH43" s="116" t="e">
        <f t="shared" si="98"/>
        <v>#DIV/0!</v>
      </c>
      <c r="AI43" s="21">
        <f t="shared" si="17"/>
        <v>0.05</v>
      </c>
      <c r="AJ43" s="124">
        <f t="shared" si="99"/>
        <v>0</v>
      </c>
    </row>
    <row r="44" spans="1:36">
      <c r="A44" s="304"/>
      <c r="B44" s="179"/>
      <c r="C44" s="119"/>
      <c r="D44" s="119"/>
      <c r="E44" s="125"/>
      <c r="F44" s="128"/>
      <c r="G44" s="128" t="e">
        <f t="shared" ref="G44:S44" si="106">(G43-F43)/F43</f>
        <v>#DIV/0!</v>
      </c>
      <c r="H44" s="128" t="e">
        <f t="shared" si="106"/>
        <v>#DIV/0!</v>
      </c>
      <c r="I44" s="128" t="e">
        <f t="shared" si="106"/>
        <v>#DIV/0!</v>
      </c>
      <c r="J44" s="128" t="e">
        <f t="shared" si="106"/>
        <v>#DIV/0!</v>
      </c>
      <c r="K44" s="128" t="e">
        <f t="shared" si="106"/>
        <v>#DIV/0!</v>
      </c>
      <c r="L44" s="128" t="e">
        <f t="shared" si="106"/>
        <v>#DIV/0!</v>
      </c>
      <c r="M44" s="128" t="e">
        <f t="shared" si="106"/>
        <v>#DIV/0!</v>
      </c>
      <c r="N44" s="128" t="e">
        <f t="shared" si="106"/>
        <v>#DIV/0!</v>
      </c>
      <c r="O44" s="128" t="e">
        <f t="shared" si="106"/>
        <v>#DIV/0!</v>
      </c>
      <c r="P44" s="128" t="e">
        <f t="shared" si="106"/>
        <v>#DIV/0!</v>
      </c>
      <c r="Q44" s="128" t="e">
        <f t="shared" si="106"/>
        <v>#DIV/0!</v>
      </c>
      <c r="R44" s="128" t="e">
        <f t="shared" si="106"/>
        <v>#DIV/0!</v>
      </c>
      <c r="S44" s="128" t="e">
        <f t="shared" si="106"/>
        <v>#DIV/0!</v>
      </c>
      <c r="T44" s="128" t="e">
        <f t="shared" ref="T44:U44" si="107">(T43-S43)/S43</f>
        <v>#DIV/0!</v>
      </c>
      <c r="U44" s="275" t="e">
        <f t="shared" si="107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304"/>
      <c r="B45" s="179" t="s">
        <v>191</v>
      </c>
      <c r="C45" s="119"/>
      <c r="D45" s="119"/>
      <c r="E45" s="125"/>
      <c r="F45" s="182"/>
      <c r="G45" s="182">
        <f t="shared" ref="G45:H45" si="108">H45</f>
        <v>0</v>
      </c>
      <c r="H45" s="182">
        <f t="shared" si="108"/>
        <v>0</v>
      </c>
      <c r="I45" s="182">
        <f>J45</f>
        <v>0</v>
      </c>
      <c r="J45" s="182"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82">
        <v>0</v>
      </c>
      <c r="U45" s="274">
        <v>0</v>
      </c>
      <c r="V45" s="101" t="e">
        <f t="shared" si="2"/>
        <v>#DIV/0!</v>
      </c>
      <c r="W45" s="21">
        <f t="shared" si="7"/>
        <v>0.15</v>
      </c>
      <c r="X45" s="131">
        <f t="shared" si="88"/>
        <v>0</v>
      </c>
      <c r="Y45" s="131">
        <f t="shared" si="89"/>
        <v>0</v>
      </c>
      <c r="Z45" s="131">
        <f t="shared" si="90"/>
        <v>0</v>
      </c>
      <c r="AA45" s="131">
        <f t="shared" si="91"/>
        <v>0</v>
      </c>
      <c r="AB45" s="131">
        <f t="shared" si="92"/>
        <v>0</v>
      </c>
      <c r="AC45" s="131">
        <f t="shared" si="93"/>
        <v>0</v>
      </c>
      <c r="AD45" s="131">
        <f t="shared" si="94"/>
        <v>0</v>
      </c>
      <c r="AE45" s="131">
        <f t="shared" si="95"/>
        <v>0</v>
      </c>
      <c r="AF45" s="131">
        <f t="shared" si="96"/>
        <v>0</v>
      </c>
      <c r="AG45" s="131">
        <f t="shared" si="97"/>
        <v>0</v>
      </c>
      <c r="AH45" s="116" t="e">
        <f t="shared" si="98"/>
        <v>#DIV/0!</v>
      </c>
      <c r="AI45" s="21">
        <f t="shared" si="17"/>
        <v>0.05</v>
      </c>
      <c r="AJ45" s="124">
        <f t="shared" si="99"/>
        <v>0</v>
      </c>
    </row>
    <row r="46" spans="1:36">
      <c r="A46" s="180"/>
      <c r="B46" s="179"/>
      <c r="C46" s="119"/>
      <c r="D46" s="119"/>
      <c r="E46" s="125"/>
      <c r="F46" s="128"/>
      <c r="G46" s="128" t="e">
        <f t="shared" ref="G46:S46" si="109">(G45-F45)/F45</f>
        <v>#DIV/0!</v>
      </c>
      <c r="H46" s="128" t="e">
        <f t="shared" si="109"/>
        <v>#DIV/0!</v>
      </c>
      <c r="I46" s="128" t="e">
        <f t="shared" si="109"/>
        <v>#DIV/0!</v>
      </c>
      <c r="J46" s="128" t="e">
        <f t="shared" si="109"/>
        <v>#DIV/0!</v>
      </c>
      <c r="K46" s="128" t="e">
        <f t="shared" si="109"/>
        <v>#DIV/0!</v>
      </c>
      <c r="L46" s="128" t="e">
        <f t="shared" si="109"/>
        <v>#DIV/0!</v>
      </c>
      <c r="M46" s="128" t="e">
        <f t="shared" si="109"/>
        <v>#DIV/0!</v>
      </c>
      <c r="N46" s="128" t="e">
        <f t="shared" si="109"/>
        <v>#DIV/0!</v>
      </c>
      <c r="O46" s="128" t="e">
        <f t="shared" si="109"/>
        <v>#DIV/0!</v>
      </c>
      <c r="P46" s="128" t="e">
        <f t="shared" si="109"/>
        <v>#DIV/0!</v>
      </c>
      <c r="Q46" s="128" t="e">
        <f t="shared" si="109"/>
        <v>#DIV/0!</v>
      </c>
      <c r="R46" s="128" t="e">
        <f t="shared" si="109"/>
        <v>#DIV/0!</v>
      </c>
      <c r="S46" s="128" t="e">
        <f t="shared" si="109"/>
        <v>#DIV/0!</v>
      </c>
      <c r="T46" s="128" t="e">
        <f t="shared" ref="T46:U46" si="110">(T45-S45)/S45</f>
        <v>#DIV/0!</v>
      </c>
      <c r="U46" s="275" t="e">
        <f t="shared" si="110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80"/>
      <c r="B47" s="179" t="s">
        <v>433</v>
      </c>
      <c r="C47" s="119"/>
      <c r="D47" s="119"/>
      <c r="E47" s="125"/>
      <c r="F47" s="182"/>
      <c r="G47" s="182">
        <f t="shared" ref="G47:H47" si="111">H47</f>
        <v>0</v>
      </c>
      <c r="H47" s="182">
        <f t="shared" si="111"/>
        <v>0</v>
      </c>
      <c r="I47" s="182">
        <f>J47</f>
        <v>0</v>
      </c>
      <c r="J47" s="182"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274">
        <v>0</v>
      </c>
      <c r="V47" s="101" t="e">
        <f t="shared" si="2"/>
        <v>#DIV/0!</v>
      </c>
      <c r="W47" s="21">
        <f t="shared" si="7"/>
        <v>0.15</v>
      </c>
      <c r="X47" s="131">
        <f t="shared" ref="X47" si="112">T47*(1+$W47)</f>
        <v>0</v>
      </c>
      <c r="Y47" s="131">
        <f t="shared" ref="Y47" si="113">X47*(1+$W47)</f>
        <v>0</v>
      </c>
      <c r="Z47" s="131">
        <f t="shared" ref="Z47" si="114">Y47*(1+$W47)</f>
        <v>0</v>
      </c>
      <c r="AA47" s="131">
        <f t="shared" ref="AA47" si="115">Z47*(1+$W47)</f>
        <v>0</v>
      </c>
      <c r="AB47" s="131">
        <f t="shared" ref="AB47" si="116">AA47*(1+$W47)</f>
        <v>0</v>
      </c>
      <c r="AC47" s="131">
        <f t="shared" ref="AC47" si="117">AB47*(1+$W47)</f>
        <v>0</v>
      </c>
      <c r="AD47" s="131">
        <f t="shared" ref="AD47" si="118">AC47*(1+$W47)</f>
        <v>0</v>
      </c>
      <c r="AE47" s="131">
        <f t="shared" ref="AE47" si="119">AD47*(1+$W47)</f>
        <v>0</v>
      </c>
      <c r="AF47" s="131">
        <f t="shared" ref="AF47" si="120">AE47*(1+$W47)</f>
        <v>0</v>
      </c>
      <c r="AG47" s="131">
        <f t="shared" ref="AG47" si="121">AF47*(1+$W47)</f>
        <v>0</v>
      </c>
      <c r="AH47" s="116" t="e">
        <f t="shared" ref="AH47" si="122">((AG47/J47)^(1/($AG$3-$K$1) ))-1</f>
        <v>#DIV/0!</v>
      </c>
      <c r="AI47" s="21">
        <f t="shared" si="17"/>
        <v>0.05</v>
      </c>
      <c r="AJ47" s="124">
        <f t="shared" si="99"/>
        <v>0</v>
      </c>
    </row>
    <row r="48" spans="1:36">
      <c r="A48" s="180"/>
      <c r="B48" s="179"/>
      <c r="C48" s="119"/>
      <c r="D48" s="119"/>
      <c r="E48" s="125"/>
      <c r="F48" s="128"/>
      <c r="G48" s="128" t="e">
        <f t="shared" ref="G48:S48" si="123">(G47-F47)/F47</f>
        <v>#DIV/0!</v>
      </c>
      <c r="H48" s="128" t="e">
        <f t="shared" si="123"/>
        <v>#DIV/0!</v>
      </c>
      <c r="I48" s="128" t="e">
        <f t="shared" si="123"/>
        <v>#DIV/0!</v>
      </c>
      <c r="J48" s="128" t="e">
        <f t="shared" si="123"/>
        <v>#DIV/0!</v>
      </c>
      <c r="K48" s="128" t="e">
        <f t="shared" si="123"/>
        <v>#DIV/0!</v>
      </c>
      <c r="L48" s="128" t="e">
        <f t="shared" si="123"/>
        <v>#DIV/0!</v>
      </c>
      <c r="M48" s="128" t="e">
        <f t="shared" si="123"/>
        <v>#DIV/0!</v>
      </c>
      <c r="N48" s="128" t="e">
        <f t="shared" si="123"/>
        <v>#DIV/0!</v>
      </c>
      <c r="O48" s="128" t="e">
        <f t="shared" si="123"/>
        <v>#DIV/0!</v>
      </c>
      <c r="P48" s="128" t="e">
        <f t="shared" si="123"/>
        <v>#DIV/0!</v>
      </c>
      <c r="Q48" s="128" t="e">
        <f t="shared" si="123"/>
        <v>#DIV/0!</v>
      </c>
      <c r="R48" s="128" t="e">
        <f t="shared" si="123"/>
        <v>#DIV/0!</v>
      </c>
      <c r="S48" s="128" t="e">
        <f t="shared" si="123"/>
        <v>#DIV/0!</v>
      </c>
      <c r="T48" s="128" t="e">
        <f t="shared" ref="T48:U48" si="124">(T47-S47)/S47</f>
        <v>#DIV/0!</v>
      </c>
      <c r="U48" s="275" t="e">
        <f t="shared" si="124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80"/>
      <c r="B49" s="179" t="s">
        <v>424</v>
      </c>
      <c r="C49" s="119"/>
      <c r="D49" s="119"/>
      <c r="E49" s="125"/>
      <c r="F49" s="182"/>
      <c r="G49" s="182">
        <f t="shared" ref="G49:H49" si="125">H49</f>
        <v>0</v>
      </c>
      <c r="H49" s="182">
        <f t="shared" si="125"/>
        <v>0</v>
      </c>
      <c r="I49" s="182">
        <f>J49</f>
        <v>0</v>
      </c>
      <c r="J49" s="182"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274">
        <v>0</v>
      </c>
      <c r="V49" s="101" t="e">
        <f t="shared" si="2"/>
        <v>#DIV/0!</v>
      </c>
      <c r="W49" s="21">
        <f t="shared" si="7"/>
        <v>0.15</v>
      </c>
      <c r="X49" s="131">
        <f t="shared" si="88"/>
        <v>0</v>
      </c>
      <c r="Y49" s="131">
        <f t="shared" si="89"/>
        <v>0</v>
      </c>
      <c r="Z49" s="131">
        <f t="shared" si="90"/>
        <v>0</v>
      </c>
      <c r="AA49" s="131">
        <f t="shared" si="91"/>
        <v>0</v>
      </c>
      <c r="AB49" s="131">
        <f t="shared" si="92"/>
        <v>0</v>
      </c>
      <c r="AC49" s="131">
        <f t="shared" si="93"/>
        <v>0</v>
      </c>
      <c r="AD49" s="131">
        <f t="shared" si="94"/>
        <v>0</v>
      </c>
      <c r="AE49" s="131">
        <f t="shared" si="95"/>
        <v>0</v>
      </c>
      <c r="AF49" s="131">
        <f t="shared" si="96"/>
        <v>0</v>
      </c>
      <c r="AG49" s="131">
        <f t="shared" si="97"/>
        <v>0</v>
      </c>
      <c r="AH49" s="116" t="e">
        <f t="shared" si="98"/>
        <v>#DIV/0!</v>
      </c>
      <c r="AI49" s="21">
        <f t="shared" si="17"/>
        <v>0.05</v>
      </c>
      <c r="AJ49" s="124">
        <f t="shared" si="99"/>
        <v>0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276"/>
      <c r="V50" s="101" t="e">
        <f t="shared" si="2"/>
        <v>#DIV/0!</v>
      </c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/>
      <c r="G51" s="125">
        <v>27</v>
      </c>
      <c r="H51" s="125">
        <v>38</v>
      </c>
      <c r="I51" s="125">
        <v>83</v>
      </c>
      <c r="J51" s="125">
        <v>118</v>
      </c>
      <c r="K51" s="125">
        <v>154</v>
      </c>
      <c r="L51" s="125">
        <v>195</v>
      </c>
      <c r="M51" s="125">
        <v>197</v>
      </c>
      <c r="N51" s="125">
        <v>226</v>
      </c>
      <c r="O51" s="125">
        <v>226</v>
      </c>
      <c r="P51" s="125">
        <v>293</v>
      </c>
      <c r="Q51" s="125">
        <v>440</v>
      </c>
      <c r="R51" s="182">
        <v>488.25</v>
      </c>
      <c r="S51" s="182">
        <v>533</v>
      </c>
      <c r="T51" s="182">
        <v>643</v>
      </c>
      <c r="U51" s="274">
        <v>643</v>
      </c>
      <c r="V51" s="101">
        <f t="shared" si="2"/>
        <v>0.25414060522304549</v>
      </c>
      <c r="W51" s="21">
        <f t="shared" si="7"/>
        <v>0.15</v>
      </c>
      <c r="X51" s="131">
        <f t="shared" si="3"/>
        <v>739.44999999999993</v>
      </c>
      <c r="Y51" s="131">
        <f t="shared" ref="Y51" si="126">X51*(1+$W51)</f>
        <v>850.36749999999984</v>
      </c>
      <c r="Z51" s="131">
        <f t="shared" ref="Z51" si="127">Y51*(1+$W51)</f>
        <v>977.9226249999997</v>
      </c>
      <c r="AA51" s="131">
        <f t="shared" ref="AA51" si="128">Z51*(1+$W51)</f>
        <v>1124.6110187499996</v>
      </c>
      <c r="AB51" s="131">
        <f t="shared" si="41"/>
        <v>1293.3026715624994</v>
      </c>
      <c r="AC51" s="131">
        <f t="shared" si="42"/>
        <v>1487.2980722968741</v>
      </c>
      <c r="AD51" s="131">
        <f t="shared" si="43"/>
        <v>1710.3927831414051</v>
      </c>
      <c r="AE51" s="131">
        <f t="shared" si="44"/>
        <v>1966.9517006126157</v>
      </c>
      <c r="AF51" s="131">
        <f t="shared" si="45"/>
        <v>2261.9944557045078</v>
      </c>
      <c r="AG51" s="131">
        <f t="shared" si="46"/>
        <v>2601.2936240601839</v>
      </c>
      <c r="AH51" s="116">
        <f t="shared" si="20"/>
        <v>0.14394374570534207</v>
      </c>
      <c r="AI51" s="21">
        <f t="shared" si="17"/>
        <v>0.05</v>
      </c>
      <c r="AJ51" s="124">
        <f t="shared" si="1"/>
        <v>16066.813560371727</v>
      </c>
    </row>
    <row r="52" spans="1:36" s="106" customFormat="1">
      <c r="B52" s="13"/>
      <c r="C52" s="126"/>
      <c r="D52" s="126"/>
      <c r="E52" s="127"/>
      <c r="F52" s="272"/>
      <c r="G52" s="128" t="e">
        <f t="shared" ref="G52:S52" si="129">(G51-F51)/F51</f>
        <v>#DIV/0!</v>
      </c>
      <c r="H52" s="128">
        <f t="shared" si="129"/>
        <v>0.40740740740740738</v>
      </c>
      <c r="I52" s="128">
        <f t="shared" si="129"/>
        <v>1.1842105263157894</v>
      </c>
      <c r="J52" s="128">
        <f t="shared" si="129"/>
        <v>0.42168674698795183</v>
      </c>
      <c r="K52" s="128">
        <f t="shared" si="129"/>
        <v>0.30508474576271188</v>
      </c>
      <c r="L52" s="128">
        <f t="shared" si="129"/>
        <v>0.26623376623376621</v>
      </c>
      <c r="M52" s="128">
        <f t="shared" si="129"/>
        <v>1.0256410256410256E-2</v>
      </c>
      <c r="N52" s="128">
        <f t="shared" si="129"/>
        <v>0.14720812182741116</v>
      </c>
      <c r="O52" s="128">
        <f t="shared" si="129"/>
        <v>0</v>
      </c>
      <c r="P52" s="128">
        <f t="shared" si="129"/>
        <v>0.29646017699115046</v>
      </c>
      <c r="Q52" s="128">
        <f t="shared" si="129"/>
        <v>0.50170648464163825</v>
      </c>
      <c r="R52" s="128">
        <f t="shared" si="129"/>
        <v>0.10965909090909091</v>
      </c>
      <c r="S52" s="128">
        <f t="shared" si="129"/>
        <v>9.1653865847414237E-2</v>
      </c>
      <c r="T52" s="128">
        <f t="shared" ref="T52:U52" si="130">(T51-S51)/S51</f>
        <v>0.20637898686679174</v>
      </c>
      <c r="U52" s="275">
        <f t="shared" si="130"/>
        <v>0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/>
      <c r="G53" s="125">
        <v>21</v>
      </c>
      <c r="H53" s="125">
        <v>26</v>
      </c>
      <c r="I53" s="125">
        <v>48</v>
      </c>
      <c r="J53" s="125">
        <v>58</v>
      </c>
      <c r="K53" s="125">
        <v>65</v>
      </c>
      <c r="L53" s="125">
        <v>92</v>
      </c>
      <c r="M53" s="125">
        <v>150</v>
      </c>
      <c r="N53" s="125">
        <v>158</v>
      </c>
      <c r="O53" s="125">
        <v>95</v>
      </c>
      <c r="P53" s="125">
        <v>184</v>
      </c>
      <c r="Q53" s="125">
        <v>326</v>
      </c>
      <c r="R53" s="182">
        <v>394.1</v>
      </c>
      <c r="S53" s="182">
        <v>430</v>
      </c>
      <c r="T53" s="182">
        <v>537</v>
      </c>
      <c r="U53" s="274">
        <v>537</v>
      </c>
      <c r="V53" s="101">
        <f t="shared" si="2"/>
        <v>0.26053215304092947</v>
      </c>
      <c r="W53" s="21">
        <f t="shared" si="7"/>
        <v>0.15</v>
      </c>
      <c r="X53" s="131">
        <f t="shared" si="3"/>
        <v>617.54999999999995</v>
      </c>
      <c r="Y53" s="131">
        <f t="shared" ref="Y53" si="131">X53*(1+$W53)</f>
        <v>710.18249999999989</v>
      </c>
      <c r="Z53" s="131">
        <f t="shared" ref="Z53" si="132">Y53*(1+$W53)</f>
        <v>816.70987499999978</v>
      </c>
      <c r="AA53" s="131">
        <f t="shared" ref="AA53" si="133">Z53*(1+$W53)</f>
        <v>939.21635624999965</v>
      </c>
      <c r="AB53" s="131">
        <f t="shared" ref="AB53" si="134">AA53*(1+$W53)</f>
        <v>1080.0988096874996</v>
      </c>
      <c r="AC53" s="131">
        <f t="shared" ref="AC53" si="135">AB53*(1+$W53)</f>
        <v>1242.1136311406244</v>
      </c>
      <c r="AD53" s="131">
        <f t="shared" ref="AD53" si="136">AC53*(1+$W53)</f>
        <v>1428.4306758117179</v>
      </c>
      <c r="AE53" s="131">
        <f t="shared" ref="AE53" si="137">AD53*(1+$W53)</f>
        <v>1642.6952771834756</v>
      </c>
      <c r="AF53" s="131">
        <f t="shared" ref="AF53" si="138">AE53*(1+$W53)</f>
        <v>1889.0995687609968</v>
      </c>
      <c r="AG53" s="131">
        <f t="shared" ref="AG53" si="139">AF53*(1+$W53)</f>
        <v>2172.4645040751461</v>
      </c>
      <c r="AH53" s="116">
        <f t="shared" ref="AH53" si="140">((AG53/J53)^(1/($AG$3-$K$1) ))-1</f>
        <v>0.17061508743077369</v>
      </c>
      <c r="AI53" s="21">
        <f t="shared" si="17"/>
        <v>0.05</v>
      </c>
      <c r="AJ53" s="124">
        <f t="shared" ref="AJ53" si="141">(AG53*(1+AI53))/($C$1-AI53)</f>
        <v>13418.163113405317</v>
      </c>
    </row>
    <row r="54" spans="1:36" s="106" customFormat="1">
      <c r="B54" s="13"/>
      <c r="C54" s="126"/>
      <c r="D54" s="126"/>
      <c r="E54" s="127"/>
      <c r="F54" s="272"/>
      <c r="G54" s="128" t="e">
        <f t="shared" ref="G54:S54" si="142">(G53-F53)/F53</f>
        <v>#DIV/0!</v>
      </c>
      <c r="H54" s="128">
        <f t="shared" si="142"/>
        <v>0.23809523809523808</v>
      </c>
      <c r="I54" s="128">
        <f t="shared" si="142"/>
        <v>0.84615384615384615</v>
      </c>
      <c r="J54" s="128">
        <f t="shared" si="142"/>
        <v>0.20833333333333334</v>
      </c>
      <c r="K54" s="128">
        <f t="shared" si="142"/>
        <v>0.1206896551724138</v>
      </c>
      <c r="L54" s="128">
        <f t="shared" si="142"/>
        <v>0.41538461538461541</v>
      </c>
      <c r="M54" s="128">
        <f t="shared" si="142"/>
        <v>0.63043478260869568</v>
      </c>
      <c r="N54" s="128">
        <f t="shared" si="142"/>
        <v>5.3333333333333337E-2</v>
      </c>
      <c r="O54" s="128">
        <f t="shared" si="142"/>
        <v>-0.39873417721518989</v>
      </c>
      <c r="P54" s="128">
        <f t="shared" si="142"/>
        <v>0.93684210526315792</v>
      </c>
      <c r="Q54" s="128">
        <f t="shared" si="142"/>
        <v>0.77173913043478259</v>
      </c>
      <c r="R54" s="128">
        <f t="shared" si="142"/>
        <v>0.20889570552147246</v>
      </c>
      <c r="S54" s="128">
        <f t="shared" si="142"/>
        <v>9.1093631058107014E-2</v>
      </c>
      <c r="T54" s="128">
        <f t="shared" ref="T54:U54" si="143">(T53-S53)/S53</f>
        <v>0.24883720930232558</v>
      </c>
      <c r="U54" s="275">
        <f t="shared" si="143"/>
        <v>0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/>
      <c r="G55" s="125">
        <v>14.2</v>
      </c>
      <c r="H55" s="125">
        <v>16</v>
      </c>
      <c r="I55" s="125">
        <v>32</v>
      </c>
      <c r="J55" s="125">
        <v>49</v>
      </c>
      <c r="K55" s="125">
        <v>55</v>
      </c>
      <c r="L55" s="125">
        <v>65</v>
      </c>
      <c r="M55" s="125">
        <v>125</v>
      </c>
      <c r="N55" s="125">
        <v>120</v>
      </c>
      <c r="O55" s="125">
        <v>73</v>
      </c>
      <c r="P55" s="125">
        <v>130</v>
      </c>
      <c r="Q55" s="125">
        <v>255</v>
      </c>
      <c r="R55" s="182">
        <v>321.72000000000003</v>
      </c>
      <c r="S55" s="182">
        <v>337</v>
      </c>
      <c r="T55" s="182">
        <v>399</v>
      </c>
      <c r="U55" s="274">
        <v>399</v>
      </c>
      <c r="V55" s="101">
        <f t="shared" si="2"/>
        <v>0.26904630212537417</v>
      </c>
      <c r="W55" s="21">
        <f t="shared" si="7"/>
        <v>0.15</v>
      </c>
      <c r="X55" s="131">
        <f t="shared" si="3"/>
        <v>458.84999999999997</v>
      </c>
      <c r="Y55" s="131">
        <f t="shared" ref="Y55:AG55" si="144">X55*(1+$W55)</f>
        <v>527.6774999999999</v>
      </c>
      <c r="Z55" s="131">
        <f t="shared" si="144"/>
        <v>606.82912499999986</v>
      </c>
      <c r="AA55" s="131">
        <f t="shared" si="144"/>
        <v>697.85349374999976</v>
      </c>
      <c r="AB55" s="131">
        <f t="shared" si="144"/>
        <v>802.53151781249971</v>
      </c>
      <c r="AC55" s="131">
        <f t="shared" si="144"/>
        <v>922.9112454843746</v>
      </c>
      <c r="AD55" s="131">
        <f t="shared" si="144"/>
        <v>1061.3479323070308</v>
      </c>
      <c r="AE55" s="131">
        <f t="shared" si="144"/>
        <v>1220.5501221530853</v>
      </c>
      <c r="AF55" s="131">
        <f t="shared" si="144"/>
        <v>1403.632640476048</v>
      </c>
      <c r="AG55" s="131">
        <f t="shared" si="144"/>
        <v>1614.177536547455</v>
      </c>
      <c r="AH55" s="116">
        <f t="shared" si="20"/>
        <v>0.16409750216160002</v>
      </c>
      <c r="AI55" s="21">
        <f t="shared" si="17"/>
        <v>0.05</v>
      </c>
      <c r="AJ55" s="124">
        <f t="shared" si="1"/>
        <v>9969.9200786754591</v>
      </c>
    </row>
    <row r="56" spans="1:36" s="106" customFormat="1">
      <c r="B56" s="13"/>
      <c r="C56" s="126"/>
      <c r="D56" s="126"/>
      <c r="E56" s="127"/>
      <c r="F56" s="272"/>
      <c r="G56" s="128" t="e">
        <f t="shared" ref="G56:S56" si="145">(G55-F55)/F55</f>
        <v>#DIV/0!</v>
      </c>
      <c r="H56" s="128">
        <f t="shared" si="145"/>
        <v>0.12676056338028174</v>
      </c>
      <c r="I56" s="128">
        <f t="shared" si="145"/>
        <v>1</v>
      </c>
      <c r="J56" s="128">
        <f t="shared" si="145"/>
        <v>0.53125</v>
      </c>
      <c r="K56" s="128">
        <f t="shared" si="145"/>
        <v>0.12244897959183673</v>
      </c>
      <c r="L56" s="128">
        <f t="shared" si="145"/>
        <v>0.18181818181818182</v>
      </c>
      <c r="M56" s="128">
        <f t="shared" si="145"/>
        <v>0.92307692307692313</v>
      </c>
      <c r="N56" s="128">
        <f t="shared" si="145"/>
        <v>-0.04</v>
      </c>
      <c r="O56" s="128">
        <f t="shared" si="145"/>
        <v>-0.39166666666666666</v>
      </c>
      <c r="P56" s="128">
        <f t="shared" si="145"/>
        <v>0.78082191780821919</v>
      </c>
      <c r="Q56" s="128">
        <f t="shared" si="145"/>
        <v>0.96153846153846156</v>
      </c>
      <c r="R56" s="128">
        <f t="shared" si="145"/>
        <v>0.26164705882352951</v>
      </c>
      <c r="S56" s="128">
        <f t="shared" si="145"/>
        <v>4.7494715902026516E-2</v>
      </c>
      <c r="T56" s="128">
        <f t="shared" ref="T56:U56" si="146">(T55-S55)/S55</f>
        <v>0.18397626112759644</v>
      </c>
      <c r="U56" s="275">
        <f t="shared" si="146"/>
        <v>0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/>
      <c r="G57" s="123">
        <v>1.7968</v>
      </c>
      <c r="H57" s="123">
        <v>1.79</v>
      </c>
      <c r="I57" s="123">
        <v>2.13</v>
      </c>
      <c r="J57" s="123">
        <v>2.4300000000000002</v>
      </c>
      <c r="K57" s="123">
        <v>2.4300000000000002</v>
      </c>
      <c r="L57" s="123">
        <v>2.4300000000000002</v>
      </c>
      <c r="M57" s="123">
        <v>24.31</v>
      </c>
      <c r="N57" s="123">
        <v>24.31</v>
      </c>
      <c r="O57" s="123">
        <v>24.31</v>
      </c>
      <c r="P57" s="123">
        <v>24.19</v>
      </c>
      <c r="Q57" s="123">
        <v>23.53</v>
      </c>
      <c r="R57" s="123">
        <v>23.539000000000001</v>
      </c>
      <c r="S57" s="123">
        <v>23.539000000000001</v>
      </c>
      <c r="T57" s="123">
        <v>23.539000000000001</v>
      </c>
      <c r="U57" s="277">
        <v>23.539000000000001</v>
      </c>
      <c r="V57" s="101">
        <f t="shared" si="2"/>
        <v>0.20172834517145799</v>
      </c>
      <c r="W57" s="21">
        <v>0.02</v>
      </c>
      <c r="X57" s="131">
        <f t="shared" si="3"/>
        <v>24.009780000000003</v>
      </c>
      <c r="Y57" s="131">
        <f>X57*(1+$W57)</f>
        <v>24.489975600000005</v>
      </c>
      <c r="Z57" s="131">
        <f t="shared" ref="Z57:AG57" si="147">Y57*(1+$W57)</f>
        <v>24.979775112000006</v>
      </c>
      <c r="AA57" s="131">
        <f t="shared" si="147"/>
        <v>25.479370614240008</v>
      </c>
      <c r="AB57" s="131">
        <f t="shared" si="147"/>
        <v>25.988958026524809</v>
      </c>
      <c r="AC57" s="131">
        <f t="shared" si="147"/>
        <v>26.508737187055306</v>
      </c>
      <c r="AD57" s="131">
        <f t="shared" si="147"/>
        <v>27.038911930796413</v>
      </c>
      <c r="AE57" s="131">
        <f t="shared" si="147"/>
        <v>27.579690169412341</v>
      </c>
      <c r="AF57" s="131">
        <f t="shared" si="147"/>
        <v>28.131283972800588</v>
      </c>
      <c r="AG57" s="131">
        <f t="shared" si="147"/>
        <v>28.6939096522566</v>
      </c>
      <c r="AH57" s="116">
        <f t="shared" si="20"/>
        <v>0.11331144029799445</v>
      </c>
      <c r="AI57" s="21">
        <f t="shared" si="17"/>
        <v>0.05</v>
      </c>
      <c r="AJ57" s="124">
        <f t="shared" si="1"/>
        <v>177.22708902864372</v>
      </c>
    </row>
    <row r="58" spans="1:36">
      <c r="B58" s="10"/>
      <c r="C58" s="120"/>
      <c r="D58" s="120"/>
      <c r="E58" s="121"/>
      <c r="F58" s="272"/>
      <c r="G58" s="128" t="e">
        <f t="shared" ref="G58:S58" si="148">(G57-F57)/F57</f>
        <v>#DIV/0!</v>
      </c>
      <c r="H58" s="128">
        <f t="shared" si="148"/>
        <v>-3.7845057880676299E-3</v>
      </c>
      <c r="I58" s="128">
        <f t="shared" si="148"/>
        <v>0.1899441340782122</v>
      </c>
      <c r="J58" s="128">
        <f t="shared" si="148"/>
        <v>0.14084507042253536</v>
      </c>
      <c r="K58" s="128">
        <f t="shared" si="148"/>
        <v>0</v>
      </c>
      <c r="L58" s="128">
        <f t="shared" si="148"/>
        <v>0</v>
      </c>
      <c r="M58" s="128">
        <f t="shared" si="148"/>
        <v>9.0041152263374471</v>
      </c>
      <c r="N58" s="128">
        <f t="shared" si="148"/>
        <v>0</v>
      </c>
      <c r="O58" s="128">
        <f t="shared" si="148"/>
        <v>0</v>
      </c>
      <c r="P58" s="128">
        <f t="shared" si="148"/>
        <v>-4.9362402303577725E-3</v>
      </c>
      <c r="Q58" s="128">
        <f t="shared" si="148"/>
        <v>-2.7284001653575862E-2</v>
      </c>
      <c r="R58" s="128">
        <f t="shared" si="148"/>
        <v>3.8249043773907099E-4</v>
      </c>
      <c r="S58" s="128">
        <f t="shared" si="148"/>
        <v>0</v>
      </c>
      <c r="T58" s="128">
        <f t="shared" ref="T58:U58" si="149">(T57-S57)/S57</f>
        <v>0</v>
      </c>
      <c r="U58" s="275">
        <f t="shared" si="149"/>
        <v>0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5"/>
      <c r="G59" s="123">
        <v>2</v>
      </c>
      <c r="H59" s="123">
        <v>2</v>
      </c>
      <c r="I59" s="123">
        <v>2</v>
      </c>
      <c r="J59" s="123">
        <v>2</v>
      </c>
      <c r="K59" s="123">
        <v>2</v>
      </c>
      <c r="L59" s="123">
        <v>2</v>
      </c>
      <c r="M59" s="123">
        <v>0.3</v>
      </c>
      <c r="N59" s="123">
        <v>0.3</v>
      </c>
      <c r="O59" s="123">
        <v>0.3</v>
      </c>
      <c r="P59" s="123">
        <v>0.8</v>
      </c>
      <c r="Q59" s="123">
        <v>1.2</v>
      </c>
      <c r="R59" s="182">
        <v>1.7</v>
      </c>
      <c r="S59" s="182">
        <v>1.7</v>
      </c>
      <c r="T59" s="182">
        <v>3</v>
      </c>
      <c r="U59" s="274">
        <v>3</v>
      </c>
      <c r="V59" s="101">
        <f t="shared" si="2"/>
        <v>2.9385264450122461E-2</v>
      </c>
      <c r="W59" s="21">
        <v>0.02</v>
      </c>
      <c r="X59" s="131">
        <f t="shared" si="3"/>
        <v>3.06</v>
      </c>
      <c r="Y59" s="131">
        <f t="shared" ref="Y59" si="150">X59*(1+$W59)</f>
        <v>3.1212</v>
      </c>
      <c r="Z59" s="131">
        <f t="shared" ref="Z59" si="151">Y59*(1+$W59)</f>
        <v>3.183624</v>
      </c>
      <c r="AA59" s="131">
        <f t="shared" ref="AA59" si="152">Z59*(1+$W59)</f>
        <v>3.2472964800000002</v>
      </c>
      <c r="AB59" s="131">
        <f t="shared" ref="AB59" si="153">AA59*(1+$W59)</f>
        <v>3.3122424096</v>
      </c>
      <c r="AC59" s="131">
        <f t="shared" ref="AC59" si="154">AB59*(1+$W59)</f>
        <v>3.378487257792</v>
      </c>
      <c r="AD59" s="131">
        <f t="shared" ref="AD59" si="155">AC59*(1+$W59)</f>
        <v>3.4460570029478399</v>
      </c>
      <c r="AE59" s="131">
        <f t="shared" ref="AE59" si="156">AD59*(1+$W59)</f>
        <v>3.5149781430067968</v>
      </c>
      <c r="AF59" s="131">
        <f t="shared" ref="AF59" si="157">AE59*(1+$W59)</f>
        <v>3.585277705866933</v>
      </c>
      <c r="AG59" s="131">
        <f t="shared" ref="AG59" si="158">AF59*(1+$W59)</f>
        <v>3.6569832599842718</v>
      </c>
      <c r="AH59" s="116">
        <f t="shared" ref="AH59" si="159">((AG59/J59)^(1/($AG$3-$K$1) ))-1</f>
        <v>2.6586022478936711E-2</v>
      </c>
      <c r="AI59" s="21">
        <f t="shared" si="17"/>
        <v>0.05</v>
      </c>
      <c r="AJ59" s="124">
        <f t="shared" si="1"/>
        <v>22.587249546961683</v>
      </c>
    </row>
    <row r="60" spans="1:36">
      <c r="B60" s="10"/>
      <c r="C60" s="123"/>
      <c r="D60" s="123"/>
      <c r="E60" s="123"/>
      <c r="F60" s="128"/>
      <c r="G60" s="128" t="e">
        <f t="shared" ref="G60:S60" si="160">(G59-F59)/F59</f>
        <v>#DIV/0!</v>
      </c>
      <c r="H60" s="128">
        <f t="shared" si="160"/>
        <v>0</v>
      </c>
      <c r="I60" s="128">
        <f t="shared" si="160"/>
        <v>0</v>
      </c>
      <c r="J60" s="128">
        <f t="shared" si="160"/>
        <v>0</v>
      </c>
      <c r="K60" s="128">
        <f t="shared" si="160"/>
        <v>0</v>
      </c>
      <c r="L60" s="128">
        <f t="shared" si="160"/>
        <v>0</v>
      </c>
      <c r="M60" s="128">
        <f t="shared" si="160"/>
        <v>-0.85</v>
      </c>
      <c r="N60" s="128">
        <f t="shared" si="160"/>
        <v>0</v>
      </c>
      <c r="O60" s="128">
        <f t="shared" si="160"/>
        <v>0</v>
      </c>
      <c r="P60" s="128">
        <f t="shared" si="160"/>
        <v>1.6666666666666667</v>
      </c>
      <c r="Q60" s="128">
        <f t="shared" si="160"/>
        <v>0.49999999999999989</v>
      </c>
      <c r="R60" s="128">
        <f t="shared" si="160"/>
        <v>0.41666666666666669</v>
      </c>
      <c r="S60" s="128">
        <f t="shared" si="160"/>
        <v>0</v>
      </c>
      <c r="T60" s="128">
        <f t="shared" ref="T60:U60" si="161">(T59-S59)/S59</f>
        <v>0.76470588235294124</v>
      </c>
      <c r="U60" s="275">
        <f t="shared" si="161"/>
        <v>0</v>
      </c>
      <c r="V60" s="1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 t="s">
        <v>514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276">
        <v>0</v>
      </c>
      <c r="V61" s="125">
        <v>0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276">
        <v>0</v>
      </c>
      <c r="V62" s="125">
        <v>0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276">
        <v>0</v>
      </c>
      <c r="V63" s="125">
        <v>0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9"/>
      <c r="I64" s="10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0"/>
      <c r="W64" s="1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0"/>
      <c r="W65" s="1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>
        <f t="shared" ref="G66" si="162">G25/G57</f>
        <v>268.81121994657167</v>
      </c>
      <c r="H66" s="112">
        <f t="shared" ref="H66:I66" si="163">H25/H57</f>
        <v>317.31843575418992</v>
      </c>
      <c r="I66" s="112">
        <f t="shared" si="163"/>
        <v>351.17370892018783</v>
      </c>
      <c r="J66" s="112">
        <f t="shared" ref="J66:S66" si="164">J25/J57</f>
        <v>401.23456790123453</v>
      </c>
      <c r="K66" s="112">
        <f t="shared" si="164"/>
        <v>474.4855967078189</v>
      </c>
      <c r="L66" s="112">
        <f t="shared" si="164"/>
        <v>600.41152263374477</v>
      </c>
      <c r="M66" s="112">
        <f t="shared" si="164"/>
        <v>61.250514191690662</v>
      </c>
      <c r="N66" s="112">
        <f t="shared" si="164"/>
        <v>74.331550802139034</v>
      </c>
      <c r="O66" s="112">
        <f t="shared" si="164"/>
        <v>71.698889345948174</v>
      </c>
      <c r="P66" s="112">
        <f t="shared" si="164"/>
        <v>90.243902439024382</v>
      </c>
      <c r="Q66" s="112">
        <f t="shared" si="164"/>
        <v>121.54696132596685</v>
      </c>
      <c r="R66" s="112">
        <f t="shared" si="164"/>
        <v>140.27783678151152</v>
      </c>
      <c r="S66" s="112">
        <f t="shared" si="164"/>
        <v>145.63065550788053</v>
      </c>
      <c r="T66" s="112">
        <f t="shared" ref="T66:U66" si="165">T25/T57</f>
        <v>145.20582862483536</v>
      </c>
      <c r="U66" s="112">
        <f t="shared" si="165"/>
        <v>145.20582862483536</v>
      </c>
      <c r="V66" s="101">
        <f t="shared" ref="V66:V129" si="166">((T66/G66)^(1/($K$2-$K$1) ))-1</f>
        <v>-4.303627505457186E-2</v>
      </c>
      <c r="W66" s="110"/>
      <c r="X66" s="135">
        <f t="shared" ref="X66:AG66" si="167">X25/X57</f>
        <v>163.71245384172613</v>
      </c>
      <c r="Y66" s="135">
        <f t="shared" si="167"/>
        <v>184.57776658625983</v>
      </c>
      <c r="Z66" s="135">
        <f t="shared" si="167"/>
        <v>208.1023838962733</v>
      </c>
      <c r="AA66" s="135">
        <f t="shared" si="167"/>
        <v>234.6252367457983</v>
      </c>
      <c r="AB66" s="135">
        <f t="shared" si="167"/>
        <v>264.52845319379219</v>
      </c>
      <c r="AC66" s="135">
        <f t="shared" si="167"/>
        <v>298.24286389496172</v>
      </c>
      <c r="AD66" s="135">
        <f t="shared" si="167"/>
        <v>336.25420929333916</v>
      </c>
      <c r="AE66" s="135">
        <f t="shared" si="167"/>
        <v>379.11013792876469</v>
      </c>
      <c r="AF66" s="135">
        <f t="shared" si="167"/>
        <v>427.42809668439151</v>
      </c>
      <c r="AG66" s="135">
        <f t="shared" si="167"/>
        <v>481.9042266539708</v>
      </c>
      <c r="AH66" s="116">
        <f t="shared" ref="AH66" si="168">((AG66/J66)^(1/($AG$3-$K$1) ))-1</f>
        <v>7.9969882250827684E-3</v>
      </c>
      <c r="AI66" s="21">
        <f t="shared" si="17"/>
        <v>0.05</v>
      </c>
      <c r="AJ66" s="124">
        <f t="shared" ref="AJ66:AJ67" si="169">(AG66*(1+AI66))/($C$1-AI66)</f>
        <v>2976.467282274526</v>
      </c>
    </row>
    <row r="67" spans="2:36">
      <c r="B67" s="10" t="s">
        <v>254</v>
      </c>
      <c r="C67" s="112"/>
      <c r="D67" s="112"/>
      <c r="E67" s="112"/>
      <c r="F67" s="112"/>
      <c r="G67" s="112">
        <f t="shared" ref="G67" si="170">G27/G57</f>
        <v>248.77560106856635</v>
      </c>
      <c r="H67" s="112">
        <f t="shared" ref="H67:I67" si="171">H27/H57</f>
        <v>292.73743016759778</v>
      </c>
      <c r="I67" s="112">
        <f t="shared" si="171"/>
        <v>307.98122065727699</v>
      </c>
      <c r="J67" s="112">
        <f t="shared" ref="J67:S67" si="172">J27/J57</f>
        <v>351.44032921810697</v>
      </c>
      <c r="K67" s="112">
        <f t="shared" si="172"/>
        <v>410.69958847736621</v>
      </c>
      <c r="L67" s="112">
        <f t="shared" si="172"/>
        <v>514.4032921810699</v>
      </c>
      <c r="M67" s="112">
        <f t="shared" si="172"/>
        <v>52.200740436034557</v>
      </c>
      <c r="N67" s="112">
        <f t="shared" si="172"/>
        <v>64.376799670917322</v>
      </c>
      <c r="O67" s="112">
        <f t="shared" si="172"/>
        <v>63.060468942821885</v>
      </c>
      <c r="P67" s="112">
        <f t="shared" si="172"/>
        <v>77.387350144687886</v>
      </c>
      <c r="Q67" s="112">
        <f t="shared" si="172"/>
        <v>101.9974500637484</v>
      </c>
      <c r="R67" s="112">
        <f t="shared" si="172"/>
        <v>117.84697735672712</v>
      </c>
      <c r="S67" s="112">
        <f t="shared" si="172"/>
        <v>123.28476145970517</v>
      </c>
      <c r="T67" s="112">
        <f t="shared" ref="T67:U67" si="173">T27/T57</f>
        <v>117.42215047368197</v>
      </c>
      <c r="U67" s="112">
        <f t="shared" si="173"/>
        <v>117.42215047368197</v>
      </c>
      <c r="V67" s="101">
        <f t="shared" si="166"/>
        <v>-5.2214281375913552E-2</v>
      </c>
      <c r="W67" s="110"/>
      <c r="X67" s="135">
        <f t="shared" ref="X67:AG67" si="174">X27/X57</f>
        <v>132.38771867130808</v>
      </c>
      <c r="Y67" s="135">
        <f t="shared" si="174"/>
        <v>149.26066320784733</v>
      </c>
      <c r="Z67" s="135">
        <f t="shared" si="174"/>
        <v>168.28408106767097</v>
      </c>
      <c r="AA67" s="135">
        <f t="shared" si="174"/>
        <v>189.73205218413881</v>
      </c>
      <c r="AB67" s="135">
        <f t="shared" si="174"/>
        <v>213.91358824682317</v>
      </c>
      <c r="AC67" s="135">
        <f t="shared" si="174"/>
        <v>241.1770847880849</v>
      </c>
      <c r="AD67" s="135">
        <f t="shared" si="174"/>
        <v>271.91534069244864</v>
      </c>
      <c r="AE67" s="135">
        <f t="shared" si="174"/>
        <v>306.5712174473685</v>
      </c>
      <c r="AF67" s="135">
        <f t="shared" si="174"/>
        <v>345.64401967105266</v>
      </c>
      <c r="AG67" s="135">
        <f t="shared" si="174"/>
        <v>389.69668884481428</v>
      </c>
      <c r="AH67" s="116">
        <f t="shared" ref="AH67" si="175">((AG67/J67)^(1/($AG$3-$K$1) ))-1</f>
        <v>4.5026622744013256E-3</v>
      </c>
      <c r="AI67" s="21">
        <f t="shared" si="17"/>
        <v>0.05</v>
      </c>
      <c r="AJ67" s="124">
        <f t="shared" si="169"/>
        <v>2406.9501369826767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176">G53-G55</f>
        <v>6.8000000000000007</v>
      </c>
      <c r="H68" s="112">
        <f t="shared" ref="H68:I68" si="177">H53-H55</f>
        <v>10</v>
      </c>
      <c r="I68" s="112">
        <f t="shared" si="177"/>
        <v>16</v>
      </c>
      <c r="J68" s="112">
        <f>J53-J55</f>
        <v>9</v>
      </c>
      <c r="K68" s="112">
        <f t="shared" ref="K68:S68" si="178">K53-K55</f>
        <v>10</v>
      </c>
      <c r="L68" s="112">
        <f t="shared" si="178"/>
        <v>27</v>
      </c>
      <c r="M68" s="112">
        <f t="shared" si="178"/>
        <v>25</v>
      </c>
      <c r="N68" s="112">
        <f t="shared" si="178"/>
        <v>38</v>
      </c>
      <c r="O68" s="112">
        <f t="shared" si="178"/>
        <v>22</v>
      </c>
      <c r="P68" s="112">
        <f t="shared" si="178"/>
        <v>54</v>
      </c>
      <c r="Q68" s="112">
        <f t="shared" si="178"/>
        <v>71</v>
      </c>
      <c r="R68" s="112">
        <f t="shared" si="178"/>
        <v>72.38</v>
      </c>
      <c r="S68" s="112">
        <f t="shared" si="178"/>
        <v>93</v>
      </c>
      <c r="T68" s="112">
        <f t="shared" ref="T68:U68" si="179">T53-T55</f>
        <v>138</v>
      </c>
      <c r="U68" s="112">
        <f t="shared" si="179"/>
        <v>138</v>
      </c>
      <c r="V68" s="101">
        <f t="shared" si="166"/>
        <v>0.23989121765324906</v>
      </c>
      <c r="W68" s="110"/>
      <c r="X68" s="112">
        <f t="shared" ref="X68:AG68" si="180">X53-X55</f>
        <v>158.69999999999999</v>
      </c>
      <c r="Y68" s="112">
        <f t="shared" si="180"/>
        <v>182.505</v>
      </c>
      <c r="Z68" s="112">
        <f t="shared" si="180"/>
        <v>209.88074999999992</v>
      </c>
      <c r="AA68" s="112">
        <f t="shared" si="180"/>
        <v>241.36286249999989</v>
      </c>
      <c r="AB68" s="112">
        <f t="shared" si="180"/>
        <v>277.56729187499991</v>
      </c>
      <c r="AC68" s="112">
        <f t="shared" si="180"/>
        <v>319.20238565624982</v>
      </c>
      <c r="AD68" s="112">
        <f t="shared" si="180"/>
        <v>367.08274350468719</v>
      </c>
      <c r="AE68" s="112">
        <f t="shared" si="180"/>
        <v>422.14515503039024</v>
      </c>
      <c r="AF68" s="112">
        <f t="shared" si="180"/>
        <v>485.46692828494884</v>
      </c>
      <c r="AG68" s="112">
        <f t="shared" si="180"/>
        <v>558.2869675276911</v>
      </c>
      <c r="AH68" s="116">
        <f t="shared" ref="AH68" si="181">((AG68/J68)^(1/($AG$3-$K$1) ))-1</f>
        <v>0.19657460561717666</v>
      </c>
      <c r="AI68" s="21">
        <f t="shared" si="17"/>
        <v>0.05</v>
      </c>
      <c r="AJ68" s="124">
        <f t="shared" ref="AJ68" si="182">(AG68*(1+AI68))/($C$1-AI68)</f>
        <v>3448.2430347298578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0"/>
      <c r="W69" s="1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>
        <f t="shared" ref="G70" si="183">G51/G57</f>
        <v>15.026714158504008</v>
      </c>
      <c r="H70" s="15">
        <f t="shared" ref="H70:I70" si="184">H51/H57</f>
        <v>21.229050279329609</v>
      </c>
      <c r="I70" s="15">
        <f t="shared" si="184"/>
        <v>38.967136150234744</v>
      </c>
      <c r="J70" s="15">
        <f t="shared" ref="J70:S70" si="185">J51/J57</f>
        <v>48.559670781893004</v>
      </c>
      <c r="K70" s="15">
        <f t="shared" si="185"/>
        <v>63.374485596707814</v>
      </c>
      <c r="L70" s="15">
        <f t="shared" si="185"/>
        <v>80.246913580246911</v>
      </c>
      <c r="M70" s="15">
        <f t="shared" si="185"/>
        <v>8.1036610448375157</v>
      </c>
      <c r="N70" s="15">
        <f t="shared" si="185"/>
        <v>9.2965857671740029</v>
      </c>
      <c r="O70" s="15">
        <f t="shared" si="185"/>
        <v>9.2965857671740029</v>
      </c>
      <c r="P70" s="15">
        <f t="shared" si="185"/>
        <v>12.112443158329889</v>
      </c>
      <c r="Q70" s="15">
        <f t="shared" si="185"/>
        <v>18.699532511687206</v>
      </c>
      <c r="R70" s="15">
        <f t="shared" si="185"/>
        <v>20.74217256467989</v>
      </c>
      <c r="S70" s="15">
        <f t="shared" si="185"/>
        <v>22.64327286630698</v>
      </c>
      <c r="T70" s="15">
        <f>T51/T57</f>
        <v>27.316368579803729</v>
      </c>
      <c r="U70" s="15">
        <f>U51/U57</f>
        <v>27.316368579803729</v>
      </c>
      <c r="V70" s="101">
        <f t="shared" si="166"/>
        <v>4.3614066575178745E-2</v>
      </c>
      <c r="W70" s="110"/>
      <c r="X70" s="96">
        <f>X51/X57</f>
        <v>30.797866536053217</v>
      </c>
      <c r="Y70" s="96">
        <f t="shared" ref="Y70:AG70" si="186">Y51/Y57</f>
        <v>34.723084820059995</v>
      </c>
      <c r="Z70" s="96">
        <f t="shared" si="186"/>
        <v>39.148576022616652</v>
      </c>
      <c r="AA70" s="96">
        <f t="shared" si="186"/>
        <v>44.138100417656027</v>
      </c>
      <c r="AB70" s="96">
        <f t="shared" si="186"/>
        <v>49.763544588533748</v>
      </c>
      <c r="AC70" s="96">
        <f t="shared" si="186"/>
        <v>56.105957134131181</v>
      </c>
      <c r="AD70" s="96">
        <f t="shared" si="186"/>
        <v>63.256716376716518</v>
      </c>
      <c r="AE70" s="96">
        <f t="shared" si="186"/>
        <v>71.318846895317634</v>
      </c>
      <c r="AF70" s="96">
        <f t="shared" si="186"/>
        <v>80.408503852563996</v>
      </c>
      <c r="AG70" s="96">
        <f t="shared" si="186"/>
        <v>90.656646500439791</v>
      </c>
      <c r="AH70" s="116">
        <f t="shared" ref="AH70:AH71" si="187">((AG70/J70)^(1/($AG$3-$K$1) ))-1</f>
        <v>2.7514587831010129E-2</v>
      </c>
      <c r="AI70" s="21">
        <f t="shared" si="17"/>
        <v>0.05</v>
      </c>
      <c r="AJ70" s="124">
        <f t="shared" ref="AJ70:AJ71" si="188">(AG70*(1+AI70))/($C$1-AI70)</f>
        <v>559.93811073801055</v>
      </c>
    </row>
    <row r="71" spans="2:36">
      <c r="B71" s="10" t="s">
        <v>406</v>
      </c>
      <c r="C71" s="112"/>
      <c r="D71" s="112"/>
      <c r="E71" s="112"/>
      <c r="F71" s="15"/>
      <c r="G71" s="15">
        <f t="shared" ref="G71" si="189">G53/G57</f>
        <v>11.687444345503117</v>
      </c>
      <c r="H71" s="15">
        <f t="shared" ref="H71:I71" si="190">H53/H57</f>
        <v>14.525139664804469</v>
      </c>
      <c r="I71" s="15">
        <f t="shared" si="190"/>
        <v>22.535211267605636</v>
      </c>
      <c r="J71" s="15">
        <f t="shared" ref="J71:S71" si="191">J53/J57</f>
        <v>23.868312757201643</v>
      </c>
      <c r="K71" s="15">
        <f t="shared" si="191"/>
        <v>26.748971193415635</v>
      </c>
      <c r="L71" s="15">
        <f t="shared" si="191"/>
        <v>37.860082304526749</v>
      </c>
      <c r="M71" s="15">
        <f t="shared" si="191"/>
        <v>6.170300287947347</v>
      </c>
      <c r="N71" s="15">
        <f t="shared" si="191"/>
        <v>6.4993829699712053</v>
      </c>
      <c r="O71" s="15">
        <f t="shared" si="191"/>
        <v>3.9078568490333199</v>
      </c>
      <c r="P71" s="15">
        <f t="shared" si="191"/>
        <v>7.6064489458453899</v>
      </c>
      <c r="Q71" s="15">
        <f t="shared" si="191"/>
        <v>13.854653633659158</v>
      </c>
      <c r="R71" s="15">
        <f t="shared" si="191"/>
        <v>16.742427460809719</v>
      </c>
      <c r="S71" s="15">
        <f t="shared" si="191"/>
        <v>18.267555970941839</v>
      </c>
      <c r="T71" s="15">
        <f>T53/T57</f>
        <v>22.813203619525041</v>
      </c>
      <c r="U71" s="15">
        <f>U53/U57</f>
        <v>22.813203619525041</v>
      </c>
      <c r="V71" s="101">
        <f t="shared" si="166"/>
        <v>4.8932696067081283E-2</v>
      </c>
      <c r="W71" s="110"/>
      <c r="X71" s="96">
        <f>X53/X57</f>
        <v>25.720768786719407</v>
      </c>
      <c r="Y71" s="96">
        <f t="shared" ref="Y71:AG71" si="192">Y53/Y57</f>
        <v>28.998905985026777</v>
      </c>
      <c r="Z71" s="96">
        <f t="shared" si="192"/>
        <v>32.694844983118422</v>
      </c>
      <c r="AA71" s="96">
        <f t="shared" si="192"/>
        <v>36.861835029986452</v>
      </c>
      <c r="AB71" s="96">
        <f t="shared" si="192"/>
        <v>41.559912043612172</v>
      </c>
      <c r="AC71" s="96">
        <f t="shared" si="192"/>
        <v>46.856763578582346</v>
      </c>
      <c r="AD71" s="96">
        <f t="shared" si="192"/>
        <v>52.828704034676164</v>
      </c>
      <c r="AE71" s="96">
        <f t="shared" si="192"/>
        <v>59.561774156742736</v>
      </c>
      <c r="AF71" s="96">
        <f t="shared" si="192"/>
        <v>67.152980666915823</v>
      </c>
      <c r="AG71" s="96">
        <f t="shared" si="192"/>
        <v>75.711693889169794</v>
      </c>
      <c r="AH71" s="116">
        <f t="shared" si="187"/>
        <v>5.147135388947488E-2</v>
      </c>
      <c r="AI71" s="21">
        <f t="shared" si="17"/>
        <v>0.05</v>
      </c>
      <c r="AJ71" s="124">
        <f t="shared" si="188"/>
        <v>467.63105049193115</v>
      </c>
    </row>
    <row r="72" spans="2:36">
      <c r="B72" s="10" t="s">
        <v>215</v>
      </c>
      <c r="C72" s="15"/>
      <c r="D72" s="15"/>
      <c r="E72" s="15"/>
      <c r="F72" s="112"/>
      <c r="G72" s="112">
        <f t="shared" ref="G72" si="193">G55/G57</f>
        <v>7.9029385574354407</v>
      </c>
      <c r="H72" s="112">
        <f t="shared" ref="H72:I72" si="194">H55/H57</f>
        <v>8.938547486033519</v>
      </c>
      <c r="I72" s="112">
        <f t="shared" si="194"/>
        <v>15.023474178403756</v>
      </c>
      <c r="J72" s="112">
        <f t="shared" ref="J72:S72" si="195">J55/J57</f>
        <v>20.164609053497941</v>
      </c>
      <c r="K72" s="112">
        <f t="shared" si="195"/>
        <v>22.633744855967077</v>
      </c>
      <c r="L72" s="112">
        <f t="shared" si="195"/>
        <v>26.748971193415635</v>
      </c>
      <c r="M72" s="112">
        <f t="shared" si="195"/>
        <v>5.1419169066227894</v>
      </c>
      <c r="N72" s="112">
        <f t="shared" si="195"/>
        <v>4.9362402303578774</v>
      </c>
      <c r="O72" s="112">
        <f t="shared" si="195"/>
        <v>3.0028794734677091</v>
      </c>
      <c r="P72" s="112">
        <f t="shared" si="195"/>
        <v>5.3741215378255474</v>
      </c>
      <c r="Q72" s="112">
        <f t="shared" si="195"/>
        <v>10.837229069273267</v>
      </c>
      <c r="R72" s="112">
        <f t="shared" si="195"/>
        <v>13.667530481328859</v>
      </c>
      <c r="S72" s="112">
        <f t="shared" si="195"/>
        <v>14.316665958621861</v>
      </c>
      <c r="T72" s="112">
        <f t="shared" ref="T72:U72" si="196">T55/T57</f>
        <v>16.950592633501849</v>
      </c>
      <c r="U72" s="112">
        <f t="shared" si="196"/>
        <v>16.950592633501849</v>
      </c>
      <c r="V72" s="101">
        <f t="shared" si="166"/>
        <v>5.6017615981515112E-2</v>
      </c>
      <c r="W72" s="110"/>
      <c r="X72" s="135">
        <f t="shared" ref="X72:AG72" si="197">X55/X57</f>
        <v>19.110962282869728</v>
      </c>
      <c r="Y72" s="135">
        <f t="shared" si="197"/>
        <v>21.546673162059001</v>
      </c>
      <c r="Z72" s="135">
        <f t="shared" si="197"/>
        <v>24.292817780752795</v>
      </c>
      <c r="AA72" s="135">
        <f t="shared" si="197"/>
        <v>27.388961223397754</v>
      </c>
      <c r="AB72" s="135">
        <f t="shared" si="197"/>
        <v>30.879711183242563</v>
      </c>
      <c r="AC72" s="135">
        <f t="shared" si="197"/>
        <v>34.815360647773474</v>
      </c>
      <c r="AD72" s="135">
        <f t="shared" si="197"/>
        <v>39.252612495038719</v>
      </c>
      <c r="AE72" s="135">
        <f t="shared" si="197"/>
        <v>44.25539644048483</v>
      </c>
      <c r="AF72" s="135">
        <f t="shared" si="197"/>
        <v>49.895790104468183</v>
      </c>
      <c r="AG72" s="135">
        <f t="shared" si="197"/>
        <v>56.255057470723926</v>
      </c>
      <c r="AH72" s="116">
        <f t="shared" ref="AH72:AH86" si="198">((AG72/J72)^(1/($AG$3-$K$1) ))-1</f>
        <v>4.5617120264219935E-2</v>
      </c>
      <c r="AI72" s="21">
        <f t="shared" si="17"/>
        <v>0.05</v>
      </c>
      <c r="AJ72" s="124">
        <f t="shared" ref="AJ72:AJ100" si="199">(AG72*(1+AI72))/($C$1-AI72)</f>
        <v>347.45770790741255</v>
      </c>
    </row>
    <row r="73" spans="2:36">
      <c r="B73" s="10" t="s">
        <v>333</v>
      </c>
      <c r="C73" s="112"/>
      <c r="D73" s="112"/>
      <c r="E73" s="112"/>
      <c r="F73" s="112"/>
      <c r="G73" s="112">
        <f t="shared" ref="G73" si="200">G20/G57</f>
        <v>-4.4523597506678545</v>
      </c>
      <c r="H73" s="112">
        <f t="shared" ref="H73:I73" si="201">H20/H57</f>
        <v>-53.072625698324025</v>
      </c>
      <c r="I73" s="112">
        <f t="shared" si="201"/>
        <v>-65.727699530516432</v>
      </c>
      <c r="J73" s="112">
        <f>J20/J57</f>
        <v>67.078189300411523</v>
      </c>
      <c r="K73" s="112">
        <f t="shared" ref="K73:S73" si="202">K20/K57</f>
        <v>-88.065843621399168</v>
      </c>
      <c r="L73" s="112">
        <f t="shared" si="202"/>
        <v>116.04938271604938</v>
      </c>
      <c r="M73" s="112">
        <f t="shared" si="202"/>
        <v>7.0341423282599758</v>
      </c>
      <c r="N73" s="112">
        <f t="shared" si="202"/>
        <v>-6.2114356232003294</v>
      </c>
      <c r="O73" s="112">
        <f t="shared" si="202"/>
        <v>5.8000822706705062</v>
      </c>
      <c r="P73" s="112">
        <f t="shared" si="202"/>
        <v>7.0276973956180235</v>
      </c>
      <c r="Q73" s="112">
        <f t="shared" si="202"/>
        <v>-8.7972800679982992</v>
      </c>
      <c r="R73" s="112">
        <f t="shared" si="202"/>
        <v>13.764391010663154</v>
      </c>
      <c r="S73" s="112">
        <f t="shared" si="202"/>
        <v>18.140107906028291</v>
      </c>
      <c r="T73" s="112">
        <f t="shared" ref="T73:U73" si="203">T20/T57</f>
        <v>11.300395089001231</v>
      </c>
      <c r="U73" s="112">
        <f t="shared" si="203"/>
        <v>11.300395089001231</v>
      </c>
      <c r="V73" s="110"/>
      <c r="W73" s="110"/>
      <c r="X73" s="112">
        <f t="shared" ref="X73:AG73" si="204">X20/X57</f>
        <v>12.740641521913151</v>
      </c>
      <c r="Y73" s="112">
        <f t="shared" si="204"/>
        <v>14.364448774706002</v>
      </c>
      <c r="Z73" s="112">
        <f t="shared" si="204"/>
        <v>16.195211853835197</v>
      </c>
      <c r="AA73" s="112">
        <f t="shared" si="204"/>
        <v>18.259307482265172</v>
      </c>
      <c r="AB73" s="112">
        <f t="shared" si="204"/>
        <v>20.586474122161707</v>
      </c>
      <c r="AC73" s="112">
        <f t="shared" si="204"/>
        <v>23.21024043184898</v>
      </c>
      <c r="AD73" s="112">
        <f t="shared" si="204"/>
        <v>26.168408330025812</v>
      </c>
      <c r="AE73" s="112">
        <f t="shared" si="204"/>
        <v>29.503597626989883</v>
      </c>
      <c r="AF73" s="112">
        <f t="shared" si="204"/>
        <v>33.263860069645453</v>
      </c>
      <c r="AG73" s="112">
        <f t="shared" si="204"/>
        <v>37.50337164714928</v>
      </c>
      <c r="AH73" s="116">
        <f t="shared" ref="AH73" si="205">((AG73/J73)^(1/($AG$3-$K$1) ))-1</f>
        <v>-2.4962632209291846E-2</v>
      </c>
      <c r="AI73" s="21">
        <f t="shared" si="17"/>
        <v>0.05</v>
      </c>
      <c r="AJ73" s="124">
        <f t="shared" si="199"/>
        <v>231.63847193827502</v>
      </c>
    </row>
    <row r="74" spans="2:36">
      <c r="B74" s="10" t="s">
        <v>203</v>
      </c>
      <c r="C74" s="15"/>
      <c r="D74" s="15"/>
      <c r="E74" s="15"/>
      <c r="F74" s="112"/>
      <c r="G74" s="112">
        <f t="shared" ref="G74" si="206">G7/G57</f>
        <v>83.48174532502226</v>
      </c>
      <c r="H74" s="112">
        <f t="shared" ref="H74:I74" si="207">H7/H57</f>
        <v>99.441340782122907</v>
      </c>
      <c r="I74" s="112">
        <f t="shared" si="207"/>
        <v>124.88262910798123</v>
      </c>
      <c r="J74" s="112">
        <f t="shared" ref="J74:S74" si="208">J7/J57</f>
        <v>127.9835390946502</v>
      </c>
      <c r="K74" s="112">
        <f t="shared" si="208"/>
        <v>148.559670781893</v>
      </c>
      <c r="L74" s="112">
        <f t="shared" si="208"/>
        <v>173.6625514403292</v>
      </c>
      <c r="M74" s="112">
        <f t="shared" si="208"/>
        <v>22.007404360345539</v>
      </c>
      <c r="N74" s="112">
        <f t="shared" si="208"/>
        <v>265.19950637597697</v>
      </c>
      <c r="O74" s="112">
        <f t="shared" si="208"/>
        <v>29.494035376388318</v>
      </c>
      <c r="P74" s="112">
        <f t="shared" si="208"/>
        <v>34.270359652749065</v>
      </c>
      <c r="Q74" s="112">
        <f t="shared" si="208"/>
        <v>44.326391840203996</v>
      </c>
      <c r="R74" s="112">
        <f t="shared" si="208"/>
        <v>56.247079315179064</v>
      </c>
      <c r="S74" s="112">
        <f t="shared" si="208"/>
        <v>68.99188580653383</v>
      </c>
      <c r="T74" s="112">
        <f t="shared" ref="T74:U74" si="209">T7/T57</f>
        <v>81.014486596711833</v>
      </c>
      <c r="U74" s="112">
        <f t="shared" si="209"/>
        <v>81.014486596711833</v>
      </c>
      <c r="V74" s="101">
        <f t="shared" si="166"/>
        <v>-2.1405631158681881E-3</v>
      </c>
      <c r="W74" s="110"/>
      <c r="X74" s="135">
        <f t="shared" ref="X74:AG74" si="210">X7/X57</f>
        <v>91.339862339429999</v>
      </c>
      <c r="Y74" s="135">
        <f t="shared" si="210"/>
        <v>102.98121734347498</v>
      </c>
      <c r="Z74" s="135">
        <f t="shared" si="210"/>
        <v>116.10627445587866</v>
      </c>
      <c r="AA74" s="135">
        <f t="shared" si="210"/>
        <v>130.90413296496121</v>
      </c>
      <c r="AB74" s="135">
        <f t="shared" si="210"/>
        <v>147.58799304873074</v>
      </c>
      <c r="AC74" s="135">
        <f t="shared" si="210"/>
        <v>166.3982274569023</v>
      </c>
      <c r="AD74" s="135">
        <f t="shared" si="210"/>
        <v>187.60584468180161</v>
      </c>
      <c r="AE74" s="135">
        <f t="shared" si="210"/>
        <v>211.51639351379595</v>
      </c>
      <c r="AF74" s="135">
        <f t="shared" si="210"/>
        <v>238.47436523614243</v>
      </c>
      <c r="AG74" s="135">
        <f t="shared" si="210"/>
        <v>268.86815688388606</v>
      </c>
      <c r="AH74" s="116">
        <f t="shared" si="198"/>
        <v>3.2801238860528326E-2</v>
      </c>
      <c r="AI74" s="21">
        <f t="shared" si="17"/>
        <v>0.05</v>
      </c>
      <c r="AJ74" s="124">
        <f t="shared" si="199"/>
        <v>1660.6562631063553</v>
      </c>
    </row>
    <row r="75" spans="2:36">
      <c r="B75" s="10" t="s">
        <v>204</v>
      </c>
      <c r="C75" s="109"/>
      <c r="D75" s="109"/>
      <c r="E75" s="109"/>
      <c r="F75" s="122"/>
      <c r="G75" s="122">
        <f t="shared" ref="G75" si="211">G6/G57</f>
        <v>73.463935886019598</v>
      </c>
      <c r="H75" s="122">
        <f t="shared" ref="H75:I75" si="212">H6/H57</f>
        <v>81.005586592178773</v>
      </c>
      <c r="I75" s="122">
        <f t="shared" si="212"/>
        <v>102.8169014084507</v>
      </c>
      <c r="J75" s="122">
        <f t="shared" ref="J75:S75" si="213">J6/J57</f>
        <v>118.10699588477365</v>
      </c>
      <c r="K75" s="122">
        <f t="shared" si="213"/>
        <v>138.27160493827159</v>
      </c>
      <c r="L75" s="122">
        <f t="shared" si="213"/>
        <v>163.78600823045267</v>
      </c>
      <c r="M75" s="122">
        <f t="shared" si="213"/>
        <v>21.020156314273962</v>
      </c>
      <c r="N75" s="122">
        <f t="shared" si="213"/>
        <v>25.586178527354999</v>
      </c>
      <c r="O75" s="122">
        <f t="shared" si="213"/>
        <v>28.506787330316744</v>
      </c>
      <c r="P75" s="122">
        <f t="shared" si="213"/>
        <v>33.278214138073579</v>
      </c>
      <c r="Q75" s="122">
        <f t="shared" si="213"/>
        <v>43.348916277093068</v>
      </c>
      <c r="R75" s="122">
        <f t="shared" si="213"/>
        <v>55.269977484175193</v>
      </c>
      <c r="S75" s="122">
        <f t="shared" si="213"/>
        <v>67.972301287225449</v>
      </c>
      <c r="T75" s="122">
        <f t="shared" ref="T75:U75" si="214">T6/T57</f>
        <v>80.02803857428097</v>
      </c>
      <c r="U75" s="122">
        <f t="shared" si="214"/>
        <v>80.02803857428097</v>
      </c>
      <c r="V75" s="101">
        <f t="shared" si="166"/>
        <v>6.1317539830456624E-3</v>
      </c>
      <c r="W75" s="110"/>
      <c r="X75" s="134">
        <f t="shared" ref="X75:AG75" si="215">X6/X57</f>
        <v>90.227690549434413</v>
      </c>
      <c r="Y75" s="134">
        <f t="shared" si="215"/>
        <v>101.72729816847998</v>
      </c>
      <c r="Z75" s="134">
        <f t="shared" si="215"/>
        <v>114.69254205269799</v>
      </c>
      <c r="AA75" s="134">
        <f t="shared" si="215"/>
        <v>129.31021898098302</v>
      </c>
      <c r="AB75" s="134">
        <f t="shared" si="215"/>
        <v>145.79093316483377</v>
      </c>
      <c r="AC75" s="134">
        <f t="shared" si="215"/>
        <v>164.37213052897926</v>
      </c>
      <c r="AD75" s="134">
        <f t="shared" si="215"/>
        <v>185.32151971404519</v>
      </c>
      <c r="AE75" s="134">
        <f t="shared" si="215"/>
        <v>208.94092908936469</v>
      </c>
      <c r="AF75" s="134">
        <f t="shared" si="215"/>
        <v>235.57065534585232</v>
      </c>
      <c r="AG75" s="134">
        <f t="shared" si="215"/>
        <v>265.59436632130405</v>
      </c>
      <c r="AH75" s="116">
        <f t="shared" si="198"/>
        <v>3.5861948216114659E-2</v>
      </c>
      <c r="AI75" s="21">
        <f t="shared" si="17"/>
        <v>0.05</v>
      </c>
      <c r="AJ75" s="124">
        <f t="shared" si="199"/>
        <v>1640.4357919845252</v>
      </c>
    </row>
    <row r="76" spans="2:36">
      <c r="B76" s="10" t="s">
        <v>205</v>
      </c>
      <c r="C76" s="109"/>
      <c r="D76" s="109"/>
      <c r="E76" s="109"/>
      <c r="F76" s="122"/>
      <c r="G76" s="122">
        <f t="shared" ref="G76" si="216">G10/G57</f>
        <v>95.725734639358862</v>
      </c>
      <c r="H76" s="122">
        <f t="shared" ref="H76:I76" si="217">H10/H57</f>
        <v>165.3631284916201</v>
      </c>
      <c r="I76" s="122">
        <f t="shared" si="217"/>
        <v>212.20657276995306</v>
      </c>
      <c r="J76" s="122">
        <f t="shared" ref="J76:S76" si="218">J10/J57</f>
        <v>200.41152263374485</v>
      </c>
      <c r="K76" s="122">
        <f t="shared" si="218"/>
        <v>317.69547325102877</v>
      </c>
      <c r="L76" s="122">
        <f t="shared" si="218"/>
        <v>246.91358024691357</v>
      </c>
      <c r="M76" s="122">
        <f t="shared" si="218"/>
        <v>24.845742492801318</v>
      </c>
      <c r="N76" s="122">
        <f t="shared" si="218"/>
        <v>37.021801727684085</v>
      </c>
      <c r="O76" s="122">
        <f t="shared" si="218"/>
        <v>35.993418346359526</v>
      </c>
      <c r="P76" s="122">
        <f t="shared" si="218"/>
        <v>34.518396031417943</v>
      </c>
      <c r="Q76" s="122">
        <f t="shared" si="218"/>
        <v>55.886102847428809</v>
      </c>
      <c r="R76" s="122">
        <f t="shared" si="218"/>
        <v>54.439440927821913</v>
      </c>
      <c r="S76" s="122">
        <f t="shared" si="218"/>
        <v>54.439440927821913</v>
      </c>
      <c r="T76" s="122">
        <f t="shared" ref="T76:U76" si="219">T10/T57</f>
        <v>44.691788096350734</v>
      </c>
      <c r="U76" s="122">
        <f t="shared" si="219"/>
        <v>44.691788096350734</v>
      </c>
      <c r="V76" s="101">
        <f t="shared" si="166"/>
        <v>-5.2953379220476604E-2</v>
      </c>
      <c r="W76" s="110"/>
      <c r="X76" s="134">
        <f t="shared" ref="X76:AG76" si="220">X10/X57</f>
        <v>50.38780030470916</v>
      </c>
      <c r="Y76" s="134">
        <f t="shared" si="220"/>
        <v>56.80977485334855</v>
      </c>
      <c r="Z76" s="134">
        <f t="shared" si="220"/>
        <v>64.050236354265508</v>
      </c>
      <c r="AA76" s="134">
        <f t="shared" si="220"/>
        <v>72.213501771966008</v>
      </c>
      <c r="AB76" s="134">
        <f t="shared" si="220"/>
        <v>81.417183370353811</v>
      </c>
      <c r="AC76" s="134">
        <f t="shared" si="220"/>
        <v>91.793883211673403</v>
      </c>
      <c r="AD76" s="134">
        <f t="shared" si="220"/>
        <v>103.49310362100432</v>
      </c>
      <c r="AE76" s="134">
        <f t="shared" si="220"/>
        <v>116.68340114132839</v>
      </c>
      <c r="AF76" s="134">
        <f t="shared" si="220"/>
        <v>131.55481501228201</v>
      </c>
      <c r="AG76" s="134">
        <f t="shared" si="220"/>
        <v>148.32160516090619</v>
      </c>
      <c r="AH76" s="116">
        <f t="shared" si="198"/>
        <v>-1.3001263018883047E-2</v>
      </c>
      <c r="AI76" s="21">
        <f t="shared" si="17"/>
        <v>0.05</v>
      </c>
      <c r="AJ76" s="124">
        <f t="shared" si="199"/>
        <v>916.10403187618545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10"/>
      <c r="W77" s="1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>
        <f t="shared" ref="G78" si="221">(G7-G10)/G57</f>
        <v>-12.243989314336599</v>
      </c>
      <c r="H78" s="122">
        <f t="shared" ref="H78:I78" si="222">(H7-H10)/H57</f>
        <v>-65.92178770949721</v>
      </c>
      <c r="I78" s="122">
        <f t="shared" si="222"/>
        <v>-87.323943661971839</v>
      </c>
      <c r="J78" s="122">
        <f t="shared" ref="J78:S78" si="223">(J7-J10)/J57</f>
        <v>-72.42798353909464</v>
      </c>
      <c r="K78" s="122">
        <f t="shared" si="223"/>
        <v>-169.1358024691358</v>
      </c>
      <c r="L78" s="122">
        <f t="shared" si="223"/>
        <v>-73.251028806584358</v>
      </c>
      <c r="M78" s="122">
        <f t="shared" si="223"/>
        <v>-2.8383381324557795</v>
      </c>
      <c r="N78" s="122">
        <f t="shared" si="223"/>
        <v>228.17770464829289</v>
      </c>
      <c r="O78" s="122">
        <f t="shared" si="223"/>
        <v>-6.4993829699712053</v>
      </c>
      <c r="P78" s="122">
        <f t="shared" si="223"/>
        <v>-0.24803637866887143</v>
      </c>
      <c r="Q78" s="122">
        <f t="shared" si="223"/>
        <v>-11.559711007224818</v>
      </c>
      <c r="R78" s="122">
        <f t="shared" si="223"/>
        <v>1.80763838735715</v>
      </c>
      <c r="S78" s="122">
        <f t="shared" si="223"/>
        <v>14.552444878711922</v>
      </c>
      <c r="T78" s="122">
        <f t="shared" ref="T78:U78" si="224">(T7-T10)/T57</f>
        <v>36.322698500361099</v>
      </c>
      <c r="U78" s="122">
        <f t="shared" si="224"/>
        <v>36.322698500361099</v>
      </c>
      <c r="V78" s="101" t="e">
        <f t="shared" si="166"/>
        <v>#NUM!</v>
      </c>
      <c r="W78" s="110"/>
      <c r="X78" s="134">
        <f t="shared" ref="X78:AG78" si="225">(X7-X10)/X57</f>
        <v>40.952062034720839</v>
      </c>
      <c r="Y78" s="134">
        <f t="shared" si="225"/>
        <v>46.171442490126438</v>
      </c>
      <c r="Z78" s="134">
        <f t="shared" si="225"/>
        <v>52.05603810161314</v>
      </c>
      <c r="AA78" s="134">
        <f t="shared" si="225"/>
        <v>58.690631192995198</v>
      </c>
      <c r="AB78" s="134">
        <f t="shared" si="225"/>
        <v>66.170809678376926</v>
      </c>
      <c r="AC78" s="134">
        <f t="shared" si="225"/>
        <v>74.604344245228901</v>
      </c>
      <c r="AD78" s="134">
        <f t="shared" si="225"/>
        <v>84.112741060797291</v>
      </c>
      <c r="AE78" s="134">
        <f t="shared" si="225"/>
        <v>94.832992372467544</v>
      </c>
      <c r="AF78" s="134">
        <f t="shared" si="225"/>
        <v>106.91955022386044</v>
      </c>
      <c r="AG78" s="134">
        <f t="shared" si="225"/>
        <v>120.54655172297988</v>
      </c>
      <c r="AH78" s="116">
        <f t="shared" si="198"/>
        <v>-2.0223968330208253</v>
      </c>
      <c r="AI78" s="21">
        <f t="shared" si="17"/>
        <v>0.05</v>
      </c>
      <c r="AJ78" s="124">
        <f t="shared" si="199"/>
        <v>744.55223123016992</v>
      </c>
    </row>
    <row r="79" spans="2:36">
      <c r="B79" s="10" t="s">
        <v>223</v>
      </c>
      <c r="C79" s="109"/>
      <c r="D79" s="109"/>
      <c r="E79" s="109"/>
      <c r="F79" s="122"/>
      <c r="G79" s="122">
        <f t="shared" ref="G79" si="226">(G7-G10-G9)/G57</f>
        <v>-22.818343722172752</v>
      </c>
      <c r="H79" s="122">
        <f t="shared" ref="H79:I79" si="227">(H7-H10-H9)/H57</f>
        <v>-89.944134078212286</v>
      </c>
      <c r="I79" s="122">
        <f t="shared" si="227"/>
        <v>-100.93896713615024</v>
      </c>
      <c r="J79" s="122">
        <f t="shared" ref="J79:S79" si="228">(J7-J10-J9)/J57</f>
        <v>-147.32510288065842</v>
      </c>
      <c r="K79" s="122">
        <f t="shared" si="228"/>
        <v>-246.91358024691357</v>
      </c>
      <c r="L79" s="122">
        <f t="shared" si="228"/>
        <v>-132.51028806584361</v>
      </c>
      <c r="M79" s="122">
        <f t="shared" si="228"/>
        <v>-11.271081859317155</v>
      </c>
      <c r="N79" s="122">
        <f t="shared" si="228"/>
        <v>215.26120937885645</v>
      </c>
      <c r="O79" s="122">
        <f t="shared" si="228"/>
        <v>-22.994652406417114</v>
      </c>
      <c r="P79" s="122">
        <f t="shared" si="228"/>
        <v>-13.393964448119057</v>
      </c>
      <c r="Q79" s="122">
        <f t="shared" si="228"/>
        <v>-25.03187420314492</v>
      </c>
      <c r="R79" s="122">
        <f t="shared" si="228"/>
        <v>-15.64382514125494</v>
      </c>
      <c r="S79" s="122">
        <f t="shared" si="228"/>
        <v>2.0625345171842455</v>
      </c>
      <c r="T79" s="122">
        <f t="shared" ref="T79:U79" si="229">(T7-T10-T9)/T57</f>
        <v>17.332936828242492</v>
      </c>
      <c r="U79" s="122">
        <f t="shared" si="229"/>
        <v>17.332936828242492</v>
      </c>
      <c r="V79" s="101" t="e">
        <f t="shared" si="166"/>
        <v>#NUM!</v>
      </c>
      <c r="W79" s="110"/>
      <c r="X79" s="134">
        <f t="shared" ref="X79:AG79" si="230">(X7-X10-X9)/X57</f>
        <v>19.542036620077308</v>
      </c>
      <c r="Y79" s="134">
        <f t="shared" si="230"/>
        <v>22.032688346165603</v>
      </c>
      <c r="Z79" s="134">
        <f t="shared" si="230"/>
        <v>24.840776076559262</v>
      </c>
      <c r="AA79" s="134">
        <f t="shared" si="230"/>
        <v>28.006757341218769</v>
      </c>
      <c r="AB79" s="134">
        <f t="shared" si="230"/>
        <v>31.576246021962337</v>
      </c>
      <c r="AC79" s="134">
        <f t="shared" si="230"/>
        <v>35.600669534565391</v>
      </c>
      <c r="AD79" s="134">
        <f t="shared" si="230"/>
        <v>40.138009769362952</v>
      </c>
      <c r="AE79" s="134">
        <f t="shared" si="230"/>
        <v>45.253638465458238</v>
      </c>
      <c r="AF79" s="134">
        <f t="shared" si="230"/>
        <v>51.021259054193102</v>
      </c>
      <c r="AG79" s="134">
        <f t="shared" si="230"/>
        <v>57.523968541492202</v>
      </c>
      <c r="AH79" s="116">
        <f t="shared" si="198"/>
        <v>-1.9599359680513313</v>
      </c>
      <c r="AI79" s="21">
        <f t="shared" si="17"/>
        <v>0.05</v>
      </c>
      <c r="AJ79" s="124">
        <f t="shared" si="199"/>
        <v>355.29509981509892</v>
      </c>
    </row>
    <row r="80" spans="2:36">
      <c r="B80" s="10" t="s">
        <v>228</v>
      </c>
      <c r="C80" s="109"/>
      <c r="D80" s="109"/>
      <c r="E80" s="109"/>
      <c r="F80" s="122"/>
      <c r="G80" s="122">
        <f t="shared" ref="G80" si="231">(G7+G15-G10-G9)/G57</f>
        <v>107.41317898486199</v>
      </c>
      <c r="H80" s="122">
        <f t="shared" ref="H80:I80" si="232">(H7+H15-H10-H9)/H57</f>
        <v>134.07821229050279</v>
      </c>
      <c r="I80" s="122">
        <f t="shared" si="232"/>
        <v>145.07042253521126</v>
      </c>
      <c r="J80" s="122">
        <f t="shared" ref="J80:S80" si="233">(J7+J15-J10-J9)/J57</f>
        <v>144.44444444444443</v>
      </c>
      <c r="K80" s="122">
        <f t="shared" si="233"/>
        <v>182.71604938271605</v>
      </c>
      <c r="L80" s="122">
        <f t="shared" si="233"/>
        <v>225.10288065843619</v>
      </c>
      <c r="M80" s="122">
        <f t="shared" si="233"/>
        <v>28.136569313039903</v>
      </c>
      <c r="N80" s="122">
        <f t="shared" si="233"/>
        <v>271.24640065816538</v>
      </c>
      <c r="O80" s="122">
        <f t="shared" si="233"/>
        <v>38.009049773755656</v>
      </c>
      <c r="P80" s="122">
        <f t="shared" si="233"/>
        <v>47.292269532864815</v>
      </c>
      <c r="Q80" s="122">
        <f t="shared" si="233"/>
        <v>61.793455163620905</v>
      </c>
      <c r="R80" s="122">
        <f t="shared" si="233"/>
        <v>78.837248821105391</v>
      </c>
      <c r="S80" s="122">
        <f t="shared" si="233"/>
        <v>96.543608479544574</v>
      </c>
      <c r="T80" s="122">
        <f t="shared" ref="T80:U80" si="234">(T7+T15-T10-T9)/T57</f>
        <v>113.08891626662134</v>
      </c>
      <c r="U80" s="122">
        <f t="shared" si="234"/>
        <v>113.08891626662134</v>
      </c>
      <c r="V80" s="101">
        <f t="shared" si="166"/>
        <v>3.6847359381897427E-3</v>
      </c>
      <c r="W80" s="110"/>
      <c r="X80" s="134">
        <f t="shared" ref="X80:AG80" si="235">(X7+X15-X10-X9)/X57</f>
        <v>127.50220951628873</v>
      </c>
      <c r="Y80" s="134">
        <f t="shared" si="235"/>
        <v>143.75249112130592</v>
      </c>
      <c r="Z80" s="134">
        <f t="shared" si="235"/>
        <v>162.07388704853119</v>
      </c>
      <c r="AA80" s="134">
        <f t="shared" si="235"/>
        <v>182.73036284883415</v>
      </c>
      <c r="AB80" s="134">
        <f t="shared" si="235"/>
        <v>206.01952674133258</v>
      </c>
      <c r="AC80" s="134">
        <f t="shared" si="235"/>
        <v>232.27691740444368</v>
      </c>
      <c r="AD80" s="134">
        <f t="shared" si="235"/>
        <v>261.88083825010801</v>
      </c>
      <c r="AE80" s="134">
        <f t="shared" si="235"/>
        <v>295.25780783100413</v>
      </c>
      <c r="AF80" s="134">
        <f t="shared" si="235"/>
        <v>332.88870490750463</v>
      </c>
      <c r="AG80" s="134">
        <f t="shared" si="235"/>
        <v>375.3156967094414</v>
      </c>
      <c r="AH80" s="116">
        <f t="shared" si="198"/>
        <v>4.2390046783112201E-2</v>
      </c>
      <c r="AI80" s="21">
        <f t="shared" si="17"/>
        <v>0.05</v>
      </c>
      <c r="AJ80" s="124">
        <f t="shared" si="199"/>
        <v>2318.1263620289028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10"/>
      <c r="W81" s="1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>
        <f t="shared" ref="G82" si="236">G12/G57</f>
        <v>11.130899376669635</v>
      </c>
      <c r="H82" s="122">
        <f t="shared" ref="H82:I82" si="237">H12/H57</f>
        <v>7.2625698324022343</v>
      </c>
      <c r="I82" s="122">
        <f t="shared" si="237"/>
        <v>30.985915492957748</v>
      </c>
      <c r="J82" s="122">
        <f t="shared" ref="J82:S82" si="238">J12/J57</f>
        <v>15.637860082304526</v>
      </c>
      <c r="K82" s="122">
        <f t="shared" si="238"/>
        <v>18.930041152263374</v>
      </c>
      <c r="L82" s="122">
        <f t="shared" si="238"/>
        <v>13.580246913580247</v>
      </c>
      <c r="M82" s="122">
        <f t="shared" si="238"/>
        <v>1.8099547511312217</v>
      </c>
      <c r="N82" s="122">
        <f t="shared" si="238"/>
        <v>0.21801727684080627</v>
      </c>
      <c r="O82" s="122">
        <f t="shared" si="238"/>
        <v>0.69930069930069938</v>
      </c>
      <c r="P82" s="122">
        <f t="shared" si="238"/>
        <v>0.53741215378255469</v>
      </c>
      <c r="Q82" s="122">
        <f t="shared" si="238"/>
        <v>2.8049298767530813</v>
      </c>
      <c r="R82" s="122">
        <f t="shared" si="238"/>
        <v>1.0340286333319171</v>
      </c>
      <c r="S82" s="122">
        <f t="shared" si="238"/>
        <v>1.0340286333319171</v>
      </c>
      <c r="T82" s="122">
        <f t="shared" ref="T82:U82" si="239">T12/T57</f>
        <v>0.16993075321806364</v>
      </c>
      <c r="U82" s="122">
        <f t="shared" si="239"/>
        <v>0.16993075321806364</v>
      </c>
      <c r="V82" s="101">
        <f t="shared" si="166"/>
        <v>-0.25823341376116948</v>
      </c>
      <c r="W82" s="110"/>
      <c r="X82" s="134">
        <f t="shared" ref="X82:AG82" si="240">X12/X57</f>
        <v>0.19158859431448347</v>
      </c>
      <c r="Y82" s="134">
        <f t="shared" si="240"/>
        <v>0.21600674849181958</v>
      </c>
      <c r="Z82" s="134">
        <f t="shared" si="240"/>
        <v>0.24353702035842398</v>
      </c>
      <c r="AA82" s="134">
        <f t="shared" si="240"/>
        <v>0.27457605236488974</v>
      </c>
      <c r="AB82" s="134">
        <f t="shared" si="240"/>
        <v>0.30957103943100317</v>
      </c>
      <c r="AC82" s="134">
        <f t="shared" si="240"/>
        <v>0.34902617190750351</v>
      </c>
      <c r="AD82" s="134">
        <f t="shared" si="240"/>
        <v>0.39350989969963629</v>
      </c>
      <c r="AE82" s="134">
        <f t="shared" si="240"/>
        <v>0.44366312221037418</v>
      </c>
      <c r="AF82" s="134">
        <f t="shared" si="240"/>
        <v>0.50020842209993166</v>
      </c>
      <c r="AG82" s="134">
        <f t="shared" si="240"/>
        <v>0.56396047589698173</v>
      </c>
      <c r="AH82" s="116">
        <f t="shared" si="198"/>
        <v>-0.13450617927522523</v>
      </c>
      <c r="AI82" s="21">
        <f t="shared" si="17"/>
        <v>0.05</v>
      </c>
      <c r="AJ82" s="124">
        <f t="shared" si="199"/>
        <v>3.4832852923048878</v>
      </c>
    </row>
    <row r="83" spans="2:36">
      <c r="B83" s="10" t="s">
        <v>213</v>
      </c>
      <c r="C83" s="109"/>
      <c r="D83" s="109"/>
      <c r="E83" s="109"/>
      <c r="F83" s="122"/>
      <c r="G83" s="122">
        <f t="shared" ref="G83" si="241">G13/G57</f>
        <v>5.5654496883348181E-3</v>
      </c>
      <c r="H83" s="122">
        <f t="shared" ref="H83:I83" si="242">H13/H57</f>
        <v>5.5865921787709499E-3</v>
      </c>
      <c r="I83" s="122">
        <f t="shared" si="242"/>
        <v>4.6948356807511738E-3</v>
      </c>
      <c r="J83" s="122">
        <f t="shared" ref="J83:S83" si="243">J13/J57</f>
        <v>3.7037037037037033</v>
      </c>
      <c r="K83" s="122">
        <f t="shared" si="243"/>
        <v>0.14403292181069957</v>
      </c>
      <c r="L83" s="122">
        <f t="shared" si="243"/>
        <v>8.2304526748971193E-2</v>
      </c>
      <c r="M83" s="122">
        <f t="shared" si="243"/>
        <v>1.4397367338543809E-2</v>
      </c>
      <c r="N83" s="122">
        <f t="shared" si="243"/>
        <v>0.37021801727684084</v>
      </c>
      <c r="O83" s="122">
        <f t="shared" si="243"/>
        <v>0.28794734677087619</v>
      </c>
      <c r="P83" s="122">
        <f t="shared" si="243"/>
        <v>0.24803637866887143</v>
      </c>
      <c r="Q83" s="122">
        <f t="shared" si="243"/>
        <v>0.26774330641733957</v>
      </c>
      <c r="R83" s="122">
        <f t="shared" si="243"/>
        <v>0.27996091592675981</v>
      </c>
      <c r="S83" s="122">
        <f t="shared" si="243"/>
        <v>0.27996091592675981</v>
      </c>
      <c r="T83" s="122">
        <f t="shared" ref="T83:U83" si="244">T13/T57</f>
        <v>0.42482688304515909</v>
      </c>
      <c r="U83" s="122">
        <f t="shared" si="244"/>
        <v>0.42482688304515909</v>
      </c>
      <c r="V83" s="101">
        <f t="shared" si="166"/>
        <v>0.3629483847452859</v>
      </c>
      <c r="W83" s="110"/>
      <c r="X83" s="134">
        <f t="shared" ref="X83:AG83" si="245">X13/X57</f>
        <v>0.47897148578620874</v>
      </c>
      <c r="Y83" s="134">
        <f t="shared" si="245"/>
        <v>0.540016871229549</v>
      </c>
      <c r="Z83" s="134">
        <f t="shared" si="245"/>
        <v>0.6088425508960601</v>
      </c>
      <c r="AA83" s="134">
        <f t="shared" si="245"/>
        <v>0.68644013091222456</v>
      </c>
      <c r="AB83" s="134">
        <f t="shared" si="245"/>
        <v>0.77392759857750792</v>
      </c>
      <c r="AC83" s="134">
        <f t="shared" si="245"/>
        <v>0.87256542976875884</v>
      </c>
      <c r="AD83" s="134">
        <f t="shared" si="245"/>
        <v>0.98377474924909081</v>
      </c>
      <c r="AE83" s="134">
        <f t="shared" si="245"/>
        <v>1.1091578055259357</v>
      </c>
      <c r="AF83" s="134">
        <f t="shared" si="245"/>
        <v>1.2505210552498294</v>
      </c>
      <c r="AG83" s="134">
        <f t="shared" si="245"/>
        <v>1.4099011897424545</v>
      </c>
      <c r="AH83" s="116">
        <f t="shared" si="198"/>
        <v>-4.1122452394336428E-2</v>
      </c>
      <c r="AI83" s="21">
        <f t="shared" si="17"/>
        <v>0.05</v>
      </c>
      <c r="AJ83" s="124">
        <f t="shared" si="199"/>
        <v>8.7082132307622206</v>
      </c>
    </row>
    <row r="84" spans="2:36">
      <c r="B84" s="10" t="s">
        <v>214</v>
      </c>
      <c r="C84" s="109"/>
      <c r="D84" s="109"/>
      <c r="E84" s="109"/>
      <c r="F84" s="122"/>
      <c r="G84" s="122">
        <f t="shared" ref="G84" si="246">(G82+G83)</f>
        <v>11.136464826357971</v>
      </c>
      <c r="H84" s="122">
        <f t="shared" ref="H84:I84" si="247">(H82+H83)</f>
        <v>7.2681564245810053</v>
      </c>
      <c r="I84" s="122">
        <f t="shared" si="247"/>
        <v>30.9906103286385</v>
      </c>
      <c r="J84" s="122">
        <f t="shared" ref="J84:S84" si="248">(J82+J83)</f>
        <v>19.34156378600823</v>
      </c>
      <c r="K84" s="122">
        <f t="shared" si="248"/>
        <v>19.074074074074073</v>
      </c>
      <c r="L84" s="122">
        <f t="shared" si="248"/>
        <v>13.662551440329217</v>
      </c>
      <c r="M84" s="122">
        <f t="shared" si="248"/>
        <v>1.8243521184697655</v>
      </c>
      <c r="N84" s="122">
        <f t="shared" si="248"/>
        <v>0.58823529411764708</v>
      </c>
      <c r="O84" s="122">
        <f t="shared" si="248"/>
        <v>0.98724804607157557</v>
      </c>
      <c r="P84" s="122">
        <f t="shared" si="248"/>
        <v>0.7854485324514261</v>
      </c>
      <c r="Q84" s="122">
        <f t="shared" si="248"/>
        <v>3.072673183170421</v>
      </c>
      <c r="R84" s="122">
        <f t="shared" ref="R84" si="249">(R82+R83)</f>
        <v>1.3139895492586768</v>
      </c>
      <c r="S84" s="122">
        <f t="shared" si="248"/>
        <v>1.3139895492586768</v>
      </c>
      <c r="T84" s="122">
        <f t="shared" ref="T84:U84" si="250">(T82+T83)</f>
        <v>0.59475763626322276</v>
      </c>
      <c r="U84" s="122">
        <f t="shared" si="250"/>
        <v>0.59475763626322276</v>
      </c>
      <c r="V84" s="101">
        <f t="shared" si="166"/>
        <v>-0.18882648455184048</v>
      </c>
      <c r="W84" s="110"/>
      <c r="X84" s="134">
        <f t="shared" ref="X84:AG84" si="251">(X82+X83)</f>
        <v>0.67056008010069224</v>
      </c>
      <c r="Y84" s="134">
        <f t="shared" si="251"/>
        <v>0.75602361972136856</v>
      </c>
      <c r="Z84" s="134">
        <f t="shared" si="251"/>
        <v>0.85237957125448405</v>
      </c>
      <c r="AA84" s="134">
        <f t="shared" si="251"/>
        <v>0.96101618327711424</v>
      </c>
      <c r="AB84" s="134">
        <f t="shared" si="251"/>
        <v>1.083498638008511</v>
      </c>
      <c r="AC84" s="134">
        <f t="shared" si="251"/>
        <v>1.2215916016762622</v>
      </c>
      <c r="AD84" s="134">
        <f t="shared" si="251"/>
        <v>1.3772846489487272</v>
      </c>
      <c r="AE84" s="134">
        <f t="shared" si="251"/>
        <v>1.5528209277363099</v>
      </c>
      <c r="AF84" s="134">
        <f t="shared" si="251"/>
        <v>1.750729477349761</v>
      </c>
      <c r="AG84" s="134">
        <f t="shared" si="251"/>
        <v>1.9738616656394363</v>
      </c>
      <c r="AH84" s="116">
        <f t="shared" si="198"/>
        <v>-9.4464584251630623E-2</v>
      </c>
      <c r="AI84" s="21">
        <f t="shared" si="17"/>
        <v>0.05</v>
      </c>
      <c r="AJ84" s="124">
        <f t="shared" si="199"/>
        <v>12.191498523067109</v>
      </c>
    </row>
    <row r="85" spans="2:36">
      <c r="B85" s="10" t="s">
        <v>207</v>
      </c>
      <c r="C85" s="109"/>
      <c r="D85" s="109"/>
      <c r="E85" s="109"/>
      <c r="F85" s="122"/>
      <c r="G85" s="122">
        <f t="shared" ref="G85" si="252">G15/G57</f>
        <v>130.23152270703474</v>
      </c>
      <c r="H85" s="122">
        <f t="shared" ref="H85:I85" si="253">H15/H57</f>
        <v>224.02234636871509</v>
      </c>
      <c r="I85" s="122">
        <f t="shared" si="253"/>
        <v>246.0093896713615</v>
      </c>
      <c r="J85" s="122">
        <f t="shared" ref="J85:S85" si="254">J15/J57</f>
        <v>291.76954732510285</v>
      </c>
      <c r="K85" s="122">
        <f t="shared" si="254"/>
        <v>429.62962962962962</v>
      </c>
      <c r="L85" s="122">
        <f t="shared" si="254"/>
        <v>357.61316872427983</v>
      </c>
      <c r="M85" s="122">
        <f t="shared" si="254"/>
        <v>39.407651172357056</v>
      </c>
      <c r="N85" s="122">
        <f t="shared" si="254"/>
        <v>55.985191279308928</v>
      </c>
      <c r="O85" s="122">
        <f t="shared" si="254"/>
        <v>61.003702180172773</v>
      </c>
      <c r="P85" s="122">
        <f t="shared" si="254"/>
        <v>60.686233980983872</v>
      </c>
      <c r="Q85" s="122">
        <f t="shared" si="254"/>
        <v>86.825329366765828</v>
      </c>
      <c r="R85" s="122">
        <f t="shared" si="254"/>
        <v>94.481073962360327</v>
      </c>
      <c r="S85" s="122">
        <f t="shared" si="254"/>
        <v>94.481073962360327</v>
      </c>
      <c r="T85" s="122">
        <f t="shared" ref="T85:U85" si="255">T15/T57</f>
        <v>95.755979438378859</v>
      </c>
      <c r="U85" s="122">
        <f t="shared" si="255"/>
        <v>95.755979438378859</v>
      </c>
      <c r="V85" s="101">
        <f t="shared" si="166"/>
        <v>-2.1725577356842662E-2</v>
      </c>
      <c r="W85" s="110"/>
      <c r="X85" s="134">
        <f t="shared" ref="X85:AG85" si="256">X15/X57</f>
        <v>107.96017289621145</v>
      </c>
      <c r="Y85" s="134">
        <f t="shared" si="256"/>
        <v>121.71980277514032</v>
      </c>
      <c r="Z85" s="134">
        <f t="shared" si="256"/>
        <v>137.23311097197194</v>
      </c>
      <c r="AA85" s="134">
        <f t="shared" si="256"/>
        <v>154.72360550761539</v>
      </c>
      <c r="AB85" s="134">
        <f t="shared" si="256"/>
        <v>174.44328071937028</v>
      </c>
      <c r="AC85" s="134">
        <f t="shared" si="256"/>
        <v>196.67624786987824</v>
      </c>
      <c r="AD85" s="134">
        <f t="shared" si="256"/>
        <v>221.74282848074506</v>
      </c>
      <c r="AE85" s="134">
        <f t="shared" si="256"/>
        <v>250.00416936554586</v>
      </c>
      <c r="AF85" s="134">
        <f t="shared" si="256"/>
        <v>281.86744585331149</v>
      </c>
      <c r="AG85" s="134">
        <f t="shared" si="256"/>
        <v>317.7917281679492</v>
      </c>
      <c r="AH85" s="116">
        <f t="shared" si="198"/>
        <v>3.7213399317612694E-3</v>
      </c>
      <c r="AI85" s="21">
        <f t="shared" si="17"/>
        <v>0.05</v>
      </c>
      <c r="AJ85" s="124">
        <f t="shared" si="199"/>
        <v>1962.8312622138042</v>
      </c>
    </row>
    <row r="86" spans="2:36">
      <c r="B86" s="10" t="s">
        <v>208</v>
      </c>
      <c r="C86" s="109"/>
      <c r="D86" s="109"/>
      <c r="E86" s="109"/>
      <c r="F86" s="122"/>
      <c r="G86" s="122">
        <f t="shared" ref="G86" si="257">G16/G57</f>
        <v>133.01424755120215</v>
      </c>
      <c r="H86" s="122">
        <f t="shared" ref="H86:I86" si="258">H16/H57</f>
        <v>204.46927374301674</v>
      </c>
      <c r="I86" s="122">
        <f t="shared" si="258"/>
        <v>268.07511737089203</v>
      </c>
      <c r="J86" s="122">
        <f t="shared" ref="J86:S86" si="259">J16/J57</f>
        <v>226.74897119341563</v>
      </c>
      <c r="K86" s="122">
        <f t="shared" si="259"/>
        <v>369.54732510288062</v>
      </c>
      <c r="L86" s="122">
        <f t="shared" si="259"/>
        <v>317.69547325102877</v>
      </c>
      <c r="M86" s="122">
        <f t="shared" si="259"/>
        <v>32.3323735088441</v>
      </c>
      <c r="N86" s="122">
        <f t="shared" si="259"/>
        <v>46.606334841628964</v>
      </c>
      <c r="O86" s="122">
        <f t="shared" si="259"/>
        <v>47.716988893459487</v>
      </c>
      <c r="P86" s="122">
        <f t="shared" si="259"/>
        <v>49.689954526663911</v>
      </c>
      <c r="Q86" s="122">
        <f t="shared" si="259"/>
        <v>75.520611984700381</v>
      </c>
      <c r="R86" s="122">
        <f t="shared" si="259"/>
        <v>78.474446662984832</v>
      </c>
      <c r="S86" s="122">
        <f t="shared" si="259"/>
        <v>78.474446662984832</v>
      </c>
      <c r="T86" s="122">
        <f t="shared" ref="T86:U86" si="260">T16/T57</f>
        <v>82.204001869238283</v>
      </c>
      <c r="U86" s="122">
        <f t="shared" si="260"/>
        <v>82.204001869238283</v>
      </c>
      <c r="V86" s="101">
        <f t="shared" si="166"/>
        <v>-3.3791047801246643E-2</v>
      </c>
      <c r="W86" s="110"/>
      <c r="X86" s="134">
        <f t="shared" ref="X86:AG86" si="261">X16/X57</f>
        <v>92.680982499631384</v>
      </c>
      <c r="Y86" s="134">
        <f t="shared" si="261"/>
        <v>104.49326458291773</v>
      </c>
      <c r="Z86" s="134">
        <f t="shared" si="261"/>
        <v>117.81103359838762</v>
      </c>
      <c r="AA86" s="134">
        <f t="shared" si="261"/>
        <v>132.82616533151543</v>
      </c>
      <c r="AB86" s="134">
        <f t="shared" si="261"/>
        <v>149.75499032474778</v>
      </c>
      <c r="AC86" s="134">
        <f t="shared" si="261"/>
        <v>168.84141066025484</v>
      </c>
      <c r="AD86" s="134">
        <f t="shared" si="261"/>
        <v>190.36041397969908</v>
      </c>
      <c r="AE86" s="134">
        <f t="shared" si="261"/>
        <v>214.62203536926856</v>
      </c>
      <c r="AF86" s="134">
        <f t="shared" si="261"/>
        <v>241.97582419084199</v>
      </c>
      <c r="AG86" s="134">
        <f t="shared" si="261"/>
        <v>272.81588021516495</v>
      </c>
      <c r="AH86" s="116">
        <f t="shared" si="198"/>
        <v>8.073879574076237E-3</v>
      </c>
      <c r="AI86" s="115"/>
      <c r="AJ86" s="124">
        <f t="shared" si="199"/>
        <v>1240.0721827962043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10"/>
      <c r="W87" s="1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7"/>
        <v>0.05</v>
      </c>
      <c r="AJ87" s="124">
        <f t="shared" si="199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262">G59</f>
        <v>2</v>
      </c>
      <c r="H88" s="136">
        <f t="shared" ref="H88:I88" si="263">H59</f>
        <v>2</v>
      </c>
      <c r="I88" s="136">
        <f t="shared" si="263"/>
        <v>2</v>
      </c>
      <c r="J88" s="136">
        <f t="shared" ref="J88:S88" si="264">J59</f>
        <v>2</v>
      </c>
      <c r="K88" s="136">
        <f t="shared" si="264"/>
        <v>2</v>
      </c>
      <c r="L88" s="136">
        <f t="shared" si="264"/>
        <v>2</v>
      </c>
      <c r="M88" s="136">
        <f t="shared" si="264"/>
        <v>0.3</v>
      </c>
      <c r="N88" s="136">
        <f t="shared" si="264"/>
        <v>0.3</v>
      </c>
      <c r="O88" s="136">
        <f t="shared" si="264"/>
        <v>0.3</v>
      </c>
      <c r="P88" s="136">
        <f t="shared" si="264"/>
        <v>0.8</v>
      </c>
      <c r="Q88" s="136">
        <f t="shared" si="264"/>
        <v>1.2</v>
      </c>
      <c r="R88" s="136">
        <f t="shared" si="264"/>
        <v>1.7</v>
      </c>
      <c r="S88" s="136">
        <f t="shared" si="264"/>
        <v>1.7</v>
      </c>
      <c r="T88" s="136">
        <f t="shared" ref="T88:U88" si="265">T59</f>
        <v>3</v>
      </c>
      <c r="U88" s="136">
        <f t="shared" si="265"/>
        <v>3</v>
      </c>
      <c r="V88" s="101">
        <f t="shared" si="166"/>
        <v>2.9385264450122461E-2</v>
      </c>
      <c r="W88" s="110"/>
      <c r="X88" s="136">
        <f t="shared" ref="X88:AG88" si="266">X59</f>
        <v>3.06</v>
      </c>
      <c r="Y88" s="136">
        <f t="shared" si="266"/>
        <v>3.1212</v>
      </c>
      <c r="Z88" s="136">
        <f t="shared" si="266"/>
        <v>3.183624</v>
      </c>
      <c r="AA88" s="136">
        <f t="shared" si="266"/>
        <v>3.2472964800000002</v>
      </c>
      <c r="AB88" s="136">
        <f t="shared" si="266"/>
        <v>3.3122424096</v>
      </c>
      <c r="AC88" s="136">
        <f t="shared" si="266"/>
        <v>3.378487257792</v>
      </c>
      <c r="AD88" s="136">
        <f t="shared" si="266"/>
        <v>3.4460570029478399</v>
      </c>
      <c r="AE88" s="136">
        <f t="shared" si="266"/>
        <v>3.5149781430067968</v>
      </c>
      <c r="AF88" s="136">
        <f t="shared" si="266"/>
        <v>3.585277705866933</v>
      </c>
      <c r="AG88" s="136">
        <f t="shared" si="266"/>
        <v>3.6569832599842718</v>
      </c>
      <c r="AH88" s="116">
        <f t="shared" ref="AH88" si="267">((AG88/J88)^(1/($AG$3-$K$1) ))-1</f>
        <v>2.6586022478936711E-2</v>
      </c>
      <c r="AI88" s="21">
        <f t="shared" si="17"/>
        <v>0.05</v>
      </c>
      <c r="AJ88" s="124">
        <f t="shared" si="199"/>
        <v>22.587249546961683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10"/>
      <c r="W89" s="1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268">G20+G21</f>
        <v>-35</v>
      </c>
      <c r="H90" s="122">
        <f t="shared" ref="H90:I90" si="269">H20+H21</f>
        <v>-130</v>
      </c>
      <c r="I90" s="122">
        <f t="shared" si="269"/>
        <v>-191</v>
      </c>
      <c r="J90" s="122">
        <f t="shared" ref="J90:S90" si="270">J20+J21</f>
        <v>43</v>
      </c>
      <c r="K90" s="122">
        <f t="shared" si="270"/>
        <v>-226</v>
      </c>
      <c r="L90" s="122">
        <f t="shared" si="270"/>
        <v>244</v>
      </c>
      <c r="M90" s="122">
        <f t="shared" si="270"/>
        <v>41</v>
      </c>
      <c r="N90" s="122">
        <f t="shared" si="270"/>
        <v>-247</v>
      </c>
      <c r="O90" s="122">
        <f t="shared" si="270"/>
        <v>79</v>
      </c>
      <c r="P90" s="122">
        <f t="shared" si="270"/>
        <v>112</v>
      </c>
      <c r="Q90" s="122">
        <f t="shared" si="270"/>
        <v>-332</v>
      </c>
      <c r="R90" s="122">
        <f t="shared" si="270"/>
        <v>93</v>
      </c>
      <c r="S90" s="122">
        <f t="shared" si="270"/>
        <v>344</v>
      </c>
      <c r="T90" s="122">
        <f t="shared" ref="T90:U90" si="271">T20+T21</f>
        <v>64</v>
      </c>
      <c r="U90" s="122">
        <f t="shared" si="271"/>
        <v>64</v>
      </c>
      <c r="V90" s="101" t="e">
        <f t="shared" si="166"/>
        <v>#NUM!</v>
      </c>
      <c r="W90" s="110"/>
      <c r="X90" s="122">
        <f t="shared" ref="X90:AG90" si="272">X20+X21</f>
        <v>73.599999999999994</v>
      </c>
      <c r="Y90" s="122">
        <f t="shared" si="272"/>
        <v>84.639999999999986</v>
      </c>
      <c r="Z90" s="122">
        <f t="shared" si="272"/>
        <v>97.336000000000013</v>
      </c>
      <c r="AA90" s="122">
        <f t="shared" si="272"/>
        <v>111.93639999999999</v>
      </c>
      <c r="AB90" s="122">
        <f t="shared" si="272"/>
        <v>128.72685999999993</v>
      </c>
      <c r="AC90" s="122">
        <f t="shared" si="272"/>
        <v>148.03588899999994</v>
      </c>
      <c r="AD90" s="122">
        <f t="shared" si="272"/>
        <v>170.24127234999992</v>
      </c>
      <c r="AE90" s="122">
        <f t="shared" si="272"/>
        <v>195.77746320249992</v>
      </c>
      <c r="AF90" s="122">
        <f t="shared" si="272"/>
        <v>225.14408268287491</v>
      </c>
      <c r="AG90" s="122">
        <f t="shared" si="272"/>
        <v>258.91569508530608</v>
      </c>
      <c r="AH90" s="116">
        <f t="shared" ref="AH90:AH95" si="273">((AG90/J90)^(1/($AG$3-$K$1) ))-1</f>
        <v>8.1183879745676757E-2</v>
      </c>
      <c r="AI90" s="21">
        <f t="shared" si="17"/>
        <v>0.05</v>
      </c>
      <c r="AJ90" s="124">
        <f t="shared" si="199"/>
        <v>1599.1851755268908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10"/>
      <c r="W91" s="1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>
        <f t="shared" ref="G92" si="274">G90/G57</f>
        <v>-19.479073909171863</v>
      </c>
      <c r="H92" s="122">
        <f t="shared" ref="H92:I92" si="275">H90/H57</f>
        <v>-72.625698324022352</v>
      </c>
      <c r="I92" s="122">
        <f t="shared" si="275"/>
        <v>-89.671361502347423</v>
      </c>
      <c r="J92" s="122">
        <f t="shared" ref="J92:S92" si="276">J90/J57</f>
        <v>17.695473251028805</v>
      </c>
      <c r="K92" s="122">
        <f t="shared" si="276"/>
        <v>-93.004115226337447</v>
      </c>
      <c r="L92" s="122">
        <f t="shared" si="276"/>
        <v>100.41152263374485</v>
      </c>
      <c r="M92" s="122">
        <f t="shared" si="276"/>
        <v>1.6865487453722749</v>
      </c>
      <c r="N92" s="122">
        <f t="shared" si="276"/>
        <v>-10.160427807486631</v>
      </c>
      <c r="O92" s="122">
        <f t="shared" si="276"/>
        <v>3.2496914849856027</v>
      </c>
      <c r="P92" s="122">
        <f t="shared" si="276"/>
        <v>4.6300124018189335</v>
      </c>
      <c r="Q92" s="122">
        <f t="shared" si="276"/>
        <v>-14.109647258818528</v>
      </c>
      <c r="R92" s="122">
        <f t="shared" si="276"/>
        <v>3.9508900123199795</v>
      </c>
      <c r="S92" s="122">
        <f t="shared" si="276"/>
        <v>14.614044776753472</v>
      </c>
      <c r="T92" s="122">
        <f t="shared" ref="T92:U92" si="277">T90/T57</f>
        <v>2.7188920514890182</v>
      </c>
      <c r="U92" s="122">
        <f t="shared" si="277"/>
        <v>2.7188920514890182</v>
      </c>
      <c r="V92" s="101" t="e">
        <f t="shared" si="166"/>
        <v>#NUM!</v>
      </c>
      <c r="W92" s="110"/>
      <c r="X92" s="124">
        <f t="shared" ref="X92:AG92" si="278">X90/X57</f>
        <v>3.0654175090317355</v>
      </c>
      <c r="Y92" s="124">
        <f t="shared" si="278"/>
        <v>3.4561079758691133</v>
      </c>
      <c r="Z92" s="124">
        <f t="shared" si="278"/>
        <v>3.8965923257347854</v>
      </c>
      <c r="AA92" s="124">
        <f t="shared" si="278"/>
        <v>4.3932168378382377</v>
      </c>
      <c r="AB92" s="124">
        <f t="shared" si="278"/>
        <v>4.9531366308960489</v>
      </c>
      <c r="AC92" s="124">
        <f t="shared" si="278"/>
        <v>5.5844187505200562</v>
      </c>
      <c r="AD92" s="124">
        <f t="shared" si="278"/>
        <v>6.2961583951941806</v>
      </c>
      <c r="AE92" s="124">
        <f t="shared" si="278"/>
        <v>7.0986099553659878</v>
      </c>
      <c r="AF92" s="124">
        <f t="shared" si="278"/>
        <v>8.0033347535989083</v>
      </c>
      <c r="AG92" s="124">
        <f t="shared" si="278"/>
        <v>9.0233676143517076</v>
      </c>
      <c r="AH92" s="116">
        <f t="shared" si="273"/>
        <v>-2.8857657785065327E-2</v>
      </c>
      <c r="AI92" s="21">
        <f t="shared" si="17"/>
        <v>0.05</v>
      </c>
      <c r="AJ92" s="124">
        <f t="shared" si="199"/>
        <v>55.732564676878205</v>
      </c>
    </row>
    <row r="93" spans="2:36">
      <c r="B93" s="10" t="s">
        <v>237</v>
      </c>
      <c r="C93" s="109"/>
      <c r="D93" s="109"/>
      <c r="E93" s="109"/>
      <c r="F93" s="122"/>
      <c r="G93" s="122">
        <f t="shared" ref="G93" si="279">G20/G57</f>
        <v>-4.4523597506678545</v>
      </c>
      <c r="H93" s="122">
        <f t="shared" ref="H93:I93" si="280">H20/H57</f>
        <v>-53.072625698324025</v>
      </c>
      <c r="I93" s="122">
        <f t="shared" si="280"/>
        <v>-65.727699530516432</v>
      </c>
      <c r="J93" s="122">
        <f t="shared" ref="J93:S93" si="281">J20/J57</f>
        <v>67.078189300411523</v>
      </c>
      <c r="K93" s="122">
        <f t="shared" si="281"/>
        <v>-88.065843621399168</v>
      </c>
      <c r="L93" s="122">
        <f t="shared" si="281"/>
        <v>116.04938271604938</v>
      </c>
      <c r="M93" s="122">
        <f t="shared" si="281"/>
        <v>7.0341423282599758</v>
      </c>
      <c r="N93" s="122">
        <f t="shared" si="281"/>
        <v>-6.2114356232003294</v>
      </c>
      <c r="O93" s="122">
        <f t="shared" si="281"/>
        <v>5.8000822706705062</v>
      </c>
      <c r="P93" s="122">
        <f t="shared" si="281"/>
        <v>7.0276973956180235</v>
      </c>
      <c r="Q93" s="122">
        <f t="shared" si="281"/>
        <v>-8.7972800679982992</v>
      </c>
      <c r="R93" s="122">
        <f t="shared" si="281"/>
        <v>13.764391010663154</v>
      </c>
      <c r="S93" s="122">
        <f t="shared" si="281"/>
        <v>18.140107906028291</v>
      </c>
      <c r="T93" s="122">
        <f t="shared" ref="T93:U93" si="282">T20/T57</f>
        <v>11.300395089001231</v>
      </c>
      <c r="U93" s="122">
        <f t="shared" si="282"/>
        <v>11.300395089001231</v>
      </c>
      <c r="V93" s="101" t="e">
        <f t="shared" si="166"/>
        <v>#NUM!</v>
      </c>
      <c r="W93" s="110"/>
      <c r="X93" s="124">
        <f t="shared" ref="X93:AG93" si="283">X20/X57</f>
        <v>12.740641521913151</v>
      </c>
      <c r="Y93" s="124">
        <f t="shared" si="283"/>
        <v>14.364448774706002</v>
      </c>
      <c r="Z93" s="124">
        <f t="shared" si="283"/>
        <v>16.195211853835197</v>
      </c>
      <c r="AA93" s="124">
        <f t="shared" si="283"/>
        <v>18.259307482265172</v>
      </c>
      <c r="AB93" s="124">
        <f t="shared" si="283"/>
        <v>20.586474122161707</v>
      </c>
      <c r="AC93" s="124">
        <f t="shared" si="283"/>
        <v>23.21024043184898</v>
      </c>
      <c r="AD93" s="124">
        <f t="shared" si="283"/>
        <v>26.168408330025812</v>
      </c>
      <c r="AE93" s="124">
        <f t="shared" si="283"/>
        <v>29.503597626989883</v>
      </c>
      <c r="AF93" s="124">
        <f t="shared" si="283"/>
        <v>33.263860069645453</v>
      </c>
      <c r="AG93" s="124">
        <f t="shared" si="283"/>
        <v>37.50337164714928</v>
      </c>
      <c r="AH93" s="116">
        <f t="shared" si="273"/>
        <v>-2.4962632209291846E-2</v>
      </c>
      <c r="AI93" s="21">
        <f t="shared" si="17"/>
        <v>0.05</v>
      </c>
      <c r="AJ93" s="124">
        <f t="shared" si="199"/>
        <v>231.63847193827502</v>
      </c>
    </row>
    <row r="94" spans="2:36">
      <c r="B94" s="10" t="s">
        <v>238</v>
      </c>
      <c r="C94" s="109"/>
      <c r="D94" s="109"/>
      <c r="E94" s="109"/>
      <c r="F94" s="122"/>
      <c r="G94" s="122">
        <f t="shared" ref="G94" si="284">G21/G57</f>
        <v>-15.026714158504008</v>
      </c>
      <c r="H94" s="122">
        <f t="shared" ref="H94:I94" si="285">H21/H57</f>
        <v>-19.553072625698324</v>
      </c>
      <c r="I94" s="122">
        <f t="shared" si="285"/>
        <v>-23.943661971830988</v>
      </c>
      <c r="J94" s="122">
        <f t="shared" ref="J94:S94" si="286">J21/J57</f>
        <v>-49.382716049382715</v>
      </c>
      <c r="K94" s="122">
        <f t="shared" si="286"/>
        <v>-4.9382716049382713</v>
      </c>
      <c r="L94" s="122">
        <f t="shared" si="286"/>
        <v>-15.637860082304526</v>
      </c>
      <c r="M94" s="122">
        <f t="shared" si="286"/>
        <v>-5.3475935828877006</v>
      </c>
      <c r="N94" s="122">
        <f t="shared" si="286"/>
        <v>-3.9489921842863023</v>
      </c>
      <c r="O94" s="122">
        <f t="shared" si="286"/>
        <v>-2.5503907856849035</v>
      </c>
      <c r="P94" s="122">
        <f t="shared" si="286"/>
        <v>-2.3976849937990905</v>
      </c>
      <c r="Q94" s="122">
        <f t="shared" si="286"/>
        <v>-5.312367190820229</v>
      </c>
      <c r="R94" s="122">
        <f t="shared" si="286"/>
        <v>-9.8135009983431747</v>
      </c>
      <c r="S94" s="122">
        <f t="shared" si="286"/>
        <v>-3.5260631292748204</v>
      </c>
      <c r="T94" s="122">
        <f t="shared" ref="T94:U94" si="287">T21/T57</f>
        <v>-8.5815030375122134</v>
      </c>
      <c r="U94" s="122">
        <f t="shared" si="287"/>
        <v>-8.5815030375122134</v>
      </c>
      <c r="V94" s="101">
        <f t="shared" si="166"/>
        <v>-3.9225692039941862E-2</v>
      </c>
      <c r="W94" s="110"/>
      <c r="X94" s="124">
        <f t="shared" ref="X94:AG94" si="288">X21/X57</f>
        <v>-9.6752240128814151</v>
      </c>
      <c r="Y94" s="124">
        <f t="shared" si="288"/>
        <v>-10.908340798836889</v>
      </c>
      <c r="Z94" s="124">
        <f t="shared" si="288"/>
        <v>-12.298619528100412</v>
      </c>
      <c r="AA94" s="124">
        <f t="shared" si="288"/>
        <v>-13.866090644426933</v>
      </c>
      <c r="AB94" s="124">
        <f t="shared" si="288"/>
        <v>-15.633337491265658</v>
      </c>
      <c r="AC94" s="124">
        <f t="shared" si="288"/>
        <v>-17.625821681328926</v>
      </c>
      <c r="AD94" s="124">
        <f t="shared" si="288"/>
        <v>-19.872249934831629</v>
      </c>
      <c r="AE94" s="124">
        <f t="shared" si="288"/>
        <v>-22.404987671623896</v>
      </c>
      <c r="AF94" s="124">
        <f t="shared" si="288"/>
        <v>-25.260525316046547</v>
      </c>
      <c r="AG94" s="124">
        <f t="shared" si="288"/>
        <v>-28.480004032797574</v>
      </c>
      <c r="AH94" s="116">
        <f t="shared" si="273"/>
        <v>-2.3646298373582786E-2</v>
      </c>
      <c r="AI94" s="21">
        <f t="shared" si="17"/>
        <v>0.05</v>
      </c>
      <c r="AJ94" s="124">
        <f t="shared" si="199"/>
        <v>-175.90590726139681</v>
      </c>
    </row>
    <row r="95" spans="2:36">
      <c r="B95" s="10" t="s">
        <v>239</v>
      </c>
      <c r="C95" s="109"/>
      <c r="D95" s="109"/>
      <c r="E95" s="109"/>
      <c r="F95" s="122"/>
      <c r="G95" s="122">
        <f t="shared" ref="G95" si="289">G22/G57</f>
        <v>19.479073909171863</v>
      </c>
      <c r="H95" s="122">
        <f t="shared" ref="H95:I95" si="290">H22/H57</f>
        <v>73.743016759776538</v>
      </c>
      <c r="I95" s="122">
        <f t="shared" si="290"/>
        <v>87.323943661971839</v>
      </c>
      <c r="J95" s="122">
        <f t="shared" ref="J95:S95" si="291">J22/J57</f>
        <v>-5.3497942386831276</v>
      </c>
      <c r="K95" s="122">
        <f t="shared" si="291"/>
        <v>90.123456790123456</v>
      </c>
      <c r="L95" s="122">
        <f t="shared" si="291"/>
        <v>-107.4074074074074</v>
      </c>
      <c r="M95" s="122">
        <f t="shared" si="291"/>
        <v>-1.8922254216371865</v>
      </c>
      <c r="N95" s="122">
        <f t="shared" si="291"/>
        <v>10.078157136980668</v>
      </c>
      <c r="O95" s="122">
        <f t="shared" si="291"/>
        <v>-2.7972027972027975</v>
      </c>
      <c r="P95" s="122">
        <f t="shared" si="291"/>
        <v>-4.795369987598181</v>
      </c>
      <c r="Q95" s="122">
        <f t="shared" si="291"/>
        <v>16.319592010199745</v>
      </c>
      <c r="R95" s="122">
        <f t="shared" si="291"/>
        <v>-6.3724032456773863</v>
      </c>
      <c r="S95" s="122">
        <f t="shared" si="291"/>
        <v>-14.146735205403797</v>
      </c>
      <c r="T95" s="122">
        <f t="shared" ref="T95:U95" si="292">T22/T57</f>
        <v>-3.3136496877522408</v>
      </c>
      <c r="U95" s="122">
        <f t="shared" si="292"/>
        <v>-3.3136496877522408</v>
      </c>
      <c r="V95" s="101" t="e">
        <f t="shared" si="166"/>
        <v>#NUM!</v>
      </c>
      <c r="W95" s="110"/>
      <c r="X95" s="124">
        <f t="shared" ref="X95:AG95" si="293">X22/X57</f>
        <v>-3.7359775891324278</v>
      </c>
      <c r="Y95" s="124">
        <f t="shared" si="293"/>
        <v>-4.2121315955904812</v>
      </c>
      <c r="Z95" s="124">
        <f t="shared" si="293"/>
        <v>-4.7489718969892678</v>
      </c>
      <c r="AA95" s="124">
        <f t="shared" si="293"/>
        <v>-5.3542330211153502</v>
      </c>
      <c r="AB95" s="124">
        <f t="shared" si="293"/>
        <v>-6.0366352689045604</v>
      </c>
      <c r="AC95" s="124">
        <f t="shared" si="293"/>
        <v>-6.806010352196318</v>
      </c>
      <c r="AD95" s="124">
        <f t="shared" si="293"/>
        <v>-7.6734430441429069</v>
      </c>
      <c r="AE95" s="124">
        <f t="shared" si="293"/>
        <v>-8.6514308831022966</v>
      </c>
      <c r="AF95" s="124">
        <f t="shared" si="293"/>
        <v>-9.754064230948666</v>
      </c>
      <c r="AG95" s="124">
        <f t="shared" si="293"/>
        <v>-10.997229279991142</v>
      </c>
      <c r="AH95" s="116">
        <f t="shared" si="273"/>
        <v>3.1825737507475971E-2</v>
      </c>
      <c r="AI95" s="21">
        <f t="shared" si="17"/>
        <v>0.05</v>
      </c>
      <c r="AJ95" s="124">
        <f t="shared" si="199"/>
        <v>-67.924063199945294</v>
      </c>
    </row>
    <row r="96" spans="2:36">
      <c r="B96" s="10" t="s">
        <v>246</v>
      </c>
      <c r="C96" s="109"/>
      <c r="D96" s="109"/>
      <c r="E96" s="109"/>
      <c r="F96" s="122"/>
      <c r="G96" s="122">
        <f t="shared" ref="G96" si="294">G23/G57</f>
        <v>3.8958147818343725</v>
      </c>
      <c r="H96" s="122">
        <f t="shared" ref="H96:I96" si="295">H23/H57</f>
        <v>5.5865921787709496</v>
      </c>
      <c r="I96" s="122">
        <f t="shared" si="295"/>
        <v>2.347417840375587</v>
      </c>
      <c r="J96" s="122">
        <f t="shared" ref="J96:S96" si="296">J23/J57</f>
        <v>14.814814814814813</v>
      </c>
      <c r="K96" s="122">
        <f t="shared" si="296"/>
        <v>11.934156378600822</v>
      </c>
      <c r="L96" s="122">
        <f t="shared" si="296"/>
        <v>4.526748971193415</v>
      </c>
      <c r="M96" s="122">
        <f t="shared" si="296"/>
        <v>0.24681201151789389</v>
      </c>
      <c r="N96" s="122">
        <f t="shared" si="296"/>
        <v>0.20567667626491157</v>
      </c>
      <c r="O96" s="122">
        <f t="shared" si="296"/>
        <v>0.69930069930069938</v>
      </c>
      <c r="P96" s="122">
        <f t="shared" si="296"/>
        <v>0.53741215378255469</v>
      </c>
      <c r="Q96" s="122">
        <f t="shared" si="296"/>
        <v>2.7199320016999575</v>
      </c>
      <c r="R96" s="122">
        <f t="shared" si="296"/>
        <v>-2.4215132333574068</v>
      </c>
      <c r="S96" s="122">
        <f t="shared" si="296"/>
        <v>0.46730957134967499</v>
      </c>
      <c r="T96" s="122">
        <f t="shared" ref="T96:U96" si="297">T23/T57</f>
        <v>-0.6372403245677386</v>
      </c>
      <c r="U96" s="122">
        <f t="shared" si="297"/>
        <v>-0.6372403245677386</v>
      </c>
      <c r="V96" s="101" t="e">
        <f t="shared" si="166"/>
        <v>#NUM!</v>
      </c>
      <c r="W96" s="110"/>
      <c r="X96" s="124">
        <f t="shared" ref="X96:AG96" si="298">X23/X57</f>
        <v>-0.71845722867931305</v>
      </c>
      <c r="Y96" s="124">
        <f t="shared" si="298"/>
        <v>-0.8100253068443235</v>
      </c>
      <c r="Z96" s="124">
        <f t="shared" si="298"/>
        <v>-0.91326382634409009</v>
      </c>
      <c r="AA96" s="124">
        <f t="shared" si="298"/>
        <v>-1.0296601963683367</v>
      </c>
      <c r="AB96" s="124">
        <f t="shared" si="298"/>
        <v>-1.1608913978662618</v>
      </c>
      <c r="AC96" s="124">
        <f t="shared" si="298"/>
        <v>-1.3088481446531381</v>
      </c>
      <c r="AD96" s="124">
        <f t="shared" si="298"/>
        <v>-1.475662123873636</v>
      </c>
      <c r="AE96" s="124">
        <f t="shared" si="298"/>
        <v>-1.6637367082889032</v>
      </c>
      <c r="AF96" s="124">
        <f t="shared" si="298"/>
        <v>-1.8757815828747437</v>
      </c>
      <c r="AG96" s="124">
        <f t="shared" si="298"/>
        <v>-2.1148517846136814</v>
      </c>
      <c r="AH96" s="116">
        <f t="shared" ref="AH96" si="299">((AG96/J96)^(1/($AG$3-$K$1) ))-1</f>
        <v>-1.9188460865094639</v>
      </c>
      <c r="AI96" s="21">
        <f t="shared" si="17"/>
        <v>0.05</v>
      </c>
      <c r="AJ96" s="124">
        <f t="shared" si="199"/>
        <v>-13.062319846143327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10"/>
      <c r="W97" s="1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>
        <f t="shared" ref="G98" si="300">G51/G57</f>
        <v>15.026714158504008</v>
      </c>
      <c r="H98" s="122">
        <f t="shared" ref="H98:I98" si="301">H51/H57</f>
        <v>21.229050279329609</v>
      </c>
      <c r="I98" s="122">
        <f t="shared" si="301"/>
        <v>38.967136150234744</v>
      </c>
      <c r="J98" s="122">
        <f t="shared" ref="J98:S98" si="302">J51/J57</f>
        <v>48.559670781893004</v>
      </c>
      <c r="K98" s="122">
        <f t="shared" si="302"/>
        <v>63.374485596707814</v>
      </c>
      <c r="L98" s="122">
        <f t="shared" si="302"/>
        <v>80.246913580246911</v>
      </c>
      <c r="M98" s="122">
        <f t="shared" si="302"/>
        <v>8.1036610448375157</v>
      </c>
      <c r="N98" s="122">
        <f t="shared" si="302"/>
        <v>9.2965857671740029</v>
      </c>
      <c r="O98" s="122">
        <f t="shared" si="302"/>
        <v>9.2965857671740029</v>
      </c>
      <c r="P98" s="122">
        <f t="shared" si="302"/>
        <v>12.112443158329889</v>
      </c>
      <c r="Q98" s="122">
        <f t="shared" si="302"/>
        <v>18.699532511687206</v>
      </c>
      <c r="R98" s="122">
        <f t="shared" si="302"/>
        <v>20.74217256467989</v>
      </c>
      <c r="S98" s="122">
        <f t="shared" si="302"/>
        <v>22.64327286630698</v>
      </c>
      <c r="T98" s="122">
        <f t="shared" ref="T98:U98" si="303">T51/T57</f>
        <v>27.316368579803729</v>
      </c>
      <c r="U98" s="122">
        <f t="shared" si="303"/>
        <v>27.316368579803729</v>
      </c>
      <c r="V98" s="101">
        <f t="shared" si="166"/>
        <v>4.3614066575178745E-2</v>
      </c>
      <c r="W98" s="110"/>
      <c r="X98" s="122">
        <f t="shared" ref="X98:AG98" si="304">X51/X57</f>
        <v>30.797866536053217</v>
      </c>
      <c r="Y98" s="122">
        <f t="shared" si="304"/>
        <v>34.723084820059995</v>
      </c>
      <c r="Z98" s="122">
        <f t="shared" si="304"/>
        <v>39.148576022616652</v>
      </c>
      <c r="AA98" s="122">
        <f t="shared" si="304"/>
        <v>44.138100417656027</v>
      </c>
      <c r="AB98" s="122">
        <f t="shared" si="304"/>
        <v>49.763544588533748</v>
      </c>
      <c r="AC98" s="122">
        <f t="shared" si="304"/>
        <v>56.105957134131181</v>
      </c>
      <c r="AD98" s="122">
        <f t="shared" si="304"/>
        <v>63.256716376716518</v>
      </c>
      <c r="AE98" s="122">
        <f t="shared" si="304"/>
        <v>71.318846895317634</v>
      </c>
      <c r="AF98" s="122">
        <f t="shared" si="304"/>
        <v>80.408503852563996</v>
      </c>
      <c r="AG98" s="122">
        <f t="shared" si="304"/>
        <v>90.656646500439791</v>
      </c>
      <c r="AH98" s="116">
        <f t="shared" ref="AH98:AH100" si="305">((AG98/J98)^(1/($AG$3-$K$1) ))-1</f>
        <v>2.7514587831010129E-2</v>
      </c>
      <c r="AI98" s="21">
        <f t="shared" si="17"/>
        <v>0.05</v>
      </c>
      <c r="AJ98" s="124">
        <f t="shared" si="199"/>
        <v>559.93811073801055</v>
      </c>
    </row>
    <row r="99" spans="2:36">
      <c r="B99" s="10" t="s">
        <v>436</v>
      </c>
      <c r="C99" s="122"/>
      <c r="D99" s="122"/>
      <c r="E99" s="122"/>
      <c r="F99" s="122"/>
      <c r="G99" s="122">
        <f t="shared" ref="G99" si="306">G55/G57</f>
        <v>7.9029385574354407</v>
      </c>
      <c r="H99" s="122">
        <f t="shared" ref="H99:I99" si="307">H55/H57</f>
        <v>8.938547486033519</v>
      </c>
      <c r="I99" s="122">
        <f t="shared" si="307"/>
        <v>15.023474178403756</v>
      </c>
      <c r="J99" s="122">
        <f t="shared" ref="J99:S99" si="308">J55/J57</f>
        <v>20.164609053497941</v>
      </c>
      <c r="K99" s="122">
        <f t="shared" si="308"/>
        <v>22.633744855967077</v>
      </c>
      <c r="L99" s="122">
        <f t="shared" si="308"/>
        <v>26.748971193415635</v>
      </c>
      <c r="M99" s="122">
        <f t="shared" si="308"/>
        <v>5.1419169066227894</v>
      </c>
      <c r="N99" s="122">
        <f t="shared" si="308"/>
        <v>4.9362402303578774</v>
      </c>
      <c r="O99" s="122">
        <f t="shared" si="308"/>
        <v>3.0028794734677091</v>
      </c>
      <c r="P99" s="122">
        <f t="shared" si="308"/>
        <v>5.3741215378255474</v>
      </c>
      <c r="Q99" s="122">
        <f t="shared" si="308"/>
        <v>10.837229069273267</v>
      </c>
      <c r="R99" s="122">
        <f t="shared" si="308"/>
        <v>13.667530481328859</v>
      </c>
      <c r="S99" s="122">
        <f t="shared" si="308"/>
        <v>14.316665958621861</v>
      </c>
      <c r="T99" s="122">
        <f t="shared" ref="T99:U99" si="309">T55/T57</f>
        <v>16.950592633501849</v>
      </c>
      <c r="U99" s="122">
        <f t="shared" si="309"/>
        <v>16.950592633501849</v>
      </c>
      <c r="V99" s="101">
        <f t="shared" si="166"/>
        <v>5.6017615981515112E-2</v>
      </c>
      <c r="W99" s="110"/>
      <c r="X99" s="122">
        <f t="shared" ref="X99:AG99" si="310">X55/X57</f>
        <v>19.110962282869728</v>
      </c>
      <c r="Y99" s="122">
        <f t="shared" si="310"/>
        <v>21.546673162059001</v>
      </c>
      <c r="Z99" s="122">
        <f t="shared" si="310"/>
        <v>24.292817780752795</v>
      </c>
      <c r="AA99" s="122">
        <f t="shared" si="310"/>
        <v>27.388961223397754</v>
      </c>
      <c r="AB99" s="122">
        <f t="shared" si="310"/>
        <v>30.879711183242563</v>
      </c>
      <c r="AC99" s="122">
        <f t="shared" si="310"/>
        <v>34.815360647773474</v>
      </c>
      <c r="AD99" s="122">
        <f t="shared" si="310"/>
        <v>39.252612495038719</v>
      </c>
      <c r="AE99" s="122">
        <f t="shared" si="310"/>
        <v>44.25539644048483</v>
      </c>
      <c r="AF99" s="122">
        <f t="shared" si="310"/>
        <v>49.895790104468183</v>
      </c>
      <c r="AG99" s="122">
        <f t="shared" si="310"/>
        <v>56.255057470723926</v>
      </c>
      <c r="AH99" s="116">
        <f t="shared" si="305"/>
        <v>4.5617120264219935E-2</v>
      </c>
      <c r="AI99" s="21">
        <f t="shared" si="17"/>
        <v>0.05</v>
      </c>
      <c r="AJ99" s="124">
        <f t="shared" si="199"/>
        <v>347.45770790741255</v>
      </c>
    </row>
    <row r="100" spans="2:36">
      <c r="B100" s="10" t="s">
        <v>260</v>
      </c>
      <c r="C100" s="122"/>
      <c r="D100" s="122"/>
      <c r="E100" s="122"/>
      <c r="F100" s="122"/>
      <c r="G100" s="122">
        <f t="shared" ref="G100" si="311">G6/G57</f>
        <v>73.463935886019598</v>
      </c>
      <c r="H100" s="122">
        <f t="shared" ref="H100:I100" si="312">H6/H57</f>
        <v>81.005586592178773</v>
      </c>
      <c r="I100" s="122">
        <f t="shared" si="312"/>
        <v>102.8169014084507</v>
      </c>
      <c r="J100" s="122">
        <f t="shared" ref="J100:S100" si="313">J6/J57</f>
        <v>118.10699588477365</v>
      </c>
      <c r="K100" s="122">
        <f t="shared" si="313"/>
        <v>138.27160493827159</v>
      </c>
      <c r="L100" s="122">
        <f t="shared" si="313"/>
        <v>163.78600823045267</v>
      </c>
      <c r="M100" s="122">
        <f t="shared" si="313"/>
        <v>21.020156314273962</v>
      </c>
      <c r="N100" s="122">
        <f t="shared" si="313"/>
        <v>25.586178527354999</v>
      </c>
      <c r="O100" s="122">
        <f t="shared" si="313"/>
        <v>28.506787330316744</v>
      </c>
      <c r="P100" s="122">
        <f t="shared" si="313"/>
        <v>33.278214138073579</v>
      </c>
      <c r="Q100" s="122">
        <f t="shared" si="313"/>
        <v>43.348916277093068</v>
      </c>
      <c r="R100" s="122">
        <f t="shared" si="313"/>
        <v>55.269977484175193</v>
      </c>
      <c r="S100" s="122">
        <f t="shared" si="313"/>
        <v>67.972301287225449</v>
      </c>
      <c r="T100" s="122">
        <f t="shared" ref="T100:U100" si="314">T6/T57</f>
        <v>80.02803857428097</v>
      </c>
      <c r="U100" s="122">
        <f t="shared" si="314"/>
        <v>80.02803857428097</v>
      </c>
      <c r="V100" s="101">
        <f t="shared" si="166"/>
        <v>6.1317539830456624E-3</v>
      </c>
      <c r="W100" s="110"/>
      <c r="X100" s="122">
        <f t="shared" ref="X100:AG100" si="315">X6/X57</f>
        <v>90.227690549434413</v>
      </c>
      <c r="Y100" s="122">
        <f t="shared" si="315"/>
        <v>101.72729816847998</v>
      </c>
      <c r="Z100" s="122">
        <f t="shared" si="315"/>
        <v>114.69254205269799</v>
      </c>
      <c r="AA100" s="122">
        <f t="shared" si="315"/>
        <v>129.31021898098302</v>
      </c>
      <c r="AB100" s="122">
        <f t="shared" si="315"/>
        <v>145.79093316483377</v>
      </c>
      <c r="AC100" s="122">
        <f t="shared" si="315"/>
        <v>164.37213052897926</v>
      </c>
      <c r="AD100" s="122">
        <f t="shared" si="315"/>
        <v>185.32151971404519</v>
      </c>
      <c r="AE100" s="122">
        <f t="shared" si="315"/>
        <v>208.94092908936469</v>
      </c>
      <c r="AF100" s="122">
        <f t="shared" si="315"/>
        <v>235.57065534585232</v>
      </c>
      <c r="AG100" s="122">
        <f t="shared" si="315"/>
        <v>265.59436632130405</v>
      </c>
      <c r="AH100" s="116">
        <f t="shared" si="305"/>
        <v>3.5861948216114659E-2</v>
      </c>
      <c r="AI100" s="21">
        <f t="shared" ref="AI100" si="316">$O$1</f>
        <v>0.05</v>
      </c>
      <c r="AJ100" s="124">
        <f t="shared" si="199"/>
        <v>1640.4357919845252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10"/>
      <c r="W101" s="1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>
        <f t="shared" ref="G102" si="317">G55/$T$57</f>
        <v>0.60325417392412584</v>
      </c>
      <c r="H102" s="122">
        <f t="shared" ref="H102:I102" si="318">H55/$T$57</f>
        <v>0.67972301287225456</v>
      </c>
      <c r="I102" s="122">
        <f t="shared" si="318"/>
        <v>1.3594460257445091</v>
      </c>
      <c r="J102" s="122">
        <f t="shared" ref="J102:T102" si="319">J55/$T$57</f>
        <v>2.0816517269212795</v>
      </c>
      <c r="K102" s="122">
        <f t="shared" si="319"/>
        <v>2.3365478567483748</v>
      </c>
      <c r="L102" s="122">
        <f t="shared" si="319"/>
        <v>2.761374739793534</v>
      </c>
      <c r="M102" s="122">
        <f t="shared" si="319"/>
        <v>5.310336038064488</v>
      </c>
      <c r="N102" s="122">
        <f t="shared" si="319"/>
        <v>5.0979225965419088</v>
      </c>
      <c r="O102" s="122">
        <f t="shared" si="319"/>
        <v>3.1012362462296612</v>
      </c>
      <c r="P102" s="122">
        <f t="shared" si="319"/>
        <v>5.522749479587068</v>
      </c>
      <c r="Q102" s="122">
        <f t="shared" si="319"/>
        <v>10.833085517651556</v>
      </c>
      <c r="R102" s="122">
        <f t="shared" si="319"/>
        <v>13.667530481328859</v>
      </c>
      <c r="S102" s="122">
        <f t="shared" si="319"/>
        <v>14.316665958621861</v>
      </c>
      <c r="T102" s="122">
        <f t="shared" si="319"/>
        <v>16.950592633501849</v>
      </c>
      <c r="U102" s="122">
        <f t="shared" ref="U102" si="320">U55/$T$57</f>
        <v>16.950592633501849</v>
      </c>
      <c r="V102" s="101">
        <f t="shared" si="166"/>
        <v>0.26904630212537439</v>
      </c>
      <c r="W102" s="110"/>
      <c r="X102" s="122">
        <f t="shared" ref="X102:AG102" si="321">X55/X57</f>
        <v>19.110962282869728</v>
      </c>
      <c r="Y102" s="122">
        <f t="shared" si="321"/>
        <v>21.546673162059001</v>
      </c>
      <c r="Z102" s="122">
        <f t="shared" si="321"/>
        <v>24.292817780752795</v>
      </c>
      <c r="AA102" s="122">
        <f t="shared" si="321"/>
        <v>27.388961223397754</v>
      </c>
      <c r="AB102" s="122">
        <f t="shared" si="321"/>
        <v>30.879711183242563</v>
      </c>
      <c r="AC102" s="122">
        <f t="shared" si="321"/>
        <v>34.815360647773474</v>
      </c>
      <c r="AD102" s="122">
        <f t="shared" si="321"/>
        <v>39.252612495038719</v>
      </c>
      <c r="AE102" s="122">
        <f t="shared" si="321"/>
        <v>44.25539644048483</v>
      </c>
      <c r="AF102" s="122">
        <f t="shared" si="321"/>
        <v>49.895790104468183</v>
      </c>
      <c r="AG102" s="122">
        <f t="shared" si="321"/>
        <v>56.255057470723926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10"/>
      <c r="W103" s="1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>
        <f t="shared" ref="G105" si="322">G51/G25</f>
        <v>5.5900621118012424E-2</v>
      </c>
      <c r="H105" s="129">
        <f t="shared" ref="H105:I105" si="323">H51/H25</f>
        <v>6.6901408450704219E-2</v>
      </c>
      <c r="I105" s="129">
        <f t="shared" si="323"/>
        <v>0.11096256684491979</v>
      </c>
      <c r="J105" s="129">
        <f t="shared" ref="J105:S105" si="324">J51/J25</f>
        <v>0.12102564102564102</v>
      </c>
      <c r="K105" s="129">
        <f t="shared" si="324"/>
        <v>0.13356461405030357</v>
      </c>
      <c r="L105" s="129">
        <f t="shared" si="324"/>
        <v>0.13365318711446195</v>
      </c>
      <c r="M105" s="129">
        <f t="shared" si="324"/>
        <v>0.132303559435863</v>
      </c>
      <c r="N105" s="129">
        <f t="shared" si="324"/>
        <v>0.12506917542888765</v>
      </c>
      <c r="O105" s="129">
        <f t="shared" si="324"/>
        <v>0.12966150315547906</v>
      </c>
      <c r="P105" s="129">
        <f t="shared" si="324"/>
        <v>0.1342189647274393</v>
      </c>
      <c r="Q105" s="129">
        <f t="shared" si="324"/>
        <v>0.15384615384615385</v>
      </c>
      <c r="R105" s="129">
        <f t="shared" si="324"/>
        <v>0.14786493034524531</v>
      </c>
      <c r="S105" s="129">
        <f t="shared" si="324"/>
        <v>0.15548424737456243</v>
      </c>
      <c r="T105" s="129">
        <f t="shared" ref="T105:U105" si="325">T51/T25</f>
        <v>0.18812170860152136</v>
      </c>
      <c r="U105" s="129">
        <f t="shared" si="325"/>
        <v>0.18812170860152136</v>
      </c>
      <c r="V105" s="101">
        <f t="shared" si="166"/>
        <v>9.0547153848169026E-2</v>
      </c>
      <c r="W105" s="129"/>
      <c r="X105" s="129">
        <f t="shared" ref="X105:AG105" si="326">X51/X25</f>
        <v>0.18812170860152136</v>
      </c>
      <c r="Y105" s="129">
        <f t="shared" si="326"/>
        <v>0.18812170860152136</v>
      </c>
      <c r="Z105" s="129">
        <f t="shared" si="326"/>
        <v>0.18812170860152136</v>
      </c>
      <c r="AA105" s="129">
        <f t="shared" si="326"/>
        <v>0.18812170860152136</v>
      </c>
      <c r="AB105" s="129">
        <f t="shared" si="326"/>
        <v>0.18812170860152136</v>
      </c>
      <c r="AC105" s="129">
        <f t="shared" si="326"/>
        <v>0.18812170860152133</v>
      </c>
      <c r="AD105" s="129">
        <f t="shared" si="326"/>
        <v>0.18812170860152133</v>
      </c>
      <c r="AE105" s="129">
        <f t="shared" si="326"/>
        <v>0.18812170860152136</v>
      </c>
      <c r="AF105" s="129">
        <f t="shared" si="326"/>
        <v>0.18812170860152133</v>
      </c>
      <c r="AG105" s="129">
        <f t="shared" si="326"/>
        <v>0.18812170860152133</v>
      </c>
      <c r="AH105" s="116">
        <f t="shared" ref="AH105:AH154" si="327">((AG105/J105)^(1/($AG$3-$K$1) ))-1</f>
        <v>1.936275587518832E-2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>
        <f t="shared" ref="G106" si="328">G55/G25</f>
        <v>2.939958592132505E-2</v>
      </c>
      <c r="H106" s="129">
        <f t="shared" ref="H106:I106" si="329">H55/H25</f>
        <v>2.8169014084507043E-2</v>
      </c>
      <c r="I106" s="129">
        <f t="shared" si="329"/>
        <v>4.2780748663101602E-2</v>
      </c>
      <c r="J106" s="129">
        <f t="shared" ref="J106:S106" si="330">J55/J25</f>
        <v>5.0256410256410255E-2</v>
      </c>
      <c r="K106" s="129">
        <f t="shared" si="330"/>
        <v>4.7701647875108416E-2</v>
      </c>
      <c r="L106" s="129">
        <f t="shared" si="330"/>
        <v>4.4551062371487322E-2</v>
      </c>
      <c r="M106" s="129">
        <f t="shared" si="330"/>
        <v>8.3948959032907985E-2</v>
      </c>
      <c r="N106" s="129">
        <f t="shared" si="330"/>
        <v>6.6408411732152742E-2</v>
      </c>
      <c r="O106" s="129">
        <f t="shared" si="330"/>
        <v>4.1881812966150317E-2</v>
      </c>
      <c r="P106" s="129">
        <f t="shared" si="330"/>
        <v>5.955107650022904E-2</v>
      </c>
      <c r="Q106" s="129">
        <f t="shared" si="330"/>
        <v>8.9160839160839167E-2</v>
      </c>
      <c r="R106" s="129">
        <f t="shared" si="330"/>
        <v>9.7431859479103586E-2</v>
      </c>
      <c r="S106" s="129">
        <f t="shared" si="330"/>
        <v>9.8308051341890315E-2</v>
      </c>
      <c r="T106" s="129">
        <f t="shared" ref="T106:U106" si="331">T55/T25</f>
        <v>0.11673493270918665</v>
      </c>
      <c r="U106" s="129">
        <f t="shared" si="331"/>
        <v>0.11673493270918665</v>
      </c>
      <c r="V106" s="101">
        <f t="shared" si="166"/>
        <v>0.10350851182131859</v>
      </c>
      <c r="W106" s="129"/>
      <c r="X106" s="129">
        <f t="shared" ref="X106:AG106" si="332">X55/X25</f>
        <v>0.11673493270918665</v>
      </c>
      <c r="Y106" s="129">
        <f t="shared" si="332"/>
        <v>0.11673493270918665</v>
      </c>
      <c r="Z106" s="129">
        <f t="shared" si="332"/>
        <v>0.11673493270918667</v>
      </c>
      <c r="AA106" s="129">
        <f t="shared" si="332"/>
        <v>0.11673493270918665</v>
      </c>
      <c r="AB106" s="129">
        <f t="shared" si="332"/>
        <v>0.11673493270918667</v>
      </c>
      <c r="AC106" s="129">
        <f t="shared" si="332"/>
        <v>0.11673493270918667</v>
      </c>
      <c r="AD106" s="129">
        <f t="shared" si="332"/>
        <v>0.11673493270918668</v>
      </c>
      <c r="AE106" s="129">
        <f t="shared" si="332"/>
        <v>0.11673493270918668</v>
      </c>
      <c r="AF106" s="129">
        <f t="shared" si="332"/>
        <v>0.11673493270918668</v>
      </c>
      <c r="AG106" s="129">
        <f t="shared" si="332"/>
        <v>0.11673493270918667</v>
      </c>
      <c r="AH106" s="116">
        <f t="shared" si="327"/>
        <v>3.7321671075009721E-2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>
        <f t="shared" ref="G107" si="333">G55/G7</f>
        <v>9.4666666666666663E-2</v>
      </c>
      <c r="H107" s="129">
        <f t="shared" ref="H107:I107" si="334">H55/H7</f>
        <v>8.98876404494382E-2</v>
      </c>
      <c r="I107" s="129">
        <f t="shared" si="334"/>
        <v>0.12030075187969924</v>
      </c>
      <c r="J107" s="129">
        <f>J55/J7</f>
        <v>0.15755627009646303</v>
      </c>
      <c r="K107" s="129">
        <f t="shared" ref="K107:R107" si="335">K55/K7</f>
        <v>0.1523545706371191</v>
      </c>
      <c r="L107" s="129">
        <f t="shared" si="335"/>
        <v>0.15402843601895735</v>
      </c>
      <c r="M107" s="129">
        <f t="shared" si="335"/>
        <v>0.23364485981308411</v>
      </c>
      <c r="N107" s="129">
        <f t="shared" si="335"/>
        <v>1.8613308515588647E-2</v>
      </c>
      <c r="O107" s="129">
        <f t="shared" si="335"/>
        <v>0.10181311018131102</v>
      </c>
      <c r="P107" s="129">
        <f t="shared" si="335"/>
        <v>0.15681544028950542</v>
      </c>
      <c r="Q107" s="129">
        <f t="shared" si="335"/>
        <v>0.24448705656759348</v>
      </c>
      <c r="R107" s="129">
        <f t="shared" si="335"/>
        <v>0.24299093655589127</v>
      </c>
      <c r="S107" s="129">
        <f t="shared" ref="S107:T107" si="336">S55/S7</f>
        <v>0.20751231527093597</v>
      </c>
      <c r="T107" s="129">
        <f t="shared" si="336"/>
        <v>0.20922915574200315</v>
      </c>
      <c r="U107" s="129">
        <f t="shared" ref="U107" si="337">U55/U7</f>
        <v>0.20922915574200315</v>
      </c>
      <c r="V107" s="101">
        <f t="shared" si="166"/>
        <v>5.8282937403473456E-2</v>
      </c>
      <c r="W107" s="10"/>
      <c r="X107" s="129">
        <f t="shared" ref="X107" si="338">X55/X7</f>
        <v>0.20922915574200315</v>
      </c>
      <c r="Y107" s="129">
        <f t="shared" ref="Y107:AG107" si="339">Y55/Y7</f>
        <v>0.20922915574200313</v>
      </c>
      <c r="Z107" s="129">
        <f t="shared" si="339"/>
        <v>0.20922915574200313</v>
      </c>
      <c r="AA107" s="129">
        <f t="shared" si="339"/>
        <v>0.20922915574200313</v>
      </c>
      <c r="AB107" s="129">
        <f t="shared" si="339"/>
        <v>0.20922915574200313</v>
      </c>
      <c r="AC107" s="129">
        <f t="shared" si="339"/>
        <v>0.20922915574200313</v>
      </c>
      <c r="AD107" s="129">
        <f t="shared" si="339"/>
        <v>0.20922915574200313</v>
      </c>
      <c r="AE107" s="129">
        <f t="shared" si="339"/>
        <v>0.20922915574200313</v>
      </c>
      <c r="AF107" s="129">
        <f t="shared" si="339"/>
        <v>0.20922915574200313</v>
      </c>
      <c r="AG107" s="129">
        <f t="shared" si="339"/>
        <v>0.20922915574200313</v>
      </c>
      <c r="AH107" s="116">
        <f t="shared" si="327"/>
        <v>1.2408855568212696E-2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>
        <f t="shared" ref="G108" si="340">(G55)/(G7+G10)</f>
        <v>4.4099378881987575E-2</v>
      </c>
      <c r="H108" s="129">
        <f t="shared" ref="H108:I108" si="341">(H55)/(H7+H10)</f>
        <v>3.3755274261603373E-2</v>
      </c>
      <c r="I108" s="129">
        <f t="shared" si="341"/>
        <v>4.456824512534819E-2</v>
      </c>
      <c r="J108" s="129">
        <f>(J55)/(J7+J10)</f>
        <v>6.1403508771929821E-2</v>
      </c>
      <c r="K108" s="129">
        <f t="shared" ref="K108:R108" si="342">(K55)/(K7+K10)</f>
        <v>4.8543689320388349E-2</v>
      </c>
      <c r="L108" s="129">
        <f t="shared" si="342"/>
        <v>6.3600782778864967E-2</v>
      </c>
      <c r="M108" s="129">
        <f t="shared" si="342"/>
        <v>0.10974539069359086</v>
      </c>
      <c r="N108" s="129">
        <f t="shared" si="342"/>
        <v>1.6333197223356473E-2</v>
      </c>
      <c r="O108" s="129">
        <f t="shared" si="342"/>
        <v>4.5854271356783917E-2</v>
      </c>
      <c r="P108" s="129">
        <f t="shared" si="342"/>
        <v>7.8125E-2</v>
      </c>
      <c r="Q108" s="129">
        <f t="shared" si="342"/>
        <v>0.10814249363867684</v>
      </c>
      <c r="R108" s="129">
        <f t="shared" si="342"/>
        <v>0.12347962923871118</v>
      </c>
      <c r="S108" s="129">
        <f t="shared" ref="S108:T108" si="343">(S55)/(S7+S10)</f>
        <v>0.11598891737940767</v>
      </c>
      <c r="T108" s="129">
        <f t="shared" si="343"/>
        <v>0.13484285231497128</v>
      </c>
      <c r="U108" s="129">
        <f t="shared" ref="U108" si="344">(U55)/(U7+U10)</f>
        <v>0.13484285231497128</v>
      </c>
      <c r="V108" s="101">
        <f t="shared" si="166"/>
        <v>8.3106355293034673E-2</v>
      </c>
      <c r="W108" s="10"/>
      <c r="X108" s="129">
        <f t="shared" ref="X108:AG108" si="345">(X55)/(X7+X10)</f>
        <v>0.13484285231497128</v>
      </c>
      <c r="Y108" s="129">
        <f t="shared" si="345"/>
        <v>0.13484285231497128</v>
      </c>
      <c r="Z108" s="129">
        <f t="shared" si="345"/>
        <v>0.13484285231497128</v>
      </c>
      <c r="AA108" s="129">
        <f t="shared" si="345"/>
        <v>0.13484285231497126</v>
      </c>
      <c r="AB108" s="129">
        <f t="shared" si="345"/>
        <v>0.13484285231497128</v>
      </c>
      <c r="AC108" s="129">
        <f t="shared" si="345"/>
        <v>0.13484285231497126</v>
      </c>
      <c r="AD108" s="129">
        <f t="shared" si="345"/>
        <v>0.13484285231497126</v>
      </c>
      <c r="AE108" s="129">
        <f t="shared" si="345"/>
        <v>0.13484285231497126</v>
      </c>
      <c r="AF108" s="129">
        <f t="shared" si="345"/>
        <v>0.13484285231497126</v>
      </c>
      <c r="AG108" s="129">
        <f t="shared" si="345"/>
        <v>0.13484285231497128</v>
      </c>
      <c r="AH108" s="116">
        <f t="shared" si="327"/>
        <v>3.4793481826346673E-2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>
        <f t="shared" ref="G109" si="346">G20/G25</f>
        <v>-1.6563146997929608E-2</v>
      </c>
      <c r="H109" s="129">
        <f t="shared" ref="H109:I109" si="347">H20/H25</f>
        <v>-0.16725352112676056</v>
      </c>
      <c r="I109" s="129">
        <f t="shared" si="347"/>
        <v>-0.18716577540106952</v>
      </c>
      <c r="J109" s="129">
        <f>J20/J25</f>
        <v>0.16717948717948719</v>
      </c>
      <c r="K109" s="129">
        <f t="shared" ref="K109:S109" si="348">K20/K25</f>
        <v>-0.18560277536860365</v>
      </c>
      <c r="L109" s="129">
        <f t="shared" si="348"/>
        <v>0.19328307059629884</v>
      </c>
      <c r="M109" s="129">
        <f t="shared" si="348"/>
        <v>0.11484217595701814</v>
      </c>
      <c r="N109" s="129">
        <f t="shared" si="348"/>
        <v>-8.3563918096292197E-2</v>
      </c>
      <c r="O109" s="129">
        <f t="shared" si="348"/>
        <v>8.0895008605851984E-2</v>
      </c>
      <c r="P109" s="129">
        <f t="shared" si="348"/>
        <v>7.7874484654145676E-2</v>
      </c>
      <c r="Q109" s="129">
        <f t="shared" si="348"/>
        <v>-7.237762237762238E-2</v>
      </c>
      <c r="R109" s="129">
        <f t="shared" si="348"/>
        <v>9.812235009085403E-2</v>
      </c>
      <c r="S109" s="129">
        <f t="shared" si="348"/>
        <v>0.12456242707117852</v>
      </c>
      <c r="T109" s="129">
        <f t="shared" ref="T109:U109" si="349">T20/T25</f>
        <v>7.7823288472791102E-2</v>
      </c>
      <c r="U109" s="129">
        <f t="shared" si="349"/>
        <v>7.7823288472791102E-2</v>
      </c>
      <c r="V109" s="101" t="e">
        <f t="shared" si="166"/>
        <v>#NUM!</v>
      </c>
      <c r="W109" s="10"/>
      <c r="X109" s="129">
        <f t="shared" ref="X109:AG109" si="350">X20/X25</f>
        <v>7.7823288472791102E-2</v>
      </c>
      <c r="Y109" s="129">
        <f t="shared" si="350"/>
        <v>7.7823288472791116E-2</v>
      </c>
      <c r="Z109" s="129">
        <f t="shared" si="350"/>
        <v>7.7823288472791116E-2</v>
      </c>
      <c r="AA109" s="129">
        <f t="shared" si="350"/>
        <v>7.7823288472791102E-2</v>
      </c>
      <c r="AB109" s="129">
        <f t="shared" si="350"/>
        <v>7.7823288472791102E-2</v>
      </c>
      <c r="AC109" s="129">
        <f t="shared" si="350"/>
        <v>7.7823288472791102E-2</v>
      </c>
      <c r="AD109" s="129">
        <f t="shared" si="350"/>
        <v>7.7823288472791116E-2</v>
      </c>
      <c r="AE109" s="129">
        <f t="shared" si="350"/>
        <v>7.7823288472791116E-2</v>
      </c>
      <c r="AF109" s="129">
        <f t="shared" si="350"/>
        <v>7.7823288472791116E-2</v>
      </c>
      <c r="AG109" s="129">
        <f t="shared" si="350"/>
        <v>7.7823288472791116E-2</v>
      </c>
      <c r="AH109" s="116">
        <f t="shared" si="327"/>
        <v>-3.2698133843049648E-2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>
        <f t="shared" ref="G110" si="351">G68/G25</f>
        <v>1.4078674948240166E-2</v>
      </c>
      <c r="H110" s="129">
        <f t="shared" ref="H110:I110" si="352">H68/H25</f>
        <v>1.7605633802816902E-2</v>
      </c>
      <c r="I110" s="129">
        <f t="shared" si="352"/>
        <v>2.1390374331550801E-2</v>
      </c>
      <c r="J110" s="129">
        <f>J68/J25</f>
        <v>9.2307692307692316E-3</v>
      </c>
      <c r="K110" s="129">
        <f t="shared" ref="K110:S110" si="353">K68/K25</f>
        <v>8.6730268863833473E-3</v>
      </c>
      <c r="L110" s="129">
        <f t="shared" si="353"/>
        <v>1.8505825908156272E-2</v>
      </c>
      <c r="M110" s="129">
        <f t="shared" si="353"/>
        <v>1.6789791806581598E-2</v>
      </c>
      <c r="N110" s="129">
        <f t="shared" si="353"/>
        <v>2.1029330381848368E-2</v>
      </c>
      <c r="O110" s="129">
        <f t="shared" si="353"/>
        <v>1.2621916236374068E-2</v>
      </c>
      <c r="P110" s="129">
        <f t="shared" si="353"/>
        <v>2.4736601007787448E-2</v>
      </c>
      <c r="Q110" s="129">
        <f t="shared" si="353"/>
        <v>2.4825174825174826E-2</v>
      </c>
      <c r="R110" s="129">
        <f t="shared" si="353"/>
        <v>2.1920048455481525E-2</v>
      </c>
      <c r="S110" s="129">
        <f t="shared" si="353"/>
        <v>2.7129521586931157E-2</v>
      </c>
      <c r="T110" s="129">
        <f t="shared" ref="T110:U110" si="354">T68/T25</f>
        <v>4.0374488004681103E-2</v>
      </c>
      <c r="U110" s="129">
        <f t="shared" si="354"/>
        <v>4.0374488004681103E-2</v>
      </c>
      <c r="V110" s="101">
        <f t="shared" si="166"/>
        <v>7.8156494464680648E-2</v>
      </c>
      <c r="W110" s="10"/>
      <c r="X110" s="129">
        <f t="shared" ref="X110:AG110" si="355">X68/X25</f>
        <v>4.0374488004681096E-2</v>
      </c>
      <c r="Y110" s="129">
        <f t="shared" si="355"/>
        <v>4.0374488004681103E-2</v>
      </c>
      <c r="Z110" s="129">
        <f t="shared" si="355"/>
        <v>4.0374488004681096E-2</v>
      </c>
      <c r="AA110" s="129">
        <f t="shared" si="355"/>
        <v>4.0374488004681096E-2</v>
      </c>
      <c r="AB110" s="129">
        <f t="shared" si="355"/>
        <v>4.0374488004681103E-2</v>
      </c>
      <c r="AC110" s="129">
        <f t="shared" si="355"/>
        <v>4.0374488004681096E-2</v>
      </c>
      <c r="AD110" s="129">
        <f t="shared" si="355"/>
        <v>4.0374488004681089E-2</v>
      </c>
      <c r="AE110" s="129">
        <f t="shared" si="355"/>
        <v>4.0374488004681096E-2</v>
      </c>
      <c r="AF110" s="129">
        <f t="shared" si="355"/>
        <v>4.0374488004681096E-2</v>
      </c>
      <c r="AG110" s="129">
        <f t="shared" si="355"/>
        <v>4.0374488004681096E-2</v>
      </c>
      <c r="AH110" s="116">
        <f t="shared" si="327"/>
        <v>6.6261861364618424E-2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>
        <f t="shared" ref="G112" si="356">G29/G25</f>
        <v>1.6563146997929608E-2</v>
      </c>
      <c r="H112" s="129">
        <f t="shared" ref="H112:I112" si="357">H29/H25</f>
        <v>1.936619718309859E-2</v>
      </c>
      <c r="I112" s="129">
        <f t="shared" si="357"/>
        <v>4.1443850267379678E-2</v>
      </c>
      <c r="J112" s="129">
        <f>J29/J25</f>
        <v>4.7179487179487181E-2</v>
      </c>
      <c r="K112" s="129">
        <f t="shared" ref="K112:S112" si="358">K29/K25</f>
        <v>5.6374674761491758E-2</v>
      </c>
      <c r="L112" s="129">
        <f t="shared" si="358"/>
        <v>6.3742289239204941E-2</v>
      </c>
      <c r="M112" s="129">
        <f t="shared" si="358"/>
        <v>2.8206850235057087E-2</v>
      </c>
      <c r="N112" s="129">
        <f t="shared" si="358"/>
        <v>2.6563364692861097E-2</v>
      </c>
      <c r="O112" s="129">
        <f t="shared" si="358"/>
        <v>4.0160642570281124E-2</v>
      </c>
      <c r="P112" s="129">
        <f t="shared" si="358"/>
        <v>3.5272560696289507E-2</v>
      </c>
      <c r="Q112" s="129">
        <f t="shared" si="358"/>
        <v>2.6573426573426574E-2</v>
      </c>
      <c r="R112" s="129">
        <f t="shared" si="358"/>
        <v>2.4497274379164144E-2</v>
      </c>
      <c r="S112" s="129">
        <f t="shared" si="358"/>
        <v>1.8500583430571763E-2</v>
      </c>
      <c r="T112" s="129">
        <f t="shared" ref="T112:U112" si="359">T29/T25</f>
        <v>1.6091281451141019E-2</v>
      </c>
      <c r="U112" s="129">
        <f t="shared" si="359"/>
        <v>1.6091281451141019E-2</v>
      </c>
      <c r="V112" s="101">
        <f t="shared" si="166"/>
        <v>-2.0623394831152941E-3</v>
      </c>
      <c r="W112" s="10"/>
      <c r="X112" s="129">
        <f t="shared" ref="X112:AG112" si="360">X29/X25</f>
        <v>1.6091281451141016E-2</v>
      </c>
      <c r="Y112" s="129">
        <f t="shared" si="360"/>
        <v>1.6091281451141016E-2</v>
      </c>
      <c r="Z112" s="129">
        <f t="shared" si="360"/>
        <v>1.6091281451141019E-2</v>
      </c>
      <c r="AA112" s="129">
        <f t="shared" si="360"/>
        <v>1.6091281451141016E-2</v>
      </c>
      <c r="AB112" s="129">
        <f t="shared" si="360"/>
        <v>1.6091281451141016E-2</v>
      </c>
      <c r="AC112" s="129">
        <f t="shared" si="360"/>
        <v>1.6091281451141016E-2</v>
      </c>
      <c r="AD112" s="129">
        <f t="shared" si="360"/>
        <v>1.6091281451141016E-2</v>
      </c>
      <c r="AE112" s="129">
        <f t="shared" si="360"/>
        <v>1.6091281451141016E-2</v>
      </c>
      <c r="AF112" s="129">
        <f t="shared" si="360"/>
        <v>1.6091281451141016E-2</v>
      </c>
      <c r="AG112" s="129">
        <f t="shared" si="360"/>
        <v>1.6091281451141016E-2</v>
      </c>
      <c r="AH112" s="116">
        <f t="shared" si="327"/>
        <v>-4.5691958871632465E-2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>
        <f t="shared" ref="G113" si="361">G29/G51</f>
        <v>0.29629629629629628</v>
      </c>
      <c r="H113" s="129">
        <f t="shared" ref="H113:I113" si="362">H29/H51</f>
        <v>0.28947368421052633</v>
      </c>
      <c r="I113" s="129">
        <f t="shared" si="362"/>
        <v>0.37349397590361444</v>
      </c>
      <c r="J113" s="129">
        <f>J29/J51</f>
        <v>0.38983050847457629</v>
      </c>
      <c r="K113" s="129">
        <f t="shared" ref="K113:S113" si="363">K29/K51</f>
        <v>0.42207792207792205</v>
      </c>
      <c r="L113" s="129">
        <f t="shared" si="363"/>
        <v>0.47692307692307695</v>
      </c>
      <c r="M113" s="129">
        <f t="shared" si="363"/>
        <v>0.21319796954314721</v>
      </c>
      <c r="N113" s="129">
        <f t="shared" si="363"/>
        <v>0.21238938053097345</v>
      </c>
      <c r="O113" s="129">
        <f t="shared" si="363"/>
        <v>0.30973451327433627</v>
      </c>
      <c r="P113" s="129">
        <f t="shared" si="363"/>
        <v>0.26279863481228671</v>
      </c>
      <c r="Q113" s="129">
        <f t="shared" si="363"/>
        <v>0.17272727272727273</v>
      </c>
      <c r="R113" s="129">
        <f t="shared" si="363"/>
        <v>0.16567332309267793</v>
      </c>
      <c r="S113" s="129">
        <f t="shared" si="363"/>
        <v>0.11898686679174485</v>
      </c>
      <c r="T113" s="129">
        <f t="shared" ref="T113:U113" si="364">T29/T51</f>
        <v>8.553654743390357E-2</v>
      </c>
      <c r="U113" s="129">
        <f t="shared" si="364"/>
        <v>8.553654743390357E-2</v>
      </c>
      <c r="V113" s="101">
        <f t="shared" si="166"/>
        <v>-8.4920210010632768E-2</v>
      </c>
      <c r="W113" s="10"/>
      <c r="X113" s="129">
        <f t="shared" ref="X113:AG113" si="365">X29/X51</f>
        <v>8.553654743390357E-2</v>
      </c>
      <c r="Y113" s="129">
        <f t="shared" si="365"/>
        <v>8.553654743390357E-2</v>
      </c>
      <c r="Z113" s="129">
        <f t="shared" si="365"/>
        <v>8.5536547433903584E-2</v>
      </c>
      <c r="AA113" s="129">
        <f t="shared" si="365"/>
        <v>8.553654743390357E-2</v>
      </c>
      <c r="AB113" s="129">
        <f t="shared" si="365"/>
        <v>8.553654743390357E-2</v>
      </c>
      <c r="AC113" s="129">
        <f t="shared" si="365"/>
        <v>8.5536547433903584E-2</v>
      </c>
      <c r="AD113" s="129">
        <f t="shared" si="365"/>
        <v>8.553654743390357E-2</v>
      </c>
      <c r="AE113" s="129">
        <f t="shared" si="365"/>
        <v>8.553654743390357E-2</v>
      </c>
      <c r="AF113" s="129">
        <f t="shared" si="365"/>
        <v>8.553654743390357E-2</v>
      </c>
      <c r="AG113" s="129">
        <f t="shared" si="365"/>
        <v>8.553654743390357E-2</v>
      </c>
      <c r="AH113" s="116">
        <f t="shared" ref="AH113" si="366">((AG113/J113)^(1/($AG$3-$K$1) ))-1</f>
        <v>-6.3819002972074657E-2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8"/>
      <c r="G114" s="148">
        <f t="shared" ref="G114" si="367">G29/G55</f>
        <v>0.56338028169014087</v>
      </c>
      <c r="H114" s="148">
        <f t="shared" ref="H114:I114" si="368">H29/H55</f>
        <v>0.6875</v>
      </c>
      <c r="I114" s="148">
        <f t="shared" si="368"/>
        <v>0.96875</v>
      </c>
      <c r="J114" s="148">
        <f t="shared" ref="J114:S114" si="369">J29/J55</f>
        <v>0.93877551020408168</v>
      </c>
      <c r="K114" s="148">
        <f t="shared" si="369"/>
        <v>1.1818181818181819</v>
      </c>
      <c r="L114" s="148">
        <f t="shared" si="369"/>
        <v>1.4307692307692308</v>
      </c>
      <c r="M114" s="148">
        <f t="shared" si="369"/>
        <v>0.33600000000000002</v>
      </c>
      <c r="N114" s="148">
        <f t="shared" si="369"/>
        <v>0.4</v>
      </c>
      <c r="O114" s="148">
        <f t="shared" si="369"/>
        <v>0.95890410958904104</v>
      </c>
      <c r="P114" s="148">
        <f t="shared" si="369"/>
        <v>0.59230769230769231</v>
      </c>
      <c r="Q114" s="148">
        <f t="shared" si="369"/>
        <v>0.29803921568627451</v>
      </c>
      <c r="R114" s="148">
        <f t="shared" si="369"/>
        <v>0.25142981474574161</v>
      </c>
      <c r="S114" s="148">
        <f t="shared" si="369"/>
        <v>0.18818991097922849</v>
      </c>
      <c r="T114" s="148">
        <f t="shared" ref="T114:U114" si="370">T29/T55</f>
        <v>0.13784461152882205</v>
      </c>
      <c r="U114" s="148">
        <f t="shared" si="370"/>
        <v>0.13784461152882205</v>
      </c>
      <c r="V114" s="101">
        <f t="shared" si="166"/>
        <v>-9.5668361569945071E-2</v>
      </c>
      <c r="W114" s="10"/>
      <c r="X114" s="148">
        <f t="shared" ref="X114:AG114" si="371">X29/X55</f>
        <v>0.13784461152882205</v>
      </c>
      <c r="Y114" s="148">
        <f t="shared" si="371"/>
        <v>0.13784461152882205</v>
      </c>
      <c r="Z114" s="148">
        <f t="shared" si="371"/>
        <v>0.13784461152882205</v>
      </c>
      <c r="AA114" s="148">
        <f t="shared" si="371"/>
        <v>0.13784461152882205</v>
      </c>
      <c r="AB114" s="148">
        <f t="shared" si="371"/>
        <v>0.13784461152882205</v>
      </c>
      <c r="AC114" s="148">
        <f t="shared" si="371"/>
        <v>0.13784461152882205</v>
      </c>
      <c r="AD114" s="148">
        <f t="shared" si="371"/>
        <v>0.13784461152882202</v>
      </c>
      <c r="AE114" s="148">
        <f t="shared" si="371"/>
        <v>0.13784461152882202</v>
      </c>
      <c r="AF114" s="148">
        <f t="shared" si="371"/>
        <v>0.13784461152882202</v>
      </c>
      <c r="AG114" s="148">
        <f t="shared" si="371"/>
        <v>0.13784461152882202</v>
      </c>
      <c r="AH114" s="116">
        <f t="shared" ref="AH114" si="372">((AG114/J114)^(1/($AG$3-$K$1) ))-1</f>
        <v>-8.0026892584450282E-2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8"/>
      <c r="G115" s="148">
        <f t="shared" ref="G115" si="373">G29/G12</f>
        <v>0.4</v>
      </c>
      <c r="H115" s="148">
        <f t="shared" ref="H115:I115" si="374">H29/H12</f>
        <v>0.84615384615384615</v>
      </c>
      <c r="I115" s="148">
        <f t="shared" si="374"/>
        <v>0.46969696969696972</v>
      </c>
      <c r="J115" s="148">
        <f t="shared" ref="J115:S115" si="375">J29/J12</f>
        <v>1.2105263157894737</v>
      </c>
      <c r="K115" s="148">
        <f t="shared" si="375"/>
        <v>1.4130434782608696</v>
      </c>
      <c r="L115" s="148">
        <f t="shared" si="375"/>
        <v>2.8181818181818183</v>
      </c>
      <c r="M115" s="148">
        <f t="shared" si="375"/>
        <v>0.95454545454545459</v>
      </c>
      <c r="N115" s="148">
        <f t="shared" si="375"/>
        <v>9.0566037735849054</v>
      </c>
      <c r="O115" s="148">
        <f t="shared" si="375"/>
        <v>4.117647058823529</v>
      </c>
      <c r="P115" s="148">
        <f t="shared" si="375"/>
        <v>5.9230769230769234</v>
      </c>
      <c r="Q115" s="148">
        <f t="shared" si="375"/>
        <v>1.1515151515151516</v>
      </c>
      <c r="R115" s="148">
        <f t="shared" si="375"/>
        <v>3.3233360723089564</v>
      </c>
      <c r="S115" s="148">
        <f t="shared" si="375"/>
        <v>2.6055875102711585</v>
      </c>
      <c r="T115" s="148">
        <f t="shared" ref="T115:U115" si="376">T29/T12</f>
        <v>13.75</v>
      </c>
      <c r="U115" s="148">
        <f t="shared" si="376"/>
        <v>13.75</v>
      </c>
      <c r="V115" s="101">
        <f t="shared" si="166"/>
        <v>0.2874537065816023</v>
      </c>
      <c r="W115" s="10"/>
      <c r="X115" s="129">
        <f t="shared" ref="X115:AG115" si="377">X29/X12</f>
        <v>13.75</v>
      </c>
      <c r="Y115" s="129">
        <f t="shared" si="377"/>
        <v>13.749999999999998</v>
      </c>
      <c r="Z115" s="129">
        <f t="shared" si="377"/>
        <v>13.75</v>
      </c>
      <c r="AA115" s="129">
        <f t="shared" si="377"/>
        <v>13.75</v>
      </c>
      <c r="AB115" s="129">
        <f t="shared" si="377"/>
        <v>13.749999999999998</v>
      </c>
      <c r="AC115" s="129">
        <f t="shared" si="377"/>
        <v>13.749999999999998</v>
      </c>
      <c r="AD115" s="129">
        <f t="shared" si="377"/>
        <v>13.749999999999996</v>
      </c>
      <c r="AE115" s="129">
        <f t="shared" si="377"/>
        <v>13.749999999999996</v>
      </c>
      <c r="AF115" s="129">
        <f t="shared" si="377"/>
        <v>13.749999999999996</v>
      </c>
      <c r="AG115" s="129">
        <f t="shared" si="377"/>
        <v>13.749999999999995</v>
      </c>
      <c r="AH115" s="116">
        <f t="shared" si="327"/>
        <v>0.11143442998915143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8"/>
      <c r="G116" s="148">
        <f t="shared" ref="G116" si="378">G29/G23</f>
        <v>1.1428571428571428</v>
      </c>
      <c r="H116" s="148">
        <f t="shared" ref="H116:I116" si="379">H29/H23</f>
        <v>1.1000000000000001</v>
      </c>
      <c r="I116" s="148">
        <f t="shared" si="379"/>
        <v>6.2</v>
      </c>
      <c r="J116" s="148">
        <f>J29/J23</f>
        <v>1.2777777777777777</v>
      </c>
      <c r="K116" s="148">
        <f t="shared" ref="K116:S116" si="380">K29/K23</f>
        <v>2.2413793103448274</v>
      </c>
      <c r="L116" s="148">
        <f t="shared" si="380"/>
        <v>8.454545454545455</v>
      </c>
      <c r="M116" s="148">
        <f t="shared" si="380"/>
        <v>7</v>
      </c>
      <c r="N116" s="148">
        <f t="shared" si="380"/>
        <v>9.6</v>
      </c>
      <c r="O116" s="148">
        <f t="shared" si="380"/>
        <v>4.117647058823529</v>
      </c>
      <c r="P116" s="148">
        <f t="shared" si="380"/>
        <v>5.9230769230769234</v>
      </c>
      <c r="Q116" s="148">
        <f t="shared" si="380"/>
        <v>1.1875</v>
      </c>
      <c r="R116" s="148">
        <f t="shared" si="380"/>
        <v>-1.4191228070175439</v>
      </c>
      <c r="S116" s="148">
        <f t="shared" si="380"/>
        <v>5.7654545454545456</v>
      </c>
      <c r="T116" s="148">
        <f t="shared" ref="T116:U116" si="381">T29/T23</f>
        <v>-3.6666666666666665</v>
      </c>
      <c r="U116" s="148">
        <f t="shared" si="381"/>
        <v>-3.6666666666666665</v>
      </c>
      <c r="V116" s="101" t="e">
        <f t="shared" si="166"/>
        <v>#NUM!</v>
      </c>
      <c r="W116" s="10"/>
      <c r="X116" s="148">
        <f t="shared" ref="X116:AG116" si="382">X29/X23</f>
        <v>-3.6666666666666661</v>
      </c>
      <c r="Y116" s="148">
        <f t="shared" si="382"/>
        <v>-3.6666666666666661</v>
      </c>
      <c r="Z116" s="148">
        <f t="shared" si="382"/>
        <v>-3.6666666666666665</v>
      </c>
      <c r="AA116" s="148">
        <f t="shared" si="382"/>
        <v>-3.6666666666666661</v>
      </c>
      <c r="AB116" s="148">
        <f t="shared" si="382"/>
        <v>-3.6666666666666661</v>
      </c>
      <c r="AC116" s="148">
        <f t="shared" si="382"/>
        <v>-3.6666666666666656</v>
      </c>
      <c r="AD116" s="148">
        <f t="shared" si="382"/>
        <v>-3.6666666666666656</v>
      </c>
      <c r="AE116" s="148">
        <f t="shared" si="382"/>
        <v>-3.6666666666666656</v>
      </c>
      <c r="AF116" s="148">
        <f t="shared" si="382"/>
        <v>-3.6666666666666656</v>
      </c>
      <c r="AG116" s="148">
        <f t="shared" si="382"/>
        <v>-3.6666666666666656</v>
      </c>
      <c r="AH116" s="116">
        <f t="shared" ref="AH116" si="383">((AG116/J116)^(1/($AG$3-$K$1) ))-1</f>
        <v>-2.0468996335943643</v>
      </c>
      <c r="AI116" s="124"/>
      <c r="AJ116" s="124"/>
    </row>
    <row r="117" spans="1:36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>
        <f t="shared" ref="G118" si="384">1/G112</f>
        <v>60.374999999999993</v>
      </c>
      <c r="H118" s="109">
        <f t="shared" ref="H118:I118" si="385">1/H112</f>
        <v>51.63636363636364</v>
      </c>
      <c r="I118" s="109">
        <f t="shared" si="385"/>
        <v>24.129032258064516</v>
      </c>
      <c r="J118" s="109">
        <f>1/J112</f>
        <v>21.195652173913043</v>
      </c>
      <c r="K118" s="109">
        <f t="shared" ref="K118:S118" si="386">1/K112</f>
        <v>17.738461538461539</v>
      </c>
      <c r="L118" s="109">
        <f t="shared" si="386"/>
        <v>15.68817204301075</v>
      </c>
      <c r="M118" s="109">
        <f t="shared" si="386"/>
        <v>35.452380952380949</v>
      </c>
      <c r="N118" s="109">
        <f t="shared" si="386"/>
        <v>37.645833333333329</v>
      </c>
      <c r="O118" s="109">
        <f t="shared" si="386"/>
        <v>24.9</v>
      </c>
      <c r="P118" s="109">
        <f t="shared" si="386"/>
        <v>28.350649350649352</v>
      </c>
      <c r="Q118" s="109">
        <f t="shared" si="386"/>
        <v>37.631578947368418</v>
      </c>
      <c r="R118" s="109">
        <f t="shared" si="386"/>
        <v>40.820867845221905</v>
      </c>
      <c r="S118" s="109">
        <f t="shared" si="386"/>
        <v>54.052349416587823</v>
      </c>
      <c r="T118" s="109">
        <f t="shared" ref="T118:U118" si="387">1/T112</f>
        <v>62.145454545454541</v>
      </c>
      <c r="U118" s="109">
        <f t="shared" si="387"/>
        <v>62.145454545454541</v>
      </c>
      <c r="V118" s="101">
        <f t="shared" si="166"/>
        <v>2.0666015170196506E-3</v>
      </c>
      <c r="W118" s="10"/>
      <c r="X118" s="109">
        <f t="shared" ref="X118:AG118" si="388">1/X112</f>
        <v>62.145454545454555</v>
      </c>
      <c r="Y118" s="109">
        <f t="shared" si="388"/>
        <v>62.145454545454555</v>
      </c>
      <c r="Z118" s="109">
        <f t="shared" si="388"/>
        <v>62.145454545454541</v>
      </c>
      <c r="AA118" s="109">
        <f t="shared" si="388"/>
        <v>62.145454545454555</v>
      </c>
      <c r="AB118" s="109">
        <f t="shared" si="388"/>
        <v>62.145454545454555</v>
      </c>
      <c r="AC118" s="109">
        <f t="shared" si="388"/>
        <v>62.145454545454555</v>
      </c>
      <c r="AD118" s="109">
        <f t="shared" si="388"/>
        <v>62.145454545454555</v>
      </c>
      <c r="AE118" s="109">
        <f t="shared" si="388"/>
        <v>62.145454545454555</v>
      </c>
      <c r="AF118" s="109">
        <f t="shared" si="388"/>
        <v>62.145454545454555</v>
      </c>
      <c r="AG118" s="109">
        <f t="shared" si="388"/>
        <v>62.145454545454555</v>
      </c>
      <c r="AH118" s="116">
        <f t="shared" si="327"/>
        <v>4.7879675013119183E-2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>
        <f t="shared" ref="G119" si="389">1/G113</f>
        <v>3.375</v>
      </c>
      <c r="H119" s="109">
        <f t="shared" ref="H119:I119" si="390">1/H113</f>
        <v>3.4545454545454546</v>
      </c>
      <c r="I119" s="109">
        <f t="shared" si="390"/>
        <v>2.67741935483871</v>
      </c>
      <c r="J119" s="109">
        <f t="shared" ref="J119:S122" si="391">1/J113</f>
        <v>2.5652173913043477</v>
      </c>
      <c r="K119" s="109">
        <f t="shared" si="391"/>
        <v>2.3692307692307693</v>
      </c>
      <c r="L119" s="109">
        <f t="shared" si="391"/>
        <v>2.096774193548387</v>
      </c>
      <c r="M119" s="109">
        <f t="shared" si="391"/>
        <v>4.6904761904761907</v>
      </c>
      <c r="N119" s="109">
        <f t="shared" si="391"/>
        <v>4.708333333333333</v>
      </c>
      <c r="O119" s="109">
        <f t="shared" si="391"/>
        <v>3.2285714285714286</v>
      </c>
      <c r="P119" s="109">
        <f t="shared" si="391"/>
        <v>3.8051948051948048</v>
      </c>
      <c r="Q119" s="109">
        <f t="shared" si="391"/>
        <v>5.7894736842105265</v>
      </c>
      <c r="R119" s="109">
        <f t="shared" si="391"/>
        <v>6.0359747805662014</v>
      </c>
      <c r="S119" s="109">
        <f t="shared" si="391"/>
        <v>8.4042888678650272</v>
      </c>
      <c r="T119" s="109">
        <f t="shared" ref="T119:U119" si="392">1/T113</f>
        <v>11.690909090909091</v>
      </c>
      <c r="U119" s="109">
        <f t="shared" si="392"/>
        <v>11.690909090909091</v>
      </c>
      <c r="V119" s="101">
        <f t="shared" si="166"/>
        <v>9.2800880250693218E-2</v>
      </c>
      <c r="W119" s="10"/>
      <c r="X119" s="109">
        <f t="shared" ref="X119:AG119" si="393">1/X113</f>
        <v>11.690909090909091</v>
      </c>
      <c r="Y119" s="109">
        <f t="shared" si="393"/>
        <v>11.690909090909091</v>
      </c>
      <c r="Z119" s="109">
        <f t="shared" si="393"/>
        <v>11.69090909090909</v>
      </c>
      <c r="AA119" s="109">
        <f t="shared" si="393"/>
        <v>11.690909090909091</v>
      </c>
      <c r="AB119" s="109">
        <f t="shared" si="393"/>
        <v>11.690909090909091</v>
      </c>
      <c r="AC119" s="109">
        <f t="shared" si="393"/>
        <v>11.69090909090909</v>
      </c>
      <c r="AD119" s="109">
        <f t="shared" si="393"/>
        <v>11.690909090909091</v>
      </c>
      <c r="AE119" s="109">
        <f t="shared" si="393"/>
        <v>11.690909090909091</v>
      </c>
      <c r="AF119" s="109">
        <f t="shared" si="393"/>
        <v>11.690909090909091</v>
      </c>
      <c r="AG119" s="109">
        <f t="shared" si="393"/>
        <v>11.690909090909091</v>
      </c>
      <c r="AH119" s="116">
        <f t="shared" si="327"/>
        <v>6.8169513346969746E-2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>
        <f t="shared" ref="G120" si="394">1/G114</f>
        <v>1.7749999999999999</v>
      </c>
      <c r="H120" s="109">
        <f t="shared" ref="H120:I120" si="395">1/H114</f>
        <v>1.4545454545454546</v>
      </c>
      <c r="I120" s="109">
        <f t="shared" si="395"/>
        <v>1.032258064516129</v>
      </c>
      <c r="J120" s="109">
        <f t="shared" si="391"/>
        <v>1.0652173913043477</v>
      </c>
      <c r="K120" s="109">
        <f t="shared" si="391"/>
        <v>0.84615384615384615</v>
      </c>
      <c r="L120" s="109">
        <f t="shared" si="391"/>
        <v>0.69892473118279563</v>
      </c>
      <c r="M120" s="109">
        <f t="shared" si="391"/>
        <v>2.9761904761904758</v>
      </c>
      <c r="N120" s="109">
        <f t="shared" si="391"/>
        <v>2.5</v>
      </c>
      <c r="O120" s="109">
        <f t="shared" si="391"/>
        <v>1.0428571428571429</v>
      </c>
      <c r="P120" s="109">
        <f t="shared" si="391"/>
        <v>1.6883116883116882</v>
      </c>
      <c r="Q120" s="109">
        <f t="shared" si="391"/>
        <v>3.3552631578947367</v>
      </c>
      <c r="R120" s="109">
        <f t="shared" si="391"/>
        <v>3.9772530597107187</v>
      </c>
      <c r="S120" s="109">
        <f t="shared" si="391"/>
        <v>5.3137811415957108</v>
      </c>
      <c r="T120" s="109">
        <f t="shared" ref="T120:U120" si="396">1/T114</f>
        <v>7.2545454545454549</v>
      </c>
      <c r="U120" s="109">
        <f t="shared" si="396"/>
        <v>7.2545454545454549</v>
      </c>
      <c r="V120" s="101">
        <f t="shared" si="166"/>
        <v>0.10578902418589275</v>
      </c>
      <c r="W120" s="10"/>
      <c r="X120" s="109">
        <f t="shared" ref="X120:AG120" si="397">1/X114</f>
        <v>7.2545454545454549</v>
      </c>
      <c r="Y120" s="109">
        <f t="shared" si="397"/>
        <v>7.2545454545454549</v>
      </c>
      <c r="Z120" s="109">
        <f t="shared" si="397"/>
        <v>7.2545454545454549</v>
      </c>
      <c r="AA120" s="109">
        <f t="shared" si="397"/>
        <v>7.2545454545454549</v>
      </c>
      <c r="AB120" s="109">
        <f t="shared" si="397"/>
        <v>7.2545454545454549</v>
      </c>
      <c r="AC120" s="109">
        <f t="shared" si="397"/>
        <v>7.2545454545454549</v>
      </c>
      <c r="AD120" s="109">
        <f t="shared" si="397"/>
        <v>7.2545454545454566</v>
      </c>
      <c r="AE120" s="109">
        <f t="shared" si="397"/>
        <v>7.2545454545454566</v>
      </c>
      <c r="AF120" s="109">
        <f t="shared" si="397"/>
        <v>7.2545454545454566</v>
      </c>
      <c r="AG120" s="109">
        <f t="shared" si="397"/>
        <v>7.2545454545454566</v>
      </c>
      <c r="AH120" s="116">
        <f t="shared" si="327"/>
        <v>8.6988295570146867E-2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>
        <f t="shared" ref="G121" si="398">1/G115</f>
        <v>2.5</v>
      </c>
      <c r="H121" s="109">
        <f t="shared" ref="H121:I121" si="399">1/H115</f>
        <v>1.1818181818181819</v>
      </c>
      <c r="I121" s="109">
        <f t="shared" si="399"/>
        <v>2.129032258064516</v>
      </c>
      <c r="J121" s="109">
        <f t="shared" si="391"/>
        <v>0.82608695652173914</v>
      </c>
      <c r="K121" s="109">
        <f t="shared" si="391"/>
        <v>0.70769230769230762</v>
      </c>
      <c r="L121" s="109">
        <f t="shared" si="391"/>
        <v>0.35483870967741932</v>
      </c>
      <c r="M121" s="109">
        <f t="shared" si="391"/>
        <v>1.0476190476190477</v>
      </c>
      <c r="N121" s="109">
        <f t="shared" si="391"/>
        <v>0.11041666666666666</v>
      </c>
      <c r="O121" s="109">
        <f t="shared" si="391"/>
        <v>0.24285714285714288</v>
      </c>
      <c r="P121" s="109">
        <f t="shared" si="391"/>
        <v>0.16883116883116883</v>
      </c>
      <c r="Q121" s="109">
        <f t="shared" si="391"/>
        <v>0.86842105263157887</v>
      </c>
      <c r="R121" s="109">
        <f t="shared" si="391"/>
        <v>0.30090246013104216</v>
      </c>
      <c r="S121" s="109">
        <f t="shared" si="391"/>
        <v>0.3837906023336487</v>
      </c>
      <c r="T121" s="109">
        <f t="shared" ref="T121:U121" si="400">1/T115</f>
        <v>7.2727272727272724E-2</v>
      </c>
      <c r="U121" s="109">
        <f t="shared" si="400"/>
        <v>7.2727272727272724E-2</v>
      </c>
      <c r="V121" s="101">
        <f t="shared" si="166"/>
        <v>-0.22327304283805149</v>
      </c>
      <c r="W121" s="10"/>
      <c r="X121" s="109">
        <f t="shared" ref="X121:AG121" si="401">1/X115</f>
        <v>7.2727272727272724E-2</v>
      </c>
      <c r="Y121" s="109">
        <f t="shared" si="401"/>
        <v>7.2727272727272738E-2</v>
      </c>
      <c r="Z121" s="109">
        <f t="shared" si="401"/>
        <v>7.2727272727272724E-2</v>
      </c>
      <c r="AA121" s="109">
        <f t="shared" si="401"/>
        <v>7.2727272727272724E-2</v>
      </c>
      <c r="AB121" s="109">
        <f t="shared" si="401"/>
        <v>7.2727272727272738E-2</v>
      </c>
      <c r="AC121" s="109">
        <f t="shared" si="401"/>
        <v>7.2727272727272738E-2</v>
      </c>
      <c r="AD121" s="109">
        <f t="shared" si="401"/>
        <v>7.2727272727272751E-2</v>
      </c>
      <c r="AE121" s="109">
        <f t="shared" si="401"/>
        <v>7.2727272727272751E-2</v>
      </c>
      <c r="AF121" s="109">
        <f t="shared" si="401"/>
        <v>7.2727272727272751E-2</v>
      </c>
      <c r="AG121" s="109">
        <f t="shared" si="401"/>
        <v>7.2727272727272751E-2</v>
      </c>
      <c r="AH121" s="116">
        <f t="shared" si="327"/>
        <v>-0.10026181210729568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>
        <f t="shared" ref="G122" si="402">1/G116</f>
        <v>0.875</v>
      </c>
      <c r="H122" s="109">
        <f t="shared" ref="H122:I122" si="403">1/H116</f>
        <v>0.90909090909090906</v>
      </c>
      <c r="I122" s="109">
        <f t="shared" si="403"/>
        <v>0.16129032258064516</v>
      </c>
      <c r="J122" s="109">
        <f t="shared" si="391"/>
        <v>0.78260869565217395</v>
      </c>
      <c r="K122" s="109">
        <f t="shared" si="391"/>
        <v>0.44615384615384618</v>
      </c>
      <c r="L122" s="109">
        <f t="shared" si="391"/>
        <v>0.11827956989247311</v>
      </c>
      <c r="M122" s="109">
        <f t="shared" si="391"/>
        <v>0.14285714285714285</v>
      </c>
      <c r="N122" s="109">
        <f t="shared" si="391"/>
        <v>0.10416666666666667</v>
      </c>
      <c r="O122" s="109">
        <f t="shared" si="391"/>
        <v>0.24285714285714288</v>
      </c>
      <c r="P122" s="109">
        <f t="shared" si="391"/>
        <v>0.16883116883116883</v>
      </c>
      <c r="Q122" s="109">
        <f t="shared" si="391"/>
        <v>0.84210526315789469</v>
      </c>
      <c r="R122" s="109">
        <f t="shared" si="391"/>
        <v>-0.70466065026579305</v>
      </c>
      <c r="S122" s="109">
        <f t="shared" si="391"/>
        <v>0.17344686218858404</v>
      </c>
      <c r="T122" s="109">
        <f t="shared" ref="T122:U122" si="404">1/T116</f>
        <v>-0.27272727272727276</v>
      </c>
      <c r="U122" s="109">
        <f t="shared" si="404"/>
        <v>-0.27272727272727276</v>
      </c>
      <c r="V122" s="101" t="e">
        <f t="shared" si="166"/>
        <v>#NUM!</v>
      </c>
      <c r="W122" s="10"/>
      <c r="X122" s="109">
        <f t="shared" ref="X122:AG122" si="405">1/X116</f>
        <v>-0.27272727272727276</v>
      </c>
      <c r="Y122" s="109">
        <f t="shared" si="405"/>
        <v>-0.27272727272727276</v>
      </c>
      <c r="Z122" s="109">
        <f t="shared" si="405"/>
        <v>-0.27272727272727276</v>
      </c>
      <c r="AA122" s="109">
        <f t="shared" si="405"/>
        <v>-0.27272727272727276</v>
      </c>
      <c r="AB122" s="109">
        <f t="shared" si="405"/>
        <v>-0.27272727272727276</v>
      </c>
      <c r="AC122" s="109">
        <f t="shared" si="405"/>
        <v>-0.27272727272727282</v>
      </c>
      <c r="AD122" s="109">
        <f t="shared" si="405"/>
        <v>-0.27272727272727282</v>
      </c>
      <c r="AE122" s="109">
        <f t="shared" si="405"/>
        <v>-0.27272727272727282</v>
      </c>
      <c r="AF122" s="109">
        <f t="shared" si="405"/>
        <v>-0.27272727272727282</v>
      </c>
      <c r="AG122" s="109">
        <f t="shared" si="405"/>
        <v>-0.27272727272727282</v>
      </c>
      <c r="AH122" s="116">
        <f t="shared" si="327"/>
        <v>-1.9552014041371457</v>
      </c>
      <c r="AI122" s="124"/>
      <c r="AJ122" s="124"/>
    </row>
    <row r="123" spans="1:36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304" t="s">
        <v>423</v>
      </c>
      <c r="B124" s="179" t="s">
        <v>430</v>
      </c>
      <c r="C124" s="129"/>
      <c r="D124" s="129"/>
      <c r="E124" s="129"/>
      <c r="F124" s="148"/>
      <c r="G124" s="148" t="e">
        <f t="shared" ref="G124" si="406">G25/(G36+G38)</f>
        <v>#DIV/0!</v>
      </c>
      <c r="H124" s="148" t="e">
        <f t="shared" ref="H124:I124" si="407">H25/(H36+H38)</f>
        <v>#DIV/0!</v>
      </c>
      <c r="I124" s="148" t="e">
        <f t="shared" si="407"/>
        <v>#DIV/0!</v>
      </c>
      <c r="J124" s="148" t="e">
        <f t="shared" ref="J124:T124" si="408">J25/(J36+J38)</f>
        <v>#DIV/0!</v>
      </c>
      <c r="K124" s="148" t="e">
        <f t="shared" si="408"/>
        <v>#DIV/0!</v>
      </c>
      <c r="L124" s="148" t="e">
        <f t="shared" si="408"/>
        <v>#DIV/0!</v>
      </c>
      <c r="M124" s="148" t="e">
        <f t="shared" si="408"/>
        <v>#DIV/0!</v>
      </c>
      <c r="N124" s="148" t="e">
        <f t="shared" si="408"/>
        <v>#DIV/0!</v>
      </c>
      <c r="O124" s="148" t="e">
        <f t="shared" si="408"/>
        <v>#DIV/0!</v>
      </c>
      <c r="P124" s="148" t="e">
        <f t="shared" si="408"/>
        <v>#DIV/0!</v>
      </c>
      <c r="Q124" s="148" t="e">
        <f t="shared" si="408"/>
        <v>#DIV/0!</v>
      </c>
      <c r="R124" s="148" t="e">
        <f t="shared" si="408"/>
        <v>#DIV/0!</v>
      </c>
      <c r="S124" s="148" t="e">
        <f t="shared" si="408"/>
        <v>#DIV/0!</v>
      </c>
      <c r="T124" s="148" t="e">
        <f t="shared" si="408"/>
        <v>#DIV/0!</v>
      </c>
      <c r="U124" s="148" t="e">
        <f t="shared" ref="U124" si="409">U25/(U36+U38)</f>
        <v>#DIV/0!</v>
      </c>
      <c r="V124" s="101" t="e">
        <f t="shared" si="166"/>
        <v>#DIV/0!</v>
      </c>
      <c r="W124" s="10"/>
      <c r="X124" s="148" t="e">
        <f t="shared" ref="X124:AG124" si="410">X25/(X36+X38)</f>
        <v>#DIV/0!</v>
      </c>
      <c r="Y124" s="148" t="e">
        <f t="shared" si="410"/>
        <v>#DIV/0!</v>
      </c>
      <c r="Z124" s="148" t="e">
        <f t="shared" si="410"/>
        <v>#DIV/0!</v>
      </c>
      <c r="AA124" s="148" t="e">
        <f t="shared" si="410"/>
        <v>#DIV/0!</v>
      </c>
      <c r="AB124" s="148" t="e">
        <f t="shared" si="410"/>
        <v>#DIV/0!</v>
      </c>
      <c r="AC124" s="148" t="e">
        <f t="shared" si="410"/>
        <v>#DIV/0!</v>
      </c>
      <c r="AD124" s="148" t="e">
        <f t="shared" si="410"/>
        <v>#DIV/0!</v>
      </c>
      <c r="AE124" s="148" t="e">
        <f t="shared" si="410"/>
        <v>#DIV/0!</v>
      </c>
      <c r="AF124" s="148" t="e">
        <f t="shared" si="410"/>
        <v>#DIV/0!</v>
      </c>
      <c r="AG124" s="148" t="e">
        <f t="shared" si="410"/>
        <v>#DIV/0!</v>
      </c>
      <c r="AH124" s="116" t="e">
        <f t="shared" ref="AH124:AH132" si="411">((AG124/J124)^(1/($AG$3-$K$1) ))-1</f>
        <v>#DIV/0!</v>
      </c>
      <c r="AI124" s="124"/>
      <c r="AJ124" s="124"/>
    </row>
    <row r="125" spans="1:36" ht="12" customHeight="1">
      <c r="A125" s="304"/>
      <c r="B125" s="179" t="s">
        <v>425</v>
      </c>
      <c r="C125" s="129"/>
      <c r="D125" s="129"/>
      <c r="E125" s="129"/>
      <c r="F125" s="148"/>
      <c r="G125" s="148" t="e">
        <f t="shared" ref="G125" si="412">G25/G43</f>
        <v>#DIV/0!</v>
      </c>
      <c r="H125" s="148" t="e">
        <f t="shared" ref="H125:I125" si="413">H25/H43</f>
        <v>#DIV/0!</v>
      </c>
      <c r="I125" s="148" t="e">
        <f t="shared" si="413"/>
        <v>#DIV/0!</v>
      </c>
      <c r="J125" s="148" t="e">
        <f t="shared" ref="J125:T125" si="414">J25/J43</f>
        <v>#DIV/0!</v>
      </c>
      <c r="K125" s="148" t="e">
        <f t="shared" si="414"/>
        <v>#DIV/0!</v>
      </c>
      <c r="L125" s="148" t="e">
        <f t="shared" si="414"/>
        <v>#DIV/0!</v>
      </c>
      <c r="M125" s="148" t="e">
        <f t="shared" si="414"/>
        <v>#DIV/0!</v>
      </c>
      <c r="N125" s="148" t="e">
        <f t="shared" si="414"/>
        <v>#DIV/0!</v>
      </c>
      <c r="O125" s="148" t="e">
        <f t="shared" si="414"/>
        <v>#DIV/0!</v>
      </c>
      <c r="P125" s="148" t="e">
        <f t="shared" si="414"/>
        <v>#DIV/0!</v>
      </c>
      <c r="Q125" s="148" t="e">
        <f t="shared" si="414"/>
        <v>#DIV/0!</v>
      </c>
      <c r="R125" s="148" t="e">
        <f t="shared" si="414"/>
        <v>#DIV/0!</v>
      </c>
      <c r="S125" s="148" t="e">
        <f t="shared" si="414"/>
        <v>#DIV/0!</v>
      </c>
      <c r="T125" s="148" t="e">
        <f t="shared" si="414"/>
        <v>#DIV/0!</v>
      </c>
      <c r="U125" s="148" t="e">
        <f t="shared" ref="U125" si="415">U25/U43</f>
        <v>#DIV/0!</v>
      </c>
      <c r="V125" s="101" t="e">
        <f t="shared" si="166"/>
        <v>#DIV/0!</v>
      </c>
      <c r="W125" s="10"/>
      <c r="X125" s="148" t="e">
        <f t="shared" ref="X125:AG125" si="416">X25/X43</f>
        <v>#DIV/0!</v>
      </c>
      <c r="Y125" s="148" t="e">
        <f t="shared" si="416"/>
        <v>#DIV/0!</v>
      </c>
      <c r="Z125" s="148" t="e">
        <f t="shared" si="416"/>
        <v>#DIV/0!</v>
      </c>
      <c r="AA125" s="148" t="e">
        <f t="shared" si="416"/>
        <v>#DIV/0!</v>
      </c>
      <c r="AB125" s="148" t="e">
        <f t="shared" si="416"/>
        <v>#DIV/0!</v>
      </c>
      <c r="AC125" s="148" t="e">
        <f t="shared" si="416"/>
        <v>#DIV/0!</v>
      </c>
      <c r="AD125" s="148" t="e">
        <f t="shared" si="416"/>
        <v>#DIV/0!</v>
      </c>
      <c r="AE125" s="148" t="e">
        <f t="shared" si="416"/>
        <v>#DIV/0!</v>
      </c>
      <c r="AF125" s="148" t="e">
        <f t="shared" si="416"/>
        <v>#DIV/0!</v>
      </c>
      <c r="AG125" s="148" t="e">
        <f t="shared" si="416"/>
        <v>#DIV/0!</v>
      </c>
      <c r="AH125" s="116" t="e">
        <f t="shared" si="411"/>
        <v>#DIV/0!</v>
      </c>
      <c r="AI125" s="124"/>
      <c r="AJ125" s="124"/>
    </row>
    <row r="126" spans="1:36" ht="12" customHeight="1">
      <c r="A126" s="304"/>
      <c r="B126" s="179" t="s">
        <v>431</v>
      </c>
      <c r="C126" s="129"/>
      <c r="D126" s="129"/>
      <c r="E126" s="129"/>
      <c r="F126" s="148"/>
      <c r="G126" s="148" t="e">
        <f t="shared" ref="G126" si="417">G43/(G36)</f>
        <v>#DIV/0!</v>
      </c>
      <c r="H126" s="148" t="e">
        <f t="shared" ref="H126:I126" si="418">H43/(H36)</f>
        <v>#DIV/0!</v>
      </c>
      <c r="I126" s="148" t="e">
        <f t="shared" si="418"/>
        <v>#DIV/0!</v>
      </c>
      <c r="J126" s="148" t="e">
        <f t="shared" ref="J126:T126" si="419">J43/(J36)</f>
        <v>#DIV/0!</v>
      </c>
      <c r="K126" s="148" t="e">
        <f t="shared" si="419"/>
        <v>#DIV/0!</v>
      </c>
      <c r="L126" s="148" t="e">
        <f t="shared" si="419"/>
        <v>#DIV/0!</v>
      </c>
      <c r="M126" s="148" t="e">
        <f t="shared" si="419"/>
        <v>#DIV/0!</v>
      </c>
      <c r="N126" s="148" t="e">
        <f t="shared" si="419"/>
        <v>#DIV/0!</v>
      </c>
      <c r="O126" s="148" t="e">
        <f t="shared" si="419"/>
        <v>#DIV/0!</v>
      </c>
      <c r="P126" s="148" t="e">
        <f t="shared" si="419"/>
        <v>#DIV/0!</v>
      </c>
      <c r="Q126" s="148" t="e">
        <f t="shared" si="419"/>
        <v>#DIV/0!</v>
      </c>
      <c r="R126" s="148" t="e">
        <f t="shared" si="419"/>
        <v>#DIV/0!</v>
      </c>
      <c r="S126" s="148" t="e">
        <f t="shared" si="419"/>
        <v>#DIV/0!</v>
      </c>
      <c r="T126" s="148" t="e">
        <f t="shared" si="419"/>
        <v>#DIV/0!</v>
      </c>
      <c r="U126" s="148" t="e">
        <f t="shared" ref="U126" si="420">U43/(U36)</f>
        <v>#DIV/0!</v>
      </c>
      <c r="V126" s="101" t="e">
        <f t="shared" si="166"/>
        <v>#DIV/0!</v>
      </c>
      <c r="W126" s="10"/>
      <c r="X126" s="148" t="e">
        <f t="shared" ref="X126:AG126" si="421">X43/(X36+X38)</f>
        <v>#DIV/0!</v>
      </c>
      <c r="Y126" s="148" t="e">
        <f t="shared" si="421"/>
        <v>#DIV/0!</v>
      </c>
      <c r="Z126" s="148" t="e">
        <f t="shared" si="421"/>
        <v>#DIV/0!</v>
      </c>
      <c r="AA126" s="148" t="e">
        <f t="shared" si="421"/>
        <v>#DIV/0!</v>
      </c>
      <c r="AB126" s="148" t="e">
        <f t="shared" si="421"/>
        <v>#DIV/0!</v>
      </c>
      <c r="AC126" s="148" t="e">
        <f t="shared" si="421"/>
        <v>#DIV/0!</v>
      </c>
      <c r="AD126" s="148" t="e">
        <f t="shared" si="421"/>
        <v>#DIV/0!</v>
      </c>
      <c r="AE126" s="148" t="e">
        <f t="shared" si="421"/>
        <v>#DIV/0!</v>
      </c>
      <c r="AF126" s="148" t="e">
        <f t="shared" si="421"/>
        <v>#DIV/0!</v>
      </c>
      <c r="AG126" s="148" t="e">
        <f t="shared" si="421"/>
        <v>#DIV/0!</v>
      </c>
      <c r="AH126" s="116" t="e">
        <f t="shared" si="411"/>
        <v>#DIV/0!</v>
      </c>
      <c r="AI126" s="124"/>
      <c r="AJ126" s="124"/>
    </row>
    <row r="127" spans="1:36" ht="12" customHeight="1">
      <c r="A127" s="304"/>
      <c r="B127" s="179" t="s">
        <v>429</v>
      </c>
      <c r="C127" s="129"/>
      <c r="D127" s="129"/>
      <c r="E127" s="129"/>
      <c r="F127" s="148"/>
      <c r="G127" s="148" t="e">
        <f t="shared" ref="G127" si="422">G43/G38</f>
        <v>#DIV/0!</v>
      </c>
      <c r="H127" s="148" t="e">
        <f t="shared" ref="H127:I127" si="423">H43/H38</f>
        <v>#DIV/0!</v>
      </c>
      <c r="I127" s="148" t="e">
        <f t="shared" si="423"/>
        <v>#DIV/0!</v>
      </c>
      <c r="J127" s="148" t="e">
        <f t="shared" ref="J127:T127" si="424">J43/J38</f>
        <v>#DIV/0!</v>
      </c>
      <c r="K127" s="148" t="e">
        <f t="shared" si="424"/>
        <v>#DIV/0!</v>
      </c>
      <c r="L127" s="148" t="e">
        <f t="shared" si="424"/>
        <v>#DIV/0!</v>
      </c>
      <c r="M127" s="148" t="e">
        <f t="shared" si="424"/>
        <v>#DIV/0!</v>
      </c>
      <c r="N127" s="148" t="e">
        <f t="shared" si="424"/>
        <v>#DIV/0!</v>
      </c>
      <c r="O127" s="148" t="e">
        <f t="shared" si="424"/>
        <v>#DIV/0!</v>
      </c>
      <c r="P127" s="148" t="e">
        <f t="shared" si="424"/>
        <v>#DIV/0!</v>
      </c>
      <c r="Q127" s="148" t="e">
        <f t="shared" si="424"/>
        <v>#DIV/0!</v>
      </c>
      <c r="R127" s="148" t="e">
        <f t="shared" si="424"/>
        <v>#DIV/0!</v>
      </c>
      <c r="S127" s="148" t="e">
        <f t="shared" si="424"/>
        <v>#DIV/0!</v>
      </c>
      <c r="T127" s="148" t="e">
        <f t="shared" si="424"/>
        <v>#DIV/0!</v>
      </c>
      <c r="U127" s="148" t="e">
        <f t="shared" ref="U127" si="425">U43/U38</f>
        <v>#DIV/0!</v>
      </c>
      <c r="V127" s="101" t="e">
        <f t="shared" si="166"/>
        <v>#DIV/0!</v>
      </c>
      <c r="W127" s="10"/>
      <c r="X127" s="148" t="e">
        <f t="shared" ref="X127:AG127" si="426">X43/X38</f>
        <v>#DIV/0!</v>
      </c>
      <c r="Y127" s="148" t="e">
        <f t="shared" si="426"/>
        <v>#DIV/0!</v>
      </c>
      <c r="Z127" s="148" t="e">
        <f t="shared" si="426"/>
        <v>#DIV/0!</v>
      </c>
      <c r="AA127" s="148" t="e">
        <f t="shared" si="426"/>
        <v>#DIV/0!</v>
      </c>
      <c r="AB127" s="148" t="e">
        <f t="shared" si="426"/>
        <v>#DIV/0!</v>
      </c>
      <c r="AC127" s="148" t="e">
        <f t="shared" si="426"/>
        <v>#DIV/0!</v>
      </c>
      <c r="AD127" s="148" t="e">
        <f t="shared" si="426"/>
        <v>#DIV/0!</v>
      </c>
      <c r="AE127" s="148" t="e">
        <f t="shared" si="426"/>
        <v>#DIV/0!</v>
      </c>
      <c r="AF127" s="148" t="e">
        <f t="shared" si="426"/>
        <v>#DIV/0!</v>
      </c>
      <c r="AG127" s="148" t="e">
        <f t="shared" si="426"/>
        <v>#DIV/0!</v>
      </c>
      <c r="AH127" s="116" t="e">
        <f t="shared" si="411"/>
        <v>#DIV/0!</v>
      </c>
      <c r="AI127" s="124"/>
      <c r="AJ127" s="124"/>
    </row>
    <row r="128" spans="1:36" ht="12" customHeight="1">
      <c r="A128" s="304"/>
      <c r="B128" s="179" t="s">
        <v>428</v>
      </c>
      <c r="C128" s="129"/>
      <c r="D128" s="129"/>
      <c r="E128" s="129"/>
      <c r="F128" s="148"/>
      <c r="G128" s="148" t="e">
        <f t="shared" ref="G128" si="427">G43/(G36+G38)</f>
        <v>#DIV/0!</v>
      </c>
      <c r="H128" s="148" t="e">
        <f t="shared" ref="H128:I128" si="428">H43/(H36+H38)</f>
        <v>#DIV/0!</v>
      </c>
      <c r="I128" s="148" t="e">
        <f t="shared" si="428"/>
        <v>#DIV/0!</v>
      </c>
      <c r="J128" s="148" t="e">
        <f t="shared" ref="J128:T128" si="429">J43/(J36+J38)</f>
        <v>#DIV/0!</v>
      </c>
      <c r="K128" s="148" t="e">
        <f t="shared" si="429"/>
        <v>#DIV/0!</v>
      </c>
      <c r="L128" s="148" t="e">
        <f t="shared" si="429"/>
        <v>#DIV/0!</v>
      </c>
      <c r="M128" s="148" t="e">
        <f t="shared" si="429"/>
        <v>#DIV/0!</v>
      </c>
      <c r="N128" s="148" t="e">
        <f t="shared" si="429"/>
        <v>#DIV/0!</v>
      </c>
      <c r="O128" s="148" t="e">
        <f t="shared" si="429"/>
        <v>#DIV/0!</v>
      </c>
      <c r="P128" s="148" t="e">
        <f t="shared" si="429"/>
        <v>#DIV/0!</v>
      </c>
      <c r="Q128" s="148" t="e">
        <f t="shared" si="429"/>
        <v>#DIV/0!</v>
      </c>
      <c r="R128" s="148" t="e">
        <f t="shared" si="429"/>
        <v>#DIV/0!</v>
      </c>
      <c r="S128" s="148" t="e">
        <f t="shared" si="429"/>
        <v>#DIV/0!</v>
      </c>
      <c r="T128" s="148" t="e">
        <f t="shared" si="429"/>
        <v>#DIV/0!</v>
      </c>
      <c r="U128" s="148" t="e">
        <f t="shared" ref="U128" si="430">U43/(U36+U38)</f>
        <v>#DIV/0!</v>
      </c>
      <c r="V128" s="101" t="e">
        <f t="shared" si="166"/>
        <v>#DIV/0!</v>
      </c>
      <c r="W128" s="10"/>
      <c r="X128" s="148" t="e">
        <f t="shared" ref="X128:AG128" si="431">X43/(X36+X38)</f>
        <v>#DIV/0!</v>
      </c>
      <c r="Y128" s="148" t="e">
        <f t="shared" si="431"/>
        <v>#DIV/0!</v>
      </c>
      <c r="Z128" s="148" t="e">
        <f t="shared" si="431"/>
        <v>#DIV/0!</v>
      </c>
      <c r="AA128" s="148" t="e">
        <f t="shared" si="431"/>
        <v>#DIV/0!</v>
      </c>
      <c r="AB128" s="148" t="e">
        <f t="shared" si="431"/>
        <v>#DIV/0!</v>
      </c>
      <c r="AC128" s="148" t="e">
        <f t="shared" si="431"/>
        <v>#DIV/0!</v>
      </c>
      <c r="AD128" s="148" t="e">
        <f t="shared" si="431"/>
        <v>#DIV/0!</v>
      </c>
      <c r="AE128" s="148" t="e">
        <f t="shared" si="431"/>
        <v>#DIV/0!</v>
      </c>
      <c r="AF128" s="148" t="e">
        <f t="shared" si="431"/>
        <v>#DIV/0!</v>
      </c>
      <c r="AG128" s="148" t="e">
        <f t="shared" si="431"/>
        <v>#DIV/0!</v>
      </c>
      <c r="AH128" s="116" t="e">
        <f>((AG128/J128)^(1/($AG$3-$K$1) ))-1</f>
        <v>#DIV/0!</v>
      </c>
      <c r="AI128" s="124"/>
      <c r="AJ128" s="124"/>
    </row>
    <row r="129" spans="1:36" ht="12" customHeight="1">
      <c r="A129" s="304"/>
      <c r="B129" s="179" t="s">
        <v>434</v>
      </c>
      <c r="C129" s="129"/>
      <c r="D129" s="129"/>
      <c r="E129" s="129"/>
      <c r="F129" s="148"/>
      <c r="G129" s="148">
        <f t="shared" ref="G129" si="432">G47/G25</f>
        <v>0</v>
      </c>
      <c r="H129" s="148">
        <f t="shared" ref="H129:I129" si="433">H47/H25</f>
        <v>0</v>
      </c>
      <c r="I129" s="148">
        <f t="shared" si="433"/>
        <v>0</v>
      </c>
      <c r="J129" s="148">
        <f t="shared" ref="J129:T129" si="434">J47/J25</f>
        <v>0</v>
      </c>
      <c r="K129" s="148">
        <f t="shared" si="434"/>
        <v>0</v>
      </c>
      <c r="L129" s="148">
        <f t="shared" si="434"/>
        <v>0</v>
      </c>
      <c r="M129" s="148">
        <f t="shared" si="434"/>
        <v>0</v>
      </c>
      <c r="N129" s="148">
        <f t="shared" si="434"/>
        <v>0</v>
      </c>
      <c r="O129" s="148">
        <f t="shared" si="434"/>
        <v>0</v>
      </c>
      <c r="P129" s="148">
        <f t="shared" si="434"/>
        <v>0</v>
      </c>
      <c r="Q129" s="148">
        <f t="shared" si="434"/>
        <v>0</v>
      </c>
      <c r="R129" s="148">
        <f t="shared" si="434"/>
        <v>0</v>
      </c>
      <c r="S129" s="148">
        <f t="shared" si="434"/>
        <v>0</v>
      </c>
      <c r="T129" s="148">
        <f t="shared" si="434"/>
        <v>0</v>
      </c>
      <c r="U129" s="148">
        <f t="shared" ref="U129" si="435">U47/U25</f>
        <v>0</v>
      </c>
      <c r="V129" s="101" t="e">
        <f t="shared" si="166"/>
        <v>#DIV/0!</v>
      </c>
      <c r="W129" s="10"/>
      <c r="X129" s="148">
        <f t="shared" ref="X129:AG129" si="436">X47/X25</f>
        <v>0</v>
      </c>
      <c r="Y129" s="148">
        <f t="shared" si="436"/>
        <v>0</v>
      </c>
      <c r="Z129" s="148">
        <f t="shared" si="436"/>
        <v>0</v>
      </c>
      <c r="AA129" s="148">
        <f t="shared" si="436"/>
        <v>0</v>
      </c>
      <c r="AB129" s="148">
        <f t="shared" si="436"/>
        <v>0</v>
      </c>
      <c r="AC129" s="148">
        <f t="shared" si="436"/>
        <v>0</v>
      </c>
      <c r="AD129" s="148">
        <f t="shared" si="436"/>
        <v>0</v>
      </c>
      <c r="AE129" s="148">
        <f t="shared" si="436"/>
        <v>0</v>
      </c>
      <c r="AF129" s="148">
        <f t="shared" si="436"/>
        <v>0</v>
      </c>
      <c r="AG129" s="148">
        <f t="shared" si="436"/>
        <v>0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304"/>
      <c r="B130" s="179" t="s">
        <v>432</v>
      </c>
      <c r="C130" s="129"/>
      <c r="D130" s="129"/>
      <c r="E130" s="129"/>
      <c r="F130" s="183"/>
      <c r="G130" s="183" t="e">
        <f t="shared" ref="G130" si="437">G55/G49</f>
        <v>#DIV/0!</v>
      </c>
      <c r="H130" s="183" t="e">
        <f t="shared" ref="H130:I130" si="438">H55/H49</f>
        <v>#DIV/0!</v>
      </c>
      <c r="I130" s="183" t="e">
        <f t="shared" si="438"/>
        <v>#DIV/0!</v>
      </c>
      <c r="J130" s="183" t="e">
        <f t="shared" ref="J130:T130" si="439">J55/J49</f>
        <v>#DIV/0!</v>
      </c>
      <c r="K130" s="183" t="e">
        <f t="shared" si="439"/>
        <v>#DIV/0!</v>
      </c>
      <c r="L130" s="183" t="e">
        <f t="shared" si="439"/>
        <v>#DIV/0!</v>
      </c>
      <c r="M130" s="183" t="e">
        <f t="shared" si="439"/>
        <v>#DIV/0!</v>
      </c>
      <c r="N130" s="183" t="e">
        <f t="shared" si="439"/>
        <v>#DIV/0!</v>
      </c>
      <c r="O130" s="183" t="e">
        <f t="shared" si="439"/>
        <v>#DIV/0!</v>
      </c>
      <c r="P130" s="183" t="e">
        <f t="shared" si="439"/>
        <v>#DIV/0!</v>
      </c>
      <c r="Q130" s="183" t="e">
        <f t="shared" si="439"/>
        <v>#DIV/0!</v>
      </c>
      <c r="R130" s="183" t="e">
        <f t="shared" si="439"/>
        <v>#DIV/0!</v>
      </c>
      <c r="S130" s="183" t="e">
        <f t="shared" si="439"/>
        <v>#DIV/0!</v>
      </c>
      <c r="T130" s="183" t="e">
        <f t="shared" si="439"/>
        <v>#DIV/0!</v>
      </c>
      <c r="U130" s="183" t="e">
        <f t="shared" ref="U130" si="440">U55/U49</f>
        <v>#DIV/0!</v>
      </c>
      <c r="V130" s="101" t="e">
        <f t="shared" ref="V130:V167" si="441">((T130/G130)^(1/($K$2-$K$1) ))-1</f>
        <v>#DIV/0!</v>
      </c>
      <c r="W130" s="10"/>
      <c r="X130" s="183" t="e">
        <f t="shared" ref="X130:AG130" si="442">X55/X49</f>
        <v>#DIV/0!</v>
      </c>
      <c r="Y130" s="183" t="e">
        <f t="shared" si="442"/>
        <v>#DIV/0!</v>
      </c>
      <c r="Z130" s="183" t="e">
        <f t="shared" si="442"/>
        <v>#DIV/0!</v>
      </c>
      <c r="AA130" s="183" t="e">
        <f t="shared" si="442"/>
        <v>#DIV/0!</v>
      </c>
      <c r="AB130" s="183" t="e">
        <f t="shared" si="442"/>
        <v>#DIV/0!</v>
      </c>
      <c r="AC130" s="183" t="e">
        <f t="shared" si="442"/>
        <v>#DIV/0!</v>
      </c>
      <c r="AD130" s="183" t="e">
        <f t="shared" si="442"/>
        <v>#DIV/0!</v>
      </c>
      <c r="AE130" s="183" t="e">
        <f t="shared" si="442"/>
        <v>#DIV/0!</v>
      </c>
      <c r="AF130" s="183" t="e">
        <f t="shared" si="442"/>
        <v>#DIV/0!</v>
      </c>
      <c r="AG130" s="183" t="e">
        <f t="shared" si="442"/>
        <v>#DIV/0!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304"/>
      <c r="B131" s="179" t="s">
        <v>426</v>
      </c>
      <c r="C131" s="129"/>
      <c r="D131" s="129"/>
      <c r="E131" s="129"/>
      <c r="F131" s="148"/>
      <c r="G131" s="148" t="e">
        <f t="shared" ref="G131" si="443">G55/G43</f>
        <v>#DIV/0!</v>
      </c>
      <c r="H131" s="148" t="e">
        <f t="shared" ref="H131:I131" si="444">H55/H43</f>
        <v>#DIV/0!</v>
      </c>
      <c r="I131" s="148" t="e">
        <f t="shared" si="444"/>
        <v>#DIV/0!</v>
      </c>
      <c r="J131" s="148" t="e">
        <f t="shared" ref="J131:T131" si="445">J55/J43</f>
        <v>#DIV/0!</v>
      </c>
      <c r="K131" s="148" t="e">
        <f t="shared" si="445"/>
        <v>#DIV/0!</v>
      </c>
      <c r="L131" s="148" t="e">
        <f t="shared" si="445"/>
        <v>#DIV/0!</v>
      </c>
      <c r="M131" s="148" t="e">
        <f t="shared" si="445"/>
        <v>#DIV/0!</v>
      </c>
      <c r="N131" s="148" t="e">
        <f t="shared" si="445"/>
        <v>#DIV/0!</v>
      </c>
      <c r="O131" s="148" t="e">
        <f t="shared" si="445"/>
        <v>#DIV/0!</v>
      </c>
      <c r="P131" s="148" t="e">
        <f t="shared" si="445"/>
        <v>#DIV/0!</v>
      </c>
      <c r="Q131" s="148" t="e">
        <f t="shared" si="445"/>
        <v>#DIV/0!</v>
      </c>
      <c r="R131" s="148" t="e">
        <f t="shared" si="445"/>
        <v>#DIV/0!</v>
      </c>
      <c r="S131" s="148" t="e">
        <f t="shared" si="445"/>
        <v>#DIV/0!</v>
      </c>
      <c r="T131" s="148" t="e">
        <f t="shared" si="445"/>
        <v>#DIV/0!</v>
      </c>
      <c r="U131" s="148" t="e">
        <f t="shared" ref="U131" si="446">U55/U43</f>
        <v>#DIV/0!</v>
      </c>
      <c r="V131" s="101" t="e">
        <f t="shared" si="441"/>
        <v>#DIV/0!</v>
      </c>
      <c r="W131" s="10"/>
      <c r="X131" s="148" t="e">
        <f t="shared" ref="X131:AG131" si="447">X55/X43</f>
        <v>#DIV/0!</v>
      </c>
      <c r="Y131" s="148" t="e">
        <f t="shared" si="447"/>
        <v>#DIV/0!</v>
      </c>
      <c r="Z131" s="148" t="e">
        <f t="shared" si="447"/>
        <v>#DIV/0!</v>
      </c>
      <c r="AA131" s="148" t="e">
        <f t="shared" si="447"/>
        <v>#DIV/0!</v>
      </c>
      <c r="AB131" s="148" t="e">
        <f t="shared" si="447"/>
        <v>#DIV/0!</v>
      </c>
      <c r="AC131" s="148" t="e">
        <f t="shared" si="447"/>
        <v>#DIV/0!</v>
      </c>
      <c r="AD131" s="148" t="e">
        <f t="shared" si="447"/>
        <v>#DIV/0!</v>
      </c>
      <c r="AE131" s="148" t="e">
        <f t="shared" si="447"/>
        <v>#DIV/0!</v>
      </c>
      <c r="AF131" s="148" t="e">
        <f t="shared" si="447"/>
        <v>#DIV/0!</v>
      </c>
      <c r="AG131" s="148" t="e">
        <f t="shared" si="447"/>
        <v>#DIV/0!</v>
      </c>
      <c r="AH131" s="116" t="e">
        <f t="shared" si="411"/>
        <v>#DIV/0!</v>
      </c>
      <c r="AI131" s="124"/>
      <c r="AJ131" s="124"/>
    </row>
    <row r="132" spans="1:36" ht="12" customHeight="1">
      <c r="A132" s="304"/>
      <c r="B132" s="179" t="s">
        <v>427</v>
      </c>
      <c r="C132" s="129"/>
      <c r="D132" s="129"/>
      <c r="E132" s="129"/>
      <c r="F132" s="148"/>
      <c r="G132" s="148" t="e">
        <f t="shared" ref="G132" si="448">G55/(G36+G38)</f>
        <v>#DIV/0!</v>
      </c>
      <c r="H132" s="148" t="e">
        <f t="shared" ref="H132:I132" si="449">H55/(H36+H38)</f>
        <v>#DIV/0!</v>
      </c>
      <c r="I132" s="148" t="e">
        <f t="shared" si="449"/>
        <v>#DIV/0!</v>
      </c>
      <c r="J132" s="148" t="e">
        <f t="shared" ref="J132:T132" si="450">J55/(J36+J38)</f>
        <v>#DIV/0!</v>
      </c>
      <c r="K132" s="148" t="e">
        <f t="shared" si="450"/>
        <v>#DIV/0!</v>
      </c>
      <c r="L132" s="148" t="e">
        <f t="shared" si="450"/>
        <v>#DIV/0!</v>
      </c>
      <c r="M132" s="148" t="e">
        <f t="shared" si="450"/>
        <v>#DIV/0!</v>
      </c>
      <c r="N132" s="148" t="e">
        <f t="shared" si="450"/>
        <v>#DIV/0!</v>
      </c>
      <c r="O132" s="148" t="e">
        <f t="shared" si="450"/>
        <v>#DIV/0!</v>
      </c>
      <c r="P132" s="148" t="e">
        <f t="shared" si="450"/>
        <v>#DIV/0!</v>
      </c>
      <c r="Q132" s="148" t="e">
        <f t="shared" si="450"/>
        <v>#DIV/0!</v>
      </c>
      <c r="R132" s="148" t="e">
        <f t="shared" si="450"/>
        <v>#DIV/0!</v>
      </c>
      <c r="S132" s="148" t="e">
        <f t="shared" si="450"/>
        <v>#DIV/0!</v>
      </c>
      <c r="T132" s="148" t="e">
        <f t="shared" si="450"/>
        <v>#DIV/0!</v>
      </c>
      <c r="U132" s="148" t="e">
        <f t="shared" ref="U132" si="451">U55/(U36+U38)</f>
        <v>#DIV/0!</v>
      </c>
      <c r="V132" s="101" t="e">
        <f t="shared" si="441"/>
        <v>#DIV/0!</v>
      </c>
      <c r="W132" s="10"/>
      <c r="X132" s="148" t="e">
        <f t="shared" ref="X132:AG132" si="452">X55/(X36+X38)</f>
        <v>#DIV/0!</v>
      </c>
      <c r="Y132" s="148" t="e">
        <f t="shared" si="452"/>
        <v>#DIV/0!</v>
      </c>
      <c r="Z132" s="148" t="e">
        <f t="shared" si="452"/>
        <v>#DIV/0!</v>
      </c>
      <c r="AA132" s="148" t="e">
        <f t="shared" si="452"/>
        <v>#DIV/0!</v>
      </c>
      <c r="AB132" s="148" t="e">
        <f t="shared" si="452"/>
        <v>#DIV/0!</v>
      </c>
      <c r="AC132" s="148" t="e">
        <f t="shared" si="452"/>
        <v>#DIV/0!</v>
      </c>
      <c r="AD132" s="148" t="e">
        <f t="shared" si="452"/>
        <v>#DIV/0!</v>
      </c>
      <c r="AE132" s="148" t="e">
        <f t="shared" si="452"/>
        <v>#DIV/0!</v>
      </c>
      <c r="AF132" s="148" t="e">
        <f t="shared" si="452"/>
        <v>#DIV/0!</v>
      </c>
      <c r="AG132" s="148" t="e">
        <f t="shared" si="452"/>
        <v>#DIV/0!</v>
      </c>
      <c r="AH132" s="116" t="e">
        <f t="shared" si="411"/>
        <v>#DIV/0!</v>
      </c>
      <c r="AI132" s="124"/>
      <c r="AJ132" s="124"/>
    </row>
    <row r="133" spans="1:36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1"/>
      <c r="AI133" s="124"/>
      <c r="AJ133" s="124"/>
    </row>
    <row r="134" spans="1:36">
      <c r="B134" s="10" t="s">
        <v>271</v>
      </c>
      <c r="C134" s="129"/>
      <c r="D134" s="129"/>
      <c r="E134" s="129"/>
      <c r="F134" s="140"/>
      <c r="G134" s="140">
        <f t="shared" ref="G134" si="453">G10-(G12+G13)</f>
        <v>151.99</v>
      </c>
      <c r="H134" s="140">
        <f t="shared" ref="H134:I134" si="454">H10-(H12+H13)</f>
        <v>282.99</v>
      </c>
      <c r="I134" s="140">
        <f t="shared" si="454"/>
        <v>385.99</v>
      </c>
      <c r="J134" s="140">
        <f t="shared" ref="J134:T134" si="455">J10-(J12+J13)</f>
        <v>440</v>
      </c>
      <c r="K134" s="140">
        <f t="shared" si="455"/>
        <v>725.65</v>
      </c>
      <c r="L134" s="140">
        <f t="shared" si="455"/>
        <v>566.79999999999995</v>
      </c>
      <c r="M134" s="140">
        <f t="shared" si="455"/>
        <v>559.65</v>
      </c>
      <c r="N134" s="140">
        <f t="shared" si="455"/>
        <v>885.7</v>
      </c>
      <c r="O134" s="140">
        <f t="shared" si="455"/>
        <v>851</v>
      </c>
      <c r="P134" s="140">
        <f t="shared" si="455"/>
        <v>816</v>
      </c>
      <c r="Q134" s="140">
        <f t="shared" si="455"/>
        <v>1242.7</v>
      </c>
      <c r="R134" s="140">
        <f t="shared" si="455"/>
        <v>1250.52</v>
      </c>
      <c r="S134" s="140">
        <f t="shared" si="455"/>
        <v>1250.52</v>
      </c>
      <c r="T134" s="140">
        <f t="shared" si="455"/>
        <v>1038</v>
      </c>
      <c r="U134" s="140">
        <f t="shared" ref="U134" si="456">U10-(U12+U13)</f>
        <v>1038</v>
      </c>
      <c r="V134" s="101">
        <f t="shared" si="441"/>
        <v>0.14709328770223173</v>
      </c>
      <c r="W134" s="10"/>
      <c r="X134" s="140">
        <f t="shared" ref="X134:AG134" si="457">X10-(X12+X13)</f>
        <v>1193.7</v>
      </c>
      <c r="Y134" s="140">
        <f t="shared" si="457"/>
        <v>1372.7549999999997</v>
      </c>
      <c r="Z134" s="140">
        <f t="shared" si="457"/>
        <v>1578.6682499999997</v>
      </c>
      <c r="AA134" s="140">
        <f t="shared" si="457"/>
        <v>1815.4684874999996</v>
      </c>
      <c r="AB134" s="140">
        <f t="shared" si="457"/>
        <v>2087.7887606249992</v>
      </c>
      <c r="AC134" s="140">
        <f t="shared" si="457"/>
        <v>2400.9570747187486</v>
      </c>
      <c r="AD134" s="140">
        <f t="shared" si="457"/>
        <v>2761.1006359265607</v>
      </c>
      <c r="AE134" s="140">
        <f t="shared" si="457"/>
        <v>3175.2657313155446</v>
      </c>
      <c r="AF134" s="140">
        <f t="shared" si="457"/>
        <v>3651.555591012876</v>
      </c>
      <c r="AG134" s="140">
        <f t="shared" si="457"/>
        <v>4199.2889296648073</v>
      </c>
      <c r="AH134" s="116">
        <f t="shared" si="327"/>
        <v>0.10305369987059132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>
        <f t="shared" ref="G135" si="458">G55/G18</f>
        <v>0.22539682539682537</v>
      </c>
      <c r="H135" s="129">
        <f t="shared" ref="H135:I135" si="459">H55/H18</f>
        <v>0.1797752808988764</v>
      </c>
      <c r="I135" s="129">
        <f t="shared" si="459"/>
        <v>0.27350427350427353</v>
      </c>
      <c r="J135" s="129">
        <f t="shared" ref="J135:T135" si="460">J55/J18</f>
        <v>0.2300469483568075</v>
      </c>
      <c r="K135" s="129">
        <f t="shared" si="460"/>
        <v>0.24229074889867841</v>
      </c>
      <c r="L135" s="129">
        <f t="shared" si="460"/>
        <v>0.29953917050691242</v>
      </c>
      <c r="M135" s="129">
        <f t="shared" si="460"/>
        <v>0.39308176100628933</v>
      </c>
      <c r="N135" s="129">
        <f t="shared" si="460"/>
        <v>0.31168831168831168</v>
      </c>
      <c r="O135" s="129">
        <f t="shared" si="460"/>
        <v>0.17464114832535885</v>
      </c>
      <c r="P135" s="129">
        <f t="shared" si="460"/>
        <v>0.29411764705882354</v>
      </c>
      <c r="Q135" s="129">
        <f t="shared" si="460"/>
        <v>0.45373665480427045</v>
      </c>
      <c r="R135" s="129">
        <f t="shared" si="460"/>
        <v>0.50347417840375586</v>
      </c>
      <c r="S135" s="129">
        <f t="shared" si="460"/>
        <v>0.52738654147104846</v>
      </c>
      <c r="T135" s="129">
        <f t="shared" si="460"/>
        <v>0.39544103072348863</v>
      </c>
      <c r="U135" s="129">
        <f t="shared" ref="U135" si="461">U55/U18</f>
        <v>0.39544103072348863</v>
      </c>
      <c r="V135" s="101">
        <f t="shared" si="441"/>
        <v>4.0969819130572072E-2</v>
      </c>
      <c r="W135" s="10"/>
      <c r="X135" s="129">
        <f t="shared" ref="X135:AG135" si="462">X55/X18</f>
        <v>0.39544103072348863</v>
      </c>
      <c r="Y135" s="129">
        <f t="shared" si="462"/>
        <v>0.39544103072348863</v>
      </c>
      <c r="Z135" s="129">
        <f t="shared" si="462"/>
        <v>0.39544103072348863</v>
      </c>
      <c r="AA135" s="129">
        <f t="shared" si="462"/>
        <v>0.39544103072348863</v>
      </c>
      <c r="AB135" s="129">
        <f t="shared" si="462"/>
        <v>0.39544103072348863</v>
      </c>
      <c r="AC135" s="129">
        <f t="shared" si="462"/>
        <v>0.39544103072348863</v>
      </c>
      <c r="AD135" s="129">
        <f t="shared" si="462"/>
        <v>0.39544103072348863</v>
      </c>
      <c r="AE135" s="129">
        <f t="shared" si="462"/>
        <v>0.39544103072348863</v>
      </c>
      <c r="AF135" s="129">
        <f t="shared" si="462"/>
        <v>0.39544103072348863</v>
      </c>
      <c r="AG135" s="129">
        <f t="shared" si="462"/>
        <v>0.39544103072348857</v>
      </c>
      <c r="AH135" s="116">
        <f t="shared" si="327"/>
        <v>2.3832529677861203E-2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>
        <f t="shared" ref="G136" si="463">G55/G25</f>
        <v>2.939958592132505E-2</v>
      </c>
      <c r="H136" s="129">
        <f t="shared" ref="H136:I136" si="464">H55/H25</f>
        <v>2.8169014084507043E-2</v>
      </c>
      <c r="I136" s="129">
        <f t="shared" si="464"/>
        <v>4.2780748663101602E-2</v>
      </c>
      <c r="J136" s="129">
        <f t="shared" ref="J136:T136" si="465">J55/J25</f>
        <v>5.0256410256410255E-2</v>
      </c>
      <c r="K136" s="129">
        <f t="shared" si="465"/>
        <v>4.7701647875108416E-2</v>
      </c>
      <c r="L136" s="129">
        <f t="shared" si="465"/>
        <v>4.4551062371487322E-2</v>
      </c>
      <c r="M136" s="129">
        <f t="shared" si="465"/>
        <v>8.3948959032907985E-2</v>
      </c>
      <c r="N136" s="129">
        <f t="shared" si="465"/>
        <v>6.6408411732152742E-2</v>
      </c>
      <c r="O136" s="129">
        <f t="shared" si="465"/>
        <v>4.1881812966150317E-2</v>
      </c>
      <c r="P136" s="129">
        <f t="shared" si="465"/>
        <v>5.955107650022904E-2</v>
      </c>
      <c r="Q136" s="129">
        <f t="shared" si="465"/>
        <v>8.9160839160839167E-2</v>
      </c>
      <c r="R136" s="129">
        <f t="shared" si="465"/>
        <v>9.7431859479103586E-2</v>
      </c>
      <c r="S136" s="129">
        <f t="shared" si="465"/>
        <v>9.8308051341890315E-2</v>
      </c>
      <c r="T136" s="129">
        <f t="shared" si="465"/>
        <v>0.11673493270918665</v>
      </c>
      <c r="U136" s="129">
        <f t="shared" ref="U136" si="466">U55/U25</f>
        <v>0.11673493270918665</v>
      </c>
      <c r="V136" s="101">
        <f t="shared" si="441"/>
        <v>0.10350851182131859</v>
      </c>
      <c r="W136" s="10"/>
      <c r="X136" s="129">
        <f t="shared" ref="X136:AG136" si="467">X55/X25</f>
        <v>0.11673493270918665</v>
      </c>
      <c r="Y136" s="129">
        <f t="shared" si="467"/>
        <v>0.11673493270918665</v>
      </c>
      <c r="Z136" s="129">
        <f t="shared" si="467"/>
        <v>0.11673493270918667</v>
      </c>
      <c r="AA136" s="129">
        <f t="shared" si="467"/>
        <v>0.11673493270918665</v>
      </c>
      <c r="AB136" s="129">
        <f t="shared" si="467"/>
        <v>0.11673493270918667</v>
      </c>
      <c r="AC136" s="129">
        <f t="shared" si="467"/>
        <v>0.11673493270918667</v>
      </c>
      <c r="AD136" s="129">
        <f t="shared" si="467"/>
        <v>0.11673493270918668</v>
      </c>
      <c r="AE136" s="129">
        <f t="shared" si="467"/>
        <v>0.11673493270918668</v>
      </c>
      <c r="AF136" s="129">
        <f t="shared" si="467"/>
        <v>0.11673493270918668</v>
      </c>
      <c r="AG136" s="129">
        <f t="shared" si="467"/>
        <v>0.11673493270918667</v>
      </c>
      <c r="AH136" s="116">
        <f t="shared" si="327"/>
        <v>3.7321671075009721E-2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>
        <f t="shared" ref="G137" si="468">G25/G18</f>
        <v>7.666666666666667</v>
      </c>
      <c r="H137" s="129">
        <f t="shared" ref="H137:I137" si="469">H25/H18</f>
        <v>6.382022471910112</v>
      </c>
      <c r="I137" s="129">
        <f t="shared" si="469"/>
        <v>6.3931623931623935</v>
      </c>
      <c r="J137" s="129">
        <f t="shared" ref="J137:T137" si="470">J25/J18</f>
        <v>4.577464788732394</v>
      </c>
      <c r="K137" s="129">
        <f t="shared" si="470"/>
        <v>5.0792951541850222</v>
      </c>
      <c r="L137" s="129">
        <f t="shared" si="470"/>
        <v>6.7235023041474653</v>
      </c>
      <c r="M137" s="129">
        <f t="shared" si="470"/>
        <v>4.682389937106918</v>
      </c>
      <c r="N137" s="129">
        <f t="shared" si="470"/>
        <v>4.6935064935064936</v>
      </c>
      <c r="O137" s="129">
        <f t="shared" si="470"/>
        <v>4.1698564593301439</v>
      </c>
      <c r="P137" s="129">
        <f t="shared" si="470"/>
        <v>4.9389140271493215</v>
      </c>
      <c r="Q137" s="129">
        <f t="shared" si="470"/>
        <v>5.0889679715302494</v>
      </c>
      <c r="R137" s="129">
        <f t="shared" si="470"/>
        <v>5.1674491392801256</v>
      </c>
      <c r="S137" s="129">
        <f t="shared" si="470"/>
        <v>5.3646322378716746</v>
      </c>
      <c r="T137" s="129">
        <f t="shared" si="470"/>
        <v>3.3875123885034686</v>
      </c>
      <c r="U137" s="129">
        <f t="shared" ref="U137" si="471">U25/U18</f>
        <v>3.3875123885034686</v>
      </c>
      <c r="V137" s="101">
        <f t="shared" si="441"/>
        <v>-5.6672596559792399E-2</v>
      </c>
      <c r="W137" s="10"/>
      <c r="X137" s="129">
        <f t="shared" ref="X137:AG137" si="472">X25/X18</f>
        <v>3.387512388503469</v>
      </c>
      <c r="Y137" s="129">
        <f t="shared" si="472"/>
        <v>3.387512388503469</v>
      </c>
      <c r="Z137" s="129">
        <f t="shared" si="472"/>
        <v>3.3875123885034686</v>
      </c>
      <c r="AA137" s="129">
        <f t="shared" si="472"/>
        <v>3.387512388503469</v>
      </c>
      <c r="AB137" s="129">
        <f t="shared" si="472"/>
        <v>3.387512388503469</v>
      </c>
      <c r="AC137" s="129">
        <f t="shared" si="472"/>
        <v>3.387512388503469</v>
      </c>
      <c r="AD137" s="129">
        <f t="shared" si="472"/>
        <v>3.3875123885034686</v>
      </c>
      <c r="AE137" s="129">
        <f t="shared" si="472"/>
        <v>3.3875123885034686</v>
      </c>
      <c r="AF137" s="129">
        <f t="shared" si="472"/>
        <v>3.3875123885034681</v>
      </c>
      <c r="AG137" s="129">
        <f t="shared" si="472"/>
        <v>3.3875123885034681</v>
      </c>
      <c r="AH137" s="116">
        <f t="shared" si="327"/>
        <v>-1.30038172085708E-2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2"/>
      <c r="F139" s="142"/>
      <c r="G139" s="142">
        <f t="shared" ref="G139" si="473">G88*G57</f>
        <v>3.5935999999999999</v>
      </c>
      <c r="H139" s="142">
        <f t="shared" ref="H139:I139" si="474">H88*H57</f>
        <v>3.58</v>
      </c>
      <c r="I139" s="142">
        <f t="shared" si="474"/>
        <v>4.26</v>
      </c>
      <c r="J139" s="142">
        <f t="shared" ref="J139:T139" si="475">J88*J57</f>
        <v>4.8600000000000003</v>
      </c>
      <c r="K139" s="142">
        <f t="shared" si="475"/>
        <v>4.8600000000000003</v>
      </c>
      <c r="L139" s="142">
        <f t="shared" si="475"/>
        <v>4.8600000000000003</v>
      </c>
      <c r="M139" s="142">
        <f t="shared" si="475"/>
        <v>7.2929999999999993</v>
      </c>
      <c r="N139" s="142">
        <f t="shared" si="475"/>
        <v>7.2929999999999993</v>
      </c>
      <c r="O139" s="142">
        <f t="shared" si="475"/>
        <v>7.2929999999999993</v>
      </c>
      <c r="P139" s="142">
        <f t="shared" si="475"/>
        <v>19.352000000000004</v>
      </c>
      <c r="Q139" s="142">
        <f t="shared" si="475"/>
        <v>28.236000000000001</v>
      </c>
      <c r="R139" s="142">
        <f t="shared" si="475"/>
        <v>40.016300000000001</v>
      </c>
      <c r="S139" s="142">
        <f t="shared" si="475"/>
        <v>40.016300000000001</v>
      </c>
      <c r="T139" s="142">
        <f t="shared" si="475"/>
        <v>70.617000000000004</v>
      </c>
      <c r="U139" s="142">
        <f t="shared" ref="U139" si="476">U88*U57</f>
        <v>70.617000000000004</v>
      </c>
      <c r="V139" s="101">
        <f t="shared" si="441"/>
        <v>0.23704145039152924</v>
      </c>
      <c r="W139" s="10"/>
      <c r="X139" s="142">
        <f t="shared" ref="X139:AG139" si="477">X88*X57</f>
        <v>73.46992680000001</v>
      </c>
      <c r="Y139" s="142">
        <f t="shared" si="477"/>
        <v>76.438111842720019</v>
      </c>
      <c r="Z139" s="142">
        <f t="shared" si="477"/>
        <v>79.526211561165908</v>
      </c>
      <c r="AA139" s="142">
        <f t="shared" si="477"/>
        <v>82.73907050823702</v>
      </c>
      <c r="AB139" s="142">
        <f t="shared" si="477"/>
        <v>86.081728956769794</v>
      </c>
      <c r="AC139" s="142">
        <f t="shared" si="477"/>
        <v>89.559430806623297</v>
      </c>
      <c r="AD139" s="142">
        <f t="shared" si="477"/>
        <v>93.177631811210873</v>
      </c>
      <c r="AE139" s="142">
        <f t="shared" si="477"/>
        <v>96.942008136383805</v>
      </c>
      <c r="AF139" s="142">
        <f t="shared" si="477"/>
        <v>100.85846526509371</v>
      </c>
      <c r="AG139" s="142">
        <f t="shared" si="477"/>
        <v>104.9331472618035</v>
      </c>
      <c r="AH139" s="116">
        <f t="shared" si="327"/>
        <v>0.1429099632758144</v>
      </c>
      <c r="AI139" s="10"/>
      <c r="AJ139" s="10"/>
    </row>
    <row r="140" spans="1:36">
      <c r="B140" s="10" t="s">
        <v>280</v>
      </c>
      <c r="C140" s="10"/>
      <c r="D140" s="10"/>
      <c r="E140" s="142"/>
      <c r="F140" s="142"/>
      <c r="G140" s="142">
        <f t="shared" ref="G140" si="478">(G139*0.17)+G139</f>
        <v>4.2045120000000002</v>
      </c>
      <c r="H140" s="142">
        <f t="shared" ref="H140:I140" si="479">(H139*0.17)+H139</f>
        <v>4.1886000000000001</v>
      </c>
      <c r="I140" s="142">
        <f t="shared" si="479"/>
        <v>4.9841999999999995</v>
      </c>
      <c r="J140" s="142">
        <f t="shared" ref="J140:S140" si="480">(J139*0.17)+J139</f>
        <v>5.6862000000000004</v>
      </c>
      <c r="K140" s="142">
        <f t="shared" si="480"/>
        <v>5.6862000000000004</v>
      </c>
      <c r="L140" s="142">
        <f t="shared" si="480"/>
        <v>5.6862000000000004</v>
      </c>
      <c r="M140" s="142">
        <f t="shared" si="480"/>
        <v>8.5328099999999996</v>
      </c>
      <c r="N140" s="142">
        <f t="shared" si="480"/>
        <v>8.5328099999999996</v>
      </c>
      <c r="O140" s="142">
        <f t="shared" si="480"/>
        <v>8.5328099999999996</v>
      </c>
      <c r="P140" s="142">
        <f t="shared" si="480"/>
        <v>22.641840000000006</v>
      </c>
      <c r="Q140" s="142">
        <f t="shared" si="480"/>
        <v>33.036120000000004</v>
      </c>
      <c r="R140" s="142">
        <f t="shared" si="480"/>
        <v>46.819071000000001</v>
      </c>
      <c r="S140" s="142">
        <f t="shared" si="480"/>
        <v>46.819071000000001</v>
      </c>
      <c r="T140" s="142">
        <f t="shared" ref="T140:U140" si="481">(T139*0.17)+T139</f>
        <v>82.621890000000008</v>
      </c>
      <c r="U140" s="142">
        <f t="shared" si="481"/>
        <v>82.621890000000008</v>
      </c>
      <c r="V140" s="101">
        <f t="shared" si="441"/>
        <v>0.23704145039152924</v>
      </c>
      <c r="W140" s="10"/>
      <c r="X140" s="142">
        <f t="shared" ref="X140:AG140" si="482">(X139*0.17)+X139</f>
        <v>85.95981435600001</v>
      </c>
      <c r="Y140" s="142">
        <f t="shared" si="482"/>
        <v>89.432590855982426</v>
      </c>
      <c r="Z140" s="142">
        <f t="shared" si="482"/>
        <v>93.045667526564117</v>
      </c>
      <c r="AA140" s="142">
        <f t="shared" si="482"/>
        <v>96.804712494637315</v>
      </c>
      <c r="AB140" s="142">
        <f t="shared" si="482"/>
        <v>100.71562287942066</v>
      </c>
      <c r="AC140" s="142">
        <f t="shared" si="482"/>
        <v>104.78453404374926</v>
      </c>
      <c r="AD140" s="142">
        <f t="shared" si="482"/>
        <v>109.01782921911672</v>
      </c>
      <c r="AE140" s="142">
        <f t="shared" si="482"/>
        <v>113.42214951956905</v>
      </c>
      <c r="AF140" s="142">
        <f t="shared" si="482"/>
        <v>118.00440436015964</v>
      </c>
      <c r="AG140" s="142">
        <f t="shared" si="482"/>
        <v>122.77178229631009</v>
      </c>
      <c r="AH140" s="116">
        <f t="shared" si="327"/>
        <v>0.1429099632758144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>
        <f t="shared" ref="G141" si="483">G140/G55</f>
        <v>0.29609239436619722</v>
      </c>
      <c r="H141" s="129">
        <f t="shared" ref="H141:I141" si="484">H140/H55</f>
        <v>0.26178750000000001</v>
      </c>
      <c r="I141" s="129">
        <f t="shared" si="484"/>
        <v>0.15575624999999998</v>
      </c>
      <c r="J141" s="129">
        <f t="shared" ref="J141:T141" si="485">J140/J55</f>
        <v>0.11604489795918368</v>
      </c>
      <c r="K141" s="129">
        <f t="shared" si="485"/>
        <v>0.10338545454545456</v>
      </c>
      <c r="L141" s="129">
        <f t="shared" si="485"/>
        <v>8.7480000000000002E-2</v>
      </c>
      <c r="M141" s="129">
        <f t="shared" si="485"/>
        <v>6.826248E-2</v>
      </c>
      <c r="N141" s="129">
        <f t="shared" si="485"/>
        <v>7.1106749999999996E-2</v>
      </c>
      <c r="O141" s="129">
        <f t="shared" si="485"/>
        <v>0.11688780821917807</v>
      </c>
      <c r="P141" s="129">
        <f t="shared" si="485"/>
        <v>0.17416800000000005</v>
      </c>
      <c r="Q141" s="129">
        <f t="shared" si="485"/>
        <v>0.12955341176470589</v>
      </c>
      <c r="R141" s="129">
        <f t="shared" si="485"/>
        <v>0.14552738716896679</v>
      </c>
      <c r="S141" s="129">
        <f t="shared" si="485"/>
        <v>0.13892899406528189</v>
      </c>
      <c r="T141" s="129">
        <f t="shared" si="485"/>
        <v>0.20707240601503762</v>
      </c>
      <c r="U141" s="129">
        <f t="shared" ref="U141" si="486">U140/U55</f>
        <v>0.20707240601503762</v>
      </c>
      <c r="V141" s="101">
        <f t="shared" si="441"/>
        <v>-2.5219609150780364E-2</v>
      </c>
      <c r="W141" s="10"/>
      <c r="X141" s="129">
        <f t="shared" ref="X141:AG141" si="487">X140/X55</f>
        <v>0.18733750540699579</v>
      </c>
      <c r="Y141" s="129">
        <f t="shared" si="487"/>
        <v>0.16948342663081606</v>
      </c>
      <c r="Z141" s="129">
        <f t="shared" si="487"/>
        <v>0.15333091918843569</v>
      </c>
      <c r="AA141" s="129">
        <f t="shared" si="487"/>
        <v>0.13871781593360741</v>
      </c>
      <c r="AB141" s="129">
        <f t="shared" si="487"/>
        <v>0.12549740495419578</v>
      </c>
      <c r="AC141" s="129">
        <f t="shared" si="487"/>
        <v>0.11353695662116983</v>
      </c>
      <c r="AD141" s="129">
        <f t="shared" si="487"/>
        <v>0.10271639101623051</v>
      </c>
      <c r="AE141" s="129">
        <f t="shared" si="487"/>
        <v>9.2927072359379331E-2</v>
      </c>
      <c r="AF141" s="129">
        <f t="shared" si="487"/>
        <v>8.4070718332781111E-2</v>
      </c>
      <c r="AG141" s="129">
        <f t="shared" si="487"/>
        <v>7.6058413350804766E-2</v>
      </c>
      <c r="AH141" s="116">
        <f t="shared" si="327"/>
        <v>-1.8200828406935599E-2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>
        <f t="shared" ref="G142" si="488">1-G141</f>
        <v>0.70390760563380272</v>
      </c>
      <c r="H142" s="129">
        <f t="shared" ref="H142:I142" si="489">1-H141</f>
        <v>0.73821249999999994</v>
      </c>
      <c r="I142" s="129">
        <f t="shared" si="489"/>
        <v>0.84424374999999996</v>
      </c>
      <c r="J142" s="129">
        <f>1-J141</f>
        <v>0.88395510204081629</v>
      </c>
      <c r="K142" s="129">
        <f t="shared" ref="K142:S142" si="490">1-K141</f>
        <v>0.89661454545454544</v>
      </c>
      <c r="L142" s="129">
        <f t="shared" si="490"/>
        <v>0.91252</v>
      </c>
      <c r="M142" s="129">
        <f t="shared" si="490"/>
        <v>0.93173751999999999</v>
      </c>
      <c r="N142" s="129">
        <f t="shared" si="490"/>
        <v>0.92889325</v>
      </c>
      <c r="O142" s="129">
        <f t="shared" si="490"/>
        <v>0.8831121917808219</v>
      </c>
      <c r="P142" s="129">
        <f t="shared" si="490"/>
        <v>0.8258319999999999</v>
      </c>
      <c r="Q142" s="129">
        <f t="shared" si="490"/>
        <v>0.87044658823529408</v>
      </c>
      <c r="R142" s="129">
        <f t="shared" si="490"/>
        <v>0.85447261283103315</v>
      </c>
      <c r="S142" s="129">
        <f t="shared" si="490"/>
        <v>0.86107100593471808</v>
      </c>
      <c r="T142" s="129">
        <f t="shared" ref="T142:U142" si="491">1-T141</f>
        <v>0.79292759398496238</v>
      </c>
      <c r="U142" s="129">
        <f t="shared" si="491"/>
        <v>0.79292759398496238</v>
      </c>
      <c r="V142" s="101">
        <f t="shared" si="441"/>
        <v>8.5423368324775151E-3</v>
      </c>
      <c r="W142" s="10"/>
      <c r="X142" s="129">
        <f t="shared" ref="X142:AG142" si="492">1-X141</f>
        <v>0.81266249459300421</v>
      </c>
      <c r="Y142" s="129">
        <f t="shared" si="492"/>
        <v>0.83051657336918394</v>
      </c>
      <c r="Z142" s="129">
        <f t="shared" si="492"/>
        <v>0.84666908081156433</v>
      </c>
      <c r="AA142" s="129">
        <f t="shared" si="492"/>
        <v>0.86128218406639256</v>
      </c>
      <c r="AB142" s="129">
        <f t="shared" si="492"/>
        <v>0.87450259504580419</v>
      </c>
      <c r="AC142" s="129">
        <f t="shared" si="492"/>
        <v>0.8864630433788302</v>
      </c>
      <c r="AD142" s="129">
        <f t="shared" si="492"/>
        <v>0.89728360898376947</v>
      </c>
      <c r="AE142" s="129">
        <f t="shared" si="492"/>
        <v>0.90707292764062064</v>
      </c>
      <c r="AF142" s="129">
        <f t="shared" si="492"/>
        <v>0.91592928166721888</v>
      </c>
      <c r="AG142" s="129">
        <f t="shared" si="492"/>
        <v>0.92394158664919523</v>
      </c>
      <c r="AH142" s="116">
        <f t="shared" si="327"/>
        <v>1.9254417186624906E-3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>
        <f t="shared" ref="G143" si="493">G140/G20</f>
        <v>-0.52556400000000003</v>
      </c>
      <c r="H143" s="129">
        <f t="shared" ref="H143:I143" si="494">H140/H20</f>
        <v>-4.4090526315789476E-2</v>
      </c>
      <c r="I143" s="129">
        <f t="shared" si="494"/>
        <v>-3.5601428571428569E-2</v>
      </c>
      <c r="J143" s="129">
        <f t="shared" ref="J143:T143" si="495">J140/J20</f>
        <v>3.4884662576687119E-2</v>
      </c>
      <c r="K143" s="129">
        <f t="shared" si="495"/>
        <v>-2.657102803738318E-2</v>
      </c>
      <c r="L143" s="129">
        <f t="shared" si="495"/>
        <v>2.0163829787234043E-2</v>
      </c>
      <c r="M143" s="129">
        <f t="shared" si="495"/>
        <v>4.9899473684210521E-2</v>
      </c>
      <c r="N143" s="129">
        <f t="shared" si="495"/>
        <v>-5.650867549668874E-2</v>
      </c>
      <c r="O143" s="129">
        <f t="shared" si="495"/>
        <v>6.0516382978723401E-2</v>
      </c>
      <c r="P143" s="129">
        <f t="shared" si="495"/>
        <v>0.1331872941176471</v>
      </c>
      <c r="Q143" s="129">
        <f t="shared" si="495"/>
        <v>-0.15959478260869567</v>
      </c>
      <c r="R143" s="129">
        <f t="shared" si="495"/>
        <v>0.14450330555555557</v>
      </c>
      <c r="S143" s="129">
        <f t="shared" si="495"/>
        <v>0.10964653629976581</v>
      </c>
      <c r="T143" s="129">
        <f t="shared" si="495"/>
        <v>0.31060860902255644</v>
      </c>
      <c r="U143" s="129">
        <f t="shared" ref="U143" si="496">U140/U20</f>
        <v>0.31060860902255644</v>
      </c>
      <c r="V143" s="101" t="e">
        <f t="shared" si="441"/>
        <v>#NUM!</v>
      </c>
      <c r="W143" s="10"/>
      <c r="X143" s="129">
        <f t="shared" ref="X143:AG143" si="497">X140/X20</f>
        <v>0.28100625811049368</v>
      </c>
      <c r="Y143" s="129">
        <f t="shared" si="497"/>
        <v>0.25422513994622409</v>
      </c>
      <c r="Z143" s="129">
        <f t="shared" si="497"/>
        <v>0.2299963787826535</v>
      </c>
      <c r="AA143" s="129">
        <f t="shared" si="497"/>
        <v>0.2080767239004111</v>
      </c>
      <c r="AB143" s="129">
        <f t="shared" si="497"/>
        <v>0.18824610743129369</v>
      </c>
      <c r="AC143" s="129">
        <f t="shared" si="497"/>
        <v>0.17030543493175476</v>
      </c>
      <c r="AD143" s="129">
        <f t="shared" si="497"/>
        <v>0.15407458652434577</v>
      </c>
      <c r="AE143" s="129">
        <f t="shared" si="497"/>
        <v>0.13939060853906901</v>
      </c>
      <c r="AF143" s="129">
        <f t="shared" si="497"/>
        <v>0.12610607749917166</v>
      </c>
      <c r="AG143" s="129">
        <f t="shared" si="497"/>
        <v>0.11408762002620715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>
        <f t="shared" ref="G145" si="498">G31/G25</f>
        <v>0</v>
      </c>
      <c r="H145" s="129">
        <f t="shared" ref="H145:I145" si="499">H31/H25</f>
        <v>0</v>
      </c>
      <c r="I145" s="129">
        <f t="shared" si="499"/>
        <v>0</v>
      </c>
      <c r="J145" s="129">
        <f t="shared" ref="J145:T145" si="500">J31/J25</f>
        <v>0</v>
      </c>
      <c r="K145" s="129">
        <f t="shared" si="500"/>
        <v>0</v>
      </c>
      <c r="L145" s="129">
        <f t="shared" si="500"/>
        <v>0</v>
      </c>
      <c r="M145" s="129">
        <f t="shared" si="500"/>
        <v>0</v>
      </c>
      <c r="N145" s="129">
        <f t="shared" si="500"/>
        <v>0</v>
      </c>
      <c r="O145" s="129">
        <f t="shared" si="500"/>
        <v>0</v>
      </c>
      <c r="P145" s="129">
        <f t="shared" si="500"/>
        <v>0</v>
      </c>
      <c r="Q145" s="129">
        <f t="shared" si="500"/>
        <v>0</v>
      </c>
      <c r="R145" s="129">
        <f t="shared" si="500"/>
        <v>0</v>
      </c>
      <c r="S145" s="129">
        <f t="shared" si="500"/>
        <v>0</v>
      </c>
      <c r="T145" s="129">
        <f t="shared" si="500"/>
        <v>0</v>
      </c>
      <c r="U145" s="129">
        <f t="shared" ref="U145" si="501">U31/U25</f>
        <v>0</v>
      </c>
      <c r="V145" s="101" t="e">
        <f t="shared" si="441"/>
        <v>#DIV/0!</v>
      </c>
      <c r="W145" s="10"/>
      <c r="X145" s="129">
        <f t="shared" ref="X145:AG145" si="502">X31/X25</f>
        <v>0</v>
      </c>
      <c r="Y145" s="129">
        <f t="shared" si="502"/>
        <v>0</v>
      </c>
      <c r="Z145" s="129">
        <f t="shared" si="502"/>
        <v>0</v>
      </c>
      <c r="AA145" s="129">
        <f t="shared" si="502"/>
        <v>0</v>
      </c>
      <c r="AB145" s="129">
        <f t="shared" si="502"/>
        <v>0</v>
      </c>
      <c r="AC145" s="129">
        <f t="shared" si="502"/>
        <v>0</v>
      </c>
      <c r="AD145" s="129">
        <f t="shared" si="502"/>
        <v>0</v>
      </c>
      <c r="AE145" s="129">
        <f t="shared" si="502"/>
        <v>0</v>
      </c>
      <c r="AF145" s="129">
        <f t="shared" si="502"/>
        <v>0</v>
      </c>
      <c r="AG145" s="129">
        <f t="shared" si="502"/>
        <v>0</v>
      </c>
      <c r="AH145" s="116" t="e">
        <f t="shared" si="327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>
        <f t="shared" ref="G146" si="503">G32/G25</f>
        <v>0</v>
      </c>
      <c r="H146" s="129">
        <f t="shared" ref="H146:I146" si="504">H32/H25</f>
        <v>0</v>
      </c>
      <c r="I146" s="129">
        <f t="shared" si="504"/>
        <v>0</v>
      </c>
      <c r="J146" s="129">
        <f t="shared" ref="J146:T146" si="505">J32/J25</f>
        <v>0</v>
      </c>
      <c r="K146" s="129">
        <f t="shared" si="505"/>
        <v>0</v>
      </c>
      <c r="L146" s="129">
        <f t="shared" si="505"/>
        <v>0</v>
      </c>
      <c r="M146" s="129">
        <f t="shared" si="505"/>
        <v>0</v>
      </c>
      <c r="N146" s="129">
        <f t="shared" si="505"/>
        <v>0</v>
      </c>
      <c r="O146" s="129">
        <f t="shared" si="505"/>
        <v>0</v>
      </c>
      <c r="P146" s="129">
        <f t="shared" si="505"/>
        <v>0</v>
      </c>
      <c r="Q146" s="129">
        <f t="shared" si="505"/>
        <v>0</v>
      </c>
      <c r="R146" s="129">
        <f t="shared" si="505"/>
        <v>0</v>
      </c>
      <c r="S146" s="129">
        <f t="shared" si="505"/>
        <v>0</v>
      </c>
      <c r="T146" s="129">
        <f t="shared" si="505"/>
        <v>0</v>
      </c>
      <c r="U146" s="129">
        <f t="shared" ref="U146" si="506">U32/U25</f>
        <v>0</v>
      </c>
      <c r="V146" s="101" t="e">
        <f t="shared" si="441"/>
        <v>#DIV/0!</v>
      </c>
      <c r="W146" s="10"/>
      <c r="X146" s="129">
        <f t="shared" ref="X146:AG146" si="507">X32/X25</f>
        <v>0</v>
      </c>
      <c r="Y146" s="129">
        <f t="shared" si="507"/>
        <v>0</v>
      </c>
      <c r="Z146" s="129">
        <f t="shared" si="507"/>
        <v>0</v>
      </c>
      <c r="AA146" s="129">
        <f t="shared" si="507"/>
        <v>0</v>
      </c>
      <c r="AB146" s="129">
        <f t="shared" si="507"/>
        <v>0</v>
      </c>
      <c r="AC146" s="129">
        <f t="shared" si="507"/>
        <v>0</v>
      </c>
      <c r="AD146" s="129">
        <f t="shared" si="507"/>
        <v>0</v>
      </c>
      <c r="AE146" s="129">
        <f t="shared" si="507"/>
        <v>0</v>
      </c>
      <c r="AF146" s="129">
        <f t="shared" si="507"/>
        <v>0</v>
      </c>
      <c r="AG146" s="129">
        <f t="shared" si="507"/>
        <v>0</v>
      </c>
      <c r="AH146" s="116" t="e">
        <f t="shared" si="327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>
        <f t="shared" ref="G147" si="508">(G31+G32)/G25</f>
        <v>0</v>
      </c>
      <c r="H147" s="129">
        <f t="shared" ref="H147:I147" si="509">(H31+H32)/H25</f>
        <v>0</v>
      </c>
      <c r="I147" s="129">
        <f t="shared" si="509"/>
        <v>0</v>
      </c>
      <c r="J147" s="129">
        <f t="shared" ref="J147:T147" si="510">(J31+J32)/J25</f>
        <v>0</v>
      </c>
      <c r="K147" s="129">
        <f t="shared" si="510"/>
        <v>0</v>
      </c>
      <c r="L147" s="129">
        <f t="shared" si="510"/>
        <v>0</v>
      </c>
      <c r="M147" s="129">
        <f t="shared" si="510"/>
        <v>0</v>
      </c>
      <c r="N147" s="129">
        <f t="shared" si="510"/>
        <v>0</v>
      </c>
      <c r="O147" s="129">
        <f t="shared" si="510"/>
        <v>0</v>
      </c>
      <c r="P147" s="129">
        <f t="shared" si="510"/>
        <v>0</v>
      </c>
      <c r="Q147" s="129">
        <f t="shared" si="510"/>
        <v>0</v>
      </c>
      <c r="R147" s="129">
        <f t="shared" si="510"/>
        <v>0</v>
      </c>
      <c r="S147" s="129">
        <f t="shared" si="510"/>
        <v>0</v>
      </c>
      <c r="T147" s="129">
        <f t="shared" si="510"/>
        <v>0</v>
      </c>
      <c r="U147" s="129">
        <f t="shared" ref="U147" si="511">(U31+U32)/U25</f>
        <v>0</v>
      </c>
      <c r="V147" s="101" t="e">
        <f t="shared" si="441"/>
        <v>#DIV/0!</v>
      </c>
      <c r="W147" s="10"/>
      <c r="X147" s="129">
        <f t="shared" ref="X147:AG147" si="512">(X31+X32)/X25</f>
        <v>0</v>
      </c>
      <c r="Y147" s="129">
        <f t="shared" si="512"/>
        <v>0</v>
      </c>
      <c r="Z147" s="129">
        <f t="shared" si="512"/>
        <v>0</v>
      </c>
      <c r="AA147" s="129">
        <f t="shared" si="512"/>
        <v>0</v>
      </c>
      <c r="AB147" s="129">
        <f t="shared" si="512"/>
        <v>0</v>
      </c>
      <c r="AC147" s="129">
        <f t="shared" si="512"/>
        <v>0</v>
      </c>
      <c r="AD147" s="129">
        <f t="shared" si="512"/>
        <v>0</v>
      </c>
      <c r="AE147" s="129">
        <f t="shared" si="512"/>
        <v>0</v>
      </c>
      <c r="AF147" s="129">
        <f t="shared" si="512"/>
        <v>0</v>
      </c>
      <c r="AG147" s="129">
        <f t="shared" si="512"/>
        <v>0</v>
      </c>
      <c r="AH147" s="116" t="e">
        <f t="shared" si="327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>
        <f t="shared" ref="G149" si="513">G27/G25</f>
        <v>0.92546583850931674</v>
      </c>
      <c r="H149" s="129">
        <f t="shared" ref="H149:I149" si="514">H27/H25</f>
        <v>0.92253521126760563</v>
      </c>
      <c r="I149" s="129">
        <f t="shared" si="514"/>
        <v>0.87700534759358284</v>
      </c>
      <c r="J149" s="129">
        <f t="shared" ref="J149:T149" si="515">J27/J25</f>
        <v>0.87589743589743585</v>
      </c>
      <c r="K149" s="129">
        <f t="shared" si="515"/>
        <v>0.86556808326105816</v>
      </c>
      <c r="L149" s="129">
        <f t="shared" si="515"/>
        <v>0.85675119945167921</v>
      </c>
      <c r="M149" s="129">
        <f t="shared" si="515"/>
        <v>0.85224983210208194</v>
      </c>
      <c r="N149" s="129">
        <f t="shared" si="515"/>
        <v>0.866076369673492</v>
      </c>
      <c r="O149" s="129">
        <f t="shared" si="515"/>
        <v>0.87951807228915657</v>
      </c>
      <c r="P149" s="129">
        <f t="shared" si="515"/>
        <v>0.85753550160329817</v>
      </c>
      <c r="Q149" s="129">
        <f t="shared" si="515"/>
        <v>0.83916083916083917</v>
      </c>
      <c r="R149" s="129">
        <f t="shared" si="515"/>
        <v>0.84009691096305272</v>
      </c>
      <c r="S149" s="129">
        <f t="shared" si="515"/>
        <v>0.8465577596266044</v>
      </c>
      <c r="T149" s="129">
        <f t="shared" si="515"/>
        <v>0.80866003510825046</v>
      </c>
      <c r="U149" s="129">
        <f t="shared" ref="U149" si="516">U27/U25</f>
        <v>0.80866003510825046</v>
      </c>
      <c r="V149" s="101">
        <f t="shared" si="441"/>
        <v>-9.5907567675723726E-3</v>
      </c>
      <c r="W149" s="10"/>
      <c r="X149" s="129">
        <f t="shared" ref="X149:AG149" si="517">X27/X25</f>
        <v>0.80866003510825046</v>
      </c>
      <c r="Y149" s="129">
        <f t="shared" si="517"/>
        <v>0.80866003510825046</v>
      </c>
      <c r="Z149" s="129">
        <f t="shared" si="517"/>
        <v>0.80866003510825035</v>
      </c>
      <c r="AA149" s="129">
        <f t="shared" si="517"/>
        <v>0.80866003510825035</v>
      </c>
      <c r="AB149" s="129">
        <f t="shared" si="517"/>
        <v>0.80866003510825046</v>
      </c>
      <c r="AC149" s="129">
        <f t="shared" si="517"/>
        <v>0.80866003510825046</v>
      </c>
      <c r="AD149" s="129">
        <f t="shared" si="517"/>
        <v>0.80866003510825046</v>
      </c>
      <c r="AE149" s="129">
        <f t="shared" si="517"/>
        <v>0.80866003510825046</v>
      </c>
      <c r="AF149" s="129">
        <f t="shared" si="517"/>
        <v>0.80866003510825035</v>
      </c>
      <c r="AG149" s="129">
        <f t="shared" si="517"/>
        <v>0.80866003510825035</v>
      </c>
      <c r="AH149" s="116">
        <f t="shared" si="327"/>
        <v>-3.4666035628087011E-3</v>
      </c>
      <c r="AI149" s="10"/>
      <c r="AJ149" s="10"/>
    </row>
    <row r="150" spans="2:36">
      <c r="B150" s="10" t="str">
        <f>B33</f>
        <v>Top Expenses ( Raw material )</v>
      </c>
      <c r="C150" s="10"/>
      <c r="D150" s="10"/>
      <c r="E150" s="10"/>
      <c r="F150" s="129"/>
      <c r="G150" s="129">
        <f t="shared" ref="G150" si="518">G33/G25</f>
        <v>0.77846790890269146</v>
      </c>
      <c r="H150" s="129">
        <f t="shared" ref="H150:I150" si="519">H33/H25</f>
        <v>0.79753521126760563</v>
      </c>
      <c r="I150" s="129">
        <f t="shared" si="519"/>
        <v>0.7633689839572193</v>
      </c>
      <c r="J150" s="129">
        <f t="shared" ref="J150:T150" si="520">J33/J25</f>
        <v>0.7712820512820513</v>
      </c>
      <c r="K150" s="129">
        <f t="shared" si="520"/>
        <v>0.76843018213356462</v>
      </c>
      <c r="L150" s="129">
        <f t="shared" si="520"/>
        <v>0.74297464016449621</v>
      </c>
      <c r="M150" s="129">
        <f t="shared" si="520"/>
        <v>0.77635997313633309</v>
      </c>
      <c r="N150" s="129">
        <f t="shared" si="520"/>
        <v>0.7935805201992252</v>
      </c>
      <c r="O150" s="129">
        <f t="shared" si="520"/>
        <v>0.77682157200229485</v>
      </c>
      <c r="P150" s="129">
        <f t="shared" si="520"/>
        <v>0.76866697205680257</v>
      </c>
      <c r="Q150" s="129">
        <f t="shared" si="520"/>
        <v>0.76818181818181819</v>
      </c>
      <c r="R150" s="129">
        <f t="shared" si="520"/>
        <v>0.7605299818291944</v>
      </c>
      <c r="S150" s="129">
        <f t="shared" si="520"/>
        <v>0.73257584597432901</v>
      </c>
      <c r="T150" s="129">
        <f t="shared" si="520"/>
        <v>0.73054417788180226</v>
      </c>
      <c r="U150" s="129">
        <f t="shared" ref="U150" si="521">U33/U25</f>
        <v>0.73054417788180226</v>
      </c>
      <c r="V150" s="101">
        <f t="shared" si="441"/>
        <v>-4.5281499558262883E-3</v>
      </c>
      <c r="W150" s="10"/>
      <c r="X150" s="129">
        <f t="shared" ref="X150:AG150" si="522">X33/X25</f>
        <v>0.73054417788180215</v>
      </c>
      <c r="Y150" s="129">
        <f t="shared" si="522"/>
        <v>0.73054417788180215</v>
      </c>
      <c r="Z150" s="129">
        <f t="shared" si="522"/>
        <v>0.73054417788180226</v>
      </c>
      <c r="AA150" s="129">
        <f t="shared" si="522"/>
        <v>0.73054417788180226</v>
      </c>
      <c r="AB150" s="129">
        <f t="shared" si="522"/>
        <v>0.73054417788180226</v>
      </c>
      <c r="AC150" s="129">
        <f t="shared" si="522"/>
        <v>0.73054417788180226</v>
      </c>
      <c r="AD150" s="129">
        <f t="shared" si="522"/>
        <v>0.73054417788180226</v>
      </c>
      <c r="AE150" s="129">
        <f t="shared" si="522"/>
        <v>0.73054417788180226</v>
      </c>
      <c r="AF150" s="129">
        <f t="shared" si="522"/>
        <v>0.73054417788180215</v>
      </c>
      <c r="AG150" s="129">
        <f t="shared" si="522"/>
        <v>0.73054417788180215</v>
      </c>
      <c r="AH150" s="116">
        <f t="shared" si="327"/>
        <v>-2.3565418699817986E-3</v>
      </c>
      <c r="AI150" s="10"/>
      <c r="AJ150" s="10"/>
    </row>
    <row r="151" spans="2:36">
      <c r="B151" s="10" t="str">
        <f>B34</f>
        <v>2nd highest Expenses Comp. ( Power and Fuel )</v>
      </c>
      <c r="C151" s="10"/>
      <c r="D151" s="10"/>
      <c r="E151" s="10"/>
      <c r="F151" s="129"/>
      <c r="G151" s="129">
        <f t="shared" ref="G151" si="523">G34/G25</f>
        <v>0.10766045548654245</v>
      </c>
      <c r="H151" s="129">
        <f t="shared" ref="H151:I151" si="524">H34/H25</f>
        <v>8.098591549295775E-2</v>
      </c>
      <c r="I151" s="129">
        <f t="shared" si="524"/>
        <v>7.3529411764705885E-2</v>
      </c>
      <c r="J151" s="129">
        <f t="shared" ref="J151:T151" si="525">J34/J25</f>
        <v>6.5641025641025641E-2</v>
      </c>
      <c r="K151" s="129">
        <f t="shared" si="525"/>
        <v>6.6782307025151783E-2</v>
      </c>
      <c r="L151" s="129">
        <f t="shared" si="525"/>
        <v>9.047292666209733E-2</v>
      </c>
      <c r="M151" s="129">
        <f t="shared" si="525"/>
        <v>4.8354600402955E-2</v>
      </c>
      <c r="N151" s="129">
        <f t="shared" si="525"/>
        <v>4.2612064194798009E-2</v>
      </c>
      <c r="O151" s="129">
        <f t="shared" si="525"/>
        <v>7.2862880091795756E-2</v>
      </c>
      <c r="P151" s="129">
        <f t="shared" si="525"/>
        <v>6.5506184150251945E-2</v>
      </c>
      <c r="Q151" s="129">
        <f t="shared" si="525"/>
        <v>5.1398601398601397E-2</v>
      </c>
      <c r="R151" s="129">
        <f t="shared" si="525"/>
        <v>1.6456692913385827E-2</v>
      </c>
      <c r="S151" s="129">
        <f t="shared" si="525"/>
        <v>1.8378063010501749E-2</v>
      </c>
      <c r="T151" s="129">
        <f t="shared" si="525"/>
        <v>2.1064950263311878E-2</v>
      </c>
      <c r="U151" s="129">
        <f t="shared" ref="U151" si="526">U34/U25</f>
        <v>2.1064950263311878E-2</v>
      </c>
      <c r="V151" s="101">
        <f t="shared" si="441"/>
        <v>-0.10999353997544536</v>
      </c>
      <c r="W151" s="10"/>
      <c r="X151" s="129">
        <f t="shared" ref="X151:AG151" si="527">X34/X25</f>
        <v>2.1064950263311878E-2</v>
      </c>
      <c r="Y151" s="129">
        <f t="shared" si="527"/>
        <v>2.1064950263311878E-2</v>
      </c>
      <c r="Z151" s="129">
        <f t="shared" si="527"/>
        <v>2.1064950263311878E-2</v>
      </c>
      <c r="AA151" s="129">
        <f t="shared" si="527"/>
        <v>2.1064950263311878E-2</v>
      </c>
      <c r="AB151" s="129">
        <f t="shared" si="527"/>
        <v>2.1064950263311878E-2</v>
      </c>
      <c r="AC151" s="129">
        <f t="shared" si="527"/>
        <v>2.1064950263311878E-2</v>
      </c>
      <c r="AD151" s="129">
        <f t="shared" si="527"/>
        <v>2.1064950263311878E-2</v>
      </c>
      <c r="AE151" s="129">
        <f t="shared" si="527"/>
        <v>2.1064950263311878E-2</v>
      </c>
      <c r="AF151" s="129">
        <f t="shared" si="527"/>
        <v>2.1064950263311878E-2</v>
      </c>
      <c r="AG151" s="129">
        <f t="shared" si="527"/>
        <v>2.1064950263311878E-2</v>
      </c>
      <c r="AH151" s="116">
        <f t="shared" si="327"/>
        <v>-4.8215820449480251E-2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0"/>
      <c r="W152" s="1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01" t="e">
        <f t="shared" si="441"/>
        <v>#DIV/0!</v>
      </c>
      <c r="W153" s="1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>
        <f t="shared" ref="G154" si="528">G15/G9</f>
        <v>12.315789473684211</v>
      </c>
      <c r="H154" s="15">
        <f t="shared" ref="H154:I154" si="529">H15/H9</f>
        <v>9.3255813953488378</v>
      </c>
      <c r="I154" s="15">
        <f t="shared" si="529"/>
        <v>18.068965517241381</v>
      </c>
      <c r="J154" s="15">
        <f t="shared" ref="J154:T154" si="530">J15/J9</f>
        <v>3.8956043956043955</v>
      </c>
      <c r="K154" s="15">
        <f t="shared" si="530"/>
        <v>5.5238095238095237</v>
      </c>
      <c r="L154" s="15">
        <f t="shared" si="530"/>
        <v>6.0347222222222223</v>
      </c>
      <c r="M154" s="15">
        <f t="shared" si="530"/>
        <v>4.6731707317073168</v>
      </c>
      <c r="N154" s="15">
        <f t="shared" si="530"/>
        <v>4.3343949044585983</v>
      </c>
      <c r="O154" s="15">
        <f t="shared" si="530"/>
        <v>3.6982543640897756</v>
      </c>
      <c r="P154" s="15">
        <f t="shared" si="530"/>
        <v>4.6163522012578619</v>
      </c>
      <c r="Q154" s="15">
        <f t="shared" si="530"/>
        <v>6.4447949526813879</v>
      </c>
      <c r="R154" s="15">
        <f t="shared" si="530"/>
        <v>5.4139341269261658</v>
      </c>
      <c r="S154" s="15">
        <f t="shared" si="530"/>
        <v>7.5645918367346932</v>
      </c>
      <c r="T154" s="15">
        <f t="shared" si="530"/>
        <v>5.0425055928411631</v>
      </c>
      <c r="U154" s="15">
        <f t="shared" ref="U154" si="531">U15/U9</f>
        <v>5.0425055928411631</v>
      </c>
      <c r="V154" s="101">
        <f t="shared" si="441"/>
        <v>-6.1792572976764992E-2</v>
      </c>
      <c r="W154" s="10"/>
      <c r="X154" s="10">
        <f t="shared" ref="X154:AG154" si="532">X15/X9</f>
        <v>5.042505592841164</v>
      </c>
      <c r="Y154" s="10">
        <f t="shared" si="532"/>
        <v>5.0425055928411631</v>
      </c>
      <c r="Z154" s="10">
        <f t="shared" si="532"/>
        <v>5.042505592841164</v>
      </c>
      <c r="AA154" s="10">
        <f t="shared" si="532"/>
        <v>5.042505592841164</v>
      </c>
      <c r="AB154" s="10">
        <f t="shared" si="532"/>
        <v>5.0425055928411648</v>
      </c>
      <c r="AC154" s="10">
        <f t="shared" si="532"/>
        <v>5.0425055928411648</v>
      </c>
      <c r="AD154" s="10">
        <f t="shared" si="532"/>
        <v>5.0425055928411648</v>
      </c>
      <c r="AE154" s="10">
        <f t="shared" si="532"/>
        <v>5.0425055928411648</v>
      </c>
      <c r="AF154" s="10">
        <f t="shared" si="532"/>
        <v>5.0425055928411657</v>
      </c>
      <c r="AG154" s="10">
        <f t="shared" si="532"/>
        <v>5.0425055928411648</v>
      </c>
      <c r="AH154" s="116">
        <f t="shared" si="327"/>
        <v>1.1282927915385654E-2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>
        <f t="shared" ref="G155" si="533">G12/G9</f>
        <v>1.0526315789473684</v>
      </c>
      <c r="H155" s="15">
        <f t="shared" ref="H155:I155" si="534">H12/H9</f>
        <v>0.30232558139534882</v>
      </c>
      <c r="I155" s="15">
        <f t="shared" si="534"/>
        <v>2.2758620689655173</v>
      </c>
      <c r="J155" s="15">
        <f t="shared" ref="J155:T155" si="535">J12/J9</f>
        <v>0.2087912087912088</v>
      </c>
      <c r="K155" s="15">
        <f t="shared" si="535"/>
        <v>0.24338624338624337</v>
      </c>
      <c r="L155" s="15">
        <f t="shared" si="535"/>
        <v>0.22916666666666666</v>
      </c>
      <c r="M155" s="15">
        <f t="shared" si="535"/>
        <v>0.21463414634146341</v>
      </c>
      <c r="N155" s="15">
        <f t="shared" si="535"/>
        <v>1.6878980891719745E-2</v>
      </c>
      <c r="O155" s="15">
        <f t="shared" si="535"/>
        <v>4.2394014962593519E-2</v>
      </c>
      <c r="P155" s="15">
        <f t="shared" si="535"/>
        <v>4.0880503144654086E-2</v>
      </c>
      <c r="Q155" s="15">
        <f t="shared" si="535"/>
        <v>0.20820189274447951</v>
      </c>
      <c r="R155" s="15">
        <f t="shared" si="535"/>
        <v>5.9251685776187342E-2</v>
      </c>
      <c r="S155" s="15">
        <f t="shared" si="535"/>
        <v>8.2789115646258502E-2</v>
      </c>
      <c r="T155" s="15">
        <f t="shared" si="535"/>
        <v>8.948545861297539E-3</v>
      </c>
      <c r="U155" s="15">
        <f t="shared" ref="U155" si="536">U12/U9</f>
        <v>8.948545861297539E-3</v>
      </c>
      <c r="V155" s="101">
        <f t="shared" si="441"/>
        <v>-0.28861380383774526</v>
      </c>
      <c r="W155" s="110"/>
      <c r="X155" s="10">
        <f t="shared" ref="X155:AG155" si="537">X12/X9</f>
        <v>8.948545861297539E-3</v>
      </c>
      <c r="Y155" s="10">
        <f t="shared" si="537"/>
        <v>8.948545861297539E-3</v>
      </c>
      <c r="Z155" s="10">
        <f t="shared" si="537"/>
        <v>8.948545861297539E-3</v>
      </c>
      <c r="AA155" s="10">
        <f t="shared" si="537"/>
        <v>8.9485458612975407E-3</v>
      </c>
      <c r="AB155" s="10">
        <f t="shared" si="537"/>
        <v>8.9485458612975407E-3</v>
      </c>
      <c r="AC155" s="10">
        <f t="shared" si="537"/>
        <v>8.9485458612975407E-3</v>
      </c>
      <c r="AD155" s="10">
        <f t="shared" si="537"/>
        <v>8.9485458612975407E-3</v>
      </c>
      <c r="AE155" s="10">
        <f t="shared" si="537"/>
        <v>8.9485458612975407E-3</v>
      </c>
      <c r="AF155" s="10">
        <f t="shared" si="537"/>
        <v>8.9485458612975424E-3</v>
      </c>
      <c r="AG155" s="10">
        <f t="shared" si="537"/>
        <v>8.9485458612975424E-3</v>
      </c>
      <c r="AH155" s="101">
        <f t="shared" ref="AH155" si="538">((AG155/X155)^(1/($K$2-$K$1) ))-1</f>
        <v>0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539">G25/360</f>
        <v>1.3416666666666666</v>
      </c>
      <c r="H156" s="15">
        <f t="shared" ref="H156:I156" si="540">H25/360</f>
        <v>1.5777777777777777</v>
      </c>
      <c r="I156" s="15">
        <f t="shared" si="540"/>
        <v>2.0777777777777779</v>
      </c>
      <c r="J156" s="15">
        <f t="shared" ref="J156:T156" si="541">J25/360</f>
        <v>2.7083333333333335</v>
      </c>
      <c r="K156" s="15">
        <f t="shared" si="541"/>
        <v>3.2027777777777779</v>
      </c>
      <c r="L156" s="15">
        <f t="shared" si="541"/>
        <v>4.052777777777778</v>
      </c>
      <c r="M156" s="15">
        <f t="shared" si="541"/>
        <v>4.1361111111111111</v>
      </c>
      <c r="N156" s="15">
        <f t="shared" si="541"/>
        <v>5.0194444444444448</v>
      </c>
      <c r="O156" s="15">
        <f t="shared" si="541"/>
        <v>4.8416666666666668</v>
      </c>
      <c r="P156" s="15">
        <f t="shared" si="541"/>
        <v>6.0638888888888891</v>
      </c>
      <c r="Q156" s="15">
        <f t="shared" si="541"/>
        <v>7.9444444444444446</v>
      </c>
      <c r="R156" s="15">
        <f t="shared" si="541"/>
        <v>9.1722222222222225</v>
      </c>
      <c r="S156" s="15">
        <f t="shared" si="541"/>
        <v>9.5222222222222221</v>
      </c>
      <c r="T156" s="15">
        <f t="shared" si="541"/>
        <v>9.4944444444444436</v>
      </c>
      <c r="U156" s="15">
        <f t="shared" ref="U156" si="542">U25/360</f>
        <v>9.4944444444444436</v>
      </c>
      <c r="V156" s="101">
        <f t="shared" si="441"/>
        <v>0.15001043356778365</v>
      </c>
      <c r="W156" s="110"/>
      <c r="X156" s="15">
        <f t="shared" ref="X156:AG156" si="543">X25/360</f>
        <v>10.91861111111111</v>
      </c>
      <c r="Y156" s="15">
        <f t="shared" si="543"/>
        <v>12.556402777777777</v>
      </c>
      <c r="Z156" s="15">
        <f t="shared" si="543"/>
        <v>14.43986319444444</v>
      </c>
      <c r="AA156" s="15">
        <f t="shared" si="543"/>
        <v>16.605842673611107</v>
      </c>
      <c r="AB156" s="15">
        <f t="shared" si="543"/>
        <v>19.096719074652771</v>
      </c>
      <c r="AC156" s="15">
        <f t="shared" si="543"/>
        <v>21.961226935850682</v>
      </c>
      <c r="AD156" s="15">
        <f t="shared" si="543"/>
        <v>25.255410976228283</v>
      </c>
      <c r="AE156" s="15">
        <f t="shared" si="543"/>
        <v>29.043722622662521</v>
      </c>
      <c r="AF156" s="15">
        <f t="shared" si="543"/>
        <v>33.400281016061896</v>
      </c>
      <c r="AG156" s="15">
        <f t="shared" si="543"/>
        <v>38.41032316847118</v>
      </c>
      <c r="AH156" s="101">
        <f t="shared" ref="AH156:AH167" si="544">((AG156/X156)^(1/($K$2-$K$1) ))-1</f>
        <v>9.4006847318931053E-2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545">G27/360</f>
        <v>1.2416666666666667</v>
      </c>
      <c r="H157" s="15">
        <f t="shared" ref="H157:I157" si="546">H27/360</f>
        <v>1.4555555555555555</v>
      </c>
      <c r="I157" s="15">
        <f t="shared" si="546"/>
        <v>1.8222222222222222</v>
      </c>
      <c r="J157" s="15">
        <f t="shared" ref="J157:T157" si="547">J27/360</f>
        <v>2.3722222222222222</v>
      </c>
      <c r="K157" s="15">
        <f t="shared" si="547"/>
        <v>2.7722222222222221</v>
      </c>
      <c r="L157" s="15">
        <f t="shared" si="547"/>
        <v>3.4722222222222223</v>
      </c>
      <c r="M157" s="15">
        <f t="shared" si="547"/>
        <v>3.5249999999999999</v>
      </c>
      <c r="N157" s="15">
        <f t="shared" si="547"/>
        <v>4.3472222222222223</v>
      </c>
      <c r="O157" s="15">
        <f t="shared" si="547"/>
        <v>4.2583333333333337</v>
      </c>
      <c r="P157" s="15">
        <f t="shared" si="547"/>
        <v>5.2</v>
      </c>
      <c r="Q157" s="15">
        <f t="shared" si="547"/>
        <v>6.666666666666667</v>
      </c>
      <c r="R157" s="15">
        <f t="shared" si="547"/>
        <v>7.7055555555555557</v>
      </c>
      <c r="S157" s="15">
        <f t="shared" si="547"/>
        <v>8.0611111111111118</v>
      </c>
      <c r="T157" s="15">
        <f t="shared" si="547"/>
        <v>7.677777777777778</v>
      </c>
      <c r="U157" s="15">
        <f t="shared" ref="U157" si="548">U27/360</f>
        <v>7.677777777777778</v>
      </c>
      <c r="V157" s="101">
        <f t="shared" si="441"/>
        <v>0.13898096321926445</v>
      </c>
      <c r="W157" s="110"/>
      <c r="X157" s="15">
        <f t="shared" ref="X157:AG157" si="549">X27/360</f>
        <v>8.8294444444444444</v>
      </c>
      <c r="Y157" s="15">
        <f t="shared" si="549"/>
        <v>10.153861111111109</v>
      </c>
      <c r="Z157" s="15">
        <f t="shared" si="549"/>
        <v>11.676940277777774</v>
      </c>
      <c r="AA157" s="15">
        <f t="shared" si="549"/>
        <v>13.42848131944444</v>
      </c>
      <c r="AB157" s="15">
        <f t="shared" si="549"/>
        <v>15.442753517361105</v>
      </c>
      <c r="AC157" s="15">
        <f t="shared" si="549"/>
        <v>17.759166544965268</v>
      </c>
      <c r="AD157" s="15">
        <f t="shared" si="549"/>
        <v>20.423041526710058</v>
      </c>
      <c r="AE157" s="15">
        <f t="shared" si="549"/>
        <v>23.486497755716563</v>
      </c>
      <c r="AF157" s="15">
        <f t="shared" si="549"/>
        <v>27.009472419074044</v>
      </c>
      <c r="AG157" s="15">
        <f t="shared" si="549"/>
        <v>31.060893281935151</v>
      </c>
      <c r="AH157" s="101">
        <f t="shared" si="544"/>
        <v>9.4006847318931053E-2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10"/>
      <c r="W158" s="1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>
        <f t="shared" ref="G159" si="550">G10/G7</f>
        <v>1.1466666666666667</v>
      </c>
      <c r="H159" s="15">
        <f t="shared" ref="H159:I159" si="551">H10/H7</f>
        <v>1.6629213483146068</v>
      </c>
      <c r="I159" s="15">
        <f t="shared" si="551"/>
        <v>1.6992481203007519</v>
      </c>
      <c r="J159" s="15">
        <f t="shared" ref="J159:T159" si="552">J10/J7</f>
        <v>1.5659163987138263</v>
      </c>
      <c r="K159" s="15">
        <f t="shared" si="552"/>
        <v>2.1385041551246537</v>
      </c>
      <c r="L159" s="15">
        <f t="shared" si="552"/>
        <v>1.4218009478672986</v>
      </c>
      <c r="M159" s="15">
        <f t="shared" si="552"/>
        <v>1.1289719626168224</v>
      </c>
      <c r="N159" s="15">
        <f t="shared" si="552"/>
        <v>0.13959981386691483</v>
      </c>
      <c r="O159" s="15">
        <f t="shared" si="552"/>
        <v>1.2203626220362622</v>
      </c>
      <c r="P159" s="15">
        <f t="shared" si="552"/>
        <v>1.0072376357056694</v>
      </c>
      <c r="Q159" s="15">
        <f t="shared" si="552"/>
        <v>1.2607861936720997</v>
      </c>
      <c r="R159" s="15">
        <f t="shared" si="552"/>
        <v>0.96786253776435049</v>
      </c>
      <c r="S159" s="15">
        <f t="shared" si="552"/>
        <v>0.78907019704433501</v>
      </c>
      <c r="T159" s="15">
        <f t="shared" si="552"/>
        <v>0.55165180912427902</v>
      </c>
      <c r="U159" s="15">
        <f t="shared" ref="U159" si="553">U10/U7</f>
        <v>0.55165180912427902</v>
      </c>
      <c r="V159" s="101">
        <f t="shared" si="441"/>
        <v>-5.0921817468875252E-2</v>
      </c>
      <c r="W159" s="110"/>
      <c r="X159" s="15">
        <f t="shared" ref="X159:AG159" si="554">X10/X7</f>
        <v>0.55165180912427902</v>
      </c>
      <c r="Y159" s="15">
        <f t="shared" si="554"/>
        <v>0.55165180912427891</v>
      </c>
      <c r="Z159" s="15">
        <f t="shared" si="554"/>
        <v>0.55165180912427891</v>
      </c>
      <c r="AA159" s="15">
        <f t="shared" si="554"/>
        <v>0.55165180912427891</v>
      </c>
      <c r="AB159" s="15">
        <f t="shared" si="554"/>
        <v>0.55165180912427891</v>
      </c>
      <c r="AC159" s="15">
        <f t="shared" si="554"/>
        <v>0.5516518091242788</v>
      </c>
      <c r="AD159" s="15">
        <f t="shared" si="554"/>
        <v>0.5516518091242788</v>
      </c>
      <c r="AE159" s="15">
        <f t="shared" si="554"/>
        <v>0.5516518091242788</v>
      </c>
      <c r="AF159" s="15">
        <f t="shared" si="554"/>
        <v>0.5516518091242788</v>
      </c>
      <c r="AG159" s="15">
        <f t="shared" si="554"/>
        <v>0.5516518091242788</v>
      </c>
      <c r="AH159" s="101">
        <f t="shared" si="544"/>
        <v>0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>
        <f t="shared" ref="G160" si="555">G10/(G10+G7)</f>
        <v>0.53416149068322982</v>
      </c>
      <c r="H160" s="15">
        <f t="shared" ref="H160:I160" si="556">H10/(H10+H7)</f>
        <v>0.62447257383966248</v>
      </c>
      <c r="I160" s="15">
        <f t="shared" si="556"/>
        <v>0.62952646239554322</v>
      </c>
      <c r="J160" s="15">
        <f t="shared" ref="J160:T160" si="557">J10/(J10+J7)</f>
        <v>0.61027568922305764</v>
      </c>
      <c r="K160" s="15">
        <f t="shared" si="557"/>
        <v>0.68137687555163284</v>
      </c>
      <c r="L160" s="15">
        <f t="shared" si="557"/>
        <v>0.58708414872798431</v>
      </c>
      <c r="M160" s="15">
        <f t="shared" si="557"/>
        <v>0.53028972783143113</v>
      </c>
      <c r="N160" s="15">
        <f t="shared" si="557"/>
        <v>0.12249897917517354</v>
      </c>
      <c r="O160" s="15">
        <f t="shared" si="557"/>
        <v>0.54962311557788945</v>
      </c>
      <c r="P160" s="15">
        <f t="shared" si="557"/>
        <v>0.50180288461538458</v>
      </c>
      <c r="Q160" s="15">
        <f t="shared" si="557"/>
        <v>0.55767599660729428</v>
      </c>
      <c r="R160" s="15">
        <f t="shared" si="557"/>
        <v>0.49183442399585492</v>
      </c>
      <c r="S160" s="15">
        <f t="shared" si="557"/>
        <v>0.44105043969092572</v>
      </c>
      <c r="T160" s="15">
        <f t="shared" si="557"/>
        <v>0.35552551537681648</v>
      </c>
      <c r="U160" s="15">
        <f t="shared" ref="U160" si="558">U10/(U10+U7)</f>
        <v>0.35552551537681648</v>
      </c>
      <c r="V160" s="101">
        <f t="shared" si="441"/>
        <v>-2.8659940704010345E-2</v>
      </c>
      <c r="W160" s="110"/>
      <c r="X160" s="15">
        <f t="shared" ref="X160:AG160" si="559">X10/(X10+X7)</f>
        <v>0.35552551537681654</v>
      </c>
      <c r="Y160" s="15">
        <f t="shared" si="559"/>
        <v>0.35552551537681648</v>
      </c>
      <c r="Z160" s="15">
        <f t="shared" si="559"/>
        <v>0.35552551537681654</v>
      </c>
      <c r="AA160" s="15">
        <f t="shared" si="559"/>
        <v>0.35552551537681648</v>
      </c>
      <c r="AB160" s="15">
        <f t="shared" si="559"/>
        <v>0.35552551537681648</v>
      </c>
      <c r="AC160" s="15">
        <f t="shared" si="559"/>
        <v>0.35552551537681643</v>
      </c>
      <c r="AD160" s="15">
        <f t="shared" si="559"/>
        <v>0.35552551537681643</v>
      </c>
      <c r="AE160" s="15">
        <f t="shared" si="559"/>
        <v>0.35552551537681637</v>
      </c>
      <c r="AF160" s="15">
        <f t="shared" si="559"/>
        <v>0.35552551537681643</v>
      </c>
      <c r="AG160" s="15">
        <f t="shared" si="559"/>
        <v>0.35552551537681648</v>
      </c>
      <c r="AH160" s="101">
        <f t="shared" si="544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10"/>
      <c r="W161" s="1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560">G16</f>
        <v>239</v>
      </c>
      <c r="H162" s="15">
        <f t="shared" ref="H162:I162" si="561">H16</f>
        <v>366</v>
      </c>
      <c r="I162" s="15">
        <f t="shared" si="561"/>
        <v>571</v>
      </c>
      <c r="J162" s="15">
        <f t="shared" ref="J162:T162" si="562">J16</f>
        <v>551</v>
      </c>
      <c r="K162" s="15">
        <f t="shared" si="562"/>
        <v>898</v>
      </c>
      <c r="L162" s="15">
        <f t="shared" si="562"/>
        <v>772</v>
      </c>
      <c r="M162" s="15">
        <f t="shared" si="562"/>
        <v>786</v>
      </c>
      <c r="N162" s="15">
        <f t="shared" si="562"/>
        <v>1133</v>
      </c>
      <c r="O162" s="15">
        <f t="shared" si="562"/>
        <v>1160</v>
      </c>
      <c r="P162" s="15">
        <f t="shared" si="562"/>
        <v>1202</v>
      </c>
      <c r="Q162" s="15">
        <f t="shared" si="562"/>
        <v>1777</v>
      </c>
      <c r="R162" s="15">
        <f t="shared" si="562"/>
        <v>1847.21</v>
      </c>
      <c r="S162" s="15">
        <f t="shared" si="562"/>
        <v>1847.21</v>
      </c>
      <c r="T162" s="15">
        <f t="shared" si="562"/>
        <v>1935</v>
      </c>
      <c r="U162" s="15">
        <f t="shared" ref="U162" si="563">U16</f>
        <v>1935</v>
      </c>
      <c r="V162" s="101">
        <f t="shared" si="441"/>
        <v>0.16112068521565637</v>
      </c>
      <c r="W162" s="110"/>
      <c r="X162" s="15">
        <f t="shared" ref="X162:AG162" si="564">X16</f>
        <v>2225.25</v>
      </c>
      <c r="Y162" s="15">
        <f t="shared" si="564"/>
        <v>2559.0374999999999</v>
      </c>
      <c r="Z162" s="15">
        <f t="shared" si="564"/>
        <v>2942.8931249999996</v>
      </c>
      <c r="AA162" s="15">
        <f t="shared" si="564"/>
        <v>3384.3270937499992</v>
      </c>
      <c r="AB162" s="15">
        <f t="shared" si="564"/>
        <v>3891.976157812499</v>
      </c>
      <c r="AC162" s="15">
        <f t="shared" si="564"/>
        <v>4475.7725814843734</v>
      </c>
      <c r="AD162" s="15">
        <f t="shared" si="564"/>
        <v>5147.1384687070295</v>
      </c>
      <c r="AE162" s="15">
        <f t="shared" si="564"/>
        <v>5919.2092390130838</v>
      </c>
      <c r="AF162" s="15">
        <f t="shared" si="564"/>
        <v>6807.0906248650463</v>
      </c>
      <c r="AG162" s="15">
        <f t="shared" si="564"/>
        <v>7828.1542185948028</v>
      </c>
      <c r="AH162" s="101">
        <f t="shared" si="544"/>
        <v>9.4006847318931053E-2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>
        <f t="shared" ref="G163" si="565">G162*365/G25</f>
        <v>180.61076604554864</v>
      </c>
      <c r="H163" s="102">
        <f t="shared" ref="H163:I163" si="566">H162*365/H25</f>
        <v>235.19366197183098</v>
      </c>
      <c r="I163" s="102">
        <f t="shared" si="566"/>
        <v>278.62967914438502</v>
      </c>
      <c r="J163" s="102">
        <f t="shared" ref="J163:T163" si="567">J162*365/J25</f>
        <v>206.27179487179487</v>
      </c>
      <c r="K163" s="102">
        <f t="shared" si="567"/>
        <v>284.27580225498701</v>
      </c>
      <c r="L163" s="102">
        <f t="shared" si="567"/>
        <v>193.13228238519534</v>
      </c>
      <c r="M163" s="102">
        <f t="shared" si="567"/>
        <v>192.67293485560779</v>
      </c>
      <c r="N163" s="102">
        <f t="shared" si="567"/>
        <v>228.85722191477586</v>
      </c>
      <c r="O163" s="102">
        <f t="shared" si="567"/>
        <v>242.91451520367184</v>
      </c>
      <c r="P163" s="102">
        <f t="shared" si="567"/>
        <v>200.97572148419607</v>
      </c>
      <c r="Q163" s="102">
        <f t="shared" si="567"/>
        <v>226.78496503496504</v>
      </c>
      <c r="R163" s="102">
        <f t="shared" si="567"/>
        <v>204.18887038158692</v>
      </c>
      <c r="S163" s="102">
        <f t="shared" si="567"/>
        <v>196.68367852975496</v>
      </c>
      <c r="T163" s="102">
        <f t="shared" si="567"/>
        <v>206.63399648917496</v>
      </c>
      <c r="U163" s="102">
        <f t="shared" ref="U163" si="568">U162*365/U25</f>
        <v>206.63399648917496</v>
      </c>
      <c r="V163" s="101">
        <f t="shared" si="441"/>
        <v>9.6610007384057006E-3</v>
      </c>
      <c r="W163" s="110"/>
      <c r="X163" s="102">
        <f t="shared" ref="X163:AG163" si="569">X162*365/X25</f>
        <v>206.63399648917496</v>
      </c>
      <c r="Y163" s="102">
        <f t="shared" si="569"/>
        <v>206.63399648917499</v>
      </c>
      <c r="Z163" s="102">
        <f t="shared" si="569"/>
        <v>206.63399648917499</v>
      </c>
      <c r="AA163" s="102">
        <f t="shared" si="569"/>
        <v>206.63399648917496</v>
      </c>
      <c r="AB163" s="102">
        <f t="shared" si="569"/>
        <v>206.63399648917499</v>
      </c>
      <c r="AC163" s="102">
        <f t="shared" si="569"/>
        <v>206.63399648917499</v>
      </c>
      <c r="AD163" s="102">
        <f t="shared" si="569"/>
        <v>206.63399648917502</v>
      </c>
      <c r="AE163" s="102">
        <f t="shared" si="569"/>
        <v>206.63399648917502</v>
      </c>
      <c r="AF163" s="102">
        <f t="shared" si="569"/>
        <v>206.63399648917505</v>
      </c>
      <c r="AG163" s="102">
        <f t="shared" si="569"/>
        <v>206.63399648917502</v>
      </c>
      <c r="AH163" s="101">
        <f t="shared" si="544"/>
        <v>0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>
        <f t="shared" ref="G164" si="570">G98/G29</f>
        <v>1.878339269813001</v>
      </c>
      <c r="H164" s="112">
        <f t="shared" ref="H164:I164" si="571">H98/H29</f>
        <v>1.9299136617572372</v>
      </c>
      <c r="I164" s="112">
        <f t="shared" si="571"/>
        <v>1.2570043919430562</v>
      </c>
      <c r="J164" s="112">
        <f t="shared" ref="J164:T164" si="572">J98/J29</f>
        <v>1.0556450169976741</v>
      </c>
      <c r="K164" s="112">
        <f t="shared" si="572"/>
        <v>0.9749920861031971</v>
      </c>
      <c r="L164" s="112">
        <f t="shared" si="572"/>
        <v>0.86287003849727861</v>
      </c>
      <c r="M164" s="112">
        <f t="shared" si="572"/>
        <v>0.19294431059136943</v>
      </c>
      <c r="N164" s="112">
        <f t="shared" si="572"/>
        <v>0.19367887014945839</v>
      </c>
      <c r="O164" s="112">
        <f t="shared" si="572"/>
        <v>0.13280836810248575</v>
      </c>
      <c r="P164" s="112">
        <f t="shared" si="572"/>
        <v>0.15730445660168688</v>
      </c>
      <c r="Q164" s="112">
        <f t="shared" si="572"/>
        <v>0.24604648041693691</v>
      </c>
      <c r="R164" s="112">
        <f t="shared" si="572"/>
        <v>0.25642443521671271</v>
      </c>
      <c r="S164" s="112">
        <f t="shared" si="572"/>
        <v>0.35703678439462283</v>
      </c>
      <c r="T164" s="112">
        <f t="shared" si="572"/>
        <v>0.49666124690552232</v>
      </c>
      <c r="U164" s="112">
        <f t="shared" ref="U164" si="573">U98/U29</f>
        <v>0.49666124690552232</v>
      </c>
      <c r="V164" s="101">
        <f t="shared" si="441"/>
        <v>-9.0642336396936196E-2</v>
      </c>
      <c r="W164" s="110"/>
      <c r="X164" s="112">
        <f t="shared" ref="X164:AG164" si="574">X98/X29</f>
        <v>0.4869227910838454</v>
      </c>
      <c r="Y164" s="112">
        <f t="shared" si="574"/>
        <v>0.47737528537631901</v>
      </c>
      <c r="Z164" s="112">
        <f t="shared" si="574"/>
        <v>0.46801498566305771</v>
      </c>
      <c r="AA164" s="112">
        <f t="shared" si="574"/>
        <v>0.45883822123829193</v>
      </c>
      <c r="AB164" s="112">
        <f t="shared" si="574"/>
        <v>0.44984139337087442</v>
      </c>
      <c r="AC164" s="112">
        <f t="shared" si="574"/>
        <v>0.44102097389301415</v>
      </c>
      <c r="AD164" s="112">
        <f t="shared" si="574"/>
        <v>0.43237350381668055</v>
      </c>
      <c r="AE164" s="112">
        <f t="shared" si="574"/>
        <v>0.42389559197713778</v>
      </c>
      <c r="AF164" s="112">
        <f t="shared" si="574"/>
        <v>0.41558391370307624</v>
      </c>
      <c r="AG164" s="112">
        <f t="shared" si="574"/>
        <v>0.40743520951281986</v>
      </c>
      <c r="AH164" s="101">
        <f t="shared" si="544"/>
        <v>-1.2649573391514068E-2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0"/>
      <c r="W165" s="1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7"/>
      <c r="G166" s="157">
        <f t="shared" ref="G166" si="575">G25/G14</f>
        <v>2.625</v>
      </c>
      <c r="H166" s="157">
        <f t="shared" ref="H166:I166" si="576">H25/H14</f>
        <v>1.868421052631579</v>
      </c>
      <c r="I166" s="157">
        <f t="shared" si="576"/>
        <v>1.9840848806366047</v>
      </c>
      <c r="J166" s="157">
        <f t="shared" ref="J166:T166" si="577">J25/J14</f>
        <v>1.6781411359724612</v>
      </c>
      <c r="K166" s="157">
        <f t="shared" si="577"/>
        <v>1.3824940047961631</v>
      </c>
      <c r="L166" s="157">
        <f t="shared" si="577"/>
        <v>1.851522842639594</v>
      </c>
      <c r="M166" s="157">
        <f t="shared" si="577"/>
        <v>1.9065300896286812</v>
      </c>
      <c r="N166" s="157">
        <f t="shared" si="577"/>
        <v>1.4958609271523178</v>
      </c>
      <c r="O166" s="157">
        <f t="shared" si="577"/>
        <v>1.4090541632983022</v>
      </c>
      <c r="P166" s="157">
        <f t="shared" si="577"/>
        <v>1.7325396825396826</v>
      </c>
      <c r="Q166" s="157">
        <f t="shared" si="577"/>
        <v>1.6923076923076923</v>
      </c>
      <c r="R166" s="157">
        <f t="shared" si="577"/>
        <v>1.7755838401436814</v>
      </c>
      <c r="S166" s="157">
        <f t="shared" si="577"/>
        <v>1.8433377964907751</v>
      </c>
      <c r="T166" s="157">
        <f t="shared" si="577"/>
        <v>1.6929172857850421</v>
      </c>
      <c r="U166" s="157">
        <f t="shared" ref="U166" si="578">U25/U14</f>
        <v>1.6929172857850421</v>
      </c>
      <c r="V166" s="101">
        <f t="shared" si="441"/>
        <v>-3.0844830702304482E-2</v>
      </c>
      <c r="W166" s="110"/>
      <c r="X166" s="10">
        <f t="shared" ref="X166:AG166" si="579">X25/X14</f>
        <v>1.6929172857850421</v>
      </c>
      <c r="Y166" s="10">
        <f t="shared" si="579"/>
        <v>1.6929172857850421</v>
      </c>
      <c r="Z166" s="10">
        <f t="shared" si="579"/>
        <v>1.6929172857850421</v>
      </c>
      <c r="AA166" s="10">
        <f t="shared" si="579"/>
        <v>1.6929172857850421</v>
      </c>
      <c r="AB166" s="10">
        <f t="shared" si="579"/>
        <v>1.6929172857850421</v>
      </c>
      <c r="AC166" s="10">
        <f t="shared" si="579"/>
        <v>1.6929172857850419</v>
      </c>
      <c r="AD166" s="10">
        <f t="shared" si="579"/>
        <v>1.6929172857850419</v>
      </c>
      <c r="AE166" s="10">
        <f t="shared" si="579"/>
        <v>1.6929172857850421</v>
      </c>
      <c r="AF166" s="10">
        <f t="shared" si="579"/>
        <v>1.6929172857850421</v>
      </c>
      <c r="AG166" s="10">
        <f t="shared" si="579"/>
        <v>1.6929172857850421</v>
      </c>
      <c r="AH166" s="101">
        <f t="shared" si="544"/>
        <v>0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7"/>
      <c r="G167" s="157">
        <f t="shared" ref="G167" si="580">G27/G14</f>
        <v>2.4293478260869565</v>
      </c>
      <c r="H167" s="157">
        <f t="shared" ref="H167:I167" si="581">H27/H14</f>
        <v>1.7236842105263157</v>
      </c>
      <c r="I167" s="157">
        <f t="shared" si="581"/>
        <v>1.7400530503978779</v>
      </c>
      <c r="J167" s="157">
        <f t="shared" ref="J167:T167" si="582">J27/J14</f>
        <v>1.4698795180722892</v>
      </c>
      <c r="K167" s="157">
        <f t="shared" si="582"/>
        <v>1.1966426858513191</v>
      </c>
      <c r="L167" s="157">
        <f t="shared" si="582"/>
        <v>1.5862944162436547</v>
      </c>
      <c r="M167" s="157">
        <f t="shared" si="582"/>
        <v>1.6248399487836107</v>
      </c>
      <c r="N167" s="157">
        <f t="shared" si="582"/>
        <v>1.2955298013245033</v>
      </c>
      <c r="O167" s="157">
        <f t="shared" si="582"/>
        <v>1.2392886014551334</v>
      </c>
      <c r="P167" s="157">
        <f t="shared" si="582"/>
        <v>1.4857142857142858</v>
      </c>
      <c r="Q167" s="157">
        <f t="shared" si="582"/>
        <v>1.4201183431952662</v>
      </c>
      <c r="R167" s="157">
        <f t="shared" si="582"/>
        <v>1.4916624992606216</v>
      </c>
      <c r="S167" s="157">
        <f t="shared" si="582"/>
        <v>1.5604919152322723</v>
      </c>
      <c r="T167" s="157">
        <f t="shared" si="582"/>
        <v>1.3689945517582962</v>
      </c>
      <c r="U167" s="157">
        <f t="shared" ref="U167" si="583">U27/U14</f>
        <v>1.3689945517582962</v>
      </c>
      <c r="V167" s="101">
        <f t="shared" si="441"/>
        <v>-4.0139762201074181E-2</v>
      </c>
      <c r="W167" s="110"/>
      <c r="X167" s="10">
        <f t="shared" ref="X167:AG167" si="584">X27/X14</f>
        <v>1.3689945517582962</v>
      </c>
      <c r="Y167" s="10">
        <f t="shared" si="584"/>
        <v>1.3689945517582962</v>
      </c>
      <c r="Z167" s="10">
        <f t="shared" si="584"/>
        <v>1.368994551758296</v>
      </c>
      <c r="AA167" s="10">
        <f t="shared" si="584"/>
        <v>1.3689945517582962</v>
      </c>
      <c r="AB167" s="10">
        <f t="shared" si="584"/>
        <v>1.3689945517582962</v>
      </c>
      <c r="AC167" s="10">
        <f t="shared" si="584"/>
        <v>1.368994551758296</v>
      </c>
      <c r="AD167" s="10">
        <f t="shared" si="584"/>
        <v>1.3689945517582962</v>
      </c>
      <c r="AE167" s="10">
        <f t="shared" si="584"/>
        <v>1.3689945517582962</v>
      </c>
      <c r="AF167" s="10">
        <f t="shared" si="584"/>
        <v>1.368994551758296</v>
      </c>
      <c r="AG167" s="10">
        <f t="shared" si="584"/>
        <v>1.368994551758296</v>
      </c>
      <c r="AH167" s="101">
        <f t="shared" si="544"/>
        <v>0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413</v>
      </c>
      <c r="U169" s="13" t="s">
        <v>413</v>
      </c>
      <c r="V169" s="13"/>
      <c r="W169" s="13" t="s">
        <v>513</v>
      </c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AVERAGE(P102:T102)</f>
        <v>12.258124814138238</v>
      </c>
      <c r="U170" s="112">
        <f>AVERAGE(Q102:U102)</f>
        <v>14.543693444921194</v>
      </c>
      <c r="V170" s="137">
        <f>AVERAGE(G72:T72)</f>
        <v>12.545675829696654</v>
      </c>
      <c r="W170" s="137">
        <f>AVERAGE(G102:T102)</f>
        <v>6.0444368919665248</v>
      </c>
      <c r="X170" s="171" t="s">
        <v>374</v>
      </c>
      <c r="Y170" s="172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67.427026190680621</v>
      </c>
      <c r="X171" s="112">
        <f>PV($C$1, ($AG$3-$X$3), 0, -AG72)</f>
        <v>9.3955692232915613</v>
      </c>
      <c r="Y171" s="112">
        <f>PV($C$1, ($AG$3-$X$3), 0, -AJ72)</f>
        <v>58.031456967389062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585">X172+Y172</f>
        <v>322.26400738252619</v>
      </c>
      <c r="X172" s="112">
        <f>PV($C$1, ($AG$3-$X$3), 0, -AG74)</f>
        <v>44.905640372974958</v>
      </c>
      <c r="Y172" s="112">
        <f>PV($C$1, ($AG$3-$X$3), 0, -AJ74)</f>
        <v>277.35836700955122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585"/>
        <v>318.34005864030155</v>
      </c>
      <c r="X173" s="112">
        <f>PV($C$1, ($AG$3-$X$3), 0, -AG75)</f>
        <v>44.358860630205953</v>
      </c>
      <c r="Y173" s="112">
        <f>PV($C$1, ($AG$3-$X$3), 0, -AJ75)</f>
        <v>273.98119801009562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585"/>
        <v>177.77752268821055</v>
      </c>
      <c r="X174" s="112">
        <f>PV($C$1, ($AG$3-$X$3), 0, -AG76)</f>
        <v>24.772277751635894</v>
      </c>
      <c r="Y174" s="112">
        <f>PV($C$1, ($AG$3-$X$3), 0, -AJ76)</f>
        <v>153.00524493657466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585"/>
        <v>0.67596016231258771</v>
      </c>
      <c r="X175" s="112">
        <f>PV($C$1, ($AG$3-$X$3), 0, -AG82)</f>
        <v>9.4191170158311383E-2</v>
      </c>
      <c r="Y175" s="112">
        <f>PV($C$1, ($AG$3-$X$3), 0, -AJ82)</f>
        <v>0.58176899215427635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585"/>
        <v>144.48648469431566</v>
      </c>
      <c r="X177" s="112">
        <f>PV($C$1, ($AG$3-$X$3), 0, -AG78)</f>
        <v>20.133362621339064</v>
      </c>
      <c r="Y177" s="112">
        <f>PV($C$1, ($AG$3-$X$3), 0, -$AJ$78)</f>
        <v>124.35312207297659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585"/>
        <v>68.947936555884013</v>
      </c>
      <c r="X178" s="112">
        <f>PV($C$1, ($AG$3-$X$3), 0, -AG79)</f>
        <v>9.6074993561477715</v>
      </c>
      <c r="Y178" s="112">
        <f>PV($C$1, ($AG$3-$X$3), 0, -$AJ$79)</f>
        <v>59.340437199736243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585"/>
        <v>449.8514880190271</v>
      </c>
      <c r="X179" s="112">
        <f>PV($C$1, ($AG$3-$X$3), 0, -AG80)</f>
        <v>62.684223740356238</v>
      </c>
      <c r="Y179" s="112">
        <f>PV($C$1, ($AG$3-$X$3), 0, -$AJ$80)</f>
        <v>387.16726427867087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585"/>
        <v>380.90355146314317</v>
      </c>
      <c r="X181" s="112">
        <f>PV($C$1, ($AG$3-$X$3), 0, -AG85)</f>
        <v>53.076724384208468</v>
      </c>
      <c r="Y181" s="112">
        <f>PV($C$1, ($AG$3-$X$3), 0, -AJ85)</f>
        <v>327.82682707893468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585"/>
        <v>252.67851749173377</v>
      </c>
      <c r="X182" s="112">
        <f>PV($C$1, ($AG$3-$X$3), 0, -AG86)</f>
        <v>45.564978564083141</v>
      </c>
      <c r="Y182" s="112">
        <f>PV($C$1, ($AG$3-$X$3), 0, -AJ86)</f>
        <v>207.11353892765064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586">X184+Y184</f>
        <v>19.395939825922099</v>
      </c>
      <c r="X184" s="112">
        <f>PV($C$1, ($AG$3-$X$3), 0, -AG12)</f>
        <v>2.7027129265629148</v>
      </c>
      <c r="Y184" s="112">
        <f>PV($C$1, ($AG$3-$X$3), 0, -AJ12)</f>
        <v>16.693226899359185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0.82399166599779516</v>
      </c>
      <c r="X185" s="118">
        <f>X184/S57</f>
        <v>0.11481851083575831</v>
      </c>
      <c r="Y185" s="118">
        <f>Y184/S57</f>
        <v>0.70917315516203683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587">X188+Y188</f>
        <v>21.275825706110595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17.503363704935282</v>
      </c>
      <c r="Y188" s="112">
        <f>PV($C$1, ($AG$3-$X$3), 0, -AJ88)</f>
        <v>3.7724620011753132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585"/>
        <v>1506.3359084764143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1239.2442780866672</v>
      </c>
      <c r="Y190" s="112">
        <f>PV($C$1, ($AG$3-$X$3), 0, -AJ90)</f>
        <v>267.09163038974697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588">X192+Y192</f>
        <v>52.496711906177978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43.188408031709557</v>
      </c>
      <c r="Y192" s="112">
        <f>PV($C$1, ($AG$3-$X$3), 0, -AJ92)</f>
        <v>9.3083038744684217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588"/>
        <v>218.18945886005218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179.50182088179281</v>
      </c>
      <c r="Y193" s="112">
        <f>PV($C$1, ($AG$3-$X$3), 0, -AJ93)</f>
        <v>38.687637978259374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588"/>
        <v>-165.69274695387421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-136.31341285008327</v>
      </c>
      <c r="Y194" s="112">
        <f>PV($C$1, ($AG$3-$X$3), 0, -AJ94)</f>
        <v>-29.379334103790949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588"/>
        <v>-63.980367635654396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-52.635872288646013</v>
      </c>
      <c r="Y195" s="112">
        <f>PV($C$1, ($AG$3-$X$3), 0, -AJ95)</f>
        <v>-11.344495347008385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-11.483655729476418</v>
      </c>
      <c r="X196" s="95">
        <f t="shared" ref="X196:Y196" si="589">X193+X194+X195</f>
        <v>-9.4474642569364704</v>
      </c>
      <c r="Y196" s="95">
        <f t="shared" si="589"/>
        <v>-2.0361914725399597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-12.303916853010463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-10.122283132431928</v>
      </c>
      <c r="Y198" s="112">
        <f>PV($C$1, ($AG$3-$X$3), 0, -AJ96)</f>
        <v>-2.1816337205785357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60">
        <v>41729</v>
      </c>
      <c r="S199" s="10">
        <v>405</v>
      </c>
      <c r="T199" s="10"/>
      <c r="U199" s="10"/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3" t="s">
        <v>335</v>
      </c>
      <c r="S200" s="10">
        <v>602</v>
      </c>
      <c r="T200" s="10"/>
      <c r="U200" s="10"/>
      <c r="V200" s="10" t="s">
        <v>512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48</v>
      </c>
      <c r="H201" s="12">
        <v>125</v>
      </c>
      <c r="I201" s="12">
        <v>170</v>
      </c>
      <c r="J201" s="12">
        <v>105</v>
      </c>
      <c r="K201" s="12">
        <v>115</v>
      </c>
      <c r="L201" s="12">
        <v>48</v>
      </c>
      <c r="M201" s="12">
        <v>24</v>
      </c>
      <c r="N201" s="12">
        <v>27</v>
      </c>
      <c r="O201" s="12">
        <v>17.5</v>
      </c>
      <c r="P201" s="12">
        <v>22</v>
      </c>
      <c r="Q201" s="12">
        <v>45</v>
      </c>
      <c r="R201" s="12">
        <v>165</v>
      </c>
      <c r="S201" s="12">
        <v>220</v>
      </c>
      <c r="T201" s="12">
        <v>405</v>
      </c>
      <c r="U201" s="12">
        <v>600</v>
      </c>
      <c r="V201" s="101">
        <f t="shared" ref="V201:V227" si="590">((T201/H201)^(1/($K$2-$K$1) ))-1</f>
        <v>8.7595747254420653E-2</v>
      </c>
      <c r="W201" s="21">
        <v>0</v>
      </c>
      <c r="X201" s="174">
        <v>50</v>
      </c>
      <c r="Y201" s="102">
        <f t="shared" ref="Y201:AG201" si="591">X201*(1+$W201)</f>
        <v>50</v>
      </c>
      <c r="Z201" s="102">
        <f t="shared" si="591"/>
        <v>50</v>
      </c>
      <c r="AA201" s="102">
        <f t="shared" si="591"/>
        <v>50</v>
      </c>
      <c r="AB201" s="102">
        <f t="shared" si="591"/>
        <v>50</v>
      </c>
      <c r="AC201" s="102">
        <f t="shared" si="591"/>
        <v>50</v>
      </c>
      <c r="AD201" s="102">
        <f t="shared" si="591"/>
        <v>50</v>
      </c>
      <c r="AE201" s="102">
        <f t="shared" si="591"/>
        <v>50</v>
      </c>
      <c r="AF201" s="102">
        <f t="shared" si="591"/>
        <v>50</v>
      </c>
      <c r="AG201" s="102">
        <f t="shared" si="591"/>
        <v>50</v>
      </c>
      <c r="AH201" s="116">
        <f t="shared" ref="AH201:AH208" si="592">((AG201/J201)^(1/($AG$3-$K$1) ))-1</f>
        <v>-3.1743401194720189E-2</v>
      </c>
      <c r="AI201" s="21">
        <f t="shared" ref="AI201:AI208" si="593">$O$1</f>
        <v>0.05</v>
      </c>
      <c r="AJ201" s="109">
        <f t="shared" ref="AJ201:AJ212" si="594">(AG201*(1+AH201))/($C$1-AI201)</f>
        <v>284.78135258978818</v>
      </c>
    </row>
    <row r="202" spans="2:36">
      <c r="B202" s="10" t="s">
        <v>306</v>
      </c>
      <c r="C202" s="15"/>
      <c r="D202" s="15"/>
      <c r="E202" s="15"/>
      <c r="F202" s="15"/>
      <c r="G202" s="15">
        <f t="shared" ref="G202" si="595">G201/G66</f>
        <v>0.17856397515527953</v>
      </c>
      <c r="H202" s="15">
        <f t="shared" ref="H202:I202" si="596">H201/H66</f>
        <v>0.39392605633802819</v>
      </c>
      <c r="I202" s="15">
        <f t="shared" si="596"/>
        <v>0.48409090909090902</v>
      </c>
      <c r="J202" s="15">
        <f t="shared" ref="J202:T202" si="597">J201/J66</f>
        <v>0.26169230769230772</v>
      </c>
      <c r="K202" s="15">
        <f t="shared" si="597"/>
        <v>0.24236773633998268</v>
      </c>
      <c r="L202" s="15">
        <f t="shared" si="597"/>
        <v>7.9945167923235111E-2</v>
      </c>
      <c r="M202" s="15">
        <f t="shared" si="597"/>
        <v>0.39183344526527869</v>
      </c>
      <c r="N202" s="15">
        <f t="shared" si="597"/>
        <v>0.36323741007194243</v>
      </c>
      <c r="O202" s="15">
        <f t="shared" si="597"/>
        <v>0.24407630522088353</v>
      </c>
      <c r="P202" s="15">
        <f t="shared" si="597"/>
        <v>0.24378378378378382</v>
      </c>
      <c r="Q202" s="15">
        <f t="shared" si="597"/>
        <v>0.37022727272727274</v>
      </c>
      <c r="R202" s="15">
        <f t="shared" si="597"/>
        <v>1.1762371290127196</v>
      </c>
      <c r="S202" s="15">
        <f t="shared" si="597"/>
        <v>1.5106709451575262</v>
      </c>
      <c r="T202" s="15">
        <f t="shared" si="597"/>
        <v>2.7891442363955532</v>
      </c>
      <c r="U202" s="15">
        <f t="shared" ref="U202" si="598">U201/U66</f>
        <v>4.1320655354008196</v>
      </c>
      <c r="V202" s="101">
        <f t="shared" si="590"/>
        <v>0.15005419024529432</v>
      </c>
      <c r="W202" s="110"/>
      <c r="X202" s="15">
        <f t="shared" ref="X202:AG202" si="599">X201/X66</f>
        <v>0.30541353957310408</v>
      </c>
      <c r="Y202" s="15">
        <f t="shared" si="599"/>
        <v>0.2708885307517967</v>
      </c>
      <c r="Z202" s="15">
        <f t="shared" si="599"/>
        <v>0.24026634901463712</v>
      </c>
      <c r="AA202" s="15">
        <f t="shared" si="599"/>
        <v>0.2131058052129825</v>
      </c>
      <c r="AB202" s="15">
        <f t="shared" si="599"/>
        <v>0.18901558375412364</v>
      </c>
      <c r="AC202" s="15">
        <f t="shared" si="599"/>
        <v>0.16764860472104881</v>
      </c>
      <c r="AD202" s="15">
        <f t="shared" si="599"/>
        <v>0.14869702331779983</v>
      </c>
      <c r="AE202" s="15">
        <f t="shared" si="599"/>
        <v>0.13188779459491815</v>
      </c>
      <c r="AF202" s="15">
        <f t="shared" si="599"/>
        <v>0.11697873955375349</v>
      </c>
      <c r="AG202" s="15">
        <f t="shared" si="599"/>
        <v>0.10375505595202485</v>
      </c>
      <c r="AH202" s="116">
        <f t="shared" ref="AH202" si="600">((AG202/J202)^(1/($AG$3-$K$1) ))-1</f>
        <v>-3.9425107300944728E-2</v>
      </c>
      <c r="AI202" s="21">
        <f t="shared" si="593"/>
        <v>0.05</v>
      </c>
      <c r="AJ202" s="109">
        <f t="shared" ref="AJ202" si="601">(AG202*(1+AH202))/($C$1-AI202)</f>
        <v>0.58626177493000442</v>
      </c>
    </row>
    <row r="203" spans="2:36">
      <c r="B203" s="10" t="s">
        <v>334</v>
      </c>
      <c r="C203" s="15"/>
      <c r="D203" s="15"/>
      <c r="E203" s="15"/>
      <c r="F203" s="15"/>
      <c r="G203" s="15">
        <f t="shared" ref="G203" si="602">G201/G72</f>
        <v>6.0736901408450708</v>
      </c>
      <c r="H203" s="15">
        <f t="shared" ref="H203:I203" si="603">H201/H72</f>
        <v>13.984375</v>
      </c>
      <c r="I203" s="15">
        <f t="shared" si="603"/>
        <v>11.315625000000001</v>
      </c>
      <c r="J203" s="15">
        <f t="shared" ref="J203:T203" si="604">J201/J72</f>
        <v>5.2071428571428573</v>
      </c>
      <c r="K203" s="15">
        <f t="shared" si="604"/>
        <v>5.080909090909091</v>
      </c>
      <c r="L203" s="15">
        <f t="shared" si="604"/>
        <v>1.7944615384615388</v>
      </c>
      <c r="M203" s="15">
        <f t="shared" si="604"/>
        <v>4.6675199999999997</v>
      </c>
      <c r="N203" s="15">
        <f t="shared" si="604"/>
        <v>5.4697500000000003</v>
      </c>
      <c r="O203" s="15">
        <f t="shared" si="604"/>
        <v>5.8277397260273966</v>
      </c>
      <c r="P203" s="15">
        <f t="shared" si="604"/>
        <v>4.093692307692308</v>
      </c>
      <c r="Q203" s="15">
        <f t="shared" si="604"/>
        <v>4.1523529411764715</v>
      </c>
      <c r="R203" s="15">
        <f t="shared" si="604"/>
        <v>12.072407683700112</v>
      </c>
      <c r="S203" s="15">
        <f t="shared" si="604"/>
        <v>15.366706231454007</v>
      </c>
      <c r="T203" s="15">
        <f t="shared" si="604"/>
        <v>23.892969924812029</v>
      </c>
      <c r="U203" s="15">
        <f t="shared" ref="U203" si="605">U201/U72</f>
        <v>35.396992481203007</v>
      </c>
      <c r="V203" s="101">
        <f t="shared" si="590"/>
        <v>3.9001607906318903E-2</v>
      </c>
      <c r="W203" s="110"/>
      <c r="X203" s="102">
        <f t="shared" ref="X203:AG203" si="606">X201/X72</f>
        <v>2.6162994442628311</v>
      </c>
      <c r="Y203" s="102">
        <f t="shared" si="606"/>
        <v>2.3205438549113815</v>
      </c>
      <c r="Z203" s="102">
        <f t="shared" si="606"/>
        <v>2.0582215060953124</v>
      </c>
      <c r="AA203" s="102">
        <f t="shared" si="606"/>
        <v>1.825552988014973</v>
      </c>
      <c r="AB203" s="102">
        <f t="shared" si="606"/>
        <v>1.6191861285002371</v>
      </c>
      <c r="AC203" s="102">
        <f t="shared" si="606"/>
        <v>1.436147696582819</v>
      </c>
      <c r="AD203" s="102">
        <f t="shared" si="606"/>
        <v>1.2738005656647613</v>
      </c>
      <c r="AE203" s="102">
        <f t="shared" si="606"/>
        <v>1.1298057191113535</v>
      </c>
      <c r="AF203" s="102">
        <f t="shared" si="606"/>
        <v>1.0020885508639834</v>
      </c>
      <c r="AG203" s="102">
        <f t="shared" si="606"/>
        <v>0.88880897554892446</v>
      </c>
      <c r="AH203" s="116">
        <f t="shared" si="592"/>
        <v>-7.3985515309267003E-2</v>
      </c>
      <c r="AI203" s="21">
        <f t="shared" si="593"/>
        <v>0.05</v>
      </c>
      <c r="AJ203" s="109">
        <f t="shared" si="594"/>
        <v>4.8414705028319744</v>
      </c>
    </row>
    <row r="204" spans="2:36">
      <c r="B204" s="10" t="s">
        <v>407</v>
      </c>
      <c r="C204" s="15"/>
      <c r="D204" s="15"/>
      <c r="E204" s="15"/>
      <c r="F204" s="15"/>
      <c r="G204" s="15">
        <f t="shared" ref="G204" si="607">G201/G70</f>
        <v>3.1943111111111109</v>
      </c>
      <c r="H204" s="15">
        <f t="shared" ref="H204:I204" si="608">H201/H70</f>
        <v>5.8881578947368416</v>
      </c>
      <c r="I204" s="15">
        <f t="shared" si="608"/>
        <v>4.3626506024096381</v>
      </c>
      <c r="J204" s="15">
        <f t="shared" ref="J204:T204" si="609">J201/J70</f>
        <v>2.1622881355932204</v>
      </c>
      <c r="K204" s="15">
        <f t="shared" si="609"/>
        <v>1.8146103896103898</v>
      </c>
      <c r="L204" s="15">
        <f t="shared" si="609"/>
        <v>0.59815384615384615</v>
      </c>
      <c r="M204" s="15">
        <f t="shared" si="609"/>
        <v>2.9616243654822334</v>
      </c>
      <c r="N204" s="15">
        <f t="shared" si="609"/>
        <v>2.90429203539823</v>
      </c>
      <c r="O204" s="15">
        <f t="shared" si="609"/>
        <v>1.8824115044247787</v>
      </c>
      <c r="P204" s="15">
        <f t="shared" si="609"/>
        <v>1.8163139931740615</v>
      </c>
      <c r="Q204" s="15">
        <f t="shared" si="609"/>
        <v>2.406477272727273</v>
      </c>
      <c r="R204" s="15">
        <f t="shared" si="609"/>
        <v>7.9548079877112148</v>
      </c>
      <c r="S204" s="15">
        <f t="shared" si="609"/>
        <v>9.7159099437148218</v>
      </c>
      <c r="T204" s="15">
        <f t="shared" si="609"/>
        <v>14.826275272161743</v>
      </c>
      <c r="U204" s="15">
        <f t="shared" ref="U204" si="610">U201/U70</f>
        <v>21.964852255054431</v>
      </c>
      <c r="V204" s="101">
        <f t="shared" si="590"/>
        <v>6.8185344439041673E-2</v>
      </c>
      <c r="W204" s="110"/>
      <c r="X204" s="15">
        <f t="shared" ref="X204:AG204" si="611">X201/X70</f>
        <v>1.623489079721415</v>
      </c>
      <c r="Y204" s="15">
        <f t="shared" si="611"/>
        <v>1.4399642272311683</v>
      </c>
      <c r="Z204" s="15">
        <f t="shared" si="611"/>
        <v>1.2771856624137321</v>
      </c>
      <c r="AA204" s="15">
        <f t="shared" si="611"/>
        <v>1.1328081527495713</v>
      </c>
      <c r="AB204" s="15">
        <f t="shared" si="611"/>
        <v>1.0047515789604893</v>
      </c>
      <c r="AC204" s="15">
        <f t="shared" si="611"/>
        <v>0.89117096568669496</v>
      </c>
      <c r="AD204" s="15">
        <f t="shared" si="611"/>
        <v>0.79042990000037305</v>
      </c>
      <c r="AE204" s="15">
        <f t="shared" si="611"/>
        <v>0.70107695478293974</v>
      </c>
      <c r="AF204" s="15">
        <f t="shared" si="611"/>
        <v>0.62182477728573782</v>
      </c>
      <c r="AG204" s="15">
        <f t="shared" si="611"/>
        <v>0.55153154159256756</v>
      </c>
      <c r="AH204" s="116">
        <f t="shared" ref="AH204:AH205" si="612">((AG204/J204)^(1/($AG$3-$K$1) ))-1</f>
        <v>-5.767119000307197E-2</v>
      </c>
      <c r="AI204" s="21">
        <f t="shared" si="593"/>
        <v>0.05</v>
      </c>
      <c r="AJ204" s="109">
        <f t="shared" ref="AJ204:AJ205" si="613">(AG204*(1+AH204))/($C$1-AI204)</f>
        <v>3.0572003603805613</v>
      </c>
    </row>
    <row r="205" spans="2:36">
      <c r="B205" s="10" t="s">
        <v>408</v>
      </c>
      <c r="C205" s="15"/>
      <c r="D205" s="15"/>
      <c r="E205" s="15"/>
      <c r="F205" s="15"/>
      <c r="G205" s="15">
        <f t="shared" ref="G205" si="614">G201/G71</f>
        <v>4.1069714285714287</v>
      </c>
      <c r="H205" s="15">
        <f t="shared" ref="H205:I205" si="615">H201/H71</f>
        <v>8.6057692307692317</v>
      </c>
      <c r="I205" s="15">
        <f t="shared" si="615"/>
        <v>7.5437499999999993</v>
      </c>
      <c r="J205" s="15">
        <f t="shared" ref="J205:T205" si="616">J201/J71</f>
        <v>4.3991379310344829</v>
      </c>
      <c r="K205" s="15">
        <f t="shared" si="616"/>
        <v>4.2992307692307694</v>
      </c>
      <c r="L205" s="15">
        <f t="shared" si="616"/>
        <v>1.2678260869565217</v>
      </c>
      <c r="M205" s="15">
        <f t="shared" si="616"/>
        <v>3.8895999999999997</v>
      </c>
      <c r="N205" s="15">
        <f t="shared" si="616"/>
        <v>4.1542405063291135</v>
      </c>
      <c r="O205" s="15">
        <f t="shared" si="616"/>
        <v>4.4781578947368414</v>
      </c>
      <c r="P205" s="15">
        <f t="shared" si="616"/>
        <v>2.8922826086956523</v>
      </c>
      <c r="Q205" s="15">
        <f t="shared" si="616"/>
        <v>3.2480061349693252</v>
      </c>
      <c r="R205" s="15">
        <f t="shared" si="616"/>
        <v>9.8552017254503941</v>
      </c>
      <c r="S205" s="15">
        <f t="shared" si="616"/>
        <v>12.043209302325582</v>
      </c>
      <c r="T205" s="15">
        <f t="shared" si="616"/>
        <v>17.752877094972071</v>
      </c>
      <c r="U205" s="15">
        <f t="shared" ref="U205" si="617">U201/U71</f>
        <v>26.300558659217881</v>
      </c>
      <c r="V205" s="101">
        <f t="shared" si="590"/>
        <v>5.3083454262718766E-2</v>
      </c>
      <c r="W205" s="110"/>
      <c r="X205" s="15">
        <f t="shared" ref="X205:AG205" si="618">X201/X71</f>
        <v>1.9439543356813216</v>
      </c>
      <c r="Y205" s="15">
        <f t="shared" si="618"/>
        <v>1.7242029759956075</v>
      </c>
      <c r="Z205" s="15">
        <f t="shared" si="618"/>
        <v>1.5292930743613216</v>
      </c>
      <c r="AA205" s="15">
        <f t="shared" si="618"/>
        <v>1.3564164659552593</v>
      </c>
      <c r="AB205" s="15">
        <f t="shared" si="618"/>
        <v>1.2030824306733605</v>
      </c>
      <c r="AC205" s="15">
        <f t="shared" si="618"/>
        <v>1.0670818080755025</v>
      </c>
      <c r="AD205" s="15">
        <f t="shared" si="618"/>
        <v>0.94645516890175019</v>
      </c>
      <c r="AE205" s="15">
        <f t="shared" si="618"/>
        <v>0.8394645845911175</v>
      </c>
      <c r="AF205" s="15">
        <f t="shared" si="618"/>
        <v>0.74456858807212167</v>
      </c>
      <c r="AG205" s="15">
        <f t="shared" si="618"/>
        <v>0.66039996507266452</v>
      </c>
      <c r="AH205" s="116">
        <f t="shared" si="612"/>
        <v>-7.9141247905972212E-2</v>
      </c>
      <c r="AI205" s="21">
        <f t="shared" si="593"/>
        <v>0.05</v>
      </c>
      <c r="AJ205" s="109">
        <f t="shared" si="613"/>
        <v>3.5772652218809022</v>
      </c>
    </row>
    <row r="206" spans="2:36">
      <c r="B206" s="10" t="s">
        <v>216</v>
      </c>
      <c r="C206" s="15"/>
      <c r="D206" s="15"/>
      <c r="E206" s="15"/>
      <c r="F206" s="15"/>
      <c r="G206" s="15">
        <f t="shared" ref="G206" si="619">G201/G75</f>
        <v>0.65338181818181806</v>
      </c>
      <c r="H206" s="15">
        <f t="shared" ref="H206:I206" si="620">H201/H75</f>
        <v>1.5431034482758621</v>
      </c>
      <c r="I206" s="15">
        <f t="shared" si="620"/>
        <v>1.6534246575342466</v>
      </c>
      <c r="J206" s="15">
        <f t="shared" ref="J206:T206" si="621">J201/J75</f>
        <v>0.88902439024390256</v>
      </c>
      <c r="K206" s="15">
        <f t="shared" si="621"/>
        <v>0.83169642857142867</v>
      </c>
      <c r="L206" s="15">
        <f t="shared" si="621"/>
        <v>0.29306532663316587</v>
      </c>
      <c r="M206" s="15">
        <f t="shared" si="621"/>
        <v>1.141761252446184</v>
      </c>
      <c r="N206" s="15">
        <f t="shared" si="621"/>
        <v>1.055257234726688</v>
      </c>
      <c r="O206" s="15">
        <f t="shared" si="621"/>
        <v>0.61388888888888882</v>
      </c>
      <c r="P206" s="15">
        <f t="shared" si="621"/>
        <v>0.66109316770186344</v>
      </c>
      <c r="Q206" s="15">
        <f t="shared" si="621"/>
        <v>1.0380882352941179</v>
      </c>
      <c r="R206" s="15">
        <f t="shared" si="621"/>
        <v>2.9853458877786321</v>
      </c>
      <c r="S206" s="15">
        <f t="shared" si="621"/>
        <v>3.2366125000000001</v>
      </c>
      <c r="T206" s="15">
        <f t="shared" si="621"/>
        <v>5.0607263056195526</v>
      </c>
      <c r="U206" s="15">
        <f t="shared" ref="U206" si="622">U201/U75</f>
        <v>7.4973723046215595</v>
      </c>
      <c r="V206" s="101">
        <f t="shared" si="590"/>
        <v>8.8539340129505595E-2</v>
      </c>
      <c r="W206" s="110"/>
      <c r="X206" s="102">
        <f t="shared" ref="X206:AG206" si="623">X201/X75</f>
        <v>0.55415360512420231</v>
      </c>
      <c r="Y206" s="102">
        <f t="shared" si="623"/>
        <v>0.49151015411016208</v>
      </c>
      <c r="Z206" s="102">
        <f t="shared" si="623"/>
        <v>0.43594813668901339</v>
      </c>
      <c r="AA206" s="102">
        <f t="shared" si="623"/>
        <v>0.3866670429763423</v>
      </c>
      <c r="AB206" s="102">
        <f t="shared" si="623"/>
        <v>0.34295685550945154</v>
      </c>
      <c r="AC206" s="102">
        <f t="shared" si="623"/>
        <v>0.30418781966925262</v>
      </c>
      <c r="AD206" s="102">
        <f t="shared" si="623"/>
        <v>0.26980137048925024</v>
      </c>
      <c r="AE206" s="102">
        <f t="shared" si="623"/>
        <v>0.23930208512959586</v>
      </c>
      <c r="AF206" s="102">
        <f t="shared" si="623"/>
        <v>0.21225054507146765</v>
      </c>
      <c r="AG206" s="102">
        <f t="shared" si="623"/>
        <v>0.18825700519382352</v>
      </c>
      <c r="AH206" s="116">
        <f t="shared" si="592"/>
        <v>-6.5264825614320343E-2</v>
      </c>
      <c r="AI206" s="21">
        <f t="shared" si="593"/>
        <v>0.05</v>
      </c>
      <c r="AJ206" s="109">
        <f t="shared" si="594"/>
        <v>1.0351202622304378</v>
      </c>
    </row>
    <row r="207" spans="2:36">
      <c r="B207" s="10" t="s">
        <v>217</v>
      </c>
      <c r="C207" s="15"/>
      <c r="D207" s="15"/>
      <c r="E207" s="15"/>
      <c r="F207" s="15"/>
      <c r="G207" s="15">
        <f t="shared" ref="G207" si="624">G201/G84</f>
        <v>4.3101649175412291</v>
      </c>
      <c r="H207" s="15">
        <f t="shared" ref="H207:I207" si="625">H201/H84</f>
        <v>17.198308993082247</v>
      </c>
      <c r="I207" s="15">
        <f t="shared" si="625"/>
        <v>5.4855324950765034</v>
      </c>
      <c r="J207" s="15">
        <f t="shared" ref="J207:T207" si="626">J201/J84</f>
        <v>5.4287234042553196</v>
      </c>
      <c r="K207" s="15">
        <f t="shared" si="626"/>
        <v>6.0291262135922334</v>
      </c>
      <c r="L207" s="15">
        <f t="shared" si="626"/>
        <v>3.5132530120481928</v>
      </c>
      <c r="M207" s="15">
        <f t="shared" si="626"/>
        <v>13.155355129650507</v>
      </c>
      <c r="N207" s="15">
        <f t="shared" si="626"/>
        <v>45.9</v>
      </c>
      <c r="O207" s="15">
        <f t="shared" si="626"/>
        <v>17.726041666666664</v>
      </c>
      <c r="P207" s="15">
        <f t="shared" si="626"/>
        <v>28.00947368421053</v>
      </c>
      <c r="Q207" s="15">
        <f t="shared" si="626"/>
        <v>14.645228215767633</v>
      </c>
      <c r="R207" s="15">
        <f t="shared" si="626"/>
        <v>125.57177497575172</v>
      </c>
      <c r="S207" s="15">
        <f t="shared" si="626"/>
        <v>167.42903330100231</v>
      </c>
      <c r="T207" s="15">
        <f t="shared" si="626"/>
        <v>680.94964285714286</v>
      </c>
      <c r="U207" s="15">
        <f t="shared" ref="U207" si="627">U201/U84</f>
        <v>1008.8142857142857</v>
      </c>
      <c r="V207" s="101">
        <f t="shared" si="590"/>
        <v>0.30051802228805657</v>
      </c>
      <c r="W207" s="110"/>
      <c r="X207" s="102">
        <f t="shared" ref="X207:AG207" si="628">X201/X84</f>
        <v>74.564534161490684</v>
      </c>
      <c r="Y207" s="102">
        <f t="shared" si="628"/>
        <v>66.135499864974364</v>
      </c>
      <c r="Z207" s="102">
        <f t="shared" si="628"/>
        <v>58.659312923716399</v>
      </c>
      <c r="AA207" s="102">
        <f t="shared" si="628"/>
        <v>52.028260158426725</v>
      </c>
      <c r="AB207" s="102">
        <f t="shared" si="628"/>
        <v>46.146804662256756</v>
      </c>
      <c r="AC207" s="102">
        <f t="shared" si="628"/>
        <v>40.930209352610348</v>
      </c>
      <c r="AD207" s="102">
        <f t="shared" si="628"/>
        <v>36.303316121445697</v>
      </c>
      <c r="AE207" s="102">
        <f t="shared" si="628"/>
        <v>32.199462994673574</v>
      </c>
      <c r="AF207" s="102">
        <f t="shared" si="628"/>
        <v>28.559523699623522</v>
      </c>
      <c r="AG207" s="102">
        <f t="shared" si="628"/>
        <v>25.331055803144341</v>
      </c>
      <c r="AH207" s="116">
        <f t="shared" si="592"/>
        <v>6.9264196591444449E-2</v>
      </c>
      <c r="AI207" s="21">
        <f t="shared" si="593"/>
        <v>0.05</v>
      </c>
      <c r="AJ207" s="109">
        <f t="shared" si="594"/>
        <v>159.32700607154226</v>
      </c>
    </row>
    <row r="208" spans="2:36">
      <c r="B208" s="10" t="s">
        <v>218</v>
      </c>
      <c r="C208" s="15"/>
      <c r="D208" s="15"/>
      <c r="E208" s="15"/>
      <c r="F208" s="15"/>
      <c r="G208" s="15">
        <f t="shared" ref="G208" si="629">G201/G86</f>
        <v>0.36086359832635978</v>
      </c>
      <c r="H208" s="15">
        <f t="shared" ref="H208:I208" si="630">H201/H86</f>
        <v>0.61133879781420775</v>
      </c>
      <c r="I208" s="15">
        <f t="shared" si="630"/>
        <v>0.63415061295971975</v>
      </c>
      <c r="J208" s="15">
        <f t="shared" ref="J208:T208" si="631">J201/J86</f>
        <v>0.46306715063520876</v>
      </c>
      <c r="K208" s="15">
        <f t="shared" si="631"/>
        <v>0.31119153674832967</v>
      </c>
      <c r="L208" s="15">
        <f t="shared" si="631"/>
        <v>0.15108808290155443</v>
      </c>
      <c r="M208" s="15">
        <f t="shared" si="631"/>
        <v>0.74229007633587785</v>
      </c>
      <c r="N208" s="15">
        <f t="shared" si="631"/>
        <v>0.57932038834951449</v>
      </c>
      <c r="O208" s="15">
        <f t="shared" si="631"/>
        <v>0.3667456896551724</v>
      </c>
      <c r="P208" s="15">
        <f t="shared" si="631"/>
        <v>0.44274542429284525</v>
      </c>
      <c r="Q208" s="15">
        <f t="shared" si="631"/>
        <v>0.59586381541924593</v>
      </c>
      <c r="R208" s="15">
        <f t="shared" si="631"/>
        <v>2.1025952652919808</v>
      </c>
      <c r="S208" s="15">
        <f t="shared" si="631"/>
        <v>2.8034603537226412</v>
      </c>
      <c r="T208" s="15">
        <f t="shared" si="631"/>
        <v>4.9267674418604654</v>
      </c>
      <c r="U208" s="15">
        <f t="shared" ref="U208" si="632">U201/U86</f>
        <v>7.2989147286821705</v>
      </c>
      <c r="V208" s="101">
        <f t="shared" si="590"/>
        <v>0.16073824224945032</v>
      </c>
      <c r="W208" s="110"/>
      <c r="X208" s="102">
        <f t="shared" ref="X208:AG208" si="633">X201/X86</f>
        <v>0.53948500168520397</v>
      </c>
      <c r="Y208" s="102">
        <f t="shared" si="633"/>
        <v>0.4784997406251375</v>
      </c>
      <c r="Z208" s="102">
        <f t="shared" si="633"/>
        <v>0.42440846559794809</v>
      </c>
      <c r="AA208" s="102">
        <f t="shared" si="633"/>
        <v>0.37643185644339755</v>
      </c>
      <c r="AB208" s="102">
        <f t="shared" si="633"/>
        <v>0.33387869006283954</v>
      </c>
      <c r="AC208" s="102">
        <f t="shared" si="633"/>
        <v>0.29613588162095339</v>
      </c>
      <c r="AD208" s="102">
        <f t="shared" si="633"/>
        <v>0.26265965152467169</v>
      </c>
      <c r="AE208" s="102">
        <f t="shared" si="633"/>
        <v>0.23296769091753489</v>
      </c>
      <c r="AF208" s="102">
        <f t="shared" si="633"/>
        <v>0.20663221281381358</v>
      </c>
      <c r="AG208" s="102">
        <f t="shared" si="633"/>
        <v>0.18327378875659989</v>
      </c>
      <c r="AH208" s="116">
        <f t="shared" si="592"/>
        <v>-3.9498375640503403E-2</v>
      </c>
      <c r="AI208" s="21">
        <f t="shared" si="593"/>
        <v>0.05</v>
      </c>
      <c r="AJ208" s="109">
        <f t="shared" si="594"/>
        <v>1.0354986576660792</v>
      </c>
    </row>
    <row r="209" spans="2:36">
      <c r="B209" s="10" t="s">
        <v>232</v>
      </c>
      <c r="C209" s="15"/>
      <c r="D209" s="15"/>
      <c r="E209" s="15"/>
      <c r="F209" s="15"/>
      <c r="G209" s="159">
        <f t="shared" ref="G209" si="634">G201/G80</f>
        <v>0.44687253886010359</v>
      </c>
      <c r="H209" s="159">
        <f t="shared" ref="H209:I209" si="635">H201/H80</f>
        <v>0.93229166666666674</v>
      </c>
      <c r="I209" s="159">
        <f t="shared" si="635"/>
        <v>1.1718446601941748</v>
      </c>
      <c r="J209" s="159">
        <f t="shared" ref="J209:T209" si="636">J201/J80</f>
        <v>0.72692307692307701</v>
      </c>
      <c r="K209" s="159">
        <f t="shared" si="636"/>
        <v>0.62939189189189193</v>
      </c>
      <c r="L209" s="159">
        <f t="shared" si="636"/>
        <v>0.21323583180987205</v>
      </c>
      <c r="M209" s="159">
        <f t="shared" si="636"/>
        <v>0.85298245614035084</v>
      </c>
      <c r="N209" s="159">
        <f t="shared" si="636"/>
        <v>9.9540491355777971E-2</v>
      </c>
      <c r="O209" s="159">
        <f t="shared" si="636"/>
        <v>0.46041666666666664</v>
      </c>
      <c r="P209" s="159">
        <f t="shared" si="636"/>
        <v>0.46519230769230774</v>
      </c>
      <c r="Q209" s="159">
        <f t="shared" si="636"/>
        <v>0.72823246217331505</v>
      </c>
      <c r="R209" s="159">
        <f t="shared" si="636"/>
        <v>2.0929193048632633</v>
      </c>
      <c r="S209" s="159">
        <f t="shared" si="636"/>
        <v>2.2787629700687337</v>
      </c>
      <c r="T209" s="159">
        <f t="shared" si="636"/>
        <v>3.5812528174305038</v>
      </c>
      <c r="U209" s="159">
        <f t="shared" ref="U209" si="637">U201/U80</f>
        <v>5.3055597295266725</v>
      </c>
      <c r="V209" s="101">
        <f t="shared" si="590"/>
        <v>0.10090234924963037</v>
      </c>
      <c r="W209" s="110"/>
      <c r="X209" s="113">
        <f t="shared" ref="X209:AG209" si="638">X201/X80</f>
        <v>0.39215006696501503</v>
      </c>
      <c r="Y209" s="113">
        <f t="shared" si="638"/>
        <v>0.34782005939505678</v>
      </c>
      <c r="Z209" s="113">
        <f t="shared" si="638"/>
        <v>0.30850127007213735</v>
      </c>
      <c r="AA209" s="113">
        <f t="shared" si="638"/>
        <v>0.27362721345528707</v>
      </c>
      <c r="AB209" s="113">
        <f t="shared" si="638"/>
        <v>0.24269544149947206</v>
      </c>
      <c r="AC209" s="113">
        <f t="shared" si="638"/>
        <v>0.21526030463431425</v>
      </c>
      <c r="AD209" s="113">
        <f t="shared" si="638"/>
        <v>0.19092653106695703</v>
      </c>
      <c r="AE209" s="113">
        <f t="shared" si="638"/>
        <v>0.16934353190286625</v>
      </c>
      <c r="AF209" s="113">
        <f t="shared" si="638"/>
        <v>0.15020035003558574</v>
      </c>
      <c r="AG209" s="113">
        <f t="shared" si="638"/>
        <v>0.13322118003156302</v>
      </c>
      <c r="AH209" s="116">
        <f t="shared" ref="AH209" si="639">((AG209/J209)^(1/($AG$3-$K$1) ))-1</f>
        <v>-7.1118722024076653E-2</v>
      </c>
      <c r="AI209" s="21">
        <f t="shared" ref="AI209:AI212" si="640">$O$1</f>
        <v>0.05</v>
      </c>
      <c r="AJ209" s="109">
        <f t="shared" si="594"/>
        <v>0.72792152918340491</v>
      </c>
    </row>
    <row r="210" spans="2:36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640"/>
        <v>0.05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>
        <f t="shared" ref="G211" si="641">G59/G201</f>
        <v>4.1666666666666664E-2</v>
      </c>
      <c r="H211" s="129">
        <f t="shared" ref="H211:I211" si="642">H59/H201</f>
        <v>1.6E-2</v>
      </c>
      <c r="I211" s="129">
        <f t="shared" si="642"/>
        <v>1.1764705882352941E-2</v>
      </c>
      <c r="J211" s="129">
        <f t="shared" ref="J211:T211" si="643">J59/J201</f>
        <v>1.9047619047619049E-2</v>
      </c>
      <c r="K211" s="129">
        <f t="shared" si="643"/>
        <v>1.7391304347826087E-2</v>
      </c>
      <c r="L211" s="129">
        <f t="shared" si="643"/>
        <v>4.1666666666666664E-2</v>
      </c>
      <c r="M211" s="129">
        <f t="shared" si="643"/>
        <v>1.2499999999999999E-2</v>
      </c>
      <c r="N211" s="129">
        <f t="shared" si="643"/>
        <v>1.1111111111111112E-2</v>
      </c>
      <c r="O211" s="129">
        <f t="shared" si="643"/>
        <v>1.7142857142857144E-2</v>
      </c>
      <c r="P211" s="129">
        <f t="shared" si="643"/>
        <v>3.6363636363636369E-2</v>
      </c>
      <c r="Q211" s="129">
        <f t="shared" si="643"/>
        <v>2.6666666666666665E-2</v>
      </c>
      <c r="R211" s="129">
        <f t="shared" si="643"/>
        <v>1.0303030303030303E-2</v>
      </c>
      <c r="S211" s="129">
        <f t="shared" si="643"/>
        <v>7.7272727272727267E-3</v>
      </c>
      <c r="T211" s="129">
        <f t="shared" si="643"/>
        <v>7.4074074074074077E-3</v>
      </c>
      <c r="U211" s="129">
        <f t="shared" ref="U211" si="644">U59/U201</f>
        <v>5.0000000000000001E-3</v>
      </c>
      <c r="V211" s="101">
        <f t="shared" si="590"/>
        <v>-5.352216846309632E-2</v>
      </c>
      <c r="W211" s="110"/>
      <c r="X211" s="129">
        <f t="shared" ref="X211:AG211" si="645">X59/X201</f>
        <v>6.1200000000000004E-2</v>
      </c>
      <c r="Y211" s="129">
        <f t="shared" si="645"/>
        <v>6.2424E-2</v>
      </c>
      <c r="Z211" s="129">
        <f t="shared" si="645"/>
        <v>6.3672480000000004E-2</v>
      </c>
      <c r="AA211" s="129">
        <f t="shared" si="645"/>
        <v>6.4945929600000007E-2</v>
      </c>
      <c r="AB211" s="129">
        <f t="shared" si="645"/>
        <v>6.6244848191999994E-2</v>
      </c>
      <c r="AC211" s="129">
        <f t="shared" si="645"/>
        <v>6.7569745155839994E-2</v>
      </c>
      <c r="AD211" s="129">
        <f t="shared" si="645"/>
        <v>6.8921140058956804E-2</v>
      </c>
      <c r="AE211" s="129">
        <f t="shared" si="645"/>
        <v>7.0299562860135931E-2</v>
      </c>
      <c r="AF211" s="129">
        <f t="shared" si="645"/>
        <v>7.1705554117338657E-2</v>
      </c>
      <c r="AG211" s="129">
        <f t="shared" si="645"/>
        <v>7.3139665199685441E-2</v>
      </c>
      <c r="AH211" s="116">
        <f t="shared" ref="AH211:AH216" si="646">((AG211/J211)^(1/($AG$3-$K$1) ))-1</f>
        <v>6.0241700129520348E-2</v>
      </c>
      <c r="AI211" s="21">
        <f t="shared" si="640"/>
        <v>0.05</v>
      </c>
      <c r="AJ211" s="109">
        <f t="shared" si="594"/>
        <v>0.4561513116365789</v>
      </c>
    </row>
    <row r="212" spans="2:36">
      <c r="B212" s="10" t="s">
        <v>132</v>
      </c>
      <c r="C212" s="129"/>
      <c r="D212" s="129"/>
      <c r="E212" s="129"/>
      <c r="F212" s="129"/>
      <c r="G212" s="142">
        <f t="shared" ref="G212" si="647">G201*G57</f>
        <v>86.246399999999994</v>
      </c>
      <c r="H212" s="142">
        <f t="shared" ref="H212:I212" si="648">H201*H57</f>
        <v>223.75</v>
      </c>
      <c r="I212" s="142">
        <f t="shared" si="648"/>
        <v>362.09999999999997</v>
      </c>
      <c r="J212" s="142">
        <f t="shared" ref="J212:T212" si="649">J201*J57</f>
        <v>255.15</v>
      </c>
      <c r="K212" s="142">
        <f t="shared" si="649"/>
        <v>279.45000000000005</v>
      </c>
      <c r="L212" s="142">
        <f t="shared" si="649"/>
        <v>116.64000000000001</v>
      </c>
      <c r="M212" s="142">
        <f t="shared" si="649"/>
        <v>583.43999999999994</v>
      </c>
      <c r="N212" s="142">
        <f t="shared" si="649"/>
        <v>656.37</v>
      </c>
      <c r="O212" s="142">
        <f t="shared" si="649"/>
        <v>425.42499999999995</v>
      </c>
      <c r="P212" s="142">
        <f t="shared" si="649"/>
        <v>532.18000000000006</v>
      </c>
      <c r="Q212" s="142">
        <f t="shared" si="649"/>
        <v>1058.8500000000001</v>
      </c>
      <c r="R212" s="142">
        <f t="shared" si="649"/>
        <v>3883.9350000000004</v>
      </c>
      <c r="S212" s="142">
        <f t="shared" si="649"/>
        <v>5178.58</v>
      </c>
      <c r="T212" s="142">
        <f t="shared" si="649"/>
        <v>9533.2950000000001</v>
      </c>
      <c r="U212" s="142">
        <f t="shared" ref="U212" si="650">U201*U57</f>
        <v>14123.400000000001</v>
      </c>
      <c r="V212" s="101">
        <f t="shared" si="590"/>
        <v>0.30734866494267354</v>
      </c>
      <c r="W212" s="110"/>
      <c r="X212" s="142">
        <f t="shared" ref="X212:AG212" si="651">X201*X57</f>
        <v>1200.489</v>
      </c>
      <c r="Y212" s="142">
        <f t="shared" si="651"/>
        <v>1224.4987800000001</v>
      </c>
      <c r="Z212" s="142">
        <f t="shared" si="651"/>
        <v>1248.9887556000003</v>
      </c>
      <c r="AA212" s="142">
        <f t="shared" si="651"/>
        <v>1273.9685307120003</v>
      </c>
      <c r="AB212" s="142">
        <f t="shared" si="651"/>
        <v>1299.4479013262405</v>
      </c>
      <c r="AC212" s="142">
        <f t="shared" si="651"/>
        <v>1325.4368593527654</v>
      </c>
      <c r="AD212" s="142">
        <f t="shared" si="651"/>
        <v>1351.9455965398206</v>
      </c>
      <c r="AE212" s="142">
        <f t="shared" si="651"/>
        <v>1378.9845084706171</v>
      </c>
      <c r="AF212" s="142">
        <f t="shared" si="651"/>
        <v>1406.5641986400294</v>
      </c>
      <c r="AG212" s="142">
        <f t="shared" si="651"/>
        <v>1434.6954826128301</v>
      </c>
      <c r="AH212" s="116">
        <f t="shared" si="646"/>
        <v>7.7971148593943385E-2</v>
      </c>
      <c r="AI212" s="21">
        <f t="shared" si="640"/>
        <v>0.05</v>
      </c>
      <c r="AJ212" s="109">
        <f t="shared" si="594"/>
        <v>9097.4137486746731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8"/>
      <c r="D214" s="138"/>
      <c r="E214" s="138"/>
      <c r="F214" s="138"/>
      <c r="G214" s="138">
        <f t="shared" ref="G214" si="652">G72/G201</f>
        <v>0.16464455327990501</v>
      </c>
      <c r="H214" s="138">
        <f t="shared" ref="H214:I214" si="653">H72/H201</f>
        <v>7.150837988826815E-2</v>
      </c>
      <c r="I214" s="138">
        <f t="shared" si="653"/>
        <v>8.8373377520022098E-2</v>
      </c>
      <c r="J214" s="138">
        <f t="shared" ref="J214:T214" si="654">J72/J201</f>
        <v>0.19204389574759945</v>
      </c>
      <c r="K214" s="138">
        <f t="shared" si="654"/>
        <v>0.19681517266058327</v>
      </c>
      <c r="L214" s="138">
        <f t="shared" si="654"/>
        <v>0.55727023319615909</v>
      </c>
      <c r="M214" s="138">
        <f t="shared" si="654"/>
        <v>0.21424653777594957</v>
      </c>
      <c r="N214" s="138">
        <f t="shared" si="654"/>
        <v>0.18282371223547694</v>
      </c>
      <c r="O214" s="138">
        <f t="shared" si="654"/>
        <v>0.17159311276958339</v>
      </c>
      <c r="P214" s="138">
        <f t="shared" si="654"/>
        <v>0.24427825171934306</v>
      </c>
      <c r="Q214" s="138">
        <f t="shared" si="654"/>
        <v>0.24082731265051704</v>
      </c>
      <c r="R214" s="138">
        <f t="shared" si="654"/>
        <v>8.2833518068659753E-2</v>
      </c>
      <c r="S214" s="138">
        <f t="shared" si="654"/>
        <v>6.5075754357372104E-2</v>
      </c>
      <c r="T214" s="138">
        <f t="shared" si="654"/>
        <v>4.185331514444901E-2</v>
      </c>
      <c r="U214" s="138">
        <f t="shared" ref="U214" si="655">U72/U201</f>
        <v>2.825098772250308E-2</v>
      </c>
      <c r="V214" s="101">
        <f t="shared" si="590"/>
        <v>-3.7537581856981528E-2</v>
      </c>
      <c r="W214" s="110"/>
      <c r="X214" s="138">
        <f t="shared" ref="X214:AG214" si="656">X72/X201</f>
        <v>0.38221924565739457</v>
      </c>
      <c r="Y214" s="138">
        <f t="shared" si="656"/>
        <v>0.43093346324118004</v>
      </c>
      <c r="Z214" s="138">
        <f t="shared" si="656"/>
        <v>0.48585635561505591</v>
      </c>
      <c r="AA214" s="138">
        <f t="shared" si="656"/>
        <v>0.54777922446795513</v>
      </c>
      <c r="AB214" s="138">
        <f t="shared" si="656"/>
        <v>0.61759422366485128</v>
      </c>
      <c r="AC214" s="138">
        <f t="shared" si="656"/>
        <v>0.69630721295546949</v>
      </c>
      <c r="AD214" s="138">
        <f t="shared" si="656"/>
        <v>0.78505224990077438</v>
      </c>
      <c r="AE214" s="138">
        <f t="shared" si="656"/>
        <v>0.88510792880969658</v>
      </c>
      <c r="AF214" s="138">
        <f t="shared" si="656"/>
        <v>0.9979158020893637</v>
      </c>
      <c r="AG214" s="138">
        <f t="shared" si="656"/>
        <v>1.1251011494144785</v>
      </c>
      <c r="AH214" s="116">
        <f t="shared" ref="AH214" si="657">((AG214/J214)^(1/($AG$3-$K$1) ))-1</f>
        <v>7.9896714935270507E-2</v>
      </c>
      <c r="AI214" s="21">
        <f t="shared" ref="AI214" si="658">$O$1</f>
        <v>0.05</v>
      </c>
      <c r="AJ214" s="109">
        <f t="shared" ref="AJ214" si="659">(AG214*(1+AH214))/($C$1-AI214)</f>
        <v>7.1470178542505431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660">G203</f>
        <v>6.0736901408450708</v>
      </c>
      <c r="H215" s="158">
        <f t="shared" ref="H215:I215" si="661">H203</f>
        <v>13.984375</v>
      </c>
      <c r="I215" s="158">
        <f t="shared" si="661"/>
        <v>11.315625000000001</v>
      </c>
      <c r="J215" s="158">
        <f t="shared" ref="J215:T215" si="662">J203</f>
        <v>5.2071428571428573</v>
      </c>
      <c r="K215" s="158">
        <f t="shared" si="662"/>
        <v>5.080909090909091</v>
      </c>
      <c r="L215" s="158">
        <f t="shared" si="662"/>
        <v>1.7944615384615388</v>
      </c>
      <c r="M215" s="158">
        <f t="shared" si="662"/>
        <v>4.6675199999999997</v>
      </c>
      <c r="N215" s="158">
        <f t="shared" si="662"/>
        <v>5.4697500000000003</v>
      </c>
      <c r="O215" s="158">
        <f t="shared" si="662"/>
        <v>5.8277397260273966</v>
      </c>
      <c r="P215" s="158">
        <f t="shared" si="662"/>
        <v>4.093692307692308</v>
      </c>
      <c r="Q215" s="158">
        <f t="shared" si="662"/>
        <v>4.1523529411764715</v>
      </c>
      <c r="R215" s="158">
        <f t="shared" si="662"/>
        <v>12.072407683700112</v>
      </c>
      <c r="S215" s="158">
        <f t="shared" si="662"/>
        <v>15.366706231454007</v>
      </c>
      <c r="T215" s="158">
        <f t="shared" si="662"/>
        <v>23.892969924812029</v>
      </c>
      <c r="U215" s="158">
        <f t="shared" ref="U215" si="663">U203</f>
        <v>35.396992481203007</v>
      </c>
      <c r="V215" s="101">
        <f t="shared" si="590"/>
        <v>3.9001607906318903E-2</v>
      </c>
      <c r="W215" s="110"/>
      <c r="X215" s="129">
        <f t="shared" ref="X215:AG215" si="664">X203</f>
        <v>2.6162994442628311</v>
      </c>
      <c r="Y215" s="129">
        <f t="shared" si="664"/>
        <v>2.3205438549113815</v>
      </c>
      <c r="Z215" s="129">
        <f t="shared" si="664"/>
        <v>2.0582215060953124</v>
      </c>
      <c r="AA215" s="129">
        <f t="shared" si="664"/>
        <v>1.825552988014973</v>
      </c>
      <c r="AB215" s="129">
        <f t="shared" si="664"/>
        <v>1.6191861285002371</v>
      </c>
      <c r="AC215" s="129">
        <f t="shared" si="664"/>
        <v>1.436147696582819</v>
      </c>
      <c r="AD215" s="129">
        <f t="shared" si="664"/>
        <v>1.2738005656647613</v>
      </c>
      <c r="AE215" s="129">
        <f t="shared" si="664"/>
        <v>1.1298057191113535</v>
      </c>
      <c r="AF215" s="129">
        <f t="shared" si="664"/>
        <v>1.0020885508639834</v>
      </c>
      <c r="AG215" s="129">
        <f t="shared" si="664"/>
        <v>0.88880897554892446</v>
      </c>
      <c r="AH215" s="116">
        <f t="shared" ref="AH215" si="665">((AG215/J215)^(1/($AG$3-$K$1) ))-1</f>
        <v>-7.3985515309267003E-2</v>
      </c>
      <c r="AI215" s="21">
        <f t="shared" ref="AI215:AI217" si="666">$O$1</f>
        <v>0.05</v>
      </c>
      <c r="AJ215" s="158">
        <f>(AJ202)/($O$2*100)</f>
        <v>3.9084118328666963E-2</v>
      </c>
    </row>
    <row r="216" spans="2:36">
      <c r="B216" s="10" t="s">
        <v>437</v>
      </c>
      <c r="C216" s="158"/>
      <c r="D216" s="158"/>
      <c r="E216" s="158"/>
      <c r="F216" s="158"/>
      <c r="G216" s="158">
        <f t="shared" ref="G216" si="667">(G203)/($O$2*100)</f>
        <v>0.40491267605633807</v>
      </c>
      <c r="H216" s="158">
        <f t="shared" ref="H216:I216" si="668">(H203)/($O$2*100)</f>
        <v>0.93229166666666663</v>
      </c>
      <c r="I216" s="158">
        <f t="shared" si="668"/>
        <v>0.75437500000000002</v>
      </c>
      <c r="J216" s="158">
        <f t="shared" ref="J216:T216" si="669">(J203)/($O$2*100)</f>
        <v>0.34714285714285714</v>
      </c>
      <c r="K216" s="158">
        <f t="shared" si="669"/>
        <v>0.33872727272727271</v>
      </c>
      <c r="L216" s="158">
        <f t="shared" si="669"/>
        <v>0.11963076923076925</v>
      </c>
      <c r="M216" s="158">
        <f t="shared" si="669"/>
        <v>0.311168</v>
      </c>
      <c r="N216" s="158">
        <f t="shared" si="669"/>
        <v>0.36465000000000003</v>
      </c>
      <c r="O216" s="158">
        <f t="shared" si="669"/>
        <v>0.38851598173515978</v>
      </c>
      <c r="P216" s="158">
        <f t="shared" si="669"/>
        <v>0.27291282051282051</v>
      </c>
      <c r="Q216" s="158">
        <f t="shared" si="669"/>
        <v>0.27682352941176475</v>
      </c>
      <c r="R216" s="158">
        <f t="shared" si="669"/>
        <v>0.80482717891334077</v>
      </c>
      <c r="S216" s="158">
        <f t="shared" si="669"/>
        <v>1.0244470820969338</v>
      </c>
      <c r="T216" s="158">
        <f t="shared" si="669"/>
        <v>1.5928646616541353</v>
      </c>
      <c r="U216" s="158">
        <f t="shared" ref="U216" si="670">(U203)/($O$2*100)</f>
        <v>2.3597994987468671</v>
      </c>
      <c r="V216" s="101">
        <f t="shared" si="590"/>
        <v>3.9001607906318903E-2</v>
      </c>
      <c r="W216" s="110"/>
      <c r="X216" s="158">
        <f t="shared" ref="X216:AG216" si="671">(X203)/($O$2*100)</f>
        <v>0.17441996295085541</v>
      </c>
      <c r="Y216" s="158">
        <f t="shared" si="671"/>
        <v>0.15470292366075877</v>
      </c>
      <c r="Z216" s="158">
        <f t="shared" si="671"/>
        <v>0.13721476707302083</v>
      </c>
      <c r="AA216" s="158">
        <f t="shared" si="671"/>
        <v>0.12170353253433154</v>
      </c>
      <c r="AB216" s="158">
        <f t="shared" si="671"/>
        <v>0.10794574190001581</v>
      </c>
      <c r="AC216" s="158">
        <f t="shared" si="671"/>
        <v>9.5743179772187936E-2</v>
      </c>
      <c r="AD216" s="158">
        <f t="shared" si="671"/>
        <v>8.4920037710984081E-2</v>
      </c>
      <c r="AE216" s="158">
        <f t="shared" si="671"/>
        <v>7.5320381274090228E-2</v>
      </c>
      <c r="AF216" s="158">
        <f t="shared" si="671"/>
        <v>6.6805903390932231E-2</v>
      </c>
      <c r="AG216" s="158">
        <f t="shared" si="671"/>
        <v>5.9253931703261632E-2</v>
      </c>
      <c r="AH216" s="116">
        <f t="shared" si="646"/>
        <v>-7.3985515309266892E-2</v>
      </c>
      <c r="AI216" s="21">
        <f t="shared" si="666"/>
        <v>0.05</v>
      </c>
      <c r="AJ216" s="158">
        <f>(AJ203)/($O$2*100)</f>
        <v>0.32276470018879827</v>
      </c>
    </row>
    <row r="217" spans="2:36">
      <c r="B217" s="10" t="s">
        <v>438</v>
      </c>
      <c r="C217" s="129"/>
      <c r="D217" s="129"/>
      <c r="E217" s="129"/>
      <c r="F217" s="129"/>
      <c r="G217" s="129">
        <f t="shared" ref="G217" si="672">G216-1</f>
        <v>-0.59508732394366193</v>
      </c>
      <c r="H217" s="129">
        <f t="shared" ref="H217:I217" si="673">H216-1</f>
        <v>-6.770833333333337E-2</v>
      </c>
      <c r="I217" s="129">
        <f t="shared" si="673"/>
        <v>-0.24562499999999998</v>
      </c>
      <c r="J217" s="129">
        <f t="shared" ref="J217:S217" si="674">J216-1</f>
        <v>-0.6528571428571428</v>
      </c>
      <c r="K217" s="129">
        <f t="shared" si="674"/>
        <v>-0.66127272727272723</v>
      </c>
      <c r="L217" s="129">
        <f t="shared" si="674"/>
        <v>-0.88036923076923079</v>
      </c>
      <c r="M217" s="129">
        <f t="shared" si="674"/>
        <v>-0.688832</v>
      </c>
      <c r="N217" s="129">
        <f t="shared" si="674"/>
        <v>-0.63534999999999997</v>
      </c>
      <c r="O217" s="129">
        <f t="shared" si="674"/>
        <v>-0.61148401826484022</v>
      </c>
      <c r="P217" s="129">
        <f t="shared" si="674"/>
        <v>-0.72708717948717949</v>
      </c>
      <c r="Q217" s="129">
        <f t="shared" si="674"/>
        <v>-0.72317647058823531</v>
      </c>
      <c r="R217" s="129">
        <f t="shared" si="674"/>
        <v>-0.19517282108665923</v>
      </c>
      <c r="S217" s="129">
        <f t="shared" si="674"/>
        <v>2.4447082096933803E-2</v>
      </c>
      <c r="T217" s="129">
        <f>T216-1</f>
        <v>0.59286466165413532</v>
      </c>
      <c r="U217" s="129">
        <f>U216-1</f>
        <v>1.3597994987468671</v>
      </c>
      <c r="V217" s="101" t="e">
        <f t="shared" si="590"/>
        <v>#NUM!</v>
      </c>
      <c r="W217" s="110"/>
      <c r="X217" s="129">
        <f t="shared" ref="X217:AG217" si="675">X216-1</f>
        <v>-0.82558003704914462</v>
      </c>
      <c r="Y217" s="129">
        <f t="shared" si="675"/>
        <v>-0.84529707633924123</v>
      </c>
      <c r="Z217" s="129">
        <f t="shared" si="675"/>
        <v>-0.86278523292697917</v>
      </c>
      <c r="AA217" s="129">
        <f t="shared" si="675"/>
        <v>-0.87829646746566847</v>
      </c>
      <c r="AB217" s="129">
        <f t="shared" si="675"/>
        <v>-0.89205425809998418</v>
      </c>
      <c r="AC217" s="129">
        <f t="shared" si="675"/>
        <v>-0.90425682022781206</v>
      </c>
      <c r="AD217" s="129">
        <f t="shared" si="675"/>
        <v>-0.91507996228901589</v>
      </c>
      <c r="AE217" s="129">
        <f t="shared" si="675"/>
        <v>-0.92467961872590976</v>
      </c>
      <c r="AF217" s="129">
        <f t="shared" si="675"/>
        <v>-0.93319409660906771</v>
      </c>
      <c r="AG217" s="129">
        <f t="shared" si="675"/>
        <v>-0.94074606829673835</v>
      </c>
      <c r="AH217" s="116">
        <f t="shared" ref="AH217" si="676">((AG217/J217)^(1/($AG$3-$K$1) ))-1</f>
        <v>1.6010066609177365E-2</v>
      </c>
      <c r="AI217" s="21">
        <f t="shared" si="666"/>
        <v>0.05</v>
      </c>
      <c r="AJ217" s="158">
        <f>(AJ204)/($O$2*100)</f>
        <v>0.20381335735870409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10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>
        <f t="shared" ref="G219:S219" si="677">1/G220</f>
        <v>0.12592576858263593</v>
      </c>
      <c r="H219" s="129">
        <f t="shared" si="677"/>
        <v>4.8355495135732202E-2</v>
      </c>
      <c r="I219" s="129">
        <f t="shared" si="677"/>
        <v>3.5555511129214852E-2</v>
      </c>
      <c r="J219" s="129">
        <f t="shared" si="677"/>
        <v>5.7566065637776428E-2</v>
      </c>
      <c r="K219" s="129">
        <f t="shared" si="677"/>
        <v>5.2560320799708911E-2</v>
      </c>
      <c r="L219" s="129">
        <f t="shared" si="677"/>
        <v>0.12592576858263593</v>
      </c>
      <c r="M219" s="129">
        <f t="shared" si="677"/>
        <v>0.25185153716527187</v>
      </c>
      <c r="N219" s="129">
        <f t="shared" si="677"/>
        <v>0.22386803303579722</v>
      </c>
      <c r="O219" s="129">
        <f t="shared" si="677"/>
        <v>0.34539639382665854</v>
      </c>
      <c r="P219" s="129">
        <f t="shared" si="677"/>
        <v>0.27474713145302387</v>
      </c>
      <c r="Q219" s="129">
        <f t="shared" si="677"/>
        <v>0.13432081982147834</v>
      </c>
      <c r="R219" s="129">
        <f t="shared" si="677"/>
        <v>3.6632950860403184E-2</v>
      </c>
      <c r="S219" s="129">
        <f t="shared" si="677"/>
        <v>2.7474713145302386E-2</v>
      </c>
      <c r="T219" s="129">
        <f>1/T220</f>
        <v>1.4924535535719815E-2</v>
      </c>
      <c r="U219" s="129">
        <f>1/U220</f>
        <v>1.0074061486610875E-2</v>
      </c>
      <c r="V219" s="101">
        <f t="shared" si="590"/>
        <v>-8.0540722484021776E-2</v>
      </c>
      <c r="W219" s="110"/>
      <c r="X219" s="129">
        <f t="shared" ref="X219:AG219" si="678">1/X220</f>
        <v>0.12088873783933049</v>
      </c>
      <c r="Y219" s="129">
        <f t="shared" si="678"/>
        <v>0.12088873783933049</v>
      </c>
      <c r="Z219" s="129">
        <f t="shared" si="678"/>
        <v>0.12088873783933049</v>
      </c>
      <c r="AA219" s="129">
        <f t="shared" si="678"/>
        <v>0.12088873783933049</v>
      </c>
      <c r="AB219" s="129">
        <f t="shared" si="678"/>
        <v>0.12088873783933049</v>
      </c>
      <c r="AC219" s="129">
        <f t="shared" si="678"/>
        <v>0.12088873783933049</v>
      </c>
      <c r="AD219" s="129">
        <f t="shared" si="678"/>
        <v>0.12088873783933049</v>
      </c>
      <c r="AE219" s="129">
        <f t="shared" si="678"/>
        <v>0.12088873783933049</v>
      </c>
      <c r="AF219" s="129">
        <f t="shared" si="678"/>
        <v>0.12088873783933049</v>
      </c>
      <c r="AG219" s="129">
        <f t="shared" si="678"/>
        <v>0.12088873783933049</v>
      </c>
      <c r="AH219" s="116">
        <f t="shared" ref="AH219" si="679">((AG219/J219)^(1/($AG$3-$K$1) ))-1</f>
        <v>3.2784079379255537E-2</v>
      </c>
      <c r="AI219" s="21">
        <f t="shared" ref="AI219:AI222" si="680">$O$1</f>
        <v>0.05</v>
      </c>
      <c r="AJ219" s="158">
        <f>(AJ206)/($O$2*100)</f>
        <v>6.9008017482029185E-2</v>
      </c>
    </row>
    <row r="220" spans="2:36">
      <c r="B220" s="10" t="s">
        <v>415</v>
      </c>
      <c r="C220" s="111"/>
      <c r="D220" s="111"/>
      <c r="E220" s="111"/>
      <c r="F220" s="111"/>
      <c r="G220" s="113">
        <f t="shared" ref="G220" si="681">G201/$W$170</f>
        <v>7.9411863930278308</v>
      </c>
      <c r="H220" s="113">
        <f t="shared" ref="H220:I220" si="682">H201/$W$170</f>
        <v>20.680172898509976</v>
      </c>
      <c r="I220" s="113">
        <f t="shared" si="682"/>
        <v>28.125035141973569</v>
      </c>
      <c r="J220" s="113">
        <f t="shared" ref="J220:T220" si="683">J201/$W$170</f>
        <v>17.371345234748379</v>
      </c>
      <c r="K220" s="113">
        <f t="shared" si="683"/>
        <v>19.025759066629178</v>
      </c>
      <c r="L220" s="113">
        <f t="shared" si="683"/>
        <v>7.9411863930278308</v>
      </c>
      <c r="M220" s="113">
        <f t="shared" si="683"/>
        <v>3.9705931965139154</v>
      </c>
      <c r="N220" s="113">
        <f t="shared" si="683"/>
        <v>4.466917346078155</v>
      </c>
      <c r="O220" s="113">
        <f t="shared" si="683"/>
        <v>2.8952242057913966</v>
      </c>
      <c r="P220" s="113">
        <f t="shared" si="683"/>
        <v>3.6397104301377556</v>
      </c>
      <c r="Q220" s="113">
        <f t="shared" si="683"/>
        <v>7.4448622434635912</v>
      </c>
      <c r="R220" s="113">
        <f t="shared" si="683"/>
        <v>27.297828226033168</v>
      </c>
      <c r="S220" s="113">
        <f t="shared" si="683"/>
        <v>36.39710430137756</v>
      </c>
      <c r="T220" s="113">
        <f t="shared" si="683"/>
        <v>67.003760191172319</v>
      </c>
      <c r="U220" s="113">
        <f t="shared" ref="U220" si="684">U201/$W$170</f>
        <v>99.264829912847887</v>
      </c>
      <c r="V220" s="101">
        <f t="shared" si="590"/>
        <v>8.7595747254420653E-2</v>
      </c>
      <c r="W220" s="110"/>
      <c r="X220" s="113">
        <f t="shared" ref="X220:AG220" si="685">X201/$W$170</f>
        <v>8.2720691594039906</v>
      </c>
      <c r="Y220" s="113">
        <f t="shared" si="685"/>
        <v>8.2720691594039906</v>
      </c>
      <c r="Z220" s="113">
        <f t="shared" si="685"/>
        <v>8.2720691594039906</v>
      </c>
      <c r="AA220" s="113">
        <f t="shared" si="685"/>
        <v>8.2720691594039906</v>
      </c>
      <c r="AB220" s="113">
        <f t="shared" si="685"/>
        <v>8.2720691594039906</v>
      </c>
      <c r="AC220" s="113">
        <f t="shared" si="685"/>
        <v>8.2720691594039906</v>
      </c>
      <c r="AD220" s="113">
        <f t="shared" si="685"/>
        <v>8.2720691594039906</v>
      </c>
      <c r="AE220" s="113">
        <f t="shared" si="685"/>
        <v>8.2720691594039906</v>
      </c>
      <c r="AF220" s="113">
        <f t="shared" si="685"/>
        <v>8.2720691594039906</v>
      </c>
      <c r="AG220" s="113">
        <f t="shared" si="685"/>
        <v>8.2720691594039906</v>
      </c>
      <c r="AH220" s="116">
        <f t="shared" ref="AH220:AH222" si="686">((AG220/J220)^(1/($AG$3-$K$1) ))-1</f>
        <v>-3.1743401194720189E-2</v>
      </c>
      <c r="AI220" s="21">
        <f t="shared" si="680"/>
        <v>0.05</v>
      </c>
      <c r="AJ220" s="158">
        <f>(AJ206)/($O$2*100)</f>
        <v>6.9008017482029185E-2</v>
      </c>
    </row>
    <row r="221" spans="2:36">
      <c r="B221" s="10" t="s">
        <v>437</v>
      </c>
      <c r="C221" s="111"/>
      <c r="D221" s="111"/>
      <c r="E221" s="111"/>
      <c r="F221" s="111"/>
      <c r="G221" s="158">
        <f t="shared" ref="G221" si="687">(G220)/($O$2*100)</f>
        <v>0.52941242620185536</v>
      </c>
      <c r="H221" s="158">
        <f t="shared" ref="H221:I221" si="688">(H220)/($O$2*100)</f>
        <v>1.3786781932339984</v>
      </c>
      <c r="I221" s="158">
        <f t="shared" si="688"/>
        <v>1.8750023427982379</v>
      </c>
      <c r="J221" s="158">
        <f t="shared" ref="J221:T221" si="689">(J220)/($O$2*100)</f>
        <v>1.1580896823165585</v>
      </c>
      <c r="K221" s="158">
        <f t="shared" si="689"/>
        <v>1.2683839377752786</v>
      </c>
      <c r="L221" s="158">
        <f t="shared" si="689"/>
        <v>0.52941242620185536</v>
      </c>
      <c r="M221" s="158">
        <f t="shared" si="689"/>
        <v>0.26470621310092768</v>
      </c>
      <c r="N221" s="158">
        <f t="shared" si="689"/>
        <v>0.29779448973854367</v>
      </c>
      <c r="O221" s="158">
        <f t="shared" si="689"/>
        <v>0.19301494705275976</v>
      </c>
      <c r="P221" s="158">
        <f t="shared" si="689"/>
        <v>0.24264736200918371</v>
      </c>
      <c r="Q221" s="158">
        <f t="shared" si="689"/>
        <v>0.49632414956423943</v>
      </c>
      <c r="R221" s="158">
        <f t="shared" si="689"/>
        <v>1.8198552150688778</v>
      </c>
      <c r="S221" s="158">
        <f t="shared" si="689"/>
        <v>2.4264736200918375</v>
      </c>
      <c r="T221" s="158">
        <f t="shared" si="689"/>
        <v>4.4669173460781542</v>
      </c>
      <c r="U221" s="158">
        <f t="shared" ref="U221" si="690">(U220)/($O$2*100)</f>
        <v>6.6176553275231926</v>
      </c>
      <c r="V221" s="101">
        <f t="shared" si="590"/>
        <v>8.7595747254420653E-2</v>
      </c>
      <c r="W221" s="110"/>
      <c r="X221" s="158">
        <f t="shared" ref="X221:AG221" si="691">(X220)/($O$2*100)</f>
        <v>0.55147127729359935</v>
      </c>
      <c r="Y221" s="158">
        <f t="shared" si="691"/>
        <v>0.55147127729359935</v>
      </c>
      <c r="Z221" s="158">
        <f t="shared" si="691"/>
        <v>0.55147127729359935</v>
      </c>
      <c r="AA221" s="158">
        <f t="shared" si="691"/>
        <v>0.55147127729359935</v>
      </c>
      <c r="AB221" s="158">
        <f t="shared" si="691"/>
        <v>0.55147127729359935</v>
      </c>
      <c r="AC221" s="158">
        <f t="shared" si="691"/>
        <v>0.55147127729359935</v>
      </c>
      <c r="AD221" s="158">
        <f t="shared" si="691"/>
        <v>0.55147127729359935</v>
      </c>
      <c r="AE221" s="158">
        <f t="shared" si="691"/>
        <v>0.55147127729359935</v>
      </c>
      <c r="AF221" s="158">
        <f t="shared" si="691"/>
        <v>0.55147127729359935</v>
      </c>
      <c r="AG221" s="158">
        <f t="shared" si="691"/>
        <v>0.55147127729359935</v>
      </c>
      <c r="AH221" s="116">
        <f t="shared" si="686"/>
        <v>-3.1743401194720189E-2</v>
      </c>
      <c r="AI221" s="21">
        <f t="shared" si="680"/>
        <v>0.05</v>
      </c>
      <c r="AJ221" s="158">
        <f>(AJ207)/($O$2*100)</f>
        <v>10.621800404769484</v>
      </c>
    </row>
    <row r="222" spans="2:36">
      <c r="B222" s="10" t="s">
        <v>439</v>
      </c>
      <c r="C222" s="111"/>
      <c r="D222" s="111"/>
      <c r="E222" s="111"/>
      <c r="F222" s="111"/>
      <c r="G222" s="129">
        <f t="shared" ref="G222" si="692">G221-1</f>
        <v>-0.47058757379814464</v>
      </c>
      <c r="H222" s="129">
        <f t="shared" ref="H222:I222" si="693">H221-1</f>
        <v>0.37867819323399843</v>
      </c>
      <c r="I222" s="129">
        <f t="shared" si="693"/>
        <v>0.87500234279823785</v>
      </c>
      <c r="J222" s="129">
        <f t="shared" ref="J222:T222" si="694">J221-1</f>
        <v>0.15808968231655851</v>
      </c>
      <c r="K222" s="129">
        <f t="shared" si="694"/>
        <v>0.26838393777527858</v>
      </c>
      <c r="L222" s="129">
        <f t="shared" si="694"/>
        <v>-0.47058757379814464</v>
      </c>
      <c r="M222" s="129">
        <f t="shared" si="694"/>
        <v>-0.73529378689907232</v>
      </c>
      <c r="N222" s="129">
        <f t="shared" si="694"/>
        <v>-0.70220551026145639</v>
      </c>
      <c r="O222" s="129">
        <f t="shared" si="694"/>
        <v>-0.80698505294724021</v>
      </c>
      <c r="P222" s="129">
        <f t="shared" si="694"/>
        <v>-0.75735263799081631</v>
      </c>
      <c r="Q222" s="129">
        <f t="shared" si="694"/>
        <v>-0.50367585043576057</v>
      </c>
      <c r="R222" s="129">
        <f t="shared" si="694"/>
        <v>0.81985521506887782</v>
      </c>
      <c r="S222" s="129">
        <f t="shared" si="694"/>
        <v>1.4264736200918375</v>
      </c>
      <c r="T222" s="129">
        <f t="shared" si="694"/>
        <v>3.4669173460781542</v>
      </c>
      <c r="U222" s="129">
        <f t="shared" ref="U222" si="695">U221-1</f>
        <v>5.6176553275231926</v>
      </c>
      <c r="V222" s="101">
        <f t="shared" si="590"/>
        <v>0.17136149083773833</v>
      </c>
      <c r="W222" s="110"/>
      <c r="X222" s="129">
        <f t="shared" ref="X222:AG222" si="696">X221-1</f>
        <v>-0.44852872270640065</v>
      </c>
      <c r="Y222" s="129">
        <f t="shared" si="696"/>
        <v>-0.44852872270640065</v>
      </c>
      <c r="Z222" s="129">
        <f t="shared" si="696"/>
        <v>-0.44852872270640065</v>
      </c>
      <c r="AA222" s="129">
        <f t="shared" si="696"/>
        <v>-0.44852872270640065</v>
      </c>
      <c r="AB222" s="129">
        <f t="shared" si="696"/>
        <v>-0.44852872270640065</v>
      </c>
      <c r="AC222" s="129">
        <f t="shared" si="696"/>
        <v>-0.44852872270640065</v>
      </c>
      <c r="AD222" s="129">
        <f t="shared" si="696"/>
        <v>-0.44852872270640065</v>
      </c>
      <c r="AE222" s="129">
        <f t="shared" si="696"/>
        <v>-0.44852872270640065</v>
      </c>
      <c r="AF222" s="129">
        <f t="shared" si="696"/>
        <v>-0.44852872270640065</v>
      </c>
      <c r="AG222" s="129">
        <f t="shared" si="696"/>
        <v>-0.44852872270640065</v>
      </c>
      <c r="AH222" s="116">
        <f t="shared" si="686"/>
        <v>-2.0463831257978793</v>
      </c>
      <c r="AI222" s="21">
        <f t="shared" si="680"/>
        <v>0.05</v>
      </c>
      <c r="AJ222" s="158">
        <f>(AJ208)/($O$2*100)</f>
        <v>6.9033243844405276E-2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3"/>
      <c r="V223" s="110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>
        <f t="shared" ref="G224:U224" si="697">1/G225</f>
        <v>0.25537760029454665</v>
      </c>
      <c r="H224" s="129">
        <f t="shared" si="697"/>
        <v>9.8064998513105905E-2</v>
      </c>
      <c r="I224" s="129">
        <f t="shared" si="697"/>
        <v>7.2106616553754346E-2</v>
      </c>
      <c r="J224" s="129">
        <f t="shared" si="697"/>
        <v>0.11674404584893561</v>
      </c>
      <c r="K224" s="129">
        <f t="shared" si="697"/>
        <v>0.1065923896881586</v>
      </c>
      <c r="L224" s="129">
        <f t="shared" si="697"/>
        <v>0.25537760029454665</v>
      </c>
      <c r="M224" s="129">
        <f t="shared" si="697"/>
        <v>0.51075520058909329</v>
      </c>
      <c r="N224" s="129">
        <f t="shared" si="697"/>
        <v>0.45400462274586068</v>
      </c>
      <c r="O224" s="129">
        <f t="shared" si="697"/>
        <v>0.70046427509361364</v>
      </c>
      <c r="P224" s="129">
        <f t="shared" si="697"/>
        <v>0.55718749155173808</v>
      </c>
      <c r="Q224" s="129">
        <f t="shared" si="697"/>
        <v>0.27240277364751642</v>
      </c>
      <c r="R224" s="129">
        <f t="shared" si="697"/>
        <v>7.4291665540231755E-2</v>
      </c>
      <c r="S224" s="129">
        <f t="shared" si="697"/>
        <v>5.5718749155173816E-2</v>
      </c>
      <c r="T224" s="129">
        <f t="shared" si="697"/>
        <v>3.0266974849724047E-2</v>
      </c>
      <c r="U224" s="129">
        <f t="shared" si="697"/>
        <v>2.0430208023563729E-2</v>
      </c>
      <c r="V224" s="101">
        <f t="shared" si="590"/>
        <v>-8.0540722484021776E-2</v>
      </c>
      <c r="W224" s="110"/>
      <c r="X224" s="129">
        <f t="shared" ref="X224:AG224" si="698">1/X225</f>
        <v>0.24516249628276479</v>
      </c>
      <c r="Y224" s="129">
        <f t="shared" si="698"/>
        <v>0.24516249628276479</v>
      </c>
      <c r="Z224" s="129">
        <f t="shared" si="698"/>
        <v>0.24516249628276479</v>
      </c>
      <c r="AA224" s="129">
        <f t="shared" si="698"/>
        <v>0.24516249628276479</v>
      </c>
      <c r="AB224" s="129">
        <f t="shared" si="698"/>
        <v>0.24516249628276479</v>
      </c>
      <c r="AC224" s="129">
        <f t="shared" si="698"/>
        <v>0.24516249628276479</v>
      </c>
      <c r="AD224" s="129">
        <f t="shared" si="698"/>
        <v>0.24516249628276479</v>
      </c>
      <c r="AE224" s="129">
        <f t="shared" si="698"/>
        <v>0.24516249628276479</v>
      </c>
      <c r="AF224" s="129">
        <f t="shared" si="698"/>
        <v>0.24516249628276479</v>
      </c>
      <c r="AG224" s="129">
        <f t="shared" si="698"/>
        <v>0.24516249628276479</v>
      </c>
      <c r="AH224" s="116">
        <f t="shared" ref="AH224" si="699">((AG224/J224)^(1/($AG$3-$K$1) ))-1</f>
        <v>3.2784079379255537E-2</v>
      </c>
      <c r="AI224" s="21">
        <f t="shared" ref="AI224" si="700">$O$1</f>
        <v>0.05</v>
      </c>
      <c r="AJ224" s="158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>
        <f t="shared" ref="G225" si="701">G201/$T$170</f>
        <v>3.9157702118221138</v>
      </c>
      <c r="H225" s="113">
        <f t="shared" ref="H225:I225" si="702">H201/$T$170</f>
        <v>10.197318259953422</v>
      </c>
      <c r="I225" s="113">
        <f t="shared" si="702"/>
        <v>13.868352833536653</v>
      </c>
      <c r="J225" s="113">
        <f t="shared" ref="J225:S225" si="703">J201/$T$170</f>
        <v>8.5657473383608735</v>
      </c>
      <c r="K225" s="113">
        <f t="shared" si="703"/>
        <v>9.3815327991571476</v>
      </c>
      <c r="L225" s="113">
        <f t="shared" si="703"/>
        <v>3.9157702118221138</v>
      </c>
      <c r="M225" s="113">
        <f t="shared" si="703"/>
        <v>1.9578851059110569</v>
      </c>
      <c r="N225" s="113">
        <f t="shared" si="703"/>
        <v>2.202620744149939</v>
      </c>
      <c r="O225" s="113">
        <f t="shared" si="703"/>
        <v>1.4276245563934791</v>
      </c>
      <c r="P225" s="113">
        <f t="shared" si="703"/>
        <v>1.7947280137518022</v>
      </c>
      <c r="Q225" s="113">
        <f t="shared" si="703"/>
        <v>3.6710345735832317</v>
      </c>
      <c r="R225" s="113">
        <f t="shared" si="703"/>
        <v>13.460460103138516</v>
      </c>
      <c r="S225" s="113">
        <f t="shared" si="703"/>
        <v>17.947280137518021</v>
      </c>
      <c r="T225" s="113">
        <f>T201/$T$170</f>
        <v>33.039311162249085</v>
      </c>
      <c r="U225" s="113">
        <f>U201/$T$170</f>
        <v>48.947127647776426</v>
      </c>
      <c r="V225" s="101">
        <f t="shared" si="590"/>
        <v>8.7595747254420653E-2</v>
      </c>
      <c r="W225" s="110"/>
      <c r="X225" s="113">
        <f t="shared" ref="X225:AG225" si="704">X201/$T$170</f>
        <v>4.0789273039813683</v>
      </c>
      <c r="Y225" s="113">
        <f t="shared" si="704"/>
        <v>4.0789273039813683</v>
      </c>
      <c r="Z225" s="113">
        <f t="shared" si="704"/>
        <v>4.0789273039813683</v>
      </c>
      <c r="AA225" s="113">
        <f t="shared" si="704"/>
        <v>4.0789273039813683</v>
      </c>
      <c r="AB225" s="113">
        <f t="shared" si="704"/>
        <v>4.0789273039813683</v>
      </c>
      <c r="AC225" s="113">
        <f t="shared" si="704"/>
        <v>4.0789273039813683</v>
      </c>
      <c r="AD225" s="113">
        <f t="shared" si="704"/>
        <v>4.0789273039813683</v>
      </c>
      <c r="AE225" s="113">
        <f t="shared" si="704"/>
        <v>4.0789273039813683</v>
      </c>
      <c r="AF225" s="113">
        <f t="shared" si="704"/>
        <v>4.0789273039813683</v>
      </c>
      <c r="AG225" s="113">
        <f t="shared" si="704"/>
        <v>4.0789273039813683</v>
      </c>
      <c r="AH225" s="116">
        <f t="shared" ref="AH225:AH227" si="705">((AG225/J225)^(1/($AG$3-$K$1) ))-1</f>
        <v>-3.1743401194720189E-2</v>
      </c>
      <c r="AI225" s="21">
        <f t="shared" ref="AI225:AI227" si="706">$O$1</f>
        <v>0.05</v>
      </c>
      <c r="AJ225" s="158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8">
        <f t="shared" ref="G226" si="707">(G225)/($O$2*100)</f>
        <v>0.26105134745480757</v>
      </c>
      <c r="H226" s="158">
        <f t="shared" ref="H226:I226" si="708">(H225)/($O$2*100)</f>
        <v>0.67982121733022816</v>
      </c>
      <c r="I226" s="158">
        <f t="shared" si="708"/>
        <v>0.92455685556911016</v>
      </c>
      <c r="J226" s="158">
        <f t="shared" ref="J226:T226" si="709">(J225)/($O$2*100)</f>
        <v>0.57104982255739156</v>
      </c>
      <c r="K226" s="158">
        <f t="shared" si="709"/>
        <v>0.62543551994380986</v>
      </c>
      <c r="L226" s="158">
        <f t="shared" si="709"/>
        <v>0.26105134745480757</v>
      </c>
      <c r="M226" s="158">
        <f t="shared" si="709"/>
        <v>0.13052567372740378</v>
      </c>
      <c r="N226" s="158">
        <f t="shared" si="709"/>
        <v>0.14684138294332927</v>
      </c>
      <c r="O226" s="158">
        <f t="shared" si="709"/>
        <v>9.5174970426231936E-2</v>
      </c>
      <c r="P226" s="158">
        <f t="shared" si="709"/>
        <v>0.11964853425012015</v>
      </c>
      <c r="Q226" s="158">
        <f t="shared" si="709"/>
        <v>0.24473563823888211</v>
      </c>
      <c r="R226" s="158">
        <f t="shared" si="709"/>
        <v>0.89736400687590101</v>
      </c>
      <c r="S226" s="158">
        <f t="shared" si="709"/>
        <v>1.1964853425012014</v>
      </c>
      <c r="T226" s="158">
        <f t="shared" si="709"/>
        <v>2.202620744149939</v>
      </c>
      <c r="U226" s="158">
        <f t="shared" ref="U226" si="710">(U225)/($O$2*100)</f>
        <v>3.2631418431850951</v>
      </c>
      <c r="V226" s="101">
        <f t="shared" si="590"/>
        <v>8.7595747254420653E-2</v>
      </c>
      <c r="W226" s="110"/>
      <c r="X226" s="158">
        <f t="shared" ref="X226:AG226" si="711">(X225)/($O$2*100)</f>
        <v>0.27192848693209121</v>
      </c>
      <c r="Y226" s="158">
        <f t="shared" si="711"/>
        <v>0.27192848693209121</v>
      </c>
      <c r="Z226" s="158">
        <f t="shared" si="711"/>
        <v>0.27192848693209121</v>
      </c>
      <c r="AA226" s="158">
        <f t="shared" si="711"/>
        <v>0.27192848693209121</v>
      </c>
      <c r="AB226" s="158">
        <f t="shared" si="711"/>
        <v>0.27192848693209121</v>
      </c>
      <c r="AC226" s="158">
        <f t="shared" si="711"/>
        <v>0.27192848693209121</v>
      </c>
      <c r="AD226" s="158">
        <f t="shared" si="711"/>
        <v>0.27192848693209121</v>
      </c>
      <c r="AE226" s="158">
        <f t="shared" si="711"/>
        <v>0.27192848693209121</v>
      </c>
      <c r="AF226" s="158">
        <f t="shared" si="711"/>
        <v>0.27192848693209121</v>
      </c>
      <c r="AG226" s="158">
        <f t="shared" si="711"/>
        <v>0.27192848693209121</v>
      </c>
      <c r="AH226" s="116">
        <f t="shared" si="705"/>
        <v>-3.1743401194720189E-2</v>
      </c>
      <c r="AI226" s="21">
        <f t="shared" si="706"/>
        <v>0.05</v>
      </c>
      <c r="AJ226" s="158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>
        <f t="shared" ref="G227" si="712">G226-1</f>
        <v>-0.73894865254519249</v>
      </c>
      <c r="H227" s="129">
        <f t="shared" ref="H227:I227" si="713">H226-1</f>
        <v>-0.32017878266977184</v>
      </c>
      <c r="I227" s="129">
        <f t="shared" si="713"/>
        <v>-7.5443144430889841E-2</v>
      </c>
      <c r="J227" s="129">
        <f t="shared" ref="J227:T227" si="714">J226-1</f>
        <v>-0.42895017744260844</v>
      </c>
      <c r="K227" s="129">
        <f t="shared" si="714"/>
        <v>-0.37456448005619014</v>
      </c>
      <c r="L227" s="129">
        <f t="shared" si="714"/>
        <v>-0.73894865254519249</v>
      </c>
      <c r="M227" s="129">
        <f t="shared" si="714"/>
        <v>-0.86947432627259624</v>
      </c>
      <c r="N227" s="129">
        <f t="shared" si="714"/>
        <v>-0.85315861705667073</v>
      </c>
      <c r="O227" s="129">
        <f t="shared" si="714"/>
        <v>-0.90482502957376809</v>
      </c>
      <c r="P227" s="129">
        <f t="shared" si="714"/>
        <v>-0.88035146574987988</v>
      </c>
      <c r="Q227" s="129">
        <f t="shared" si="714"/>
        <v>-0.75526436176111789</v>
      </c>
      <c r="R227" s="129">
        <f t="shared" si="714"/>
        <v>-0.10263599312409899</v>
      </c>
      <c r="S227" s="129">
        <f t="shared" si="714"/>
        <v>0.19648534250120142</v>
      </c>
      <c r="T227" s="129">
        <f t="shared" si="714"/>
        <v>1.202620744149939</v>
      </c>
      <c r="U227" s="129">
        <f t="shared" ref="U227" si="715">U226-1</f>
        <v>2.2631418431850951</v>
      </c>
      <c r="V227" s="101" t="e">
        <f t="shared" si="590"/>
        <v>#NUM!</v>
      </c>
      <c r="W227" s="110"/>
      <c r="X227" s="129">
        <f t="shared" ref="X227:AG227" si="716">X226-1</f>
        <v>-0.72807151306790874</v>
      </c>
      <c r="Y227" s="129">
        <f t="shared" si="716"/>
        <v>-0.72807151306790874</v>
      </c>
      <c r="Z227" s="129">
        <f t="shared" si="716"/>
        <v>-0.72807151306790874</v>
      </c>
      <c r="AA227" s="129">
        <f t="shared" si="716"/>
        <v>-0.72807151306790874</v>
      </c>
      <c r="AB227" s="129">
        <f t="shared" si="716"/>
        <v>-0.72807151306790874</v>
      </c>
      <c r="AC227" s="129">
        <f t="shared" si="716"/>
        <v>-0.72807151306790874</v>
      </c>
      <c r="AD227" s="129">
        <f t="shared" si="716"/>
        <v>-0.72807151306790874</v>
      </c>
      <c r="AE227" s="129">
        <f t="shared" si="716"/>
        <v>-0.72807151306790874</v>
      </c>
      <c r="AF227" s="129">
        <f t="shared" si="716"/>
        <v>-0.72807151306790874</v>
      </c>
      <c r="AG227" s="129">
        <f t="shared" si="716"/>
        <v>-0.72807151306790874</v>
      </c>
      <c r="AH227" s="116">
        <f t="shared" si="705"/>
        <v>2.3269142203260929E-2</v>
      </c>
      <c r="AI227" s="21">
        <f t="shared" si="706"/>
        <v>0.05</v>
      </c>
      <c r="AJ227" s="158">
        <f>(AJ211)/($O$2*100)</f>
        <v>3.0410087442438595E-2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3"/>
      <c r="V228" s="110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>
        <f t="shared" ref="G229:S229" si="717">1/G230</f>
        <v>0.19574102548524086</v>
      </c>
      <c r="H229" s="129">
        <f t="shared" si="717"/>
        <v>7.5164553786332494E-2</v>
      </c>
      <c r="I229" s="129">
        <f t="shared" si="717"/>
        <v>5.5268054254656244E-2</v>
      </c>
      <c r="J229" s="129">
        <f t="shared" si="717"/>
        <v>8.9481611650395823E-2</v>
      </c>
      <c r="K229" s="129">
        <f t="shared" si="717"/>
        <v>8.1700601941665757E-2</v>
      </c>
      <c r="L229" s="129">
        <f t="shared" si="717"/>
        <v>0.19574102548524086</v>
      </c>
      <c r="M229" s="129">
        <f t="shared" si="717"/>
        <v>0.39148205097048172</v>
      </c>
      <c r="N229" s="129">
        <f t="shared" si="717"/>
        <v>0.34798404530709487</v>
      </c>
      <c r="O229" s="129">
        <f t="shared" si="717"/>
        <v>0.53688966990237497</v>
      </c>
      <c r="P229" s="129">
        <f t="shared" si="717"/>
        <v>0.42707132833143463</v>
      </c>
      <c r="Q229" s="129">
        <f t="shared" si="717"/>
        <v>0.20879042718425692</v>
      </c>
      <c r="R229" s="129">
        <f t="shared" si="717"/>
        <v>5.6942843777524621E-2</v>
      </c>
      <c r="S229" s="129">
        <f t="shared" si="717"/>
        <v>4.2707132833143459E-2</v>
      </c>
      <c r="T229" s="129">
        <f>1/T230</f>
        <v>2.3198936353806324E-2</v>
      </c>
      <c r="U229" s="129">
        <f>1/U230</f>
        <v>1.5659282038819271E-2</v>
      </c>
      <c r="V229" s="101">
        <f t="shared" ref="V229:V232" si="718">((T229/H229)^(1/($K$2-$K$1) ))-1</f>
        <v>-8.0540722484021776E-2</v>
      </c>
      <c r="W229" s="110"/>
      <c r="X229" s="129">
        <f t="shared" ref="X229:AG229" si="719">1/X230</f>
        <v>22.120445848928167</v>
      </c>
      <c r="Y229" s="129">
        <f t="shared" si="719"/>
        <v>24.939718359085674</v>
      </c>
      <c r="Z229" s="129">
        <f t="shared" si="719"/>
        <v>28.118309914655413</v>
      </c>
      <c r="AA229" s="129">
        <f t="shared" si="719"/>
        <v>31.702016080248747</v>
      </c>
      <c r="AB229" s="129">
        <f t="shared" si="719"/>
        <v>35.742469110084365</v>
      </c>
      <c r="AC229" s="129">
        <f t="shared" si="719"/>
        <v>40.297881839801001</v>
      </c>
      <c r="AD229" s="129">
        <f t="shared" si="719"/>
        <v>45.433886388010926</v>
      </c>
      <c r="AE229" s="129">
        <f t="shared" si="719"/>
        <v>51.224479751188788</v>
      </c>
      <c r="AF229" s="129">
        <f t="shared" si="719"/>
        <v>57.753089915555982</v>
      </c>
      <c r="AG229" s="129">
        <f t="shared" si="719"/>
        <v>65.113777845969963</v>
      </c>
      <c r="AH229" s="116">
        <f t="shared" ref="AH229:AH232" si="720">((AG229/J229)^(1/($AG$3-$K$1) ))-1</f>
        <v>0.33177891449208707</v>
      </c>
      <c r="AI229" s="21">
        <f t="shared" ref="AI229:AI232" si="721">$O$1</f>
        <v>0.05</v>
      </c>
      <c r="AJ229" s="158">
        <f>(AJ215)/($O$2*100)</f>
        <v>2.6056078885777975E-3</v>
      </c>
    </row>
    <row r="230" spans="2:36">
      <c r="B230" s="10" t="s">
        <v>511</v>
      </c>
      <c r="C230" s="111"/>
      <c r="D230" s="111"/>
      <c r="E230" s="111"/>
      <c r="F230" s="111"/>
      <c r="G230" s="113">
        <f t="shared" ref="G230" si="722">G201/$X$171</f>
        <v>5.1087910545119799</v>
      </c>
      <c r="H230" s="113">
        <f t="shared" ref="H230:S230" si="723">H201/$X$171</f>
        <v>13.304143371124947</v>
      </c>
      <c r="I230" s="113">
        <f t="shared" si="723"/>
        <v>18.093634984729928</v>
      </c>
      <c r="J230" s="113">
        <f t="shared" si="723"/>
        <v>11.175480431744957</v>
      </c>
      <c r="K230" s="113">
        <f t="shared" si="723"/>
        <v>12.239811901434951</v>
      </c>
      <c r="L230" s="113">
        <f t="shared" si="723"/>
        <v>5.1087910545119799</v>
      </c>
      <c r="M230" s="113">
        <f t="shared" si="723"/>
        <v>2.55439552725599</v>
      </c>
      <c r="N230" s="113">
        <f t="shared" si="723"/>
        <v>2.8736949681629889</v>
      </c>
      <c r="O230" s="113">
        <f t="shared" si="723"/>
        <v>1.8625800719574928</v>
      </c>
      <c r="P230" s="113">
        <f t="shared" si="723"/>
        <v>2.3415292333179907</v>
      </c>
      <c r="Q230" s="113">
        <f t="shared" si="723"/>
        <v>4.789491613604981</v>
      </c>
      <c r="R230" s="113">
        <f t="shared" si="723"/>
        <v>17.561469249884929</v>
      </c>
      <c r="S230" s="113">
        <f t="shared" si="723"/>
        <v>23.415292333179909</v>
      </c>
      <c r="T230" s="113">
        <f>T201/$X$171</f>
        <v>43.105424522444828</v>
      </c>
      <c r="U230" s="113">
        <f>U201/$X$171</f>
        <v>63.859888181399747</v>
      </c>
      <c r="V230" s="101">
        <f t="shared" si="718"/>
        <v>8.7595747254420653E-2</v>
      </c>
      <c r="W230" s="110"/>
      <c r="X230" s="113">
        <f t="shared" ref="X230:AG230" si="724">X206/$T$170</f>
        <v>4.5207045410816368E-2</v>
      </c>
      <c r="Y230" s="113">
        <f t="shared" si="724"/>
        <v>4.0096683755680609E-2</v>
      </c>
      <c r="Z230" s="113">
        <f t="shared" si="724"/>
        <v>3.5564015157212372E-2</v>
      </c>
      <c r="AA230" s="113">
        <f t="shared" si="724"/>
        <v>3.1543735182918801E-2</v>
      </c>
      <c r="AB230" s="113">
        <f t="shared" si="724"/>
        <v>2.7977921640501901E-2</v>
      </c>
      <c r="AC230" s="113">
        <f t="shared" si="724"/>
        <v>2.4815200063749508E-2</v>
      </c>
      <c r="AD230" s="113">
        <f t="shared" si="724"/>
        <v>2.2010003534803917E-2</v>
      </c>
      <c r="AE230" s="113">
        <f t="shared" si="724"/>
        <v>1.9521916178695649E-2</v>
      </c>
      <c r="AF230" s="113">
        <f t="shared" si="724"/>
        <v>1.7315090871538749E-2</v>
      </c>
      <c r="AG230" s="113">
        <f t="shared" si="724"/>
        <v>1.5357732773016981E-2</v>
      </c>
      <c r="AH230" s="116">
        <f t="shared" si="720"/>
        <v>-0.24912461887010784</v>
      </c>
      <c r="AI230" s="21">
        <f t="shared" si="721"/>
        <v>0.05</v>
      </c>
      <c r="AJ230" s="158">
        <f>(AJ215)/($O$2*100)</f>
        <v>2.6056078885777975E-3</v>
      </c>
    </row>
    <row r="231" spans="2:36">
      <c r="B231" s="10" t="s">
        <v>437</v>
      </c>
      <c r="C231" s="111"/>
      <c r="D231" s="111"/>
      <c r="E231" s="111"/>
      <c r="F231" s="111"/>
      <c r="G231" s="158">
        <f t="shared" ref="G231" si="725">(G230)/($O$2*100)</f>
        <v>0.34058607030079868</v>
      </c>
      <c r="H231" s="158">
        <f t="shared" ref="H231:T231" si="726">(H230)/($O$2*100)</f>
        <v>0.88694289140832983</v>
      </c>
      <c r="I231" s="158">
        <f t="shared" si="726"/>
        <v>1.2062423323153284</v>
      </c>
      <c r="J231" s="158">
        <f t="shared" si="726"/>
        <v>0.74503202878299712</v>
      </c>
      <c r="K231" s="158">
        <f t="shared" si="726"/>
        <v>0.81598746009566336</v>
      </c>
      <c r="L231" s="158">
        <f t="shared" si="726"/>
        <v>0.34058607030079868</v>
      </c>
      <c r="M231" s="158">
        <f t="shared" si="726"/>
        <v>0.17029303515039934</v>
      </c>
      <c r="N231" s="158">
        <f t="shared" si="726"/>
        <v>0.19157966454419925</v>
      </c>
      <c r="O231" s="158">
        <f t="shared" si="726"/>
        <v>0.12417200479716618</v>
      </c>
      <c r="P231" s="158">
        <f t="shared" si="726"/>
        <v>0.15610194888786605</v>
      </c>
      <c r="Q231" s="158">
        <f t="shared" si="726"/>
        <v>0.31929944090699874</v>
      </c>
      <c r="R231" s="158">
        <f t="shared" si="726"/>
        <v>1.1707646166589953</v>
      </c>
      <c r="S231" s="158">
        <f t="shared" si="726"/>
        <v>1.5610194888786606</v>
      </c>
      <c r="T231" s="158">
        <f t="shared" si="726"/>
        <v>2.8736949681629884</v>
      </c>
      <c r="U231" s="158">
        <f t="shared" ref="U231" si="727">(U230)/($O$2*100)</f>
        <v>4.2573258787599828</v>
      </c>
      <c r="V231" s="101">
        <f t="shared" si="718"/>
        <v>8.7595747254420653E-2</v>
      </c>
      <c r="W231" s="110"/>
      <c r="X231" s="158">
        <f t="shared" ref="X231:AG231" si="728">(X230)/($O$2*100)</f>
        <v>3.0138030273877581E-3</v>
      </c>
      <c r="Y231" s="158">
        <f t="shared" si="728"/>
        <v>2.6731122503787074E-3</v>
      </c>
      <c r="Z231" s="158">
        <f t="shared" si="728"/>
        <v>2.370934343814158E-3</v>
      </c>
      <c r="AA231" s="158">
        <f t="shared" si="728"/>
        <v>2.1029156788612536E-3</v>
      </c>
      <c r="AB231" s="158">
        <f t="shared" si="728"/>
        <v>1.8651947760334601E-3</v>
      </c>
      <c r="AC231" s="158">
        <f t="shared" si="728"/>
        <v>1.6543466709166338E-3</v>
      </c>
      <c r="AD231" s="158">
        <f t="shared" si="728"/>
        <v>1.4673335689869278E-3</v>
      </c>
      <c r="AE231" s="158">
        <f t="shared" si="728"/>
        <v>1.3014610785797099E-3</v>
      </c>
      <c r="AF231" s="158">
        <f t="shared" si="728"/>
        <v>1.1543393914359166E-3</v>
      </c>
      <c r="AG231" s="158">
        <f t="shared" si="728"/>
        <v>1.0238488515344655E-3</v>
      </c>
      <c r="AH231" s="116">
        <f t="shared" si="720"/>
        <v>-0.24912461887010784</v>
      </c>
      <c r="AI231" s="21">
        <f t="shared" si="721"/>
        <v>0.05</v>
      </c>
      <c r="AJ231" s="158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>
        <f t="shared" ref="G232" si="729">G231-1</f>
        <v>-0.65941392969920132</v>
      </c>
      <c r="H232" s="129">
        <f t="shared" ref="H232:T232" si="730">H231-1</f>
        <v>-0.11305710859167017</v>
      </c>
      <c r="I232" s="129">
        <f t="shared" si="730"/>
        <v>0.2062423323153284</v>
      </c>
      <c r="J232" s="129">
        <f t="shared" si="730"/>
        <v>-0.25496797121700288</v>
      </c>
      <c r="K232" s="129">
        <f t="shared" si="730"/>
        <v>-0.18401253990433664</v>
      </c>
      <c r="L232" s="129">
        <f t="shared" si="730"/>
        <v>-0.65941392969920132</v>
      </c>
      <c r="M232" s="129">
        <f t="shared" si="730"/>
        <v>-0.82970696484960071</v>
      </c>
      <c r="N232" s="129">
        <f t="shared" si="730"/>
        <v>-0.80842033545580072</v>
      </c>
      <c r="O232" s="129">
        <f t="shared" si="730"/>
        <v>-0.87582799520283383</v>
      </c>
      <c r="P232" s="129">
        <f t="shared" si="730"/>
        <v>-0.8438980511121339</v>
      </c>
      <c r="Q232" s="129">
        <f t="shared" si="730"/>
        <v>-0.68070055909300131</v>
      </c>
      <c r="R232" s="129">
        <f t="shared" si="730"/>
        <v>0.17076461665899534</v>
      </c>
      <c r="S232" s="129">
        <f t="shared" si="730"/>
        <v>0.5610194888786606</v>
      </c>
      <c r="T232" s="129">
        <f t="shared" si="730"/>
        <v>1.8736949681629884</v>
      </c>
      <c r="U232" s="129">
        <f t="shared" ref="U232" si="731">U231-1</f>
        <v>3.2573258787599828</v>
      </c>
      <c r="V232" s="101" t="e">
        <f t="shared" si="718"/>
        <v>#NUM!</v>
      </c>
      <c r="W232" s="110"/>
      <c r="X232" s="129">
        <f t="shared" ref="X232:AG232" si="732">X231-1</f>
        <v>-0.99698619697261226</v>
      </c>
      <c r="Y232" s="129">
        <f t="shared" si="732"/>
        <v>-0.9973268877496213</v>
      </c>
      <c r="Z232" s="129">
        <f t="shared" si="732"/>
        <v>-0.99762906565618581</v>
      </c>
      <c r="AA232" s="129">
        <f t="shared" si="732"/>
        <v>-0.99789708432113877</v>
      </c>
      <c r="AB232" s="129">
        <f t="shared" si="732"/>
        <v>-0.99813480522396658</v>
      </c>
      <c r="AC232" s="129">
        <f t="shared" si="732"/>
        <v>-0.99834565332908332</v>
      </c>
      <c r="AD232" s="129">
        <f t="shared" si="732"/>
        <v>-0.99853266643101313</v>
      </c>
      <c r="AE232" s="129">
        <f t="shared" si="732"/>
        <v>-0.99869853892142024</v>
      </c>
      <c r="AF232" s="129">
        <f t="shared" si="732"/>
        <v>-0.99884566060856406</v>
      </c>
      <c r="AG232" s="129">
        <f t="shared" si="732"/>
        <v>-0.9989761511484655</v>
      </c>
      <c r="AH232" s="116">
        <f t="shared" si="720"/>
        <v>6.1171628319102167E-2</v>
      </c>
      <c r="AI232" s="21">
        <f t="shared" si="721"/>
        <v>0.05</v>
      </c>
      <c r="AJ232" s="158">
        <f>(AJ216)/($O$2*100)</f>
        <v>2.1517646679253218E-2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3"/>
      <c r="V233" s="110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5" t="s">
        <v>296</v>
      </c>
      <c r="O236" s="316"/>
      <c r="P236" s="10"/>
      <c r="Q236" s="10"/>
      <c r="R236" s="10"/>
      <c r="S236" s="93" t="s">
        <v>375</v>
      </c>
      <c r="T236" s="93" t="s">
        <v>374</v>
      </c>
      <c r="U236" s="93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(T201-W188)/T201</f>
        <v>0.9474670970219492</v>
      </c>
      <c r="T237" s="110">
        <f>(T201-X188)/T201</f>
        <v>0.9567818180125055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>
        <f>(S201-(N238*W179))/S201</f>
        <v>-1.0447794909955777</v>
      </c>
      <c r="Q238" s="10"/>
      <c r="R238" s="10"/>
      <c r="S238" s="110">
        <f>(T201-W179)/T201</f>
        <v>-0.11074441486179532</v>
      </c>
      <c r="T238" s="110">
        <f>(T201-X179)/T201</f>
        <v>0.84522413891270065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(S201-(N239*W172))/S201</f>
        <v>-0.46483639719330083</v>
      </c>
      <c r="Q239" s="10"/>
      <c r="R239" s="10"/>
      <c r="S239" s="110">
        <f>(T201-W172)/T201</f>
        <v>0.20428640152462671</v>
      </c>
      <c r="T239" s="110">
        <f>(T201-X172)/T201</f>
        <v>0.88912187562228406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>
        <f>(S201-(N240*W185))/S201</f>
        <v>0.99625458333637362</v>
      </c>
      <c r="Q240" s="10"/>
      <c r="R240" s="10"/>
      <c r="S240" s="110">
        <f>(T201-W185)/T201</f>
        <v>0.99796545267654857</v>
      </c>
      <c r="T240" s="110">
        <f>(T201-X185)/T201</f>
        <v>0.99971649750410929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(S201-(N241*W198))/S201</f>
        <v>1.0559268947864111</v>
      </c>
      <c r="Q241" s="10"/>
      <c r="R241" s="10"/>
      <c r="S241" s="110">
        <f>(T201-W198)/T201</f>
        <v>1.0303800416123716</v>
      </c>
      <c r="T241" s="110">
        <f>(T201-X198)/T201</f>
        <v>1.0249932916850171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T201/W171</f>
        <v>6.0064935809964108</v>
      </c>
      <c r="T242" s="15">
        <f>T201/X171</f>
        <v>43.105424522444828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>
        <f>1/S242</f>
        <v>0.16648648442143363</v>
      </c>
      <c r="T243" s="129">
        <f>1/T242</f>
        <v>2.3198936353806324E-2</v>
      </c>
      <c r="U243" s="129"/>
      <c r="V243" s="10"/>
      <c r="W243" s="10"/>
      <c r="X243" s="111">
        <f>T201-X244</f>
        <v>389.94518900436401</v>
      </c>
      <c r="Y243" s="162">
        <f>X243-Y244</f>
        <v>371.8794158096008</v>
      </c>
      <c r="Z243" s="162">
        <f t="shared" ref="Z243:AB243" si="733">Y243-Z244</f>
        <v>350.20048797588498</v>
      </c>
      <c r="AA243" s="162">
        <f t="shared" si="733"/>
        <v>324.18577457542602</v>
      </c>
      <c r="AB243" s="162">
        <f t="shared" si="733"/>
        <v>292.96811849487523</v>
      </c>
      <c r="AC243" s="162">
        <f>AB243-AC244</f>
        <v>255.50693119821429</v>
      </c>
      <c r="AD243" s="162">
        <f t="shared" ref="AD243:AG243" si="734">AC243-AD244</f>
        <v>210.55350644222116</v>
      </c>
      <c r="AE243" s="162">
        <f t="shared" si="734"/>
        <v>156.60939673502941</v>
      </c>
      <c r="AF243" s="162">
        <f t="shared" si="734"/>
        <v>91.876465086399321</v>
      </c>
      <c r="AG243" s="162">
        <f t="shared" si="734"/>
        <v>14.196947108043219</v>
      </c>
      <c r="AH243" s="162">
        <f t="shared" ref="AH243" si="735">AG243-AH244</f>
        <v>-79.018474465984099</v>
      </c>
      <c r="AI243" s="162">
        <f t="shared" ref="AI243" si="736">AH243-AI244</f>
        <v>-190.87698035481688</v>
      </c>
      <c r="AJ243" s="162">
        <f t="shared" ref="AJ243" si="737">AI243-AJ244</f>
        <v>-325.1071874214162</v>
      </c>
      <c r="AK243" s="162">
        <f t="shared" ref="AK243" si="738">AJ243-AK244</f>
        <v>-486.18343590133537</v>
      </c>
      <c r="AL243" s="162">
        <f t="shared" ref="AL243" si="739">AK243-AL244</f>
        <v>-679.47493407723834</v>
      </c>
      <c r="AM243" s="162">
        <f t="shared" ref="AM243" si="740">AL243-AM244</f>
        <v>-911.42473188832196</v>
      </c>
      <c r="AN243" s="162">
        <f t="shared" ref="AN243" si="741">AM243-AN244</f>
        <v>-1189.7644892616222</v>
      </c>
      <c r="AO243" s="162">
        <f t="shared" ref="AO243" si="742">AN243-AO244</f>
        <v>-1523.7721981095826</v>
      </c>
      <c r="AP243" s="162">
        <f t="shared" ref="AP243" si="743">AO243-AP244</f>
        <v>-1924.581448727135</v>
      </c>
      <c r="AQ243" s="162">
        <f t="shared" ref="AQ243" si="744">AP243-AQ244</f>
        <v>-2405.5525494681979</v>
      </c>
      <c r="AR243" s="162">
        <f t="shared" ref="AR243" si="745">AQ243-AR244</f>
        <v>-2982.7178703574732</v>
      </c>
      <c r="AS243" s="162">
        <f t="shared" ref="AS243" si="746">AR243-AS244</f>
        <v>-3675.3162554246037</v>
      </c>
      <c r="AT243" s="162">
        <f t="shared" ref="AT243" si="747">AS243-AT244</f>
        <v>-4506.4343175051599</v>
      </c>
      <c r="AU243" s="162">
        <f t="shared" ref="AU243" si="748">AT243-AU244</f>
        <v>-5503.7759920018279</v>
      </c>
      <c r="AV243" s="162">
        <f t="shared" ref="AV243" si="749">AU243-AV244</f>
        <v>-6700.586001397829</v>
      </c>
      <c r="AW243" s="162">
        <f t="shared" ref="AW243" si="750">AV243-AW244</f>
        <v>-8136.7580126730309</v>
      </c>
      <c r="AX243" s="162">
        <f t="shared" ref="AX243" si="751">AW243-AX244</f>
        <v>-9860.1644262032733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0.2</v>
      </c>
      <c r="O244" s="168">
        <v>0.12</v>
      </c>
      <c r="P244" s="167"/>
      <c r="Q244" s="168">
        <v>0.2</v>
      </c>
      <c r="R244" s="175" t="s">
        <v>231</v>
      </c>
      <c r="S244" s="158">
        <f>T201/W170</f>
        <v>67.003760191172319</v>
      </c>
      <c r="T244" s="158" t="s">
        <v>412</v>
      </c>
      <c r="U244" s="158"/>
      <c r="V244" s="10"/>
      <c r="W244" s="10"/>
      <c r="X244" s="163">
        <f>V170*(1+$N$244)</f>
        <v>15.054810995635984</v>
      </c>
      <c r="Y244" s="163">
        <f>X244*(1+$N$244)</f>
        <v>18.065773194763182</v>
      </c>
      <c r="Z244" s="163">
        <f t="shared" ref="Z244:AG244" si="752">Y244*(1+$N$244)</f>
        <v>21.678927833715818</v>
      </c>
      <c r="AA244" s="163">
        <f t="shared" si="752"/>
        <v>26.01471340045898</v>
      </c>
      <c r="AB244" s="163">
        <f t="shared" si="752"/>
        <v>31.217656080550775</v>
      </c>
      <c r="AC244" s="163">
        <f t="shared" si="752"/>
        <v>37.461187296660931</v>
      </c>
      <c r="AD244" s="163">
        <f t="shared" si="752"/>
        <v>44.953424755993119</v>
      </c>
      <c r="AE244" s="163">
        <f t="shared" si="752"/>
        <v>53.944109707191743</v>
      </c>
      <c r="AF244" s="163">
        <f t="shared" si="752"/>
        <v>64.732931648630085</v>
      </c>
      <c r="AG244" s="163">
        <f t="shared" si="752"/>
        <v>77.679517978356103</v>
      </c>
      <c r="AH244" s="163">
        <f t="shared" ref="AH244" si="753">AG244*(1+$N$244)</f>
        <v>93.215421574027317</v>
      </c>
      <c r="AI244" s="163">
        <f t="shared" ref="AI244" si="754">AH244*(1+$N$244)</f>
        <v>111.85850588883278</v>
      </c>
      <c r="AJ244" s="163">
        <f t="shared" ref="AJ244" si="755">AI244*(1+$N$244)</f>
        <v>134.23020706659932</v>
      </c>
      <c r="AK244" s="163">
        <f t="shared" ref="AK244" si="756">AJ244*(1+$N$244)</f>
        <v>161.07624847991917</v>
      </c>
      <c r="AL244" s="163">
        <f t="shared" ref="AL244" si="757">AK244*(1+$N$244)</f>
        <v>193.291498175903</v>
      </c>
      <c r="AM244" s="163">
        <f t="shared" ref="AM244" si="758">AL244*(1+$N$244)</f>
        <v>231.94979781108358</v>
      </c>
      <c r="AN244" s="163">
        <f t="shared" ref="AN244" si="759">AM244*(1+$N$244)</f>
        <v>278.3397573733003</v>
      </c>
      <c r="AO244" s="163">
        <f t="shared" ref="AO244" si="760">AN244*(1+$N$244)</f>
        <v>334.00770884796037</v>
      </c>
      <c r="AP244" s="163">
        <f t="shared" ref="AP244" si="761">AO244*(1+$N$244)</f>
        <v>400.80925061755244</v>
      </c>
      <c r="AQ244" s="163">
        <f t="shared" ref="AQ244" si="762">AP244*(1+$N$244)</f>
        <v>480.97110074106291</v>
      </c>
      <c r="AR244" s="163">
        <f t="shared" ref="AR244" si="763">AQ244*(1+$N$244)</f>
        <v>577.16532088927545</v>
      </c>
      <c r="AS244" s="163">
        <f t="shared" ref="AS244" si="764">AR244*(1+$N$244)</f>
        <v>692.59838506713049</v>
      </c>
      <c r="AT244" s="163">
        <f t="shared" ref="AT244" si="765">AS244*(1+$N$244)</f>
        <v>831.11806208055657</v>
      </c>
      <c r="AU244" s="163">
        <f t="shared" ref="AU244" si="766">AT244*(1+$N$244)</f>
        <v>997.34167449666779</v>
      </c>
      <c r="AV244" s="163">
        <f t="shared" ref="AV244" si="767">AU244*(1+$N$244)</f>
        <v>1196.8100093960013</v>
      </c>
      <c r="AW244" s="163">
        <f t="shared" ref="AW244" si="768">AV244*(1+$N$244)</f>
        <v>1436.1720112752016</v>
      </c>
      <c r="AX244" s="163">
        <f t="shared" ref="AX244" si="769">AW244*(1+$N$244)</f>
        <v>1723.4064135302419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>
        <f>T203</f>
        <v>23.892969924812029</v>
      </c>
      <c r="L245" s="168">
        <v>0.05</v>
      </c>
      <c r="M245" s="167"/>
      <c r="N245" s="161">
        <v>0.2</v>
      </c>
      <c r="O245" s="168">
        <v>0.12</v>
      </c>
      <c r="P245" s="167"/>
      <c r="Q245" s="168">
        <v>0.2</v>
      </c>
      <c r="R245" s="175" t="s">
        <v>411</v>
      </c>
      <c r="S245" s="158">
        <f>T201/T72</f>
        <v>23.892969924812029</v>
      </c>
      <c r="T245" s="158" t="s">
        <v>412</v>
      </c>
      <c r="U245" s="158"/>
      <c r="V245" s="10"/>
      <c r="W245" s="10"/>
      <c r="X245" s="163">
        <f>T72*(1+$N$245)</f>
        <v>20.340711160202218</v>
      </c>
      <c r="Y245" s="163">
        <f>X245*(1+$N$245)</f>
        <v>24.408853392242662</v>
      </c>
      <c r="Z245" s="163">
        <f t="shared" ref="Z245:AG245" si="770">Y245*(1+$N$245)</f>
        <v>29.290624070691194</v>
      </c>
      <c r="AA245" s="163">
        <f t="shared" si="770"/>
        <v>35.14874888482943</v>
      </c>
      <c r="AB245" s="163">
        <f t="shared" si="770"/>
        <v>42.178498661795317</v>
      </c>
      <c r="AC245" s="163">
        <f t="shared" si="770"/>
        <v>50.614198394154378</v>
      </c>
      <c r="AD245" s="163">
        <f t="shared" si="770"/>
        <v>60.73703807298525</v>
      </c>
      <c r="AE245" s="163">
        <f t="shared" si="770"/>
        <v>72.8844456875823</v>
      </c>
      <c r="AF245" s="163">
        <f t="shared" si="770"/>
        <v>87.46133482509876</v>
      </c>
      <c r="AG245" s="163">
        <f t="shared" si="770"/>
        <v>104.95360179011851</v>
      </c>
      <c r="AH245" s="163">
        <f t="shared" ref="AH245" si="771">AG245*(1+$N$245)</f>
        <v>125.94432214814221</v>
      </c>
      <c r="AI245" s="163">
        <f t="shared" ref="AI245" si="772">AH245*(1+$N$245)</f>
        <v>151.13318657777063</v>
      </c>
      <c r="AJ245" s="163">
        <f t="shared" ref="AJ245" si="773">AI245*(1+$N$245)</f>
        <v>181.35982389332474</v>
      </c>
      <c r="AK245" s="163">
        <f t="shared" ref="AK245" si="774">AJ245*(1+$N$245)</f>
        <v>217.63178867198968</v>
      </c>
      <c r="AL245" s="163">
        <f t="shared" ref="AL245" si="775">AK245*(1+$N$245)</f>
        <v>261.15814640638763</v>
      </c>
      <c r="AM245" s="163">
        <f t="shared" ref="AM245" si="776">AL245*(1+$N$245)</f>
        <v>313.38977568766512</v>
      </c>
      <c r="AN245" s="163">
        <f t="shared" ref="AN245" si="777">AM245*(1+$N$245)</f>
        <v>376.06773082519811</v>
      </c>
      <c r="AO245" s="163">
        <f t="shared" ref="AO245" si="778">AN245*(1+$N$245)</f>
        <v>451.2812769902377</v>
      </c>
      <c r="AP245" s="163">
        <f t="shared" ref="AP245" si="779">AO245*(1+$N$245)</f>
        <v>541.53753238828517</v>
      </c>
      <c r="AQ245" s="163">
        <f t="shared" ref="AQ245" si="780">AP245*(1+$N$245)</f>
        <v>649.84503886594223</v>
      </c>
      <c r="AR245" s="163">
        <f t="shared" ref="AR245" si="781">AQ245*(1+$N$245)</f>
        <v>779.81404663913065</v>
      </c>
      <c r="AS245" s="163">
        <f t="shared" ref="AS245" si="782">AR245*(1+$N$245)</f>
        <v>935.77685596695676</v>
      </c>
      <c r="AT245" s="163">
        <f t="shared" ref="AT245" si="783">AS245*(1+$N$245)</f>
        <v>1122.932227160348</v>
      </c>
      <c r="AU245" s="163">
        <f t="shared" ref="AU245" si="784">AT245*(1+$N$245)</f>
        <v>1347.5186725924175</v>
      </c>
      <c r="AV245" s="163">
        <f t="shared" ref="AV245" si="785">AU245*(1+$N$245)</f>
        <v>1617.022407110901</v>
      </c>
      <c r="AW245" s="163">
        <f t="shared" ref="AW245" si="786">AV245*(1+$N$245)</f>
        <v>1940.4268885330812</v>
      </c>
      <c r="AX245" s="163">
        <f t="shared" ref="AX245" si="787">AW245*(1+$N$245)</f>
        <v>2328.5122662396975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0"/>
      <c r="X246" s="111">
        <f>T201-X245</f>
        <v>384.6592888397978</v>
      </c>
      <c r="Y246" s="162">
        <f>X246-Y245</f>
        <v>360.25043544755511</v>
      </c>
      <c r="Z246" s="162">
        <f t="shared" ref="Z246:AE246" si="788">Y246-Z245</f>
        <v>330.95981137686391</v>
      </c>
      <c r="AA246" s="162">
        <f t="shared" si="788"/>
        <v>295.81106249203447</v>
      </c>
      <c r="AB246" s="162">
        <f t="shared" si="788"/>
        <v>253.63256383023915</v>
      </c>
      <c r="AC246" s="162">
        <f t="shared" si="788"/>
        <v>203.01836543608476</v>
      </c>
      <c r="AD246" s="162">
        <f t="shared" si="788"/>
        <v>142.28132736309951</v>
      </c>
      <c r="AE246" s="162">
        <f t="shared" si="788"/>
        <v>69.396881675517207</v>
      </c>
      <c r="AF246" s="162">
        <f>AE246-AF245</f>
        <v>-18.064453149581553</v>
      </c>
      <c r="AG246" s="162">
        <f t="shared" ref="AG246" si="789">AF246-AG245</f>
        <v>-123.01805493970006</v>
      </c>
      <c r="AH246" s="162">
        <f t="shared" ref="AH246" si="790">AG246-AH245</f>
        <v>-248.96237708784227</v>
      </c>
      <c r="AI246" s="162">
        <f t="shared" ref="AI246" si="791">AH246-AI245</f>
        <v>-400.09556366561287</v>
      </c>
      <c r="AJ246" s="162">
        <f t="shared" ref="AJ246" si="792">AI246-AJ245</f>
        <v>-581.45538755893767</v>
      </c>
      <c r="AK246" s="162">
        <f t="shared" ref="AK246" si="793">AJ246-AK245</f>
        <v>-799.0871762309273</v>
      </c>
      <c r="AL246" s="162">
        <f t="shared" ref="AL246" si="794">AK246-AL245</f>
        <v>-1060.245322637315</v>
      </c>
      <c r="AM246" s="162">
        <f t="shared" ref="AM246" si="795">AL246-AM245</f>
        <v>-1373.6350983249802</v>
      </c>
      <c r="AN246" s="162">
        <f t="shared" ref="AN246" si="796">AM246-AN245</f>
        <v>-1749.7028291501783</v>
      </c>
      <c r="AO246" s="162">
        <f t="shared" ref="AO246" si="797">AN246-AO245</f>
        <v>-2200.9841061404159</v>
      </c>
      <c r="AP246" s="162">
        <f t="shared" ref="AP246" si="798">AO246-AP245</f>
        <v>-2742.5216385287013</v>
      </c>
      <c r="AQ246" s="162">
        <f t="shared" ref="AQ246" si="799">AP246-AQ245</f>
        <v>-3392.3666773946434</v>
      </c>
      <c r="AR246" s="162">
        <f t="shared" ref="AR246" si="800">AQ246-AR245</f>
        <v>-4172.1807240337739</v>
      </c>
      <c r="AS246" s="162">
        <f t="shared" ref="AS246" si="801">AR246-AS245</f>
        <v>-5107.9575800007306</v>
      </c>
      <c r="AT246" s="162">
        <f t="shared" ref="AT246" si="802">AS246-AT245</f>
        <v>-6230.8898071610784</v>
      </c>
      <c r="AU246" s="162">
        <f t="shared" ref="AU246" si="803">AT246-AU245</f>
        <v>-7578.4084797534961</v>
      </c>
      <c r="AV246" s="162">
        <f t="shared" ref="AV246" si="804">AU246-AV245</f>
        <v>-9195.4308868643966</v>
      </c>
      <c r="AW246" s="162">
        <f t="shared" ref="AW246" si="805">AV246-AW245</f>
        <v>-11135.857775397479</v>
      </c>
      <c r="AX246" s="162">
        <f t="shared" ref="AX246" si="806">AW246-AX245</f>
        <v>-13464.370041637176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>
        <f t="shared" ref="H248:I248" si="807">H10/H7</f>
        <v>1.6629213483146068</v>
      </c>
      <c r="I248" s="15">
        <f t="shared" si="807"/>
        <v>1.6992481203007519</v>
      </c>
      <c r="J248" s="15">
        <f t="shared" ref="J248:T248" si="808">J10/J7</f>
        <v>1.5659163987138263</v>
      </c>
      <c r="K248" s="15">
        <f t="shared" si="808"/>
        <v>2.1385041551246537</v>
      </c>
      <c r="L248" s="15">
        <f t="shared" si="808"/>
        <v>1.4218009478672986</v>
      </c>
      <c r="M248" s="15">
        <f t="shared" si="808"/>
        <v>1.1289719626168224</v>
      </c>
      <c r="N248" s="15">
        <f t="shared" si="808"/>
        <v>0.13959981386691483</v>
      </c>
      <c r="O248" s="15">
        <f t="shared" si="808"/>
        <v>1.2203626220362622</v>
      </c>
      <c r="P248" s="15">
        <f t="shared" si="808"/>
        <v>1.0072376357056694</v>
      </c>
      <c r="Q248" s="15">
        <f t="shared" si="808"/>
        <v>1.2607861936720997</v>
      </c>
      <c r="R248" s="15">
        <f t="shared" si="808"/>
        <v>0.96786253776435049</v>
      </c>
      <c r="S248" s="15">
        <f t="shared" si="808"/>
        <v>0.78907019704433501</v>
      </c>
      <c r="T248" s="15">
        <f t="shared" si="808"/>
        <v>0.55165180912427902</v>
      </c>
      <c r="U248" s="15"/>
      <c r="V248" s="101">
        <f t="shared" ref="V248:V250" si="809">((S248/J248)^(1/($K$2-$K$1) ))-1</f>
        <v>-4.7776103034237627E-2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>
        <f t="shared" ref="H249:I249" si="810">H10/H12</f>
        <v>22.76923076923077</v>
      </c>
      <c r="I249" s="96">
        <f t="shared" si="810"/>
        <v>6.8484848484848486</v>
      </c>
      <c r="J249" s="96">
        <f t="shared" ref="J249:T249" si="811">J10/J12</f>
        <v>12.815789473684211</v>
      </c>
      <c r="K249" s="96">
        <f t="shared" si="811"/>
        <v>16.782608695652176</v>
      </c>
      <c r="L249" s="96">
        <f t="shared" si="811"/>
        <v>18.181818181818183</v>
      </c>
      <c r="M249" s="96">
        <f t="shared" si="811"/>
        <v>13.727272727272727</v>
      </c>
      <c r="N249" s="96">
        <f t="shared" si="811"/>
        <v>169.81132075471697</v>
      </c>
      <c r="O249" s="96">
        <f t="shared" si="811"/>
        <v>51.470588235294116</v>
      </c>
      <c r="P249" s="96">
        <f t="shared" si="811"/>
        <v>64.230769230769226</v>
      </c>
      <c r="Q249" s="96">
        <f t="shared" si="811"/>
        <v>19.924242424242426</v>
      </c>
      <c r="R249" s="96">
        <f t="shared" si="811"/>
        <v>52.647904683648321</v>
      </c>
      <c r="S249" s="96">
        <f t="shared" si="811"/>
        <v>52.647904683648321</v>
      </c>
      <c r="T249" s="96">
        <f t="shared" si="811"/>
        <v>263</v>
      </c>
      <c r="U249" s="96"/>
      <c r="V249" s="101">
        <f t="shared" si="809"/>
        <v>0.10619355381622086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>
        <f t="shared" ref="H250:I250" si="812">H10/(H12+H13)</f>
        <v>22.751729438893161</v>
      </c>
      <c r="I250" s="15">
        <f t="shared" si="812"/>
        <v>6.8474473564611413</v>
      </c>
      <c r="J250" s="15">
        <f t="shared" ref="J250:T250" si="813">J10/(J12+J13)</f>
        <v>10.361702127659575</v>
      </c>
      <c r="K250" s="15">
        <f t="shared" si="813"/>
        <v>16.655879180151025</v>
      </c>
      <c r="L250" s="15">
        <f t="shared" si="813"/>
        <v>18.072289156626503</v>
      </c>
      <c r="M250" s="15">
        <f t="shared" si="813"/>
        <v>13.618940248027057</v>
      </c>
      <c r="N250" s="15">
        <f t="shared" si="813"/>
        <v>62.937062937062933</v>
      </c>
      <c r="O250" s="15">
        <f t="shared" si="813"/>
        <v>36.458333333333336</v>
      </c>
      <c r="P250" s="15">
        <f t="shared" si="813"/>
        <v>43.94736842105263</v>
      </c>
      <c r="Q250" s="15">
        <f t="shared" si="813"/>
        <v>18.188105117565698</v>
      </c>
      <c r="R250" s="15">
        <f t="shared" si="813"/>
        <v>41.430649854510186</v>
      </c>
      <c r="S250" s="15">
        <f t="shared" si="813"/>
        <v>41.430649854510186</v>
      </c>
      <c r="T250" s="15">
        <f t="shared" si="813"/>
        <v>75.142857142857139</v>
      </c>
      <c r="U250" s="15"/>
      <c r="V250" s="101">
        <f t="shared" si="809"/>
        <v>0.10405876198173591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12" t="s">
        <v>282</v>
      </c>
      <c r="P253" s="313"/>
      <c r="Q253" s="314"/>
      <c r="R253" s="13" t="s">
        <v>285</v>
      </c>
      <c r="S253" s="10"/>
      <c r="T253" s="115"/>
      <c r="U253" s="115"/>
      <c r="V253" s="312" t="s">
        <v>283</v>
      </c>
      <c r="W253" s="313"/>
      <c r="X253" s="314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4" t="s">
        <v>286</v>
      </c>
      <c r="D255" s="11">
        <v>45</v>
      </c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1</v>
      </c>
      <c r="K255" s="154">
        <f>J255+D256</f>
        <v>2</v>
      </c>
      <c r="L255" s="10"/>
      <c r="M255" s="144" t="s">
        <v>286</v>
      </c>
      <c r="N255" s="144"/>
      <c r="O255" s="11">
        <v>1</v>
      </c>
      <c r="P255" s="150">
        <f>O255</f>
        <v>1</v>
      </c>
      <c r="Q255" s="10"/>
      <c r="R255" s="10"/>
      <c r="S255" s="144" t="s">
        <v>286</v>
      </c>
      <c r="T255" s="144"/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4" t="s">
        <v>287</v>
      </c>
      <c r="D256" s="11">
        <v>1</v>
      </c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2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4" t="s">
        <v>289</v>
      </c>
      <c r="D257" s="145">
        <f>D255*D256</f>
        <v>45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2</v>
      </c>
      <c r="L257" s="10"/>
      <c r="M257" s="144" t="s">
        <v>288</v>
      </c>
      <c r="N257" s="144"/>
      <c r="O257" s="145">
        <f>O255*O256</f>
        <v>1</v>
      </c>
      <c r="P257" s="150">
        <f>O257</f>
        <v>1</v>
      </c>
      <c r="Q257" s="10"/>
      <c r="R257" s="10"/>
      <c r="S257" s="144" t="s">
        <v>289</v>
      </c>
      <c r="T257" s="144"/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814">G258/H258</f>
        <v>0</v>
      </c>
      <c r="J258" s="144">
        <f t="shared" ref="J258:J260" si="815">I258*K257</f>
        <v>0</v>
      </c>
      <c r="K258" s="144">
        <f t="shared" ref="K258:K260" si="816">J258+K257</f>
        <v>2</v>
      </c>
      <c r="L258" s="10"/>
      <c r="M258" s="144" t="s">
        <v>290</v>
      </c>
      <c r="N258" s="144"/>
      <c r="O258" s="11">
        <v>1</v>
      </c>
      <c r="P258" s="11">
        <v>1</v>
      </c>
      <c r="Q258" s="10"/>
      <c r="R258" s="10"/>
      <c r="S258" s="144" t="s">
        <v>290</v>
      </c>
      <c r="T258" s="144"/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814"/>
        <v>0</v>
      </c>
      <c r="J259" s="144">
        <f t="shared" si="815"/>
        <v>0</v>
      </c>
      <c r="K259" s="144">
        <f t="shared" si="816"/>
        <v>2</v>
      </c>
      <c r="L259" s="10"/>
      <c r="M259" s="144" t="s">
        <v>291</v>
      </c>
      <c r="N259" s="144"/>
      <c r="O259" s="145">
        <f>O258*O256</f>
        <v>1</v>
      </c>
      <c r="P259" s="145">
        <f>P258*P256</f>
        <v>1</v>
      </c>
      <c r="Q259" s="10"/>
      <c r="R259" s="10"/>
      <c r="S259" s="144" t="s">
        <v>287</v>
      </c>
      <c r="T259" s="144"/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814"/>
        <v>0</v>
      </c>
      <c r="J260" s="144">
        <f t="shared" si="815"/>
        <v>0</v>
      </c>
      <c r="K260" s="144">
        <f t="shared" si="816"/>
        <v>2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4"/>
      <c r="D261" s="145"/>
      <c r="E261" s="153" t="s">
        <v>331</v>
      </c>
      <c r="F261" s="153"/>
      <c r="G261" s="12">
        <v>10</v>
      </c>
      <c r="H261" s="12">
        <v>2</v>
      </c>
      <c r="I261" s="144">
        <f t="shared" si="814"/>
        <v>5</v>
      </c>
      <c r="J261" s="144">
        <f>I261*K260</f>
        <v>10</v>
      </c>
      <c r="K261" s="144">
        <f>J261</f>
        <v>10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1</v>
      </c>
      <c r="P262" s="147">
        <f>P259/P257</f>
        <v>1</v>
      </c>
      <c r="Q262" s="10"/>
      <c r="R262" s="10"/>
      <c r="S262" s="146" t="s">
        <v>292</v>
      </c>
      <c r="T262" s="146"/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4" t="s">
        <v>290</v>
      </c>
      <c r="D263" s="11">
        <v>600</v>
      </c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4" t="s">
        <v>287</v>
      </c>
      <c r="D264" s="11">
        <v>10</v>
      </c>
      <c r="E264" s="153" t="s">
        <v>331</v>
      </c>
      <c r="F264" s="153"/>
      <c r="G264" s="12">
        <v>10</v>
      </c>
      <c r="H264" s="12">
        <v>2</v>
      </c>
      <c r="I264" s="144">
        <f>G264/H264</f>
        <v>5</v>
      </c>
      <c r="J264" s="154">
        <f>I264*D256</f>
        <v>5</v>
      </c>
      <c r="K264" s="154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4" t="s">
        <v>289</v>
      </c>
      <c r="D265" s="145">
        <f>D264*D263</f>
        <v>6000</v>
      </c>
      <c r="E265" s="144"/>
      <c r="F265" s="144"/>
      <c r="G265" s="144"/>
      <c r="H265" s="144"/>
      <c r="I265" s="146" t="s">
        <v>332</v>
      </c>
      <c r="J265" s="144"/>
      <c r="K265" s="144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25</v>
      </c>
      <c r="K266" s="144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6" t="s">
        <v>292</v>
      </c>
      <c r="D267" s="147">
        <f>D265/D257</f>
        <v>133.33333333333334</v>
      </c>
      <c r="E267" s="153"/>
      <c r="F267" s="153"/>
      <c r="G267" s="144"/>
      <c r="H267" s="144"/>
      <c r="I267" s="146" t="s">
        <v>332</v>
      </c>
      <c r="J267" s="144"/>
      <c r="K267" s="144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5" t="s">
        <v>15</v>
      </c>
      <c r="E270" s="306"/>
      <c r="F270" s="306"/>
      <c r="G270" s="306"/>
      <c r="H270" s="306"/>
      <c r="I270" s="306"/>
      <c r="J270" s="307"/>
      <c r="K270" s="10"/>
      <c r="L270" s="305" t="s">
        <v>337</v>
      </c>
      <c r="M270" s="306"/>
      <c r="N270" s="307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45</v>
      </c>
      <c r="H271" s="11">
        <f>D257</f>
        <v>45</v>
      </c>
      <c r="I271" s="10"/>
      <c r="J271" s="10"/>
      <c r="K271" s="10"/>
      <c r="L271" s="10" t="s">
        <v>16</v>
      </c>
      <c r="M271" s="109"/>
      <c r="N271" s="11">
        <f>H271</f>
        <v>45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6000</v>
      </c>
      <c r="H272" s="11">
        <f>D265</f>
        <v>6000</v>
      </c>
      <c r="I272" s="10"/>
      <c r="J272" s="10"/>
      <c r="K272" s="10"/>
      <c r="L272" s="10" t="s">
        <v>17</v>
      </c>
      <c r="M272" s="10"/>
      <c r="N272" s="11">
        <f>H272</f>
        <v>6000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>
        <f>((G272/G271)^(1/G273))-1</f>
        <v>0.63114989938447152</v>
      </c>
      <c r="H274" s="3">
        <f>((H272/H271)^(1/H273))-1</f>
        <v>0.63114989938447152</v>
      </c>
      <c r="I274" s="10"/>
      <c r="J274" s="10"/>
      <c r="K274" s="10"/>
      <c r="L274" s="13" t="s">
        <v>338</v>
      </c>
      <c r="M274" s="13"/>
      <c r="N274" s="170">
        <f>(N272-N271)/N271</f>
        <v>132.33333333333334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>
        <f>N272/N271</f>
        <v>133.33333333333334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>
        <f>((G272/G271)^(1/G276))-1</f>
        <v>0.63114989938447152</v>
      </c>
      <c r="H277" s="3">
        <f>((H272/H271)^(1/H276))-1</f>
        <v>0.63114989938447152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1" t="s">
        <v>15</v>
      </c>
      <c r="K5" s="291"/>
      <c r="M5" s="291" t="s">
        <v>53</v>
      </c>
      <c r="N5" s="291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1" t="s">
        <v>24</v>
      </c>
      <c r="K14" s="291"/>
      <c r="L14" s="291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91" t="s">
        <v>15</v>
      </c>
      <c r="S5" s="291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1" t="s">
        <v>24</v>
      </c>
      <c r="S14" s="291"/>
      <c r="T14" s="291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91" t="s">
        <v>15</v>
      </c>
      <c r="C2" s="291"/>
      <c r="E2" s="291" t="s">
        <v>53</v>
      </c>
      <c r="F2" s="291"/>
      <c r="H2" s="320" t="s">
        <v>24</v>
      </c>
      <c r="I2" s="321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22" t="s">
        <v>376</v>
      </c>
      <c r="C3" s="323"/>
      <c r="F3" s="322" t="s">
        <v>377</v>
      </c>
      <c r="G3" s="323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2018-01-02T02:25:07Z</dcterms:modified>
</cp:coreProperties>
</file>
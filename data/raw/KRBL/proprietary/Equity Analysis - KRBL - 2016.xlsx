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S51" i="18"/>
  <c r="S30"/>
  <c r="S28"/>
  <c r="S26"/>
  <c r="S11"/>
  <c r="S8"/>
  <c r="S9"/>
  <c r="S10"/>
  <c r="S12"/>
  <c r="S13"/>
  <c r="S14"/>
  <c r="S15"/>
  <c r="S16"/>
  <c r="S17"/>
  <c r="S18"/>
  <c r="S19"/>
  <c r="S20"/>
  <c r="S21"/>
  <c r="S22"/>
  <c r="S23"/>
  <c r="S24"/>
  <c r="S31"/>
  <c r="S32"/>
  <c r="S33"/>
  <c r="S34"/>
  <c r="Q60"/>
  <c r="P60"/>
  <c r="O60"/>
  <c r="N60"/>
  <c r="M60"/>
  <c r="L60"/>
  <c r="K60"/>
  <c r="J60"/>
  <c r="I60"/>
  <c r="H60"/>
  <c r="G60"/>
  <c r="Q58"/>
  <c r="P58"/>
  <c r="O58"/>
  <c r="N58"/>
  <c r="M58"/>
  <c r="L58"/>
  <c r="K58"/>
  <c r="J58"/>
  <c r="I58"/>
  <c r="H58"/>
  <c r="G58"/>
  <c r="Q56"/>
  <c r="P56"/>
  <c r="O56"/>
  <c r="N56"/>
  <c r="M56"/>
  <c r="L56"/>
  <c r="K56"/>
  <c r="J56"/>
  <c r="I56"/>
  <c r="H56"/>
  <c r="G56"/>
  <c r="Q54"/>
  <c r="P54"/>
  <c r="O54"/>
  <c r="N54"/>
  <c r="M54"/>
  <c r="L54"/>
  <c r="K54"/>
  <c r="J54"/>
  <c r="I54"/>
  <c r="H54"/>
  <c r="G54"/>
  <c r="Q52"/>
  <c r="P52"/>
  <c r="O52"/>
  <c r="N52"/>
  <c r="M52"/>
  <c r="L52"/>
  <c r="K52"/>
  <c r="J52"/>
  <c r="I52"/>
  <c r="H52"/>
  <c r="G52"/>
  <c r="Q30"/>
  <c r="P30"/>
  <c r="O30"/>
  <c r="N30"/>
  <c r="M30"/>
  <c r="L30"/>
  <c r="K30"/>
  <c r="J30"/>
  <c r="I30"/>
  <c r="H30"/>
  <c r="G30"/>
  <c r="Q28"/>
  <c r="P28"/>
  <c r="O28"/>
  <c r="N28"/>
  <c r="M28"/>
  <c r="L28"/>
  <c r="K28"/>
  <c r="J28"/>
  <c r="I28"/>
  <c r="H28"/>
  <c r="G28"/>
  <c r="Q26"/>
  <c r="P26"/>
  <c r="O26"/>
  <c r="N26"/>
  <c r="M26"/>
  <c r="L26"/>
  <c r="K26"/>
  <c r="J26"/>
  <c r="I26"/>
  <c r="H26"/>
  <c r="G26"/>
  <c r="L12"/>
  <c r="K12"/>
  <c r="H12"/>
  <c r="G12"/>
  <c r="Q11"/>
  <c r="P11"/>
  <c r="O11"/>
  <c r="N11"/>
  <c r="M11"/>
  <c r="L11"/>
  <c r="K11"/>
  <c r="J11"/>
  <c r="I11"/>
  <c r="H11"/>
  <c r="G11"/>
  <c r="Q8"/>
  <c r="P8"/>
  <c r="O8"/>
  <c r="N8"/>
  <c r="M8"/>
  <c r="L8"/>
  <c r="K8"/>
  <c r="J8"/>
  <c r="I8"/>
  <c r="H8"/>
  <c r="G8"/>
  <c r="H266" l="1"/>
  <c r="H268" s="1"/>
  <c r="H269" s="1"/>
  <c r="H265"/>
  <c r="H264"/>
  <c r="T201"/>
  <c r="T59"/>
  <c r="T57"/>
  <c r="T55"/>
  <c r="T53"/>
  <c r="T51"/>
  <c r="T49"/>
  <c r="T47"/>
  <c r="T45"/>
  <c r="T41"/>
  <c r="T42"/>
  <c r="T43"/>
  <c r="T40"/>
  <c r="T38"/>
  <c r="T36"/>
  <c r="T34"/>
  <c r="T33"/>
  <c r="T32"/>
  <c r="T31"/>
  <c r="T29"/>
  <c r="T27"/>
  <c r="T25"/>
  <c r="T21"/>
  <c r="T22"/>
  <c r="T23"/>
  <c r="T20"/>
  <c r="T18"/>
  <c r="T13"/>
  <c r="T14"/>
  <c r="T15"/>
  <c r="T16"/>
  <c r="T12"/>
  <c r="T10"/>
  <c r="T9"/>
  <c r="T7"/>
  <c r="T6"/>
  <c r="G241"/>
  <c r="H241"/>
  <c r="G242"/>
  <c r="H242"/>
  <c r="G243"/>
  <c r="H243"/>
  <c r="G211"/>
  <c r="H211"/>
  <c r="G212"/>
  <c r="H212"/>
  <c r="G36"/>
  <c r="H37" s="1"/>
  <c r="H36"/>
  <c r="G37"/>
  <c r="G38"/>
  <c r="H39" s="1"/>
  <c r="H38"/>
  <c r="G39"/>
  <c r="G40"/>
  <c r="H40"/>
  <c r="G41"/>
  <c r="H41"/>
  <c r="G42"/>
  <c r="H42"/>
  <c r="G43"/>
  <c r="H44" s="1"/>
  <c r="H43"/>
  <c r="G44"/>
  <c r="G45"/>
  <c r="H46" s="1"/>
  <c r="H45"/>
  <c r="G46"/>
  <c r="G47"/>
  <c r="H48" s="1"/>
  <c r="H47"/>
  <c r="G48"/>
  <c r="G49"/>
  <c r="H49"/>
  <c r="G66"/>
  <c r="H66"/>
  <c r="H202" s="1"/>
  <c r="G67"/>
  <c r="H67"/>
  <c r="G68"/>
  <c r="H68"/>
  <c r="G70"/>
  <c r="H70"/>
  <c r="H204" s="1"/>
  <c r="G71"/>
  <c r="H71"/>
  <c r="H205" s="1"/>
  <c r="G72"/>
  <c r="H72"/>
  <c r="H203" s="1"/>
  <c r="G73"/>
  <c r="H73"/>
  <c r="G74"/>
  <c r="H74"/>
  <c r="H75"/>
  <c r="H206" s="1"/>
  <c r="G76"/>
  <c r="H76"/>
  <c r="G78"/>
  <c r="H78"/>
  <c r="G79"/>
  <c r="H79"/>
  <c r="G80"/>
  <c r="H80"/>
  <c r="H209" s="1"/>
  <c r="G82"/>
  <c r="H82"/>
  <c r="G83"/>
  <c r="H83"/>
  <c r="G84"/>
  <c r="G207" s="1"/>
  <c r="H84"/>
  <c r="H207" s="1"/>
  <c r="G85"/>
  <c r="H85"/>
  <c r="G86"/>
  <c r="G208" s="1"/>
  <c r="H86"/>
  <c r="H208" s="1"/>
  <c r="G88"/>
  <c r="H88"/>
  <c r="G90"/>
  <c r="H90"/>
  <c r="G92"/>
  <c r="H92"/>
  <c r="G93"/>
  <c r="H93"/>
  <c r="G94"/>
  <c r="H94"/>
  <c r="G95"/>
  <c r="H95"/>
  <c r="G96"/>
  <c r="H96"/>
  <c r="G98"/>
  <c r="H98"/>
  <c r="G99"/>
  <c r="H99"/>
  <c r="H100"/>
  <c r="G102"/>
  <c r="H102"/>
  <c r="G105"/>
  <c r="H105"/>
  <c r="G106"/>
  <c r="H106"/>
  <c r="G107"/>
  <c r="H107"/>
  <c r="G108"/>
  <c r="H108"/>
  <c r="G109"/>
  <c r="H109"/>
  <c r="G110"/>
  <c r="H110"/>
  <c r="G112"/>
  <c r="H112"/>
  <c r="G113"/>
  <c r="H113"/>
  <c r="G114"/>
  <c r="H114"/>
  <c r="G115"/>
  <c r="H115"/>
  <c r="G116"/>
  <c r="H116"/>
  <c r="G118"/>
  <c r="H118"/>
  <c r="G119"/>
  <c r="H119"/>
  <c r="G120"/>
  <c r="H120"/>
  <c r="G121"/>
  <c r="H121"/>
  <c r="G122"/>
  <c r="H122"/>
  <c r="G124"/>
  <c r="H124"/>
  <c r="G125"/>
  <c r="H125"/>
  <c r="G126"/>
  <c r="H126"/>
  <c r="G127"/>
  <c r="H127"/>
  <c r="G128"/>
  <c r="H128"/>
  <c r="G129"/>
  <c r="H129"/>
  <c r="G130"/>
  <c r="H130"/>
  <c r="G131"/>
  <c r="H131"/>
  <c r="G132"/>
  <c r="H132"/>
  <c r="G134"/>
  <c r="H134"/>
  <c r="G135"/>
  <c r="H135"/>
  <c r="G136"/>
  <c r="H136"/>
  <c r="G137"/>
  <c r="H137"/>
  <c r="G139"/>
  <c r="H139"/>
  <c r="G140"/>
  <c r="H140"/>
  <c r="G141"/>
  <c r="H141"/>
  <c r="G142"/>
  <c r="H142"/>
  <c r="G143"/>
  <c r="H143"/>
  <c r="G145"/>
  <c r="H145"/>
  <c r="G146"/>
  <c r="H146"/>
  <c r="G147"/>
  <c r="H147"/>
  <c r="G149"/>
  <c r="H149"/>
  <c r="G150"/>
  <c r="H150"/>
  <c r="G151"/>
  <c r="H151"/>
  <c r="G154"/>
  <c r="H154"/>
  <c r="G155"/>
  <c r="H155"/>
  <c r="G156"/>
  <c r="H156"/>
  <c r="G157"/>
  <c r="H157"/>
  <c r="G159"/>
  <c r="H159"/>
  <c r="G160"/>
  <c r="H160"/>
  <c r="G162"/>
  <c r="H162"/>
  <c r="G163"/>
  <c r="H163"/>
  <c r="G164"/>
  <c r="H164"/>
  <c r="G166"/>
  <c r="H166"/>
  <c r="G167"/>
  <c r="H167"/>
  <c r="I47"/>
  <c r="I45"/>
  <c r="I43"/>
  <c r="I42"/>
  <c r="I41"/>
  <c r="I40"/>
  <c r="I38"/>
  <c r="I36"/>
  <c r="H215" l="1"/>
  <c r="H216"/>
  <c r="H217" s="1"/>
  <c r="G214"/>
  <c r="G205"/>
  <c r="G204"/>
  <c r="G203"/>
  <c r="H214"/>
  <c r="G202"/>
  <c r="G209"/>
  <c r="H267"/>
  <c r="H270"/>
  <c r="G100"/>
  <c r="G75"/>
  <c r="S129"/>
  <c r="T129" s="1"/>
  <c r="R129"/>
  <c r="Q129"/>
  <c r="P129"/>
  <c r="O129"/>
  <c r="N129"/>
  <c r="M129"/>
  <c r="L129"/>
  <c r="K129"/>
  <c r="J129"/>
  <c r="I129"/>
  <c r="AG47"/>
  <c r="U47"/>
  <c r="V47" s="1"/>
  <c r="W47" s="1"/>
  <c r="X47" s="1"/>
  <c r="Y47" s="1"/>
  <c r="Z47" s="1"/>
  <c r="AA47" s="1"/>
  <c r="AB47" s="1"/>
  <c r="AC47" s="1"/>
  <c r="AD47" s="1"/>
  <c r="AE47" s="1"/>
  <c r="S48"/>
  <c r="R48"/>
  <c r="Q48"/>
  <c r="P48"/>
  <c r="O48"/>
  <c r="N48"/>
  <c r="M48"/>
  <c r="L48"/>
  <c r="K48"/>
  <c r="J48"/>
  <c r="I48"/>
  <c r="S130"/>
  <c r="T130" s="1"/>
  <c r="R130"/>
  <c r="Q130"/>
  <c r="P130"/>
  <c r="O130"/>
  <c r="N130"/>
  <c r="M130"/>
  <c r="L130"/>
  <c r="K130"/>
  <c r="J130"/>
  <c r="I130"/>
  <c r="V57"/>
  <c r="G215" l="1"/>
  <c r="G216"/>
  <c r="G206"/>
  <c r="AF47"/>
  <c r="AH47"/>
  <c r="S126"/>
  <c r="T126" s="1"/>
  <c r="R126"/>
  <c r="Q126"/>
  <c r="P126"/>
  <c r="O126"/>
  <c r="N126"/>
  <c r="M126"/>
  <c r="L126"/>
  <c r="K126"/>
  <c r="J126"/>
  <c r="J46"/>
  <c r="U49"/>
  <c r="I49"/>
  <c r="S46"/>
  <c r="R46"/>
  <c r="Q46"/>
  <c r="P46"/>
  <c r="O46"/>
  <c r="N46"/>
  <c r="M46"/>
  <c r="L46"/>
  <c r="K46"/>
  <c r="I46"/>
  <c r="S44"/>
  <c r="R44"/>
  <c r="Q44"/>
  <c r="P44"/>
  <c r="O44"/>
  <c r="N44"/>
  <c r="M44"/>
  <c r="L44"/>
  <c r="K44"/>
  <c r="I44"/>
  <c r="S39"/>
  <c r="R39"/>
  <c r="Q39"/>
  <c r="P39"/>
  <c r="O39"/>
  <c r="N39"/>
  <c r="M39"/>
  <c r="L39"/>
  <c r="K39"/>
  <c r="J39"/>
  <c r="S37"/>
  <c r="R37"/>
  <c r="Q37"/>
  <c r="P37"/>
  <c r="O37"/>
  <c r="N37"/>
  <c r="M37"/>
  <c r="L37"/>
  <c r="K37"/>
  <c r="J44"/>
  <c r="I39"/>
  <c r="I126"/>
  <c r="G217" l="1"/>
  <c r="I37"/>
  <c r="J37"/>
  <c r="S132"/>
  <c r="T132" s="1"/>
  <c r="S131"/>
  <c r="T131" s="1"/>
  <c r="S128"/>
  <c r="T128" s="1"/>
  <c r="S127"/>
  <c r="T127" s="1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28"/>
  <c r="I131"/>
  <c r="I127"/>
  <c r="S125"/>
  <c r="T125" s="1"/>
  <c r="R125"/>
  <c r="Q125"/>
  <c r="P125"/>
  <c r="O125"/>
  <c r="N125"/>
  <c r="M125"/>
  <c r="L125"/>
  <c r="K125"/>
  <c r="J125"/>
  <c r="I125"/>
  <c r="S124"/>
  <c r="T124" s="1"/>
  <c r="R124"/>
  <c r="Q124"/>
  <c r="P124"/>
  <c r="O124"/>
  <c r="N124"/>
  <c r="M124"/>
  <c r="L124"/>
  <c r="K124"/>
  <c r="J124"/>
  <c r="I124"/>
  <c r="AG49"/>
  <c r="AG45"/>
  <c r="AG43"/>
  <c r="AG42"/>
  <c r="AG41"/>
  <c r="AG40"/>
  <c r="AG38"/>
  <c r="AG36"/>
  <c r="U40"/>
  <c r="V40" s="1"/>
  <c r="W40" s="1"/>
  <c r="X40" s="1"/>
  <c r="Y40" s="1"/>
  <c r="Z40" s="1"/>
  <c r="AA40" s="1"/>
  <c r="AB40" s="1"/>
  <c r="AC40" s="1"/>
  <c r="AD40" s="1"/>
  <c r="AE40" s="1"/>
  <c r="V49"/>
  <c r="W49" s="1"/>
  <c r="X49" s="1"/>
  <c r="Y49" s="1"/>
  <c r="Z49" s="1"/>
  <c r="AA49" s="1"/>
  <c r="AB49" s="1"/>
  <c r="AC49" s="1"/>
  <c r="AD49" s="1"/>
  <c r="AE49" s="1"/>
  <c r="U45"/>
  <c r="V45" s="1"/>
  <c r="W45" s="1"/>
  <c r="X45" s="1"/>
  <c r="Y45" s="1"/>
  <c r="Z45" s="1"/>
  <c r="AA45" s="1"/>
  <c r="AB45" s="1"/>
  <c r="AC45" s="1"/>
  <c r="AD45" s="1"/>
  <c r="AE45" s="1"/>
  <c r="AF49" l="1"/>
  <c r="AF45"/>
  <c r="AF40"/>
  <c r="U43"/>
  <c r="V43" s="1"/>
  <c r="W43" s="1"/>
  <c r="X43" s="1"/>
  <c r="Y43" s="1"/>
  <c r="Z43" s="1"/>
  <c r="AA43" s="1"/>
  <c r="AB43" s="1"/>
  <c r="AC43" s="1"/>
  <c r="AD43" s="1"/>
  <c r="AE43" s="1"/>
  <c r="AF43" s="1"/>
  <c r="U42"/>
  <c r="V42" s="1"/>
  <c r="W42" s="1"/>
  <c r="X42" s="1"/>
  <c r="Y42" s="1"/>
  <c r="Z42" s="1"/>
  <c r="AA42" s="1"/>
  <c r="AB42" s="1"/>
  <c r="AC42" s="1"/>
  <c r="AD42" s="1"/>
  <c r="AE42" s="1"/>
  <c r="AF42" s="1"/>
  <c r="U41"/>
  <c r="V41" s="1"/>
  <c r="W41" s="1"/>
  <c r="X41" s="1"/>
  <c r="Y41" s="1"/>
  <c r="Z41" s="1"/>
  <c r="AA41" s="1"/>
  <c r="AB41" s="1"/>
  <c r="AC41" s="1"/>
  <c r="AD41" s="1"/>
  <c r="AE41" s="1"/>
  <c r="U38"/>
  <c r="V38" s="1"/>
  <c r="U36"/>
  <c r="V36" s="1"/>
  <c r="W38" l="1"/>
  <c r="V127"/>
  <c r="W36"/>
  <c r="V126"/>
  <c r="V128"/>
  <c r="AF41"/>
  <c r="B215"/>
  <c r="AG227"/>
  <c r="AG224"/>
  <c r="AG226"/>
  <c r="AG225"/>
  <c r="AG222"/>
  <c r="AG221"/>
  <c r="AG220"/>
  <c r="AG219"/>
  <c r="AG214"/>
  <c r="AG217"/>
  <c r="AG216"/>
  <c r="AG215"/>
  <c r="AG212"/>
  <c r="AG211"/>
  <c r="AG208"/>
  <c r="AG207"/>
  <c r="AG210"/>
  <c r="AG209"/>
  <c r="AG206"/>
  <c r="AG205"/>
  <c r="AG204"/>
  <c r="AG203"/>
  <c r="AG202"/>
  <c r="AG201"/>
  <c r="AH224"/>
  <c r="X38" l="1"/>
  <c r="W127"/>
  <c r="X36"/>
  <c r="W126"/>
  <c r="W128"/>
  <c r="AH225"/>
  <c r="S212"/>
  <c r="T212" s="1"/>
  <c r="R212"/>
  <c r="Q212"/>
  <c r="P212"/>
  <c r="O212"/>
  <c r="N212"/>
  <c r="M212"/>
  <c r="L212"/>
  <c r="K212"/>
  <c r="J212"/>
  <c r="I212"/>
  <c r="Y38" l="1"/>
  <c r="X127"/>
  <c r="Y36"/>
  <c r="X128"/>
  <c r="X126"/>
  <c r="S60"/>
  <c r="R60"/>
  <c r="S58"/>
  <c r="R58"/>
  <c r="S56"/>
  <c r="R56"/>
  <c r="S54"/>
  <c r="R54"/>
  <c r="S52"/>
  <c r="R52"/>
  <c r="R30"/>
  <c r="R28"/>
  <c r="R26"/>
  <c r="R11"/>
  <c r="R8"/>
  <c r="Z38" l="1"/>
  <c r="Y127"/>
  <c r="Z36"/>
  <c r="Y128"/>
  <c r="Y126"/>
  <c r="S102"/>
  <c r="T102" s="1"/>
  <c r="R102"/>
  <c r="Q102"/>
  <c r="P102"/>
  <c r="O102"/>
  <c r="N102"/>
  <c r="M102"/>
  <c r="L102"/>
  <c r="K102"/>
  <c r="J102"/>
  <c r="I102"/>
  <c r="AA38" l="1"/>
  <c r="Z127"/>
  <c r="AA36"/>
  <c r="Z126"/>
  <c r="Z128"/>
  <c r="U170"/>
  <c r="S170"/>
  <c r="C1"/>
  <c r="V225" l="1"/>
  <c r="H225"/>
  <c r="G225"/>
  <c r="V220"/>
  <c r="V221" s="1"/>
  <c r="V222" s="1"/>
  <c r="H220"/>
  <c r="G220"/>
  <c r="AB38"/>
  <c r="AA127"/>
  <c r="AB36"/>
  <c r="AA126"/>
  <c r="AA128"/>
  <c r="AH45"/>
  <c r="AH40"/>
  <c r="AH49"/>
  <c r="AH41"/>
  <c r="AH42"/>
  <c r="AH43"/>
  <c r="M225"/>
  <c r="M226" s="1"/>
  <c r="M227" s="1"/>
  <c r="S225"/>
  <c r="T225" s="1"/>
  <c r="R225"/>
  <c r="R224" s="1"/>
  <c r="V226"/>
  <c r="V227" s="1"/>
  <c r="V224"/>
  <c r="Q225"/>
  <c r="L225"/>
  <c r="K225"/>
  <c r="P225"/>
  <c r="J225"/>
  <c r="O225"/>
  <c r="I225"/>
  <c r="N225"/>
  <c r="R237"/>
  <c r="O220"/>
  <c r="R220"/>
  <c r="R219" s="1"/>
  <c r="N220"/>
  <c r="J220"/>
  <c r="Q220"/>
  <c r="M220"/>
  <c r="I220"/>
  <c r="P220"/>
  <c r="L220"/>
  <c r="S220"/>
  <c r="K220"/>
  <c r="AG71"/>
  <c r="AG70"/>
  <c r="AG68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S7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V219" l="1"/>
  <c r="S205"/>
  <c r="T205" s="1"/>
  <c r="T71"/>
  <c r="S204"/>
  <c r="T204" s="1"/>
  <c r="T70"/>
  <c r="T220"/>
  <c r="H219"/>
  <c r="H221"/>
  <c r="H222" s="1"/>
  <c r="G224"/>
  <c r="G226"/>
  <c r="G219"/>
  <c r="G221"/>
  <c r="H224"/>
  <c r="H226"/>
  <c r="H227" s="1"/>
  <c r="AC38"/>
  <c r="AB127"/>
  <c r="AC36"/>
  <c r="AB128"/>
  <c r="AB126"/>
  <c r="M224"/>
  <c r="R226"/>
  <c r="R227" s="1"/>
  <c r="L221"/>
  <c r="L222" s="1"/>
  <c r="L219"/>
  <c r="Q221"/>
  <c r="Q222" s="1"/>
  <c r="Q219"/>
  <c r="O221"/>
  <c r="O222" s="1"/>
  <c r="O219"/>
  <c r="N226"/>
  <c r="N227" s="1"/>
  <c r="N224"/>
  <c r="P226"/>
  <c r="P227" s="1"/>
  <c r="P224"/>
  <c r="P221"/>
  <c r="P222" s="1"/>
  <c r="P219"/>
  <c r="J221"/>
  <c r="J222" s="1"/>
  <c r="J219"/>
  <c r="I226"/>
  <c r="I227" s="1"/>
  <c r="I224"/>
  <c r="K226"/>
  <c r="K227" s="1"/>
  <c r="K224"/>
  <c r="K221"/>
  <c r="K222" s="1"/>
  <c r="K219"/>
  <c r="I221"/>
  <c r="I222" s="1"/>
  <c r="I219"/>
  <c r="N221"/>
  <c r="N222" s="1"/>
  <c r="N219"/>
  <c r="O226"/>
  <c r="O227" s="1"/>
  <c r="O224"/>
  <c r="L226"/>
  <c r="L227" s="1"/>
  <c r="L224"/>
  <c r="S221"/>
  <c r="S222" s="1"/>
  <c r="S219"/>
  <c r="M221"/>
  <c r="M222" s="1"/>
  <c r="M219"/>
  <c r="J226"/>
  <c r="J227" s="1"/>
  <c r="J224"/>
  <c r="Q226"/>
  <c r="Q227" s="1"/>
  <c r="Q224"/>
  <c r="S226"/>
  <c r="S227" s="1"/>
  <c r="S224"/>
  <c r="R221"/>
  <c r="R205"/>
  <c r="T219" l="1"/>
  <c r="T224"/>
  <c r="T221"/>
  <c r="G222"/>
  <c r="T222" s="1"/>
  <c r="T226"/>
  <c r="G227"/>
  <c r="T227" s="1"/>
  <c r="AD38"/>
  <c r="AC127"/>
  <c r="AD36"/>
  <c r="AC128"/>
  <c r="AC126"/>
  <c r="R222"/>
  <c r="I147"/>
  <c r="J147"/>
  <c r="K147"/>
  <c r="L147"/>
  <c r="M147"/>
  <c r="N147"/>
  <c r="O147"/>
  <c r="P147"/>
  <c r="Q147"/>
  <c r="R147"/>
  <c r="S147"/>
  <c r="T147" s="1"/>
  <c r="S146"/>
  <c r="T146" s="1"/>
  <c r="AE38" l="1"/>
  <c r="AD127"/>
  <c r="AE36"/>
  <c r="AD126"/>
  <c r="AD128"/>
  <c r="J254"/>
  <c r="J251"/>
  <c r="J252"/>
  <c r="J253"/>
  <c r="AF38" l="1"/>
  <c r="AE127"/>
  <c r="AF127" s="1"/>
  <c r="AH38"/>
  <c r="AE126"/>
  <c r="AF126" s="1"/>
  <c r="AE128"/>
  <c r="AF128" s="1"/>
  <c r="AF36"/>
  <c r="AH36"/>
  <c r="S243"/>
  <c r="S242"/>
  <c r="S241"/>
  <c r="S211"/>
  <c r="T211" s="1"/>
  <c r="S66"/>
  <c r="S67"/>
  <c r="T67" s="1"/>
  <c r="S68"/>
  <c r="S72"/>
  <c r="S73"/>
  <c r="T73" s="1"/>
  <c r="S74"/>
  <c r="T74" s="1"/>
  <c r="S75"/>
  <c r="S76"/>
  <c r="T76" s="1"/>
  <c r="S78"/>
  <c r="T78" s="1"/>
  <c r="S79"/>
  <c r="T79" s="1"/>
  <c r="S80"/>
  <c r="S82"/>
  <c r="T82" s="1"/>
  <c r="S83"/>
  <c r="T83" s="1"/>
  <c r="S85"/>
  <c r="T85" s="1"/>
  <c r="S86"/>
  <c r="S88"/>
  <c r="S90"/>
  <c r="S93"/>
  <c r="T93" s="1"/>
  <c r="S94"/>
  <c r="T94" s="1"/>
  <c r="S95"/>
  <c r="T95" s="1"/>
  <c r="S96"/>
  <c r="T96" s="1"/>
  <c r="S98"/>
  <c r="S99"/>
  <c r="T99" s="1"/>
  <c r="S100"/>
  <c r="T100" s="1"/>
  <c r="S105"/>
  <c r="T105" s="1"/>
  <c r="S106"/>
  <c r="T106" s="1"/>
  <c r="S107"/>
  <c r="T107" s="1"/>
  <c r="S108"/>
  <c r="T108" s="1"/>
  <c r="S109"/>
  <c r="T109" s="1"/>
  <c r="S112"/>
  <c r="S113"/>
  <c r="S114"/>
  <c r="S115"/>
  <c r="S116"/>
  <c r="S134"/>
  <c r="T134" s="1"/>
  <c r="S135"/>
  <c r="T135" s="1"/>
  <c r="S136"/>
  <c r="T136" s="1"/>
  <c r="S137"/>
  <c r="T137" s="1"/>
  <c r="S145"/>
  <c r="T145" s="1"/>
  <c r="S149"/>
  <c r="T149" s="1"/>
  <c r="S150"/>
  <c r="T150" s="1"/>
  <c r="S151"/>
  <c r="T151" s="1"/>
  <c r="S154"/>
  <c r="T154" s="1"/>
  <c r="S155"/>
  <c r="T155" s="1"/>
  <c r="S156"/>
  <c r="T156" s="1"/>
  <c r="S157"/>
  <c r="T157" s="1"/>
  <c r="S159"/>
  <c r="T159" s="1"/>
  <c r="S160"/>
  <c r="T160" s="1"/>
  <c r="S162"/>
  <c r="S166"/>
  <c r="T166" s="1"/>
  <c r="S167"/>
  <c r="T167" s="1"/>
  <c r="V17"/>
  <c r="V19"/>
  <c r="V24"/>
  <c r="S110" l="1"/>
  <c r="T110" s="1"/>
  <c r="T68"/>
  <c r="S122"/>
  <c r="T122" s="1"/>
  <c r="T116"/>
  <c r="S120"/>
  <c r="T120" s="1"/>
  <c r="T114"/>
  <c r="S118"/>
  <c r="T118" s="1"/>
  <c r="T112"/>
  <c r="S163"/>
  <c r="T163" s="1"/>
  <c r="T162"/>
  <c r="S121"/>
  <c r="T121" s="1"/>
  <c r="T115"/>
  <c r="S119"/>
  <c r="T119" s="1"/>
  <c r="T113"/>
  <c r="S92"/>
  <c r="T92" s="1"/>
  <c r="T90"/>
  <c r="S164"/>
  <c r="T164" s="1"/>
  <c r="T98"/>
  <c r="S214"/>
  <c r="T214" s="1"/>
  <c r="T72"/>
  <c r="S208"/>
  <c r="T208" s="1"/>
  <c r="T86"/>
  <c r="S209"/>
  <c r="T209" s="1"/>
  <c r="T80"/>
  <c r="S206"/>
  <c r="T206" s="1"/>
  <c r="T75"/>
  <c r="S202"/>
  <c r="T202" s="1"/>
  <c r="T66"/>
  <c r="S139"/>
  <c r="T88"/>
  <c r="R238"/>
  <c r="S203"/>
  <c r="T203" s="1"/>
  <c r="S84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I68"/>
  <c r="I110" s="1"/>
  <c r="S207" l="1"/>
  <c r="T207" s="1"/>
  <c r="T84"/>
  <c r="S140"/>
  <c r="T139"/>
  <c r="S216"/>
  <c r="S215"/>
  <c r="T215" s="1"/>
  <c r="J238"/>
  <c r="U59"/>
  <c r="V59" s="1"/>
  <c r="S217" l="1"/>
  <c r="T217" s="1"/>
  <c r="T216"/>
  <c r="T140"/>
  <c r="S141"/>
  <c r="S143"/>
  <c r="T143" s="1"/>
  <c r="M234"/>
  <c r="M233"/>
  <c r="M232"/>
  <c r="M231"/>
  <c r="S142" l="1"/>
  <c r="T142" s="1"/>
  <c r="T141"/>
  <c r="AG53"/>
  <c r="U53"/>
  <c r="V53" l="1"/>
  <c r="W53" l="1"/>
  <c r="M238"/>
  <c r="V238" s="1"/>
  <c r="V239" s="1"/>
  <c r="M237"/>
  <c r="X53" l="1"/>
  <c r="W252"/>
  <c r="W253" s="1"/>
  <c r="D250"/>
  <c r="I264" s="1"/>
  <c r="M264" s="1"/>
  <c r="J250"/>
  <c r="N134"/>
  <c r="L134"/>
  <c r="J134"/>
  <c r="I134"/>
  <c r="K134"/>
  <c r="M134"/>
  <c r="O134"/>
  <c r="P134"/>
  <c r="Q134"/>
  <c r="R134"/>
  <c r="J167"/>
  <c r="K167"/>
  <c r="L167"/>
  <c r="M167"/>
  <c r="N167"/>
  <c r="O167"/>
  <c r="P167"/>
  <c r="Q167"/>
  <c r="R167"/>
  <c r="J166"/>
  <c r="K166"/>
  <c r="L166"/>
  <c r="M166"/>
  <c r="N166"/>
  <c r="O166"/>
  <c r="P166"/>
  <c r="Q166"/>
  <c r="R166"/>
  <c r="I268"/>
  <c r="I269" s="1"/>
  <c r="AG73"/>
  <c r="J73"/>
  <c r="K73"/>
  <c r="L73"/>
  <c r="M73"/>
  <c r="N73"/>
  <c r="O73"/>
  <c r="P73"/>
  <c r="Q73"/>
  <c r="R73"/>
  <c r="I73"/>
  <c r="J259"/>
  <c r="D258"/>
  <c r="I265" s="1"/>
  <c r="M265" s="1"/>
  <c r="J257"/>
  <c r="K257" s="1"/>
  <c r="L257" s="1"/>
  <c r="L258" s="1"/>
  <c r="J255"/>
  <c r="J249"/>
  <c r="J248"/>
  <c r="K248" s="1"/>
  <c r="L248" s="1"/>
  <c r="Y53" l="1"/>
  <c r="I270"/>
  <c r="I267"/>
  <c r="D260"/>
  <c r="M268"/>
  <c r="M267"/>
  <c r="K249"/>
  <c r="L249" s="1"/>
  <c r="K259"/>
  <c r="L259" s="1"/>
  <c r="L260" s="1"/>
  <c r="J109"/>
  <c r="K109"/>
  <c r="L109"/>
  <c r="M109"/>
  <c r="N109"/>
  <c r="O109"/>
  <c r="P109"/>
  <c r="Q109"/>
  <c r="R109"/>
  <c r="I109"/>
  <c r="I167"/>
  <c r="I166"/>
  <c r="AG14"/>
  <c r="U14"/>
  <c r="W249"/>
  <c r="W248"/>
  <c r="Q249"/>
  <c r="Q252" s="1"/>
  <c r="Q248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I116"/>
  <c r="I122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I113"/>
  <c r="I119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I114"/>
  <c r="I120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I162"/>
  <c r="I163" s="1"/>
  <c r="Z53" l="1"/>
  <c r="V14"/>
  <c r="W14" s="1"/>
  <c r="X14" s="1"/>
  <c r="Y14" s="1"/>
  <c r="Z14" s="1"/>
  <c r="AA14" s="1"/>
  <c r="AB14" s="1"/>
  <c r="AC14" s="1"/>
  <c r="AD14" s="1"/>
  <c r="AE14" s="1"/>
  <c r="K250"/>
  <c r="L250" s="1"/>
  <c r="R108"/>
  <c r="R107"/>
  <c r="J108"/>
  <c r="K108"/>
  <c r="L108"/>
  <c r="M108"/>
  <c r="N108"/>
  <c r="O108"/>
  <c r="P108"/>
  <c r="Q108"/>
  <c r="I108"/>
  <c r="I107"/>
  <c r="J160"/>
  <c r="K160"/>
  <c r="L160"/>
  <c r="M160"/>
  <c r="N160"/>
  <c r="O160"/>
  <c r="P160"/>
  <c r="Q160"/>
  <c r="R160"/>
  <c r="I160"/>
  <c r="J159"/>
  <c r="K159"/>
  <c r="L159"/>
  <c r="M159"/>
  <c r="N159"/>
  <c r="O159"/>
  <c r="P159"/>
  <c r="Q159"/>
  <c r="R159"/>
  <c r="I159"/>
  <c r="J156"/>
  <c r="K156"/>
  <c r="L156"/>
  <c r="M156"/>
  <c r="N156"/>
  <c r="O156"/>
  <c r="P156"/>
  <c r="Q156"/>
  <c r="R156"/>
  <c r="I156"/>
  <c r="J157"/>
  <c r="K157"/>
  <c r="L157"/>
  <c r="M157"/>
  <c r="N157"/>
  <c r="O157"/>
  <c r="P157"/>
  <c r="Q157"/>
  <c r="R157"/>
  <c r="I157"/>
  <c r="J155"/>
  <c r="K155"/>
  <c r="L155"/>
  <c r="M155"/>
  <c r="N155"/>
  <c r="O155"/>
  <c r="P155"/>
  <c r="Q155"/>
  <c r="R155"/>
  <c r="I155"/>
  <c r="J154"/>
  <c r="K154"/>
  <c r="L154"/>
  <c r="M154"/>
  <c r="N154"/>
  <c r="O154"/>
  <c r="P154"/>
  <c r="Q154"/>
  <c r="R154"/>
  <c r="I154"/>
  <c r="J151"/>
  <c r="K151"/>
  <c r="L151"/>
  <c r="M151"/>
  <c r="N151"/>
  <c r="O151"/>
  <c r="P151"/>
  <c r="Q151"/>
  <c r="R151"/>
  <c r="I151"/>
  <c r="J150"/>
  <c r="K150"/>
  <c r="L150"/>
  <c r="M150"/>
  <c r="N150"/>
  <c r="O150"/>
  <c r="P150"/>
  <c r="Q150"/>
  <c r="R150"/>
  <c r="I150"/>
  <c r="J149"/>
  <c r="K149"/>
  <c r="L149"/>
  <c r="M149"/>
  <c r="N149"/>
  <c r="O149"/>
  <c r="P149"/>
  <c r="Q149"/>
  <c r="R149"/>
  <c r="I149"/>
  <c r="B151"/>
  <c r="B150"/>
  <c r="AG32"/>
  <c r="U32"/>
  <c r="I137"/>
  <c r="J137"/>
  <c r="K137"/>
  <c r="L137"/>
  <c r="M137"/>
  <c r="N137"/>
  <c r="O137"/>
  <c r="P137"/>
  <c r="Q137"/>
  <c r="R137"/>
  <c r="V253"/>
  <c r="P252"/>
  <c r="V250"/>
  <c r="W250" s="1"/>
  <c r="W255" s="1"/>
  <c r="P250"/>
  <c r="Q250" s="1"/>
  <c r="Q255" s="1"/>
  <c r="J146"/>
  <c r="K146"/>
  <c r="L146"/>
  <c r="M146"/>
  <c r="N146"/>
  <c r="O146"/>
  <c r="P146"/>
  <c r="Q146"/>
  <c r="R146"/>
  <c r="I146"/>
  <c r="J145"/>
  <c r="K145"/>
  <c r="L145"/>
  <c r="M145"/>
  <c r="N145"/>
  <c r="O145"/>
  <c r="P145"/>
  <c r="Q145"/>
  <c r="R145"/>
  <c r="I145"/>
  <c r="K251" l="1"/>
  <c r="L251" s="1"/>
  <c r="K252" s="1"/>
  <c r="L252" s="1"/>
  <c r="K253" s="1"/>
  <c r="L253" s="1"/>
  <c r="K254" s="1"/>
  <c r="L254" s="1"/>
  <c r="K255" s="1"/>
  <c r="L255" s="1"/>
  <c r="L256" s="1"/>
  <c r="AA53"/>
  <c r="AF14"/>
  <c r="AH14"/>
  <c r="V32"/>
  <c r="W32" s="1"/>
  <c r="X32" s="1"/>
  <c r="Y32" s="1"/>
  <c r="Z32" s="1"/>
  <c r="AA32" s="1"/>
  <c r="AB32" s="1"/>
  <c r="AC32" s="1"/>
  <c r="AD32" s="1"/>
  <c r="AE32" s="1"/>
  <c r="AF32" s="1"/>
  <c r="P255"/>
  <c r="V255"/>
  <c r="U9"/>
  <c r="V9" s="1"/>
  <c r="U10"/>
  <c r="V10" s="1"/>
  <c r="U12"/>
  <c r="V12" s="1"/>
  <c r="U13"/>
  <c r="V13" s="1"/>
  <c r="U15"/>
  <c r="V15" s="1"/>
  <c r="U16"/>
  <c r="V16" s="1"/>
  <c r="U18"/>
  <c r="V18" s="1"/>
  <c r="U20"/>
  <c r="V20" s="1"/>
  <c r="U21"/>
  <c r="V21" s="1"/>
  <c r="U22"/>
  <c r="V22" s="1"/>
  <c r="U23"/>
  <c r="V23" s="1"/>
  <c r="U25"/>
  <c r="V25" s="1"/>
  <c r="V129" s="1"/>
  <c r="U27"/>
  <c r="V27" s="1"/>
  <c r="U29"/>
  <c r="V29" s="1"/>
  <c r="U31"/>
  <c r="U33"/>
  <c r="V33" s="1"/>
  <c r="U34"/>
  <c r="V34" s="1"/>
  <c r="U51"/>
  <c r="V51" s="1"/>
  <c r="U55"/>
  <c r="V55" s="1"/>
  <c r="V130" s="1"/>
  <c r="U7"/>
  <c r="V7" s="1"/>
  <c r="U6"/>
  <c r="V6" s="1"/>
  <c r="AG9"/>
  <c r="AG10"/>
  <c r="AG11"/>
  <c r="AG12"/>
  <c r="AG13"/>
  <c r="AG15"/>
  <c r="AG16"/>
  <c r="AG18"/>
  <c r="AG20"/>
  <c r="AG21"/>
  <c r="AG22"/>
  <c r="AG23"/>
  <c r="AG25"/>
  <c r="AG27"/>
  <c r="AG29"/>
  <c r="AG31"/>
  <c r="AG33"/>
  <c r="AG34"/>
  <c r="AG51"/>
  <c r="AG55"/>
  <c r="AG57"/>
  <c r="AG59"/>
  <c r="AG66"/>
  <c r="AG67"/>
  <c r="AG72"/>
  <c r="AG74"/>
  <c r="AG75"/>
  <c r="AG76"/>
  <c r="AG78"/>
  <c r="AG79"/>
  <c r="AG80"/>
  <c r="AG82"/>
  <c r="AG83"/>
  <c r="AG84"/>
  <c r="AG85"/>
  <c r="AG87"/>
  <c r="AG88"/>
  <c r="AG90"/>
  <c r="AG92"/>
  <c r="AG93"/>
  <c r="AG94"/>
  <c r="AG95"/>
  <c r="AG96"/>
  <c r="AG98"/>
  <c r="AG99"/>
  <c r="AG100"/>
  <c r="AG7"/>
  <c r="AG6"/>
  <c r="V132" l="1"/>
  <c r="V131"/>
  <c r="V124"/>
  <c r="V125"/>
  <c r="V68"/>
  <c r="V110" s="1"/>
  <c r="AB53"/>
  <c r="AH32"/>
  <c r="V3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I115"/>
  <c r="I121" s="1"/>
  <c r="I112"/>
  <c r="I118" s="1"/>
  <c r="AC53" l="1"/>
  <c r="W31"/>
  <c r="V147"/>
  <c r="W29"/>
  <c r="J136"/>
  <c r="K136"/>
  <c r="L136"/>
  <c r="M136"/>
  <c r="N136"/>
  <c r="O136"/>
  <c r="P136"/>
  <c r="Q136"/>
  <c r="R136"/>
  <c r="I136"/>
  <c r="J135"/>
  <c r="K135"/>
  <c r="L135"/>
  <c r="M135"/>
  <c r="N135"/>
  <c r="O135"/>
  <c r="P135"/>
  <c r="Q135"/>
  <c r="R135"/>
  <c r="I135"/>
  <c r="AD53" l="1"/>
  <c r="X31"/>
  <c r="X29"/>
  <c r="AH87"/>
  <c r="AE53" l="1"/>
  <c r="Y31"/>
  <c r="Y29"/>
  <c r="I211"/>
  <c r="J211"/>
  <c r="K211"/>
  <c r="L211"/>
  <c r="M211"/>
  <c r="N211"/>
  <c r="O211"/>
  <c r="P211"/>
  <c r="Q211"/>
  <c r="R211"/>
  <c r="C9" i="15"/>
  <c r="I88" i="1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AF53" l="1"/>
  <c r="AH53"/>
  <c r="Z31"/>
  <c r="V88"/>
  <c r="Z29"/>
  <c r="P141"/>
  <c r="P142" s="1"/>
  <c r="L141"/>
  <c r="L142" s="1"/>
  <c r="N141"/>
  <c r="N142" s="1"/>
  <c r="J141"/>
  <c r="J142" s="1"/>
  <c r="O141"/>
  <c r="O142" s="1"/>
  <c r="K141"/>
  <c r="K142" s="1"/>
  <c r="Q141"/>
  <c r="Q142" s="1"/>
  <c r="M141"/>
  <c r="M142" s="1"/>
  <c r="I141"/>
  <c r="I142" s="1"/>
  <c r="R140"/>
  <c r="R143" s="1"/>
  <c r="W59"/>
  <c r="AA31" l="1"/>
  <c r="X59"/>
  <c r="AA29"/>
  <c r="R141"/>
  <c r="W8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I99"/>
  <c r="J99"/>
  <c r="K99"/>
  <c r="L99"/>
  <c r="M99"/>
  <c r="N99"/>
  <c r="O99"/>
  <c r="P99"/>
  <c r="Q99"/>
  <c r="I100"/>
  <c r="J100"/>
  <c r="K100"/>
  <c r="L100"/>
  <c r="M100"/>
  <c r="N100"/>
  <c r="O100"/>
  <c r="P100"/>
  <c r="Q100"/>
  <c r="R100"/>
  <c r="R99"/>
  <c r="R98"/>
  <c r="R164" s="1"/>
  <c r="J107"/>
  <c r="K107"/>
  <c r="L107"/>
  <c r="M107"/>
  <c r="N107"/>
  <c r="O107"/>
  <c r="P107"/>
  <c r="Q107"/>
  <c r="I106"/>
  <c r="J106"/>
  <c r="K106"/>
  <c r="L106"/>
  <c r="M106"/>
  <c r="N106"/>
  <c r="O106"/>
  <c r="P106"/>
  <c r="Q106"/>
  <c r="I105"/>
  <c r="J105"/>
  <c r="K105"/>
  <c r="L105"/>
  <c r="M105"/>
  <c r="N105"/>
  <c r="O105"/>
  <c r="P105"/>
  <c r="Q105"/>
  <c r="R106"/>
  <c r="AB31" l="1"/>
  <c r="Y59"/>
  <c r="X88"/>
  <c r="AB29"/>
  <c r="R105"/>
  <c r="J243"/>
  <c r="K243"/>
  <c r="L243"/>
  <c r="M243"/>
  <c r="N243"/>
  <c r="O243"/>
  <c r="P243"/>
  <c r="Q243"/>
  <c r="R243"/>
  <c r="I243"/>
  <c r="J242"/>
  <c r="K242"/>
  <c r="L242"/>
  <c r="M242"/>
  <c r="N242"/>
  <c r="O242"/>
  <c r="P242"/>
  <c r="Q242"/>
  <c r="R242"/>
  <c r="I242"/>
  <c r="J241"/>
  <c r="K241"/>
  <c r="L241"/>
  <c r="M241"/>
  <c r="N241"/>
  <c r="O241"/>
  <c r="P241"/>
  <c r="Q241"/>
  <c r="R241"/>
  <c r="I241"/>
  <c r="J67"/>
  <c r="K67"/>
  <c r="L67"/>
  <c r="M67"/>
  <c r="N67"/>
  <c r="O67"/>
  <c r="P67"/>
  <c r="Q67"/>
  <c r="R67"/>
  <c r="I67"/>
  <c r="I72"/>
  <c r="I214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I66"/>
  <c r="I202" s="1"/>
  <c r="V113"/>
  <c r="V119" s="1"/>
  <c r="AC31" l="1"/>
  <c r="Z59"/>
  <c r="Y88"/>
  <c r="AC29"/>
  <c r="W51"/>
  <c r="T243"/>
  <c r="T242"/>
  <c r="T241"/>
  <c r="W113" l="1"/>
  <c r="W119" s="1"/>
  <c r="AD31"/>
  <c r="AA59"/>
  <c r="Z88"/>
  <c r="AD29"/>
  <c r="X51"/>
  <c r="K95"/>
  <c r="L95"/>
  <c r="M95"/>
  <c r="N95"/>
  <c r="O95"/>
  <c r="P95"/>
  <c r="Q95"/>
  <c r="R95"/>
  <c r="K96"/>
  <c r="L96"/>
  <c r="M96"/>
  <c r="N96"/>
  <c r="O96"/>
  <c r="P96"/>
  <c r="Q96"/>
  <c r="R96"/>
  <c r="K90"/>
  <c r="K92" s="1"/>
  <c r="L90"/>
  <c r="L92" s="1"/>
  <c r="M90"/>
  <c r="M92" s="1"/>
  <c r="N90"/>
  <c r="N92" s="1"/>
  <c r="O90"/>
  <c r="O92" s="1"/>
  <c r="P90"/>
  <c r="P92" s="1"/>
  <c r="Q90"/>
  <c r="Q92" s="1"/>
  <c r="R90"/>
  <c r="R92" s="1"/>
  <c r="K93"/>
  <c r="L93"/>
  <c r="M93"/>
  <c r="N93"/>
  <c r="O93"/>
  <c r="P93"/>
  <c r="Q93"/>
  <c r="R93"/>
  <c r="K94"/>
  <c r="L94"/>
  <c r="M94"/>
  <c r="N94"/>
  <c r="O94"/>
  <c r="P94"/>
  <c r="Q94"/>
  <c r="R94"/>
  <c r="I93"/>
  <c r="I94"/>
  <c r="I95"/>
  <c r="I96"/>
  <c r="J96"/>
  <c r="J95"/>
  <c r="W22"/>
  <c r="X22" s="1"/>
  <c r="Y22" s="1"/>
  <c r="Z22" s="1"/>
  <c r="AA22" s="1"/>
  <c r="AB22" s="1"/>
  <c r="AC22" s="1"/>
  <c r="AD22" s="1"/>
  <c r="AE22" s="1"/>
  <c r="I90"/>
  <c r="I92" s="1"/>
  <c r="J90"/>
  <c r="J92" s="1"/>
  <c r="J94"/>
  <c r="J93"/>
  <c r="X113" l="1"/>
  <c r="X119" s="1"/>
  <c r="AE31"/>
  <c r="AF31" s="1"/>
  <c r="AB59"/>
  <c r="AA88"/>
  <c r="W23"/>
  <c r="V116"/>
  <c r="V122" s="1"/>
  <c r="AE29"/>
  <c r="AF22"/>
  <c r="AH22"/>
  <c r="Y51"/>
  <c r="W21"/>
  <c r="AH31" l="1"/>
  <c r="Y113"/>
  <c r="Y119" s="1"/>
  <c r="AB88"/>
  <c r="AC59"/>
  <c r="X23"/>
  <c r="W116"/>
  <c r="W122" s="1"/>
  <c r="AH29"/>
  <c r="AF29"/>
  <c r="W20"/>
  <c r="V90"/>
  <c r="X21"/>
  <c r="C19" i="15"/>
  <c r="W9" i="18"/>
  <c r="X9" s="1"/>
  <c r="Y9" s="1"/>
  <c r="Z9" s="1"/>
  <c r="AA9" s="1"/>
  <c r="AB9" s="1"/>
  <c r="AC9" s="1"/>
  <c r="AD9" s="1"/>
  <c r="AE9" s="1"/>
  <c r="AH9" s="1"/>
  <c r="V109"/>
  <c r="W33"/>
  <c r="X33" s="1"/>
  <c r="Y33" s="1"/>
  <c r="Z33" s="1"/>
  <c r="AA33" s="1"/>
  <c r="AB33" s="1"/>
  <c r="AC33" s="1"/>
  <c r="AD33" s="1"/>
  <c r="AE33" s="1"/>
  <c r="AH33" s="1"/>
  <c r="W34"/>
  <c r="X34" s="1"/>
  <c r="Y34" s="1"/>
  <c r="Z34" s="1"/>
  <c r="AA34" s="1"/>
  <c r="AB34" s="1"/>
  <c r="AC34" s="1"/>
  <c r="AD34" s="1"/>
  <c r="AE34" s="1"/>
  <c r="AH34" s="1"/>
  <c r="Z51"/>
  <c r="Q86"/>
  <c r="Q208" s="1"/>
  <c r="Q85"/>
  <c r="Q83"/>
  <c r="Q82"/>
  <c r="Q80"/>
  <c r="Q209" s="1"/>
  <c r="Q79"/>
  <c r="Q78"/>
  <c r="Q76"/>
  <c r="Q75"/>
  <c r="Q206" s="1"/>
  <c r="Q74"/>
  <c r="Q72"/>
  <c r="Q214" s="1"/>
  <c r="Z113" l="1"/>
  <c r="Z119" s="1"/>
  <c r="AC88"/>
  <c r="AD59"/>
  <c r="W90"/>
  <c r="V156"/>
  <c r="V166"/>
  <c r="V157"/>
  <c r="V167"/>
  <c r="Y23"/>
  <c r="X116"/>
  <c r="X122" s="1"/>
  <c r="V150"/>
  <c r="V151"/>
  <c r="V149"/>
  <c r="V137"/>
  <c r="R142"/>
  <c r="V112"/>
  <c r="V118" s="1"/>
  <c r="V146"/>
  <c r="V145"/>
  <c r="W18"/>
  <c r="Q203"/>
  <c r="X20"/>
  <c r="W27"/>
  <c r="AA51"/>
  <c r="W25"/>
  <c r="W129" s="1"/>
  <c r="V105"/>
  <c r="Y21"/>
  <c r="AF33"/>
  <c r="AF34"/>
  <c r="AF9"/>
  <c r="Q84"/>
  <c r="Q207" s="1"/>
  <c r="I80"/>
  <c r="I209" s="1"/>
  <c r="J80"/>
  <c r="J209" s="1"/>
  <c r="K80"/>
  <c r="K209" s="1"/>
  <c r="L80"/>
  <c r="L209" s="1"/>
  <c r="M80"/>
  <c r="M209" s="1"/>
  <c r="N80"/>
  <c r="N209" s="1"/>
  <c r="O80"/>
  <c r="O209" s="1"/>
  <c r="P80"/>
  <c r="P209" s="1"/>
  <c r="R80"/>
  <c r="W124" l="1"/>
  <c r="W125"/>
  <c r="Q216"/>
  <c r="Q217" s="1"/>
  <c r="Q215"/>
  <c r="AA113"/>
  <c r="AA119" s="1"/>
  <c r="W109"/>
  <c r="W147"/>
  <c r="AE59"/>
  <c r="AD88"/>
  <c r="W157"/>
  <c r="W167"/>
  <c r="W156"/>
  <c r="W166"/>
  <c r="Z23"/>
  <c r="Y116"/>
  <c r="Y122" s="1"/>
  <c r="W149"/>
  <c r="W151"/>
  <c r="W150"/>
  <c r="W137"/>
  <c r="W112"/>
  <c r="W118" s="1"/>
  <c r="W146"/>
  <c r="W145"/>
  <c r="X18"/>
  <c r="Y20"/>
  <c r="X90"/>
  <c r="X27"/>
  <c r="X25"/>
  <c r="W105"/>
  <c r="AB51"/>
  <c r="Z21"/>
  <c r="R209"/>
  <c r="I79"/>
  <c r="J79"/>
  <c r="K79"/>
  <c r="L79"/>
  <c r="M79"/>
  <c r="N79"/>
  <c r="O79"/>
  <c r="P79"/>
  <c r="R79"/>
  <c r="I78"/>
  <c r="J78"/>
  <c r="K78"/>
  <c r="L78"/>
  <c r="M78"/>
  <c r="N78"/>
  <c r="O78"/>
  <c r="P78"/>
  <c r="R78"/>
  <c r="X125" l="1"/>
  <c r="X129"/>
  <c r="X147"/>
  <c r="X124"/>
  <c r="AB113"/>
  <c r="AB119" s="1"/>
  <c r="AH59"/>
  <c r="AE88"/>
  <c r="AF59"/>
  <c r="X156"/>
  <c r="X166"/>
  <c r="X157"/>
  <c r="X167"/>
  <c r="X109"/>
  <c r="AA23"/>
  <c r="Z116"/>
  <c r="Z122" s="1"/>
  <c r="X151"/>
  <c r="X150"/>
  <c r="X149"/>
  <c r="X137"/>
  <c r="X112"/>
  <c r="X118" s="1"/>
  <c r="X146"/>
  <c r="X145"/>
  <c r="Y18"/>
  <c r="Z20"/>
  <c r="Y90"/>
  <c r="Y27"/>
  <c r="Y25"/>
  <c r="Y129" s="1"/>
  <c r="X105"/>
  <c r="AC51"/>
  <c r="AA21"/>
  <c r="C46" i="15"/>
  <c r="Y124" i="18" l="1"/>
  <c r="Y125"/>
  <c r="AC113"/>
  <c r="AC119" s="1"/>
  <c r="Y109"/>
  <c r="Y147"/>
  <c r="V188"/>
  <c r="S230" s="1"/>
  <c r="AH88"/>
  <c r="W188" s="1"/>
  <c r="AF88"/>
  <c r="Y157"/>
  <c r="Y167"/>
  <c r="Y156"/>
  <c r="Y166"/>
  <c r="AB23"/>
  <c r="AA116"/>
  <c r="AA122" s="1"/>
  <c r="Y137"/>
  <c r="Y151"/>
  <c r="Y150"/>
  <c r="Y149"/>
  <c r="Y112"/>
  <c r="Y118" s="1"/>
  <c r="Y146"/>
  <c r="Y145"/>
  <c r="Z18"/>
  <c r="AA20"/>
  <c r="Z90"/>
  <c r="Z27"/>
  <c r="Z25"/>
  <c r="Y105"/>
  <c r="AD51"/>
  <c r="AB21"/>
  <c r="J72"/>
  <c r="J214" s="1"/>
  <c r="K72"/>
  <c r="K214" s="1"/>
  <c r="L72"/>
  <c r="L214" s="1"/>
  <c r="M72"/>
  <c r="M214" s="1"/>
  <c r="N72"/>
  <c r="N214" s="1"/>
  <c r="O72"/>
  <c r="O214" s="1"/>
  <c r="P72"/>
  <c r="P214" s="1"/>
  <c r="R72"/>
  <c r="R214" s="1"/>
  <c r="I86"/>
  <c r="J86"/>
  <c r="J208" s="1"/>
  <c r="K86"/>
  <c r="K208" s="1"/>
  <c r="L86"/>
  <c r="L208" s="1"/>
  <c r="M86"/>
  <c r="M208" s="1"/>
  <c r="N86"/>
  <c r="N208" s="1"/>
  <c r="O86"/>
  <c r="O208" s="1"/>
  <c r="P86"/>
  <c r="R86"/>
  <c r="I85"/>
  <c r="J85"/>
  <c r="K85"/>
  <c r="L85"/>
  <c r="M85"/>
  <c r="N85"/>
  <c r="O85"/>
  <c r="P85"/>
  <c r="R85"/>
  <c r="I83"/>
  <c r="J83"/>
  <c r="K83"/>
  <c r="L83"/>
  <c r="M83"/>
  <c r="N83"/>
  <c r="O83"/>
  <c r="P83"/>
  <c r="R83"/>
  <c r="I82"/>
  <c r="J82"/>
  <c r="K82"/>
  <c r="L82"/>
  <c r="M82"/>
  <c r="N82"/>
  <c r="O82"/>
  <c r="P82"/>
  <c r="R82"/>
  <c r="I76"/>
  <c r="J76"/>
  <c r="K76"/>
  <c r="L76"/>
  <c r="M76"/>
  <c r="N76"/>
  <c r="O76"/>
  <c r="P76"/>
  <c r="R76"/>
  <c r="I75"/>
  <c r="J75"/>
  <c r="J206" s="1"/>
  <c r="K75"/>
  <c r="K206" s="1"/>
  <c r="L75"/>
  <c r="L206" s="1"/>
  <c r="M75"/>
  <c r="M206" s="1"/>
  <c r="N75"/>
  <c r="N206" s="1"/>
  <c r="O75"/>
  <c r="O206" s="1"/>
  <c r="P75"/>
  <c r="R75"/>
  <c r="I74"/>
  <c r="J74"/>
  <c r="K74"/>
  <c r="L74"/>
  <c r="M74"/>
  <c r="N74"/>
  <c r="O74"/>
  <c r="P74"/>
  <c r="R74"/>
  <c r="V154"/>
  <c r="V162"/>
  <c r="V163" s="1"/>
  <c r="V114"/>
  <c r="V120" s="1"/>
  <c r="Z125" l="1"/>
  <c r="Z129"/>
  <c r="Z147"/>
  <c r="Z124"/>
  <c r="T170"/>
  <c r="V237" s="1"/>
  <c r="V236" s="1"/>
  <c r="V211"/>
  <c r="AD113"/>
  <c r="AD119" s="1"/>
  <c r="V134"/>
  <c r="U188"/>
  <c r="R230" s="1"/>
  <c r="Z156"/>
  <c r="Z166"/>
  <c r="Z109"/>
  <c r="Z157"/>
  <c r="Z167"/>
  <c r="AC23"/>
  <c r="AB116"/>
  <c r="AB122" s="1"/>
  <c r="V107"/>
  <c r="V108"/>
  <c r="V160"/>
  <c r="V159"/>
  <c r="V115"/>
  <c r="V121" s="1"/>
  <c r="V155"/>
  <c r="J203"/>
  <c r="Z137"/>
  <c r="Z150"/>
  <c r="Z149"/>
  <c r="Z151"/>
  <c r="V136"/>
  <c r="Z112"/>
  <c r="Z118" s="1"/>
  <c r="Z146"/>
  <c r="Z145"/>
  <c r="V135"/>
  <c r="AA18"/>
  <c r="R203"/>
  <c r="M203"/>
  <c r="L203"/>
  <c r="O203"/>
  <c r="K203"/>
  <c r="AB20"/>
  <c r="AA90"/>
  <c r="J84"/>
  <c r="J207" s="1"/>
  <c r="AA27"/>
  <c r="W12"/>
  <c r="W15"/>
  <c r="W154" s="1"/>
  <c r="W13"/>
  <c r="W10"/>
  <c r="W16"/>
  <c r="W162" s="1"/>
  <c r="W163" s="1"/>
  <c r="W6"/>
  <c r="W7"/>
  <c r="AA25"/>
  <c r="AA129" s="1"/>
  <c r="Z105"/>
  <c r="W55"/>
  <c r="W130" s="1"/>
  <c r="V106"/>
  <c r="AE51"/>
  <c r="N84"/>
  <c r="N207" s="1"/>
  <c r="M84"/>
  <c r="M207" s="1"/>
  <c r="L84"/>
  <c r="L207" s="1"/>
  <c r="AC21"/>
  <c r="W201"/>
  <c r="K84"/>
  <c r="K207" s="1"/>
  <c r="I206"/>
  <c r="I203"/>
  <c r="I208"/>
  <c r="I84"/>
  <c r="P206"/>
  <c r="P203"/>
  <c r="P208"/>
  <c r="R206"/>
  <c r="N203"/>
  <c r="P84"/>
  <c r="O84"/>
  <c r="O207" s="1"/>
  <c r="R208"/>
  <c r="R84"/>
  <c r="C6" i="12"/>
  <c r="C26" i="15"/>
  <c r="C58"/>
  <c r="C57"/>
  <c r="C54"/>
  <c r="C53"/>
  <c r="C50"/>
  <c r="C49"/>
  <c r="C45"/>
  <c r="W132" i="18" l="1"/>
  <c r="W131"/>
  <c r="AA124"/>
  <c r="AA125"/>
  <c r="W211"/>
  <c r="W220"/>
  <c r="W225"/>
  <c r="I216"/>
  <c r="I217" s="1"/>
  <c r="I215"/>
  <c r="O216"/>
  <c r="O217" s="1"/>
  <c r="O215"/>
  <c r="M216"/>
  <c r="M217" s="1"/>
  <c r="M215"/>
  <c r="P216"/>
  <c r="P217" s="1"/>
  <c r="P215"/>
  <c r="J216"/>
  <c r="J217" s="1"/>
  <c r="J215"/>
  <c r="K216"/>
  <c r="K217" s="1"/>
  <c r="K215"/>
  <c r="L216"/>
  <c r="L217" s="1"/>
  <c r="L215"/>
  <c r="R216"/>
  <c r="R217" s="1"/>
  <c r="R215"/>
  <c r="N216"/>
  <c r="N217" s="1"/>
  <c r="N215"/>
  <c r="AA109"/>
  <c r="AA147"/>
  <c r="W114"/>
  <c r="W120" s="1"/>
  <c r="W68"/>
  <c r="W110" s="1"/>
  <c r="W238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AV238" s="1"/>
  <c r="W134"/>
  <c r="AA156"/>
  <c r="AA166"/>
  <c r="AA157"/>
  <c r="AA167"/>
  <c r="AH51"/>
  <c r="AE113"/>
  <c r="AD23"/>
  <c r="AC116"/>
  <c r="AC122" s="1"/>
  <c r="W160"/>
  <c r="W159"/>
  <c r="W115"/>
  <c r="W121" s="1"/>
  <c r="W155"/>
  <c r="W108"/>
  <c r="AA149"/>
  <c r="AA150"/>
  <c r="AA151"/>
  <c r="AA137"/>
  <c r="AA112"/>
  <c r="AA118" s="1"/>
  <c r="AA146"/>
  <c r="AA145"/>
  <c r="W135"/>
  <c r="W136"/>
  <c r="AB18"/>
  <c r="AC20"/>
  <c r="AB90"/>
  <c r="AB27"/>
  <c r="X15"/>
  <c r="X154" s="1"/>
  <c r="X13"/>
  <c r="X12"/>
  <c r="X16"/>
  <c r="X162" s="1"/>
  <c r="X163" s="1"/>
  <c r="X10"/>
  <c r="X7"/>
  <c r="X6"/>
  <c r="AF51"/>
  <c r="AB25"/>
  <c r="AB129" s="1"/>
  <c r="AA105"/>
  <c r="X55"/>
  <c r="X130" s="1"/>
  <c r="W107"/>
  <c r="W106"/>
  <c r="AD21"/>
  <c r="X201"/>
  <c r="I207"/>
  <c r="P207"/>
  <c r="R207"/>
  <c r="C16" i="15"/>
  <c r="C21"/>
  <c r="C10"/>
  <c r="X131" i="18" l="1"/>
  <c r="X132"/>
  <c r="AB124"/>
  <c r="AB125"/>
  <c r="W226"/>
  <c r="W227" s="1"/>
  <c r="W224"/>
  <c r="W221"/>
  <c r="W222" s="1"/>
  <c r="W219"/>
  <c r="X211"/>
  <c r="X225"/>
  <c r="X220"/>
  <c r="AB109"/>
  <c r="AB147"/>
  <c r="X114"/>
  <c r="X120" s="1"/>
  <c r="X68"/>
  <c r="X110" s="1"/>
  <c r="W239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V239" s="1"/>
  <c r="AF113"/>
  <c r="AE119"/>
  <c r="AF119" s="1"/>
  <c r="W237"/>
  <c r="X237" s="1"/>
  <c r="Y237" s="1"/>
  <c r="Z237" s="1"/>
  <c r="AA237" s="1"/>
  <c r="AB237" s="1"/>
  <c r="AC237" s="1"/>
  <c r="AD237" s="1"/>
  <c r="AE237" s="1"/>
  <c r="AF237" s="1"/>
  <c r="X134"/>
  <c r="AB156"/>
  <c r="AB166"/>
  <c r="AB157"/>
  <c r="AB167"/>
  <c r="AE23"/>
  <c r="AD116"/>
  <c r="AD122" s="1"/>
  <c r="X115"/>
  <c r="X121" s="1"/>
  <c r="X155"/>
  <c r="X160"/>
  <c r="X159"/>
  <c r="X108"/>
  <c r="AB151"/>
  <c r="AB150"/>
  <c r="AB149"/>
  <c r="AB137"/>
  <c r="AB112"/>
  <c r="AB118" s="1"/>
  <c r="AB146"/>
  <c r="AB145"/>
  <c r="X135"/>
  <c r="X136"/>
  <c r="AC18"/>
  <c r="AD20"/>
  <c r="AC90"/>
  <c r="AC27"/>
  <c r="Y13"/>
  <c r="Y12"/>
  <c r="Y15"/>
  <c r="Y154" s="1"/>
  <c r="Y10"/>
  <c r="Y16"/>
  <c r="Y162" s="1"/>
  <c r="Y163" s="1"/>
  <c r="Y6"/>
  <c r="Y7"/>
  <c r="Y55"/>
  <c r="Y130" s="1"/>
  <c r="X107"/>
  <c r="X106"/>
  <c r="AC25"/>
  <c r="AC129" s="1"/>
  <c r="AB105"/>
  <c r="AE21"/>
  <c r="AH21" s="1"/>
  <c r="Y201"/>
  <c r="D31" i="8"/>
  <c r="D29"/>
  <c r="D28"/>
  <c r="D13"/>
  <c r="D30" s="1"/>
  <c r="E14"/>
  <c r="F14" s="1"/>
  <c r="G14" s="1"/>
  <c r="H14" s="1"/>
  <c r="I14" s="1"/>
  <c r="Y132" i="18" l="1"/>
  <c r="Y131"/>
  <c r="AC124"/>
  <c r="AC125"/>
  <c r="X221"/>
  <c r="X222" s="1"/>
  <c r="X219"/>
  <c r="X226"/>
  <c r="X227" s="1"/>
  <c r="X224"/>
  <c r="Y211"/>
  <c r="Y220"/>
  <c r="Y225"/>
  <c r="AC109"/>
  <c r="AC147"/>
  <c r="Y114"/>
  <c r="Y120" s="1"/>
  <c r="Y68"/>
  <c r="Y110" s="1"/>
  <c r="W236"/>
  <c r="X236" s="1"/>
  <c r="Y236" s="1"/>
  <c r="Z236" s="1"/>
  <c r="AA236" s="1"/>
  <c r="AB236" s="1"/>
  <c r="AC236" s="1"/>
  <c r="AD236" s="1"/>
  <c r="AE236" s="1"/>
  <c r="AF236" s="1"/>
  <c r="AG237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AV237" s="1"/>
  <c r="Y134"/>
  <c r="AC156"/>
  <c r="AC166"/>
  <c r="AC157"/>
  <c r="AC167"/>
  <c r="AH23"/>
  <c r="AE116"/>
  <c r="AF23"/>
  <c r="Y108"/>
  <c r="Y159"/>
  <c r="Y160"/>
  <c r="Y115"/>
  <c r="Y121" s="1"/>
  <c r="Y155"/>
  <c r="AC151"/>
  <c r="AC150"/>
  <c r="AC149"/>
  <c r="AC137"/>
  <c r="AC112"/>
  <c r="AC118" s="1"/>
  <c r="AC146"/>
  <c r="AC145"/>
  <c r="Y136"/>
  <c r="Y135"/>
  <c r="AD18"/>
  <c r="AE20"/>
  <c r="AD90"/>
  <c r="AD27"/>
  <c r="Z12"/>
  <c r="Z15"/>
  <c r="Z154" s="1"/>
  <c r="Z13"/>
  <c r="Z16"/>
  <c r="Z162" s="1"/>
  <c r="Z163" s="1"/>
  <c r="Z10"/>
  <c r="Z7"/>
  <c r="Z6"/>
  <c r="AD25"/>
  <c r="AC105"/>
  <c r="Z55"/>
  <c r="Z130" s="1"/>
  <c r="Y106"/>
  <c r="Y107"/>
  <c r="AF21"/>
  <c r="Z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25" i="18" l="1"/>
  <c r="AD129"/>
  <c r="Z132"/>
  <c r="Z131"/>
  <c r="AD147"/>
  <c r="AD124"/>
  <c r="Y226"/>
  <c r="Y227" s="1"/>
  <c r="Y224"/>
  <c r="Y221"/>
  <c r="Y222" s="1"/>
  <c r="Y219"/>
  <c r="Z211"/>
  <c r="Z225"/>
  <c r="Z220"/>
  <c r="Z114"/>
  <c r="Z120" s="1"/>
  <c r="Z68"/>
  <c r="Z110" s="1"/>
  <c r="AG236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V236" s="1"/>
  <c r="AF116"/>
  <c r="AE122"/>
  <c r="AF122" s="1"/>
  <c r="Z134"/>
  <c r="AD156"/>
  <c r="AD166"/>
  <c r="AD157"/>
  <c r="AD167"/>
  <c r="AH20"/>
  <c r="AD109"/>
  <c r="Z160"/>
  <c r="Z159"/>
  <c r="Z115"/>
  <c r="Z121" s="1"/>
  <c r="Z155"/>
  <c r="Z108"/>
  <c r="AD150"/>
  <c r="AD149"/>
  <c r="AD151"/>
  <c r="AD137"/>
  <c r="AD112"/>
  <c r="AD118" s="1"/>
  <c r="AD146"/>
  <c r="AD145"/>
  <c r="Z136"/>
  <c r="Z135"/>
  <c r="AE18"/>
  <c r="AF20"/>
  <c r="AE90"/>
  <c r="AE27"/>
  <c r="AE167" s="1"/>
  <c r="AF167" s="1"/>
  <c r="AA15"/>
  <c r="AA154" s="1"/>
  <c r="AA13"/>
  <c r="AA12"/>
  <c r="AA10"/>
  <c r="AA16"/>
  <c r="AA162" s="1"/>
  <c r="AA163" s="1"/>
  <c r="AA6"/>
  <c r="AA7"/>
  <c r="AA55"/>
  <c r="AA130" s="1"/>
  <c r="Z107"/>
  <c r="Z106"/>
  <c r="AE25"/>
  <c r="AE129" s="1"/>
  <c r="AF129" s="1"/>
  <c r="AD105"/>
  <c r="AA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A132" i="18" l="1"/>
  <c r="AA131"/>
  <c r="AE124"/>
  <c r="AF124" s="1"/>
  <c r="AE125"/>
  <c r="AF125" s="1"/>
  <c r="Z221"/>
  <c r="Z222" s="1"/>
  <c r="Z219"/>
  <c r="Z226"/>
  <c r="Z227" s="1"/>
  <c r="Z224"/>
  <c r="AA211"/>
  <c r="AA225"/>
  <c r="AA220"/>
  <c r="AE109"/>
  <c r="AF109" s="1"/>
  <c r="AE147"/>
  <c r="AF147" s="1"/>
  <c r="AA114"/>
  <c r="AA120" s="1"/>
  <c r="AA68"/>
  <c r="AA110" s="1"/>
  <c r="AA134"/>
  <c r="AE156"/>
  <c r="AF156" s="1"/>
  <c r="AE166"/>
  <c r="AF166" s="1"/>
  <c r="AA115"/>
  <c r="AA121" s="1"/>
  <c r="AA155"/>
  <c r="AA160"/>
  <c r="AA159"/>
  <c r="AH27"/>
  <c r="AE157"/>
  <c r="AF157" s="1"/>
  <c r="AA108"/>
  <c r="AE149"/>
  <c r="AF149" s="1"/>
  <c r="AE151"/>
  <c r="AF151" s="1"/>
  <c r="AE150"/>
  <c r="AF150" s="1"/>
  <c r="N32" i="9"/>
  <c r="N33" s="1"/>
  <c r="N34" s="1"/>
  <c r="N35" s="1"/>
  <c r="N36" s="1"/>
  <c r="N37" s="1"/>
  <c r="N38" s="1"/>
  <c r="N39" s="1"/>
  <c r="N40" s="1"/>
  <c r="N41" s="1"/>
  <c r="N42" s="1"/>
  <c r="M45"/>
  <c r="AE137" i="18"/>
  <c r="AF137" s="1"/>
  <c r="AE112"/>
  <c r="AE146"/>
  <c r="AF146" s="1"/>
  <c r="AE145"/>
  <c r="AF145" s="1"/>
  <c r="AA136"/>
  <c r="AA135"/>
  <c r="AH25"/>
  <c r="AH18"/>
  <c r="AF18"/>
  <c r="V190"/>
  <c r="AH90"/>
  <c r="AF90"/>
  <c r="M32" i="9"/>
  <c r="M33" s="1"/>
  <c r="M34" s="1"/>
  <c r="M35" s="1"/>
  <c r="M36" s="1"/>
  <c r="M37" s="1"/>
  <c r="M38" s="1"/>
  <c r="M39" s="1"/>
  <c r="M40" s="1"/>
  <c r="M41" s="1"/>
  <c r="P32"/>
  <c r="AF27" i="18"/>
  <c r="AB12"/>
  <c r="AB15"/>
  <c r="AB154" s="1"/>
  <c r="AB13"/>
  <c r="AB10"/>
  <c r="AB16"/>
  <c r="AB162" s="1"/>
  <c r="AB163" s="1"/>
  <c r="AB7"/>
  <c r="AB6"/>
  <c r="AF25"/>
  <c r="AE105"/>
  <c r="AF105" s="1"/>
  <c r="AB55"/>
  <c r="AB130" s="1"/>
  <c r="AA107"/>
  <c r="AA106"/>
  <c r="O31" i="9"/>
  <c r="O32" s="1"/>
  <c r="AB201" i="18"/>
  <c r="P31" i="11"/>
  <c r="N32"/>
  <c r="T19" i="9"/>
  <c r="D22"/>
  <c r="AB131" i="18" l="1"/>
  <c r="AB132"/>
  <c r="AA221"/>
  <c r="AA222" s="1"/>
  <c r="AA219"/>
  <c r="AA226"/>
  <c r="AA227" s="1"/>
  <c r="AA224"/>
  <c r="AB211"/>
  <c r="AB220"/>
  <c r="AB225"/>
  <c r="AB114"/>
  <c r="AB120" s="1"/>
  <c r="AB68"/>
  <c r="AB110" s="1"/>
  <c r="AF112"/>
  <c r="AE118"/>
  <c r="AF118" s="1"/>
  <c r="AB134"/>
  <c r="AB160"/>
  <c r="AB159"/>
  <c r="AB115"/>
  <c r="AB121" s="1"/>
  <c r="AB155"/>
  <c r="AB108"/>
  <c r="AB135"/>
  <c r="AB136"/>
  <c r="W190"/>
  <c r="U190" s="1"/>
  <c r="AC13"/>
  <c r="AC12"/>
  <c r="AC15"/>
  <c r="AC154" s="1"/>
  <c r="AC10"/>
  <c r="AC16"/>
  <c r="AC162" s="1"/>
  <c r="AC163" s="1"/>
  <c r="AC6"/>
  <c r="AC7"/>
  <c r="AC55"/>
  <c r="AC130" s="1"/>
  <c r="AB107"/>
  <c r="AB106"/>
  <c r="AC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C132" i="18" l="1"/>
  <c r="AC131"/>
  <c r="AB226"/>
  <c r="AB227" s="1"/>
  <c r="AB224"/>
  <c r="AB221"/>
  <c r="AB222" s="1"/>
  <c r="AB219"/>
  <c r="AC211"/>
  <c r="AC225"/>
  <c r="AC220"/>
  <c r="AC114"/>
  <c r="AC120" s="1"/>
  <c r="AC68"/>
  <c r="AC110" s="1"/>
  <c r="AC134"/>
  <c r="AC115"/>
  <c r="AC121" s="1"/>
  <c r="AC155"/>
  <c r="AC159"/>
  <c r="AC160"/>
  <c r="AC108"/>
  <c r="AC135"/>
  <c r="AC136"/>
  <c r="AD12"/>
  <c r="AD15"/>
  <c r="AD154" s="1"/>
  <c r="AD13"/>
  <c r="AD10"/>
  <c r="AD16"/>
  <c r="AD162" s="1"/>
  <c r="AD163" s="1"/>
  <c r="AD7"/>
  <c r="AD6"/>
  <c r="AD55"/>
  <c r="AD130" s="1"/>
  <c r="AC106"/>
  <c r="AC107"/>
  <c r="AD201"/>
  <c r="N34" i="11"/>
  <c r="O33"/>
  <c r="D25" i="8"/>
  <c r="D23"/>
  <c r="AD132" i="18" l="1"/>
  <c r="AD131"/>
  <c r="AC221"/>
  <c r="AC222" s="1"/>
  <c r="AC219"/>
  <c r="AC226"/>
  <c r="AC227" s="1"/>
  <c r="AC224"/>
  <c r="AD211"/>
  <c r="AD225"/>
  <c r="AD220"/>
  <c r="AD114"/>
  <c r="AD120" s="1"/>
  <c r="AD68"/>
  <c r="AD110" s="1"/>
  <c r="AD134"/>
  <c r="AD108"/>
  <c r="AD159"/>
  <c r="AD160"/>
  <c r="AD115"/>
  <c r="AD121" s="1"/>
  <c r="AD155"/>
  <c r="AD135"/>
  <c r="AD136"/>
  <c r="AE15"/>
  <c r="AE13"/>
  <c r="AH13" s="1"/>
  <c r="AE12"/>
  <c r="AE155" s="1"/>
  <c r="AF155" s="1"/>
  <c r="AE10"/>
  <c r="AE16"/>
  <c r="AE6"/>
  <c r="AH6" s="1"/>
  <c r="AE7"/>
  <c r="AH7" s="1"/>
  <c r="AE55"/>
  <c r="AE130" s="1"/>
  <c r="AF130" s="1"/>
  <c r="AD107"/>
  <c r="AD106"/>
  <c r="AE201"/>
  <c r="N35" i="11"/>
  <c r="O34"/>
  <c r="D35" i="8"/>
  <c r="E5"/>
  <c r="E18" s="1"/>
  <c r="D18"/>
  <c r="D19"/>
  <c r="D21"/>
  <c r="D20"/>
  <c r="AE132" i="18" l="1"/>
  <c r="AF132" s="1"/>
  <c r="AE131"/>
  <c r="AF131" s="1"/>
  <c r="AD221"/>
  <c r="AD222" s="1"/>
  <c r="AD219"/>
  <c r="AD226"/>
  <c r="AD227" s="1"/>
  <c r="AD224"/>
  <c r="AE211"/>
  <c r="AF211" s="1"/>
  <c r="AH211" s="1"/>
  <c r="AH227" s="1"/>
  <c r="AE225"/>
  <c r="AE224" s="1"/>
  <c r="AF224" s="1"/>
  <c r="AE220"/>
  <c r="AE219" s="1"/>
  <c r="AF219" s="1"/>
  <c r="AE114"/>
  <c r="AE120" s="1"/>
  <c r="AF120" s="1"/>
  <c r="AE68"/>
  <c r="AE134"/>
  <c r="AF134" s="1"/>
  <c r="AH16"/>
  <c r="AE162"/>
  <c r="AE160"/>
  <c r="AF160" s="1"/>
  <c r="AE159"/>
  <c r="AF159" s="1"/>
  <c r="AH15"/>
  <c r="AE154"/>
  <c r="AF154" s="1"/>
  <c r="AE108"/>
  <c r="AF108" s="1"/>
  <c r="AH10"/>
  <c r="AH12"/>
  <c r="AE115"/>
  <c r="AH55"/>
  <c r="AE135"/>
  <c r="AF135" s="1"/>
  <c r="AE136"/>
  <c r="AF136" s="1"/>
  <c r="AF15"/>
  <c r="AF13"/>
  <c r="V184"/>
  <c r="AF12"/>
  <c r="AF10"/>
  <c r="AF16"/>
  <c r="AF7"/>
  <c r="AF6"/>
  <c r="AE107"/>
  <c r="AF107" s="1"/>
  <c r="AE106"/>
  <c r="AF106" s="1"/>
  <c r="AF55"/>
  <c r="AF201"/>
  <c r="AH201" s="1"/>
  <c r="N36" i="11"/>
  <c r="O35"/>
  <c r="F5" i="8"/>
  <c r="G5" s="1"/>
  <c r="H5" s="1"/>
  <c r="I5" s="1"/>
  <c r="AE221" i="18" l="1"/>
  <c r="AF220"/>
  <c r="AF225"/>
  <c r="AE226"/>
  <c r="AF68"/>
  <c r="AH68"/>
  <c r="AF114"/>
  <c r="AE110"/>
  <c r="AF110" s="1"/>
  <c r="AF115"/>
  <c r="AE121"/>
  <c r="AF121" s="1"/>
  <c r="AF162"/>
  <c r="AE163"/>
  <c r="AF163" s="1"/>
  <c r="W184"/>
  <c r="W185" s="1"/>
  <c r="V185"/>
  <c r="S233" s="1"/>
  <c r="N37" i="11"/>
  <c r="O36"/>
  <c r="F18" i="8"/>
  <c r="G18"/>
  <c r="AF221" i="18" l="1"/>
  <c r="AE222"/>
  <c r="AF222" s="1"/>
  <c r="AE227"/>
  <c r="AF227" s="1"/>
  <c r="AF226"/>
  <c r="U184"/>
  <c r="U185"/>
  <c r="N38" i="11"/>
  <c r="O37"/>
  <c r="H18" i="8"/>
  <c r="O233" i="18" l="1"/>
  <c r="R233"/>
  <c r="N39" i="11"/>
  <c r="O38"/>
  <c r="I18" i="8"/>
  <c r="N40" i="11" l="1"/>
  <c r="O39"/>
  <c r="N41" l="1"/>
  <c r="O40"/>
  <c r="N42" l="1"/>
  <c r="O41"/>
  <c r="V212" i="18"/>
  <c r="V93"/>
  <c r="V74"/>
  <c r="V79"/>
  <c r="V100"/>
  <c r="V102"/>
  <c r="V95"/>
  <c r="V92"/>
  <c r="V78"/>
  <c r="V73"/>
  <c r="V67"/>
  <c r="V85"/>
  <c r="V99"/>
  <c r="V83"/>
  <c r="V76"/>
  <c r="V94"/>
  <c r="V96"/>
  <c r="V80"/>
  <c r="V209" s="1"/>
  <c r="V66"/>
  <c r="V202" s="1"/>
  <c r="V71"/>
  <c r="V205" s="1"/>
  <c r="V86"/>
  <c r="V208" s="1"/>
  <c r="V98"/>
  <c r="V164" s="1"/>
  <c r="V70"/>
  <c r="V204" s="1"/>
  <c r="V82"/>
  <c r="V139"/>
  <c r="V140" s="1"/>
  <c r="V72"/>
  <c r="V214" s="1"/>
  <c r="V75"/>
  <c r="V206" s="1"/>
  <c r="W57"/>
  <c r="V84" l="1"/>
  <c r="V207" s="1"/>
  <c r="W76"/>
  <c r="W99"/>
  <c r="W83"/>
  <c r="W95"/>
  <c r="W79"/>
  <c r="W78"/>
  <c r="W212"/>
  <c r="W94"/>
  <c r="W74"/>
  <c r="W98"/>
  <c r="W164" s="1"/>
  <c r="W86"/>
  <c r="W208" s="1"/>
  <c r="W70"/>
  <c r="W204" s="1"/>
  <c r="W139"/>
  <c r="W140" s="1"/>
  <c r="W92"/>
  <c r="W73"/>
  <c r="W102"/>
  <c r="W85"/>
  <c r="W100"/>
  <c r="W93"/>
  <c r="W96"/>
  <c r="W67"/>
  <c r="W75"/>
  <c r="W206" s="1"/>
  <c r="W66"/>
  <c r="W202" s="1"/>
  <c r="W80"/>
  <c r="W209" s="1"/>
  <c r="W71"/>
  <c r="W205" s="1"/>
  <c r="W72"/>
  <c r="W214" s="1"/>
  <c r="X57"/>
  <c r="W82"/>
  <c r="V141"/>
  <c r="V142" s="1"/>
  <c r="V143"/>
  <c r="V203"/>
  <c r="W84" l="1"/>
  <c r="W207" s="1"/>
  <c r="V216"/>
  <c r="V217" s="1"/>
  <c r="V215"/>
  <c r="X93"/>
  <c r="X70"/>
  <c r="X204" s="1"/>
  <c r="X94"/>
  <c r="X95"/>
  <c r="X99"/>
  <c r="X79"/>
  <c r="X76"/>
  <c r="X102"/>
  <c r="X85"/>
  <c r="X83"/>
  <c r="X66"/>
  <c r="X202" s="1"/>
  <c r="X75"/>
  <c r="X206" s="1"/>
  <c r="X71"/>
  <c r="X205" s="1"/>
  <c r="X74"/>
  <c r="X73"/>
  <c r="X92"/>
  <c r="X96"/>
  <c r="X67"/>
  <c r="X80"/>
  <c r="X209" s="1"/>
  <c r="X100"/>
  <c r="X78"/>
  <c r="X212"/>
  <c r="X98"/>
  <c r="X164" s="1"/>
  <c r="X86"/>
  <c r="X208" s="1"/>
  <c r="X82"/>
  <c r="X139"/>
  <c r="X140" s="1"/>
  <c r="X72"/>
  <c r="X214" s="1"/>
  <c r="Y57"/>
  <c r="W203"/>
  <c r="W143"/>
  <c r="W141"/>
  <c r="W142" s="1"/>
  <c r="W216" l="1"/>
  <c r="W217" s="1"/>
  <c r="W215"/>
  <c r="Y93"/>
  <c r="Y212"/>
  <c r="Y67"/>
  <c r="Y94"/>
  <c r="Y79"/>
  <c r="Y74"/>
  <c r="Y78"/>
  <c r="Y92"/>
  <c r="Y98"/>
  <c r="Y164" s="1"/>
  <c r="Y70"/>
  <c r="Y204" s="1"/>
  <c r="Y71"/>
  <c r="Y205" s="1"/>
  <c r="Y86"/>
  <c r="Y208" s="1"/>
  <c r="Y102"/>
  <c r="Y73"/>
  <c r="Y96"/>
  <c r="Y100"/>
  <c r="Y99"/>
  <c r="Y76"/>
  <c r="Y95"/>
  <c r="Y85"/>
  <c r="Y83"/>
  <c r="Y80"/>
  <c r="Y209" s="1"/>
  <c r="Y66"/>
  <c r="Y202" s="1"/>
  <c r="Y139"/>
  <c r="Y140" s="1"/>
  <c r="Y72"/>
  <c r="Y214" s="1"/>
  <c r="Y75"/>
  <c r="Y206" s="1"/>
  <c r="Z57"/>
  <c r="Y82"/>
  <c r="X203"/>
  <c r="X141"/>
  <c r="X142" s="1"/>
  <c r="X143"/>
  <c r="X84"/>
  <c r="X207" s="1"/>
  <c r="X216" l="1"/>
  <c r="X217" s="1"/>
  <c r="X215"/>
  <c r="Y203"/>
  <c r="Y84"/>
  <c r="Y207" s="1"/>
  <c r="Y143"/>
  <c r="Y141"/>
  <c r="Y142" s="1"/>
  <c r="Z73"/>
  <c r="Z94"/>
  <c r="Z83"/>
  <c r="Z93"/>
  <c r="Z92"/>
  <c r="Z78"/>
  <c r="Z67"/>
  <c r="Z76"/>
  <c r="Z75"/>
  <c r="Z206" s="1"/>
  <c r="Z66"/>
  <c r="Z202" s="1"/>
  <c r="Z98"/>
  <c r="Z164" s="1"/>
  <c r="Z212"/>
  <c r="Z96"/>
  <c r="Z74"/>
  <c r="Z102"/>
  <c r="Z95"/>
  <c r="Z79"/>
  <c r="Z85"/>
  <c r="Z99"/>
  <c r="Z100"/>
  <c r="Z70"/>
  <c r="Z204" s="1"/>
  <c r="Z71"/>
  <c r="Z205" s="1"/>
  <c r="Z86"/>
  <c r="Z208" s="1"/>
  <c r="Z80"/>
  <c r="Z209" s="1"/>
  <c r="Z82"/>
  <c r="Z72"/>
  <c r="Z214" s="1"/>
  <c r="Z139"/>
  <c r="Z140" s="1"/>
  <c r="AA57"/>
  <c r="Z84" l="1"/>
  <c r="Z207" s="1"/>
  <c r="Y216"/>
  <c r="Y217" s="1"/>
  <c r="Y215"/>
  <c r="AA73"/>
  <c r="AA76"/>
  <c r="AA78"/>
  <c r="AA67"/>
  <c r="AA80"/>
  <c r="AA209" s="1"/>
  <c r="AA92"/>
  <c r="AA85"/>
  <c r="AA93"/>
  <c r="AA83"/>
  <c r="AA71"/>
  <c r="AA205" s="1"/>
  <c r="AA66"/>
  <c r="AA202" s="1"/>
  <c r="AA75"/>
  <c r="AA206" s="1"/>
  <c r="AA95"/>
  <c r="AA94"/>
  <c r="AA74"/>
  <c r="AA100"/>
  <c r="AA86"/>
  <c r="AA208" s="1"/>
  <c r="AA102"/>
  <c r="AA212"/>
  <c r="AA99"/>
  <c r="AA96"/>
  <c r="AA79"/>
  <c r="AA98"/>
  <c r="AA164" s="1"/>
  <c r="AA70"/>
  <c r="AA204" s="1"/>
  <c r="AB57"/>
  <c r="AA139"/>
  <c r="AA140" s="1"/>
  <c r="AA82"/>
  <c r="AA72"/>
  <c r="AA214" s="1"/>
  <c r="Z141"/>
  <c r="Z142" s="1"/>
  <c r="Z143"/>
  <c r="Z203"/>
  <c r="Z216" l="1"/>
  <c r="Z217" s="1"/>
  <c r="Z215"/>
  <c r="AA84"/>
  <c r="AA207" s="1"/>
  <c r="AB92"/>
  <c r="AB79"/>
  <c r="AB212"/>
  <c r="AB78"/>
  <c r="AB80"/>
  <c r="AB209" s="1"/>
  <c r="AB95"/>
  <c r="AB67"/>
  <c r="AB83"/>
  <c r="AB100"/>
  <c r="AB98"/>
  <c r="AB164" s="1"/>
  <c r="AB66"/>
  <c r="AB202" s="1"/>
  <c r="AB99"/>
  <c r="AB74"/>
  <c r="AB76"/>
  <c r="AB96"/>
  <c r="AB86"/>
  <c r="AB208" s="1"/>
  <c r="AB73"/>
  <c r="AB102"/>
  <c r="AB94"/>
  <c r="AB93"/>
  <c r="AB85"/>
  <c r="AB70"/>
  <c r="AB204" s="1"/>
  <c r="AB71"/>
  <c r="AB205" s="1"/>
  <c r="AB75"/>
  <c r="AB206" s="1"/>
  <c r="AB139"/>
  <c r="AB140" s="1"/>
  <c r="AB72"/>
  <c r="AB214" s="1"/>
  <c r="AB82"/>
  <c r="AC57"/>
  <c r="AA203"/>
  <c r="AA141"/>
  <c r="AA142" s="1"/>
  <c r="AA143"/>
  <c r="AA216" l="1"/>
  <c r="AA217" s="1"/>
  <c r="AA215"/>
  <c r="AB84"/>
  <c r="AB207" s="1"/>
  <c r="AB143"/>
  <c r="AB141"/>
  <c r="AB142" s="1"/>
  <c r="AC92"/>
  <c r="AC94"/>
  <c r="AC76"/>
  <c r="AC96"/>
  <c r="AC66"/>
  <c r="AC202" s="1"/>
  <c r="AC74"/>
  <c r="AC83"/>
  <c r="AC100"/>
  <c r="AC95"/>
  <c r="AC70"/>
  <c r="AC204" s="1"/>
  <c r="AC80"/>
  <c r="AC209" s="1"/>
  <c r="AC85"/>
  <c r="AC79"/>
  <c r="AC212"/>
  <c r="AC99"/>
  <c r="AC102"/>
  <c r="AC93"/>
  <c r="AC67"/>
  <c r="AC73"/>
  <c r="AC78"/>
  <c r="AC71"/>
  <c r="AC205" s="1"/>
  <c r="AC86"/>
  <c r="AC208" s="1"/>
  <c r="AC98"/>
  <c r="AC164" s="1"/>
  <c r="AC75"/>
  <c r="AC206" s="1"/>
  <c r="AC139"/>
  <c r="AC140" s="1"/>
  <c r="AC82"/>
  <c r="AC72"/>
  <c r="AC214" s="1"/>
  <c r="AD57"/>
  <c r="AB203"/>
  <c r="AB216" l="1"/>
  <c r="AB217" s="1"/>
  <c r="AB215"/>
  <c r="AC203"/>
  <c r="AC84"/>
  <c r="AC207" s="1"/>
  <c r="AC141"/>
  <c r="AC142" s="1"/>
  <c r="AC143"/>
  <c r="AD79"/>
  <c r="AD92"/>
  <c r="AD83"/>
  <c r="AD73"/>
  <c r="AD98"/>
  <c r="AD164" s="1"/>
  <c r="AD100"/>
  <c r="AD93"/>
  <c r="AD99"/>
  <c r="AD76"/>
  <c r="AD66"/>
  <c r="AD202" s="1"/>
  <c r="AD86"/>
  <c r="AD208" s="1"/>
  <c r="AD96"/>
  <c r="AD71"/>
  <c r="AD205" s="1"/>
  <c r="AD102"/>
  <c r="AD94"/>
  <c r="AD95"/>
  <c r="AD85"/>
  <c r="AD78"/>
  <c r="AD67"/>
  <c r="AD212"/>
  <c r="AD74"/>
  <c r="AD70"/>
  <c r="AD204" s="1"/>
  <c r="AD80"/>
  <c r="AD209" s="1"/>
  <c r="AD75"/>
  <c r="AD206" s="1"/>
  <c r="AD139"/>
  <c r="AD140" s="1"/>
  <c r="AD72"/>
  <c r="AD214" s="1"/>
  <c r="AE57"/>
  <c r="AD82"/>
  <c r="AC216" l="1"/>
  <c r="AC217" s="1"/>
  <c r="AC215"/>
  <c r="AD84"/>
  <c r="AD207" s="1"/>
  <c r="AD203"/>
  <c r="AE212"/>
  <c r="AE99"/>
  <c r="AE100"/>
  <c r="AE67"/>
  <c r="AF57"/>
  <c r="AE73"/>
  <c r="AH57"/>
  <c r="AE102"/>
  <c r="AE98"/>
  <c r="AE70"/>
  <c r="AE66"/>
  <c r="AE71"/>
  <c r="AE75"/>
  <c r="AE85"/>
  <c r="AE72"/>
  <c r="AE214" s="1"/>
  <c r="AE86"/>
  <c r="AE93"/>
  <c r="AE95"/>
  <c r="AE80"/>
  <c r="AE82"/>
  <c r="AE78"/>
  <c r="AE83"/>
  <c r="AE94"/>
  <c r="AE92"/>
  <c r="AE76"/>
  <c r="AE96"/>
  <c r="AE139"/>
  <c r="AE74"/>
  <c r="AE79"/>
  <c r="AD143"/>
  <c r="AD141"/>
  <c r="AD142" s="1"/>
  <c r="AD216" l="1"/>
  <c r="AD217" s="1"/>
  <c r="AD215"/>
  <c r="AE140"/>
  <c r="AF139"/>
  <c r="AF94"/>
  <c r="V194"/>
  <c r="AH94"/>
  <c r="W194" s="1"/>
  <c r="AH80"/>
  <c r="W179" s="1"/>
  <c r="AE209"/>
  <c r="AF80"/>
  <c r="V179"/>
  <c r="AF72"/>
  <c r="AH72"/>
  <c r="W171" s="1"/>
  <c r="V171"/>
  <c r="AE203"/>
  <c r="AE215" s="1"/>
  <c r="AF215" s="1"/>
  <c r="AH66"/>
  <c r="AF66"/>
  <c r="AE202"/>
  <c r="AF100"/>
  <c r="AH100"/>
  <c r="V198"/>
  <c r="AH96"/>
  <c r="W198" s="1"/>
  <c r="AF96"/>
  <c r="AH83"/>
  <c r="AF83"/>
  <c r="AH95"/>
  <c r="W195" s="1"/>
  <c r="AF95"/>
  <c r="V195"/>
  <c r="AF85"/>
  <c r="V181"/>
  <c r="AH85"/>
  <c r="W181" s="1"/>
  <c r="AF70"/>
  <c r="AH70"/>
  <c r="AE204"/>
  <c r="AF73"/>
  <c r="AH73"/>
  <c r="AH99"/>
  <c r="AF99"/>
  <c r="AF79"/>
  <c r="AH79"/>
  <c r="W178" s="1"/>
  <c r="V178"/>
  <c r="AF76"/>
  <c r="V174"/>
  <c r="AH76"/>
  <c r="W174" s="1"/>
  <c r="V177"/>
  <c r="AF78"/>
  <c r="AH78"/>
  <c r="W177" s="1"/>
  <c r="AF93"/>
  <c r="V193"/>
  <c r="AH93"/>
  <c r="W193" s="1"/>
  <c r="AF75"/>
  <c r="AH75"/>
  <c r="W173" s="1"/>
  <c r="AE206"/>
  <c r="V173"/>
  <c r="AH98"/>
  <c r="AF98"/>
  <c r="AE164"/>
  <c r="AF164" s="1"/>
  <c r="AF212"/>
  <c r="AH212" s="1"/>
  <c r="V172"/>
  <c r="AH74"/>
  <c r="W172" s="1"/>
  <c r="AF74"/>
  <c r="AF92"/>
  <c r="V192"/>
  <c r="AH92"/>
  <c r="W192" s="1"/>
  <c r="AF82"/>
  <c r="AH82"/>
  <c r="W175" s="1"/>
  <c r="V175"/>
  <c r="AE84"/>
  <c r="AF86"/>
  <c r="AE208"/>
  <c r="V182"/>
  <c r="AH86"/>
  <c r="W182" s="1"/>
  <c r="AF71"/>
  <c r="AH71"/>
  <c r="AE205"/>
  <c r="AF67"/>
  <c r="AH67"/>
  <c r="U175" l="1"/>
  <c r="W196"/>
  <c r="AF214"/>
  <c r="AH214" s="1"/>
  <c r="U192"/>
  <c r="U177"/>
  <c r="U173"/>
  <c r="U181"/>
  <c r="AH84"/>
  <c r="AE207"/>
  <c r="AF84"/>
  <c r="AF206"/>
  <c r="AH206" s="1"/>
  <c r="V196"/>
  <c r="U193"/>
  <c r="U178"/>
  <c r="S234"/>
  <c r="U198"/>
  <c r="AH226"/>
  <c r="U194"/>
  <c r="AF205"/>
  <c r="AH205" s="1"/>
  <c r="U182"/>
  <c r="S232"/>
  <c r="U172"/>
  <c r="U195"/>
  <c r="AF209"/>
  <c r="AH209" s="1"/>
  <c r="AF208"/>
  <c r="AH208" s="1"/>
  <c r="AH222" s="1"/>
  <c r="U174"/>
  <c r="AE216"/>
  <c r="AF203"/>
  <c r="AH203" s="1"/>
  <c r="AH216" s="1"/>
  <c r="AF204"/>
  <c r="AH204" s="1"/>
  <c r="AH217" s="1"/>
  <c r="AF202"/>
  <c r="AH202" s="1"/>
  <c r="AH215" s="1"/>
  <c r="U171"/>
  <c r="R235" s="1"/>
  <c r="R236" s="1"/>
  <c r="S235"/>
  <c r="S236" s="1"/>
  <c r="U179"/>
  <c r="S231"/>
  <c r="AE143"/>
  <c r="AF140"/>
  <c r="AE141"/>
  <c r="AH220" l="1"/>
  <c r="AH219"/>
  <c r="AF216"/>
  <c r="AE217"/>
  <c r="AF217" s="1"/>
  <c r="U196"/>
  <c r="AF141"/>
  <c r="AE142"/>
  <c r="AF142" s="1"/>
  <c r="R231"/>
  <c r="O231"/>
  <c r="O232"/>
  <c r="R232"/>
  <c r="O234"/>
  <c r="R234"/>
  <c r="AF207"/>
  <c r="AH207" s="1"/>
  <c r="AH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U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<sst xmlns="http://schemas.openxmlformats.org/spreadsheetml/2006/main" count="698" uniqueCount="496">
  <si>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</si>
  <si>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</si>
  <si>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</si>
  <si>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</si>
  <si>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</si>
  <si>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</si>
  <si>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</si>
  <si>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</si>
  <si>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</si>
  <si>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</si>
  <si>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</si>
  <si>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</si>
  <si>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</si>
  <si>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</si>
  <si>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</si>
  <si>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</si>
  <si>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</si>
  <si>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</si>
  <si>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</si>
  <si>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</si>
  <si>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</si>
  <si>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</si>
  <si>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</si>
  <si>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</si>
  <si>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</si>
  <si>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</si>
  <si>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</si>
  <si>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</si>
  <si>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</si>
  <si>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</si>
  <si>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</si>
  <si>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</si>
  <si>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</si>
  <si>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</si>
  <si>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</si>
  <si>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</si>
  <si>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</si>
  <si>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</si>
  <si>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</si>
  <si>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</si>
  <si>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</si>
  <si>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</si>
  <si>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</si>
  <si>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</si>
  <si>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</si>
  <si>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</si>
  <si>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</si>
  <si>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</si>
  <si>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</si>
  <si>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</si>
  <si>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</si>
  <si>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</si>
  <si>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</si>
  <si>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</si>
  <si>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</si>
  <si>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</si>
  <si>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</si>
  <si>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</si>
  <si>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</si>
  <si>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</si>
  <si>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</si>
  <si>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</si>
  <si>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</si>
  <si>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</si>
  <si>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</si>
  <si>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</si>
  <si>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</si>
  <si>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</si>
  <si>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</si>
  <si>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</si>
  <si>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</si>
  <si>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</si>
  <si>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</si>
  <si>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</si>
  <si>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</si>
  <si>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</si>
  <si>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</si>
  <si>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</si>
  <si>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</si>
  <si>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</si>
  <si>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</si>
  <si>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</si>
  <si>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</si>
  <si>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</si>
  <si>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</si>
  <si>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</si>
  <si>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</si>
  <si>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</si>
  <si>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</si>
  <si>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</si>
  <si>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</si>
  <si>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</si>
  <si>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</si>
  <si>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</si>
  <si>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</si>
  <si>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</si>
  <si>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</si>
  <si>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</si>
  <si>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</si>
  <si>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</si>
  <si>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</si>
  <si>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</si>
  <si>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</si>
  <si>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</si>
  <si>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</si>
  <si>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</si>
  <si>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</si>
  <si>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</si>
  <si>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</si>
  <si>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</si>
  <si>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</si>
  <si>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</si>
  <si>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</si>
  <si>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</si>
  <si>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</si>
  <si>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</si>
  <si>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</si>
  <si>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</si>
  <si>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</si>
  <si>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</si>
  <si>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</si>
  <si>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</si>
  <si>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</si>
  <si>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</si>
  <si>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</si>
  <si>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</si>
  <si>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</si>
  <si>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</si>
  <si>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</si>
  <si>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</si>
  <si>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</si>
  <si>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</si>
  <si>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</si>
  <si>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</si>
  <si>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</si>
  <si>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</si>
  <si>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</si>
  <si>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</si>
  <si>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</si>
  <si>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</si>
  <si>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</si>
  <si>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</si>
  <si>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</si>
  <si>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</si>
  <si>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</si>
  <si>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</si>
  <si>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</si>
  <si>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</si>
  <si>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</si>
  <si>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</si>
  <si>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</si>
  <si>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</si>
  <si>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</si>
  <si>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</si>
  <si>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</si>
  <si>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</si>
  <si>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</si>
  <si>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</si>
  <si>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</si>
  <si>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</si>
  <si>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</si>
  <si>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</si>
  <si>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</si>
  <si>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</si>
  <si>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</si>
  <si>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</si>
  <si>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</si>
  <si>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</si>
  <si>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</si>
  <si>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</si>
  <si>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</si>
  <si>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</si>
  <si>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</si>
  <si>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</si>
  <si>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</si>
  <si>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</si>
  <si>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</si>
  <si>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</si>
  <si>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</si>
  <si>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</si>
  <si>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</si>
  <si>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</si>
  <si>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</si>
  <si>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</si>
  <si>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</si>
  <si>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</si>
  <si>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</si>
  <si>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</si>
  <si>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</si>
  <si>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</si>
  <si>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</si>
  <si>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</si>
  <si>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</si>
  <si>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</si>
  <si>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</si>
  <si>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</si>
  <si>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</si>
  <si>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</si>
  <si>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</si>
  <si>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</si>
  <si>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</si>
  <si>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</si>
  <si>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</si>
  <si>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</si>
  <si>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</si>
  <si>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</si>
  <si>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</si>
  <si>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</si>
  <si>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</si>
  <si>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</si>
  <si>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</si>
  <si>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</si>
  <si>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</si>
  <si>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</si>
  <si>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</si>
  <si>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</si>
  <si>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</si>
  <si>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</si>
  <si>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</si>
  <si>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</si>
  <si>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</si>
  <si>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</si>
  <si>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</si>
  <si>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</si>
  <si>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</si>
  <si>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</si>
  <si>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</si>
  <si>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</si>
  <si>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</si>
  <si>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</si>
  <si>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</si>
  <si>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</si>
  <si>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</si>
  <si>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</si>
  <si>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</si>
  <si>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</si>
  <si>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</si>
  <si>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</si>
  <si>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</si>
  <si>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</si>
  <si>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</si>
  <si>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</si>
  <si>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</si>
  <si>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</si>
  <si>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</si>
  <si>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</si>
  <si>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</si>
  <si>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</si>
  <si>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</si>
  <si>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</si>
  <si>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</si>
  <si>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</si>
  <si>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</si>
  <si>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</si>
  <si>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</si>
  <si>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</si>
  <si>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</si>
  <si>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</si>
  <si>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</si>
  <si>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</si>
  <si>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</si>
  <si>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</si>
  <si>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</si>
  <si>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</si>
  <si>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</si>
  <si>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</si>
  <si>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</si>
  <si>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</si>
  <si>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</si>
  <si>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</si>
  <si>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</si>
  <si>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</si>
  <si>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</si>
  <si>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</si>
  <si>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</si>
  <si>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</si>
  <si>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</si>
  <si>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</si>
  <si>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</si>
  <si>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</si>
  <si>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</si>
  <si>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</si>
  <si>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</si>
  <si>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</si>
  <si>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</si>
  <si>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</si>
  <si>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</si>
  <si>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</si>
  <si>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</si>
  <si>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</si>
  <si>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</si>
  <si>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</si>
  <si>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</si>
  <si>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</si>
  <si>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</si>
  <si>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</si>
  <si>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</si>
  <si>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</si>
  <si>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</si>
  <si>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</si>
  <si>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</si>
  <si>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</si>
  <si>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</si>
  <si>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</si>
  <si>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</si>
  <si>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</si>
  <si>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</si>
  <si>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</si>
  <si>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</si>
  <si>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</si>
  <si>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</si>
  <si>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</si>
  <si>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</si>
  <si>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</si>
  <si>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</si>
  <si>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</si>
  <si>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</si>
  <si>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</si>
  <si>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</si>
  <si>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</si>
  <si>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</si>
  <si>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</si>
  <si>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</si>
  <si>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</si>
  <si>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</si>
  <si>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</si>
  <si>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</si>
  <si>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</si>
  <si>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</si>
  <si>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</si>
  <si>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</si>
  <si>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</si>
  <si>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</si>
  <si>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</si>
  <si>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</si>
  <si>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</si>
  <si>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</si>
  <si>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</si>
  <si>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</si>
  <si>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</si>
  <si>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</si>
  <si>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</si>
  <si>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</si>
  <si>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</si>
  <si>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</si>
  <si>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</si>
  <si>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</si>
  <si>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</si>
  <si>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</si>
  <si>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</si>
  <si>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</si>
  <si>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</si>
  <si>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</si>
  <si>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</si>
  <si>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</si>
  <si>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</si>
  <si>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</si>
  <si>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</si>
  <si>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</si>
  <si>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</si>
  <si>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</si>
  <si>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</si>
  <si>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</si>
  <si>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</si>
  <si>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</si>
  <si>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</si>
  <si>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</si>
  <si>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</si>
  <si>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</si>
  <si>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</si>
  <si>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</si>
  <si>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</si>
  <si>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</si>
  <si>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</si>
  <si>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</si>
  <si>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</si>
  <si>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</si>
  <si>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</si>
  <si>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</si>
  <si>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</si>
  <si>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</si>
  <si>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</si>
  <si>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</si>
  <si>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</si>
  <si>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</si>
  <si>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</si>
  <si>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</si>
  <si>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</si>
  <si>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</si>
  <si>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</si>
  <si>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</si>
  <si>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</si>
  <si>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</si>
  <si>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</si>
  <si>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</si>
  <si>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</si>
  <si>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</si>
  <si>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</si>
  <si>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</si>
  <si>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</si>
  <si>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</si>
  <si>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</si>
  <si>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</si>
  <si>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</si>
  <si>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</si>
  <si>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</si>
  <si>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</si>
  <si>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</si>
  <si>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</si>
  <si>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</si>
  <si>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</si>
  <si>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</si>
  <si>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</si>
  <si>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</si>
  <si>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</si>
  <si>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</si>
  <si>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</si>
  <si>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</si>
  <si>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</si>
  <si>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</si>
  <si>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</si>
  <si>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</si>
  <si>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</si>
  <si>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</si>
  <si>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</si>
  <si>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</si>
  <si>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</si>
  <si>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</si>
  <si>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</si>
  <si>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</si>
  <si>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</si>
  <si>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</si>
  <si>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</si>
  <si>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</si>
  <si>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</si>
  <si>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</si>
  <si>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</si>
  <si>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</si>
  <si>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</si>
  <si>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</si>
  <si>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</si>
  <si>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</si>
  <si>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</si>
  <si>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</si>
  <si>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</si>
  <si>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</si>
  <si>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</si>
  <si>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</si>
  <si>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</si>
  <si>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</si>
  <si>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</si>
  <si>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</si>
  <si>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</si>
  <si>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</si>
  <si>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</si>
  <si>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</si>
  <si>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</si>
  <si>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</si>
  <si>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</si>
  <si>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</si>
  <si>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</si>
  <si>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</si>
  <si>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</si>
  <si>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</si>
  <si>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</si>
  <si>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</si>
  <si>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</si>
  <si>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</si>
  <si>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</si>
  <si>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</si>
  <si>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</si>
  <si>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</si>
  <si>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</si>
  <si>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</si>
  <si>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</si>
  <si>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</si>
  <si>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</si>
  <si>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</si>
  <si>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</si>
  <si>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</si>
  <si>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</si>
  <si>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</si>
  <si>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</si>
  <si>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</si>
  <si>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</si>
  <si>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</si>
  <si>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</si>
  <si>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</si>
  <si>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</si>
  <si>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</si>
  <si>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</si>
  <si>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</si>
  <si>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</si>
  <si>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</si>
  <si>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</si>
  <si>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10x1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</si>
</sst>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107874944"/>
        <c:axId val="107876736"/>
      </c:lineChart>
      <c:catAx>
        <c:axId val="107874944"/>
        <c:scaling>
          <c:orientation val="minMax"/>
        </c:scaling>
        <c:axPos val="b"/>
        <c:tickLblPos val="nextTo"/>
        <c:crossAx val="107876736"/>
        <c:crosses val="autoZero"/>
        <c:auto val="1"/>
        <c:lblAlgn val="ctr"/>
        <c:lblOffset val="100"/>
      </c:catAx>
      <c:valAx>
        <c:axId val="107876736"/>
        <c:scaling>
          <c:orientation val="minMax"/>
        </c:scaling>
        <c:axPos val="l"/>
        <c:majorGridlines/>
        <c:numFmt formatCode="General" sourceLinked="1"/>
        <c:tickLblPos val="nextTo"/>
        <c:crossAx val="10787494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315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2"/>
  <sheetViews>
    <sheetView tabSelected="1" zoomScale="80" zoomScaleNormal="80" workbookViewId="0">
      <pane xSplit="2" ySplit="3" topLeftCell="G195" activePane="bottomRight" state="frozen"/>
      <selection pane="topRight" activeCell="C1" sqref="C1"/>
      <selection pane="bottomLeft" activeCell="A5" sqref="A5"/>
      <selection pane="bottomRight" activeCell="S202" sqref="S202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7" width="9.7109375" style="104" customWidth="1"/>
    <col min="8" max="8" width="13.42578125" style="104" bestFit="1" customWidth="1"/>
    <col min="9" max="9" width="13.5703125" style="104" bestFit="1" customWidth="1"/>
    <col min="10" max="10" width="11.28515625" style="104" bestFit="1" customWidth="1"/>
    <col min="11" max="18" width="12.28515625" style="104" bestFit="1" customWidth="1"/>
    <col min="19" max="19" width="10.7109375" style="104" customWidth="1"/>
    <col min="20" max="20" width="9.42578125" style="104" bestFit="1" customWidth="1"/>
    <col min="21" max="21" width="10.85546875" style="104" bestFit="1" customWidth="1"/>
    <col min="22" max="23" width="9.7109375" style="104" bestFit="1" customWidth="1"/>
    <col min="24" max="30" width="8" style="104" bestFit="1" customWidth="1"/>
    <col min="31" max="31" width="11.28515625" style="104" bestFit="1" customWidth="1"/>
    <col min="32" max="32" width="9.28515625" style="104" bestFit="1" customWidth="1"/>
    <col min="33" max="33" width="9" style="104" customWidth="1"/>
    <col min="34" max="34" width="10.7109375" style="104" customWidth="1"/>
    <col min="35" max="16384" width="9.140625" style="104"/>
  </cols>
  <sheetData>
    <row r="1" spans="2:34">
      <c r="B1" s="123" t="s">
        <v>241</v>
      </c>
      <c r="C1" s="124">
        <f>R2</f>
        <v>0.22</v>
      </c>
      <c r="H1" s="104" t="s">
        <v>252</v>
      </c>
      <c r="J1" s="126">
        <v>2004</v>
      </c>
      <c r="L1" s="104" t="s">
        <v>323</v>
      </c>
      <c r="N1" s="162">
        <v>0.05</v>
      </c>
      <c r="P1" s="104" t="s">
        <v>394</v>
      </c>
      <c r="R1" s="162">
        <v>0.05</v>
      </c>
    </row>
    <row r="2" spans="2:34">
      <c r="B2" s="151" t="s">
        <v>312</v>
      </c>
      <c r="C2" s="120"/>
      <c r="H2" s="104" t="s">
        <v>253</v>
      </c>
      <c r="J2" s="126">
        <v>2016</v>
      </c>
      <c r="L2" s="104" t="s">
        <v>324</v>
      </c>
      <c r="N2" s="162">
        <v>0.12</v>
      </c>
      <c r="P2" s="104" t="s">
        <v>462</v>
      </c>
      <c r="R2" s="162">
        <v>0.22</v>
      </c>
      <c r="V2" s="115" t="s">
        <v>11</v>
      </c>
      <c r="W2" s="115" t="s">
        <v>12</v>
      </c>
      <c r="X2" s="115" t="s">
        <v>13</v>
      </c>
      <c r="Y2" s="115" t="s">
        <v>14</v>
      </c>
      <c r="Z2" s="115" t="s">
        <v>15</v>
      </c>
      <c r="AA2" s="115" t="s">
        <v>234</v>
      </c>
      <c r="AB2" s="115" t="s">
        <v>235</v>
      </c>
      <c r="AC2" s="115" t="s">
        <v>236</v>
      </c>
      <c r="AD2" s="115" t="s">
        <v>237</v>
      </c>
      <c r="AE2" s="115" t="s">
        <v>238</v>
      </c>
      <c r="AG2" s="209" t="s">
        <v>290</v>
      </c>
      <c r="AH2" s="210"/>
    </row>
    <row r="3" spans="2:34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4">
        <v>2016</v>
      </c>
      <c r="T3" s="116" t="s">
        <v>1</v>
      </c>
      <c r="U3" s="116" t="s">
        <v>254</v>
      </c>
      <c r="V3" s="115">
        <v>2016</v>
      </c>
      <c r="W3" s="115">
        <v>2017</v>
      </c>
      <c r="X3" s="115">
        <v>2018</v>
      </c>
      <c r="Y3" s="115">
        <v>2019</v>
      </c>
      <c r="Z3" s="115">
        <v>2020</v>
      </c>
      <c r="AA3" s="115">
        <v>2021</v>
      </c>
      <c r="AB3" s="115">
        <v>2022</v>
      </c>
      <c r="AC3" s="115">
        <v>2023</v>
      </c>
      <c r="AD3" s="115">
        <v>2024</v>
      </c>
      <c r="AE3" s="115">
        <v>2025</v>
      </c>
      <c r="AF3" s="135" t="s">
        <v>1</v>
      </c>
      <c r="AG3" s="211" t="s">
        <v>291</v>
      </c>
      <c r="AH3" s="212"/>
    </row>
    <row r="4" spans="2:3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36"/>
      <c r="AG4" s="20"/>
      <c r="AH4" s="20"/>
    </row>
    <row r="5" spans="2:34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20"/>
      <c r="U5" s="20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36"/>
      <c r="AG5" s="20"/>
      <c r="AH5" s="152"/>
    </row>
    <row r="6" spans="2:34">
      <c r="B6" s="20" t="s">
        <v>16</v>
      </c>
      <c r="C6" s="140"/>
      <c r="D6" s="140"/>
      <c r="E6" s="146"/>
      <c r="F6" s="146"/>
      <c r="G6" s="146">
        <v>132</v>
      </c>
      <c r="H6" s="146">
        <v>145</v>
      </c>
      <c r="I6" s="146">
        <v>219</v>
      </c>
      <c r="J6" s="146">
        <v>287</v>
      </c>
      <c r="K6" s="146">
        <v>336</v>
      </c>
      <c r="L6" s="146">
        <v>398</v>
      </c>
      <c r="M6" s="146">
        <v>511</v>
      </c>
      <c r="N6" s="146">
        <v>622</v>
      </c>
      <c r="O6" s="146">
        <v>693</v>
      </c>
      <c r="P6" s="146">
        <v>805</v>
      </c>
      <c r="Q6" s="146">
        <v>1020</v>
      </c>
      <c r="R6" s="203">
        <v>1301</v>
      </c>
      <c r="S6" s="203">
        <v>1600</v>
      </c>
      <c r="T6" s="118">
        <f>((S6/G6)^(1/($J$2-$J$1) ))-1</f>
        <v>0.2311061597816142</v>
      </c>
      <c r="U6" s="31">
        <f>$N$2</f>
        <v>0.12</v>
      </c>
      <c r="V6" s="152">
        <f>S6*(1+$U6)</f>
        <v>1792.0000000000002</v>
      </c>
      <c r="W6" s="152">
        <f>V6*(1+$U6)</f>
        <v>2007.0400000000004</v>
      </c>
      <c r="X6" s="152">
        <f t="shared" ref="X6:AE6" si="0">W6*(1+$U6)</f>
        <v>2247.8848000000007</v>
      </c>
      <c r="Y6" s="152">
        <f t="shared" si="0"/>
        <v>2517.6309760000008</v>
      </c>
      <c r="Z6" s="152">
        <f t="shared" si="0"/>
        <v>2819.7466931200011</v>
      </c>
      <c r="AA6" s="152">
        <f t="shared" si="0"/>
        <v>3158.1162962944013</v>
      </c>
      <c r="AB6" s="152">
        <f t="shared" si="0"/>
        <v>3537.0902518497296</v>
      </c>
      <c r="AC6" s="152">
        <f t="shared" si="0"/>
        <v>3961.5410820716975</v>
      </c>
      <c r="AD6" s="152">
        <f t="shared" si="0"/>
        <v>4436.9260119203018</v>
      </c>
      <c r="AE6" s="152">
        <f t="shared" si="0"/>
        <v>4969.3571333507389</v>
      </c>
      <c r="AF6" s="137">
        <f>((AE6/I6)^(1/($AE$3-$J$1) ))-1</f>
        <v>0.16028472788286741</v>
      </c>
      <c r="AG6" s="31">
        <f>$N$1</f>
        <v>0.05</v>
      </c>
      <c r="AH6" s="145">
        <f t="shared" ref="AH6:AH59" si="1">(AE6*(1+AG6))/($C$1-AG6)</f>
        <v>30693.088176578098</v>
      </c>
    </row>
    <row r="7" spans="2:34">
      <c r="B7" s="20" t="s">
        <v>240</v>
      </c>
      <c r="C7" s="140"/>
      <c r="D7" s="140"/>
      <c r="E7" s="146"/>
      <c r="F7" s="146"/>
      <c r="G7" s="146">
        <v>150</v>
      </c>
      <c r="H7" s="146">
        <v>178</v>
      </c>
      <c r="I7" s="146">
        <v>266</v>
      </c>
      <c r="J7" s="146">
        <v>311</v>
      </c>
      <c r="K7" s="146">
        <v>361</v>
      </c>
      <c r="L7" s="146">
        <v>422</v>
      </c>
      <c r="M7" s="146">
        <v>535</v>
      </c>
      <c r="N7" s="146">
        <v>6447</v>
      </c>
      <c r="O7" s="146">
        <v>717</v>
      </c>
      <c r="P7" s="146">
        <v>829</v>
      </c>
      <c r="Q7" s="146">
        <v>1043</v>
      </c>
      <c r="R7" s="203">
        <v>1324</v>
      </c>
      <c r="S7" s="203">
        <v>1624</v>
      </c>
      <c r="T7" s="118">
        <f>((S7/G7)^(1/($J$2-$J$1) ))-1</f>
        <v>0.21957327001907467</v>
      </c>
      <c r="U7" s="31">
        <f>$N$2</f>
        <v>0.12</v>
      </c>
      <c r="V7" s="152">
        <f t="shared" ref="V7:V59" si="2">S7*(1+$U7)</f>
        <v>1818.88</v>
      </c>
      <c r="W7" s="152">
        <f t="shared" ref="W7:AE7" si="3">V7*(1+$U7)</f>
        <v>2037.1456000000003</v>
      </c>
      <c r="X7" s="152">
        <f t="shared" si="3"/>
        <v>2281.6030720000003</v>
      </c>
      <c r="Y7" s="152">
        <f t="shared" si="3"/>
        <v>2555.3954406400007</v>
      </c>
      <c r="Z7" s="152">
        <f t="shared" si="3"/>
        <v>2862.0428935168011</v>
      </c>
      <c r="AA7" s="152">
        <f t="shared" si="3"/>
        <v>3205.4880407388177</v>
      </c>
      <c r="AB7" s="152">
        <f t="shared" si="3"/>
        <v>3590.1466056274762</v>
      </c>
      <c r="AC7" s="152">
        <f t="shared" si="3"/>
        <v>4020.9641983027736</v>
      </c>
      <c r="AD7" s="152">
        <f t="shared" si="3"/>
        <v>4503.4799020991068</v>
      </c>
      <c r="AE7" s="152">
        <f t="shared" si="3"/>
        <v>5043.8974903509998</v>
      </c>
      <c r="AF7" s="137">
        <f>((AE7/I7)^(1/($AE$3-$J$1) ))-1</f>
        <v>0.15040735148116546</v>
      </c>
      <c r="AG7" s="31">
        <f>$N$1</f>
        <v>0.05</v>
      </c>
      <c r="AH7" s="145">
        <f t="shared" si="1"/>
        <v>31153.484499226768</v>
      </c>
    </row>
    <row r="8" spans="2:34">
      <c r="B8" s="20"/>
      <c r="C8" s="140"/>
      <c r="D8" s="140"/>
      <c r="E8" s="146"/>
      <c r="F8" s="146"/>
      <c r="G8" s="149" t="e">
        <f t="shared" ref="G8:Q8" si="4">(G7-F7)/F7</f>
        <v>#DIV/0!</v>
      </c>
      <c r="H8" s="149">
        <f t="shared" si="4"/>
        <v>0.18666666666666668</v>
      </c>
      <c r="I8" s="149">
        <f t="shared" si="4"/>
        <v>0.4943820224719101</v>
      </c>
      <c r="J8" s="149">
        <f t="shared" si="4"/>
        <v>0.16917293233082706</v>
      </c>
      <c r="K8" s="149">
        <f t="shared" si="4"/>
        <v>0.16077170418006431</v>
      </c>
      <c r="L8" s="149">
        <f t="shared" si="4"/>
        <v>0.16897506925207756</v>
      </c>
      <c r="M8" s="149">
        <f t="shared" si="4"/>
        <v>0.26777251184834122</v>
      </c>
      <c r="N8" s="149">
        <f t="shared" si="4"/>
        <v>11.050467289719625</v>
      </c>
      <c r="O8" s="149">
        <f t="shared" si="4"/>
        <v>-0.88878548161935789</v>
      </c>
      <c r="P8" s="149">
        <f t="shared" si="4"/>
        <v>0.15620641562064155</v>
      </c>
      <c r="Q8" s="149">
        <f t="shared" si="4"/>
        <v>0.25814234016887816</v>
      </c>
      <c r="R8" s="149">
        <f t="shared" ref="R8:S8" si="5">(R7-Q7)/Q7</f>
        <v>0.2694151486097795</v>
      </c>
      <c r="S8" s="149">
        <f t="shared" si="5"/>
        <v>0.22658610271903323</v>
      </c>
      <c r="T8" s="128"/>
      <c r="U8" s="20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36"/>
      <c r="AG8" s="136"/>
      <c r="AH8" s="145"/>
    </row>
    <row r="9" spans="2:34">
      <c r="B9" s="20" t="s">
        <v>269</v>
      </c>
      <c r="C9" s="140"/>
      <c r="D9" s="140"/>
      <c r="E9" s="146"/>
      <c r="F9" s="146"/>
      <c r="G9" s="146">
        <v>19</v>
      </c>
      <c r="H9" s="146">
        <v>43</v>
      </c>
      <c r="I9" s="146">
        <v>29</v>
      </c>
      <c r="J9" s="146">
        <v>182</v>
      </c>
      <c r="K9" s="146">
        <v>189</v>
      </c>
      <c r="L9" s="146">
        <v>144</v>
      </c>
      <c r="M9" s="146">
        <v>205</v>
      </c>
      <c r="N9" s="146">
        <v>314</v>
      </c>
      <c r="O9" s="146">
        <v>401</v>
      </c>
      <c r="P9" s="146">
        <v>318</v>
      </c>
      <c r="Q9" s="146">
        <v>317</v>
      </c>
      <c r="R9" s="203">
        <v>410.79</v>
      </c>
      <c r="S9" s="203">
        <f t="shared" ref="S7:S34" si="6">R9</f>
        <v>410.79</v>
      </c>
      <c r="T9" s="118">
        <f>((S9/G9)^(1/($J$2-$J$1) ))-1</f>
        <v>0.29192961930411898</v>
      </c>
      <c r="U9" s="31">
        <f t="shared" ref="U9:U55" si="7">$N$2</f>
        <v>0.12</v>
      </c>
      <c r="V9" s="152">
        <f t="shared" si="2"/>
        <v>460.08480000000009</v>
      </c>
      <c r="W9" s="152">
        <f t="shared" ref="W9" si="8">V9*(1+$U9)</f>
        <v>515.29497600000013</v>
      </c>
      <c r="X9" s="152">
        <f t="shared" ref="X9" si="9">W9*(1+$U9)</f>
        <v>577.13037312000017</v>
      </c>
      <c r="Y9" s="152">
        <f t="shared" ref="Y9" si="10">X9*(1+$U9)</f>
        <v>646.38601789440031</v>
      </c>
      <c r="Z9" s="152">
        <f t="shared" ref="Z9" si="11">Y9*(1+$U9)</f>
        <v>723.95234004172846</v>
      </c>
      <c r="AA9" s="152">
        <f t="shared" ref="AA9" si="12">Z9*(1+$U9)</f>
        <v>810.82662084673598</v>
      </c>
      <c r="AB9" s="152">
        <f t="shared" ref="AB9" si="13">AA9*(1+$U9)</f>
        <v>908.12581534834442</v>
      </c>
      <c r="AC9" s="152">
        <f t="shared" ref="AC9" si="14">AB9*(1+$U9)</f>
        <v>1017.1009131901459</v>
      </c>
      <c r="AD9" s="152">
        <f t="shared" ref="AD9" si="15">AC9*(1+$U9)</f>
        <v>1139.1530227729636</v>
      </c>
      <c r="AE9" s="152">
        <f t="shared" ref="AE9" si="16">AD9*(1+$U9)</f>
        <v>1275.8513855057192</v>
      </c>
      <c r="AF9" s="137">
        <f>((AE9/I9)^(1/($AE$3-$J$1) ))-1</f>
        <v>0.19744959781438465</v>
      </c>
      <c r="AG9" s="31">
        <f t="shared" ref="AG9:AG99" si="17">$N$1</f>
        <v>0.05</v>
      </c>
      <c r="AH9" s="145">
        <f t="shared" si="1"/>
        <v>7880.258557535326</v>
      </c>
    </row>
    <row r="10" spans="2:34">
      <c r="B10" s="20" t="s">
        <v>4</v>
      </c>
      <c r="C10" s="140"/>
      <c r="D10" s="140"/>
      <c r="E10" s="146"/>
      <c r="F10" s="146"/>
      <c r="G10" s="146">
        <v>172</v>
      </c>
      <c r="H10" s="146">
        <v>296</v>
      </c>
      <c r="I10" s="146">
        <v>452</v>
      </c>
      <c r="J10" s="146">
        <v>487</v>
      </c>
      <c r="K10" s="146">
        <v>772</v>
      </c>
      <c r="L10" s="146">
        <v>600</v>
      </c>
      <c r="M10" s="146">
        <v>604</v>
      </c>
      <c r="N10" s="146">
        <v>900</v>
      </c>
      <c r="O10" s="146">
        <v>875</v>
      </c>
      <c r="P10" s="146">
        <v>835</v>
      </c>
      <c r="Q10" s="146">
        <v>1315</v>
      </c>
      <c r="R10" s="203">
        <v>1281.45</v>
      </c>
      <c r="S10" s="203">
        <f t="shared" si="6"/>
        <v>1281.45</v>
      </c>
      <c r="T10" s="118">
        <f>((S10/G10)^(1/($J$2-$J$1) ))-1</f>
        <v>0.18217317801422306</v>
      </c>
      <c r="U10" s="31">
        <f t="shared" si="7"/>
        <v>0.12</v>
      </c>
      <c r="V10" s="152">
        <f t="shared" si="2"/>
        <v>1435.2240000000002</v>
      </c>
      <c r="W10" s="152">
        <f t="shared" ref="W10:AE10" si="18">V10*(1+$U10)</f>
        <v>1607.4508800000003</v>
      </c>
      <c r="X10" s="152">
        <f t="shared" si="18"/>
        <v>1800.3449856000004</v>
      </c>
      <c r="Y10" s="152">
        <f t="shared" si="18"/>
        <v>2016.3863838720006</v>
      </c>
      <c r="Z10" s="152">
        <f t="shared" si="18"/>
        <v>2258.352749936641</v>
      </c>
      <c r="AA10" s="152">
        <f t="shared" si="18"/>
        <v>2529.3550799290383</v>
      </c>
      <c r="AB10" s="152">
        <f t="shared" si="18"/>
        <v>2832.8776895205233</v>
      </c>
      <c r="AC10" s="152">
        <f t="shared" si="18"/>
        <v>3172.8230122629866</v>
      </c>
      <c r="AD10" s="152">
        <f t="shared" si="18"/>
        <v>3553.5617737345451</v>
      </c>
      <c r="AE10" s="152">
        <f t="shared" si="18"/>
        <v>3979.9891865826908</v>
      </c>
      <c r="AF10" s="137">
        <f t="shared" ref="AF10:AF57" si="19">((AE10/I10)^(1/($AE$3-$J$1) ))-1</f>
        <v>0.10914361559734753</v>
      </c>
      <c r="AG10" s="31">
        <f t="shared" si="17"/>
        <v>0.05</v>
      </c>
      <c r="AH10" s="145">
        <f t="shared" si="1"/>
        <v>24582.286152422505</v>
      </c>
    </row>
    <row r="11" spans="2:34">
      <c r="B11" s="20"/>
      <c r="C11" s="140"/>
      <c r="D11" s="140"/>
      <c r="E11" s="146"/>
      <c r="F11" s="146"/>
      <c r="G11" s="149" t="e">
        <f t="shared" ref="G11:Q11" si="20">(G10-F10)/F10</f>
        <v>#DIV/0!</v>
      </c>
      <c r="H11" s="149">
        <f t="shared" si="20"/>
        <v>0.72093023255813948</v>
      </c>
      <c r="I11" s="149">
        <f t="shared" si="20"/>
        <v>0.52702702702702697</v>
      </c>
      <c r="J11" s="149">
        <f t="shared" si="20"/>
        <v>7.7433628318584066E-2</v>
      </c>
      <c r="K11" s="149">
        <f t="shared" si="20"/>
        <v>0.58521560574948661</v>
      </c>
      <c r="L11" s="149">
        <f t="shared" si="20"/>
        <v>-0.22279792746113988</v>
      </c>
      <c r="M11" s="149">
        <f t="shared" si="20"/>
        <v>6.6666666666666671E-3</v>
      </c>
      <c r="N11" s="149">
        <f t="shared" si="20"/>
        <v>0.49006622516556292</v>
      </c>
      <c r="O11" s="149">
        <f t="shared" si="20"/>
        <v>-2.7777777777777776E-2</v>
      </c>
      <c r="P11" s="149">
        <f t="shared" si="20"/>
        <v>-4.5714285714285714E-2</v>
      </c>
      <c r="Q11" s="149">
        <f t="shared" si="20"/>
        <v>0.57485029940119758</v>
      </c>
      <c r="R11" s="149">
        <f t="shared" ref="R11:S11" si="21">(R10-Q10)/Q10</f>
        <v>-2.5513307984790842E-2</v>
      </c>
      <c r="S11" s="149">
        <f t="shared" si="21"/>
        <v>0</v>
      </c>
      <c r="T11" s="128"/>
      <c r="U11" s="20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19"/>
      <c r="AG11" s="31">
        <f t="shared" si="17"/>
        <v>0.05</v>
      </c>
      <c r="AH11" s="152"/>
    </row>
    <row r="12" spans="2:34">
      <c r="B12" s="20" t="s">
        <v>2</v>
      </c>
      <c r="C12" s="140"/>
      <c r="D12" s="140"/>
      <c r="E12" s="146"/>
      <c r="F12" s="146"/>
      <c r="G12" s="146">
        <f>13+7</f>
        <v>20</v>
      </c>
      <c r="H12" s="146">
        <f>10+3</f>
        <v>13</v>
      </c>
      <c r="I12" s="146">
        <v>66</v>
      </c>
      <c r="J12" s="146">
        <v>38</v>
      </c>
      <c r="K12" s="146">
        <f>29+17</f>
        <v>46</v>
      </c>
      <c r="L12" s="146">
        <f>11+22</f>
        <v>33</v>
      </c>
      <c r="M12" s="146">
        <v>44</v>
      </c>
      <c r="N12" s="146">
        <v>5.3</v>
      </c>
      <c r="O12" s="146">
        <v>17</v>
      </c>
      <c r="P12" s="146">
        <v>13</v>
      </c>
      <c r="Q12" s="146">
        <v>66</v>
      </c>
      <c r="R12" s="203">
        <v>24.34</v>
      </c>
      <c r="S12" s="203">
        <f t="shared" si="6"/>
        <v>24.34</v>
      </c>
      <c r="T12" s="118">
        <f>((S12/G12)^(1/($J$2-$J$1) ))-1</f>
        <v>1.6500386691092439E-2</v>
      </c>
      <c r="U12" s="31">
        <f t="shared" si="7"/>
        <v>0.12</v>
      </c>
      <c r="V12" s="152">
        <f t="shared" si="2"/>
        <v>27.260800000000003</v>
      </c>
      <c r="W12" s="152">
        <f t="shared" ref="W12:AE12" si="22">V12*(1+$U12)</f>
        <v>30.532096000000006</v>
      </c>
      <c r="X12" s="152">
        <f t="shared" si="22"/>
        <v>34.195947520000011</v>
      </c>
      <c r="Y12" s="152">
        <f t="shared" si="22"/>
        <v>38.299461222400019</v>
      </c>
      <c r="Z12" s="152">
        <f t="shared" si="22"/>
        <v>42.895396569088028</v>
      </c>
      <c r="AA12" s="152">
        <f t="shared" si="22"/>
        <v>48.042844157378596</v>
      </c>
      <c r="AB12" s="152">
        <f t="shared" si="22"/>
        <v>53.807985456264035</v>
      </c>
      <c r="AC12" s="152">
        <f t="shared" si="22"/>
        <v>60.264943711015725</v>
      </c>
      <c r="AD12" s="152">
        <f t="shared" si="22"/>
        <v>67.496736956337614</v>
      </c>
      <c r="AE12" s="152">
        <f t="shared" si="22"/>
        <v>75.59634539109814</v>
      </c>
      <c r="AF12" s="137">
        <f t="shared" si="19"/>
        <v>6.4853776047739675E-3</v>
      </c>
      <c r="AG12" s="31">
        <f t="shared" si="17"/>
        <v>0.05</v>
      </c>
      <c r="AH12" s="145">
        <f t="shared" si="1"/>
        <v>466.91860388619449</v>
      </c>
    </row>
    <row r="13" spans="2:34">
      <c r="B13" s="20" t="s">
        <v>218</v>
      </c>
      <c r="C13" s="140"/>
      <c r="D13" s="140"/>
      <c r="E13" s="146"/>
      <c r="F13" s="146"/>
      <c r="G13" s="146">
        <v>0.01</v>
      </c>
      <c r="H13" s="146">
        <v>0.01</v>
      </c>
      <c r="I13" s="146">
        <v>0.01</v>
      </c>
      <c r="J13" s="146">
        <v>9</v>
      </c>
      <c r="K13" s="146">
        <v>0.35</v>
      </c>
      <c r="L13" s="146">
        <v>0.2</v>
      </c>
      <c r="M13" s="146">
        <v>0.35</v>
      </c>
      <c r="N13" s="146">
        <v>9</v>
      </c>
      <c r="O13" s="146">
        <v>7</v>
      </c>
      <c r="P13" s="146">
        <v>6</v>
      </c>
      <c r="Q13" s="146">
        <v>6.3</v>
      </c>
      <c r="R13" s="203">
        <v>6.59</v>
      </c>
      <c r="S13" s="203">
        <f t="shared" si="6"/>
        <v>6.59</v>
      </c>
      <c r="T13" s="118">
        <f t="shared" ref="T13:T59" si="23">((S13/G13)^(1/($J$2-$J$1) ))-1</f>
        <v>0.71754101913156854</v>
      </c>
      <c r="U13" s="31">
        <f t="shared" si="7"/>
        <v>0.12</v>
      </c>
      <c r="V13" s="152">
        <f t="shared" si="2"/>
        <v>7.3808000000000007</v>
      </c>
      <c r="W13" s="152">
        <f t="shared" ref="W13:AE13" si="24">V13*(1+$U13)</f>
        <v>8.2664960000000018</v>
      </c>
      <c r="X13" s="152">
        <f t="shared" si="24"/>
        <v>9.2584755200000028</v>
      </c>
      <c r="Y13" s="152">
        <f t="shared" si="24"/>
        <v>10.369492582400005</v>
      </c>
      <c r="Z13" s="152">
        <f t="shared" si="24"/>
        <v>11.613831692288006</v>
      </c>
      <c r="AA13" s="152">
        <f t="shared" si="24"/>
        <v>13.007491495362567</v>
      </c>
      <c r="AB13" s="152">
        <f t="shared" si="24"/>
        <v>14.568390474806076</v>
      </c>
      <c r="AC13" s="152">
        <f t="shared" si="24"/>
        <v>16.316597331782805</v>
      </c>
      <c r="AD13" s="152">
        <f t="shared" si="24"/>
        <v>18.274589011596746</v>
      </c>
      <c r="AE13" s="152">
        <f t="shared" si="24"/>
        <v>20.467539692988357</v>
      </c>
      <c r="AF13" s="137">
        <f t="shared" si="19"/>
        <v>0.43770503087696255</v>
      </c>
      <c r="AG13" s="31">
        <f t="shared" si="17"/>
        <v>0.05</v>
      </c>
      <c r="AH13" s="145">
        <f t="shared" si="1"/>
        <v>126.41715692728106</v>
      </c>
    </row>
    <row r="14" spans="2:34">
      <c r="B14" s="20" t="s">
        <v>369</v>
      </c>
      <c r="C14" s="140"/>
      <c r="D14" s="140"/>
      <c r="E14" s="146"/>
      <c r="F14" s="146"/>
      <c r="G14" s="146">
        <v>184</v>
      </c>
      <c r="H14" s="146">
        <v>304</v>
      </c>
      <c r="I14" s="146">
        <v>377</v>
      </c>
      <c r="J14" s="146">
        <v>581</v>
      </c>
      <c r="K14" s="146">
        <v>834</v>
      </c>
      <c r="L14" s="146">
        <v>788</v>
      </c>
      <c r="M14" s="146">
        <v>781</v>
      </c>
      <c r="N14" s="146">
        <v>1208</v>
      </c>
      <c r="O14" s="146">
        <v>1237</v>
      </c>
      <c r="P14" s="146">
        <v>1260</v>
      </c>
      <c r="Q14" s="146">
        <v>1690</v>
      </c>
      <c r="R14" s="203">
        <v>1859.67</v>
      </c>
      <c r="S14" s="203">
        <f t="shared" si="6"/>
        <v>1859.67</v>
      </c>
      <c r="T14" s="118">
        <f t="shared" si="23"/>
        <v>0.21260169745291457</v>
      </c>
      <c r="U14" s="31">
        <f t="shared" si="7"/>
        <v>0.12</v>
      </c>
      <c r="V14" s="152">
        <f t="shared" si="2"/>
        <v>2082.8304000000003</v>
      </c>
      <c r="W14" s="152">
        <f t="shared" ref="W14" si="25">V14*(1+$U14)</f>
        <v>2332.7700480000003</v>
      </c>
      <c r="X14" s="152">
        <f t="shared" ref="X14" si="26">W14*(1+$U14)</f>
        <v>2612.7024537600005</v>
      </c>
      <c r="Y14" s="152">
        <f t="shared" ref="Y14" si="27">X14*(1+$U14)</f>
        <v>2926.2267482112006</v>
      </c>
      <c r="Z14" s="152">
        <f t="shared" ref="Z14" si="28">Y14*(1+$U14)</f>
        <v>3277.373957996545</v>
      </c>
      <c r="AA14" s="152">
        <f t="shared" ref="AA14" si="29">Z14*(1+$U14)</f>
        <v>3670.6588329561305</v>
      </c>
      <c r="AB14" s="152">
        <f t="shared" ref="AB14" si="30">AA14*(1+$U14)</f>
        <v>4111.1378929108669</v>
      </c>
      <c r="AC14" s="152">
        <f t="shared" ref="AC14" si="31">AB14*(1+$U14)</f>
        <v>4604.4744400601712</v>
      </c>
      <c r="AD14" s="152">
        <f t="shared" ref="AD14" si="32">AC14*(1+$U14)</f>
        <v>5157.0113728673923</v>
      </c>
      <c r="AE14" s="152">
        <f t="shared" ref="AE14" si="33">AD14*(1+$U14)</f>
        <v>5775.8527376114798</v>
      </c>
      <c r="AF14" s="137">
        <f t="shared" ref="AF14" si="34">((AE14/I14)^(1/($AE$3-$J$1) ))-1</f>
        <v>0.13878478315114418</v>
      </c>
      <c r="AG14" s="31">
        <f t="shared" si="17"/>
        <v>0.05</v>
      </c>
      <c r="AH14" s="145">
        <f t="shared" ref="AH14" si="35">(AE14*(1+AG14))/($C$1-AG14)</f>
        <v>35674.384555835612</v>
      </c>
    </row>
    <row r="15" spans="2:34">
      <c r="B15" s="20" t="s">
        <v>19</v>
      </c>
      <c r="C15" s="140"/>
      <c r="D15" s="140"/>
      <c r="E15" s="146"/>
      <c r="F15" s="146"/>
      <c r="G15" s="146">
        <v>234</v>
      </c>
      <c r="H15" s="146">
        <v>401</v>
      </c>
      <c r="I15" s="146">
        <v>524</v>
      </c>
      <c r="J15" s="146">
        <v>709</v>
      </c>
      <c r="K15" s="146">
        <v>1044</v>
      </c>
      <c r="L15" s="146">
        <v>869</v>
      </c>
      <c r="M15" s="146">
        <v>958</v>
      </c>
      <c r="N15" s="146">
        <v>1361</v>
      </c>
      <c r="O15" s="146">
        <v>1483</v>
      </c>
      <c r="P15" s="146">
        <v>1468</v>
      </c>
      <c r="Q15" s="146">
        <v>2043</v>
      </c>
      <c r="R15" s="203">
        <v>2223.9899999999998</v>
      </c>
      <c r="S15" s="203">
        <f t="shared" si="6"/>
        <v>2223.9899999999998</v>
      </c>
      <c r="T15" s="118">
        <f t="shared" si="23"/>
        <v>0.20640486827025084</v>
      </c>
      <c r="U15" s="31">
        <f t="shared" si="7"/>
        <v>0.12</v>
      </c>
      <c r="V15" s="152">
        <f t="shared" si="2"/>
        <v>2490.8688000000002</v>
      </c>
      <c r="W15" s="152">
        <f t="shared" ref="W15:AE15" si="36">V15*(1+$U15)</f>
        <v>2789.7730560000005</v>
      </c>
      <c r="X15" s="152">
        <f t="shared" si="36"/>
        <v>3124.5458227200006</v>
      </c>
      <c r="Y15" s="152">
        <f t="shared" si="36"/>
        <v>3499.4913214464009</v>
      </c>
      <c r="Z15" s="152">
        <f t="shared" si="36"/>
        <v>3919.4302800199694</v>
      </c>
      <c r="AA15" s="152">
        <f t="shared" si="36"/>
        <v>4389.7619136223657</v>
      </c>
      <c r="AB15" s="152">
        <f t="shared" si="36"/>
        <v>4916.5333432570496</v>
      </c>
      <c r="AC15" s="152">
        <f t="shared" si="36"/>
        <v>5506.517344447896</v>
      </c>
      <c r="AD15" s="152">
        <f t="shared" si="36"/>
        <v>6167.2994257816445</v>
      </c>
      <c r="AE15" s="152">
        <f t="shared" si="36"/>
        <v>6907.3753568754428</v>
      </c>
      <c r="AF15" s="137">
        <f t="shared" si="19"/>
        <v>0.13066113789322942</v>
      </c>
      <c r="AG15" s="31">
        <f t="shared" si="17"/>
        <v>0.05</v>
      </c>
      <c r="AH15" s="145">
        <f t="shared" si="1"/>
        <v>42663.20073364245</v>
      </c>
    </row>
    <row r="16" spans="2:34">
      <c r="B16" s="20" t="s">
        <v>23</v>
      </c>
      <c r="C16" s="140"/>
      <c r="D16" s="140"/>
      <c r="E16" s="146"/>
      <c r="F16" s="146"/>
      <c r="G16" s="146">
        <v>239</v>
      </c>
      <c r="H16" s="146">
        <v>366</v>
      </c>
      <c r="I16" s="146">
        <v>571</v>
      </c>
      <c r="J16" s="146">
        <v>551</v>
      </c>
      <c r="K16" s="146">
        <v>898</v>
      </c>
      <c r="L16" s="146">
        <v>772</v>
      </c>
      <c r="M16" s="146">
        <v>786</v>
      </c>
      <c r="N16" s="146">
        <v>1133</v>
      </c>
      <c r="O16" s="146">
        <v>1160</v>
      </c>
      <c r="P16" s="146">
        <v>1202</v>
      </c>
      <c r="Q16" s="146">
        <v>1777</v>
      </c>
      <c r="R16" s="203">
        <v>1847.21</v>
      </c>
      <c r="S16" s="203">
        <f t="shared" si="6"/>
        <v>1847.21</v>
      </c>
      <c r="T16" s="118">
        <f t="shared" si="23"/>
        <v>0.18579568094871468</v>
      </c>
      <c r="U16" s="31">
        <f t="shared" si="7"/>
        <v>0.12</v>
      </c>
      <c r="V16" s="152">
        <f t="shared" si="2"/>
        <v>2068.8752000000004</v>
      </c>
      <c r="W16" s="152">
        <f t="shared" ref="W16:AE16" si="37">V16*(1+$U16)</f>
        <v>2317.1402240000007</v>
      </c>
      <c r="X16" s="152">
        <f t="shared" si="37"/>
        <v>2595.1970508800009</v>
      </c>
      <c r="Y16" s="152">
        <f t="shared" si="37"/>
        <v>2906.6206969856012</v>
      </c>
      <c r="Z16" s="152">
        <f t="shared" si="37"/>
        <v>3255.4151806238738</v>
      </c>
      <c r="AA16" s="152">
        <f t="shared" si="37"/>
        <v>3646.0650022987388</v>
      </c>
      <c r="AB16" s="152">
        <f t="shared" si="37"/>
        <v>4083.5928025745879</v>
      </c>
      <c r="AC16" s="152">
        <f t="shared" si="37"/>
        <v>4573.6239388835393</v>
      </c>
      <c r="AD16" s="152">
        <f t="shared" si="37"/>
        <v>5122.4588115495644</v>
      </c>
      <c r="AE16" s="152">
        <f t="shared" si="37"/>
        <v>5737.1538689355129</v>
      </c>
      <c r="AF16" s="137">
        <f t="shared" si="19"/>
        <v>0.11613611629248788</v>
      </c>
      <c r="AG16" s="31">
        <f t="shared" si="17"/>
        <v>0.05</v>
      </c>
      <c r="AH16" s="145">
        <f t="shared" si="1"/>
        <v>35435.36213166052</v>
      </c>
    </row>
    <row r="17" spans="2:34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>
        <f t="shared" si="6"/>
        <v>0</v>
      </c>
      <c r="T17" s="128"/>
      <c r="U17" s="20"/>
      <c r="V17" s="152">
        <f t="shared" si="2"/>
        <v>0</v>
      </c>
      <c r="W17" s="152"/>
      <c r="X17" s="152"/>
      <c r="Y17" s="152"/>
      <c r="Z17" s="152"/>
      <c r="AA17" s="152"/>
      <c r="AB17" s="152"/>
      <c r="AC17" s="152"/>
      <c r="AD17" s="152"/>
      <c r="AE17" s="152"/>
      <c r="AF17" s="138"/>
      <c r="AG17" s="136"/>
      <c r="AH17" s="152"/>
    </row>
    <row r="18" spans="2:34">
      <c r="B18" s="20" t="s">
        <v>277</v>
      </c>
      <c r="C18" s="140"/>
      <c r="D18" s="140"/>
      <c r="E18" s="146"/>
      <c r="F18" s="146"/>
      <c r="G18" s="146">
        <v>63</v>
      </c>
      <c r="H18" s="146">
        <v>89</v>
      </c>
      <c r="I18" s="146">
        <v>117</v>
      </c>
      <c r="J18" s="146">
        <v>213</v>
      </c>
      <c r="K18" s="146">
        <v>227</v>
      </c>
      <c r="L18" s="146">
        <v>217</v>
      </c>
      <c r="M18" s="146">
        <v>318</v>
      </c>
      <c r="N18" s="146">
        <v>385</v>
      </c>
      <c r="O18" s="146">
        <v>418</v>
      </c>
      <c r="P18" s="146">
        <v>442</v>
      </c>
      <c r="Q18" s="146">
        <v>562</v>
      </c>
      <c r="R18" s="203">
        <v>639</v>
      </c>
      <c r="S18" s="203">
        <f t="shared" si="6"/>
        <v>639</v>
      </c>
      <c r="T18" s="118">
        <f t="shared" si="23"/>
        <v>0.21296059516683985</v>
      </c>
      <c r="U18" s="31">
        <f t="shared" si="7"/>
        <v>0.12</v>
      </c>
      <c r="V18" s="152">
        <f t="shared" si="2"/>
        <v>715.68000000000006</v>
      </c>
      <c r="W18" s="152">
        <f t="shared" ref="W18:W34" si="38">V18*(1+$U18)</f>
        <v>801.56160000000011</v>
      </c>
      <c r="X18" s="152">
        <f t="shared" ref="X18:X34" si="39">W18*(1+$U18)</f>
        <v>897.74899200000016</v>
      </c>
      <c r="Y18" s="152">
        <f t="shared" ref="Y18:Y34" si="40">X18*(1+$U18)</f>
        <v>1005.4788710400003</v>
      </c>
      <c r="Z18" s="152">
        <f t="shared" ref="Z18:Z51" si="41">Y18*(1+$U18)</f>
        <v>1126.1363355648004</v>
      </c>
      <c r="AA18" s="152">
        <f t="shared" ref="AA18:AA51" si="42">Z18*(1+$U18)</f>
        <v>1261.2726958325766</v>
      </c>
      <c r="AB18" s="152">
        <f t="shared" ref="AB18:AB51" si="43">AA18*(1+$U18)</f>
        <v>1412.625419332486</v>
      </c>
      <c r="AC18" s="152">
        <f t="shared" ref="AC18:AC51" si="44">AB18*(1+$U18)</f>
        <v>1582.1404696523844</v>
      </c>
      <c r="AD18" s="152">
        <f t="shared" ref="AD18:AD51" si="45">AC18*(1+$U18)</f>
        <v>1771.9973260106706</v>
      </c>
      <c r="AE18" s="152">
        <f t="shared" ref="AE18:AE51" si="46">AD18*(1+$U18)</f>
        <v>1984.6370051319511</v>
      </c>
      <c r="AF18" s="137">
        <f t="shared" si="19"/>
        <v>0.14431974476592879</v>
      </c>
      <c r="AG18" s="31">
        <f t="shared" si="17"/>
        <v>0.05</v>
      </c>
      <c r="AH18" s="145">
        <f t="shared" si="1"/>
        <v>12258.052090520876</v>
      </c>
    </row>
    <row r="19" spans="2:34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>
        <f t="shared" si="6"/>
        <v>0</v>
      </c>
      <c r="T19" s="128"/>
      <c r="U19" s="20"/>
      <c r="V19" s="152">
        <f t="shared" si="2"/>
        <v>0</v>
      </c>
      <c r="W19" s="152"/>
      <c r="X19" s="152"/>
      <c r="Y19" s="152"/>
      <c r="Z19" s="152"/>
      <c r="AA19" s="152"/>
      <c r="AB19" s="152"/>
      <c r="AC19" s="152"/>
      <c r="AD19" s="152"/>
      <c r="AE19" s="152"/>
      <c r="AF19" s="138"/>
      <c r="AG19" s="136"/>
      <c r="AH19" s="152"/>
    </row>
    <row r="20" spans="2:34">
      <c r="B20" s="20" t="s">
        <v>283</v>
      </c>
      <c r="C20" s="140"/>
      <c r="D20" s="140"/>
      <c r="E20" s="146"/>
      <c r="F20" s="146"/>
      <c r="G20" s="146">
        <v>-8</v>
      </c>
      <c r="H20" s="146">
        <v>-95</v>
      </c>
      <c r="I20" s="146">
        <v>-140</v>
      </c>
      <c r="J20" s="146">
        <v>163</v>
      </c>
      <c r="K20" s="146">
        <v>-214</v>
      </c>
      <c r="L20" s="146">
        <v>282</v>
      </c>
      <c r="M20" s="146">
        <v>171</v>
      </c>
      <c r="N20" s="146">
        <v>-151</v>
      </c>
      <c r="O20" s="146">
        <v>141</v>
      </c>
      <c r="P20" s="146">
        <v>170</v>
      </c>
      <c r="Q20" s="146">
        <v>-207</v>
      </c>
      <c r="R20" s="203">
        <v>0</v>
      </c>
      <c r="S20" s="203">
        <f t="shared" si="6"/>
        <v>0</v>
      </c>
      <c r="T20" s="118">
        <f t="shared" si="23"/>
        <v>-1</v>
      </c>
      <c r="U20" s="31">
        <f t="shared" si="7"/>
        <v>0.12</v>
      </c>
      <c r="V20" s="152">
        <f t="shared" si="2"/>
        <v>0</v>
      </c>
      <c r="W20" s="152">
        <f t="shared" ref="W20:W22" si="47">V20*(1+$U20)</f>
        <v>0</v>
      </c>
      <c r="X20" s="152">
        <f t="shared" ref="X20:X22" si="48">W20*(1+$U20)</f>
        <v>0</v>
      </c>
      <c r="Y20" s="152">
        <f t="shared" ref="Y20:Y22" si="49">X20*(1+$U20)</f>
        <v>0</v>
      </c>
      <c r="Z20" s="152">
        <f t="shared" ref="Z20:Z22" si="50">Y20*(1+$U20)</f>
        <v>0</v>
      </c>
      <c r="AA20" s="152">
        <f t="shared" ref="AA20:AA22" si="51">Z20*(1+$U20)</f>
        <v>0</v>
      </c>
      <c r="AB20" s="152">
        <f t="shared" ref="AB20:AB22" si="52">AA20*(1+$U20)</f>
        <v>0</v>
      </c>
      <c r="AC20" s="152">
        <f t="shared" ref="AC20:AC22" si="53">AB20*(1+$U20)</f>
        <v>0</v>
      </c>
      <c r="AD20" s="152">
        <f t="shared" ref="AD20:AD22" si="54">AC20*(1+$U20)</f>
        <v>0</v>
      </c>
      <c r="AE20" s="152">
        <f t="shared" ref="AE20:AE22" si="55">AD20*(1+$U20)</f>
        <v>0</v>
      </c>
      <c r="AF20" s="137">
        <f t="shared" ref="AF20:AF22" si="56">((AE20/I20)^(1/($AE$3-$J$1) ))-1</f>
        <v>-1</v>
      </c>
      <c r="AG20" s="31">
        <f t="shared" si="17"/>
        <v>0.05</v>
      </c>
      <c r="AH20" s="145">
        <f t="shared" si="1"/>
        <v>0</v>
      </c>
    </row>
    <row r="21" spans="2:34">
      <c r="B21" s="20" t="s">
        <v>284</v>
      </c>
      <c r="C21" s="140"/>
      <c r="D21" s="140"/>
      <c r="E21" s="146"/>
      <c r="F21" s="146"/>
      <c r="G21" s="146">
        <v>-27</v>
      </c>
      <c r="H21" s="146">
        <v>-35</v>
      </c>
      <c r="I21" s="146">
        <v>-51</v>
      </c>
      <c r="J21" s="146">
        <v>-120</v>
      </c>
      <c r="K21" s="146">
        <v>-12</v>
      </c>
      <c r="L21" s="146">
        <v>-38</v>
      </c>
      <c r="M21" s="146">
        <v>-130</v>
      </c>
      <c r="N21" s="146">
        <v>-96</v>
      </c>
      <c r="O21" s="146">
        <v>-62</v>
      </c>
      <c r="P21" s="146">
        <v>-58</v>
      </c>
      <c r="Q21" s="146">
        <v>-125</v>
      </c>
      <c r="R21" s="203">
        <v>0</v>
      </c>
      <c r="S21" s="203">
        <f t="shared" si="6"/>
        <v>0</v>
      </c>
      <c r="T21" s="118">
        <f t="shared" si="23"/>
        <v>-1</v>
      </c>
      <c r="U21" s="31">
        <f t="shared" si="7"/>
        <v>0.12</v>
      </c>
      <c r="V21" s="152">
        <f t="shared" si="2"/>
        <v>0</v>
      </c>
      <c r="W21" s="152">
        <f t="shared" si="47"/>
        <v>0</v>
      </c>
      <c r="X21" s="152">
        <f t="shared" si="48"/>
        <v>0</v>
      </c>
      <c r="Y21" s="152">
        <f t="shared" si="49"/>
        <v>0</v>
      </c>
      <c r="Z21" s="152">
        <f t="shared" si="50"/>
        <v>0</v>
      </c>
      <c r="AA21" s="152">
        <f t="shared" si="51"/>
        <v>0</v>
      </c>
      <c r="AB21" s="152">
        <f t="shared" si="52"/>
        <v>0</v>
      </c>
      <c r="AC21" s="152">
        <f t="shared" si="53"/>
        <v>0</v>
      </c>
      <c r="AD21" s="152">
        <f t="shared" si="54"/>
        <v>0</v>
      </c>
      <c r="AE21" s="152">
        <f t="shared" si="55"/>
        <v>0</v>
      </c>
      <c r="AF21" s="137">
        <f t="shared" si="56"/>
        <v>-1</v>
      </c>
      <c r="AG21" s="31">
        <f t="shared" si="17"/>
        <v>0.05</v>
      </c>
      <c r="AH21" s="145">
        <f t="shared" si="1"/>
        <v>0</v>
      </c>
    </row>
    <row r="22" spans="2:34">
      <c r="B22" s="20" t="s">
        <v>285</v>
      </c>
      <c r="C22" s="140"/>
      <c r="D22" s="140"/>
      <c r="E22" s="146"/>
      <c r="F22" s="146"/>
      <c r="G22" s="146">
        <v>35</v>
      </c>
      <c r="H22" s="146">
        <v>132</v>
      </c>
      <c r="I22" s="146">
        <v>186</v>
      </c>
      <c r="J22" s="146">
        <v>-13</v>
      </c>
      <c r="K22" s="146">
        <v>219</v>
      </c>
      <c r="L22" s="146">
        <v>-261</v>
      </c>
      <c r="M22" s="146">
        <v>-46</v>
      </c>
      <c r="N22" s="146">
        <v>245</v>
      </c>
      <c r="O22" s="146">
        <v>-68</v>
      </c>
      <c r="P22" s="146">
        <v>-116</v>
      </c>
      <c r="Q22" s="146">
        <v>384</v>
      </c>
      <c r="R22" s="203">
        <v>0</v>
      </c>
      <c r="S22" s="203">
        <f t="shared" si="6"/>
        <v>0</v>
      </c>
      <c r="T22" s="118">
        <f t="shared" si="23"/>
        <v>-1</v>
      </c>
      <c r="U22" s="31">
        <f t="shared" si="7"/>
        <v>0.12</v>
      </c>
      <c r="V22" s="152">
        <f t="shared" si="2"/>
        <v>0</v>
      </c>
      <c r="W22" s="152">
        <f t="shared" si="47"/>
        <v>0</v>
      </c>
      <c r="X22" s="152">
        <f t="shared" si="48"/>
        <v>0</v>
      </c>
      <c r="Y22" s="152">
        <f t="shared" si="49"/>
        <v>0</v>
      </c>
      <c r="Z22" s="152">
        <f t="shared" si="50"/>
        <v>0</v>
      </c>
      <c r="AA22" s="152">
        <f t="shared" si="51"/>
        <v>0</v>
      </c>
      <c r="AB22" s="152">
        <f t="shared" si="52"/>
        <v>0</v>
      </c>
      <c r="AC22" s="152">
        <f t="shared" si="53"/>
        <v>0</v>
      </c>
      <c r="AD22" s="152">
        <f t="shared" si="54"/>
        <v>0</v>
      </c>
      <c r="AE22" s="152">
        <f t="shared" si="55"/>
        <v>0</v>
      </c>
      <c r="AF22" s="137">
        <f t="shared" si="56"/>
        <v>-1</v>
      </c>
      <c r="AG22" s="31">
        <f t="shared" si="17"/>
        <v>0.05</v>
      </c>
      <c r="AH22" s="145">
        <f t="shared" si="1"/>
        <v>0</v>
      </c>
    </row>
    <row r="23" spans="2:34">
      <c r="B23" s="20" t="s">
        <v>294</v>
      </c>
      <c r="C23" s="140"/>
      <c r="D23" s="140"/>
      <c r="E23" s="146"/>
      <c r="F23" s="146"/>
      <c r="G23" s="146">
        <v>7</v>
      </c>
      <c r="H23" s="146">
        <v>10</v>
      </c>
      <c r="I23" s="146">
        <v>5</v>
      </c>
      <c r="J23" s="146">
        <v>36</v>
      </c>
      <c r="K23" s="146">
        <v>29</v>
      </c>
      <c r="L23" s="146">
        <v>11</v>
      </c>
      <c r="M23" s="146">
        <v>6</v>
      </c>
      <c r="N23" s="146">
        <v>5</v>
      </c>
      <c r="O23" s="146">
        <v>17</v>
      </c>
      <c r="P23" s="146">
        <v>13</v>
      </c>
      <c r="Q23" s="146">
        <v>64</v>
      </c>
      <c r="R23" s="203">
        <v>0</v>
      </c>
      <c r="S23" s="203">
        <f t="shared" si="6"/>
        <v>0</v>
      </c>
      <c r="T23" s="118">
        <f t="shared" si="23"/>
        <v>-1</v>
      </c>
      <c r="U23" s="31">
        <f t="shared" si="7"/>
        <v>0.12</v>
      </c>
      <c r="V23" s="152">
        <f t="shared" si="2"/>
        <v>0</v>
      </c>
      <c r="W23" s="152">
        <f t="shared" ref="W23" si="57">V23*(1+$U23)</f>
        <v>0</v>
      </c>
      <c r="X23" s="152">
        <f t="shared" ref="X23" si="58">W23*(1+$U23)</f>
        <v>0</v>
      </c>
      <c r="Y23" s="152">
        <f t="shared" ref="Y23" si="59">X23*(1+$U23)</f>
        <v>0</v>
      </c>
      <c r="Z23" s="152">
        <f t="shared" ref="Z23" si="60">Y23*(1+$U23)</f>
        <v>0</v>
      </c>
      <c r="AA23" s="152">
        <f t="shared" ref="AA23" si="61">Z23*(1+$U23)</f>
        <v>0</v>
      </c>
      <c r="AB23" s="152">
        <f t="shared" ref="AB23" si="62">AA23*(1+$U23)</f>
        <v>0</v>
      </c>
      <c r="AC23" s="152">
        <f t="shared" ref="AC23" si="63">AB23*(1+$U23)</f>
        <v>0</v>
      </c>
      <c r="AD23" s="152">
        <f t="shared" ref="AD23" si="64">AC23*(1+$U23)</f>
        <v>0</v>
      </c>
      <c r="AE23" s="152">
        <f t="shared" ref="AE23" si="65">AD23*(1+$U23)</f>
        <v>0</v>
      </c>
      <c r="AF23" s="137">
        <f t="shared" ref="AF23" si="66">((AE23/I23)^(1/($AE$3-$J$1) ))-1</f>
        <v>-1</v>
      </c>
      <c r="AG23" s="31">
        <f t="shared" si="17"/>
        <v>0.05</v>
      </c>
      <c r="AH23" s="145">
        <f t="shared" si="1"/>
        <v>0</v>
      </c>
    </row>
    <row r="24" spans="2:34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>
        <f t="shared" si="6"/>
        <v>0</v>
      </c>
      <c r="T24" s="128"/>
      <c r="U24" s="20"/>
      <c r="V24" s="152">
        <f t="shared" si="2"/>
        <v>0</v>
      </c>
      <c r="W24" s="152"/>
      <c r="X24" s="152"/>
      <c r="Y24" s="152"/>
      <c r="Z24" s="152"/>
      <c r="AA24" s="152"/>
      <c r="AB24" s="152"/>
      <c r="AC24" s="152"/>
      <c r="AD24" s="152"/>
      <c r="AE24" s="152"/>
      <c r="AF24" s="119"/>
      <c r="AG24" s="136"/>
      <c r="AH24" s="152"/>
    </row>
    <row r="25" spans="2:34">
      <c r="B25" s="20" t="s">
        <v>89</v>
      </c>
      <c r="C25" s="140"/>
      <c r="D25" s="140"/>
      <c r="E25" s="146"/>
      <c r="F25" s="146"/>
      <c r="G25" s="146">
        <v>483</v>
      </c>
      <c r="H25" s="146">
        <v>568</v>
      </c>
      <c r="I25" s="146">
        <v>748</v>
      </c>
      <c r="J25" s="146">
        <v>975</v>
      </c>
      <c r="K25" s="146">
        <v>1153</v>
      </c>
      <c r="L25" s="146">
        <v>1459</v>
      </c>
      <c r="M25" s="146">
        <v>1489</v>
      </c>
      <c r="N25" s="146">
        <v>1807</v>
      </c>
      <c r="O25" s="146">
        <v>1743</v>
      </c>
      <c r="P25" s="146">
        <v>2183</v>
      </c>
      <c r="Q25" s="146">
        <v>2860</v>
      </c>
      <c r="R25" s="203">
        <v>3302</v>
      </c>
      <c r="S25" s="203">
        <v>3428</v>
      </c>
      <c r="T25" s="118">
        <f t="shared" si="23"/>
        <v>0.17740119846830016</v>
      </c>
      <c r="U25" s="31">
        <f t="shared" si="7"/>
        <v>0.12</v>
      </c>
      <c r="V25" s="152">
        <f t="shared" si="2"/>
        <v>3839.3600000000006</v>
      </c>
      <c r="W25" s="152">
        <f t="shared" si="38"/>
        <v>4300.0832000000009</v>
      </c>
      <c r="X25" s="152">
        <f t="shared" si="39"/>
        <v>4816.0931840000012</v>
      </c>
      <c r="Y25" s="152">
        <f t="shared" si="40"/>
        <v>5394.0243660800015</v>
      </c>
      <c r="Z25" s="152">
        <f t="shared" si="41"/>
        <v>6041.3072900096022</v>
      </c>
      <c r="AA25" s="152">
        <f t="shared" si="42"/>
        <v>6766.2641648107547</v>
      </c>
      <c r="AB25" s="152">
        <f t="shared" si="43"/>
        <v>7578.2158645880463</v>
      </c>
      <c r="AC25" s="152">
        <f t="shared" si="44"/>
        <v>8487.6017683386126</v>
      </c>
      <c r="AD25" s="152">
        <f t="shared" si="45"/>
        <v>9506.1139805392468</v>
      </c>
      <c r="AE25" s="152">
        <f t="shared" si="46"/>
        <v>10646.847658203957</v>
      </c>
      <c r="AF25" s="137">
        <f t="shared" si="19"/>
        <v>0.13480168878951382</v>
      </c>
      <c r="AG25" s="31">
        <f t="shared" si="17"/>
        <v>0.05</v>
      </c>
      <c r="AH25" s="145">
        <f t="shared" si="1"/>
        <v>65759.941418318558</v>
      </c>
    </row>
    <row r="26" spans="2:34" s="123" customFormat="1">
      <c r="B26" s="23"/>
      <c r="C26" s="147"/>
      <c r="D26" s="147"/>
      <c r="E26" s="148"/>
      <c r="F26" s="148"/>
      <c r="G26" s="149" t="e">
        <f t="shared" ref="G26:Q26" si="67">(G25-F25)/F25</f>
        <v>#DIV/0!</v>
      </c>
      <c r="H26" s="149">
        <f t="shared" si="67"/>
        <v>0.17598343685300208</v>
      </c>
      <c r="I26" s="149">
        <f t="shared" si="67"/>
        <v>0.31690140845070425</v>
      </c>
      <c r="J26" s="149">
        <f t="shared" si="67"/>
        <v>0.303475935828877</v>
      </c>
      <c r="K26" s="149">
        <f t="shared" si="67"/>
        <v>0.18256410256410258</v>
      </c>
      <c r="L26" s="149">
        <f t="shared" si="67"/>
        <v>0.26539462272333042</v>
      </c>
      <c r="M26" s="149">
        <f t="shared" si="67"/>
        <v>2.0562028786840301E-2</v>
      </c>
      <c r="N26" s="149">
        <f t="shared" si="67"/>
        <v>0.21356615177971794</v>
      </c>
      <c r="O26" s="149">
        <f t="shared" si="67"/>
        <v>-3.5417819590481459E-2</v>
      </c>
      <c r="P26" s="149">
        <f t="shared" si="67"/>
        <v>0.25243832472748134</v>
      </c>
      <c r="Q26" s="149">
        <f t="shared" si="67"/>
        <v>0.31012368300503895</v>
      </c>
      <c r="R26" s="149">
        <f t="shared" ref="R26:S26" si="68">(R25-Q25)/Q25</f>
        <v>0.15454545454545454</v>
      </c>
      <c r="S26" s="149">
        <f t="shared" si="68"/>
        <v>3.8158691701998787E-2</v>
      </c>
      <c r="T26" s="128"/>
      <c r="U26" s="20"/>
      <c r="V26" s="152"/>
      <c r="W26" s="153"/>
      <c r="X26" s="153"/>
      <c r="Y26" s="153"/>
      <c r="Z26" s="153"/>
      <c r="AA26" s="153"/>
      <c r="AB26" s="153"/>
      <c r="AC26" s="153"/>
      <c r="AD26" s="153"/>
      <c r="AE26" s="153"/>
      <c r="AF26" s="119"/>
      <c r="AG26" s="136"/>
      <c r="AH26" s="152"/>
    </row>
    <row r="27" spans="2:34">
      <c r="B27" s="20" t="s">
        <v>261</v>
      </c>
      <c r="C27" s="140"/>
      <c r="D27" s="140"/>
      <c r="E27" s="146"/>
      <c r="F27" s="146"/>
      <c r="G27" s="146">
        <v>447</v>
      </c>
      <c r="H27" s="146">
        <v>524</v>
      </c>
      <c r="I27" s="146">
        <v>656</v>
      </c>
      <c r="J27" s="146">
        <v>854</v>
      </c>
      <c r="K27" s="146">
        <v>998</v>
      </c>
      <c r="L27" s="146">
        <v>1250</v>
      </c>
      <c r="M27" s="146">
        <v>1269</v>
      </c>
      <c r="N27" s="146">
        <v>1565</v>
      </c>
      <c r="O27" s="146">
        <v>1533</v>
      </c>
      <c r="P27" s="146">
        <v>1872</v>
      </c>
      <c r="Q27" s="146">
        <v>2400</v>
      </c>
      <c r="R27" s="203">
        <v>2774</v>
      </c>
      <c r="S27" s="203">
        <v>2902</v>
      </c>
      <c r="T27" s="118">
        <f t="shared" si="23"/>
        <v>0.16868954011819914</v>
      </c>
      <c r="U27" s="31">
        <f t="shared" si="7"/>
        <v>0.12</v>
      </c>
      <c r="V27" s="152">
        <f t="shared" si="2"/>
        <v>3250.2400000000002</v>
      </c>
      <c r="W27" s="152">
        <f t="shared" si="38"/>
        <v>3640.2688000000007</v>
      </c>
      <c r="X27" s="152">
        <f t="shared" si="39"/>
        <v>4077.1010560000013</v>
      </c>
      <c r="Y27" s="152">
        <f t="shared" si="40"/>
        <v>4566.3531827200022</v>
      </c>
      <c r="Z27" s="152">
        <f t="shared" si="41"/>
        <v>5114.3155646464029</v>
      </c>
      <c r="AA27" s="152">
        <f t="shared" si="42"/>
        <v>5728.0334324039713</v>
      </c>
      <c r="AB27" s="152">
        <f t="shared" si="43"/>
        <v>6415.3974442924482</v>
      </c>
      <c r="AC27" s="152">
        <f t="shared" si="44"/>
        <v>7185.2451376075423</v>
      </c>
      <c r="AD27" s="152">
        <f t="shared" si="45"/>
        <v>8047.4745541204484</v>
      </c>
      <c r="AE27" s="152">
        <f t="shared" si="46"/>
        <v>9013.1715006149025</v>
      </c>
      <c r="AF27" s="137">
        <f t="shared" si="19"/>
        <v>0.13289387387204088</v>
      </c>
      <c r="AG27" s="31">
        <f t="shared" si="17"/>
        <v>0.05</v>
      </c>
      <c r="AH27" s="145">
        <f t="shared" si="1"/>
        <v>55669.588680268527</v>
      </c>
    </row>
    <row r="28" spans="2:34" s="123" customFormat="1">
      <c r="B28" s="23"/>
      <c r="C28" s="147"/>
      <c r="D28" s="147"/>
      <c r="E28" s="148"/>
      <c r="F28" s="148"/>
      <c r="G28" s="149" t="e">
        <f t="shared" ref="G28:Q28" si="69">(G27-F27)/F27</f>
        <v>#DIV/0!</v>
      </c>
      <c r="H28" s="149">
        <f t="shared" si="69"/>
        <v>0.17225950782997762</v>
      </c>
      <c r="I28" s="149">
        <f t="shared" si="69"/>
        <v>0.25190839694656486</v>
      </c>
      <c r="J28" s="149">
        <f t="shared" si="69"/>
        <v>0.30182926829268292</v>
      </c>
      <c r="K28" s="149">
        <f t="shared" si="69"/>
        <v>0.16861826697892271</v>
      </c>
      <c r="L28" s="149">
        <f t="shared" si="69"/>
        <v>0.25250501002004005</v>
      </c>
      <c r="M28" s="149">
        <f t="shared" si="69"/>
        <v>1.52E-2</v>
      </c>
      <c r="N28" s="149">
        <f t="shared" si="69"/>
        <v>0.23325453112687156</v>
      </c>
      <c r="O28" s="149">
        <f t="shared" si="69"/>
        <v>-2.0447284345047924E-2</v>
      </c>
      <c r="P28" s="149">
        <f t="shared" si="69"/>
        <v>0.22113502935420742</v>
      </c>
      <c r="Q28" s="149">
        <f t="shared" si="69"/>
        <v>0.28205128205128205</v>
      </c>
      <c r="R28" s="149">
        <f t="shared" ref="R28:S28" si="70">(R27-Q27)/Q27</f>
        <v>0.15583333333333332</v>
      </c>
      <c r="S28" s="149">
        <f t="shared" si="70"/>
        <v>4.6142754145638065E-2</v>
      </c>
      <c r="T28" s="128"/>
      <c r="U28" s="20"/>
      <c r="V28" s="152"/>
      <c r="W28" s="153"/>
      <c r="X28" s="153"/>
      <c r="Y28" s="153"/>
      <c r="Z28" s="153"/>
      <c r="AA28" s="153"/>
      <c r="AB28" s="153"/>
      <c r="AC28" s="153"/>
      <c r="AD28" s="153"/>
      <c r="AE28" s="153"/>
      <c r="AF28" s="119"/>
      <c r="AG28" s="136"/>
      <c r="AH28" s="152"/>
    </row>
    <row r="29" spans="2:34" s="123" customFormat="1">
      <c r="B29" s="20" t="s">
        <v>320</v>
      </c>
      <c r="C29" s="147"/>
      <c r="D29" s="147"/>
      <c r="E29" s="148"/>
      <c r="F29" s="148"/>
      <c r="G29" s="146">
        <v>8</v>
      </c>
      <c r="H29" s="146">
        <v>11</v>
      </c>
      <c r="I29" s="146">
        <v>31</v>
      </c>
      <c r="J29" s="146">
        <v>46</v>
      </c>
      <c r="K29" s="146">
        <v>65</v>
      </c>
      <c r="L29" s="146">
        <v>93</v>
      </c>
      <c r="M29" s="146">
        <v>42</v>
      </c>
      <c r="N29" s="146">
        <v>48</v>
      </c>
      <c r="O29" s="146">
        <v>70</v>
      </c>
      <c r="P29" s="146">
        <v>77</v>
      </c>
      <c r="Q29" s="146">
        <v>76</v>
      </c>
      <c r="R29" s="203">
        <v>80.89</v>
      </c>
      <c r="S29" s="203">
        <v>63.42</v>
      </c>
      <c r="T29" s="118">
        <f t="shared" si="23"/>
        <v>0.18830526375130985</v>
      </c>
      <c r="U29" s="31">
        <f t="shared" si="7"/>
        <v>0.12</v>
      </c>
      <c r="V29" s="152">
        <f t="shared" si="2"/>
        <v>71.030400000000014</v>
      </c>
      <c r="W29" s="152">
        <f t="shared" ref="W29" si="71">V29*(1+$U29)</f>
        <v>79.554048000000023</v>
      </c>
      <c r="X29" s="152">
        <f t="shared" ref="X29" si="72">W29*(1+$U29)</f>
        <v>89.100533760000033</v>
      </c>
      <c r="Y29" s="152">
        <f t="shared" ref="Y29" si="73">X29*(1+$U29)</f>
        <v>99.792597811200054</v>
      </c>
      <c r="Z29" s="152">
        <f t="shared" ref="Z29" si="74">Y29*(1+$U29)</f>
        <v>111.76770954854408</v>
      </c>
      <c r="AA29" s="152">
        <f t="shared" ref="AA29" si="75">Z29*(1+$U29)</f>
        <v>125.17983469436938</v>
      </c>
      <c r="AB29" s="152">
        <f t="shared" ref="AB29" si="76">AA29*(1+$U29)</f>
        <v>140.20141485769372</v>
      </c>
      <c r="AC29" s="152">
        <f t="shared" ref="AC29" si="77">AB29*(1+$U29)</f>
        <v>157.02558464061698</v>
      </c>
      <c r="AD29" s="152">
        <f t="shared" ref="AD29" si="78">AC29*(1+$U29)</f>
        <v>175.86865479749105</v>
      </c>
      <c r="AE29" s="152">
        <f t="shared" ref="AE29" si="79">AD29*(1+$U29)</f>
        <v>196.97289337319</v>
      </c>
      <c r="AF29" s="137">
        <f t="shared" ref="AF29" si="80">((AE29/I29)^(1/($AE$3-$J$1) ))-1</f>
        <v>9.2044226579317323E-2</v>
      </c>
      <c r="AG29" s="31">
        <f t="shared" si="17"/>
        <v>0.05</v>
      </c>
      <c r="AH29" s="145">
        <f t="shared" ref="AH29" si="81">(AE29*(1+AG29))/($C$1-AG29)</f>
        <v>1216.597282599115</v>
      </c>
    </row>
    <row r="30" spans="2:34" s="123" customFormat="1">
      <c r="B30" s="23"/>
      <c r="C30" s="147"/>
      <c r="D30" s="147"/>
      <c r="E30" s="148"/>
      <c r="F30" s="148"/>
      <c r="G30" s="149" t="e">
        <f t="shared" ref="G30:Q30" si="82">(G29-F29)/F29</f>
        <v>#DIV/0!</v>
      </c>
      <c r="H30" s="149">
        <f t="shared" si="82"/>
        <v>0.375</v>
      </c>
      <c r="I30" s="149">
        <f t="shared" si="82"/>
        <v>1.8181818181818181</v>
      </c>
      <c r="J30" s="149">
        <f t="shared" si="82"/>
        <v>0.4838709677419355</v>
      </c>
      <c r="K30" s="149">
        <f t="shared" si="82"/>
        <v>0.41304347826086957</v>
      </c>
      <c r="L30" s="149">
        <f t="shared" si="82"/>
        <v>0.43076923076923079</v>
      </c>
      <c r="M30" s="149">
        <f t="shared" si="82"/>
        <v>-0.54838709677419351</v>
      </c>
      <c r="N30" s="149">
        <f t="shared" si="82"/>
        <v>0.14285714285714285</v>
      </c>
      <c r="O30" s="149">
        <f t="shared" si="82"/>
        <v>0.45833333333333331</v>
      </c>
      <c r="P30" s="149">
        <f t="shared" si="82"/>
        <v>0.1</v>
      </c>
      <c r="Q30" s="149">
        <f t="shared" si="82"/>
        <v>-1.2987012987012988E-2</v>
      </c>
      <c r="R30" s="149">
        <f t="shared" ref="R30:S30" si="83">(R29-Q29)/Q29</f>
        <v>6.4342105263157909E-2</v>
      </c>
      <c r="S30" s="149">
        <f t="shared" si="83"/>
        <v>-0.2159723080726913</v>
      </c>
      <c r="T30" s="128"/>
      <c r="U30" s="20"/>
      <c r="V30" s="152"/>
      <c r="W30" s="153"/>
      <c r="X30" s="153"/>
      <c r="Y30" s="153"/>
      <c r="Z30" s="153"/>
      <c r="AA30" s="153"/>
      <c r="AB30" s="153"/>
      <c r="AC30" s="153"/>
      <c r="AD30" s="153"/>
      <c r="AE30" s="153"/>
      <c r="AF30" s="160"/>
      <c r="AG30" s="136"/>
      <c r="AH30" s="152"/>
    </row>
    <row r="31" spans="2:34">
      <c r="B31" s="20" t="s">
        <v>328</v>
      </c>
      <c r="C31" s="140"/>
      <c r="D31" s="140"/>
      <c r="E31" s="146"/>
      <c r="F31" s="146"/>
      <c r="G31" s="146">
        <v>0</v>
      </c>
      <c r="H31" s="146">
        <v>0</v>
      </c>
      <c r="I31" s="146">
        <v>0</v>
      </c>
      <c r="J31" s="146"/>
      <c r="K31" s="146"/>
      <c r="L31" s="146"/>
      <c r="M31" s="146"/>
      <c r="N31" s="146"/>
      <c r="O31" s="146"/>
      <c r="P31" s="146"/>
      <c r="Q31" s="146"/>
      <c r="R31" s="203">
        <v>0</v>
      </c>
      <c r="S31" s="203">
        <f t="shared" si="6"/>
        <v>0</v>
      </c>
      <c r="T31" s="118" t="e">
        <f t="shared" si="23"/>
        <v>#DIV/0!</v>
      </c>
      <c r="U31" s="31">
        <f t="shared" si="7"/>
        <v>0.12</v>
      </c>
      <c r="V31" s="152">
        <f t="shared" si="2"/>
        <v>0</v>
      </c>
      <c r="W31" s="152">
        <f>V31*(1+$U31)</f>
        <v>0</v>
      </c>
      <c r="X31" s="152">
        <f t="shared" ref="X31:AE32" si="84">W31*(1+$U31)</f>
        <v>0</v>
      </c>
      <c r="Y31" s="152">
        <f t="shared" si="84"/>
        <v>0</v>
      </c>
      <c r="Z31" s="152">
        <f t="shared" si="84"/>
        <v>0</v>
      </c>
      <c r="AA31" s="152">
        <f t="shared" si="84"/>
        <v>0</v>
      </c>
      <c r="AB31" s="152">
        <f t="shared" si="84"/>
        <v>0</v>
      </c>
      <c r="AC31" s="152">
        <f t="shared" si="84"/>
        <v>0</v>
      </c>
      <c r="AD31" s="152">
        <f t="shared" si="84"/>
        <v>0</v>
      </c>
      <c r="AE31" s="152">
        <f t="shared" si="84"/>
        <v>0</v>
      </c>
      <c r="AF31" s="137" t="e">
        <f t="shared" ref="AF31" si="85">((AE31/I31)^(1/($AE$3-$J$1) ))-1</f>
        <v>#DIV/0!</v>
      </c>
      <c r="AG31" s="31">
        <f t="shared" si="17"/>
        <v>0.05</v>
      </c>
      <c r="AH31" s="145">
        <f t="shared" si="1"/>
        <v>0</v>
      </c>
    </row>
    <row r="32" spans="2:34">
      <c r="B32" s="20" t="s">
        <v>327</v>
      </c>
      <c r="C32" s="140"/>
      <c r="D32" s="140"/>
      <c r="E32" s="146"/>
      <c r="F32" s="146"/>
      <c r="G32" s="146">
        <v>0</v>
      </c>
      <c r="H32" s="146">
        <v>0</v>
      </c>
      <c r="I32" s="146">
        <v>0</v>
      </c>
      <c r="J32" s="146"/>
      <c r="K32" s="146"/>
      <c r="L32" s="146"/>
      <c r="M32" s="146"/>
      <c r="N32" s="146"/>
      <c r="O32" s="146"/>
      <c r="P32" s="146"/>
      <c r="Q32" s="146"/>
      <c r="R32" s="203">
        <v>0</v>
      </c>
      <c r="S32" s="203">
        <f t="shared" si="6"/>
        <v>0</v>
      </c>
      <c r="T32" s="118" t="e">
        <f t="shared" si="23"/>
        <v>#DIV/0!</v>
      </c>
      <c r="U32" s="31">
        <f t="shared" si="7"/>
        <v>0.12</v>
      </c>
      <c r="V32" s="152">
        <f t="shared" si="2"/>
        <v>0</v>
      </c>
      <c r="W32" s="152">
        <f>V32*(1+$U32)</f>
        <v>0</v>
      </c>
      <c r="X32" s="152">
        <f t="shared" si="84"/>
        <v>0</v>
      </c>
      <c r="Y32" s="152">
        <f t="shared" si="84"/>
        <v>0</v>
      </c>
      <c r="Z32" s="152">
        <f t="shared" si="84"/>
        <v>0</v>
      </c>
      <c r="AA32" s="152">
        <f t="shared" si="84"/>
        <v>0</v>
      </c>
      <c r="AB32" s="152">
        <f t="shared" si="84"/>
        <v>0</v>
      </c>
      <c r="AC32" s="152">
        <f t="shared" si="84"/>
        <v>0</v>
      </c>
      <c r="AD32" s="152">
        <f t="shared" si="84"/>
        <v>0</v>
      </c>
      <c r="AE32" s="152">
        <f t="shared" si="84"/>
        <v>0</v>
      </c>
      <c r="AF32" s="137" t="e">
        <f t="shared" ref="AF32" si="86">((AE32/I32)^(1/($AE$3-$J$1) ))-1</f>
        <v>#DIV/0!</v>
      </c>
      <c r="AG32" s="31">
        <f t="shared" si="17"/>
        <v>0.05</v>
      </c>
      <c r="AH32" s="145">
        <f t="shared" si="1"/>
        <v>0</v>
      </c>
    </row>
    <row r="33" spans="1:34">
      <c r="B33" s="20" t="s">
        <v>487</v>
      </c>
      <c r="C33" s="140"/>
      <c r="D33" s="140"/>
      <c r="E33" s="146"/>
      <c r="F33" s="146"/>
      <c r="G33" s="146">
        <v>376</v>
      </c>
      <c r="H33" s="146">
        <v>453</v>
      </c>
      <c r="I33" s="146">
        <v>571</v>
      </c>
      <c r="J33" s="146">
        <v>752</v>
      </c>
      <c r="K33" s="146">
        <v>886</v>
      </c>
      <c r="L33" s="146">
        <v>1084</v>
      </c>
      <c r="M33" s="146">
        <v>1156</v>
      </c>
      <c r="N33" s="146">
        <v>1434</v>
      </c>
      <c r="O33" s="146">
        <v>1354</v>
      </c>
      <c r="P33" s="146">
        <v>1678</v>
      </c>
      <c r="Q33" s="146">
        <v>2197</v>
      </c>
      <c r="R33" s="203">
        <v>2511.27</v>
      </c>
      <c r="S33" s="203">
        <f t="shared" si="6"/>
        <v>2511.27</v>
      </c>
      <c r="T33" s="118">
        <f t="shared" si="23"/>
        <v>0.17145460420805381</v>
      </c>
      <c r="U33" s="31">
        <f t="shared" si="7"/>
        <v>0.12</v>
      </c>
      <c r="V33" s="152">
        <f t="shared" si="2"/>
        <v>2812.6224000000002</v>
      </c>
      <c r="W33" s="152">
        <f t="shared" si="38"/>
        <v>3150.1370880000004</v>
      </c>
      <c r="X33" s="152">
        <f t="shared" si="39"/>
        <v>3528.1535385600009</v>
      </c>
      <c r="Y33" s="152">
        <f t="shared" si="40"/>
        <v>3951.5319631872012</v>
      </c>
      <c r="Z33" s="152">
        <f t="shared" si="41"/>
        <v>4425.7157987696655</v>
      </c>
      <c r="AA33" s="152">
        <f t="shared" si="42"/>
        <v>4956.8016946220259</v>
      </c>
      <c r="AB33" s="152">
        <f t="shared" si="43"/>
        <v>5551.6178979766692</v>
      </c>
      <c r="AC33" s="152">
        <f t="shared" si="44"/>
        <v>6217.81204573387</v>
      </c>
      <c r="AD33" s="152">
        <f t="shared" si="45"/>
        <v>6963.9494912219352</v>
      </c>
      <c r="AE33" s="152">
        <f t="shared" si="46"/>
        <v>7799.6234301685681</v>
      </c>
      <c r="AF33" s="137">
        <f t="shared" si="19"/>
        <v>0.13257886669145091</v>
      </c>
      <c r="AG33" s="31">
        <f t="shared" si="17"/>
        <v>0.05</v>
      </c>
      <c r="AH33" s="145">
        <f t="shared" si="1"/>
        <v>48174.144715747047</v>
      </c>
    </row>
    <row r="34" spans="1:34">
      <c r="B34" s="20" t="s">
        <v>307</v>
      </c>
      <c r="C34" s="140"/>
      <c r="D34" s="140"/>
      <c r="E34" s="146"/>
      <c r="F34" s="146"/>
      <c r="G34" s="146">
        <v>52</v>
      </c>
      <c r="H34" s="146">
        <v>46</v>
      </c>
      <c r="I34" s="146">
        <v>55</v>
      </c>
      <c r="J34" s="146">
        <v>64</v>
      </c>
      <c r="K34" s="146">
        <v>77</v>
      </c>
      <c r="L34" s="146">
        <v>132</v>
      </c>
      <c r="M34" s="146">
        <v>72</v>
      </c>
      <c r="N34" s="146">
        <v>77</v>
      </c>
      <c r="O34" s="146">
        <v>127</v>
      </c>
      <c r="P34" s="146">
        <v>143</v>
      </c>
      <c r="Q34" s="146">
        <v>147</v>
      </c>
      <c r="R34" s="203">
        <v>54.34</v>
      </c>
      <c r="S34" s="203">
        <f t="shared" si="6"/>
        <v>54.34</v>
      </c>
      <c r="T34" s="118">
        <f t="shared" si="23"/>
        <v>3.6748094004368514E-3</v>
      </c>
      <c r="U34" s="31">
        <f t="shared" si="7"/>
        <v>0.12</v>
      </c>
      <c r="V34" s="152">
        <f t="shared" si="2"/>
        <v>60.860800000000012</v>
      </c>
      <c r="W34" s="152">
        <f t="shared" si="38"/>
        <v>68.164096000000015</v>
      </c>
      <c r="X34" s="152">
        <f t="shared" si="39"/>
        <v>76.343787520000021</v>
      </c>
      <c r="Y34" s="152">
        <f t="shared" si="40"/>
        <v>85.505042022400033</v>
      </c>
      <c r="Z34" s="152">
        <f t="shared" si="41"/>
        <v>95.765647065088046</v>
      </c>
      <c r="AA34" s="152">
        <f t="shared" si="42"/>
        <v>107.25752471289863</v>
      </c>
      <c r="AB34" s="152">
        <f t="shared" si="43"/>
        <v>120.12842767844647</v>
      </c>
      <c r="AC34" s="152">
        <f t="shared" si="44"/>
        <v>134.54383899986007</v>
      </c>
      <c r="AD34" s="152">
        <f t="shared" si="45"/>
        <v>150.68909967984328</v>
      </c>
      <c r="AE34" s="152">
        <f t="shared" si="46"/>
        <v>168.7717916414245</v>
      </c>
      <c r="AF34" s="137">
        <f t="shared" si="19"/>
        <v>5.4842172068426898E-2</v>
      </c>
      <c r="AG34" s="31">
        <f t="shared" si="17"/>
        <v>0.05</v>
      </c>
      <c r="AH34" s="145">
        <f t="shared" si="1"/>
        <v>1042.4140071970339</v>
      </c>
    </row>
    <row r="35" spans="1:34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38"/>
      <c r="AG35" s="136"/>
      <c r="AH35" s="152"/>
    </row>
    <row r="36" spans="1:34">
      <c r="A36" s="205" t="s">
        <v>480</v>
      </c>
      <c r="B36" s="200" t="s">
        <v>474</v>
      </c>
      <c r="C36" s="140"/>
      <c r="D36" s="140"/>
      <c r="E36" s="146"/>
      <c r="F36" s="146"/>
      <c r="G36" s="203">
        <f t="shared" ref="G36:H36" si="87">H36</f>
        <v>0</v>
      </c>
      <c r="H36" s="203">
        <f t="shared" si="87"/>
        <v>0</v>
      </c>
      <c r="I36" s="203">
        <f>J36</f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118" t="e">
        <f t="shared" si="23"/>
        <v>#DIV/0!</v>
      </c>
      <c r="U36" s="31">
        <f t="shared" si="7"/>
        <v>0.12</v>
      </c>
      <c r="V36" s="152">
        <f t="shared" ref="V36:V49" si="88">S36*(1+$U36)</f>
        <v>0</v>
      </c>
      <c r="W36" s="152">
        <f t="shared" ref="W36:W49" si="89">V36*(1+$U36)</f>
        <v>0</v>
      </c>
      <c r="X36" s="152">
        <f t="shared" ref="X36:X49" si="90">W36*(1+$U36)</f>
        <v>0</v>
      </c>
      <c r="Y36" s="152">
        <f t="shared" ref="Y36:Y49" si="91">X36*(1+$U36)</f>
        <v>0</v>
      </c>
      <c r="Z36" s="152">
        <f t="shared" ref="Z36:Z49" si="92">Y36*(1+$U36)</f>
        <v>0</v>
      </c>
      <c r="AA36" s="152">
        <f t="shared" ref="AA36:AA49" si="93">Z36*(1+$U36)</f>
        <v>0</v>
      </c>
      <c r="AB36" s="152">
        <f t="shared" ref="AB36:AB49" si="94">AA36*(1+$U36)</f>
        <v>0</v>
      </c>
      <c r="AC36" s="152">
        <f t="shared" ref="AC36:AC49" si="95">AB36*(1+$U36)</f>
        <v>0</v>
      </c>
      <c r="AD36" s="152">
        <f t="shared" ref="AD36:AD49" si="96">AC36*(1+$U36)</f>
        <v>0</v>
      </c>
      <c r="AE36" s="152">
        <f t="shared" ref="AE36:AE49" si="97">AD36*(1+$U36)</f>
        <v>0</v>
      </c>
      <c r="AF36" s="137" t="e">
        <f t="shared" ref="AF36:AF49" si="98">((AE36/I36)^(1/($AE$3-$J$1) ))-1</f>
        <v>#DIV/0!</v>
      </c>
      <c r="AG36" s="31">
        <f t="shared" si="17"/>
        <v>0.05</v>
      </c>
      <c r="AH36" s="145">
        <f t="shared" ref="AH36:AH49" si="99">(AE36*(1+AG36))/($C$1-AG36)</f>
        <v>0</v>
      </c>
    </row>
    <row r="37" spans="1:34">
      <c r="A37" s="205"/>
      <c r="B37" s="200"/>
      <c r="C37" s="140"/>
      <c r="D37" s="140"/>
      <c r="E37" s="146"/>
      <c r="F37" s="146"/>
      <c r="G37" s="149" t="e">
        <f t="shared" ref="G37" si="100">(G36-F36)/F36</f>
        <v>#DIV/0!</v>
      </c>
      <c r="H37" s="149" t="e">
        <f t="shared" ref="H37" si="101">(H36-G36)/G36</f>
        <v>#DIV/0!</v>
      </c>
      <c r="I37" s="149" t="e">
        <f t="shared" ref="I37" si="102">(I36-H36)/H36</f>
        <v>#DIV/0!</v>
      </c>
      <c r="J37" s="149" t="e">
        <f t="shared" ref="J37" si="103">(J36-I36)/I36</f>
        <v>#DIV/0!</v>
      </c>
      <c r="K37" s="149" t="e">
        <f t="shared" ref="K37" si="104">(K36-J36)/J36</f>
        <v>#DIV/0!</v>
      </c>
      <c r="L37" s="149" t="e">
        <f t="shared" ref="L37" si="105">(L36-K36)/K36</f>
        <v>#DIV/0!</v>
      </c>
      <c r="M37" s="149" t="e">
        <f t="shared" ref="M37" si="106">(M36-L36)/L36</f>
        <v>#DIV/0!</v>
      </c>
      <c r="N37" s="149" t="e">
        <f t="shared" ref="N37" si="107">(N36-M36)/M36</f>
        <v>#DIV/0!</v>
      </c>
      <c r="O37" s="149" t="e">
        <f t="shared" ref="O37" si="108">(O36-N36)/N36</f>
        <v>#DIV/0!</v>
      </c>
      <c r="P37" s="149" t="e">
        <f t="shared" ref="P37" si="109">(P36-O36)/O36</f>
        <v>#DIV/0!</v>
      </c>
      <c r="Q37" s="149" t="e">
        <f t="shared" ref="Q37" si="110">(Q36-P36)/P36</f>
        <v>#DIV/0!</v>
      </c>
      <c r="R37" s="149" t="e">
        <f t="shared" ref="R37" si="111">(R36-Q36)/Q36</f>
        <v>#DIV/0!</v>
      </c>
      <c r="S37" s="149" t="e">
        <f t="shared" ref="S37" si="112">(S36-R36)/R36</f>
        <v>#DIV/0!</v>
      </c>
      <c r="T37" s="128"/>
      <c r="U37" s="20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45"/>
    </row>
    <row r="38" spans="1:34">
      <c r="A38" s="205"/>
      <c r="B38" s="200" t="s">
        <v>475</v>
      </c>
      <c r="C38" s="140"/>
      <c r="D38" s="140"/>
      <c r="E38" s="146"/>
      <c r="F38" s="146"/>
      <c r="G38" s="203">
        <f t="shared" ref="G38:H38" si="113">H38</f>
        <v>0</v>
      </c>
      <c r="H38" s="203">
        <f t="shared" si="113"/>
        <v>0</v>
      </c>
      <c r="I38" s="203">
        <f>J38</f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118" t="e">
        <f t="shared" si="23"/>
        <v>#DIV/0!</v>
      </c>
      <c r="U38" s="31">
        <f t="shared" si="7"/>
        <v>0.12</v>
      </c>
      <c r="V38" s="152">
        <f t="shared" si="88"/>
        <v>0</v>
      </c>
      <c r="W38" s="152">
        <f t="shared" si="89"/>
        <v>0</v>
      </c>
      <c r="X38" s="152">
        <f t="shared" si="90"/>
        <v>0</v>
      </c>
      <c r="Y38" s="152">
        <f t="shared" si="91"/>
        <v>0</v>
      </c>
      <c r="Z38" s="152">
        <f t="shared" si="92"/>
        <v>0</v>
      </c>
      <c r="AA38" s="152">
        <f t="shared" si="93"/>
        <v>0</v>
      </c>
      <c r="AB38" s="152">
        <f t="shared" si="94"/>
        <v>0</v>
      </c>
      <c r="AC38" s="152">
        <f t="shared" si="95"/>
        <v>0</v>
      </c>
      <c r="AD38" s="152">
        <f t="shared" si="96"/>
        <v>0</v>
      </c>
      <c r="AE38" s="152">
        <f t="shared" si="97"/>
        <v>0</v>
      </c>
      <c r="AF38" s="137" t="e">
        <f t="shared" si="98"/>
        <v>#DIV/0!</v>
      </c>
      <c r="AG38" s="31">
        <f t="shared" si="17"/>
        <v>0.05</v>
      </c>
      <c r="AH38" s="145">
        <f t="shared" si="99"/>
        <v>0</v>
      </c>
    </row>
    <row r="39" spans="1:34">
      <c r="A39" s="205"/>
      <c r="B39" s="200"/>
      <c r="C39" s="140"/>
      <c r="D39" s="140"/>
      <c r="E39" s="146"/>
      <c r="F39" s="146"/>
      <c r="G39" s="149" t="e">
        <f t="shared" ref="G39" si="114">(G38-F38)/F38</f>
        <v>#DIV/0!</v>
      </c>
      <c r="H39" s="149" t="e">
        <f t="shared" ref="H39" si="115">(H38-G38)/G38</f>
        <v>#DIV/0!</v>
      </c>
      <c r="I39" s="149" t="e">
        <f t="shared" ref="I39" si="116">(I38-H38)/H38</f>
        <v>#DIV/0!</v>
      </c>
      <c r="J39" s="149" t="e">
        <f t="shared" ref="J39" si="117">(J38-I38)/I38</f>
        <v>#DIV/0!</v>
      </c>
      <c r="K39" s="149" t="e">
        <f t="shared" ref="K39" si="118">(K38-J38)/J38</f>
        <v>#DIV/0!</v>
      </c>
      <c r="L39" s="149" t="e">
        <f t="shared" ref="L39" si="119">(L38-K38)/K38</f>
        <v>#DIV/0!</v>
      </c>
      <c r="M39" s="149" t="e">
        <f t="shared" ref="M39" si="120">(M38-L38)/L38</f>
        <v>#DIV/0!</v>
      </c>
      <c r="N39" s="149" t="e">
        <f t="shared" ref="N39" si="121">(N38-M38)/M38</f>
        <v>#DIV/0!</v>
      </c>
      <c r="O39" s="149" t="e">
        <f t="shared" ref="O39" si="122">(O38-N38)/N38</f>
        <v>#DIV/0!</v>
      </c>
      <c r="P39" s="149" t="e">
        <f t="shared" ref="P39" si="123">(P38-O38)/O38</f>
        <v>#DIV/0!</v>
      </c>
      <c r="Q39" s="149" t="e">
        <f t="shared" ref="Q39" si="124">(Q38-P38)/P38</f>
        <v>#DIV/0!</v>
      </c>
      <c r="R39" s="149" t="e">
        <f t="shared" ref="R39" si="125">(R38-Q38)/Q38</f>
        <v>#DIV/0!</v>
      </c>
      <c r="S39" s="149" t="e">
        <f t="shared" ref="S39" si="126">(S38-R38)/R38</f>
        <v>#DIV/0!</v>
      </c>
      <c r="T39" s="128"/>
      <c r="U39" s="20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45"/>
    </row>
    <row r="40" spans="1:34">
      <c r="A40" s="205"/>
      <c r="B40" s="200" t="s">
        <v>479</v>
      </c>
      <c r="C40" s="140"/>
      <c r="D40" s="140"/>
      <c r="E40" s="146"/>
      <c r="F40" s="146"/>
      <c r="G40" s="203">
        <f t="shared" ref="G40:H40" si="127">H40</f>
        <v>0</v>
      </c>
      <c r="H40" s="203">
        <f t="shared" si="127"/>
        <v>0</v>
      </c>
      <c r="I40" s="203">
        <f>J40</f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118" t="e">
        <f t="shared" si="23"/>
        <v>#DIV/0!</v>
      </c>
      <c r="U40" s="31">
        <f t="shared" si="7"/>
        <v>0.12</v>
      </c>
      <c r="V40" s="152">
        <f t="shared" si="88"/>
        <v>0</v>
      </c>
      <c r="W40" s="152">
        <f t="shared" si="89"/>
        <v>0</v>
      </c>
      <c r="X40" s="152">
        <f t="shared" si="90"/>
        <v>0</v>
      </c>
      <c r="Y40" s="152">
        <f t="shared" si="91"/>
        <v>0</v>
      </c>
      <c r="Z40" s="152">
        <f t="shared" si="92"/>
        <v>0</v>
      </c>
      <c r="AA40" s="152">
        <f t="shared" si="93"/>
        <v>0</v>
      </c>
      <c r="AB40" s="152">
        <f t="shared" si="94"/>
        <v>0</v>
      </c>
      <c r="AC40" s="152">
        <f t="shared" si="95"/>
        <v>0</v>
      </c>
      <c r="AD40" s="152">
        <f t="shared" si="96"/>
        <v>0</v>
      </c>
      <c r="AE40" s="152">
        <f t="shared" si="97"/>
        <v>0</v>
      </c>
      <c r="AF40" s="137" t="e">
        <f t="shared" si="98"/>
        <v>#DIV/0!</v>
      </c>
      <c r="AG40" s="31">
        <f t="shared" si="17"/>
        <v>0.05</v>
      </c>
      <c r="AH40" s="145">
        <f t="shared" si="99"/>
        <v>0</v>
      </c>
    </row>
    <row r="41" spans="1:34">
      <c r="A41" s="205"/>
      <c r="B41" s="200" t="s">
        <v>476</v>
      </c>
      <c r="C41" s="140"/>
      <c r="D41" s="140"/>
      <c r="E41" s="146"/>
      <c r="F41" s="146"/>
      <c r="G41" s="203">
        <f t="shared" ref="G41:H41" si="128">H41</f>
        <v>0</v>
      </c>
      <c r="H41" s="203">
        <f t="shared" si="128"/>
        <v>0</v>
      </c>
      <c r="I41" s="203">
        <f>J41</f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118" t="e">
        <f t="shared" si="23"/>
        <v>#DIV/0!</v>
      </c>
      <c r="U41" s="31">
        <f t="shared" si="7"/>
        <v>0.12</v>
      </c>
      <c r="V41" s="152">
        <f t="shared" si="88"/>
        <v>0</v>
      </c>
      <c r="W41" s="152">
        <f t="shared" si="89"/>
        <v>0</v>
      </c>
      <c r="X41" s="152">
        <f t="shared" si="90"/>
        <v>0</v>
      </c>
      <c r="Y41" s="152">
        <f t="shared" si="91"/>
        <v>0</v>
      </c>
      <c r="Z41" s="152">
        <f t="shared" si="92"/>
        <v>0</v>
      </c>
      <c r="AA41" s="152">
        <f t="shared" si="93"/>
        <v>0</v>
      </c>
      <c r="AB41" s="152">
        <f t="shared" si="94"/>
        <v>0</v>
      </c>
      <c r="AC41" s="152">
        <f t="shared" si="95"/>
        <v>0</v>
      </c>
      <c r="AD41" s="152">
        <f t="shared" si="96"/>
        <v>0</v>
      </c>
      <c r="AE41" s="152">
        <f t="shared" si="97"/>
        <v>0</v>
      </c>
      <c r="AF41" s="137" t="e">
        <f t="shared" si="98"/>
        <v>#DIV/0!</v>
      </c>
      <c r="AG41" s="31">
        <f t="shared" si="17"/>
        <v>0.05</v>
      </c>
      <c r="AH41" s="145">
        <f t="shared" si="99"/>
        <v>0</v>
      </c>
    </row>
    <row r="42" spans="1:34">
      <c r="A42" s="205"/>
      <c r="B42" s="200" t="s">
        <v>478</v>
      </c>
      <c r="C42" s="140"/>
      <c r="D42" s="140"/>
      <c r="E42" s="146"/>
      <c r="F42" s="146"/>
      <c r="G42" s="203">
        <f t="shared" ref="G42:H42" si="129">H42</f>
        <v>0</v>
      </c>
      <c r="H42" s="203">
        <f t="shared" si="129"/>
        <v>0</v>
      </c>
      <c r="I42" s="203">
        <f>J42</f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118" t="e">
        <f t="shared" si="23"/>
        <v>#DIV/0!</v>
      </c>
      <c r="U42" s="31">
        <f t="shared" si="7"/>
        <v>0.12</v>
      </c>
      <c r="V42" s="152">
        <f t="shared" si="88"/>
        <v>0</v>
      </c>
      <c r="W42" s="152">
        <f t="shared" si="89"/>
        <v>0</v>
      </c>
      <c r="X42" s="152">
        <f t="shared" si="90"/>
        <v>0</v>
      </c>
      <c r="Y42" s="152">
        <f t="shared" si="91"/>
        <v>0</v>
      </c>
      <c r="Z42" s="152">
        <f t="shared" si="92"/>
        <v>0</v>
      </c>
      <c r="AA42" s="152">
        <f t="shared" si="93"/>
        <v>0</v>
      </c>
      <c r="AB42" s="152">
        <f t="shared" si="94"/>
        <v>0</v>
      </c>
      <c r="AC42" s="152">
        <f t="shared" si="95"/>
        <v>0</v>
      </c>
      <c r="AD42" s="152">
        <f t="shared" si="96"/>
        <v>0</v>
      </c>
      <c r="AE42" s="152">
        <f t="shared" si="97"/>
        <v>0</v>
      </c>
      <c r="AF42" s="137" t="e">
        <f t="shared" si="98"/>
        <v>#DIV/0!</v>
      </c>
      <c r="AG42" s="31">
        <f t="shared" si="17"/>
        <v>0.05</v>
      </c>
      <c r="AH42" s="145">
        <f t="shared" si="99"/>
        <v>0</v>
      </c>
    </row>
    <row r="43" spans="1:34">
      <c r="A43" s="205"/>
      <c r="B43" s="200" t="s">
        <v>477</v>
      </c>
      <c r="C43" s="140"/>
      <c r="D43" s="140"/>
      <c r="E43" s="146"/>
      <c r="F43" s="146"/>
      <c r="G43" s="203">
        <f t="shared" ref="G43:H43" si="130">H43</f>
        <v>0</v>
      </c>
      <c r="H43" s="203">
        <f t="shared" si="130"/>
        <v>0</v>
      </c>
      <c r="I43" s="203">
        <f>J43</f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118" t="e">
        <f t="shared" si="23"/>
        <v>#DIV/0!</v>
      </c>
      <c r="U43" s="31">
        <f t="shared" si="7"/>
        <v>0.12</v>
      </c>
      <c r="V43" s="152">
        <f t="shared" si="88"/>
        <v>0</v>
      </c>
      <c r="W43" s="152">
        <f t="shared" si="89"/>
        <v>0</v>
      </c>
      <c r="X43" s="152">
        <f t="shared" si="90"/>
        <v>0</v>
      </c>
      <c r="Y43" s="152">
        <f t="shared" si="91"/>
        <v>0</v>
      </c>
      <c r="Z43" s="152">
        <f t="shared" si="92"/>
        <v>0</v>
      </c>
      <c r="AA43" s="152">
        <f t="shared" si="93"/>
        <v>0</v>
      </c>
      <c r="AB43" s="152">
        <f t="shared" si="94"/>
        <v>0</v>
      </c>
      <c r="AC43" s="152">
        <f t="shared" si="95"/>
        <v>0</v>
      </c>
      <c r="AD43" s="152">
        <f t="shared" si="96"/>
        <v>0</v>
      </c>
      <c r="AE43" s="152">
        <f t="shared" si="97"/>
        <v>0</v>
      </c>
      <c r="AF43" s="137" t="e">
        <f t="shared" si="98"/>
        <v>#DIV/0!</v>
      </c>
      <c r="AG43" s="31">
        <f t="shared" si="17"/>
        <v>0.05</v>
      </c>
      <c r="AH43" s="145">
        <f t="shared" si="99"/>
        <v>0</v>
      </c>
    </row>
    <row r="44" spans="1:34">
      <c r="A44" s="205"/>
      <c r="B44" s="200"/>
      <c r="C44" s="140"/>
      <c r="D44" s="140"/>
      <c r="E44" s="146"/>
      <c r="F44" s="146"/>
      <c r="G44" s="149" t="e">
        <f t="shared" ref="G44" si="131">(G43-F43)/F43</f>
        <v>#DIV/0!</v>
      </c>
      <c r="H44" s="149" t="e">
        <f t="shared" ref="H44" si="132">(H43-G43)/G43</f>
        <v>#DIV/0!</v>
      </c>
      <c r="I44" s="149" t="e">
        <f t="shared" ref="I44" si="133">(I43-H43)/H43</f>
        <v>#DIV/0!</v>
      </c>
      <c r="J44" s="149" t="e">
        <f t="shared" ref="J44" si="134">(J43-I43)/I43</f>
        <v>#DIV/0!</v>
      </c>
      <c r="K44" s="149" t="e">
        <f t="shared" ref="K44" si="135">(K43-J43)/J43</f>
        <v>#DIV/0!</v>
      </c>
      <c r="L44" s="149" t="e">
        <f t="shared" ref="L44" si="136">(L43-K43)/K43</f>
        <v>#DIV/0!</v>
      </c>
      <c r="M44" s="149" t="e">
        <f t="shared" ref="M44" si="137">(M43-L43)/L43</f>
        <v>#DIV/0!</v>
      </c>
      <c r="N44" s="149" t="e">
        <f t="shared" ref="N44" si="138">(N43-M43)/M43</f>
        <v>#DIV/0!</v>
      </c>
      <c r="O44" s="149" t="e">
        <f t="shared" ref="O44" si="139">(O43-N43)/N43</f>
        <v>#DIV/0!</v>
      </c>
      <c r="P44" s="149" t="e">
        <f t="shared" ref="P44" si="140">(P43-O43)/O43</f>
        <v>#DIV/0!</v>
      </c>
      <c r="Q44" s="149" t="e">
        <f t="shared" ref="Q44" si="141">(Q43-P43)/P43</f>
        <v>#DIV/0!</v>
      </c>
      <c r="R44" s="149" t="e">
        <f t="shared" ref="R44" si="142">(R43-Q43)/Q43</f>
        <v>#DIV/0!</v>
      </c>
      <c r="S44" s="149" t="e">
        <f t="shared" ref="S44" si="143">(S43-R43)/R43</f>
        <v>#DIV/0!</v>
      </c>
      <c r="T44" s="128"/>
      <c r="U44" s="20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45"/>
    </row>
    <row r="45" spans="1:34">
      <c r="A45" s="205"/>
      <c r="B45" s="200" t="s">
        <v>218</v>
      </c>
      <c r="C45" s="140"/>
      <c r="D45" s="140"/>
      <c r="E45" s="146"/>
      <c r="F45" s="146"/>
      <c r="G45" s="203">
        <f t="shared" ref="G45:H45" si="144">H45</f>
        <v>0</v>
      </c>
      <c r="H45" s="203">
        <f t="shared" si="144"/>
        <v>0</v>
      </c>
      <c r="I45" s="203">
        <f>J45</f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118" t="e">
        <f t="shared" si="23"/>
        <v>#DIV/0!</v>
      </c>
      <c r="U45" s="31">
        <f t="shared" si="7"/>
        <v>0.12</v>
      </c>
      <c r="V45" s="152">
        <f t="shared" si="88"/>
        <v>0</v>
      </c>
      <c r="W45" s="152">
        <f t="shared" si="89"/>
        <v>0</v>
      </c>
      <c r="X45" s="152">
        <f t="shared" si="90"/>
        <v>0</v>
      </c>
      <c r="Y45" s="152">
        <f t="shared" si="91"/>
        <v>0</v>
      </c>
      <c r="Z45" s="152">
        <f t="shared" si="92"/>
        <v>0</v>
      </c>
      <c r="AA45" s="152">
        <f t="shared" si="93"/>
        <v>0</v>
      </c>
      <c r="AB45" s="152">
        <f t="shared" si="94"/>
        <v>0</v>
      </c>
      <c r="AC45" s="152">
        <f t="shared" si="95"/>
        <v>0</v>
      </c>
      <c r="AD45" s="152">
        <f t="shared" si="96"/>
        <v>0</v>
      </c>
      <c r="AE45" s="152">
        <f t="shared" si="97"/>
        <v>0</v>
      </c>
      <c r="AF45" s="137" t="e">
        <f t="shared" si="98"/>
        <v>#DIV/0!</v>
      </c>
      <c r="AG45" s="31">
        <f t="shared" si="17"/>
        <v>0.05</v>
      </c>
      <c r="AH45" s="145">
        <f t="shared" si="99"/>
        <v>0</v>
      </c>
    </row>
    <row r="46" spans="1:34">
      <c r="A46" s="201"/>
      <c r="B46" s="200"/>
      <c r="C46" s="140"/>
      <c r="D46" s="140"/>
      <c r="E46" s="146"/>
      <c r="F46" s="146"/>
      <c r="G46" s="149" t="e">
        <f t="shared" ref="G46" si="145">(G45-F45)/F45</f>
        <v>#DIV/0!</v>
      </c>
      <c r="H46" s="149" t="e">
        <f t="shared" ref="H46" si="146">(H45-G45)/G45</f>
        <v>#DIV/0!</v>
      </c>
      <c r="I46" s="149" t="e">
        <f t="shared" ref="I46" si="147">(I45-H45)/H45</f>
        <v>#DIV/0!</v>
      </c>
      <c r="J46" s="149" t="e">
        <f t="shared" ref="J46" si="148">(J45-I45)/I45</f>
        <v>#DIV/0!</v>
      </c>
      <c r="K46" s="149" t="e">
        <f t="shared" ref="K46" si="149">(K45-J45)/J45</f>
        <v>#DIV/0!</v>
      </c>
      <c r="L46" s="149" t="e">
        <f t="shared" ref="L46" si="150">(L45-K45)/K45</f>
        <v>#DIV/0!</v>
      </c>
      <c r="M46" s="149" t="e">
        <f t="shared" ref="M46" si="151">(M45-L45)/L45</f>
        <v>#DIV/0!</v>
      </c>
      <c r="N46" s="149" t="e">
        <f t="shared" ref="N46" si="152">(N45-M45)/M45</f>
        <v>#DIV/0!</v>
      </c>
      <c r="O46" s="149" t="e">
        <f t="shared" ref="O46" si="153">(O45-N45)/N45</f>
        <v>#DIV/0!</v>
      </c>
      <c r="P46" s="149" t="e">
        <f t="shared" ref="P46" si="154">(P45-O45)/O45</f>
        <v>#DIV/0!</v>
      </c>
      <c r="Q46" s="149" t="e">
        <f t="shared" ref="Q46" si="155">(Q45-P45)/P45</f>
        <v>#DIV/0!</v>
      </c>
      <c r="R46" s="149" t="e">
        <f t="shared" ref="R46" si="156">(R45-Q45)/Q45</f>
        <v>#DIV/0!</v>
      </c>
      <c r="S46" s="149" t="e">
        <f t="shared" ref="S46" si="157">(S45-R45)/R45</f>
        <v>#DIV/0!</v>
      </c>
      <c r="T46" s="128"/>
      <c r="U46" s="20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45"/>
    </row>
    <row r="47" spans="1:34">
      <c r="A47" s="201"/>
      <c r="B47" s="200" t="s">
        <v>491</v>
      </c>
      <c r="C47" s="140"/>
      <c r="D47" s="140"/>
      <c r="E47" s="146"/>
      <c r="F47" s="146"/>
      <c r="G47" s="203">
        <f t="shared" ref="G47:H47" si="158">H47</f>
        <v>0</v>
      </c>
      <c r="H47" s="203">
        <f t="shared" si="158"/>
        <v>0</v>
      </c>
      <c r="I47" s="203">
        <f>J47</f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118" t="e">
        <f t="shared" si="23"/>
        <v>#DIV/0!</v>
      </c>
      <c r="U47" s="31">
        <f t="shared" si="7"/>
        <v>0.12</v>
      </c>
      <c r="V47" s="152">
        <f t="shared" ref="V47" si="159">S47*(1+$U47)</f>
        <v>0</v>
      </c>
      <c r="W47" s="152">
        <f t="shared" ref="W47" si="160">V47*(1+$U47)</f>
        <v>0</v>
      </c>
      <c r="X47" s="152">
        <f t="shared" ref="X47" si="161">W47*(1+$U47)</f>
        <v>0</v>
      </c>
      <c r="Y47" s="152">
        <f t="shared" ref="Y47" si="162">X47*(1+$U47)</f>
        <v>0</v>
      </c>
      <c r="Z47" s="152">
        <f t="shared" ref="Z47" si="163">Y47*(1+$U47)</f>
        <v>0</v>
      </c>
      <c r="AA47" s="152">
        <f t="shared" ref="AA47" si="164">Z47*(1+$U47)</f>
        <v>0</v>
      </c>
      <c r="AB47" s="152">
        <f t="shared" ref="AB47" si="165">AA47*(1+$U47)</f>
        <v>0</v>
      </c>
      <c r="AC47" s="152">
        <f t="shared" ref="AC47" si="166">AB47*(1+$U47)</f>
        <v>0</v>
      </c>
      <c r="AD47" s="152">
        <f t="shared" ref="AD47" si="167">AC47*(1+$U47)</f>
        <v>0</v>
      </c>
      <c r="AE47" s="152">
        <f t="shared" ref="AE47" si="168">AD47*(1+$U47)</f>
        <v>0</v>
      </c>
      <c r="AF47" s="137" t="e">
        <f t="shared" ref="AF47" si="169">((AE47/I47)^(1/($AE$3-$J$1) ))-1</f>
        <v>#DIV/0!</v>
      </c>
      <c r="AG47" s="31">
        <f t="shared" si="17"/>
        <v>0.05</v>
      </c>
      <c r="AH47" s="145">
        <f t="shared" si="99"/>
        <v>0</v>
      </c>
    </row>
    <row r="48" spans="1:34">
      <c r="A48" s="201"/>
      <c r="B48" s="200"/>
      <c r="C48" s="140"/>
      <c r="D48" s="140"/>
      <c r="E48" s="146"/>
      <c r="F48" s="146"/>
      <c r="G48" s="149" t="e">
        <f t="shared" ref="G48" si="170">(G47-F47)/F47</f>
        <v>#DIV/0!</v>
      </c>
      <c r="H48" s="149" t="e">
        <f t="shared" ref="H48" si="171">(H47-G47)/G47</f>
        <v>#DIV/0!</v>
      </c>
      <c r="I48" s="149" t="e">
        <f t="shared" ref="I48" si="172">(I47-H47)/H47</f>
        <v>#DIV/0!</v>
      </c>
      <c r="J48" s="149" t="e">
        <f t="shared" ref="J48" si="173">(J47-I47)/I47</f>
        <v>#DIV/0!</v>
      </c>
      <c r="K48" s="149" t="e">
        <f t="shared" ref="K48" si="174">(K47-J47)/J47</f>
        <v>#DIV/0!</v>
      </c>
      <c r="L48" s="149" t="e">
        <f t="shared" ref="L48" si="175">(L47-K47)/K47</f>
        <v>#DIV/0!</v>
      </c>
      <c r="M48" s="149" t="e">
        <f t="shared" ref="M48" si="176">(M47-L47)/L47</f>
        <v>#DIV/0!</v>
      </c>
      <c r="N48" s="149" t="e">
        <f t="shared" ref="N48" si="177">(N47-M47)/M47</f>
        <v>#DIV/0!</v>
      </c>
      <c r="O48" s="149" t="e">
        <f t="shared" ref="O48" si="178">(O47-N47)/N47</f>
        <v>#DIV/0!</v>
      </c>
      <c r="P48" s="149" t="e">
        <f t="shared" ref="P48" si="179">(P47-O47)/O47</f>
        <v>#DIV/0!</v>
      </c>
      <c r="Q48" s="149" t="e">
        <f t="shared" ref="Q48" si="180">(Q47-P47)/P47</f>
        <v>#DIV/0!</v>
      </c>
      <c r="R48" s="149" t="e">
        <f t="shared" ref="R48" si="181">(R47-Q47)/Q47</f>
        <v>#DIV/0!</v>
      </c>
      <c r="S48" s="149" t="e">
        <f t="shared" ref="S48" si="182">(S47-R47)/R47</f>
        <v>#DIV/0!</v>
      </c>
      <c r="T48" s="128"/>
      <c r="U48" s="20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45"/>
    </row>
    <row r="49" spans="1:34">
      <c r="A49" s="201"/>
      <c r="B49" s="200" t="s">
        <v>481</v>
      </c>
      <c r="C49" s="140"/>
      <c r="D49" s="140"/>
      <c r="E49" s="146"/>
      <c r="F49" s="146"/>
      <c r="G49" s="203">
        <f t="shared" ref="G49:H49" si="183">H49</f>
        <v>0</v>
      </c>
      <c r="H49" s="203">
        <f t="shared" si="183"/>
        <v>0</v>
      </c>
      <c r="I49" s="203">
        <f>J49</f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118" t="e">
        <f t="shared" si="23"/>
        <v>#DIV/0!</v>
      </c>
      <c r="U49" s="31">
        <f t="shared" si="7"/>
        <v>0.12</v>
      </c>
      <c r="V49" s="152">
        <f t="shared" si="88"/>
        <v>0</v>
      </c>
      <c r="W49" s="152">
        <f t="shared" si="89"/>
        <v>0</v>
      </c>
      <c r="X49" s="152">
        <f t="shared" si="90"/>
        <v>0</v>
      </c>
      <c r="Y49" s="152">
        <f t="shared" si="91"/>
        <v>0</v>
      </c>
      <c r="Z49" s="152">
        <f t="shared" si="92"/>
        <v>0</v>
      </c>
      <c r="AA49" s="152">
        <f t="shared" si="93"/>
        <v>0</v>
      </c>
      <c r="AB49" s="152">
        <f t="shared" si="94"/>
        <v>0</v>
      </c>
      <c r="AC49" s="152">
        <f t="shared" si="95"/>
        <v>0</v>
      </c>
      <c r="AD49" s="152">
        <f t="shared" si="96"/>
        <v>0</v>
      </c>
      <c r="AE49" s="152">
        <f t="shared" si="97"/>
        <v>0</v>
      </c>
      <c r="AF49" s="137" t="e">
        <f t="shared" si="98"/>
        <v>#DIV/0!</v>
      </c>
      <c r="AG49" s="31">
        <f t="shared" si="17"/>
        <v>0.05</v>
      </c>
      <c r="AH49" s="145">
        <f t="shared" si="99"/>
        <v>0</v>
      </c>
    </row>
    <row r="50" spans="1:34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28"/>
      <c r="U50" s="20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38"/>
      <c r="AG50" s="136"/>
      <c r="AH50" s="152"/>
    </row>
    <row r="51" spans="1:34">
      <c r="B51" s="20" t="s">
        <v>278</v>
      </c>
      <c r="C51" s="140"/>
      <c r="D51" s="140"/>
      <c r="E51" s="146"/>
      <c r="F51" s="146"/>
      <c r="G51" s="146">
        <v>27</v>
      </c>
      <c r="H51" s="146">
        <v>38</v>
      </c>
      <c r="I51" s="146">
        <v>83</v>
      </c>
      <c r="J51" s="146">
        <v>118</v>
      </c>
      <c r="K51" s="146">
        <v>154</v>
      </c>
      <c r="L51" s="146">
        <v>195</v>
      </c>
      <c r="M51" s="146">
        <v>197</v>
      </c>
      <c r="N51" s="146">
        <v>226</v>
      </c>
      <c r="O51" s="146">
        <v>226</v>
      </c>
      <c r="P51" s="146">
        <v>293</v>
      </c>
      <c r="Q51" s="146">
        <v>440</v>
      </c>
      <c r="R51" s="203">
        <v>488.25</v>
      </c>
      <c r="S51" s="203">
        <f>R51</f>
        <v>488.25</v>
      </c>
      <c r="T51" s="118">
        <f t="shared" si="23"/>
        <v>0.27283821928467344</v>
      </c>
      <c r="U51" s="31">
        <f t="shared" si="7"/>
        <v>0.12</v>
      </c>
      <c r="V51" s="152">
        <f t="shared" si="2"/>
        <v>546.84</v>
      </c>
      <c r="W51" s="152">
        <f t="shared" ref="W51" si="184">V51*(1+$U51)</f>
        <v>612.46080000000006</v>
      </c>
      <c r="X51" s="152">
        <f t="shared" ref="X51" si="185">W51*(1+$U51)</f>
        <v>685.95609600000012</v>
      </c>
      <c r="Y51" s="152">
        <f t="shared" ref="Y51" si="186">X51*(1+$U51)</f>
        <v>768.27082752000024</v>
      </c>
      <c r="Z51" s="152">
        <f t="shared" si="41"/>
        <v>860.4633268224004</v>
      </c>
      <c r="AA51" s="152">
        <f t="shared" si="42"/>
        <v>963.71892604108859</v>
      </c>
      <c r="AB51" s="152">
        <f t="shared" si="43"/>
        <v>1079.3651971660192</v>
      </c>
      <c r="AC51" s="152">
        <f t="shared" si="44"/>
        <v>1208.8890208259418</v>
      </c>
      <c r="AD51" s="152">
        <f t="shared" si="45"/>
        <v>1353.9557033250549</v>
      </c>
      <c r="AE51" s="152">
        <f t="shared" si="46"/>
        <v>1516.4303877240616</v>
      </c>
      <c r="AF51" s="137">
        <f t="shared" si="19"/>
        <v>0.14837324589849388</v>
      </c>
      <c r="AG51" s="31">
        <f t="shared" si="17"/>
        <v>0.05</v>
      </c>
      <c r="AH51" s="145">
        <f t="shared" si="1"/>
        <v>9366.1876888839106</v>
      </c>
    </row>
    <row r="52" spans="1:34" s="123" customFormat="1">
      <c r="B52" s="23"/>
      <c r="C52" s="147"/>
      <c r="D52" s="147"/>
      <c r="E52" s="148"/>
      <c r="F52" s="148"/>
      <c r="G52" s="149" t="e">
        <f t="shared" ref="G52:Q52" si="187">(G51-F51)/F51</f>
        <v>#DIV/0!</v>
      </c>
      <c r="H52" s="149">
        <f t="shared" si="187"/>
        <v>0.40740740740740738</v>
      </c>
      <c r="I52" s="149">
        <f t="shared" si="187"/>
        <v>1.1842105263157894</v>
      </c>
      <c r="J52" s="149">
        <f t="shared" si="187"/>
        <v>0.42168674698795183</v>
      </c>
      <c r="K52" s="149">
        <f t="shared" si="187"/>
        <v>0.30508474576271188</v>
      </c>
      <c r="L52" s="149">
        <f t="shared" si="187"/>
        <v>0.26623376623376621</v>
      </c>
      <c r="M52" s="149">
        <f t="shared" si="187"/>
        <v>1.0256410256410256E-2</v>
      </c>
      <c r="N52" s="149">
        <f t="shared" si="187"/>
        <v>0.14720812182741116</v>
      </c>
      <c r="O52" s="149">
        <f t="shared" si="187"/>
        <v>0</v>
      </c>
      <c r="P52" s="149">
        <f t="shared" si="187"/>
        <v>0.29646017699115046</v>
      </c>
      <c r="Q52" s="149">
        <f t="shared" si="187"/>
        <v>0.50170648464163825</v>
      </c>
      <c r="R52" s="149">
        <f t="shared" ref="R52:S52" si="188">(R51-Q51)/Q51</f>
        <v>0.10965909090909091</v>
      </c>
      <c r="S52" s="149">
        <f t="shared" si="188"/>
        <v>0</v>
      </c>
      <c r="T52" s="128"/>
      <c r="U52" s="20"/>
      <c r="V52" s="152"/>
      <c r="W52" s="153"/>
      <c r="X52" s="153"/>
      <c r="Y52" s="153"/>
      <c r="Z52" s="153"/>
      <c r="AA52" s="153"/>
      <c r="AB52" s="153"/>
      <c r="AC52" s="153"/>
      <c r="AD52" s="153"/>
      <c r="AE52" s="153"/>
      <c r="AF52" s="138"/>
      <c r="AG52" s="136"/>
      <c r="AH52" s="154"/>
    </row>
    <row r="53" spans="1:34" s="123" customFormat="1">
      <c r="B53" s="20" t="s">
        <v>396</v>
      </c>
      <c r="C53" s="147"/>
      <c r="D53" s="147"/>
      <c r="E53" s="148"/>
      <c r="F53" s="148"/>
      <c r="G53" s="146">
        <v>21</v>
      </c>
      <c r="H53" s="146">
        <v>26</v>
      </c>
      <c r="I53" s="146">
        <v>48</v>
      </c>
      <c r="J53" s="146">
        <v>58</v>
      </c>
      <c r="K53" s="146">
        <v>65</v>
      </c>
      <c r="L53" s="146">
        <v>92</v>
      </c>
      <c r="M53" s="146">
        <v>150</v>
      </c>
      <c r="N53" s="146">
        <v>158</v>
      </c>
      <c r="O53" s="146">
        <v>95</v>
      </c>
      <c r="P53" s="146">
        <v>184</v>
      </c>
      <c r="Q53" s="146">
        <v>326</v>
      </c>
      <c r="R53" s="203">
        <v>394.1</v>
      </c>
      <c r="S53" s="203">
        <v>430</v>
      </c>
      <c r="T53" s="118">
        <f t="shared" si="23"/>
        <v>0.28608822918280641</v>
      </c>
      <c r="U53" s="31">
        <f t="shared" si="7"/>
        <v>0.12</v>
      </c>
      <c r="V53" s="152">
        <f t="shared" si="2"/>
        <v>481.6</v>
      </c>
      <c r="W53" s="152">
        <f t="shared" ref="W53" si="189">V53*(1+$U53)</f>
        <v>539.39200000000005</v>
      </c>
      <c r="X53" s="152">
        <f t="shared" ref="X53" si="190">W53*(1+$U53)</f>
        <v>604.11904000000015</v>
      </c>
      <c r="Y53" s="152">
        <f t="shared" ref="Y53" si="191">X53*(1+$U53)</f>
        <v>676.61332480000021</v>
      </c>
      <c r="Z53" s="152">
        <f t="shared" ref="Z53" si="192">Y53*(1+$U53)</f>
        <v>757.8069237760003</v>
      </c>
      <c r="AA53" s="152">
        <f t="shared" ref="AA53" si="193">Z53*(1+$U53)</f>
        <v>848.74375462912042</v>
      </c>
      <c r="AB53" s="152">
        <f t="shared" ref="AB53" si="194">AA53*(1+$U53)</f>
        <v>950.59300518461498</v>
      </c>
      <c r="AC53" s="152">
        <f t="shared" ref="AC53" si="195">AB53*(1+$U53)</f>
        <v>1064.6641658067688</v>
      </c>
      <c r="AD53" s="152">
        <f t="shared" ref="AD53" si="196">AC53*(1+$U53)</f>
        <v>1192.4238657035812</v>
      </c>
      <c r="AE53" s="152">
        <f t="shared" ref="AE53" si="197">AD53*(1+$U53)</f>
        <v>1335.5147295880111</v>
      </c>
      <c r="AF53" s="137">
        <f t="shared" ref="AF53" si="198">((AE53/I53)^(1/($AE$3-$J$1) ))-1</f>
        <v>0.17160524406262234</v>
      </c>
      <c r="AG53" s="31">
        <f t="shared" si="17"/>
        <v>0.05</v>
      </c>
      <c r="AH53" s="145">
        <f t="shared" ref="AH53" si="199">(AE53*(1+AG53))/($C$1-AG53)</f>
        <v>8248.7674474553642</v>
      </c>
    </row>
    <row r="54" spans="1:34" s="123" customFormat="1">
      <c r="B54" s="23"/>
      <c r="C54" s="147"/>
      <c r="D54" s="147"/>
      <c r="E54" s="148"/>
      <c r="F54" s="148"/>
      <c r="G54" s="149" t="e">
        <f t="shared" ref="G54:Q54" si="200">(G53-F53)/F53</f>
        <v>#DIV/0!</v>
      </c>
      <c r="H54" s="149">
        <f t="shared" si="200"/>
        <v>0.23809523809523808</v>
      </c>
      <c r="I54" s="149">
        <f t="shared" si="200"/>
        <v>0.84615384615384615</v>
      </c>
      <c r="J54" s="149">
        <f t="shared" si="200"/>
        <v>0.20833333333333334</v>
      </c>
      <c r="K54" s="149">
        <f t="shared" si="200"/>
        <v>0.1206896551724138</v>
      </c>
      <c r="L54" s="149">
        <f t="shared" si="200"/>
        <v>0.41538461538461541</v>
      </c>
      <c r="M54" s="149">
        <f t="shared" si="200"/>
        <v>0.63043478260869568</v>
      </c>
      <c r="N54" s="149">
        <f t="shared" si="200"/>
        <v>5.3333333333333337E-2</v>
      </c>
      <c r="O54" s="149">
        <f t="shared" si="200"/>
        <v>-0.39873417721518989</v>
      </c>
      <c r="P54" s="149">
        <f t="shared" si="200"/>
        <v>0.93684210526315792</v>
      </c>
      <c r="Q54" s="149">
        <f t="shared" si="200"/>
        <v>0.77173913043478259</v>
      </c>
      <c r="R54" s="149">
        <f t="shared" ref="R54:S54" si="201">(R53-Q53)/Q53</f>
        <v>0.20889570552147246</v>
      </c>
      <c r="S54" s="149">
        <f t="shared" si="201"/>
        <v>9.1093631058107014E-2</v>
      </c>
      <c r="T54" s="128"/>
      <c r="U54" s="20"/>
      <c r="V54" s="152"/>
      <c r="W54" s="153"/>
      <c r="X54" s="153"/>
      <c r="Y54" s="153"/>
      <c r="Z54" s="153"/>
      <c r="AA54" s="153"/>
      <c r="AB54" s="153"/>
      <c r="AC54" s="153"/>
      <c r="AD54" s="153"/>
      <c r="AE54" s="153"/>
      <c r="AF54" s="138"/>
      <c r="AG54" s="136"/>
      <c r="AH54" s="154"/>
    </row>
    <row r="55" spans="1:34">
      <c r="B55" s="20" t="s">
        <v>397</v>
      </c>
      <c r="C55" s="140"/>
      <c r="D55" s="140"/>
      <c r="E55" s="146"/>
      <c r="F55" s="146"/>
      <c r="G55" s="146">
        <v>14.2</v>
      </c>
      <c r="H55" s="146">
        <v>16</v>
      </c>
      <c r="I55" s="146">
        <v>32</v>
      </c>
      <c r="J55" s="146">
        <v>49</v>
      </c>
      <c r="K55" s="146">
        <v>55</v>
      </c>
      <c r="L55" s="146">
        <v>65</v>
      </c>
      <c r="M55" s="146">
        <v>125</v>
      </c>
      <c r="N55" s="146">
        <v>120</v>
      </c>
      <c r="O55" s="146">
        <v>73</v>
      </c>
      <c r="P55" s="146">
        <v>130</v>
      </c>
      <c r="Q55" s="146">
        <v>255</v>
      </c>
      <c r="R55" s="203">
        <v>321.72000000000003</v>
      </c>
      <c r="S55" s="203">
        <v>337</v>
      </c>
      <c r="T55" s="118">
        <f t="shared" si="23"/>
        <v>0.3020024347757615</v>
      </c>
      <c r="U55" s="31">
        <f t="shared" si="7"/>
        <v>0.12</v>
      </c>
      <c r="V55" s="152">
        <f t="shared" si="2"/>
        <v>377.44000000000005</v>
      </c>
      <c r="W55" s="152">
        <f t="shared" ref="W55:AE55" si="202">V55*(1+$U55)</f>
        <v>422.73280000000011</v>
      </c>
      <c r="X55" s="152">
        <f t="shared" si="202"/>
        <v>473.46073600000017</v>
      </c>
      <c r="Y55" s="152">
        <f t="shared" si="202"/>
        <v>530.27602432000026</v>
      </c>
      <c r="Z55" s="152">
        <f t="shared" si="202"/>
        <v>593.90914723840035</v>
      </c>
      <c r="AA55" s="152">
        <f t="shared" si="202"/>
        <v>665.17824490700843</v>
      </c>
      <c r="AB55" s="152">
        <f t="shared" si="202"/>
        <v>744.99963429584955</v>
      </c>
      <c r="AC55" s="152">
        <f t="shared" si="202"/>
        <v>834.3995904113516</v>
      </c>
      <c r="AD55" s="152">
        <f t="shared" si="202"/>
        <v>934.52754126071386</v>
      </c>
      <c r="AE55" s="152">
        <f t="shared" si="202"/>
        <v>1046.6708462119996</v>
      </c>
      <c r="AF55" s="137">
        <f t="shared" si="19"/>
        <v>0.18066495841637176</v>
      </c>
      <c r="AG55" s="31">
        <f t="shared" si="17"/>
        <v>0.05</v>
      </c>
      <c r="AH55" s="145">
        <f t="shared" si="1"/>
        <v>6464.7316971917626</v>
      </c>
    </row>
    <row r="56" spans="1:34" s="123" customFormat="1">
      <c r="B56" s="23"/>
      <c r="C56" s="147"/>
      <c r="D56" s="147"/>
      <c r="E56" s="148"/>
      <c r="F56" s="148"/>
      <c r="G56" s="149" t="e">
        <f t="shared" ref="G56:Q56" si="203">(G55-F55)/F55</f>
        <v>#DIV/0!</v>
      </c>
      <c r="H56" s="149">
        <f t="shared" si="203"/>
        <v>0.12676056338028174</v>
      </c>
      <c r="I56" s="149">
        <f t="shared" si="203"/>
        <v>1</v>
      </c>
      <c r="J56" s="149">
        <f t="shared" si="203"/>
        <v>0.53125</v>
      </c>
      <c r="K56" s="149">
        <f t="shared" si="203"/>
        <v>0.12244897959183673</v>
      </c>
      <c r="L56" s="149">
        <f t="shared" si="203"/>
        <v>0.18181818181818182</v>
      </c>
      <c r="M56" s="149">
        <f t="shared" si="203"/>
        <v>0.92307692307692313</v>
      </c>
      <c r="N56" s="149">
        <f t="shared" si="203"/>
        <v>-0.04</v>
      </c>
      <c r="O56" s="149">
        <f t="shared" si="203"/>
        <v>-0.39166666666666666</v>
      </c>
      <c r="P56" s="149">
        <f t="shared" si="203"/>
        <v>0.78082191780821919</v>
      </c>
      <c r="Q56" s="149">
        <f t="shared" si="203"/>
        <v>0.96153846153846156</v>
      </c>
      <c r="R56" s="149">
        <f t="shared" ref="R56:S56" si="204">(R55-Q55)/Q55</f>
        <v>0.26164705882352951</v>
      </c>
      <c r="S56" s="149">
        <f t="shared" si="204"/>
        <v>4.7494715902026516E-2</v>
      </c>
      <c r="T56" s="128"/>
      <c r="U56" s="20"/>
      <c r="V56" s="152"/>
      <c r="W56" s="153"/>
      <c r="X56" s="153"/>
      <c r="Y56" s="153"/>
      <c r="Z56" s="153"/>
      <c r="AA56" s="153"/>
      <c r="AB56" s="153"/>
      <c r="AC56" s="153"/>
      <c r="AD56" s="153"/>
      <c r="AE56" s="153"/>
      <c r="AF56" s="138"/>
      <c r="AG56" s="136"/>
      <c r="AH56" s="154"/>
    </row>
    <row r="57" spans="1:34">
      <c r="B57" s="20" t="s">
        <v>239</v>
      </c>
      <c r="C57" s="141"/>
      <c r="D57" s="141"/>
      <c r="E57" s="144"/>
      <c r="F57" s="144"/>
      <c r="G57" s="144">
        <v>1.7968</v>
      </c>
      <c r="H57" s="144">
        <v>1.79</v>
      </c>
      <c r="I57" s="144">
        <v>2.13</v>
      </c>
      <c r="J57" s="144">
        <v>2.4300000000000002</v>
      </c>
      <c r="K57" s="144">
        <v>2.4300000000000002</v>
      </c>
      <c r="L57" s="144">
        <v>2.4300000000000002</v>
      </c>
      <c r="M57" s="144">
        <v>24.31</v>
      </c>
      <c r="N57" s="144">
        <v>24.31</v>
      </c>
      <c r="O57" s="144">
        <v>24.31</v>
      </c>
      <c r="P57" s="144">
        <v>24.19</v>
      </c>
      <c r="Q57" s="144">
        <v>23.53</v>
      </c>
      <c r="R57" s="144">
        <v>23.539000000000001</v>
      </c>
      <c r="S57" s="144">
        <v>23.539000000000001</v>
      </c>
      <c r="T57" s="118">
        <f t="shared" si="23"/>
        <v>0.23910284986723607</v>
      </c>
      <c r="U57" s="31">
        <v>0.02</v>
      </c>
      <c r="V57" s="152">
        <f t="shared" si="2"/>
        <v>24.009780000000003</v>
      </c>
      <c r="W57" s="152">
        <f>V57*(1+$U57)</f>
        <v>24.489975600000005</v>
      </c>
      <c r="X57" s="152">
        <f t="shared" ref="X57:AE57" si="205">W57*(1+$U57)</f>
        <v>24.979775112000006</v>
      </c>
      <c r="Y57" s="152">
        <f t="shared" si="205"/>
        <v>25.479370614240008</v>
      </c>
      <c r="Z57" s="152">
        <f t="shared" si="205"/>
        <v>25.988958026524809</v>
      </c>
      <c r="AA57" s="152">
        <f t="shared" si="205"/>
        <v>26.508737187055306</v>
      </c>
      <c r="AB57" s="152">
        <f t="shared" si="205"/>
        <v>27.038911930796413</v>
      </c>
      <c r="AC57" s="152">
        <f t="shared" si="205"/>
        <v>27.579690169412341</v>
      </c>
      <c r="AD57" s="152">
        <f t="shared" si="205"/>
        <v>28.131283972800588</v>
      </c>
      <c r="AE57" s="152">
        <f t="shared" si="205"/>
        <v>28.6939096522566</v>
      </c>
      <c r="AF57" s="137">
        <f t="shared" si="19"/>
        <v>0.13183060822209369</v>
      </c>
      <c r="AG57" s="31">
        <f t="shared" si="17"/>
        <v>0.05</v>
      </c>
      <c r="AH57" s="145">
        <f t="shared" si="1"/>
        <v>177.22708902864372</v>
      </c>
    </row>
    <row r="58" spans="1:34">
      <c r="B58" s="20"/>
      <c r="C58" s="141"/>
      <c r="D58" s="141"/>
      <c r="E58" s="142"/>
      <c r="F58" s="142"/>
      <c r="G58" s="149" t="e">
        <f t="shared" ref="G58:Q58" si="206">(G57-F57)/F57</f>
        <v>#DIV/0!</v>
      </c>
      <c r="H58" s="149">
        <f t="shared" si="206"/>
        <v>-3.7845057880676299E-3</v>
      </c>
      <c r="I58" s="149">
        <f t="shared" si="206"/>
        <v>0.1899441340782122</v>
      </c>
      <c r="J58" s="149">
        <f t="shared" si="206"/>
        <v>0.14084507042253536</v>
      </c>
      <c r="K58" s="149">
        <f t="shared" si="206"/>
        <v>0</v>
      </c>
      <c r="L58" s="149">
        <f t="shared" si="206"/>
        <v>0</v>
      </c>
      <c r="M58" s="149">
        <f t="shared" si="206"/>
        <v>9.0041152263374471</v>
      </c>
      <c r="N58" s="149">
        <f t="shared" si="206"/>
        <v>0</v>
      </c>
      <c r="O58" s="149">
        <f t="shared" si="206"/>
        <v>0</v>
      </c>
      <c r="P58" s="149">
        <f t="shared" si="206"/>
        <v>-4.9362402303577725E-3</v>
      </c>
      <c r="Q58" s="149">
        <f t="shared" si="206"/>
        <v>-2.7284001653575862E-2</v>
      </c>
      <c r="R58" s="149">
        <f t="shared" ref="R58:S58" si="207">(R57-Q57)/Q57</f>
        <v>3.8249043773907099E-4</v>
      </c>
      <c r="S58" s="149">
        <f t="shared" si="207"/>
        <v>0</v>
      </c>
      <c r="T58" s="128"/>
      <c r="U58" s="20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38"/>
      <c r="AG58" s="136"/>
      <c r="AH58" s="145"/>
    </row>
    <row r="59" spans="1:34">
      <c r="B59" s="20" t="s">
        <v>282</v>
      </c>
      <c r="C59" s="144"/>
      <c r="D59" s="144"/>
      <c r="E59" s="144"/>
      <c r="F59" s="144"/>
      <c r="G59" s="144">
        <v>2</v>
      </c>
      <c r="H59" s="144">
        <v>2</v>
      </c>
      <c r="I59" s="144">
        <v>2</v>
      </c>
      <c r="J59" s="144">
        <v>2</v>
      </c>
      <c r="K59" s="144">
        <v>2</v>
      </c>
      <c r="L59" s="144">
        <v>2</v>
      </c>
      <c r="M59" s="144">
        <v>0.3</v>
      </c>
      <c r="N59" s="144">
        <v>0.3</v>
      </c>
      <c r="O59" s="144">
        <v>0.3</v>
      </c>
      <c r="P59" s="144">
        <v>0.8</v>
      </c>
      <c r="Q59" s="144">
        <v>1.2</v>
      </c>
      <c r="R59" s="203">
        <v>1.7</v>
      </c>
      <c r="S59" s="203">
        <v>1.9</v>
      </c>
      <c r="T59" s="118">
        <f t="shared" si="23"/>
        <v>-4.2653187775606449E-3</v>
      </c>
      <c r="U59" s="31">
        <f>R1</f>
        <v>0.05</v>
      </c>
      <c r="V59" s="152">
        <f t="shared" si="2"/>
        <v>1.9949999999999999</v>
      </c>
      <c r="W59" s="152">
        <f t="shared" ref="W59" si="208">V59*(1+$U59)</f>
        <v>2.0947499999999999</v>
      </c>
      <c r="X59" s="152">
        <f t="shared" ref="X59" si="209">W59*(1+$U59)</f>
        <v>2.1994875</v>
      </c>
      <c r="Y59" s="152">
        <f t="shared" ref="Y59" si="210">X59*(1+$U59)</f>
        <v>2.3094618750000002</v>
      </c>
      <c r="Z59" s="152">
        <f t="shared" ref="Z59" si="211">Y59*(1+$U59)</f>
        <v>2.4249349687500001</v>
      </c>
      <c r="AA59" s="152">
        <f t="shared" ref="AA59" si="212">Z59*(1+$U59)</f>
        <v>2.5461817171875003</v>
      </c>
      <c r="AB59" s="152">
        <f t="shared" ref="AB59" si="213">AA59*(1+$U59)</f>
        <v>2.6734908030468754</v>
      </c>
      <c r="AC59" s="152">
        <f t="shared" ref="AC59" si="214">AB59*(1+$U59)</f>
        <v>2.8071653431992192</v>
      </c>
      <c r="AD59" s="152">
        <f t="shared" ref="AD59" si="215">AC59*(1+$U59)</f>
        <v>2.9475236103591804</v>
      </c>
      <c r="AE59" s="152">
        <f t="shared" ref="AE59" si="216">AD59*(1+$U59)</f>
        <v>3.0948997908771396</v>
      </c>
      <c r="AF59" s="137">
        <f t="shared" ref="AF59" si="217">((AE59/I59)^(1/($AE$3-$J$1) ))-1</f>
        <v>2.1008509558681387E-2</v>
      </c>
      <c r="AG59" s="31">
        <f t="shared" si="17"/>
        <v>0.05</v>
      </c>
      <c r="AH59" s="145">
        <f t="shared" si="1"/>
        <v>19.115557531888218</v>
      </c>
    </row>
    <row r="60" spans="1:34">
      <c r="B60" s="20"/>
      <c r="C60" s="144"/>
      <c r="D60" s="144"/>
      <c r="E60" s="144"/>
      <c r="F60" s="144"/>
      <c r="G60" s="149" t="e">
        <f t="shared" ref="G60:Q60" si="218">(G59-F59)/F59</f>
        <v>#DIV/0!</v>
      </c>
      <c r="H60" s="149">
        <f t="shared" si="218"/>
        <v>0</v>
      </c>
      <c r="I60" s="149">
        <f t="shared" si="218"/>
        <v>0</v>
      </c>
      <c r="J60" s="149">
        <f t="shared" si="218"/>
        <v>0</v>
      </c>
      <c r="K60" s="149">
        <f t="shared" si="218"/>
        <v>0</v>
      </c>
      <c r="L60" s="149">
        <f t="shared" si="218"/>
        <v>0</v>
      </c>
      <c r="M60" s="149">
        <f t="shared" si="218"/>
        <v>-0.85</v>
      </c>
      <c r="N60" s="149">
        <f t="shared" si="218"/>
        <v>0</v>
      </c>
      <c r="O60" s="149">
        <f t="shared" si="218"/>
        <v>0</v>
      </c>
      <c r="P60" s="149">
        <f t="shared" si="218"/>
        <v>1.6666666666666667</v>
      </c>
      <c r="Q60" s="149">
        <f t="shared" si="218"/>
        <v>0.49999999999999989</v>
      </c>
      <c r="R60" s="149">
        <f t="shared" ref="R60:S60" si="219">(R59-Q59)/Q59</f>
        <v>0.41666666666666669</v>
      </c>
      <c r="S60" s="149">
        <f t="shared" si="219"/>
        <v>0.11764705882352938</v>
      </c>
      <c r="T60" s="128"/>
      <c r="U60" s="20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38"/>
      <c r="AG60" s="136"/>
      <c r="AH60" s="145"/>
    </row>
    <row r="61" spans="1:34">
      <c r="B61" s="20" t="s">
        <v>422</v>
      </c>
      <c r="C61" s="20"/>
      <c r="D61" s="20"/>
      <c r="E61" s="127"/>
      <c r="F61" s="127"/>
      <c r="G61" s="146">
        <v>0</v>
      </c>
      <c r="H61" s="146">
        <v>0</v>
      </c>
      <c r="I61" s="146">
        <v>0</v>
      </c>
      <c r="J61" s="146">
        <v>0</v>
      </c>
      <c r="K61" s="146">
        <v>0</v>
      </c>
      <c r="L61" s="146">
        <v>0</v>
      </c>
      <c r="M61" s="146" t="s">
        <v>495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28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38"/>
      <c r="AG61" s="136"/>
      <c r="AH61" s="152"/>
    </row>
    <row r="62" spans="1:34">
      <c r="B62" s="20" t="s">
        <v>420</v>
      </c>
      <c r="C62" s="20"/>
      <c r="D62" s="20"/>
      <c r="E62" s="127"/>
      <c r="F62" s="127"/>
      <c r="G62" s="146">
        <v>0</v>
      </c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28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38"/>
      <c r="AG62" s="136"/>
      <c r="AH62" s="152"/>
    </row>
    <row r="63" spans="1:34">
      <c r="B63" s="20" t="s">
        <v>421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46">
        <v>0</v>
      </c>
      <c r="T63" s="146">
        <v>0</v>
      </c>
      <c r="U63" s="128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38"/>
      <c r="AG63" s="136"/>
      <c r="AH63" s="152"/>
    </row>
    <row r="64" spans="1:34">
      <c r="B64" s="20"/>
      <c r="C64" s="20"/>
      <c r="D64" s="20"/>
      <c r="E64" s="127"/>
      <c r="F64" s="127"/>
      <c r="G64" s="127"/>
      <c r="H64" s="127"/>
      <c r="I64" s="127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128"/>
      <c r="U64" s="128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38"/>
      <c r="AG64" s="136"/>
      <c r="AH64" s="152"/>
    </row>
    <row r="65" spans="2:34">
      <c r="B65" s="108" t="s">
        <v>243</v>
      </c>
      <c r="C65" s="20"/>
      <c r="D65" s="20"/>
      <c r="E65" s="127"/>
      <c r="F65" s="127"/>
      <c r="G65" s="127"/>
      <c r="H65" s="127"/>
      <c r="I65" s="127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28"/>
      <c r="U65" s="128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38"/>
      <c r="AG65" s="136"/>
      <c r="AH65" s="152"/>
    </row>
    <row r="66" spans="2:34">
      <c r="B66" s="20" t="s">
        <v>302</v>
      </c>
      <c r="C66" s="133"/>
      <c r="D66" s="133"/>
      <c r="E66" s="133"/>
      <c r="F66" s="133"/>
      <c r="G66" s="133">
        <f t="shared" ref="G66:H66" si="220">G25/G57</f>
        <v>268.81121994657167</v>
      </c>
      <c r="H66" s="133">
        <f t="shared" si="220"/>
        <v>317.31843575418992</v>
      </c>
      <c r="I66" s="133">
        <f t="shared" ref="I66:R66" si="221">I25/I57</f>
        <v>351.17370892018783</v>
      </c>
      <c r="J66" s="133">
        <f t="shared" si="221"/>
        <v>401.23456790123453</v>
      </c>
      <c r="K66" s="133">
        <f t="shared" si="221"/>
        <v>474.4855967078189</v>
      </c>
      <c r="L66" s="133">
        <f t="shared" si="221"/>
        <v>600.41152263374477</v>
      </c>
      <c r="M66" s="133">
        <f t="shared" si="221"/>
        <v>61.250514191690662</v>
      </c>
      <c r="N66" s="133">
        <f t="shared" si="221"/>
        <v>74.331550802139034</v>
      </c>
      <c r="O66" s="133">
        <f t="shared" si="221"/>
        <v>71.698889345948174</v>
      </c>
      <c r="P66" s="133">
        <f t="shared" si="221"/>
        <v>90.243902439024382</v>
      </c>
      <c r="Q66" s="133">
        <f t="shared" si="221"/>
        <v>121.54696132596685</v>
      </c>
      <c r="R66" s="133">
        <f t="shared" si="221"/>
        <v>140.27783678151152</v>
      </c>
      <c r="S66" s="133">
        <f t="shared" ref="S66" si="222">S25/S57</f>
        <v>145.63065550788053</v>
      </c>
      <c r="T66" s="118">
        <f t="shared" ref="T66:T68" si="223">((S66/G66)^(1/($J$2-$J$1) ))-1</f>
        <v>-4.9795423685408235E-2</v>
      </c>
      <c r="U66" s="128"/>
      <c r="V66" s="156">
        <f t="shared" ref="V66:AE66" si="224">V25/V57</f>
        <v>159.90817075375119</v>
      </c>
      <c r="W66" s="156">
        <f t="shared" si="224"/>
        <v>175.58544239627582</v>
      </c>
      <c r="X66" s="156">
        <f t="shared" si="224"/>
        <v>192.79970145473422</v>
      </c>
      <c r="Y66" s="156">
        <f t="shared" si="224"/>
        <v>211.70163296990424</v>
      </c>
      <c r="Z66" s="156">
        <f t="shared" si="224"/>
        <v>232.45669502577721</v>
      </c>
      <c r="AA66" s="156">
        <f t="shared" si="224"/>
        <v>255.24656708712791</v>
      </c>
      <c r="AB66" s="156">
        <f t="shared" si="224"/>
        <v>280.27074033096403</v>
      </c>
      <c r="AC66" s="156">
        <f t="shared" si="224"/>
        <v>307.74826389282327</v>
      </c>
      <c r="AD66" s="156">
        <f t="shared" si="224"/>
        <v>337.91966231368832</v>
      </c>
      <c r="AE66" s="156">
        <f t="shared" si="224"/>
        <v>371.04904097189302</v>
      </c>
      <c r="AF66" s="137">
        <f t="shared" ref="AF66" si="225">((AE66/I66)^(1/($AE$3-$J$1) ))-1</f>
        <v>2.6250222832258086E-3</v>
      </c>
      <c r="AG66" s="31">
        <f t="shared" si="17"/>
        <v>0.05</v>
      </c>
      <c r="AH66" s="145">
        <f t="shared" ref="AH66:AH67" si="226">(AE66*(1+AG66))/($C$1-AG66)</f>
        <v>2291.7734883558101</v>
      </c>
    </row>
    <row r="67" spans="2:34">
      <c r="B67" s="20" t="s">
        <v>303</v>
      </c>
      <c r="C67" s="133"/>
      <c r="D67" s="133"/>
      <c r="E67" s="133"/>
      <c r="F67" s="133"/>
      <c r="G67" s="133">
        <f t="shared" ref="G67:H67" si="227">G27/G57</f>
        <v>248.77560106856635</v>
      </c>
      <c r="H67" s="133">
        <f t="shared" si="227"/>
        <v>292.73743016759778</v>
      </c>
      <c r="I67" s="133">
        <f t="shared" ref="I67:R67" si="228">I27/I57</f>
        <v>307.98122065727699</v>
      </c>
      <c r="J67" s="133">
        <f t="shared" si="228"/>
        <v>351.44032921810697</v>
      </c>
      <c r="K67" s="133">
        <f t="shared" si="228"/>
        <v>410.69958847736621</v>
      </c>
      <c r="L67" s="133">
        <f t="shared" si="228"/>
        <v>514.4032921810699</v>
      </c>
      <c r="M67" s="133">
        <f t="shared" si="228"/>
        <v>52.200740436034557</v>
      </c>
      <c r="N67" s="133">
        <f t="shared" si="228"/>
        <v>64.376799670917322</v>
      </c>
      <c r="O67" s="133">
        <f t="shared" si="228"/>
        <v>63.060468942821885</v>
      </c>
      <c r="P67" s="133">
        <f t="shared" si="228"/>
        <v>77.387350144687886</v>
      </c>
      <c r="Q67" s="133">
        <f t="shared" si="228"/>
        <v>101.9974500637484</v>
      </c>
      <c r="R67" s="133">
        <f t="shared" si="228"/>
        <v>117.84697735672712</v>
      </c>
      <c r="S67" s="133">
        <f t="shared" ref="S67" si="229">S27/S57</f>
        <v>123.28476145970517</v>
      </c>
      <c r="T67" s="118">
        <f t="shared" si="223"/>
        <v>-5.6826041322220466E-2</v>
      </c>
      <c r="U67" s="128"/>
      <c r="V67" s="156">
        <f t="shared" ref="V67:AE67" si="230">V27/V57</f>
        <v>135.3715027792841</v>
      </c>
      <c r="W67" s="156">
        <f t="shared" si="230"/>
        <v>148.64321873803746</v>
      </c>
      <c r="X67" s="156">
        <f t="shared" si="230"/>
        <v>163.21608332019801</v>
      </c>
      <c r="Y67" s="156">
        <f t="shared" si="230"/>
        <v>179.21766011629586</v>
      </c>
      <c r="Z67" s="156">
        <f t="shared" si="230"/>
        <v>196.78801895122683</v>
      </c>
      <c r="AA67" s="156">
        <f t="shared" si="230"/>
        <v>216.08096198566082</v>
      </c>
      <c r="AB67" s="156">
        <f t="shared" si="230"/>
        <v>237.26537002347072</v>
      </c>
      <c r="AC67" s="156">
        <f t="shared" si="230"/>
        <v>260.52668081008551</v>
      </c>
      <c r="AD67" s="156">
        <f t="shared" si="230"/>
        <v>286.0685122620547</v>
      </c>
      <c r="AE67" s="156">
        <f t="shared" si="230"/>
        <v>314.11444483676598</v>
      </c>
      <c r="AF67" s="137">
        <f t="shared" ref="AF67" si="231">((AE67/I67)^(1/($AE$3-$J$1) ))-1</f>
        <v>9.3942118389733764E-4</v>
      </c>
      <c r="AG67" s="31">
        <f t="shared" si="17"/>
        <v>0.05</v>
      </c>
      <c r="AH67" s="145">
        <f t="shared" si="226"/>
        <v>1940.1186298741432</v>
      </c>
    </row>
    <row r="68" spans="2:34">
      <c r="B68" s="20" t="s">
        <v>423</v>
      </c>
      <c r="C68" s="133"/>
      <c r="D68" s="133"/>
      <c r="E68" s="133"/>
      <c r="F68" s="133"/>
      <c r="G68" s="133">
        <f t="shared" ref="G68:H68" si="232">G53-G55</f>
        <v>6.8000000000000007</v>
      </c>
      <c r="H68" s="133">
        <f t="shared" si="232"/>
        <v>10</v>
      </c>
      <c r="I68" s="133">
        <f>I53-I55</f>
        <v>16</v>
      </c>
      <c r="J68" s="133">
        <f t="shared" ref="J68:R68" si="233">J53-J55</f>
        <v>9</v>
      </c>
      <c r="K68" s="133">
        <f t="shared" si="233"/>
        <v>10</v>
      </c>
      <c r="L68" s="133">
        <f t="shared" si="233"/>
        <v>27</v>
      </c>
      <c r="M68" s="133">
        <f t="shared" si="233"/>
        <v>25</v>
      </c>
      <c r="N68" s="133">
        <f t="shared" si="233"/>
        <v>38</v>
      </c>
      <c r="O68" s="133">
        <f t="shared" si="233"/>
        <v>22</v>
      </c>
      <c r="P68" s="133">
        <f t="shared" si="233"/>
        <v>54</v>
      </c>
      <c r="Q68" s="133">
        <f t="shared" si="233"/>
        <v>71</v>
      </c>
      <c r="R68" s="133">
        <f t="shared" si="233"/>
        <v>72.38</v>
      </c>
      <c r="S68" s="133">
        <f t="shared" ref="S68" si="234">S53-S55</f>
        <v>93</v>
      </c>
      <c r="T68" s="118">
        <f t="shared" si="223"/>
        <v>0.24355358251609016</v>
      </c>
      <c r="U68" s="128"/>
      <c r="V68" s="133">
        <f t="shared" ref="V68:AE68" si="235">V53-V55</f>
        <v>104.15999999999997</v>
      </c>
      <c r="W68" s="133">
        <f t="shared" si="235"/>
        <v>116.65919999999994</v>
      </c>
      <c r="X68" s="133">
        <f t="shared" si="235"/>
        <v>130.65830399999999</v>
      </c>
      <c r="Y68" s="133">
        <f t="shared" si="235"/>
        <v>146.33730047999995</v>
      </c>
      <c r="Z68" s="133">
        <f t="shared" si="235"/>
        <v>163.89777653759995</v>
      </c>
      <c r="AA68" s="133">
        <f t="shared" si="235"/>
        <v>183.56550972211198</v>
      </c>
      <c r="AB68" s="133">
        <f t="shared" si="235"/>
        <v>205.59337088876543</v>
      </c>
      <c r="AC68" s="133">
        <f t="shared" si="235"/>
        <v>230.26457539541718</v>
      </c>
      <c r="AD68" s="133">
        <f t="shared" si="235"/>
        <v>257.89632444286735</v>
      </c>
      <c r="AE68" s="133">
        <f t="shared" si="235"/>
        <v>288.84388337601149</v>
      </c>
      <c r="AF68" s="137">
        <f t="shared" ref="AF68" si="236">((AE68/I68)^(1/($AE$3-$J$1) ))-1</f>
        <v>0.14771852130517171</v>
      </c>
      <c r="AG68" s="31">
        <f t="shared" si="17"/>
        <v>0.05</v>
      </c>
      <c r="AH68" s="145">
        <f t="shared" ref="AH68" si="237">(AE68*(1+AG68))/($C$1-AG68)</f>
        <v>1784.0357502636007</v>
      </c>
    </row>
    <row r="69" spans="2:34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28"/>
      <c r="U69" s="128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19"/>
      <c r="AG69" s="136"/>
      <c r="AH69" s="145"/>
    </row>
    <row r="70" spans="2:34">
      <c r="B70" s="20" t="s">
        <v>458</v>
      </c>
      <c r="C70" s="133"/>
      <c r="D70" s="133"/>
      <c r="E70" s="133"/>
      <c r="F70" s="133"/>
      <c r="G70" s="25">
        <f t="shared" ref="G70:H70" si="238">G51/G57</f>
        <v>15.026714158504008</v>
      </c>
      <c r="H70" s="25">
        <f t="shared" si="238"/>
        <v>21.229050279329609</v>
      </c>
      <c r="I70" s="25">
        <f t="shared" ref="I70:R70" si="239">I51/I57</f>
        <v>38.967136150234744</v>
      </c>
      <c r="J70" s="25">
        <f t="shared" si="239"/>
        <v>48.559670781893004</v>
      </c>
      <c r="K70" s="25">
        <f t="shared" si="239"/>
        <v>63.374485596707814</v>
      </c>
      <c r="L70" s="25">
        <f t="shared" si="239"/>
        <v>80.246913580246911</v>
      </c>
      <c r="M70" s="25">
        <f t="shared" si="239"/>
        <v>8.1036610448375157</v>
      </c>
      <c r="N70" s="25">
        <f t="shared" si="239"/>
        <v>9.2965857671740029</v>
      </c>
      <c r="O70" s="25">
        <f t="shared" si="239"/>
        <v>9.2965857671740029</v>
      </c>
      <c r="P70" s="25">
        <f t="shared" si="239"/>
        <v>12.112443158329889</v>
      </c>
      <c r="Q70" s="25">
        <f t="shared" si="239"/>
        <v>18.699532511687206</v>
      </c>
      <c r="R70" s="25">
        <f t="shared" si="239"/>
        <v>20.74217256467989</v>
      </c>
      <c r="S70" s="25">
        <f>S51/S57</f>
        <v>20.74217256467989</v>
      </c>
      <c r="T70" s="118">
        <f t="shared" ref="T70:T134" si="240">((S70/G70)^(1/($J$2-$J$1) ))-1</f>
        <v>2.7225641052356586E-2</v>
      </c>
      <c r="U70" s="128"/>
      <c r="V70" s="112">
        <f>V51/V57</f>
        <v>22.775718894550469</v>
      </c>
      <c r="W70" s="112">
        <f t="shared" ref="W70:AE70" si="241">W51/W57</f>
        <v>25.008632511663262</v>
      </c>
      <c r="X70" s="112">
        <f t="shared" si="241"/>
        <v>27.46045922849299</v>
      </c>
      <c r="Y70" s="112">
        <f t="shared" si="241"/>
        <v>30.152661113639365</v>
      </c>
      <c r="Z70" s="112">
        <f t="shared" si="241"/>
        <v>33.1088043600746</v>
      </c>
      <c r="AA70" s="112">
        <f t="shared" si="241"/>
        <v>36.354765571846627</v>
      </c>
      <c r="AB70" s="112">
        <f t="shared" si="241"/>
        <v>39.918958274968844</v>
      </c>
      <c r="AC70" s="112">
        <f t="shared" si="241"/>
        <v>43.832581635259913</v>
      </c>
      <c r="AD70" s="112">
        <f t="shared" si="241"/>
        <v>48.129893560285396</v>
      </c>
      <c r="AE70" s="112">
        <f t="shared" si="241"/>
        <v>52.848510575999654</v>
      </c>
      <c r="AF70" s="137">
        <f t="shared" ref="AF70:AF71" si="242">((AE70/I70)^(1/($AE$3-$J$1) ))-1</f>
        <v>1.4615824626253549E-2</v>
      </c>
      <c r="AG70" s="31">
        <f t="shared" si="17"/>
        <v>0.05</v>
      </c>
      <c r="AH70" s="145">
        <f t="shared" ref="AH70:AH71" si="243">(AE70*(1+AG70))/($C$1-AG70)</f>
        <v>326.41727120470375</v>
      </c>
    </row>
    <row r="71" spans="2:34">
      <c r="B71" s="20" t="s">
        <v>459</v>
      </c>
      <c r="C71" s="133"/>
      <c r="D71" s="133"/>
      <c r="E71" s="133"/>
      <c r="F71" s="133"/>
      <c r="G71" s="25">
        <f t="shared" ref="G71:H71" si="244">G53/G57</f>
        <v>11.687444345503117</v>
      </c>
      <c r="H71" s="25">
        <f t="shared" si="244"/>
        <v>14.525139664804469</v>
      </c>
      <c r="I71" s="25">
        <f t="shared" ref="I71:R71" si="245">I53/I57</f>
        <v>22.535211267605636</v>
      </c>
      <c r="J71" s="25">
        <f t="shared" si="245"/>
        <v>23.868312757201643</v>
      </c>
      <c r="K71" s="25">
        <f t="shared" si="245"/>
        <v>26.748971193415635</v>
      </c>
      <c r="L71" s="25">
        <f t="shared" si="245"/>
        <v>37.860082304526749</v>
      </c>
      <c r="M71" s="25">
        <f t="shared" si="245"/>
        <v>6.170300287947347</v>
      </c>
      <c r="N71" s="25">
        <f t="shared" si="245"/>
        <v>6.4993829699712053</v>
      </c>
      <c r="O71" s="25">
        <f t="shared" si="245"/>
        <v>3.9078568490333199</v>
      </c>
      <c r="P71" s="25">
        <f t="shared" si="245"/>
        <v>7.6064489458453899</v>
      </c>
      <c r="Q71" s="25">
        <f t="shared" si="245"/>
        <v>13.854653633659158</v>
      </c>
      <c r="R71" s="25">
        <f t="shared" si="245"/>
        <v>16.742427460809719</v>
      </c>
      <c r="S71" s="25">
        <f>S53/S57</f>
        <v>18.267555970941839</v>
      </c>
      <c r="T71" s="118">
        <f t="shared" si="240"/>
        <v>3.7918869543883904E-2</v>
      </c>
      <c r="U71" s="128"/>
      <c r="V71" s="112">
        <f>V53/V57</f>
        <v>20.058492830838098</v>
      </c>
      <c r="W71" s="112">
        <f t="shared" ref="W71:AE71" si="246">W53/W57</f>
        <v>22.025011735822225</v>
      </c>
      <c r="X71" s="112">
        <f t="shared" si="246"/>
        <v>24.184326611883233</v>
      </c>
      <c r="Y71" s="112">
        <f t="shared" si="246"/>
        <v>26.555339024812959</v>
      </c>
      <c r="Z71" s="112">
        <f t="shared" si="246"/>
        <v>29.158803635088741</v>
      </c>
      <c r="AA71" s="112">
        <f t="shared" si="246"/>
        <v>32.017509873822931</v>
      </c>
      <c r="AB71" s="112">
        <f t="shared" si="246"/>
        <v>35.156481430080085</v>
      </c>
      <c r="AC71" s="112">
        <f t="shared" si="246"/>
        <v>38.603195295774213</v>
      </c>
      <c r="AD71" s="112">
        <f t="shared" si="246"/>
        <v>42.387822285556005</v>
      </c>
      <c r="AE71" s="112">
        <f t="shared" si="246"/>
        <v>46.543491137081105</v>
      </c>
      <c r="AF71" s="137">
        <f t="shared" si="242"/>
        <v>3.5141862705946325E-2</v>
      </c>
      <c r="AG71" s="31">
        <f t="shared" si="17"/>
        <v>0.05</v>
      </c>
      <c r="AH71" s="145">
        <f t="shared" si="243"/>
        <v>287.47450408197153</v>
      </c>
    </row>
    <row r="72" spans="2:34">
      <c r="B72" s="20" t="s">
        <v>257</v>
      </c>
      <c r="C72" s="25"/>
      <c r="D72" s="25"/>
      <c r="E72" s="25"/>
      <c r="F72" s="25"/>
      <c r="G72" s="133">
        <f t="shared" ref="G72:H72" si="247">G55/G57</f>
        <v>7.9029385574354407</v>
      </c>
      <c r="H72" s="133">
        <f t="shared" si="247"/>
        <v>8.938547486033519</v>
      </c>
      <c r="I72" s="133">
        <f t="shared" ref="I72:R72" si="248">I55/I57</f>
        <v>15.023474178403756</v>
      </c>
      <c r="J72" s="133">
        <f t="shared" si="248"/>
        <v>20.164609053497941</v>
      </c>
      <c r="K72" s="133">
        <f t="shared" si="248"/>
        <v>22.633744855967077</v>
      </c>
      <c r="L72" s="133">
        <f t="shared" si="248"/>
        <v>26.748971193415635</v>
      </c>
      <c r="M72" s="133">
        <f t="shared" si="248"/>
        <v>5.1419169066227894</v>
      </c>
      <c r="N72" s="133">
        <f t="shared" si="248"/>
        <v>4.9362402303578774</v>
      </c>
      <c r="O72" s="133">
        <f t="shared" si="248"/>
        <v>3.0028794734677091</v>
      </c>
      <c r="P72" s="133">
        <f t="shared" si="248"/>
        <v>5.3741215378255474</v>
      </c>
      <c r="Q72" s="133">
        <f t="shared" si="248"/>
        <v>10.837229069273267</v>
      </c>
      <c r="R72" s="133">
        <f t="shared" si="248"/>
        <v>13.667530481328859</v>
      </c>
      <c r="S72" s="133">
        <f t="shared" ref="S72" si="249">S55/S57</f>
        <v>14.316665958621861</v>
      </c>
      <c r="T72" s="118">
        <f t="shared" si="240"/>
        <v>5.0762198565893701E-2</v>
      </c>
      <c r="U72" s="128"/>
      <c r="V72" s="156">
        <f t="shared" ref="V72:AE72" si="250">V55/V57</f>
        <v>15.720260660447535</v>
      </c>
      <c r="W72" s="156">
        <f t="shared" si="250"/>
        <v>17.261462685981609</v>
      </c>
      <c r="X72" s="156">
        <f t="shared" si="250"/>
        <v>18.953762949313138</v>
      </c>
      <c r="Y72" s="156">
        <f t="shared" si="250"/>
        <v>20.811975003167369</v>
      </c>
      <c r="Z72" s="156">
        <f t="shared" si="250"/>
        <v>22.852364709360248</v>
      </c>
      <c r="AA72" s="156">
        <f t="shared" si="250"/>
        <v>25.092792622042627</v>
      </c>
      <c r="AB72" s="156">
        <f t="shared" si="250"/>
        <v>27.552870330086026</v>
      </c>
      <c r="AC72" s="156">
        <f t="shared" si="250"/>
        <v>30.254132127153287</v>
      </c>
      <c r="AD72" s="156">
        <f t="shared" si="250"/>
        <v>33.220223512168317</v>
      </c>
      <c r="AE72" s="156">
        <f t="shared" si="250"/>
        <v>36.477108170224035</v>
      </c>
      <c r="AF72" s="137">
        <f t="shared" ref="AF72:AF86" si="251">((AE72/I72)^(1/($AE$3-$J$1) ))-1</f>
        <v>4.3146341722449133E-2</v>
      </c>
      <c r="AG72" s="31">
        <f t="shared" si="17"/>
        <v>0.05</v>
      </c>
      <c r="AH72" s="145">
        <f t="shared" ref="AH72:AH100" si="252">(AE72*(1+AG72))/($C$1-AG72)</f>
        <v>225.29978575726611</v>
      </c>
    </row>
    <row r="73" spans="2:34">
      <c r="B73" s="20" t="s">
        <v>384</v>
      </c>
      <c r="C73" s="133"/>
      <c r="D73" s="133"/>
      <c r="E73" s="133"/>
      <c r="F73" s="133"/>
      <c r="G73" s="133">
        <f t="shared" ref="G73:H73" si="253">G20/G57</f>
        <v>-4.4523597506678545</v>
      </c>
      <c r="H73" s="133">
        <f t="shared" si="253"/>
        <v>-53.072625698324025</v>
      </c>
      <c r="I73" s="133">
        <f>I20/I57</f>
        <v>-65.727699530516432</v>
      </c>
      <c r="J73" s="133">
        <f t="shared" ref="J73:R73" si="254">J20/J57</f>
        <v>67.078189300411523</v>
      </c>
      <c r="K73" s="133">
        <f t="shared" si="254"/>
        <v>-88.065843621399168</v>
      </c>
      <c r="L73" s="133">
        <f t="shared" si="254"/>
        <v>116.04938271604938</v>
      </c>
      <c r="M73" s="133">
        <f t="shared" si="254"/>
        <v>7.0341423282599758</v>
      </c>
      <c r="N73" s="133">
        <f t="shared" si="254"/>
        <v>-6.2114356232003294</v>
      </c>
      <c r="O73" s="133">
        <f t="shared" si="254"/>
        <v>5.8000822706705062</v>
      </c>
      <c r="P73" s="133">
        <f t="shared" si="254"/>
        <v>7.0276973956180235</v>
      </c>
      <c r="Q73" s="133">
        <f t="shared" si="254"/>
        <v>-8.7972800679982992</v>
      </c>
      <c r="R73" s="133">
        <f t="shared" si="254"/>
        <v>0</v>
      </c>
      <c r="S73" s="133">
        <f t="shared" ref="S73" si="255">S20/S57</f>
        <v>0</v>
      </c>
      <c r="T73" s="118">
        <f t="shared" si="240"/>
        <v>-1</v>
      </c>
      <c r="U73" s="128"/>
      <c r="V73" s="133">
        <f t="shared" ref="V73:AE73" si="256">V20/V57</f>
        <v>0</v>
      </c>
      <c r="W73" s="133">
        <f t="shared" si="256"/>
        <v>0</v>
      </c>
      <c r="X73" s="133">
        <f t="shared" si="256"/>
        <v>0</v>
      </c>
      <c r="Y73" s="133">
        <f t="shared" si="256"/>
        <v>0</v>
      </c>
      <c r="Z73" s="133">
        <f t="shared" si="256"/>
        <v>0</v>
      </c>
      <c r="AA73" s="133">
        <f t="shared" si="256"/>
        <v>0</v>
      </c>
      <c r="AB73" s="133">
        <f t="shared" si="256"/>
        <v>0</v>
      </c>
      <c r="AC73" s="133">
        <f t="shared" si="256"/>
        <v>0</v>
      </c>
      <c r="AD73" s="133">
        <f t="shared" si="256"/>
        <v>0</v>
      </c>
      <c r="AE73" s="133">
        <f t="shared" si="256"/>
        <v>0</v>
      </c>
      <c r="AF73" s="137">
        <f t="shared" ref="AF73" si="257">((AE73/I73)^(1/($AE$3-$J$1) ))-1</f>
        <v>-1</v>
      </c>
      <c r="AG73" s="31">
        <f t="shared" si="17"/>
        <v>0.05</v>
      </c>
      <c r="AH73" s="145">
        <f t="shared" si="252"/>
        <v>0</v>
      </c>
    </row>
    <row r="74" spans="2:34">
      <c r="B74" s="20" t="s">
        <v>245</v>
      </c>
      <c r="C74" s="25"/>
      <c r="D74" s="25"/>
      <c r="E74" s="25"/>
      <c r="F74" s="25"/>
      <c r="G74" s="133">
        <f t="shared" ref="G74:H74" si="258">G7/G57</f>
        <v>83.48174532502226</v>
      </c>
      <c r="H74" s="133">
        <f t="shared" si="258"/>
        <v>99.441340782122907</v>
      </c>
      <c r="I74" s="133">
        <f t="shared" ref="I74:R74" si="259">I7/I57</f>
        <v>124.88262910798123</v>
      </c>
      <c r="J74" s="133">
        <f t="shared" si="259"/>
        <v>127.9835390946502</v>
      </c>
      <c r="K74" s="133">
        <f t="shared" si="259"/>
        <v>148.559670781893</v>
      </c>
      <c r="L74" s="133">
        <f t="shared" si="259"/>
        <v>173.6625514403292</v>
      </c>
      <c r="M74" s="133">
        <f t="shared" si="259"/>
        <v>22.007404360345539</v>
      </c>
      <c r="N74" s="133">
        <f t="shared" si="259"/>
        <v>265.19950637597697</v>
      </c>
      <c r="O74" s="133">
        <f t="shared" si="259"/>
        <v>29.494035376388318</v>
      </c>
      <c r="P74" s="133">
        <f t="shared" si="259"/>
        <v>34.270359652749065</v>
      </c>
      <c r="Q74" s="133">
        <f t="shared" si="259"/>
        <v>44.326391840203996</v>
      </c>
      <c r="R74" s="133">
        <f t="shared" si="259"/>
        <v>56.247079315179064</v>
      </c>
      <c r="S74" s="133">
        <f t="shared" ref="S74" si="260">S7/S57</f>
        <v>68.99188580653383</v>
      </c>
      <c r="T74" s="118">
        <f t="shared" si="240"/>
        <v>-1.5761064426777605E-2</v>
      </c>
      <c r="U74" s="128"/>
      <c r="V74" s="156">
        <f t="shared" ref="V74:AE74" si="261">V7/V57</f>
        <v>75.755796179723419</v>
      </c>
      <c r="W74" s="156">
        <f t="shared" si="261"/>
        <v>83.182835020872787</v>
      </c>
      <c r="X74" s="156">
        <f t="shared" si="261"/>
        <v>91.338014924879914</v>
      </c>
      <c r="Y74" s="156">
        <f t="shared" si="261"/>
        <v>100.29272227045638</v>
      </c>
      <c r="Z74" s="156">
        <f t="shared" si="261"/>
        <v>110.12534210089329</v>
      </c>
      <c r="AA74" s="156">
        <f t="shared" si="261"/>
        <v>120.92194426764755</v>
      </c>
      <c r="AB74" s="156">
        <f t="shared" si="261"/>
        <v>132.77703684290711</v>
      </c>
      <c r="AC74" s="156">
        <f t="shared" si="261"/>
        <v>145.79439339613333</v>
      </c>
      <c r="AD74" s="156">
        <f t="shared" si="261"/>
        <v>160.08796137614641</v>
      </c>
      <c r="AE74" s="156">
        <f t="shared" si="261"/>
        <v>175.7828595502784</v>
      </c>
      <c r="AF74" s="137">
        <f t="shared" si="251"/>
        <v>1.6413006614348857E-2</v>
      </c>
      <c r="AG74" s="31">
        <f t="shared" si="17"/>
        <v>0.05</v>
      </c>
      <c r="AH74" s="145">
        <f t="shared" si="252"/>
        <v>1085.7176619281904</v>
      </c>
    </row>
    <row r="75" spans="2:34">
      <c r="B75" s="20" t="s">
        <v>246</v>
      </c>
      <c r="C75" s="127"/>
      <c r="D75" s="127"/>
      <c r="E75" s="127"/>
      <c r="F75" s="127"/>
      <c r="G75" s="143">
        <f t="shared" ref="G75:H75" si="262">G6/G57</f>
        <v>73.463935886019598</v>
      </c>
      <c r="H75" s="143">
        <f t="shared" si="262"/>
        <v>81.005586592178773</v>
      </c>
      <c r="I75" s="143">
        <f t="shared" ref="I75:R75" si="263">I6/I57</f>
        <v>102.8169014084507</v>
      </c>
      <c r="J75" s="143">
        <f t="shared" si="263"/>
        <v>118.10699588477365</v>
      </c>
      <c r="K75" s="143">
        <f t="shared" si="263"/>
        <v>138.27160493827159</v>
      </c>
      <c r="L75" s="143">
        <f t="shared" si="263"/>
        <v>163.78600823045267</v>
      </c>
      <c r="M75" s="143">
        <f t="shared" si="263"/>
        <v>21.020156314273962</v>
      </c>
      <c r="N75" s="143">
        <f t="shared" si="263"/>
        <v>25.586178527354999</v>
      </c>
      <c r="O75" s="143">
        <f t="shared" si="263"/>
        <v>28.506787330316744</v>
      </c>
      <c r="P75" s="143">
        <f t="shared" si="263"/>
        <v>33.278214138073579</v>
      </c>
      <c r="Q75" s="143">
        <f t="shared" si="263"/>
        <v>43.348916277093068</v>
      </c>
      <c r="R75" s="143">
        <f t="shared" si="263"/>
        <v>55.269977484175193</v>
      </c>
      <c r="S75" s="143">
        <f t="shared" ref="S75" si="264">S6/S57</f>
        <v>67.972301287225449</v>
      </c>
      <c r="T75" s="118">
        <f t="shared" si="240"/>
        <v>-6.4536128590766406E-3</v>
      </c>
      <c r="U75" s="128"/>
      <c r="V75" s="155">
        <f t="shared" ref="V75:AE75" si="265">V6/V57</f>
        <v>74.636252393816193</v>
      </c>
      <c r="W75" s="155">
        <f t="shared" si="265"/>
        <v>81.953532040268755</v>
      </c>
      <c r="X75" s="155">
        <f t="shared" si="265"/>
        <v>89.988192044216675</v>
      </c>
      <c r="Y75" s="155">
        <f t="shared" si="265"/>
        <v>98.810563813257531</v>
      </c>
      <c r="Z75" s="155">
        <f t="shared" si="265"/>
        <v>108.49787399102787</v>
      </c>
      <c r="AA75" s="155">
        <f t="shared" si="265"/>
        <v>119.13492046073648</v>
      </c>
      <c r="AB75" s="155">
        <f t="shared" si="265"/>
        <v>130.81481462355379</v>
      </c>
      <c r="AC75" s="155">
        <f t="shared" si="265"/>
        <v>143.63979644939241</v>
      </c>
      <c r="AD75" s="155">
        <f t="shared" si="265"/>
        <v>157.72212943462696</v>
      </c>
      <c r="AE75" s="155">
        <f t="shared" si="265"/>
        <v>173.18508330076691</v>
      </c>
      <c r="AF75" s="137">
        <f t="shared" si="251"/>
        <v>2.5139910030768542E-2</v>
      </c>
      <c r="AG75" s="31">
        <f t="shared" si="17"/>
        <v>0.05</v>
      </c>
      <c r="AH75" s="145">
        <f t="shared" si="252"/>
        <v>1069.6725733282665</v>
      </c>
    </row>
    <row r="76" spans="2:34">
      <c r="B76" s="20" t="s">
        <v>247</v>
      </c>
      <c r="C76" s="127"/>
      <c r="D76" s="127"/>
      <c r="E76" s="127"/>
      <c r="F76" s="127"/>
      <c r="G76" s="143">
        <f t="shared" ref="G76:H76" si="266">G10/G57</f>
        <v>95.725734639358862</v>
      </c>
      <c r="H76" s="143">
        <f t="shared" si="266"/>
        <v>165.3631284916201</v>
      </c>
      <c r="I76" s="143">
        <f t="shared" ref="I76:R76" si="267">I10/I57</f>
        <v>212.20657276995306</v>
      </c>
      <c r="J76" s="143">
        <f t="shared" si="267"/>
        <v>200.41152263374485</v>
      </c>
      <c r="K76" s="143">
        <f t="shared" si="267"/>
        <v>317.69547325102877</v>
      </c>
      <c r="L76" s="143">
        <f t="shared" si="267"/>
        <v>246.91358024691357</v>
      </c>
      <c r="M76" s="143">
        <f t="shared" si="267"/>
        <v>24.845742492801318</v>
      </c>
      <c r="N76" s="143">
        <f t="shared" si="267"/>
        <v>37.021801727684085</v>
      </c>
      <c r="O76" s="143">
        <f t="shared" si="267"/>
        <v>35.993418346359526</v>
      </c>
      <c r="P76" s="143">
        <f t="shared" si="267"/>
        <v>34.518396031417943</v>
      </c>
      <c r="Q76" s="143">
        <f t="shared" si="267"/>
        <v>55.886102847428809</v>
      </c>
      <c r="R76" s="143">
        <f t="shared" si="267"/>
        <v>54.439440927821913</v>
      </c>
      <c r="S76" s="143">
        <f t="shared" ref="S76" si="268">S10/S57</f>
        <v>54.439440927821913</v>
      </c>
      <c r="T76" s="118">
        <f t="shared" si="240"/>
        <v>-4.5944266740337691E-2</v>
      </c>
      <c r="U76" s="128"/>
      <c r="V76" s="155">
        <f t="shared" ref="V76:AE76" si="269">V10/V57</f>
        <v>59.776641018784844</v>
      </c>
      <c r="W76" s="155">
        <f t="shared" si="269"/>
        <v>65.637096020626501</v>
      </c>
      <c r="X76" s="155">
        <f t="shared" si="269"/>
        <v>72.072105434413402</v>
      </c>
      <c r="Y76" s="155">
        <f t="shared" si="269"/>
        <v>79.137998124061781</v>
      </c>
      <c r="Z76" s="155">
        <f t="shared" si="269"/>
        <v>86.896625391126662</v>
      </c>
      <c r="AA76" s="155">
        <f t="shared" si="269"/>
        <v>95.415902390256747</v>
      </c>
      <c r="AB76" s="155">
        <f t="shared" si="269"/>
        <v>104.77040262459566</v>
      </c>
      <c r="AC76" s="155">
        <f t="shared" si="269"/>
        <v>115.04201072504623</v>
      </c>
      <c r="AD76" s="155">
        <f t="shared" si="269"/>
        <v>126.32063922750174</v>
      </c>
      <c r="AE76" s="155">
        <f t="shared" si="269"/>
        <v>138.70501562235486</v>
      </c>
      <c r="AF76" s="137">
        <f t="shared" si="251"/>
        <v>-2.0044512367785705E-2</v>
      </c>
      <c r="AG76" s="31">
        <f t="shared" si="17"/>
        <v>0.05</v>
      </c>
      <c r="AH76" s="145">
        <f t="shared" si="252"/>
        <v>856.70744943219199</v>
      </c>
    </row>
    <row r="77" spans="2:34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28"/>
      <c r="U77" s="128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38"/>
      <c r="AG77" s="136"/>
      <c r="AH77" s="145"/>
    </row>
    <row r="78" spans="2:34">
      <c r="B78" s="20" t="s">
        <v>270</v>
      </c>
      <c r="C78" s="127"/>
      <c r="D78" s="127"/>
      <c r="E78" s="127"/>
      <c r="F78" s="127"/>
      <c r="G78" s="143">
        <f t="shared" ref="G78:H78" si="270">(G7-G10)/G57</f>
        <v>-12.243989314336599</v>
      </c>
      <c r="H78" s="143">
        <f t="shared" si="270"/>
        <v>-65.92178770949721</v>
      </c>
      <c r="I78" s="143">
        <f t="shared" ref="I78:R78" si="271">(I7-I10)/I57</f>
        <v>-87.323943661971839</v>
      </c>
      <c r="J78" s="143">
        <f t="shared" si="271"/>
        <v>-72.42798353909464</v>
      </c>
      <c r="K78" s="143">
        <f t="shared" si="271"/>
        <v>-169.1358024691358</v>
      </c>
      <c r="L78" s="143">
        <f t="shared" si="271"/>
        <v>-73.251028806584358</v>
      </c>
      <c r="M78" s="143">
        <f t="shared" si="271"/>
        <v>-2.8383381324557795</v>
      </c>
      <c r="N78" s="143">
        <f t="shared" si="271"/>
        <v>228.17770464829289</v>
      </c>
      <c r="O78" s="143">
        <f t="shared" si="271"/>
        <v>-6.4993829699712053</v>
      </c>
      <c r="P78" s="143">
        <f t="shared" si="271"/>
        <v>-0.24803637866887143</v>
      </c>
      <c r="Q78" s="143">
        <f t="shared" si="271"/>
        <v>-11.559711007224818</v>
      </c>
      <c r="R78" s="143">
        <f t="shared" si="271"/>
        <v>1.80763838735715</v>
      </c>
      <c r="S78" s="143">
        <f t="shared" ref="S78" si="272">(S7-S10)/S57</f>
        <v>14.552444878711922</v>
      </c>
      <c r="T78" s="118" t="e">
        <f t="shared" si="240"/>
        <v>#NUM!</v>
      </c>
      <c r="U78" s="128"/>
      <c r="V78" s="155">
        <f t="shared" ref="V78:AE78" si="273">(V7-V10)/V57</f>
        <v>15.97915516093858</v>
      </c>
      <c r="W78" s="155">
        <f t="shared" si="273"/>
        <v>17.545739000246282</v>
      </c>
      <c r="X78" s="155">
        <f t="shared" si="273"/>
        <v>19.265909490466505</v>
      </c>
      <c r="Y78" s="155">
        <f t="shared" si="273"/>
        <v>21.154724146394603</v>
      </c>
      <c r="Z78" s="155">
        <f t="shared" si="273"/>
        <v>23.228716709766619</v>
      </c>
      <c r="AA78" s="155">
        <f t="shared" si="273"/>
        <v>25.5060418773908</v>
      </c>
      <c r="AB78" s="155">
        <f t="shared" si="273"/>
        <v>28.006634218311465</v>
      </c>
      <c r="AC78" s="155">
        <f t="shared" si="273"/>
        <v>30.752382671087091</v>
      </c>
      <c r="AD78" s="155">
        <f t="shared" si="273"/>
        <v>33.767322148644652</v>
      </c>
      <c r="AE78" s="155">
        <f t="shared" si="273"/>
        <v>37.077843927923539</v>
      </c>
      <c r="AF78" s="137">
        <f t="shared" si="251"/>
        <v>-1.9600300248555489</v>
      </c>
      <c r="AG78" s="31">
        <f t="shared" si="17"/>
        <v>0.05</v>
      </c>
      <c r="AH78" s="145">
        <f t="shared" si="252"/>
        <v>229.01021249599836</v>
      </c>
    </row>
    <row r="79" spans="2:34">
      <c r="B79" s="20" t="s">
        <v>271</v>
      </c>
      <c r="C79" s="127"/>
      <c r="D79" s="127"/>
      <c r="E79" s="127"/>
      <c r="F79" s="127"/>
      <c r="G79" s="143">
        <f t="shared" ref="G79:H79" si="274">(G7-G10-G9)/G57</f>
        <v>-22.818343722172752</v>
      </c>
      <c r="H79" s="143">
        <f t="shared" si="274"/>
        <v>-89.944134078212286</v>
      </c>
      <c r="I79" s="143">
        <f t="shared" ref="I79:R79" si="275">(I7-I10-I9)/I57</f>
        <v>-100.93896713615024</v>
      </c>
      <c r="J79" s="143">
        <f t="shared" si="275"/>
        <v>-147.32510288065842</v>
      </c>
      <c r="K79" s="143">
        <f t="shared" si="275"/>
        <v>-246.91358024691357</v>
      </c>
      <c r="L79" s="143">
        <f t="shared" si="275"/>
        <v>-132.51028806584361</v>
      </c>
      <c r="M79" s="143">
        <f t="shared" si="275"/>
        <v>-11.271081859317155</v>
      </c>
      <c r="N79" s="143">
        <f t="shared" si="275"/>
        <v>215.26120937885645</v>
      </c>
      <c r="O79" s="143">
        <f t="shared" si="275"/>
        <v>-22.994652406417114</v>
      </c>
      <c r="P79" s="143">
        <f t="shared" si="275"/>
        <v>-13.393964448119057</v>
      </c>
      <c r="Q79" s="143">
        <f t="shared" si="275"/>
        <v>-25.03187420314492</v>
      </c>
      <c r="R79" s="143">
        <f t="shared" si="275"/>
        <v>-15.64382514125494</v>
      </c>
      <c r="S79" s="143">
        <f t="shared" ref="S79" si="276">(S7-S10-S9)/S57</f>
        <v>-2.8990186499001682</v>
      </c>
      <c r="T79" s="118">
        <f t="shared" si="240"/>
        <v>-0.1579641652392002</v>
      </c>
      <c r="U79" s="128"/>
      <c r="V79" s="155">
        <f t="shared" ref="V79:AE79" si="277">(V7-V10-V9)/V57</f>
        <v>-3.1832361645962659</v>
      </c>
      <c r="W79" s="155">
        <f t="shared" si="277"/>
        <v>-3.4953181415174686</v>
      </c>
      <c r="X79" s="155">
        <f t="shared" si="277"/>
        <v>-3.8379963906858507</v>
      </c>
      <c r="Y79" s="155">
        <f t="shared" si="277"/>
        <v>-4.2142705466354382</v>
      </c>
      <c r="Z79" s="155">
        <f t="shared" si="277"/>
        <v>-4.62743432571735</v>
      </c>
      <c r="AA79" s="155">
        <f t="shared" si="277"/>
        <v>-5.0811043576504238</v>
      </c>
      <c r="AB79" s="155">
        <f t="shared" si="277"/>
        <v>-5.5792518436945882</v>
      </c>
      <c r="AC79" s="155">
        <f t="shared" si="277"/>
        <v>-6.1262373185666208</v>
      </c>
      <c r="AD79" s="155">
        <f t="shared" si="277"/>
        <v>-6.7268488203868788</v>
      </c>
      <c r="AE79" s="155">
        <f t="shared" si="277"/>
        <v>-7.386343802777751</v>
      </c>
      <c r="AF79" s="137">
        <f t="shared" si="251"/>
        <v>-0.11707784938375454</v>
      </c>
      <c r="AG79" s="31">
        <f t="shared" si="17"/>
        <v>0.05</v>
      </c>
      <c r="AH79" s="145">
        <f t="shared" si="252"/>
        <v>-45.621535252450826</v>
      </c>
    </row>
    <row r="80" spans="2:34">
      <c r="B80" s="20" t="s">
        <v>276</v>
      </c>
      <c r="C80" s="127"/>
      <c r="D80" s="127"/>
      <c r="E80" s="127"/>
      <c r="F80" s="127"/>
      <c r="G80" s="143">
        <f t="shared" ref="G80:H80" si="278">(G7+G15-G10-G9)/G57</f>
        <v>107.41317898486199</v>
      </c>
      <c r="H80" s="143">
        <f t="shared" si="278"/>
        <v>134.07821229050279</v>
      </c>
      <c r="I80" s="143">
        <f t="shared" ref="I80:R80" si="279">(I7+I15-I10-I9)/I57</f>
        <v>145.07042253521126</v>
      </c>
      <c r="J80" s="143">
        <f t="shared" si="279"/>
        <v>144.44444444444443</v>
      </c>
      <c r="K80" s="143">
        <f t="shared" si="279"/>
        <v>182.71604938271605</v>
      </c>
      <c r="L80" s="143">
        <f t="shared" si="279"/>
        <v>225.10288065843619</v>
      </c>
      <c r="M80" s="143">
        <f t="shared" si="279"/>
        <v>28.136569313039903</v>
      </c>
      <c r="N80" s="143">
        <f t="shared" si="279"/>
        <v>271.24640065816538</v>
      </c>
      <c r="O80" s="143">
        <f t="shared" si="279"/>
        <v>38.009049773755656</v>
      </c>
      <c r="P80" s="143">
        <f t="shared" si="279"/>
        <v>47.292269532864815</v>
      </c>
      <c r="Q80" s="143">
        <f t="shared" si="279"/>
        <v>61.793455163620905</v>
      </c>
      <c r="R80" s="143">
        <f t="shared" si="279"/>
        <v>78.837248821105391</v>
      </c>
      <c r="S80" s="143">
        <f t="shared" ref="S80" si="280">(S7+S15-S10-S9)/S57</f>
        <v>91.58205531246017</v>
      </c>
      <c r="T80" s="118">
        <f t="shared" si="240"/>
        <v>-1.3199408100191046E-2</v>
      </c>
      <c r="U80" s="128"/>
      <c r="V80" s="155">
        <f t="shared" ref="V80:AE80" si="281">(V7+V15-V10-V9)/V57</f>
        <v>100.56068818623076</v>
      </c>
      <c r="W80" s="155">
        <f t="shared" si="281"/>
        <v>110.41957918488085</v>
      </c>
      <c r="X80" s="155">
        <f t="shared" si="281"/>
        <v>121.24502812457506</v>
      </c>
      <c r="Y80" s="155">
        <f t="shared" si="281"/>
        <v>133.13179558776866</v>
      </c>
      <c r="Z80" s="155">
        <f t="shared" si="281"/>
        <v>146.18393241009895</v>
      </c>
      <c r="AA80" s="155">
        <f t="shared" si="281"/>
        <v>160.51569048952038</v>
      </c>
      <c r="AB80" s="155">
        <f t="shared" si="281"/>
        <v>176.2525228904538</v>
      </c>
      <c r="AC80" s="155">
        <f t="shared" si="281"/>
        <v>193.53218199736099</v>
      </c>
      <c r="AD80" s="155">
        <f t="shared" si="281"/>
        <v>212.50592533043562</v>
      </c>
      <c r="AE80" s="155">
        <f t="shared" si="281"/>
        <v>233.33983957851763</v>
      </c>
      <c r="AF80" s="137">
        <f t="shared" si="251"/>
        <v>2.2890272394909594E-2</v>
      </c>
      <c r="AG80" s="31">
        <f t="shared" si="17"/>
        <v>0.05</v>
      </c>
      <c r="AH80" s="145">
        <f t="shared" si="252"/>
        <v>1441.216656220256</v>
      </c>
    </row>
    <row r="81" spans="2:34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28"/>
      <c r="U81" s="128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38"/>
      <c r="AG81" s="136"/>
      <c r="AH81" s="152"/>
    </row>
    <row r="82" spans="2:34">
      <c r="B82" s="20" t="s">
        <v>248</v>
      </c>
      <c r="C82" s="127"/>
      <c r="D82" s="127"/>
      <c r="E82" s="127"/>
      <c r="F82" s="127"/>
      <c r="G82" s="143">
        <f t="shared" ref="G82:H82" si="282">G12/G57</f>
        <v>11.130899376669635</v>
      </c>
      <c r="H82" s="143">
        <f t="shared" si="282"/>
        <v>7.2625698324022343</v>
      </c>
      <c r="I82" s="143">
        <f t="shared" ref="I82:R82" si="283">I12/I57</f>
        <v>30.985915492957748</v>
      </c>
      <c r="J82" s="143">
        <f t="shared" si="283"/>
        <v>15.637860082304526</v>
      </c>
      <c r="K82" s="143">
        <f t="shared" si="283"/>
        <v>18.930041152263374</v>
      </c>
      <c r="L82" s="143">
        <f t="shared" si="283"/>
        <v>13.580246913580247</v>
      </c>
      <c r="M82" s="143">
        <f t="shared" si="283"/>
        <v>1.8099547511312217</v>
      </c>
      <c r="N82" s="143">
        <f t="shared" si="283"/>
        <v>0.21801727684080627</v>
      </c>
      <c r="O82" s="143">
        <f t="shared" si="283"/>
        <v>0.69930069930069938</v>
      </c>
      <c r="P82" s="143">
        <f t="shared" si="283"/>
        <v>0.53741215378255469</v>
      </c>
      <c r="Q82" s="143">
        <f t="shared" si="283"/>
        <v>2.8049298767530813</v>
      </c>
      <c r="R82" s="143">
        <f t="shared" si="283"/>
        <v>1.0340286333319171</v>
      </c>
      <c r="S82" s="143">
        <f t="shared" ref="S82" si="284">S12/S57</f>
        <v>1.0340286333319171</v>
      </c>
      <c r="T82" s="118">
        <f t="shared" si="240"/>
        <v>-0.17964809232744017</v>
      </c>
      <c r="U82" s="128"/>
      <c r="V82" s="155">
        <f t="shared" ref="V82:AE82" si="285">V12/V57</f>
        <v>1.1354039895409287</v>
      </c>
      <c r="W82" s="155">
        <f t="shared" si="285"/>
        <v>1.2467181061625885</v>
      </c>
      <c r="X82" s="155">
        <f t="shared" si="285"/>
        <v>1.3689453714726463</v>
      </c>
      <c r="Y82" s="155">
        <f t="shared" si="285"/>
        <v>1.5031557020091804</v>
      </c>
      <c r="Z82" s="155">
        <f t="shared" si="285"/>
        <v>1.6505239080885119</v>
      </c>
      <c r="AA82" s="155">
        <f t="shared" si="285"/>
        <v>1.8123399775089544</v>
      </c>
      <c r="AB82" s="155">
        <f t="shared" si="285"/>
        <v>1.9900203674608128</v>
      </c>
      <c r="AC82" s="155">
        <f t="shared" si="285"/>
        <v>2.1851204034863829</v>
      </c>
      <c r="AD82" s="155">
        <f t="shared" si="285"/>
        <v>2.3993478940242636</v>
      </c>
      <c r="AE82" s="155">
        <f t="shared" si="285"/>
        <v>2.6345780797129175</v>
      </c>
      <c r="AF82" s="137">
        <f t="shared" si="251"/>
        <v>-0.11074557421115783</v>
      </c>
      <c r="AG82" s="31">
        <f t="shared" si="17"/>
        <v>0.05</v>
      </c>
      <c r="AH82" s="145">
        <f t="shared" si="252"/>
        <v>16.272394021756259</v>
      </c>
    </row>
    <row r="83" spans="2:34">
      <c r="B83" s="20" t="s">
        <v>255</v>
      </c>
      <c r="C83" s="127"/>
      <c r="D83" s="127"/>
      <c r="E83" s="127"/>
      <c r="F83" s="127"/>
      <c r="G83" s="143">
        <f t="shared" ref="G83:H83" si="286">G13/G57</f>
        <v>5.5654496883348181E-3</v>
      </c>
      <c r="H83" s="143">
        <f t="shared" si="286"/>
        <v>5.5865921787709499E-3</v>
      </c>
      <c r="I83" s="143">
        <f t="shared" ref="I83:R83" si="287">I13/I57</f>
        <v>4.6948356807511738E-3</v>
      </c>
      <c r="J83" s="143">
        <f t="shared" si="287"/>
        <v>3.7037037037037033</v>
      </c>
      <c r="K83" s="143">
        <f t="shared" si="287"/>
        <v>0.14403292181069957</v>
      </c>
      <c r="L83" s="143">
        <f t="shared" si="287"/>
        <v>8.2304526748971193E-2</v>
      </c>
      <c r="M83" s="143">
        <f t="shared" si="287"/>
        <v>1.4397367338543809E-2</v>
      </c>
      <c r="N83" s="143">
        <f t="shared" si="287"/>
        <v>0.37021801727684084</v>
      </c>
      <c r="O83" s="143">
        <f t="shared" si="287"/>
        <v>0.28794734677087619</v>
      </c>
      <c r="P83" s="143">
        <f t="shared" si="287"/>
        <v>0.24803637866887143</v>
      </c>
      <c r="Q83" s="143">
        <f t="shared" si="287"/>
        <v>0.26774330641733957</v>
      </c>
      <c r="R83" s="143">
        <f t="shared" si="287"/>
        <v>0.27996091592675981</v>
      </c>
      <c r="S83" s="143">
        <f t="shared" ref="S83" si="288">S13/S57</f>
        <v>0.27996091592675981</v>
      </c>
      <c r="T83" s="118">
        <f t="shared" si="240"/>
        <v>0.38611659178702951</v>
      </c>
      <c r="U83" s="128"/>
      <c r="V83" s="155">
        <f t="shared" ref="V83:AE83" si="289">V13/V57</f>
        <v>0.3074080645470304</v>
      </c>
      <c r="W83" s="155">
        <f t="shared" si="289"/>
        <v>0.33754611009085694</v>
      </c>
      <c r="X83" s="155">
        <f t="shared" si="289"/>
        <v>0.37063886598211743</v>
      </c>
      <c r="Y83" s="155">
        <f t="shared" si="289"/>
        <v>0.40697600970585446</v>
      </c>
      <c r="Z83" s="155">
        <f t="shared" si="289"/>
        <v>0.44687561850054608</v>
      </c>
      <c r="AA83" s="155">
        <f t="shared" si="289"/>
        <v>0.49068695364765846</v>
      </c>
      <c r="AB83" s="155">
        <f t="shared" si="289"/>
        <v>0.53879351773076223</v>
      </c>
      <c r="AC83" s="155">
        <f t="shared" si="289"/>
        <v>0.59161641162593503</v>
      </c>
      <c r="AD83" s="155">
        <f t="shared" si="289"/>
        <v>0.64961802060886997</v>
      </c>
      <c r="AE83" s="155">
        <f t="shared" si="289"/>
        <v>0.71330606184503376</v>
      </c>
      <c r="AF83" s="137">
        <f t="shared" si="251"/>
        <v>0.27024752682324404</v>
      </c>
      <c r="AG83" s="31">
        <f t="shared" si="17"/>
        <v>0.05</v>
      </c>
      <c r="AH83" s="145">
        <f t="shared" si="252"/>
        <v>4.4057139113957975</v>
      </c>
    </row>
    <row r="84" spans="2:34">
      <c r="B84" s="20" t="s">
        <v>256</v>
      </c>
      <c r="C84" s="127"/>
      <c r="D84" s="127"/>
      <c r="E84" s="127"/>
      <c r="F84" s="127"/>
      <c r="G84" s="143">
        <f t="shared" ref="G84:H84" si="290">(G82+G83)</f>
        <v>11.136464826357971</v>
      </c>
      <c r="H84" s="143">
        <f t="shared" si="290"/>
        <v>7.2681564245810053</v>
      </c>
      <c r="I84" s="143">
        <f t="shared" ref="I84:R84" si="291">(I82+I83)</f>
        <v>30.9906103286385</v>
      </c>
      <c r="J84" s="143">
        <f t="shared" si="291"/>
        <v>19.34156378600823</v>
      </c>
      <c r="K84" s="143">
        <f t="shared" si="291"/>
        <v>19.074074074074073</v>
      </c>
      <c r="L84" s="143">
        <f t="shared" si="291"/>
        <v>13.662551440329217</v>
      </c>
      <c r="M84" s="143">
        <f t="shared" si="291"/>
        <v>1.8243521184697655</v>
      </c>
      <c r="N84" s="143">
        <f t="shared" si="291"/>
        <v>0.58823529411764708</v>
      </c>
      <c r="O84" s="143">
        <f t="shared" si="291"/>
        <v>0.98724804607157557</v>
      </c>
      <c r="P84" s="143">
        <f t="shared" si="291"/>
        <v>0.7854485324514261</v>
      </c>
      <c r="Q84" s="143">
        <f t="shared" ref="Q84" si="292">(Q82+Q83)</f>
        <v>3.072673183170421</v>
      </c>
      <c r="R84" s="143">
        <f t="shared" si="291"/>
        <v>1.3139895492586768</v>
      </c>
      <c r="S84" s="143">
        <f t="shared" ref="S84" si="293">(S82+S83)</f>
        <v>1.3139895492586768</v>
      </c>
      <c r="T84" s="118">
        <f t="shared" si="240"/>
        <v>-0.16313825923801961</v>
      </c>
      <c r="U84" s="128"/>
      <c r="V84" s="155">
        <f t="shared" ref="V84:AE84" si="294">(V82+V83)</f>
        <v>1.442812054087959</v>
      </c>
      <c r="W84" s="155">
        <f t="shared" si="294"/>
        <v>1.5842642162534455</v>
      </c>
      <c r="X84" s="155">
        <f t="shared" si="294"/>
        <v>1.7395842374547636</v>
      </c>
      <c r="Y84" s="155">
        <f t="shared" si="294"/>
        <v>1.9101317117150347</v>
      </c>
      <c r="Z84" s="155">
        <f t="shared" si="294"/>
        <v>2.0973995265890579</v>
      </c>
      <c r="AA84" s="155">
        <f t="shared" si="294"/>
        <v>2.3030269311566127</v>
      </c>
      <c r="AB84" s="155">
        <f t="shared" si="294"/>
        <v>2.5288138851915751</v>
      </c>
      <c r="AC84" s="155">
        <f t="shared" si="294"/>
        <v>2.7767368151123177</v>
      </c>
      <c r="AD84" s="155">
        <f t="shared" si="294"/>
        <v>3.0489659146331336</v>
      </c>
      <c r="AE84" s="155">
        <f t="shared" si="294"/>
        <v>3.3478841415579512</v>
      </c>
      <c r="AF84" s="137">
        <f t="shared" si="251"/>
        <v>-0.10054775711917696</v>
      </c>
      <c r="AG84" s="31">
        <f t="shared" si="17"/>
        <v>0.05</v>
      </c>
      <c r="AH84" s="145">
        <f t="shared" si="252"/>
        <v>20.678107933152056</v>
      </c>
    </row>
    <row r="85" spans="2:34">
      <c r="B85" s="20" t="s">
        <v>249</v>
      </c>
      <c r="C85" s="127"/>
      <c r="D85" s="127"/>
      <c r="E85" s="127"/>
      <c r="F85" s="127"/>
      <c r="G85" s="143">
        <f t="shared" ref="G85:H85" si="295">G15/G57</f>
        <v>130.23152270703474</v>
      </c>
      <c r="H85" s="143">
        <f t="shared" si="295"/>
        <v>224.02234636871509</v>
      </c>
      <c r="I85" s="143">
        <f t="shared" ref="I85:R85" si="296">I15/I57</f>
        <v>246.0093896713615</v>
      </c>
      <c r="J85" s="143">
        <f t="shared" si="296"/>
        <v>291.76954732510285</v>
      </c>
      <c r="K85" s="143">
        <f t="shared" si="296"/>
        <v>429.62962962962962</v>
      </c>
      <c r="L85" s="143">
        <f t="shared" si="296"/>
        <v>357.61316872427983</v>
      </c>
      <c r="M85" s="143">
        <f t="shared" si="296"/>
        <v>39.407651172357056</v>
      </c>
      <c r="N85" s="143">
        <f t="shared" si="296"/>
        <v>55.985191279308928</v>
      </c>
      <c r="O85" s="143">
        <f t="shared" si="296"/>
        <v>61.003702180172773</v>
      </c>
      <c r="P85" s="143">
        <f t="shared" si="296"/>
        <v>60.686233980983872</v>
      </c>
      <c r="Q85" s="143">
        <f t="shared" si="296"/>
        <v>86.825329366765828</v>
      </c>
      <c r="R85" s="143">
        <f t="shared" si="296"/>
        <v>94.481073962360327</v>
      </c>
      <c r="S85" s="143">
        <f t="shared" ref="S85" si="297">S15/S57</f>
        <v>94.481073962360327</v>
      </c>
      <c r="T85" s="118">
        <f t="shared" si="240"/>
        <v>-2.6388432243932392E-2</v>
      </c>
      <c r="U85" s="128"/>
      <c r="V85" s="155">
        <f t="shared" ref="V85:AE85" si="298">V15/V57</f>
        <v>103.74392435082703</v>
      </c>
      <c r="W85" s="155">
        <f t="shared" si="298"/>
        <v>113.91489732639832</v>
      </c>
      <c r="X85" s="155">
        <f t="shared" si="298"/>
        <v>125.08302451526089</v>
      </c>
      <c r="Y85" s="155">
        <f t="shared" si="298"/>
        <v>137.34606613440411</v>
      </c>
      <c r="Z85" s="155">
        <f t="shared" si="298"/>
        <v>150.81136673581628</v>
      </c>
      <c r="AA85" s="155">
        <f t="shared" si="298"/>
        <v>165.59679484717083</v>
      </c>
      <c r="AB85" s="155">
        <f t="shared" si="298"/>
        <v>181.83177473414835</v>
      </c>
      <c r="AC85" s="155">
        <f t="shared" si="298"/>
        <v>199.6584193159276</v>
      </c>
      <c r="AD85" s="155">
        <f t="shared" si="298"/>
        <v>219.23277415082251</v>
      </c>
      <c r="AE85" s="155">
        <f t="shared" si="298"/>
        <v>240.72618338129533</v>
      </c>
      <c r="AF85" s="137">
        <f t="shared" si="251"/>
        <v>-1.0332556129590831E-3</v>
      </c>
      <c r="AG85" s="31">
        <f t="shared" si="17"/>
        <v>0.05</v>
      </c>
      <c r="AH85" s="145">
        <f t="shared" si="252"/>
        <v>1486.8381914727065</v>
      </c>
    </row>
    <row r="86" spans="2:34">
      <c r="B86" s="20" t="s">
        <v>250</v>
      </c>
      <c r="C86" s="127"/>
      <c r="D86" s="127"/>
      <c r="E86" s="127"/>
      <c r="F86" s="127"/>
      <c r="G86" s="143">
        <f t="shared" ref="G86:H86" si="299">G16/G57</f>
        <v>133.01424755120215</v>
      </c>
      <c r="H86" s="143">
        <f t="shared" si="299"/>
        <v>204.46927374301674</v>
      </c>
      <c r="I86" s="143">
        <f t="shared" ref="I86:R86" si="300">I16/I57</f>
        <v>268.07511737089203</v>
      </c>
      <c r="J86" s="143">
        <f t="shared" si="300"/>
        <v>226.74897119341563</v>
      </c>
      <c r="K86" s="143">
        <f t="shared" si="300"/>
        <v>369.54732510288062</v>
      </c>
      <c r="L86" s="143">
        <f t="shared" si="300"/>
        <v>317.69547325102877</v>
      </c>
      <c r="M86" s="143">
        <f t="shared" si="300"/>
        <v>32.3323735088441</v>
      </c>
      <c r="N86" s="143">
        <f t="shared" si="300"/>
        <v>46.606334841628964</v>
      </c>
      <c r="O86" s="143">
        <f t="shared" si="300"/>
        <v>47.716988893459487</v>
      </c>
      <c r="P86" s="143">
        <f t="shared" si="300"/>
        <v>49.689954526663911</v>
      </c>
      <c r="Q86" s="143">
        <f t="shared" si="300"/>
        <v>75.520611984700381</v>
      </c>
      <c r="R86" s="143">
        <f t="shared" si="300"/>
        <v>78.474446662984832</v>
      </c>
      <c r="S86" s="143">
        <f t="shared" ref="S86" si="301">S16/S57</f>
        <v>78.474446662984832</v>
      </c>
      <c r="T86" s="118">
        <f t="shared" si="240"/>
        <v>-4.3020778238249346E-2</v>
      </c>
      <c r="U86" s="128"/>
      <c r="V86" s="155">
        <f t="shared" ref="V86:AE86" si="302">V16/V57</f>
        <v>86.16801986523825</v>
      </c>
      <c r="W86" s="155">
        <f t="shared" si="302"/>
        <v>94.615864950065543</v>
      </c>
      <c r="X86" s="155">
        <f t="shared" si="302"/>
        <v>103.89193014124844</v>
      </c>
      <c r="Y86" s="155">
        <f t="shared" si="302"/>
        <v>114.07741348842966</v>
      </c>
      <c r="Z86" s="155">
        <f t="shared" si="302"/>
        <v>125.26147363435413</v>
      </c>
      <c r="AA86" s="155">
        <f t="shared" si="302"/>
        <v>137.54201026517316</v>
      </c>
      <c r="AB86" s="155">
        <f t="shared" si="302"/>
        <v>151.02652107548428</v>
      </c>
      <c r="AC86" s="155">
        <f t="shared" si="302"/>
        <v>165.8330427495514</v>
      </c>
      <c r="AD86" s="155">
        <f t="shared" si="302"/>
        <v>182.09118419558587</v>
      </c>
      <c r="AE86" s="155">
        <f t="shared" si="302"/>
        <v>199.94326107750607</v>
      </c>
      <c r="AF86" s="137">
        <f t="shared" si="251"/>
        <v>-1.3866467133504368E-2</v>
      </c>
      <c r="AG86" s="136"/>
      <c r="AH86" s="145">
        <f t="shared" si="252"/>
        <v>908.83300489775479</v>
      </c>
    </row>
    <row r="87" spans="2:34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28"/>
      <c r="U87" s="128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38"/>
      <c r="AG87" s="31">
        <f t="shared" si="17"/>
        <v>0.05</v>
      </c>
      <c r="AH87" s="145">
        <f t="shared" si="252"/>
        <v>0</v>
      </c>
    </row>
    <row r="88" spans="2:34">
      <c r="B88" s="20" t="s">
        <v>282</v>
      </c>
      <c r="C88" s="157"/>
      <c r="D88" s="157"/>
      <c r="E88" s="157"/>
      <c r="F88" s="157"/>
      <c r="G88" s="157">
        <f t="shared" ref="G88:H88" si="303">G59</f>
        <v>2</v>
      </c>
      <c r="H88" s="157">
        <f t="shared" si="303"/>
        <v>2</v>
      </c>
      <c r="I88" s="157">
        <f t="shared" ref="I88:R88" si="304">I59</f>
        <v>2</v>
      </c>
      <c r="J88" s="157">
        <f t="shared" si="304"/>
        <v>2</v>
      </c>
      <c r="K88" s="157">
        <f t="shared" si="304"/>
        <v>2</v>
      </c>
      <c r="L88" s="157">
        <f t="shared" si="304"/>
        <v>2</v>
      </c>
      <c r="M88" s="157">
        <f t="shared" si="304"/>
        <v>0.3</v>
      </c>
      <c r="N88" s="157">
        <f t="shared" si="304"/>
        <v>0.3</v>
      </c>
      <c r="O88" s="157">
        <f t="shared" si="304"/>
        <v>0.3</v>
      </c>
      <c r="P88" s="157">
        <f t="shared" si="304"/>
        <v>0.8</v>
      </c>
      <c r="Q88" s="157">
        <f t="shared" si="304"/>
        <v>1.2</v>
      </c>
      <c r="R88" s="157">
        <f t="shared" si="304"/>
        <v>1.7</v>
      </c>
      <c r="S88" s="157">
        <f t="shared" ref="S88" si="305">S59</f>
        <v>1.9</v>
      </c>
      <c r="T88" s="118">
        <f t="shared" si="240"/>
        <v>-4.2653187775606449E-3</v>
      </c>
      <c r="U88" s="128"/>
      <c r="V88" s="157">
        <f t="shared" ref="V88:AE88" si="306">V59</f>
        <v>1.9949999999999999</v>
      </c>
      <c r="W88" s="157">
        <f t="shared" si="306"/>
        <v>2.0947499999999999</v>
      </c>
      <c r="X88" s="157">
        <f t="shared" si="306"/>
        <v>2.1994875</v>
      </c>
      <c r="Y88" s="157">
        <f t="shared" si="306"/>
        <v>2.3094618750000002</v>
      </c>
      <c r="Z88" s="157">
        <f t="shared" si="306"/>
        <v>2.4249349687500001</v>
      </c>
      <c r="AA88" s="157">
        <f t="shared" si="306"/>
        <v>2.5461817171875003</v>
      </c>
      <c r="AB88" s="157">
        <f t="shared" si="306"/>
        <v>2.6734908030468754</v>
      </c>
      <c r="AC88" s="157">
        <f t="shared" si="306"/>
        <v>2.8071653431992192</v>
      </c>
      <c r="AD88" s="157">
        <f t="shared" si="306"/>
        <v>2.9475236103591804</v>
      </c>
      <c r="AE88" s="157">
        <f t="shared" si="306"/>
        <v>3.0948997908771396</v>
      </c>
      <c r="AF88" s="137">
        <f t="shared" ref="AF88" si="307">((AE88/I88)^(1/($AE$3-$J$1) ))-1</f>
        <v>2.1008509558681387E-2</v>
      </c>
      <c r="AG88" s="31">
        <f t="shared" si="17"/>
        <v>0.05</v>
      </c>
      <c r="AH88" s="145">
        <f t="shared" si="252"/>
        <v>19.115557531888218</v>
      </c>
    </row>
    <row r="89" spans="2:34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28"/>
      <c r="U89" s="128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38"/>
      <c r="AG89" s="136"/>
      <c r="AH89" s="152"/>
    </row>
    <row r="90" spans="2:34">
      <c r="B90" s="20" t="s">
        <v>313</v>
      </c>
      <c r="C90" s="127"/>
      <c r="D90" s="127"/>
      <c r="E90" s="127"/>
      <c r="F90" s="127"/>
      <c r="G90" s="143">
        <f t="shared" ref="G90:H90" si="308">G20+G21</f>
        <v>-35</v>
      </c>
      <c r="H90" s="143">
        <f t="shared" si="308"/>
        <v>-130</v>
      </c>
      <c r="I90" s="143">
        <f t="shared" ref="I90:R90" si="309">I20+I21</f>
        <v>-191</v>
      </c>
      <c r="J90" s="143">
        <f t="shared" si="309"/>
        <v>43</v>
      </c>
      <c r="K90" s="143">
        <f t="shared" si="309"/>
        <v>-226</v>
      </c>
      <c r="L90" s="143">
        <f t="shared" si="309"/>
        <v>244</v>
      </c>
      <c r="M90" s="143">
        <f t="shared" si="309"/>
        <v>41</v>
      </c>
      <c r="N90" s="143">
        <f t="shared" si="309"/>
        <v>-247</v>
      </c>
      <c r="O90" s="143">
        <f t="shared" si="309"/>
        <v>79</v>
      </c>
      <c r="P90" s="143">
        <f t="shared" si="309"/>
        <v>112</v>
      </c>
      <c r="Q90" s="143">
        <f t="shared" si="309"/>
        <v>-332</v>
      </c>
      <c r="R90" s="143">
        <f t="shared" si="309"/>
        <v>0</v>
      </c>
      <c r="S90" s="143">
        <f t="shared" ref="S90" si="310">S20+S21</f>
        <v>0</v>
      </c>
      <c r="T90" s="118">
        <f t="shared" si="240"/>
        <v>-1</v>
      </c>
      <c r="U90" s="128"/>
      <c r="V90" s="143">
        <f t="shared" ref="V90:AE90" si="311">V20+V21</f>
        <v>0</v>
      </c>
      <c r="W90" s="143">
        <f t="shared" si="311"/>
        <v>0</v>
      </c>
      <c r="X90" s="143">
        <f t="shared" si="311"/>
        <v>0</v>
      </c>
      <c r="Y90" s="143">
        <f t="shared" si="311"/>
        <v>0</v>
      </c>
      <c r="Z90" s="143">
        <f t="shared" si="311"/>
        <v>0</v>
      </c>
      <c r="AA90" s="143">
        <f t="shared" si="311"/>
        <v>0</v>
      </c>
      <c r="AB90" s="143">
        <f t="shared" si="311"/>
        <v>0</v>
      </c>
      <c r="AC90" s="143">
        <f t="shared" si="311"/>
        <v>0</v>
      </c>
      <c r="AD90" s="143">
        <f t="shared" si="311"/>
        <v>0</v>
      </c>
      <c r="AE90" s="143">
        <f t="shared" si="311"/>
        <v>0</v>
      </c>
      <c r="AF90" s="137">
        <f t="shared" ref="AF90:AF95" si="312">((AE90/I90)^(1/($AE$3-$J$1) ))-1</f>
        <v>-1</v>
      </c>
      <c r="AG90" s="31">
        <f t="shared" si="17"/>
        <v>0.05</v>
      </c>
      <c r="AH90" s="145">
        <f t="shared" si="252"/>
        <v>0</v>
      </c>
    </row>
    <row r="91" spans="2:34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28"/>
      <c r="U91" s="128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38"/>
      <c r="AG91" s="136"/>
      <c r="AH91" s="145"/>
    </row>
    <row r="92" spans="2:34">
      <c r="B92" s="20" t="s">
        <v>314</v>
      </c>
      <c r="C92" s="127"/>
      <c r="D92" s="127"/>
      <c r="E92" s="127"/>
      <c r="F92" s="127"/>
      <c r="G92" s="143">
        <f t="shared" ref="G92:H92" si="313">G90/G57</f>
        <v>-19.479073909171863</v>
      </c>
      <c r="H92" s="143">
        <f t="shared" si="313"/>
        <v>-72.625698324022352</v>
      </c>
      <c r="I92" s="143">
        <f t="shared" ref="I92:R92" si="314">I90/I57</f>
        <v>-89.671361502347423</v>
      </c>
      <c r="J92" s="143">
        <f t="shared" si="314"/>
        <v>17.695473251028805</v>
      </c>
      <c r="K92" s="143">
        <f t="shared" si="314"/>
        <v>-93.004115226337447</v>
      </c>
      <c r="L92" s="143">
        <f t="shared" si="314"/>
        <v>100.41152263374485</v>
      </c>
      <c r="M92" s="143">
        <f t="shared" si="314"/>
        <v>1.6865487453722749</v>
      </c>
      <c r="N92" s="143">
        <f t="shared" si="314"/>
        <v>-10.160427807486631</v>
      </c>
      <c r="O92" s="143">
        <f t="shared" si="314"/>
        <v>3.2496914849856027</v>
      </c>
      <c r="P92" s="143">
        <f t="shared" si="314"/>
        <v>4.6300124018189335</v>
      </c>
      <c r="Q92" s="143">
        <f t="shared" si="314"/>
        <v>-14.109647258818528</v>
      </c>
      <c r="R92" s="143">
        <f t="shared" si="314"/>
        <v>0</v>
      </c>
      <c r="S92" s="143">
        <f t="shared" ref="S92" si="315">S90/S57</f>
        <v>0</v>
      </c>
      <c r="T92" s="118">
        <f t="shared" si="240"/>
        <v>-1</v>
      </c>
      <c r="U92" s="128"/>
      <c r="V92" s="145">
        <f t="shared" ref="V92:AE92" si="316">V90/V57</f>
        <v>0</v>
      </c>
      <c r="W92" s="145">
        <f t="shared" si="316"/>
        <v>0</v>
      </c>
      <c r="X92" s="145">
        <f t="shared" si="316"/>
        <v>0</v>
      </c>
      <c r="Y92" s="145">
        <f t="shared" si="316"/>
        <v>0</v>
      </c>
      <c r="Z92" s="145">
        <f t="shared" si="316"/>
        <v>0</v>
      </c>
      <c r="AA92" s="145">
        <f t="shared" si="316"/>
        <v>0</v>
      </c>
      <c r="AB92" s="145">
        <f t="shared" si="316"/>
        <v>0</v>
      </c>
      <c r="AC92" s="145">
        <f t="shared" si="316"/>
        <v>0</v>
      </c>
      <c r="AD92" s="145">
        <f t="shared" si="316"/>
        <v>0</v>
      </c>
      <c r="AE92" s="145">
        <f t="shared" si="316"/>
        <v>0</v>
      </c>
      <c r="AF92" s="137">
        <f t="shared" si="312"/>
        <v>-1</v>
      </c>
      <c r="AG92" s="31">
        <f t="shared" si="17"/>
        <v>0.05</v>
      </c>
      <c r="AH92" s="145">
        <f t="shared" si="252"/>
        <v>0</v>
      </c>
    </row>
    <row r="93" spans="2:34">
      <c r="B93" s="20" t="s">
        <v>286</v>
      </c>
      <c r="C93" s="127"/>
      <c r="D93" s="127"/>
      <c r="E93" s="127"/>
      <c r="F93" s="127"/>
      <c r="G93" s="143">
        <f t="shared" ref="G93:H93" si="317">G20/G57</f>
        <v>-4.4523597506678545</v>
      </c>
      <c r="H93" s="143">
        <f t="shared" si="317"/>
        <v>-53.072625698324025</v>
      </c>
      <c r="I93" s="143">
        <f t="shared" ref="I93:R93" si="318">I20/I57</f>
        <v>-65.727699530516432</v>
      </c>
      <c r="J93" s="143">
        <f t="shared" si="318"/>
        <v>67.078189300411523</v>
      </c>
      <c r="K93" s="143">
        <f t="shared" si="318"/>
        <v>-88.065843621399168</v>
      </c>
      <c r="L93" s="143">
        <f t="shared" si="318"/>
        <v>116.04938271604938</v>
      </c>
      <c r="M93" s="143">
        <f t="shared" si="318"/>
        <v>7.0341423282599758</v>
      </c>
      <c r="N93" s="143">
        <f t="shared" si="318"/>
        <v>-6.2114356232003294</v>
      </c>
      <c r="O93" s="143">
        <f t="shared" si="318"/>
        <v>5.8000822706705062</v>
      </c>
      <c r="P93" s="143">
        <f t="shared" si="318"/>
        <v>7.0276973956180235</v>
      </c>
      <c r="Q93" s="143">
        <f t="shared" si="318"/>
        <v>-8.7972800679982992</v>
      </c>
      <c r="R93" s="143">
        <f t="shared" si="318"/>
        <v>0</v>
      </c>
      <c r="S93" s="143">
        <f t="shared" ref="S93" si="319">S20/S57</f>
        <v>0</v>
      </c>
      <c r="T93" s="118">
        <f t="shared" si="240"/>
        <v>-1</v>
      </c>
      <c r="U93" s="128"/>
      <c r="V93" s="145">
        <f t="shared" ref="V93:AE93" si="320">V20/V57</f>
        <v>0</v>
      </c>
      <c r="W93" s="145">
        <f t="shared" si="320"/>
        <v>0</v>
      </c>
      <c r="X93" s="145">
        <f t="shared" si="320"/>
        <v>0</v>
      </c>
      <c r="Y93" s="145">
        <f t="shared" si="320"/>
        <v>0</v>
      </c>
      <c r="Z93" s="145">
        <f t="shared" si="320"/>
        <v>0</v>
      </c>
      <c r="AA93" s="145">
        <f t="shared" si="320"/>
        <v>0</v>
      </c>
      <c r="AB93" s="145">
        <f t="shared" si="320"/>
        <v>0</v>
      </c>
      <c r="AC93" s="145">
        <f t="shared" si="320"/>
        <v>0</v>
      </c>
      <c r="AD93" s="145">
        <f t="shared" si="320"/>
        <v>0</v>
      </c>
      <c r="AE93" s="145">
        <f t="shared" si="320"/>
        <v>0</v>
      </c>
      <c r="AF93" s="137">
        <f t="shared" si="312"/>
        <v>-1</v>
      </c>
      <c r="AG93" s="31">
        <f t="shared" si="17"/>
        <v>0.05</v>
      </c>
      <c r="AH93" s="145">
        <f t="shared" si="252"/>
        <v>0</v>
      </c>
    </row>
    <row r="94" spans="2:34">
      <c r="B94" s="20" t="s">
        <v>287</v>
      </c>
      <c r="C94" s="127"/>
      <c r="D94" s="127"/>
      <c r="E94" s="127"/>
      <c r="F94" s="127"/>
      <c r="G94" s="143">
        <f t="shared" ref="G94:H94" si="321">G21/G57</f>
        <v>-15.026714158504008</v>
      </c>
      <c r="H94" s="143">
        <f t="shared" si="321"/>
        <v>-19.553072625698324</v>
      </c>
      <c r="I94" s="143">
        <f t="shared" ref="I94:R94" si="322">I21/I57</f>
        <v>-23.943661971830988</v>
      </c>
      <c r="J94" s="143">
        <f t="shared" si="322"/>
        <v>-49.382716049382715</v>
      </c>
      <c r="K94" s="143">
        <f t="shared" si="322"/>
        <v>-4.9382716049382713</v>
      </c>
      <c r="L94" s="143">
        <f t="shared" si="322"/>
        <v>-15.637860082304526</v>
      </c>
      <c r="M94" s="143">
        <f t="shared" si="322"/>
        <v>-5.3475935828877006</v>
      </c>
      <c r="N94" s="143">
        <f t="shared" si="322"/>
        <v>-3.9489921842863023</v>
      </c>
      <c r="O94" s="143">
        <f t="shared" si="322"/>
        <v>-2.5503907856849035</v>
      </c>
      <c r="P94" s="143">
        <f t="shared" si="322"/>
        <v>-2.3976849937990905</v>
      </c>
      <c r="Q94" s="143">
        <f t="shared" si="322"/>
        <v>-5.312367190820229</v>
      </c>
      <c r="R94" s="143">
        <f t="shared" si="322"/>
        <v>0</v>
      </c>
      <c r="S94" s="143">
        <f t="shared" ref="S94" si="323">S21/S57</f>
        <v>0</v>
      </c>
      <c r="T94" s="118">
        <f t="shared" si="240"/>
        <v>-1</v>
      </c>
      <c r="U94" s="128"/>
      <c r="V94" s="145">
        <f t="shared" ref="V94:AE94" si="324">V21/V57</f>
        <v>0</v>
      </c>
      <c r="W94" s="145">
        <f t="shared" si="324"/>
        <v>0</v>
      </c>
      <c r="X94" s="145">
        <f t="shared" si="324"/>
        <v>0</v>
      </c>
      <c r="Y94" s="145">
        <f t="shared" si="324"/>
        <v>0</v>
      </c>
      <c r="Z94" s="145">
        <f t="shared" si="324"/>
        <v>0</v>
      </c>
      <c r="AA94" s="145">
        <f t="shared" si="324"/>
        <v>0</v>
      </c>
      <c r="AB94" s="145">
        <f t="shared" si="324"/>
        <v>0</v>
      </c>
      <c r="AC94" s="145">
        <f t="shared" si="324"/>
        <v>0</v>
      </c>
      <c r="AD94" s="145">
        <f t="shared" si="324"/>
        <v>0</v>
      </c>
      <c r="AE94" s="145">
        <f t="shared" si="324"/>
        <v>0</v>
      </c>
      <c r="AF94" s="137">
        <f t="shared" si="312"/>
        <v>-1</v>
      </c>
      <c r="AG94" s="31">
        <f t="shared" si="17"/>
        <v>0.05</v>
      </c>
      <c r="AH94" s="145">
        <f t="shared" si="252"/>
        <v>0</v>
      </c>
    </row>
    <row r="95" spans="2:34">
      <c r="B95" s="20" t="s">
        <v>288</v>
      </c>
      <c r="C95" s="127"/>
      <c r="D95" s="127"/>
      <c r="E95" s="127"/>
      <c r="F95" s="127"/>
      <c r="G95" s="143">
        <f t="shared" ref="G95:H95" si="325">G22/G57</f>
        <v>19.479073909171863</v>
      </c>
      <c r="H95" s="143">
        <f t="shared" si="325"/>
        <v>73.743016759776538</v>
      </c>
      <c r="I95" s="143">
        <f t="shared" ref="I95:R95" si="326">I22/I57</f>
        <v>87.323943661971839</v>
      </c>
      <c r="J95" s="143">
        <f t="shared" si="326"/>
        <v>-5.3497942386831276</v>
      </c>
      <c r="K95" s="143">
        <f t="shared" si="326"/>
        <v>90.123456790123456</v>
      </c>
      <c r="L95" s="143">
        <f t="shared" si="326"/>
        <v>-107.4074074074074</v>
      </c>
      <c r="M95" s="143">
        <f t="shared" si="326"/>
        <v>-1.8922254216371865</v>
      </c>
      <c r="N95" s="143">
        <f t="shared" si="326"/>
        <v>10.078157136980668</v>
      </c>
      <c r="O95" s="143">
        <f t="shared" si="326"/>
        <v>-2.7972027972027975</v>
      </c>
      <c r="P95" s="143">
        <f t="shared" si="326"/>
        <v>-4.795369987598181</v>
      </c>
      <c r="Q95" s="143">
        <f t="shared" si="326"/>
        <v>16.319592010199745</v>
      </c>
      <c r="R95" s="143">
        <f t="shared" si="326"/>
        <v>0</v>
      </c>
      <c r="S95" s="143">
        <f t="shared" ref="S95" si="327">S22/S57</f>
        <v>0</v>
      </c>
      <c r="T95" s="118">
        <f t="shared" si="240"/>
        <v>-1</v>
      </c>
      <c r="U95" s="128"/>
      <c r="V95" s="145">
        <f t="shared" ref="V95:AE95" si="328">V22/V57</f>
        <v>0</v>
      </c>
      <c r="W95" s="145">
        <f t="shared" si="328"/>
        <v>0</v>
      </c>
      <c r="X95" s="145">
        <f t="shared" si="328"/>
        <v>0</v>
      </c>
      <c r="Y95" s="145">
        <f t="shared" si="328"/>
        <v>0</v>
      </c>
      <c r="Z95" s="145">
        <f t="shared" si="328"/>
        <v>0</v>
      </c>
      <c r="AA95" s="145">
        <f t="shared" si="328"/>
        <v>0</v>
      </c>
      <c r="AB95" s="145">
        <f t="shared" si="328"/>
        <v>0</v>
      </c>
      <c r="AC95" s="145">
        <f t="shared" si="328"/>
        <v>0</v>
      </c>
      <c r="AD95" s="145">
        <f t="shared" si="328"/>
        <v>0</v>
      </c>
      <c r="AE95" s="145">
        <f t="shared" si="328"/>
        <v>0</v>
      </c>
      <c r="AF95" s="137">
        <f t="shared" si="312"/>
        <v>-1</v>
      </c>
      <c r="AG95" s="31">
        <f t="shared" si="17"/>
        <v>0.05</v>
      </c>
      <c r="AH95" s="145">
        <f t="shared" si="252"/>
        <v>0</v>
      </c>
    </row>
    <row r="96" spans="2:34">
      <c r="B96" s="20" t="s">
        <v>295</v>
      </c>
      <c r="C96" s="127"/>
      <c r="D96" s="127"/>
      <c r="E96" s="127"/>
      <c r="F96" s="127"/>
      <c r="G96" s="143">
        <f t="shared" ref="G96:H96" si="329">G23/G57</f>
        <v>3.8958147818343725</v>
      </c>
      <c r="H96" s="143">
        <f t="shared" si="329"/>
        <v>5.5865921787709496</v>
      </c>
      <c r="I96" s="143">
        <f t="shared" ref="I96:R96" si="330">I23/I57</f>
        <v>2.347417840375587</v>
      </c>
      <c r="J96" s="143">
        <f t="shared" si="330"/>
        <v>14.814814814814813</v>
      </c>
      <c r="K96" s="143">
        <f t="shared" si="330"/>
        <v>11.934156378600822</v>
      </c>
      <c r="L96" s="143">
        <f t="shared" si="330"/>
        <v>4.526748971193415</v>
      </c>
      <c r="M96" s="143">
        <f t="shared" si="330"/>
        <v>0.24681201151789389</v>
      </c>
      <c r="N96" s="143">
        <f t="shared" si="330"/>
        <v>0.20567667626491157</v>
      </c>
      <c r="O96" s="143">
        <f t="shared" si="330"/>
        <v>0.69930069930069938</v>
      </c>
      <c r="P96" s="143">
        <f t="shared" si="330"/>
        <v>0.53741215378255469</v>
      </c>
      <c r="Q96" s="143">
        <f t="shared" si="330"/>
        <v>2.7199320016999575</v>
      </c>
      <c r="R96" s="143">
        <f t="shared" si="330"/>
        <v>0</v>
      </c>
      <c r="S96" s="143">
        <f t="shared" ref="S96" si="331">S23/S57</f>
        <v>0</v>
      </c>
      <c r="T96" s="118">
        <f t="shared" si="240"/>
        <v>-1</v>
      </c>
      <c r="U96" s="128"/>
      <c r="V96" s="145">
        <f t="shared" ref="V96:AE96" si="332">V23/V57</f>
        <v>0</v>
      </c>
      <c r="W96" s="145">
        <f t="shared" si="332"/>
        <v>0</v>
      </c>
      <c r="X96" s="145">
        <f t="shared" si="332"/>
        <v>0</v>
      </c>
      <c r="Y96" s="145">
        <f t="shared" si="332"/>
        <v>0</v>
      </c>
      <c r="Z96" s="145">
        <f t="shared" si="332"/>
        <v>0</v>
      </c>
      <c r="AA96" s="145">
        <f t="shared" si="332"/>
        <v>0</v>
      </c>
      <c r="AB96" s="145">
        <f t="shared" si="332"/>
        <v>0</v>
      </c>
      <c r="AC96" s="145">
        <f t="shared" si="332"/>
        <v>0</v>
      </c>
      <c r="AD96" s="145">
        <f t="shared" si="332"/>
        <v>0</v>
      </c>
      <c r="AE96" s="145">
        <f t="shared" si="332"/>
        <v>0</v>
      </c>
      <c r="AF96" s="137">
        <f t="shared" ref="AF96" si="333">((AE96/I96)^(1/($AE$3-$J$1) ))-1</f>
        <v>-1</v>
      </c>
      <c r="AG96" s="31">
        <f t="shared" si="17"/>
        <v>0.05</v>
      </c>
      <c r="AH96" s="145">
        <f t="shared" si="252"/>
        <v>0</v>
      </c>
    </row>
    <row r="97" spans="2:34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28"/>
      <c r="U97" s="128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38"/>
      <c r="AG97" s="136"/>
      <c r="AH97" s="152"/>
    </row>
    <row r="98" spans="2:34">
      <c r="B98" s="20" t="s">
        <v>493</v>
      </c>
      <c r="C98" s="143"/>
      <c r="D98" s="143"/>
      <c r="E98" s="143"/>
      <c r="F98" s="143"/>
      <c r="G98" s="143">
        <f t="shared" ref="G98:H98" si="334">G51/G57</f>
        <v>15.026714158504008</v>
      </c>
      <c r="H98" s="143">
        <f t="shared" si="334"/>
        <v>21.229050279329609</v>
      </c>
      <c r="I98" s="143">
        <f t="shared" ref="I98:R98" si="335">I51/I57</f>
        <v>38.967136150234744</v>
      </c>
      <c r="J98" s="143">
        <f t="shared" si="335"/>
        <v>48.559670781893004</v>
      </c>
      <c r="K98" s="143">
        <f t="shared" si="335"/>
        <v>63.374485596707814</v>
      </c>
      <c r="L98" s="143">
        <f t="shared" si="335"/>
        <v>80.246913580246911</v>
      </c>
      <c r="M98" s="143">
        <f t="shared" si="335"/>
        <v>8.1036610448375157</v>
      </c>
      <c r="N98" s="143">
        <f t="shared" si="335"/>
        <v>9.2965857671740029</v>
      </c>
      <c r="O98" s="143">
        <f t="shared" si="335"/>
        <v>9.2965857671740029</v>
      </c>
      <c r="P98" s="143">
        <f t="shared" si="335"/>
        <v>12.112443158329889</v>
      </c>
      <c r="Q98" s="143">
        <f t="shared" si="335"/>
        <v>18.699532511687206</v>
      </c>
      <c r="R98" s="143">
        <f t="shared" si="335"/>
        <v>20.74217256467989</v>
      </c>
      <c r="S98" s="143">
        <f t="shared" ref="S98" si="336">S51/S57</f>
        <v>20.74217256467989</v>
      </c>
      <c r="T98" s="118">
        <f t="shared" si="240"/>
        <v>2.7225641052356586E-2</v>
      </c>
      <c r="U98" s="128"/>
      <c r="V98" s="143">
        <f t="shared" ref="V98:AE98" si="337">V51/V57</f>
        <v>22.775718894550469</v>
      </c>
      <c r="W98" s="143">
        <f t="shared" si="337"/>
        <v>25.008632511663262</v>
      </c>
      <c r="X98" s="143">
        <f t="shared" si="337"/>
        <v>27.46045922849299</v>
      </c>
      <c r="Y98" s="143">
        <f t="shared" si="337"/>
        <v>30.152661113639365</v>
      </c>
      <c r="Z98" s="143">
        <f t="shared" si="337"/>
        <v>33.1088043600746</v>
      </c>
      <c r="AA98" s="143">
        <f t="shared" si="337"/>
        <v>36.354765571846627</v>
      </c>
      <c r="AB98" s="143">
        <f t="shared" si="337"/>
        <v>39.918958274968844</v>
      </c>
      <c r="AC98" s="143">
        <f t="shared" si="337"/>
        <v>43.832581635259913</v>
      </c>
      <c r="AD98" s="143">
        <f t="shared" si="337"/>
        <v>48.129893560285396</v>
      </c>
      <c r="AE98" s="143">
        <f t="shared" si="337"/>
        <v>52.848510575999654</v>
      </c>
      <c r="AF98" s="137">
        <f t="shared" ref="AF98:AF100" si="338">((AE98/I98)^(1/($AE$3-$J$1) ))-1</f>
        <v>1.4615824626253549E-2</v>
      </c>
      <c r="AG98" s="31">
        <f t="shared" si="17"/>
        <v>0.05</v>
      </c>
      <c r="AH98" s="145">
        <f t="shared" si="252"/>
        <v>326.41727120470375</v>
      </c>
    </row>
    <row r="99" spans="2:34">
      <c r="B99" s="20" t="s">
        <v>494</v>
      </c>
      <c r="C99" s="143"/>
      <c r="D99" s="143"/>
      <c r="E99" s="143"/>
      <c r="F99" s="143"/>
      <c r="G99" s="143">
        <f t="shared" ref="G99:H99" si="339">G55/G57</f>
        <v>7.9029385574354407</v>
      </c>
      <c r="H99" s="143">
        <f t="shared" si="339"/>
        <v>8.938547486033519</v>
      </c>
      <c r="I99" s="143">
        <f t="shared" ref="I99:R99" si="340">I55/I57</f>
        <v>15.023474178403756</v>
      </c>
      <c r="J99" s="143">
        <f t="shared" si="340"/>
        <v>20.164609053497941</v>
      </c>
      <c r="K99" s="143">
        <f t="shared" si="340"/>
        <v>22.633744855967077</v>
      </c>
      <c r="L99" s="143">
        <f t="shared" si="340"/>
        <v>26.748971193415635</v>
      </c>
      <c r="M99" s="143">
        <f t="shared" si="340"/>
        <v>5.1419169066227894</v>
      </c>
      <c r="N99" s="143">
        <f t="shared" si="340"/>
        <v>4.9362402303578774</v>
      </c>
      <c r="O99" s="143">
        <f t="shared" si="340"/>
        <v>3.0028794734677091</v>
      </c>
      <c r="P99" s="143">
        <f t="shared" si="340"/>
        <v>5.3741215378255474</v>
      </c>
      <c r="Q99" s="143">
        <f t="shared" si="340"/>
        <v>10.837229069273267</v>
      </c>
      <c r="R99" s="143">
        <f t="shared" si="340"/>
        <v>13.667530481328859</v>
      </c>
      <c r="S99" s="143">
        <f t="shared" ref="S99" si="341">S55/S57</f>
        <v>14.316665958621861</v>
      </c>
      <c r="T99" s="118">
        <f t="shared" si="240"/>
        <v>5.0762198565893701E-2</v>
      </c>
      <c r="U99" s="128"/>
      <c r="V99" s="143">
        <f t="shared" ref="V99:AE99" si="342">V55/V57</f>
        <v>15.720260660447535</v>
      </c>
      <c r="W99" s="143">
        <f t="shared" si="342"/>
        <v>17.261462685981609</v>
      </c>
      <c r="X99" s="143">
        <f t="shared" si="342"/>
        <v>18.953762949313138</v>
      </c>
      <c r="Y99" s="143">
        <f t="shared" si="342"/>
        <v>20.811975003167369</v>
      </c>
      <c r="Z99" s="143">
        <f t="shared" si="342"/>
        <v>22.852364709360248</v>
      </c>
      <c r="AA99" s="143">
        <f t="shared" si="342"/>
        <v>25.092792622042627</v>
      </c>
      <c r="AB99" s="143">
        <f t="shared" si="342"/>
        <v>27.552870330086026</v>
      </c>
      <c r="AC99" s="143">
        <f t="shared" si="342"/>
        <v>30.254132127153287</v>
      </c>
      <c r="AD99" s="143">
        <f t="shared" si="342"/>
        <v>33.220223512168317</v>
      </c>
      <c r="AE99" s="143">
        <f t="shared" si="342"/>
        <v>36.477108170224035</v>
      </c>
      <c r="AF99" s="137">
        <f t="shared" si="338"/>
        <v>4.3146341722449133E-2</v>
      </c>
      <c r="AG99" s="31">
        <f t="shared" si="17"/>
        <v>0.05</v>
      </c>
      <c r="AH99" s="145">
        <f t="shared" si="252"/>
        <v>225.29978575726611</v>
      </c>
    </row>
    <row r="100" spans="2:34">
      <c r="B100" s="20" t="s">
        <v>310</v>
      </c>
      <c r="C100" s="143"/>
      <c r="D100" s="143"/>
      <c r="E100" s="143"/>
      <c r="F100" s="143"/>
      <c r="G100" s="143">
        <f t="shared" ref="G100:H100" si="343">G6/G57</f>
        <v>73.463935886019598</v>
      </c>
      <c r="H100" s="143">
        <f t="shared" si="343"/>
        <v>81.005586592178773</v>
      </c>
      <c r="I100" s="143">
        <f t="shared" ref="I100:R100" si="344">I6/I57</f>
        <v>102.8169014084507</v>
      </c>
      <c r="J100" s="143">
        <f t="shared" si="344"/>
        <v>118.10699588477365</v>
      </c>
      <c r="K100" s="143">
        <f t="shared" si="344"/>
        <v>138.27160493827159</v>
      </c>
      <c r="L100" s="143">
        <f t="shared" si="344"/>
        <v>163.78600823045267</v>
      </c>
      <c r="M100" s="143">
        <f t="shared" si="344"/>
        <v>21.020156314273962</v>
      </c>
      <c r="N100" s="143">
        <f t="shared" si="344"/>
        <v>25.586178527354999</v>
      </c>
      <c r="O100" s="143">
        <f t="shared" si="344"/>
        <v>28.506787330316744</v>
      </c>
      <c r="P100" s="143">
        <f t="shared" si="344"/>
        <v>33.278214138073579</v>
      </c>
      <c r="Q100" s="143">
        <f t="shared" si="344"/>
        <v>43.348916277093068</v>
      </c>
      <c r="R100" s="143">
        <f t="shared" si="344"/>
        <v>55.269977484175193</v>
      </c>
      <c r="S100" s="143">
        <f t="shared" ref="S100" si="345">S6/S57</f>
        <v>67.972301287225449</v>
      </c>
      <c r="T100" s="118">
        <f t="shared" si="240"/>
        <v>-6.4536128590766406E-3</v>
      </c>
      <c r="U100" s="128"/>
      <c r="V100" s="143">
        <f t="shared" ref="V100:AE100" si="346">V6/V57</f>
        <v>74.636252393816193</v>
      </c>
      <c r="W100" s="143">
        <f t="shared" si="346"/>
        <v>81.953532040268755</v>
      </c>
      <c r="X100" s="143">
        <f t="shared" si="346"/>
        <v>89.988192044216675</v>
      </c>
      <c r="Y100" s="143">
        <f t="shared" si="346"/>
        <v>98.810563813257531</v>
      </c>
      <c r="Z100" s="143">
        <f t="shared" si="346"/>
        <v>108.49787399102787</v>
      </c>
      <c r="AA100" s="143">
        <f t="shared" si="346"/>
        <v>119.13492046073648</v>
      </c>
      <c r="AB100" s="143">
        <f t="shared" si="346"/>
        <v>130.81481462355379</v>
      </c>
      <c r="AC100" s="143">
        <f t="shared" si="346"/>
        <v>143.63979644939241</v>
      </c>
      <c r="AD100" s="143">
        <f t="shared" si="346"/>
        <v>157.72212943462696</v>
      </c>
      <c r="AE100" s="143">
        <f t="shared" si="346"/>
        <v>173.18508330076691</v>
      </c>
      <c r="AF100" s="137">
        <f t="shared" si="338"/>
        <v>2.5139910030768542E-2</v>
      </c>
      <c r="AG100" s="31">
        <f t="shared" ref="AG100" si="347">$N$1</f>
        <v>0.05</v>
      </c>
      <c r="AH100" s="145">
        <f t="shared" si="252"/>
        <v>1069.6725733282665</v>
      </c>
    </row>
    <row r="101" spans="2:34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28"/>
      <c r="U101" s="128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38"/>
      <c r="AG101" s="20"/>
      <c r="AH101" s="152"/>
    </row>
    <row r="102" spans="2:34">
      <c r="B102" s="20" t="s">
        <v>463</v>
      </c>
      <c r="C102" s="127"/>
      <c r="D102" s="127"/>
      <c r="E102" s="127"/>
      <c r="F102" s="127"/>
      <c r="G102" s="143">
        <f t="shared" ref="G102:H102" si="348">G55/$S$57</f>
        <v>0.60325417392412584</v>
      </c>
      <c r="H102" s="143">
        <f t="shared" si="348"/>
        <v>0.67972301287225456</v>
      </c>
      <c r="I102" s="143">
        <f t="shared" ref="I102:S102" si="349">I55/$S$57</f>
        <v>1.3594460257445091</v>
      </c>
      <c r="J102" s="143">
        <f t="shared" si="349"/>
        <v>2.0816517269212795</v>
      </c>
      <c r="K102" s="143">
        <f t="shared" si="349"/>
        <v>2.3365478567483748</v>
      </c>
      <c r="L102" s="143">
        <f t="shared" si="349"/>
        <v>2.761374739793534</v>
      </c>
      <c r="M102" s="143">
        <f t="shared" si="349"/>
        <v>5.310336038064488</v>
      </c>
      <c r="N102" s="143">
        <f t="shared" si="349"/>
        <v>5.0979225965419088</v>
      </c>
      <c r="O102" s="143">
        <f t="shared" si="349"/>
        <v>3.1012362462296612</v>
      </c>
      <c r="P102" s="143">
        <f t="shared" si="349"/>
        <v>5.522749479587068</v>
      </c>
      <c r="Q102" s="143">
        <f t="shared" si="349"/>
        <v>10.833085517651556</v>
      </c>
      <c r="R102" s="143">
        <f t="shared" si="349"/>
        <v>13.667530481328859</v>
      </c>
      <c r="S102" s="143">
        <f t="shared" si="349"/>
        <v>14.316665958621861</v>
      </c>
      <c r="T102" s="118">
        <f t="shared" si="240"/>
        <v>0.3020024347757615</v>
      </c>
      <c r="U102" s="128"/>
      <c r="V102" s="143">
        <f t="shared" ref="V102:AE102" si="350">V55/V57</f>
        <v>15.720260660447535</v>
      </c>
      <c r="W102" s="143">
        <f t="shared" si="350"/>
        <v>17.261462685981609</v>
      </c>
      <c r="X102" s="143">
        <f t="shared" si="350"/>
        <v>18.953762949313138</v>
      </c>
      <c r="Y102" s="143">
        <f t="shared" si="350"/>
        <v>20.811975003167369</v>
      </c>
      <c r="Z102" s="143">
        <f t="shared" si="350"/>
        <v>22.852364709360248</v>
      </c>
      <c r="AA102" s="143">
        <f t="shared" si="350"/>
        <v>25.092792622042627</v>
      </c>
      <c r="AB102" s="143">
        <f t="shared" si="350"/>
        <v>27.552870330086026</v>
      </c>
      <c r="AC102" s="143">
        <f t="shared" si="350"/>
        <v>30.254132127153287</v>
      </c>
      <c r="AD102" s="143">
        <f t="shared" si="350"/>
        <v>33.220223512168317</v>
      </c>
      <c r="AE102" s="143">
        <f t="shared" si="350"/>
        <v>36.477108170224035</v>
      </c>
      <c r="AF102" s="138"/>
      <c r="AG102" s="20"/>
      <c r="AH102" s="152"/>
    </row>
    <row r="103" spans="2:34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28"/>
      <c r="U103" s="128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38"/>
      <c r="AG103" s="20"/>
      <c r="AH103" s="152"/>
    </row>
    <row r="104" spans="2:34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28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>
      <c r="B105" s="20" t="s">
        <v>308</v>
      </c>
      <c r="C105" s="150"/>
      <c r="D105" s="150"/>
      <c r="E105" s="150"/>
      <c r="F105" s="150"/>
      <c r="G105" s="150">
        <f t="shared" ref="G105:H105" si="351">G51/G25</f>
        <v>5.5900621118012424E-2</v>
      </c>
      <c r="H105" s="150">
        <f t="shared" si="351"/>
        <v>6.6901408450704219E-2</v>
      </c>
      <c r="I105" s="150">
        <f t="shared" ref="I105:R105" si="352">I51/I25</f>
        <v>0.11096256684491979</v>
      </c>
      <c r="J105" s="150">
        <f t="shared" si="352"/>
        <v>0.12102564102564102</v>
      </c>
      <c r="K105" s="150">
        <f t="shared" si="352"/>
        <v>0.13356461405030357</v>
      </c>
      <c r="L105" s="150">
        <f t="shared" si="352"/>
        <v>0.13365318711446195</v>
      </c>
      <c r="M105" s="150">
        <f t="shared" si="352"/>
        <v>0.132303559435863</v>
      </c>
      <c r="N105" s="150">
        <f t="shared" si="352"/>
        <v>0.12506917542888765</v>
      </c>
      <c r="O105" s="150">
        <f t="shared" si="352"/>
        <v>0.12966150315547906</v>
      </c>
      <c r="P105" s="150">
        <f t="shared" si="352"/>
        <v>0.1342189647274393</v>
      </c>
      <c r="Q105" s="150">
        <f t="shared" si="352"/>
        <v>0.15384615384615385</v>
      </c>
      <c r="R105" s="150">
        <f t="shared" si="352"/>
        <v>0.14786493034524531</v>
      </c>
      <c r="S105" s="150">
        <f t="shared" ref="S105" si="353">S51/S25</f>
        <v>0.14242998833138856</v>
      </c>
      <c r="T105" s="118">
        <f t="shared" si="240"/>
        <v>8.1057349814599222E-2</v>
      </c>
      <c r="U105" s="150"/>
      <c r="V105" s="150">
        <f t="shared" ref="V105:AE105" si="354">V51/V25</f>
        <v>0.14242998833138856</v>
      </c>
      <c r="W105" s="150">
        <f t="shared" si="354"/>
        <v>0.14242998833138854</v>
      </c>
      <c r="X105" s="150">
        <f t="shared" si="354"/>
        <v>0.14242998833138856</v>
      </c>
      <c r="Y105" s="150">
        <f t="shared" si="354"/>
        <v>0.14242998833138856</v>
      </c>
      <c r="Z105" s="150">
        <f t="shared" si="354"/>
        <v>0.14242998833138859</v>
      </c>
      <c r="AA105" s="150">
        <f t="shared" si="354"/>
        <v>0.14242998833138859</v>
      </c>
      <c r="AB105" s="150">
        <f t="shared" si="354"/>
        <v>0.14242998833138859</v>
      </c>
      <c r="AC105" s="150">
        <f t="shared" si="354"/>
        <v>0.14242998833138859</v>
      </c>
      <c r="AD105" s="150">
        <f t="shared" si="354"/>
        <v>0.14242998833138859</v>
      </c>
      <c r="AE105" s="150">
        <f t="shared" si="354"/>
        <v>0.14242998833138859</v>
      </c>
      <c r="AF105" s="137">
        <f t="shared" ref="AF105:AF154" si="355">((AE105/I105)^(1/($AE$3-$J$1) ))-1</f>
        <v>1.1959408628882784E-2</v>
      </c>
      <c r="AG105" s="145"/>
      <c r="AH105" s="145"/>
    </row>
    <row r="106" spans="2:34">
      <c r="B106" s="20" t="s">
        <v>266</v>
      </c>
      <c r="C106" s="150"/>
      <c r="D106" s="150"/>
      <c r="E106" s="150"/>
      <c r="F106" s="150"/>
      <c r="G106" s="150">
        <f t="shared" ref="G106:H106" si="356">G55/G25</f>
        <v>2.939958592132505E-2</v>
      </c>
      <c r="H106" s="150">
        <f t="shared" si="356"/>
        <v>2.8169014084507043E-2</v>
      </c>
      <c r="I106" s="150">
        <f t="shared" ref="I106:R106" si="357">I55/I25</f>
        <v>4.2780748663101602E-2</v>
      </c>
      <c r="J106" s="150">
        <f t="shared" si="357"/>
        <v>5.0256410256410255E-2</v>
      </c>
      <c r="K106" s="150">
        <f t="shared" si="357"/>
        <v>4.7701647875108416E-2</v>
      </c>
      <c r="L106" s="150">
        <f t="shared" si="357"/>
        <v>4.4551062371487322E-2</v>
      </c>
      <c r="M106" s="150">
        <f t="shared" si="357"/>
        <v>8.3948959032907985E-2</v>
      </c>
      <c r="N106" s="150">
        <f t="shared" si="357"/>
        <v>6.6408411732152742E-2</v>
      </c>
      <c r="O106" s="150">
        <f t="shared" si="357"/>
        <v>4.1881812966150317E-2</v>
      </c>
      <c r="P106" s="150">
        <f t="shared" si="357"/>
        <v>5.955107650022904E-2</v>
      </c>
      <c r="Q106" s="150">
        <f t="shared" si="357"/>
        <v>8.9160839160839167E-2</v>
      </c>
      <c r="R106" s="150">
        <f t="shared" si="357"/>
        <v>9.7431859479103586E-2</v>
      </c>
      <c r="S106" s="150">
        <f t="shared" ref="S106" si="358">S55/S25</f>
        <v>9.8308051341890315E-2</v>
      </c>
      <c r="T106" s="118">
        <f t="shared" si="240"/>
        <v>0.10582733945706613</v>
      </c>
      <c r="U106" s="150"/>
      <c r="V106" s="150">
        <f t="shared" ref="V106:AE106" si="359">V55/V25</f>
        <v>9.8308051341890315E-2</v>
      </c>
      <c r="W106" s="150">
        <f t="shared" si="359"/>
        <v>9.8308051341890315E-2</v>
      </c>
      <c r="X106" s="150">
        <f t="shared" si="359"/>
        <v>9.8308051341890329E-2</v>
      </c>
      <c r="Y106" s="150">
        <f t="shared" si="359"/>
        <v>9.8308051341890329E-2</v>
      </c>
      <c r="Z106" s="150">
        <f t="shared" si="359"/>
        <v>9.8308051341890343E-2</v>
      </c>
      <c r="AA106" s="150">
        <f t="shared" si="359"/>
        <v>9.8308051341890343E-2</v>
      </c>
      <c r="AB106" s="150">
        <f t="shared" si="359"/>
        <v>9.8308051341890343E-2</v>
      </c>
      <c r="AC106" s="150">
        <f t="shared" si="359"/>
        <v>9.8308051341890343E-2</v>
      </c>
      <c r="AD106" s="150">
        <f t="shared" si="359"/>
        <v>9.8308051341890343E-2</v>
      </c>
      <c r="AE106" s="150">
        <f t="shared" si="359"/>
        <v>9.8308051341890343E-2</v>
      </c>
      <c r="AF106" s="137">
        <f t="shared" si="355"/>
        <v>4.0415228563662087E-2</v>
      </c>
      <c r="AG106" s="145"/>
      <c r="AH106" s="145"/>
    </row>
    <row r="107" spans="2:34">
      <c r="B107" s="20" t="s">
        <v>355</v>
      </c>
      <c r="C107" s="150"/>
      <c r="D107" s="150"/>
      <c r="E107" s="150"/>
      <c r="F107" s="150"/>
      <c r="G107" s="150">
        <f t="shared" ref="G107:H107" si="360">G55/G7</f>
        <v>9.4666666666666663E-2</v>
      </c>
      <c r="H107" s="150">
        <f t="shared" si="360"/>
        <v>8.98876404494382E-2</v>
      </c>
      <c r="I107" s="150">
        <f>I55/I7</f>
        <v>0.12030075187969924</v>
      </c>
      <c r="J107" s="150">
        <f t="shared" ref="J107:Q107" si="361">J55/J7</f>
        <v>0.15755627009646303</v>
      </c>
      <c r="K107" s="150">
        <f t="shared" si="361"/>
        <v>0.1523545706371191</v>
      </c>
      <c r="L107" s="150">
        <f t="shared" si="361"/>
        <v>0.15402843601895735</v>
      </c>
      <c r="M107" s="150">
        <f t="shared" si="361"/>
        <v>0.23364485981308411</v>
      </c>
      <c r="N107" s="150">
        <f t="shared" si="361"/>
        <v>1.8613308515588647E-2</v>
      </c>
      <c r="O107" s="150">
        <f t="shared" si="361"/>
        <v>0.10181311018131102</v>
      </c>
      <c r="P107" s="150">
        <f t="shared" si="361"/>
        <v>0.15681544028950542</v>
      </c>
      <c r="Q107" s="150">
        <f t="shared" si="361"/>
        <v>0.24448705656759348</v>
      </c>
      <c r="R107" s="150">
        <f t="shared" ref="R107:S107" si="362">R55/R7</f>
        <v>0.24299093655589127</v>
      </c>
      <c r="S107" s="150">
        <f t="shared" si="362"/>
        <v>0.20751231527093597</v>
      </c>
      <c r="T107" s="118">
        <f t="shared" si="240"/>
        <v>6.7588530171211136E-2</v>
      </c>
      <c r="U107" s="20"/>
      <c r="V107" s="150">
        <f t="shared" ref="V107" si="363">V55/V7</f>
        <v>0.20751231527093597</v>
      </c>
      <c r="W107" s="150">
        <f t="shared" ref="W107:AE107" si="364">W55/W7</f>
        <v>0.207512315270936</v>
      </c>
      <c r="X107" s="150">
        <f t="shared" si="364"/>
        <v>0.207512315270936</v>
      </c>
      <c r="Y107" s="150">
        <f t="shared" si="364"/>
        <v>0.207512315270936</v>
      </c>
      <c r="Z107" s="150">
        <f t="shared" si="364"/>
        <v>0.207512315270936</v>
      </c>
      <c r="AA107" s="150">
        <f t="shared" si="364"/>
        <v>0.20751231527093597</v>
      </c>
      <c r="AB107" s="150">
        <f t="shared" si="364"/>
        <v>0.207512315270936</v>
      </c>
      <c r="AC107" s="150">
        <f t="shared" si="364"/>
        <v>0.207512315270936</v>
      </c>
      <c r="AD107" s="150">
        <f t="shared" si="364"/>
        <v>0.207512315270936</v>
      </c>
      <c r="AE107" s="150">
        <f t="shared" si="364"/>
        <v>0.207512315270936</v>
      </c>
      <c r="AF107" s="137">
        <f t="shared" si="355"/>
        <v>2.6301646018038083E-2</v>
      </c>
      <c r="AG107" s="145"/>
      <c r="AH107" s="145"/>
    </row>
    <row r="108" spans="2:34">
      <c r="B108" s="20" t="s">
        <v>356</v>
      </c>
      <c r="C108" s="150"/>
      <c r="D108" s="150"/>
      <c r="E108" s="150"/>
      <c r="F108" s="150"/>
      <c r="G108" s="150">
        <f t="shared" ref="G108:H108" si="365">(G55)/(G7+G10)</f>
        <v>4.4099378881987575E-2</v>
      </c>
      <c r="H108" s="150">
        <f t="shared" si="365"/>
        <v>3.3755274261603373E-2</v>
      </c>
      <c r="I108" s="150">
        <f>(I55)/(I7+I10)</f>
        <v>4.456824512534819E-2</v>
      </c>
      <c r="J108" s="150">
        <f t="shared" ref="J108:Q108" si="366">(J55)/(J7+J10)</f>
        <v>6.1403508771929821E-2</v>
      </c>
      <c r="K108" s="150">
        <f t="shared" si="366"/>
        <v>4.8543689320388349E-2</v>
      </c>
      <c r="L108" s="150">
        <f t="shared" si="366"/>
        <v>6.3600782778864967E-2</v>
      </c>
      <c r="M108" s="150">
        <f t="shared" si="366"/>
        <v>0.10974539069359086</v>
      </c>
      <c r="N108" s="150">
        <f t="shared" si="366"/>
        <v>1.6333197223356473E-2</v>
      </c>
      <c r="O108" s="150">
        <f t="shared" si="366"/>
        <v>4.5854271356783917E-2</v>
      </c>
      <c r="P108" s="150">
        <f t="shared" si="366"/>
        <v>7.8125E-2</v>
      </c>
      <c r="Q108" s="150">
        <f t="shared" si="366"/>
        <v>0.10814249363867684</v>
      </c>
      <c r="R108" s="150">
        <f t="shared" ref="R108:S108" si="367">(R55)/(R7+R10)</f>
        <v>0.12347962923871118</v>
      </c>
      <c r="S108" s="150">
        <f t="shared" si="367"/>
        <v>0.11598891737940767</v>
      </c>
      <c r="T108" s="118">
        <f t="shared" si="240"/>
        <v>8.3923590851536112E-2</v>
      </c>
      <c r="U108" s="20"/>
      <c r="V108" s="150">
        <f t="shared" ref="V108:AE108" si="368">(V55)/(V7+V10)</f>
        <v>0.11598891737940767</v>
      </c>
      <c r="W108" s="150">
        <f t="shared" si="368"/>
        <v>0.11598891737940768</v>
      </c>
      <c r="X108" s="150">
        <f t="shared" si="368"/>
        <v>0.1159889173794077</v>
      </c>
      <c r="Y108" s="150">
        <f t="shared" si="368"/>
        <v>0.11598891737940768</v>
      </c>
      <c r="Z108" s="150">
        <f t="shared" si="368"/>
        <v>0.11598891737940768</v>
      </c>
      <c r="AA108" s="150">
        <f t="shared" si="368"/>
        <v>0.11598891737940767</v>
      </c>
      <c r="AB108" s="150">
        <f t="shared" si="368"/>
        <v>0.11598891737940768</v>
      </c>
      <c r="AC108" s="150">
        <f t="shared" si="368"/>
        <v>0.11598891737940767</v>
      </c>
      <c r="AD108" s="150">
        <f t="shared" si="368"/>
        <v>0.11598891737940767</v>
      </c>
      <c r="AE108" s="150">
        <f t="shared" si="368"/>
        <v>0.11598891737940767</v>
      </c>
      <c r="AF108" s="137">
        <f t="shared" si="355"/>
        <v>4.6599497627158426E-2</v>
      </c>
      <c r="AG108" s="145"/>
      <c r="AH108" s="145"/>
    </row>
    <row r="109" spans="2:34">
      <c r="B109" s="20" t="s">
        <v>372</v>
      </c>
      <c r="C109" s="150"/>
      <c r="D109" s="150"/>
      <c r="E109" s="150"/>
      <c r="F109" s="150"/>
      <c r="G109" s="150">
        <f t="shared" ref="G109:H109" si="369">G20/G25</f>
        <v>-1.6563146997929608E-2</v>
      </c>
      <c r="H109" s="150">
        <f t="shared" si="369"/>
        <v>-0.16725352112676056</v>
      </c>
      <c r="I109" s="150">
        <f>I20/I25</f>
        <v>-0.18716577540106952</v>
      </c>
      <c r="J109" s="150">
        <f t="shared" ref="J109:R109" si="370">J20/J25</f>
        <v>0.16717948717948719</v>
      </c>
      <c r="K109" s="150">
        <f t="shared" si="370"/>
        <v>-0.18560277536860365</v>
      </c>
      <c r="L109" s="150">
        <f t="shared" si="370"/>
        <v>0.19328307059629884</v>
      </c>
      <c r="M109" s="150">
        <f t="shared" si="370"/>
        <v>0.11484217595701814</v>
      </c>
      <c r="N109" s="150">
        <f t="shared" si="370"/>
        <v>-8.3563918096292197E-2</v>
      </c>
      <c r="O109" s="150">
        <f t="shared" si="370"/>
        <v>8.0895008605851984E-2</v>
      </c>
      <c r="P109" s="150">
        <f t="shared" si="370"/>
        <v>7.7874484654145676E-2</v>
      </c>
      <c r="Q109" s="150">
        <f t="shared" si="370"/>
        <v>-7.237762237762238E-2</v>
      </c>
      <c r="R109" s="150">
        <f t="shared" si="370"/>
        <v>0</v>
      </c>
      <c r="S109" s="150">
        <f t="shared" ref="S109" si="371">S20/S25</f>
        <v>0</v>
      </c>
      <c r="T109" s="118">
        <f t="shared" si="240"/>
        <v>-1</v>
      </c>
      <c r="U109" s="20"/>
      <c r="V109" s="150">
        <f t="shared" ref="V109:AE109" si="372">V20/V25</f>
        <v>0</v>
      </c>
      <c r="W109" s="150">
        <f t="shared" si="372"/>
        <v>0</v>
      </c>
      <c r="X109" s="150">
        <f t="shared" si="372"/>
        <v>0</v>
      </c>
      <c r="Y109" s="150">
        <f t="shared" si="372"/>
        <v>0</v>
      </c>
      <c r="Z109" s="150">
        <f t="shared" si="372"/>
        <v>0</v>
      </c>
      <c r="AA109" s="150">
        <f t="shared" si="372"/>
        <v>0</v>
      </c>
      <c r="AB109" s="150">
        <f t="shared" si="372"/>
        <v>0</v>
      </c>
      <c r="AC109" s="150">
        <f t="shared" si="372"/>
        <v>0</v>
      </c>
      <c r="AD109" s="150">
        <f t="shared" si="372"/>
        <v>0</v>
      </c>
      <c r="AE109" s="150">
        <f t="shared" si="372"/>
        <v>0</v>
      </c>
      <c r="AF109" s="137">
        <f t="shared" si="355"/>
        <v>-1</v>
      </c>
      <c r="AG109" s="145"/>
      <c r="AH109" s="145"/>
    </row>
    <row r="110" spans="2:34">
      <c r="B110" s="20" t="s">
        <v>424</v>
      </c>
      <c r="C110" s="150"/>
      <c r="D110" s="150"/>
      <c r="E110" s="150"/>
      <c r="F110" s="150"/>
      <c r="G110" s="150">
        <f t="shared" ref="G110:H110" si="373">G68/G25</f>
        <v>1.4078674948240166E-2</v>
      </c>
      <c r="H110" s="150">
        <f t="shared" si="373"/>
        <v>1.7605633802816902E-2</v>
      </c>
      <c r="I110" s="150">
        <f>I68/I25</f>
        <v>2.1390374331550801E-2</v>
      </c>
      <c r="J110" s="150">
        <f t="shared" ref="J110:R110" si="374">J68/J25</f>
        <v>9.2307692307692316E-3</v>
      </c>
      <c r="K110" s="150">
        <f t="shared" si="374"/>
        <v>8.6730268863833473E-3</v>
      </c>
      <c r="L110" s="150">
        <f t="shared" si="374"/>
        <v>1.8505825908156272E-2</v>
      </c>
      <c r="M110" s="150">
        <f t="shared" si="374"/>
        <v>1.6789791806581598E-2</v>
      </c>
      <c r="N110" s="150">
        <f t="shared" si="374"/>
        <v>2.1029330381848368E-2</v>
      </c>
      <c r="O110" s="150">
        <f t="shared" si="374"/>
        <v>1.2621916236374068E-2</v>
      </c>
      <c r="P110" s="150">
        <f t="shared" si="374"/>
        <v>2.4736601007787448E-2</v>
      </c>
      <c r="Q110" s="150">
        <f t="shared" si="374"/>
        <v>2.4825174825174826E-2</v>
      </c>
      <c r="R110" s="150">
        <f t="shared" si="374"/>
        <v>2.1920048455481525E-2</v>
      </c>
      <c r="S110" s="150">
        <f t="shared" ref="S110" si="375">S68/S25</f>
        <v>2.7129521586931157E-2</v>
      </c>
      <c r="T110" s="118">
        <f t="shared" si="240"/>
        <v>5.6185082989425039E-2</v>
      </c>
      <c r="U110" s="20"/>
      <c r="V110" s="150">
        <f t="shared" ref="V110:AE110" si="376">V68/V25</f>
        <v>2.7129521586931143E-2</v>
      </c>
      <c r="W110" s="150">
        <f t="shared" si="376"/>
        <v>2.7129521586931136E-2</v>
      </c>
      <c r="X110" s="150">
        <f t="shared" si="376"/>
        <v>2.7129521586931146E-2</v>
      </c>
      <c r="Y110" s="150">
        <f t="shared" si="376"/>
        <v>2.7129521586931139E-2</v>
      </c>
      <c r="Z110" s="150">
        <f t="shared" si="376"/>
        <v>2.7129521586931136E-2</v>
      </c>
      <c r="AA110" s="150">
        <f t="shared" si="376"/>
        <v>2.7129521586931143E-2</v>
      </c>
      <c r="AB110" s="150">
        <f t="shared" si="376"/>
        <v>2.7129521586931139E-2</v>
      </c>
      <c r="AC110" s="150">
        <f t="shared" si="376"/>
        <v>2.7129521586931125E-2</v>
      </c>
      <c r="AD110" s="150">
        <f t="shared" si="376"/>
        <v>2.7129521586931136E-2</v>
      </c>
      <c r="AE110" s="150">
        <f t="shared" si="376"/>
        <v>2.7129521586931139E-2</v>
      </c>
      <c r="AF110" s="137">
        <f t="shared" si="355"/>
        <v>1.1382457960065429E-2</v>
      </c>
      <c r="AG110" s="145"/>
      <c r="AH110" s="145"/>
    </row>
    <row r="111" spans="2:34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28"/>
      <c r="U111" s="2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3"/>
      <c r="AG111" s="145"/>
      <c r="AH111" s="145"/>
    </row>
    <row r="112" spans="2:34">
      <c r="B112" s="20" t="s">
        <v>319</v>
      </c>
      <c r="C112" s="150"/>
      <c r="D112" s="150"/>
      <c r="E112" s="150"/>
      <c r="F112" s="150"/>
      <c r="G112" s="150">
        <f t="shared" ref="G112:H112" si="377">G29/G25</f>
        <v>1.6563146997929608E-2</v>
      </c>
      <c r="H112" s="150">
        <f t="shared" si="377"/>
        <v>1.936619718309859E-2</v>
      </c>
      <c r="I112" s="150">
        <f>I29/I25</f>
        <v>4.1443850267379678E-2</v>
      </c>
      <c r="J112" s="150">
        <f t="shared" ref="J112:R112" si="378">J29/J25</f>
        <v>4.7179487179487181E-2</v>
      </c>
      <c r="K112" s="150">
        <f t="shared" si="378"/>
        <v>5.6374674761491758E-2</v>
      </c>
      <c r="L112" s="150">
        <f t="shared" si="378"/>
        <v>6.3742289239204941E-2</v>
      </c>
      <c r="M112" s="150">
        <f t="shared" si="378"/>
        <v>2.8206850235057087E-2</v>
      </c>
      <c r="N112" s="150">
        <f t="shared" si="378"/>
        <v>2.6563364692861097E-2</v>
      </c>
      <c r="O112" s="150">
        <f t="shared" si="378"/>
        <v>4.0160642570281124E-2</v>
      </c>
      <c r="P112" s="150">
        <f t="shared" si="378"/>
        <v>3.5272560696289507E-2</v>
      </c>
      <c r="Q112" s="150">
        <f t="shared" si="378"/>
        <v>2.6573426573426574E-2</v>
      </c>
      <c r="R112" s="150">
        <f t="shared" si="378"/>
        <v>2.4497274379164144E-2</v>
      </c>
      <c r="S112" s="150">
        <f t="shared" ref="S112" si="379">S29/S25</f>
        <v>1.8500583430571763E-2</v>
      </c>
      <c r="T112" s="118">
        <f t="shared" si="240"/>
        <v>9.2611297637499312E-3</v>
      </c>
      <c r="U112" s="20"/>
      <c r="V112" s="150">
        <f t="shared" ref="V112:AE112" si="380">V29/V25</f>
        <v>1.8500583430571763E-2</v>
      </c>
      <c r="W112" s="150">
        <f t="shared" si="380"/>
        <v>1.8500583430571763E-2</v>
      </c>
      <c r="X112" s="150">
        <f t="shared" si="380"/>
        <v>1.8500583430571763E-2</v>
      </c>
      <c r="Y112" s="150">
        <f t="shared" si="380"/>
        <v>1.8500583430571767E-2</v>
      </c>
      <c r="Z112" s="150">
        <f t="shared" si="380"/>
        <v>1.8500583430571767E-2</v>
      </c>
      <c r="AA112" s="150">
        <f t="shared" si="380"/>
        <v>1.850058343057177E-2</v>
      </c>
      <c r="AB112" s="150">
        <f t="shared" si="380"/>
        <v>1.850058343057177E-2</v>
      </c>
      <c r="AC112" s="150">
        <f t="shared" si="380"/>
        <v>1.850058343057177E-2</v>
      </c>
      <c r="AD112" s="150">
        <f t="shared" si="380"/>
        <v>1.850058343057177E-2</v>
      </c>
      <c r="AE112" s="150">
        <f t="shared" si="380"/>
        <v>1.8500583430571774E-2</v>
      </c>
      <c r="AF112" s="137">
        <f t="shared" si="355"/>
        <v>-3.7678356167944571E-2</v>
      </c>
      <c r="AG112" s="145"/>
      <c r="AH112" s="145"/>
    </row>
    <row r="113" spans="1:34">
      <c r="B113" s="20" t="s">
        <v>365</v>
      </c>
      <c r="C113" s="150"/>
      <c r="D113" s="150"/>
      <c r="E113" s="150"/>
      <c r="F113" s="150"/>
      <c r="G113" s="150">
        <f t="shared" ref="G113:H113" si="381">G29/G51</f>
        <v>0.29629629629629628</v>
      </c>
      <c r="H113" s="150">
        <f t="shared" si="381"/>
        <v>0.28947368421052633</v>
      </c>
      <c r="I113" s="150">
        <f>I29/I51</f>
        <v>0.37349397590361444</v>
      </c>
      <c r="J113" s="150">
        <f t="shared" ref="J113:R113" si="382">J29/J51</f>
        <v>0.38983050847457629</v>
      </c>
      <c r="K113" s="150">
        <f t="shared" si="382"/>
        <v>0.42207792207792205</v>
      </c>
      <c r="L113" s="150">
        <f t="shared" si="382"/>
        <v>0.47692307692307695</v>
      </c>
      <c r="M113" s="150">
        <f t="shared" si="382"/>
        <v>0.21319796954314721</v>
      </c>
      <c r="N113" s="150">
        <f t="shared" si="382"/>
        <v>0.21238938053097345</v>
      </c>
      <c r="O113" s="150">
        <f t="shared" si="382"/>
        <v>0.30973451327433627</v>
      </c>
      <c r="P113" s="150">
        <f t="shared" si="382"/>
        <v>0.26279863481228671</v>
      </c>
      <c r="Q113" s="150">
        <f t="shared" si="382"/>
        <v>0.17272727272727273</v>
      </c>
      <c r="R113" s="150">
        <f t="shared" si="382"/>
        <v>0.16567332309267793</v>
      </c>
      <c r="S113" s="150">
        <f t="shared" ref="S113" si="383">S29/S51</f>
        <v>0.12989247311827956</v>
      </c>
      <c r="T113" s="118">
        <f t="shared" si="240"/>
        <v>-6.6412961405944104E-2</v>
      </c>
      <c r="U113" s="20"/>
      <c r="V113" s="150">
        <f t="shared" ref="V113:AE113" si="384">V29/V51</f>
        <v>0.12989247311827959</v>
      </c>
      <c r="W113" s="150">
        <f t="shared" si="384"/>
        <v>0.12989247311827959</v>
      </c>
      <c r="X113" s="150">
        <f t="shared" si="384"/>
        <v>0.12989247311827959</v>
      </c>
      <c r="Y113" s="150">
        <f t="shared" si="384"/>
        <v>0.12989247311827959</v>
      </c>
      <c r="Z113" s="150">
        <f t="shared" si="384"/>
        <v>0.12989247311827959</v>
      </c>
      <c r="AA113" s="150">
        <f t="shared" si="384"/>
        <v>0.12989247311827959</v>
      </c>
      <c r="AB113" s="150">
        <f t="shared" si="384"/>
        <v>0.12989247311827962</v>
      </c>
      <c r="AC113" s="150">
        <f t="shared" si="384"/>
        <v>0.12989247311827959</v>
      </c>
      <c r="AD113" s="150">
        <f t="shared" si="384"/>
        <v>0.12989247311827962</v>
      </c>
      <c r="AE113" s="150">
        <f t="shared" si="384"/>
        <v>0.12989247311827962</v>
      </c>
      <c r="AF113" s="137">
        <f t="shared" ref="AF113" si="385">((AE113/I113)^(1/($AE$3-$J$1) ))-1</f>
        <v>-4.9051142144211357E-2</v>
      </c>
      <c r="AG113" s="145"/>
      <c r="AH113" s="145"/>
    </row>
    <row r="114" spans="1:34" ht="12" customHeight="1">
      <c r="B114" s="20" t="s">
        <v>364</v>
      </c>
      <c r="C114" s="150"/>
      <c r="D114" s="150"/>
      <c r="E114" s="150"/>
      <c r="F114" s="150"/>
      <c r="G114" s="169">
        <f t="shared" ref="G114:H114" si="386">G29/G55</f>
        <v>0.56338028169014087</v>
      </c>
      <c r="H114" s="169">
        <f t="shared" si="386"/>
        <v>0.6875</v>
      </c>
      <c r="I114" s="169">
        <f t="shared" ref="I114:R114" si="387">I29/I55</f>
        <v>0.96875</v>
      </c>
      <c r="J114" s="169">
        <f t="shared" si="387"/>
        <v>0.93877551020408168</v>
      </c>
      <c r="K114" s="169">
        <f t="shared" si="387"/>
        <v>1.1818181818181819</v>
      </c>
      <c r="L114" s="169">
        <f t="shared" si="387"/>
        <v>1.4307692307692308</v>
      </c>
      <c r="M114" s="169">
        <f t="shared" si="387"/>
        <v>0.33600000000000002</v>
      </c>
      <c r="N114" s="169">
        <f t="shared" si="387"/>
        <v>0.4</v>
      </c>
      <c r="O114" s="169">
        <f t="shared" si="387"/>
        <v>0.95890410958904104</v>
      </c>
      <c r="P114" s="169">
        <f t="shared" si="387"/>
        <v>0.59230769230769231</v>
      </c>
      <c r="Q114" s="169">
        <f t="shared" si="387"/>
        <v>0.29803921568627451</v>
      </c>
      <c r="R114" s="169">
        <f t="shared" si="387"/>
        <v>0.25142981474574161</v>
      </c>
      <c r="S114" s="169">
        <f t="shared" ref="S114" si="388">S29/S55</f>
        <v>0.18818991097922849</v>
      </c>
      <c r="T114" s="118">
        <f t="shared" si="240"/>
        <v>-8.7324852847939005E-2</v>
      </c>
      <c r="U114" s="20"/>
      <c r="V114" s="169">
        <f t="shared" ref="V114:AE114" si="389">V29/V55</f>
        <v>0.18818991097922849</v>
      </c>
      <c r="W114" s="169">
        <f t="shared" si="389"/>
        <v>0.18818991097922849</v>
      </c>
      <c r="X114" s="169">
        <f t="shared" si="389"/>
        <v>0.18818991097922849</v>
      </c>
      <c r="Y114" s="169">
        <f t="shared" si="389"/>
        <v>0.18818991097922849</v>
      </c>
      <c r="Z114" s="169">
        <f t="shared" si="389"/>
        <v>0.18818991097922849</v>
      </c>
      <c r="AA114" s="169">
        <f t="shared" si="389"/>
        <v>0.18818991097922852</v>
      </c>
      <c r="AB114" s="169">
        <f t="shared" si="389"/>
        <v>0.18818991097922852</v>
      </c>
      <c r="AC114" s="169">
        <f t="shared" si="389"/>
        <v>0.18818991097922849</v>
      </c>
      <c r="AD114" s="169">
        <f t="shared" si="389"/>
        <v>0.18818991097922852</v>
      </c>
      <c r="AE114" s="169">
        <f t="shared" si="389"/>
        <v>0.18818991097922855</v>
      </c>
      <c r="AF114" s="137">
        <f t="shared" ref="AF114" si="390">((AE114/I114)^(1/($AE$3-$J$1) ))-1</f>
        <v>-7.5060016989003775E-2</v>
      </c>
      <c r="AG114" s="145"/>
      <c r="AH114" s="145"/>
    </row>
    <row r="115" spans="1:34" ht="12" customHeight="1">
      <c r="B115" s="20" t="s">
        <v>321</v>
      </c>
      <c r="C115" s="150"/>
      <c r="D115" s="150"/>
      <c r="E115" s="150"/>
      <c r="F115" s="150"/>
      <c r="G115" s="169">
        <f t="shared" ref="G115:H115" si="391">G29/G12</f>
        <v>0.4</v>
      </c>
      <c r="H115" s="169">
        <f t="shared" si="391"/>
        <v>0.84615384615384615</v>
      </c>
      <c r="I115" s="169">
        <f t="shared" ref="I115:R115" si="392">I29/I12</f>
        <v>0.46969696969696972</v>
      </c>
      <c r="J115" s="169">
        <f t="shared" si="392"/>
        <v>1.2105263157894737</v>
      </c>
      <c r="K115" s="169">
        <f t="shared" si="392"/>
        <v>1.4130434782608696</v>
      </c>
      <c r="L115" s="169">
        <f t="shared" si="392"/>
        <v>2.8181818181818183</v>
      </c>
      <c r="M115" s="169">
        <f t="shared" si="392"/>
        <v>0.95454545454545459</v>
      </c>
      <c r="N115" s="169">
        <f t="shared" si="392"/>
        <v>9.0566037735849054</v>
      </c>
      <c r="O115" s="169">
        <f t="shared" si="392"/>
        <v>4.117647058823529</v>
      </c>
      <c r="P115" s="169">
        <f t="shared" si="392"/>
        <v>5.9230769230769234</v>
      </c>
      <c r="Q115" s="169">
        <f t="shared" si="392"/>
        <v>1.1515151515151516</v>
      </c>
      <c r="R115" s="169">
        <f t="shared" si="392"/>
        <v>3.3233360723089564</v>
      </c>
      <c r="S115" s="169">
        <f t="shared" ref="S115" si="393">S29/S12</f>
        <v>2.6055875102711585</v>
      </c>
      <c r="T115" s="118">
        <f t="shared" si="240"/>
        <v>0.16901604692889083</v>
      </c>
      <c r="U115" s="20"/>
      <c r="V115" s="150">
        <f t="shared" ref="V115:AE115" si="394">V29/V12</f>
        <v>2.605587510271159</v>
      </c>
      <c r="W115" s="150">
        <f t="shared" si="394"/>
        <v>2.605587510271159</v>
      </c>
      <c r="X115" s="150">
        <f t="shared" si="394"/>
        <v>2.6055875102711585</v>
      </c>
      <c r="Y115" s="150">
        <f t="shared" si="394"/>
        <v>2.6055875102711585</v>
      </c>
      <c r="Z115" s="150">
        <f t="shared" si="394"/>
        <v>2.6055875102711585</v>
      </c>
      <c r="AA115" s="150">
        <f t="shared" si="394"/>
        <v>2.6055875102711585</v>
      </c>
      <c r="AB115" s="150">
        <f t="shared" si="394"/>
        <v>2.6055875102711585</v>
      </c>
      <c r="AC115" s="150">
        <f t="shared" si="394"/>
        <v>2.6055875102711585</v>
      </c>
      <c r="AD115" s="150">
        <f t="shared" si="394"/>
        <v>2.605587510271159</v>
      </c>
      <c r="AE115" s="150">
        <f t="shared" si="394"/>
        <v>2.605587510271159</v>
      </c>
      <c r="AF115" s="137">
        <f t="shared" si="355"/>
        <v>8.500754295919899E-2</v>
      </c>
      <c r="AG115" s="145"/>
      <c r="AH115" s="145"/>
    </row>
    <row r="116" spans="1:34" ht="12" customHeight="1">
      <c r="B116" s="20" t="s">
        <v>366</v>
      </c>
      <c r="C116" s="150"/>
      <c r="D116" s="150"/>
      <c r="E116" s="150"/>
      <c r="F116" s="150"/>
      <c r="G116" s="169">
        <f t="shared" ref="G116:H116" si="395">G29/G23</f>
        <v>1.1428571428571428</v>
      </c>
      <c r="H116" s="169">
        <f t="shared" si="395"/>
        <v>1.1000000000000001</v>
      </c>
      <c r="I116" s="169">
        <f>I29/I23</f>
        <v>6.2</v>
      </c>
      <c r="J116" s="169">
        <f t="shared" ref="J116:R116" si="396">J29/J23</f>
        <v>1.2777777777777777</v>
      </c>
      <c r="K116" s="169">
        <f t="shared" si="396"/>
        <v>2.2413793103448274</v>
      </c>
      <c r="L116" s="169">
        <f t="shared" si="396"/>
        <v>8.454545454545455</v>
      </c>
      <c r="M116" s="169">
        <f t="shared" si="396"/>
        <v>7</v>
      </c>
      <c r="N116" s="169">
        <f t="shared" si="396"/>
        <v>9.6</v>
      </c>
      <c r="O116" s="169">
        <f t="shared" si="396"/>
        <v>4.117647058823529</v>
      </c>
      <c r="P116" s="169">
        <f t="shared" si="396"/>
        <v>5.9230769230769234</v>
      </c>
      <c r="Q116" s="169">
        <f t="shared" si="396"/>
        <v>1.1875</v>
      </c>
      <c r="R116" s="169" t="e">
        <f t="shared" si="396"/>
        <v>#DIV/0!</v>
      </c>
      <c r="S116" s="169" t="e">
        <f t="shared" ref="S116" si="397">S29/S23</f>
        <v>#DIV/0!</v>
      </c>
      <c r="T116" s="118" t="e">
        <f t="shared" si="240"/>
        <v>#DIV/0!</v>
      </c>
      <c r="U116" s="20"/>
      <c r="V116" s="169" t="e">
        <f t="shared" ref="V116:AE116" si="398">V29/V23</f>
        <v>#DIV/0!</v>
      </c>
      <c r="W116" s="169" t="e">
        <f t="shared" si="398"/>
        <v>#DIV/0!</v>
      </c>
      <c r="X116" s="169" t="e">
        <f t="shared" si="398"/>
        <v>#DIV/0!</v>
      </c>
      <c r="Y116" s="169" t="e">
        <f t="shared" si="398"/>
        <v>#DIV/0!</v>
      </c>
      <c r="Z116" s="169" t="e">
        <f t="shared" si="398"/>
        <v>#DIV/0!</v>
      </c>
      <c r="AA116" s="169" t="e">
        <f t="shared" si="398"/>
        <v>#DIV/0!</v>
      </c>
      <c r="AB116" s="169" t="e">
        <f t="shared" si="398"/>
        <v>#DIV/0!</v>
      </c>
      <c r="AC116" s="169" t="e">
        <f t="shared" si="398"/>
        <v>#DIV/0!</v>
      </c>
      <c r="AD116" s="169" t="e">
        <f t="shared" si="398"/>
        <v>#DIV/0!</v>
      </c>
      <c r="AE116" s="169" t="e">
        <f t="shared" si="398"/>
        <v>#DIV/0!</v>
      </c>
      <c r="AF116" s="137" t="e">
        <f t="shared" ref="AF116" si="399">((AE116/I116)^(1/($AE$3-$J$1) ))-1</f>
        <v>#DIV/0!</v>
      </c>
      <c r="AG116" s="145"/>
      <c r="AH116" s="145"/>
    </row>
    <row r="117" spans="1:34" ht="12" customHeight="1">
      <c r="B117" s="20"/>
      <c r="C117" s="150"/>
      <c r="D117" s="150"/>
      <c r="E117" s="150"/>
      <c r="F117" s="150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28"/>
      <c r="U117" s="2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45"/>
      <c r="AH117" s="145"/>
    </row>
    <row r="118" spans="1:34" ht="12" customHeight="1">
      <c r="B118" s="20" t="s">
        <v>398</v>
      </c>
      <c r="C118" s="150"/>
      <c r="D118" s="150"/>
      <c r="E118" s="150"/>
      <c r="F118" s="150"/>
      <c r="G118" s="127">
        <f t="shared" ref="G118:H118" si="400">1/G112</f>
        <v>60.374999999999993</v>
      </c>
      <c r="H118" s="127">
        <f t="shared" si="400"/>
        <v>51.63636363636364</v>
      </c>
      <c r="I118" s="127">
        <f>1/I112</f>
        <v>24.129032258064516</v>
      </c>
      <c r="J118" s="127">
        <f t="shared" ref="J118:R118" si="401">1/J112</f>
        <v>21.195652173913043</v>
      </c>
      <c r="K118" s="127">
        <f t="shared" si="401"/>
        <v>17.738461538461539</v>
      </c>
      <c r="L118" s="127">
        <f t="shared" si="401"/>
        <v>15.68817204301075</v>
      </c>
      <c r="M118" s="127">
        <f t="shared" si="401"/>
        <v>35.452380952380949</v>
      </c>
      <c r="N118" s="127">
        <f t="shared" si="401"/>
        <v>37.645833333333329</v>
      </c>
      <c r="O118" s="127">
        <f t="shared" si="401"/>
        <v>24.9</v>
      </c>
      <c r="P118" s="127">
        <f t="shared" si="401"/>
        <v>28.350649350649352</v>
      </c>
      <c r="Q118" s="127">
        <f t="shared" si="401"/>
        <v>37.631578947368418</v>
      </c>
      <c r="R118" s="127">
        <f t="shared" si="401"/>
        <v>40.820867845221905</v>
      </c>
      <c r="S118" s="127">
        <f t="shared" ref="S118" si="402">1/S112</f>
        <v>54.052349416587823</v>
      </c>
      <c r="T118" s="118">
        <f t="shared" si="240"/>
        <v>-9.1761482639461933E-3</v>
      </c>
      <c r="U118" s="20"/>
      <c r="V118" s="127">
        <f t="shared" ref="V118:AE118" si="403">1/V112</f>
        <v>54.052349416587823</v>
      </c>
      <c r="W118" s="127">
        <f t="shared" si="403"/>
        <v>54.052349416587823</v>
      </c>
      <c r="X118" s="127">
        <f t="shared" si="403"/>
        <v>54.052349416587823</v>
      </c>
      <c r="Y118" s="127">
        <f t="shared" si="403"/>
        <v>54.052349416587816</v>
      </c>
      <c r="Z118" s="127">
        <f t="shared" si="403"/>
        <v>54.052349416587816</v>
      </c>
      <c r="AA118" s="127">
        <f t="shared" si="403"/>
        <v>54.052349416587802</v>
      </c>
      <c r="AB118" s="127">
        <f t="shared" si="403"/>
        <v>54.052349416587802</v>
      </c>
      <c r="AC118" s="127">
        <f t="shared" si="403"/>
        <v>54.052349416587802</v>
      </c>
      <c r="AD118" s="127">
        <f t="shared" si="403"/>
        <v>54.052349416587802</v>
      </c>
      <c r="AE118" s="127">
        <f t="shared" si="403"/>
        <v>54.052349416587795</v>
      </c>
      <c r="AF118" s="137">
        <f t="shared" si="355"/>
        <v>3.9153599432623976E-2</v>
      </c>
      <c r="AG118" s="145"/>
      <c r="AH118" s="145"/>
    </row>
    <row r="119" spans="1:34" ht="12" customHeight="1">
      <c r="B119" s="20" t="s">
        <v>399</v>
      </c>
      <c r="C119" s="150"/>
      <c r="D119" s="150"/>
      <c r="E119" s="150"/>
      <c r="F119" s="150"/>
      <c r="G119" s="127">
        <f t="shared" ref="G119:H119" si="404">1/G113</f>
        <v>3.375</v>
      </c>
      <c r="H119" s="127">
        <f t="shared" si="404"/>
        <v>3.4545454545454546</v>
      </c>
      <c r="I119" s="127">
        <f t="shared" ref="I119:R122" si="405">1/I113</f>
        <v>2.67741935483871</v>
      </c>
      <c r="J119" s="127">
        <f t="shared" si="405"/>
        <v>2.5652173913043477</v>
      </c>
      <c r="K119" s="127">
        <f t="shared" si="405"/>
        <v>2.3692307692307693</v>
      </c>
      <c r="L119" s="127">
        <f t="shared" si="405"/>
        <v>2.096774193548387</v>
      </c>
      <c r="M119" s="127">
        <f t="shared" si="405"/>
        <v>4.6904761904761907</v>
      </c>
      <c r="N119" s="127">
        <f t="shared" si="405"/>
        <v>4.708333333333333</v>
      </c>
      <c r="O119" s="127">
        <f t="shared" si="405"/>
        <v>3.2285714285714286</v>
      </c>
      <c r="P119" s="127">
        <f t="shared" si="405"/>
        <v>3.8051948051948048</v>
      </c>
      <c r="Q119" s="127">
        <f t="shared" si="405"/>
        <v>5.7894736842105265</v>
      </c>
      <c r="R119" s="127">
        <f t="shared" si="405"/>
        <v>6.0359747805662014</v>
      </c>
      <c r="S119" s="127">
        <f t="shared" ref="S119" si="406">1/S113</f>
        <v>7.6986754966887423</v>
      </c>
      <c r="T119" s="118">
        <f t="shared" si="240"/>
        <v>7.1137407290871701E-2</v>
      </c>
      <c r="U119" s="20"/>
      <c r="V119" s="127">
        <f t="shared" ref="V119:AE119" si="407">1/V113</f>
        <v>7.6986754966887405</v>
      </c>
      <c r="W119" s="127">
        <f t="shared" si="407"/>
        <v>7.6986754966887405</v>
      </c>
      <c r="X119" s="127">
        <f t="shared" si="407"/>
        <v>7.6986754966887405</v>
      </c>
      <c r="Y119" s="127">
        <f t="shared" si="407"/>
        <v>7.6986754966887405</v>
      </c>
      <c r="Z119" s="127">
        <f t="shared" si="407"/>
        <v>7.6986754966887405</v>
      </c>
      <c r="AA119" s="127">
        <f t="shared" si="407"/>
        <v>7.6986754966887405</v>
      </c>
      <c r="AB119" s="127">
        <f t="shared" si="407"/>
        <v>7.6986754966887387</v>
      </c>
      <c r="AC119" s="127">
        <f t="shared" si="407"/>
        <v>7.6986754966887405</v>
      </c>
      <c r="AD119" s="127">
        <f t="shared" si="407"/>
        <v>7.6986754966887387</v>
      </c>
      <c r="AE119" s="127">
        <f t="shared" si="407"/>
        <v>7.6986754966887387</v>
      </c>
      <c r="AF119" s="137">
        <f t="shared" si="355"/>
        <v>5.1581261956413327E-2</v>
      </c>
      <c r="AG119" s="145"/>
      <c r="AH119" s="145"/>
    </row>
    <row r="120" spans="1:34" ht="12" customHeight="1">
      <c r="B120" s="20" t="s">
        <v>400</v>
      </c>
      <c r="C120" s="150"/>
      <c r="D120" s="150"/>
      <c r="E120" s="150"/>
      <c r="F120" s="150"/>
      <c r="G120" s="127">
        <f t="shared" ref="G120:H120" si="408">1/G114</f>
        <v>1.7749999999999999</v>
      </c>
      <c r="H120" s="127">
        <f t="shared" si="408"/>
        <v>1.4545454545454546</v>
      </c>
      <c r="I120" s="127">
        <f t="shared" si="405"/>
        <v>1.032258064516129</v>
      </c>
      <c r="J120" s="127">
        <f t="shared" si="405"/>
        <v>1.0652173913043477</v>
      </c>
      <c r="K120" s="127">
        <f t="shared" si="405"/>
        <v>0.84615384615384615</v>
      </c>
      <c r="L120" s="127">
        <f t="shared" si="405"/>
        <v>0.69892473118279563</v>
      </c>
      <c r="M120" s="127">
        <f t="shared" si="405"/>
        <v>2.9761904761904758</v>
      </c>
      <c r="N120" s="127">
        <f t="shared" si="405"/>
        <v>2.5</v>
      </c>
      <c r="O120" s="127">
        <f t="shared" si="405"/>
        <v>1.0428571428571429</v>
      </c>
      <c r="P120" s="127">
        <f t="shared" si="405"/>
        <v>1.6883116883116882</v>
      </c>
      <c r="Q120" s="127">
        <f t="shared" si="405"/>
        <v>3.3552631578947367</v>
      </c>
      <c r="R120" s="127">
        <f t="shared" si="405"/>
        <v>3.9772530597107187</v>
      </c>
      <c r="S120" s="127">
        <f t="shared" ref="S120" si="409">1/S114</f>
        <v>5.3137811415957108</v>
      </c>
      <c r="T120" s="118">
        <f t="shared" si="240"/>
        <v>9.568010383588299E-2</v>
      </c>
      <c r="U120" s="20"/>
      <c r="V120" s="127">
        <f t="shared" ref="V120:AE120" si="410">1/V114</f>
        <v>5.3137811415957108</v>
      </c>
      <c r="W120" s="127">
        <f t="shared" si="410"/>
        <v>5.3137811415957108</v>
      </c>
      <c r="X120" s="127">
        <f t="shared" si="410"/>
        <v>5.3137811415957108</v>
      </c>
      <c r="Y120" s="127">
        <f t="shared" si="410"/>
        <v>5.3137811415957108</v>
      </c>
      <c r="Z120" s="127">
        <f t="shared" si="410"/>
        <v>5.3137811415957108</v>
      </c>
      <c r="AA120" s="127">
        <f t="shared" si="410"/>
        <v>5.3137811415957099</v>
      </c>
      <c r="AB120" s="127">
        <f t="shared" si="410"/>
        <v>5.3137811415957099</v>
      </c>
      <c r="AC120" s="127">
        <f t="shared" si="410"/>
        <v>5.3137811415957108</v>
      </c>
      <c r="AD120" s="127">
        <f t="shared" si="410"/>
        <v>5.3137811415957099</v>
      </c>
      <c r="AE120" s="127">
        <f t="shared" si="410"/>
        <v>5.313781141595709</v>
      </c>
      <c r="AF120" s="137">
        <f t="shared" si="355"/>
        <v>8.1151229666445834E-2</v>
      </c>
      <c r="AG120" s="145"/>
      <c r="AH120" s="145"/>
    </row>
    <row r="121" spans="1:34" ht="12" customHeight="1">
      <c r="B121" s="20" t="s">
        <v>401</v>
      </c>
      <c r="C121" s="150"/>
      <c r="D121" s="150"/>
      <c r="E121" s="150"/>
      <c r="F121" s="150"/>
      <c r="G121" s="127">
        <f t="shared" ref="G121:H121" si="411">1/G115</f>
        <v>2.5</v>
      </c>
      <c r="H121" s="127">
        <f t="shared" si="411"/>
        <v>1.1818181818181819</v>
      </c>
      <c r="I121" s="127">
        <f t="shared" si="405"/>
        <v>2.129032258064516</v>
      </c>
      <c r="J121" s="127">
        <f t="shared" si="405"/>
        <v>0.82608695652173914</v>
      </c>
      <c r="K121" s="127">
        <f t="shared" si="405"/>
        <v>0.70769230769230762</v>
      </c>
      <c r="L121" s="127">
        <f t="shared" si="405"/>
        <v>0.35483870967741932</v>
      </c>
      <c r="M121" s="127">
        <f t="shared" si="405"/>
        <v>1.0476190476190477</v>
      </c>
      <c r="N121" s="127">
        <f t="shared" si="405"/>
        <v>0.11041666666666666</v>
      </c>
      <c r="O121" s="127">
        <f t="shared" si="405"/>
        <v>0.24285714285714288</v>
      </c>
      <c r="P121" s="127">
        <f t="shared" si="405"/>
        <v>0.16883116883116883</v>
      </c>
      <c r="Q121" s="127">
        <f t="shared" si="405"/>
        <v>0.86842105263157887</v>
      </c>
      <c r="R121" s="127">
        <f t="shared" si="405"/>
        <v>0.30090246013104216</v>
      </c>
      <c r="S121" s="127">
        <f t="shared" ref="S121" si="412">1/S115</f>
        <v>0.3837906023336487</v>
      </c>
      <c r="T121" s="118">
        <f t="shared" si="240"/>
        <v>-0.14457974924545391</v>
      </c>
      <c r="U121" s="20"/>
      <c r="V121" s="127">
        <f t="shared" ref="V121:AE121" si="413">1/V115</f>
        <v>0.38379060233364864</v>
      </c>
      <c r="W121" s="127">
        <f t="shared" si="413"/>
        <v>0.38379060233364864</v>
      </c>
      <c r="X121" s="127">
        <f t="shared" si="413"/>
        <v>0.3837906023336487</v>
      </c>
      <c r="Y121" s="127">
        <f t="shared" si="413"/>
        <v>0.3837906023336487</v>
      </c>
      <c r="Z121" s="127">
        <f t="shared" si="413"/>
        <v>0.3837906023336487</v>
      </c>
      <c r="AA121" s="127">
        <f t="shared" si="413"/>
        <v>0.3837906023336487</v>
      </c>
      <c r="AB121" s="127">
        <f t="shared" si="413"/>
        <v>0.3837906023336487</v>
      </c>
      <c r="AC121" s="127">
        <f t="shared" si="413"/>
        <v>0.3837906023336487</v>
      </c>
      <c r="AD121" s="127">
        <f t="shared" si="413"/>
        <v>0.38379060233364864</v>
      </c>
      <c r="AE121" s="127">
        <f t="shared" si="413"/>
        <v>0.38379060233364864</v>
      </c>
      <c r="AF121" s="137">
        <f t="shared" si="355"/>
        <v>-7.8347421186910293E-2</v>
      </c>
      <c r="AG121" s="145"/>
      <c r="AH121" s="145"/>
    </row>
    <row r="122" spans="1:34" ht="12" customHeight="1">
      <c r="B122" s="20" t="s">
        <v>402</v>
      </c>
      <c r="C122" s="150"/>
      <c r="D122" s="150"/>
      <c r="E122" s="150"/>
      <c r="F122" s="150"/>
      <c r="G122" s="127">
        <f t="shared" ref="G122:H122" si="414">1/G116</f>
        <v>0.875</v>
      </c>
      <c r="H122" s="127">
        <f t="shared" si="414"/>
        <v>0.90909090909090906</v>
      </c>
      <c r="I122" s="127">
        <f t="shared" si="405"/>
        <v>0.16129032258064516</v>
      </c>
      <c r="J122" s="127">
        <f t="shared" si="405"/>
        <v>0.78260869565217395</v>
      </c>
      <c r="K122" s="127">
        <f t="shared" si="405"/>
        <v>0.44615384615384618</v>
      </c>
      <c r="L122" s="127">
        <f t="shared" si="405"/>
        <v>0.11827956989247311</v>
      </c>
      <c r="M122" s="127">
        <f t="shared" si="405"/>
        <v>0.14285714285714285</v>
      </c>
      <c r="N122" s="127">
        <f t="shared" si="405"/>
        <v>0.10416666666666667</v>
      </c>
      <c r="O122" s="127">
        <f t="shared" si="405"/>
        <v>0.24285714285714288</v>
      </c>
      <c r="P122" s="127">
        <f t="shared" si="405"/>
        <v>0.16883116883116883</v>
      </c>
      <c r="Q122" s="127">
        <f t="shared" si="405"/>
        <v>0.84210526315789469</v>
      </c>
      <c r="R122" s="127" t="e">
        <f t="shared" si="405"/>
        <v>#DIV/0!</v>
      </c>
      <c r="S122" s="127" t="e">
        <f t="shared" ref="S122" si="415">1/S116</f>
        <v>#DIV/0!</v>
      </c>
      <c r="T122" s="118" t="e">
        <f t="shared" si="240"/>
        <v>#DIV/0!</v>
      </c>
      <c r="U122" s="20"/>
      <c r="V122" s="127" t="e">
        <f t="shared" ref="V122:AE122" si="416">1/V116</f>
        <v>#DIV/0!</v>
      </c>
      <c r="W122" s="127" t="e">
        <f t="shared" si="416"/>
        <v>#DIV/0!</v>
      </c>
      <c r="X122" s="127" t="e">
        <f t="shared" si="416"/>
        <v>#DIV/0!</v>
      </c>
      <c r="Y122" s="127" t="e">
        <f t="shared" si="416"/>
        <v>#DIV/0!</v>
      </c>
      <c r="Z122" s="127" t="e">
        <f t="shared" si="416"/>
        <v>#DIV/0!</v>
      </c>
      <c r="AA122" s="127" t="e">
        <f t="shared" si="416"/>
        <v>#DIV/0!</v>
      </c>
      <c r="AB122" s="127" t="e">
        <f t="shared" si="416"/>
        <v>#DIV/0!</v>
      </c>
      <c r="AC122" s="127" t="e">
        <f t="shared" si="416"/>
        <v>#DIV/0!</v>
      </c>
      <c r="AD122" s="127" t="e">
        <f t="shared" si="416"/>
        <v>#DIV/0!</v>
      </c>
      <c r="AE122" s="127" t="e">
        <f t="shared" si="416"/>
        <v>#DIV/0!</v>
      </c>
      <c r="AF122" s="137" t="e">
        <f t="shared" si="355"/>
        <v>#DIV/0!</v>
      </c>
      <c r="AG122" s="145"/>
      <c r="AH122" s="145"/>
    </row>
    <row r="123" spans="1:34" ht="12" customHeight="1">
      <c r="B123" s="20"/>
      <c r="C123" s="150"/>
      <c r="D123" s="150"/>
      <c r="E123" s="150"/>
      <c r="F123" s="150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28"/>
      <c r="U123" s="2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45"/>
      <c r="AH123" s="145"/>
    </row>
    <row r="124" spans="1:34" ht="12" customHeight="1">
      <c r="A124" s="205" t="s">
        <v>480</v>
      </c>
      <c r="B124" s="200" t="s">
        <v>488</v>
      </c>
      <c r="C124" s="150"/>
      <c r="D124" s="150"/>
      <c r="E124" s="150"/>
      <c r="F124" s="150"/>
      <c r="G124" s="169" t="e">
        <f t="shared" ref="G124:H124" si="417">G25/(G36+G38)</f>
        <v>#DIV/0!</v>
      </c>
      <c r="H124" s="169" t="e">
        <f t="shared" si="417"/>
        <v>#DIV/0!</v>
      </c>
      <c r="I124" s="169" t="e">
        <f t="shared" ref="I124:S124" si="418">I25/(I36+I38)</f>
        <v>#DIV/0!</v>
      </c>
      <c r="J124" s="169" t="e">
        <f t="shared" si="418"/>
        <v>#DIV/0!</v>
      </c>
      <c r="K124" s="169" t="e">
        <f t="shared" si="418"/>
        <v>#DIV/0!</v>
      </c>
      <c r="L124" s="169" t="e">
        <f t="shared" si="418"/>
        <v>#DIV/0!</v>
      </c>
      <c r="M124" s="169" t="e">
        <f t="shared" si="418"/>
        <v>#DIV/0!</v>
      </c>
      <c r="N124" s="169" t="e">
        <f t="shared" si="418"/>
        <v>#DIV/0!</v>
      </c>
      <c r="O124" s="169" t="e">
        <f t="shared" si="418"/>
        <v>#DIV/0!</v>
      </c>
      <c r="P124" s="169" t="e">
        <f t="shared" si="418"/>
        <v>#DIV/0!</v>
      </c>
      <c r="Q124" s="169" t="e">
        <f t="shared" si="418"/>
        <v>#DIV/0!</v>
      </c>
      <c r="R124" s="169" t="e">
        <f t="shared" si="418"/>
        <v>#DIV/0!</v>
      </c>
      <c r="S124" s="169" t="e">
        <f t="shared" si="418"/>
        <v>#DIV/0!</v>
      </c>
      <c r="T124" s="118" t="e">
        <f t="shared" si="240"/>
        <v>#DIV/0!</v>
      </c>
      <c r="U124" s="20"/>
      <c r="V124" s="169" t="e">
        <f t="shared" ref="V124:AE124" si="419">V25/(V36+V38)</f>
        <v>#DIV/0!</v>
      </c>
      <c r="W124" s="169" t="e">
        <f t="shared" si="419"/>
        <v>#DIV/0!</v>
      </c>
      <c r="X124" s="169" t="e">
        <f t="shared" si="419"/>
        <v>#DIV/0!</v>
      </c>
      <c r="Y124" s="169" t="e">
        <f t="shared" si="419"/>
        <v>#DIV/0!</v>
      </c>
      <c r="Z124" s="169" t="e">
        <f t="shared" si="419"/>
        <v>#DIV/0!</v>
      </c>
      <c r="AA124" s="169" t="e">
        <f t="shared" si="419"/>
        <v>#DIV/0!</v>
      </c>
      <c r="AB124" s="169" t="e">
        <f t="shared" si="419"/>
        <v>#DIV/0!</v>
      </c>
      <c r="AC124" s="169" t="e">
        <f t="shared" si="419"/>
        <v>#DIV/0!</v>
      </c>
      <c r="AD124" s="169" t="e">
        <f t="shared" si="419"/>
        <v>#DIV/0!</v>
      </c>
      <c r="AE124" s="169" t="e">
        <f t="shared" si="419"/>
        <v>#DIV/0!</v>
      </c>
      <c r="AF124" s="137" t="e">
        <f t="shared" ref="AF124:AF132" si="420">((AE124/I124)^(1/($AE$3-$J$1) ))-1</f>
        <v>#DIV/0!</v>
      </c>
      <c r="AG124" s="145"/>
      <c r="AH124" s="145"/>
    </row>
    <row r="125" spans="1:34" ht="12" customHeight="1">
      <c r="A125" s="205"/>
      <c r="B125" s="200" t="s">
        <v>482</v>
      </c>
      <c r="C125" s="150"/>
      <c r="D125" s="150"/>
      <c r="E125" s="150"/>
      <c r="F125" s="150"/>
      <c r="G125" s="169" t="e">
        <f t="shared" ref="G125:H125" si="421">G25/G43</f>
        <v>#DIV/0!</v>
      </c>
      <c r="H125" s="169" t="e">
        <f t="shared" si="421"/>
        <v>#DIV/0!</v>
      </c>
      <c r="I125" s="169" t="e">
        <f t="shared" ref="I125:S125" si="422">I25/I43</f>
        <v>#DIV/0!</v>
      </c>
      <c r="J125" s="169" t="e">
        <f t="shared" si="422"/>
        <v>#DIV/0!</v>
      </c>
      <c r="K125" s="169" t="e">
        <f t="shared" si="422"/>
        <v>#DIV/0!</v>
      </c>
      <c r="L125" s="169" t="e">
        <f t="shared" si="422"/>
        <v>#DIV/0!</v>
      </c>
      <c r="M125" s="169" t="e">
        <f t="shared" si="422"/>
        <v>#DIV/0!</v>
      </c>
      <c r="N125" s="169" t="e">
        <f t="shared" si="422"/>
        <v>#DIV/0!</v>
      </c>
      <c r="O125" s="169" t="e">
        <f t="shared" si="422"/>
        <v>#DIV/0!</v>
      </c>
      <c r="P125" s="169" t="e">
        <f t="shared" si="422"/>
        <v>#DIV/0!</v>
      </c>
      <c r="Q125" s="169" t="e">
        <f t="shared" si="422"/>
        <v>#DIV/0!</v>
      </c>
      <c r="R125" s="169" t="e">
        <f t="shared" si="422"/>
        <v>#DIV/0!</v>
      </c>
      <c r="S125" s="169" t="e">
        <f t="shared" si="422"/>
        <v>#DIV/0!</v>
      </c>
      <c r="T125" s="118" t="e">
        <f t="shared" si="240"/>
        <v>#DIV/0!</v>
      </c>
      <c r="U125" s="20"/>
      <c r="V125" s="169" t="e">
        <f t="shared" ref="V125:AE125" si="423">V25/V43</f>
        <v>#DIV/0!</v>
      </c>
      <c r="W125" s="169" t="e">
        <f t="shared" si="423"/>
        <v>#DIV/0!</v>
      </c>
      <c r="X125" s="169" t="e">
        <f t="shared" si="423"/>
        <v>#DIV/0!</v>
      </c>
      <c r="Y125" s="169" t="e">
        <f t="shared" si="423"/>
        <v>#DIV/0!</v>
      </c>
      <c r="Z125" s="169" t="e">
        <f t="shared" si="423"/>
        <v>#DIV/0!</v>
      </c>
      <c r="AA125" s="169" t="e">
        <f t="shared" si="423"/>
        <v>#DIV/0!</v>
      </c>
      <c r="AB125" s="169" t="e">
        <f t="shared" si="423"/>
        <v>#DIV/0!</v>
      </c>
      <c r="AC125" s="169" t="e">
        <f t="shared" si="423"/>
        <v>#DIV/0!</v>
      </c>
      <c r="AD125" s="169" t="e">
        <f t="shared" si="423"/>
        <v>#DIV/0!</v>
      </c>
      <c r="AE125" s="169" t="e">
        <f t="shared" si="423"/>
        <v>#DIV/0!</v>
      </c>
      <c r="AF125" s="137" t="e">
        <f t="shared" si="420"/>
        <v>#DIV/0!</v>
      </c>
      <c r="AG125" s="145"/>
      <c r="AH125" s="145"/>
    </row>
    <row r="126" spans="1:34" ht="12" customHeight="1">
      <c r="A126" s="205"/>
      <c r="B126" s="200" t="s">
        <v>489</v>
      </c>
      <c r="C126" s="150"/>
      <c r="D126" s="150"/>
      <c r="E126" s="150"/>
      <c r="F126" s="150"/>
      <c r="G126" s="169" t="e">
        <f t="shared" ref="G126:H126" si="424">G43/(G36)</f>
        <v>#DIV/0!</v>
      </c>
      <c r="H126" s="169" t="e">
        <f t="shared" si="424"/>
        <v>#DIV/0!</v>
      </c>
      <c r="I126" s="169" t="e">
        <f t="shared" ref="I126:S126" si="425">I43/(I36)</f>
        <v>#DIV/0!</v>
      </c>
      <c r="J126" s="169" t="e">
        <f t="shared" si="425"/>
        <v>#DIV/0!</v>
      </c>
      <c r="K126" s="169" t="e">
        <f t="shared" si="425"/>
        <v>#DIV/0!</v>
      </c>
      <c r="L126" s="169" t="e">
        <f t="shared" si="425"/>
        <v>#DIV/0!</v>
      </c>
      <c r="M126" s="169" t="e">
        <f t="shared" si="425"/>
        <v>#DIV/0!</v>
      </c>
      <c r="N126" s="169" t="e">
        <f t="shared" si="425"/>
        <v>#DIV/0!</v>
      </c>
      <c r="O126" s="169" t="e">
        <f t="shared" si="425"/>
        <v>#DIV/0!</v>
      </c>
      <c r="P126" s="169" t="e">
        <f t="shared" si="425"/>
        <v>#DIV/0!</v>
      </c>
      <c r="Q126" s="169" t="e">
        <f t="shared" si="425"/>
        <v>#DIV/0!</v>
      </c>
      <c r="R126" s="169" t="e">
        <f t="shared" si="425"/>
        <v>#DIV/0!</v>
      </c>
      <c r="S126" s="169" t="e">
        <f t="shared" si="425"/>
        <v>#DIV/0!</v>
      </c>
      <c r="T126" s="118" t="e">
        <f t="shared" si="240"/>
        <v>#DIV/0!</v>
      </c>
      <c r="U126" s="20"/>
      <c r="V126" s="169" t="e">
        <f t="shared" ref="V126:AE126" si="426">V43/(V36+V38)</f>
        <v>#DIV/0!</v>
      </c>
      <c r="W126" s="169" t="e">
        <f t="shared" si="426"/>
        <v>#DIV/0!</v>
      </c>
      <c r="X126" s="169" t="e">
        <f t="shared" si="426"/>
        <v>#DIV/0!</v>
      </c>
      <c r="Y126" s="169" t="e">
        <f t="shared" si="426"/>
        <v>#DIV/0!</v>
      </c>
      <c r="Z126" s="169" t="e">
        <f t="shared" si="426"/>
        <v>#DIV/0!</v>
      </c>
      <c r="AA126" s="169" t="e">
        <f t="shared" si="426"/>
        <v>#DIV/0!</v>
      </c>
      <c r="AB126" s="169" t="e">
        <f t="shared" si="426"/>
        <v>#DIV/0!</v>
      </c>
      <c r="AC126" s="169" t="e">
        <f t="shared" si="426"/>
        <v>#DIV/0!</v>
      </c>
      <c r="AD126" s="169" t="e">
        <f t="shared" si="426"/>
        <v>#DIV/0!</v>
      </c>
      <c r="AE126" s="169" t="e">
        <f t="shared" si="426"/>
        <v>#DIV/0!</v>
      </c>
      <c r="AF126" s="137" t="e">
        <f t="shared" si="420"/>
        <v>#DIV/0!</v>
      </c>
      <c r="AG126" s="145"/>
      <c r="AH126" s="145"/>
    </row>
    <row r="127" spans="1:34" ht="12" customHeight="1">
      <c r="A127" s="205"/>
      <c r="B127" s="200" t="s">
        <v>486</v>
      </c>
      <c r="C127" s="150"/>
      <c r="D127" s="150"/>
      <c r="E127" s="150"/>
      <c r="F127" s="150"/>
      <c r="G127" s="169" t="e">
        <f t="shared" ref="G127:H127" si="427">G43/G38</f>
        <v>#DIV/0!</v>
      </c>
      <c r="H127" s="169" t="e">
        <f t="shared" si="427"/>
        <v>#DIV/0!</v>
      </c>
      <c r="I127" s="169" t="e">
        <f t="shared" ref="I127:S127" si="428">I43/I38</f>
        <v>#DIV/0!</v>
      </c>
      <c r="J127" s="169" t="e">
        <f t="shared" si="428"/>
        <v>#DIV/0!</v>
      </c>
      <c r="K127" s="169" t="e">
        <f t="shared" si="428"/>
        <v>#DIV/0!</v>
      </c>
      <c r="L127" s="169" t="e">
        <f t="shared" si="428"/>
        <v>#DIV/0!</v>
      </c>
      <c r="M127" s="169" t="e">
        <f t="shared" si="428"/>
        <v>#DIV/0!</v>
      </c>
      <c r="N127" s="169" t="e">
        <f t="shared" si="428"/>
        <v>#DIV/0!</v>
      </c>
      <c r="O127" s="169" t="e">
        <f t="shared" si="428"/>
        <v>#DIV/0!</v>
      </c>
      <c r="P127" s="169" t="e">
        <f t="shared" si="428"/>
        <v>#DIV/0!</v>
      </c>
      <c r="Q127" s="169" t="e">
        <f t="shared" si="428"/>
        <v>#DIV/0!</v>
      </c>
      <c r="R127" s="169" t="e">
        <f t="shared" si="428"/>
        <v>#DIV/0!</v>
      </c>
      <c r="S127" s="169" t="e">
        <f t="shared" si="428"/>
        <v>#DIV/0!</v>
      </c>
      <c r="T127" s="118" t="e">
        <f t="shared" si="240"/>
        <v>#DIV/0!</v>
      </c>
      <c r="U127" s="20"/>
      <c r="V127" s="169" t="e">
        <f t="shared" ref="V127:AE127" si="429">V43/V38</f>
        <v>#DIV/0!</v>
      </c>
      <c r="W127" s="169" t="e">
        <f t="shared" si="429"/>
        <v>#DIV/0!</v>
      </c>
      <c r="X127" s="169" t="e">
        <f t="shared" si="429"/>
        <v>#DIV/0!</v>
      </c>
      <c r="Y127" s="169" t="e">
        <f t="shared" si="429"/>
        <v>#DIV/0!</v>
      </c>
      <c r="Z127" s="169" t="e">
        <f t="shared" si="429"/>
        <v>#DIV/0!</v>
      </c>
      <c r="AA127" s="169" t="e">
        <f t="shared" si="429"/>
        <v>#DIV/0!</v>
      </c>
      <c r="AB127" s="169" t="e">
        <f t="shared" si="429"/>
        <v>#DIV/0!</v>
      </c>
      <c r="AC127" s="169" t="e">
        <f t="shared" si="429"/>
        <v>#DIV/0!</v>
      </c>
      <c r="AD127" s="169" t="e">
        <f t="shared" si="429"/>
        <v>#DIV/0!</v>
      </c>
      <c r="AE127" s="169" t="e">
        <f t="shared" si="429"/>
        <v>#DIV/0!</v>
      </c>
      <c r="AF127" s="137" t="e">
        <f t="shared" si="420"/>
        <v>#DIV/0!</v>
      </c>
      <c r="AG127" s="145"/>
      <c r="AH127" s="145"/>
    </row>
    <row r="128" spans="1:34" ht="12" customHeight="1">
      <c r="A128" s="205"/>
      <c r="B128" s="200" t="s">
        <v>485</v>
      </c>
      <c r="C128" s="150"/>
      <c r="D128" s="150"/>
      <c r="E128" s="150"/>
      <c r="F128" s="150"/>
      <c r="G128" s="169" t="e">
        <f t="shared" ref="G128:H128" si="430">G43/(G36+G38)</f>
        <v>#DIV/0!</v>
      </c>
      <c r="H128" s="169" t="e">
        <f t="shared" si="430"/>
        <v>#DIV/0!</v>
      </c>
      <c r="I128" s="169" t="e">
        <f t="shared" ref="I128:S128" si="431">I43/(I36+I38)</f>
        <v>#DIV/0!</v>
      </c>
      <c r="J128" s="169" t="e">
        <f t="shared" si="431"/>
        <v>#DIV/0!</v>
      </c>
      <c r="K128" s="169" t="e">
        <f t="shared" si="431"/>
        <v>#DIV/0!</v>
      </c>
      <c r="L128" s="169" t="e">
        <f t="shared" si="431"/>
        <v>#DIV/0!</v>
      </c>
      <c r="M128" s="169" t="e">
        <f t="shared" si="431"/>
        <v>#DIV/0!</v>
      </c>
      <c r="N128" s="169" t="e">
        <f t="shared" si="431"/>
        <v>#DIV/0!</v>
      </c>
      <c r="O128" s="169" t="e">
        <f t="shared" si="431"/>
        <v>#DIV/0!</v>
      </c>
      <c r="P128" s="169" t="e">
        <f t="shared" si="431"/>
        <v>#DIV/0!</v>
      </c>
      <c r="Q128" s="169" t="e">
        <f t="shared" si="431"/>
        <v>#DIV/0!</v>
      </c>
      <c r="R128" s="169" t="e">
        <f t="shared" si="431"/>
        <v>#DIV/0!</v>
      </c>
      <c r="S128" s="169" t="e">
        <f t="shared" si="431"/>
        <v>#DIV/0!</v>
      </c>
      <c r="T128" s="118" t="e">
        <f t="shared" si="240"/>
        <v>#DIV/0!</v>
      </c>
      <c r="U128" s="20"/>
      <c r="V128" s="169" t="e">
        <f t="shared" ref="V128:AE128" si="432">V43/(V36+V38)</f>
        <v>#DIV/0!</v>
      </c>
      <c r="W128" s="169" t="e">
        <f t="shared" si="432"/>
        <v>#DIV/0!</v>
      </c>
      <c r="X128" s="169" t="e">
        <f t="shared" si="432"/>
        <v>#DIV/0!</v>
      </c>
      <c r="Y128" s="169" t="e">
        <f t="shared" si="432"/>
        <v>#DIV/0!</v>
      </c>
      <c r="Z128" s="169" t="e">
        <f t="shared" si="432"/>
        <v>#DIV/0!</v>
      </c>
      <c r="AA128" s="169" t="e">
        <f t="shared" si="432"/>
        <v>#DIV/0!</v>
      </c>
      <c r="AB128" s="169" t="e">
        <f t="shared" si="432"/>
        <v>#DIV/0!</v>
      </c>
      <c r="AC128" s="169" t="e">
        <f t="shared" si="432"/>
        <v>#DIV/0!</v>
      </c>
      <c r="AD128" s="169" t="e">
        <f t="shared" si="432"/>
        <v>#DIV/0!</v>
      </c>
      <c r="AE128" s="169" t="e">
        <f t="shared" si="432"/>
        <v>#DIV/0!</v>
      </c>
      <c r="AF128" s="137" t="e">
        <f>((AE128/I128)^(1/($AE$3-$J$1) ))-1</f>
        <v>#DIV/0!</v>
      </c>
      <c r="AG128" s="145"/>
      <c r="AH128" s="145"/>
    </row>
    <row r="129" spans="1:34" ht="12" customHeight="1">
      <c r="A129" s="205"/>
      <c r="B129" s="200" t="s">
        <v>492</v>
      </c>
      <c r="C129" s="150"/>
      <c r="D129" s="150"/>
      <c r="E129" s="150"/>
      <c r="F129" s="150"/>
      <c r="G129" s="169">
        <f t="shared" ref="G129:H129" si="433">G47/G25</f>
        <v>0</v>
      </c>
      <c r="H129" s="169">
        <f t="shared" si="433"/>
        <v>0</v>
      </c>
      <c r="I129" s="169">
        <f t="shared" ref="I129:S129" si="434">I47/I25</f>
        <v>0</v>
      </c>
      <c r="J129" s="169">
        <f t="shared" si="434"/>
        <v>0</v>
      </c>
      <c r="K129" s="169">
        <f t="shared" si="434"/>
        <v>0</v>
      </c>
      <c r="L129" s="169">
        <f t="shared" si="434"/>
        <v>0</v>
      </c>
      <c r="M129" s="169">
        <f t="shared" si="434"/>
        <v>0</v>
      </c>
      <c r="N129" s="169">
        <f t="shared" si="434"/>
        <v>0</v>
      </c>
      <c r="O129" s="169">
        <f t="shared" si="434"/>
        <v>0</v>
      </c>
      <c r="P129" s="169">
        <f t="shared" si="434"/>
        <v>0</v>
      </c>
      <c r="Q129" s="169">
        <f t="shared" si="434"/>
        <v>0</v>
      </c>
      <c r="R129" s="169">
        <f t="shared" si="434"/>
        <v>0</v>
      </c>
      <c r="S129" s="169">
        <f t="shared" si="434"/>
        <v>0</v>
      </c>
      <c r="T129" s="118" t="e">
        <f t="shared" si="240"/>
        <v>#DIV/0!</v>
      </c>
      <c r="U129" s="20"/>
      <c r="V129" s="169">
        <f t="shared" ref="V129:AE129" si="435">V47/V25</f>
        <v>0</v>
      </c>
      <c r="W129" s="169">
        <f t="shared" si="435"/>
        <v>0</v>
      </c>
      <c r="X129" s="169">
        <f t="shared" si="435"/>
        <v>0</v>
      </c>
      <c r="Y129" s="169">
        <f t="shared" si="435"/>
        <v>0</v>
      </c>
      <c r="Z129" s="169">
        <f t="shared" si="435"/>
        <v>0</v>
      </c>
      <c r="AA129" s="169">
        <f t="shared" si="435"/>
        <v>0</v>
      </c>
      <c r="AB129" s="169">
        <f t="shared" si="435"/>
        <v>0</v>
      </c>
      <c r="AC129" s="169">
        <f t="shared" si="435"/>
        <v>0</v>
      </c>
      <c r="AD129" s="169">
        <f t="shared" si="435"/>
        <v>0</v>
      </c>
      <c r="AE129" s="169">
        <f t="shared" si="435"/>
        <v>0</v>
      </c>
      <c r="AF129" s="137" t="e">
        <f>((AE129/I129)^(1/($AE$3-$J$1) ))-1</f>
        <v>#DIV/0!</v>
      </c>
      <c r="AG129" s="145"/>
      <c r="AH129" s="145"/>
    </row>
    <row r="130" spans="1:34" ht="12" customHeight="1">
      <c r="A130" s="205"/>
      <c r="B130" s="200" t="s">
        <v>490</v>
      </c>
      <c r="C130" s="150"/>
      <c r="D130" s="150"/>
      <c r="E130" s="150"/>
      <c r="F130" s="150"/>
      <c r="G130" s="204" t="e">
        <f t="shared" ref="G130:H130" si="436">G55/G49</f>
        <v>#DIV/0!</v>
      </c>
      <c r="H130" s="204" t="e">
        <f t="shared" si="436"/>
        <v>#DIV/0!</v>
      </c>
      <c r="I130" s="204" t="e">
        <f t="shared" ref="I130:S130" si="437">I55/I49</f>
        <v>#DIV/0!</v>
      </c>
      <c r="J130" s="204" t="e">
        <f t="shared" si="437"/>
        <v>#DIV/0!</v>
      </c>
      <c r="K130" s="204" t="e">
        <f t="shared" si="437"/>
        <v>#DIV/0!</v>
      </c>
      <c r="L130" s="204" t="e">
        <f t="shared" si="437"/>
        <v>#DIV/0!</v>
      </c>
      <c r="M130" s="204" t="e">
        <f t="shared" si="437"/>
        <v>#DIV/0!</v>
      </c>
      <c r="N130" s="204" t="e">
        <f t="shared" si="437"/>
        <v>#DIV/0!</v>
      </c>
      <c r="O130" s="204" t="e">
        <f t="shared" si="437"/>
        <v>#DIV/0!</v>
      </c>
      <c r="P130" s="204" t="e">
        <f t="shared" si="437"/>
        <v>#DIV/0!</v>
      </c>
      <c r="Q130" s="204" t="e">
        <f t="shared" si="437"/>
        <v>#DIV/0!</v>
      </c>
      <c r="R130" s="204" t="e">
        <f t="shared" si="437"/>
        <v>#DIV/0!</v>
      </c>
      <c r="S130" s="204" t="e">
        <f t="shared" si="437"/>
        <v>#DIV/0!</v>
      </c>
      <c r="T130" s="118" t="e">
        <f t="shared" si="240"/>
        <v>#DIV/0!</v>
      </c>
      <c r="U130" s="20"/>
      <c r="V130" s="204" t="e">
        <f t="shared" ref="V130:AE130" si="438">V55/V49</f>
        <v>#DIV/0!</v>
      </c>
      <c r="W130" s="204" t="e">
        <f t="shared" si="438"/>
        <v>#DIV/0!</v>
      </c>
      <c r="X130" s="204" t="e">
        <f t="shared" si="438"/>
        <v>#DIV/0!</v>
      </c>
      <c r="Y130" s="204" t="e">
        <f t="shared" si="438"/>
        <v>#DIV/0!</v>
      </c>
      <c r="Z130" s="204" t="e">
        <f t="shared" si="438"/>
        <v>#DIV/0!</v>
      </c>
      <c r="AA130" s="204" t="e">
        <f t="shared" si="438"/>
        <v>#DIV/0!</v>
      </c>
      <c r="AB130" s="204" t="e">
        <f t="shared" si="438"/>
        <v>#DIV/0!</v>
      </c>
      <c r="AC130" s="204" t="e">
        <f t="shared" si="438"/>
        <v>#DIV/0!</v>
      </c>
      <c r="AD130" s="204" t="e">
        <f t="shared" si="438"/>
        <v>#DIV/0!</v>
      </c>
      <c r="AE130" s="204" t="e">
        <f t="shared" si="438"/>
        <v>#DIV/0!</v>
      </c>
      <c r="AF130" s="137" t="e">
        <f>((AE130/I130)^(1/($AE$3-$J$1) ))-1</f>
        <v>#DIV/0!</v>
      </c>
      <c r="AG130" s="145"/>
      <c r="AH130" s="145"/>
    </row>
    <row r="131" spans="1:34" ht="12" customHeight="1">
      <c r="A131" s="205"/>
      <c r="B131" s="200" t="s">
        <v>483</v>
      </c>
      <c r="C131" s="150"/>
      <c r="D131" s="150"/>
      <c r="E131" s="150"/>
      <c r="F131" s="150"/>
      <c r="G131" s="169" t="e">
        <f t="shared" ref="G131:H131" si="439">G55/G43</f>
        <v>#DIV/0!</v>
      </c>
      <c r="H131" s="169" t="e">
        <f t="shared" si="439"/>
        <v>#DIV/0!</v>
      </c>
      <c r="I131" s="169" t="e">
        <f t="shared" ref="I131:S131" si="440">I55/I43</f>
        <v>#DIV/0!</v>
      </c>
      <c r="J131" s="169" t="e">
        <f t="shared" si="440"/>
        <v>#DIV/0!</v>
      </c>
      <c r="K131" s="169" t="e">
        <f t="shared" si="440"/>
        <v>#DIV/0!</v>
      </c>
      <c r="L131" s="169" t="e">
        <f t="shared" si="440"/>
        <v>#DIV/0!</v>
      </c>
      <c r="M131" s="169" t="e">
        <f t="shared" si="440"/>
        <v>#DIV/0!</v>
      </c>
      <c r="N131" s="169" t="e">
        <f t="shared" si="440"/>
        <v>#DIV/0!</v>
      </c>
      <c r="O131" s="169" t="e">
        <f t="shared" si="440"/>
        <v>#DIV/0!</v>
      </c>
      <c r="P131" s="169" t="e">
        <f t="shared" si="440"/>
        <v>#DIV/0!</v>
      </c>
      <c r="Q131" s="169" t="e">
        <f t="shared" si="440"/>
        <v>#DIV/0!</v>
      </c>
      <c r="R131" s="169" t="e">
        <f t="shared" si="440"/>
        <v>#DIV/0!</v>
      </c>
      <c r="S131" s="169" t="e">
        <f t="shared" si="440"/>
        <v>#DIV/0!</v>
      </c>
      <c r="T131" s="118" t="e">
        <f t="shared" si="240"/>
        <v>#DIV/0!</v>
      </c>
      <c r="U131" s="20"/>
      <c r="V131" s="169" t="e">
        <f t="shared" ref="V131:AE131" si="441">V55/V43</f>
        <v>#DIV/0!</v>
      </c>
      <c r="W131" s="169" t="e">
        <f t="shared" si="441"/>
        <v>#DIV/0!</v>
      </c>
      <c r="X131" s="169" t="e">
        <f t="shared" si="441"/>
        <v>#DIV/0!</v>
      </c>
      <c r="Y131" s="169" t="e">
        <f t="shared" si="441"/>
        <v>#DIV/0!</v>
      </c>
      <c r="Z131" s="169" t="e">
        <f t="shared" si="441"/>
        <v>#DIV/0!</v>
      </c>
      <c r="AA131" s="169" t="e">
        <f t="shared" si="441"/>
        <v>#DIV/0!</v>
      </c>
      <c r="AB131" s="169" t="e">
        <f t="shared" si="441"/>
        <v>#DIV/0!</v>
      </c>
      <c r="AC131" s="169" t="e">
        <f t="shared" si="441"/>
        <v>#DIV/0!</v>
      </c>
      <c r="AD131" s="169" t="e">
        <f t="shared" si="441"/>
        <v>#DIV/0!</v>
      </c>
      <c r="AE131" s="169" t="e">
        <f t="shared" si="441"/>
        <v>#DIV/0!</v>
      </c>
      <c r="AF131" s="137" t="e">
        <f t="shared" si="420"/>
        <v>#DIV/0!</v>
      </c>
      <c r="AG131" s="145"/>
      <c r="AH131" s="145"/>
    </row>
    <row r="132" spans="1:34" ht="12" customHeight="1">
      <c r="A132" s="205"/>
      <c r="B132" s="200" t="s">
        <v>484</v>
      </c>
      <c r="C132" s="150"/>
      <c r="D132" s="150"/>
      <c r="E132" s="150"/>
      <c r="F132" s="150"/>
      <c r="G132" s="169" t="e">
        <f t="shared" ref="G132:H132" si="442">G55/(G36+G38)</f>
        <v>#DIV/0!</v>
      </c>
      <c r="H132" s="169" t="e">
        <f t="shared" si="442"/>
        <v>#DIV/0!</v>
      </c>
      <c r="I132" s="169" t="e">
        <f t="shared" ref="I132:S132" si="443">I55/(I36+I38)</f>
        <v>#DIV/0!</v>
      </c>
      <c r="J132" s="169" t="e">
        <f t="shared" si="443"/>
        <v>#DIV/0!</v>
      </c>
      <c r="K132" s="169" t="e">
        <f t="shared" si="443"/>
        <v>#DIV/0!</v>
      </c>
      <c r="L132" s="169" t="e">
        <f t="shared" si="443"/>
        <v>#DIV/0!</v>
      </c>
      <c r="M132" s="169" t="e">
        <f t="shared" si="443"/>
        <v>#DIV/0!</v>
      </c>
      <c r="N132" s="169" t="e">
        <f t="shared" si="443"/>
        <v>#DIV/0!</v>
      </c>
      <c r="O132" s="169" t="e">
        <f t="shared" si="443"/>
        <v>#DIV/0!</v>
      </c>
      <c r="P132" s="169" t="e">
        <f t="shared" si="443"/>
        <v>#DIV/0!</v>
      </c>
      <c r="Q132" s="169" t="e">
        <f t="shared" si="443"/>
        <v>#DIV/0!</v>
      </c>
      <c r="R132" s="169" t="e">
        <f t="shared" si="443"/>
        <v>#DIV/0!</v>
      </c>
      <c r="S132" s="169" t="e">
        <f t="shared" si="443"/>
        <v>#DIV/0!</v>
      </c>
      <c r="T132" s="118" t="e">
        <f t="shared" si="240"/>
        <v>#DIV/0!</v>
      </c>
      <c r="U132" s="20"/>
      <c r="V132" s="169" t="e">
        <f t="shared" ref="V132:AE132" si="444">V55/(V36+V38)</f>
        <v>#DIV/0!</v>
      </c>
      <c r="W132" s="169" t="e">
        <f t="shared" si="444"/>
        <v>#DIV/0!</v>
      </c>
      <c r="X132" s="169" t="e">
        <f t="shared" si="444"/>
        <v>#DIV/0!</v>
      </c>
      <c r="Y132" s="169" t="e">
        <f t="shared" si="444"/>
        <v>#DIV/0!</v>
      </c>
      <c r="Z132" s="169" t="e">
        <f t="shared" si="444"/>
        <v>#DIV/0!</v>
      </c>
      <c r="AA132" s="169" t="e">
        <f t="shared" si="444"/>
        <v>#DIV/0!</v>
      </c>
      <c r="AB132" s="169" t="e">
        <f t="shared" si="444"/>
        <v>#DIV/0!</v>
      </c>
      <c r="AC132" s="169" t="e">
        <f t="shared" si="444"/>
        <v>#DIV/0!</v>
      </c>
      <c r="AD132" s="169" t="e">
        <f t="shared" si="444"/>
        <v>#DIV/0!</v>
      </c>
      <c r="AE132" s="169" t="e">
        <f t="shared" si="444"/>
        <v>#DIV/0!</v>
      </c>
      <c r="AF132" s="137" t="e">
        <f t="shared" si="420"/>
        <v>#DIV/0!</v>
      </c>
      <c r="AG132" s="145"/>
      <c r="AH132" s="145"/>
    </row>
    <row r="133" spans="1:34" ht="12" customHeight="1">
      <c r="B133" s="20"/>
      <c r="C133" s="150"/>
      <c r="D133" s="150"/>
      <c r="E133" s="150"/>
      <c r="F133" s="150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28"/>
      <c r="U133" s="2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202"/>
      <c r="AG133" s="145"/>
      <c r="AH133" s="145"/>
    </row>
    <row r="134" spans="1:34">
      <c r="B134" s="20" t="s">
        <v>322</v>
      </c>
      <c r="C134" s="150"/>
      <c r="D134" s="150"/>
      <c r="E134" s="150"/>
      <c r="F134" s="150"/>
      <c r="G134" s="161">
        <f t="shared" ref="G134:H134" si="445">G10-(G12+G13)</f>
        <v>151.99</v>
      </c>
      <c r="H134" s="161">
        <f t="shared" si="445"/>
        <v>282.99</v>
      </c>
      <c r="I134" s="161">
        <f t="shared" ref="I134:S134" si="446">I10-(I12+I13)</f>
        <v>385.99</v>
      </c>
      <c r="J134" s="161">
        <f t="shared" si="446"/>
        <v>440</v>
      </c>
      <c r="K134" s="161">
        <f t="shared" si="446"/>
        <v>725.65</v>
      </c>
      <c r="L134" s="161">
        <f t="shared" si="446"/>
        <v>566.79999999999995</v>
      </c>
      <c r="M134" s="161">
        <f t="shared" si="446"/>
        <v>559.65</v>
      </c>
      <c r="N134" s="161">
        <f t="shared" si="446"/>
        <v>885.7</v>
      </c>
      <c r="O134" s="161">
        <f t="shared" si="446"/>
        <v>851</v>
      </c>
      <c r="P134" s="161">
        <f t="shared" si="446"/>
        <v>816</v>
      </c>
      <c r="Q134" s="161">
        <f t="shared" si="446"/>
        <v>1242.7</v>
      </c>
      <c r="R134" s="161">
        <f t="shared" si="446"/>
        <v>1250.52</v>
      </c>
      <c r="S134" s="161">
        <f t="shared" si="446"/>
        <v>1250.52</v>
      </c>
      <c r="T134" s="118">
        <f t="shared" si="240"/>
        <v>0.19199097966015999</v>
      </c>
      <c r="U134" s="20"/>
      <c r="V134" s="161">
        <f t="shared" ref="V134:AE134" si="447">V10-(V12+V13)</f>
        <v>1400.5824000000002</v>
      </c>
      <c r="W134" s="161">
        <f t="shared" si="447"/>
        <v>1568.6522880000002</v>
      </c>
      <c r="X134" s="161">
        <f t="shared" si="447"/>
        <v>1756.8905625600005</v>
      </c>
      <c r="Y134" s="161">
        <f t="shared" si="447"/>
        <v>1967.7174300672004</v>
      </c>
      <c r="Z134" s="161">
        <f t="shared" si="447"/>
        <v>2203.843521675265</v>
      </c>
      <c r="AA134" s="161">
        <f t="shared" si="447"/>
        <v>2468.3047442762972</v>
      </c>
      <c r="AB134" s="161">
        <f t="shared" si="447"/>
        <v>2764.5013135894533</v>
      </c>
      <c r="AC134" s="161">
        <f t="shared" si="447"/>
        <v>3096.241471220188</v>
      </c>
      <c r="AD134" s="161">
        <f t="shared" si="447"/>
        <v>3467.7904477666107</v>
      </c>
      <c r="AE134" s="161">
        <f t="shared" si="447"/>
        <v>3883.9253014986043</v>
      </c>
      <c r="AF134" s="137">
        <f t="shared" si="355"/>
        <v>0.11621376057996313</v>
      </c>
      <c r="AG134" s="145"/>
      <c r="AH134" s="145"/>
    </row>
    <row r="135" spans="1:34" ht="12" customHeight="1">
      <c r="B135" s="20" t="s">
        <v>317</v>
      </c>
      <c r="C135" s="20"/>
      <c r="D135" s="20"/>
      <c r="E135" s="20"/>
      <c r="F135" s="20"/>
      <c r="G135" s="150">
        <f t="shared" ref="G135:H135" si="448">G55/G18</f>
        <v>0.22539682539682537</v>
      </c>
      <c r="H135" s="150">
        <f t="shared" si="448"/>
        <v>0.1797752808988764</v>
      </c>
      <c r="I135" s="150">
        <f t="shared" ref="I135:S135" si="449">I55/I18</f>
        <v>0.27350427350427353</v>
      </c>
      <c r="J135" s="150">
        <f t="shared" si="449"/>
        <v>0.2300469483568075</v>
      </c>
      <c r="K135" s="150">
        <f t="shared" si="449"/>
        <v>0.24229074889867841</v>
      </c>
      <c r="L135" s="150">
        <f t="shared" si="449"/>
        <v>0.29953917050691242</v>
      </c>
      <c r="M135" s="150">
        <f t="shared" si="449"/>
        <v>0.39308176100628933</v>
      </c>
      <c r="N135" s="150">
        <f t="shared" si="449"/>
        <v>0.31168831168831168</v>
      </c>
      <c r="O135" s="150">
        <f t="shared" si="449"/>
        <v>0.17464114832535885</v>
      </c>
      <c r="P135" s="150">
        <f t="shared" si="449"/>
        <v>0.29411764705882354</v>
      </c>
      <c r="Q135" s="150">
        <f t="shared" si="449"/>
        <v>0.45373665480427045</v>
      </c>
      <c r="R135" s="150">
        <f t="shared" si="449"/>
        <v>0.50347417840375586</v>
      </c>
      <c r="S135" s="150">
        <f t="shared" si="449"/>
        <v>0.52738654147104846</v>
      </c>
      <c r="T135" s="118">
        <f t="shared" ref="T135:T167" si="450">((S135/G135)^(1/($J$2-$J$1) ))-1</f>
        <v>7.340868282425439E-2</v>
      </c>
      <c r="U135" s="20"/>
      <c r="V135" s="150">
        <f t="shared" ref="V135:AE135" si="451">V55/V18</f>
        <v>0.52738654147104858</v>
      </c>
      <c r="W135" s="150">
        <f t="shared" si="451"/>
        <v>0.52738654147104858</v>
      </c>
      <c r="X135" s="150">
        <f t="shared" si="451"/>
        <v>0.52738654147104858</v>
      </c>
      <c r="Y135" s="150">
        <f t="shared" si="451"/>
        <v>0.52738654147104858</v>
      </c>
      <c r="Z135" s="150">
        <f t="shared" si="451"/>
        <v>0.52738654147104858</v>
      </c>
      <c r="AA135" s="150">
        <f t="shared" si="451"/>
        <v>0.52738654147104858</v>
      </c>
      <c r="AB135" s="150">
        <f t="shared" si="451"/>
        <v>0.52738654147104858</v>
      </c>
      <c r="AC135" s="150">
        <f t="shared" si="451"/>
        <v>0.52738654147104869</v>
      </c>
      <c r="AD135" s="150">
        <f t="shared" si="451"/>
        <v>0.52738654147104869</v>
      </c>
      <c r="AE135" s="150">
        <f t="shared" si="451"/>
        <v>0.52738654147104869</v>
      </c>
      <c r="AF135" s="137">
        <f t="shared" si="355"/>
        <v>3.1761414426941803E-2</v>
      </c>
      <c r="AG135" s="20"/>
      <c r="AH135" s="20"/>
    </row>
    <row r="136" spans="1:34">
      <c r="B136" s="20" t="s">
        <v>318</v>
      </c>
      <c r="C136" s="20"/>
      <c r="D136" s="20"/>
      <c r="E136" s="20"/>
      <c r="F136" s="20"/>
      <c r="G136" s="150">
        <f t="shared" ref="G136:H136" si="452">G55/G25</f>
        <v>2.939958592132505E-2</v>
      </c>
      <c r="H136" s="150">
        <f t="shared" si="452"/>
        <v>2.8169014084507043E-2</v>
      </c>
      <c r="I136" s="150">
        <f t="shared" ref="I136:S136" si="453">I55/I25</f>
        <v>4.2780748663101602E-2</v>
      </c>
      <c r="J136" s="150">
        <f t="shared" si="453"/>
        <v>5.0256410256410255E-2</v>
      </c>
      <c r="K136" s="150">
        <f t="shared" si="453"/>
        <v>4.7701647875108416E-2</v>
      </c>
      <c r="L136" s="150">
        <f t="shared" si="453"/>
        <v>4.4551062371487322E-2</v>
      </c>
      <c r="M136" s="150">
        <f t="shared" si="453"/>
        <v>8.3948959032907985E-2</v>
      </c>
      <c r="N136" s="150">
        <f t="shared" si="453"/>
        <v>6.6408411732152742E-2</v>
      </c>
      <c r="O136" s="150">
        <f t="shared" si="453"/>
        <v>4.1881812966150317E-2</v>
      </c>
      <c r="P136" s="150">
        <f t="shared" si="453"/>
        <v>5.955107650022904E-2</v>
      </c>
      <c r="Q136" s="150">
        <f t="shared" si="453"/>
        <v>8.9160839160839167E-2</v>
      </c>
      <c r="R136" s="150">
        <f t="shared" si="453"/>
        <v>9.7431859479103586E-2</v>
      </c>
      <c r="S136" s="150">
        <f t="shared" si="453"/>
        <v>9.8308051341890315E-2</v>
      </c>
      <c r="T136" s="118">
        <f t="shared" si="450"/>
        <v>0.10582733945706613</v>
      </c>
      <c r="U136" s="20"/>
      <c r="V136" s="150">
        <f t="shared" ref="V136:AE136" si="454">V55/V25</f>
        <v>9.8308051341890315E-2</v>
      </c>
      <c r="W136" s="150">
        <f t="shared" si="454"/>
        <v>9.8308051341890315E-2</v>
      </c>
      <c r="X136" s="150">
        <f t="shared" si="454"/>
        <v>9.8308051341890329E-2</v>
      </c>
      <c r="Y136" s="150">
        <f t="shared" si="454"/>
        <v>9.8308051341890329E-2</v>
      </c>
      <c r="Z136" s="150">
        <f t="shared" si="454"/>
        <v>9.8308051341890343E-2</v>
      </c>
      <c r="AA136" s="150">
        <f t="shared" si="454"/>
        <v>9.8308051341890343E-2</v>
      </c>
      <c r="AB136" s="150">
        <f t="shared" si="454"/>
        <v>9.8308051341890343E-2</v>
      </c>
      <c r="AC136" s="150">
        <f t="shared" si="454"/>
        <v>9.8308051341890343E-2</v>
      </c>
      <c r="AD136" s="150">
        <f t="shared" si="454"/>
        <v>9.8308051341890343E-2</v>
      </c>
      <c r="AE136" s="150">
        <f t="shared" si="454"/>
        <v>9.8308051341890343E-2</v>
      </c>
      <c r="AF136" s="137">
        <f t="shared" si="355"/>
        <v>4.0415228563662087E-2</v>
      </c>
      <c r="AG136" s="20"/>
      <c r="AH136" s="20"/>
    </row>
    <row r="137" spans="1:34">
      <c r="B137" s="20" t="s">
        <v>344</v>
      </c>
      <c r="C137" s="20"/>
      <c r="D137" s="20"/>
      <c r="E137" s="150"/>
      <c r="F137" s="150"/>
      <c r="G137" s="150">
        <f t="shared" ref="G137:H137" si="455">G25/G18</f>
        <v>7.666666666666667</v>
      </c>
      <c r="H137" s="150">
        <f t="shared" si="455"/>
        <v>6.382022471910112</v>
      </c>
      <c r="I137" s="150">
        <f t="shared" ref="I137:S137" si="456">I25/I18</f>
        <v>6.3931623931623935</v>
      </c>
      <c r="J137" s="150">
        <f t="shared" si="456"/>
        <v>4.577464788732394</v>
      </c>
      <c r="K137" s="150">
        <f t="shared" si="456"/>
        <v>5.0792951541850222</v>
      </c>
      <c r="L137" s="150">
        <f t="shared" si="456"/>
        <v>6.7235023041474653</v>
      </c>
      <c r="M137" s="150">
        <f t="shared" si="456"/>
        <v>4.682389937106918</v>
      </c>
      <c r="N137" s="150">
        <f t="shared" si="456"/>
        <v>4.6935064935064936</v>
      </c>
      <c r="O137" s="150">
        <f t="shared" si="456"/>
        <v>4.1698564593301439</v>
      </c>
      <c r="P137" s="150">
        <f t="shared" si="456"/>
        <v>4.9389140271493215</v>
      </c>
      <c r="Q137" s="150">
        <f t="shared" si="456"/>
        <v>5.0889679715302494</v>
      </c>
      <c r="R137" s="150">
        <f t="shared" si="456"/>
        <v>5.1674491392801256</v>
      </c>
      <c r="S137" s="150">
        <f t="shared" si="456"/>
        <v>5.3646322378716746</v>
      </c>
      <c r="T137" s="118">
        <f t="shared" si="450"/>
        <v>-2.9316201070529124E-2</v>
      </c>
      <c r="U137" s="20"/>
      <c r="V137" s="150">
        <f t="shared" ref="V137:AE137" si="457">V25/V18</f>
        <v>5.3646322378716746</v>
      </c>
      <c r="W137" s="150">
        <f t="shared" si="457"/>
        <v>5.3646322378716746</v>
      </c>
      <c r="X137" s="150">
        <f t="shared" si="457"/>
        <v>5.3646322378716746</v>
      </c>
      <c r="Y137" s="150">
        <f t="shared" si="457"/>
        <v>5.3646322378716746</v>
      </c>
      <c r="Z137" s="150">
        <f t="shared" si="457"/>
        <v>5.3646322378716746</v>
      </c>
      <c r="AA137" s="150">
        <f t="shared" si="457"/>
        <v>5.3646322378716738</v>
      </c>
      <c r="AB137" s="150">
        <f t="shared" si="457"/>
        <v>5.3646322378716738</v>
      </c>
      <c r="AC137" s="150">
        <f t="shared" si="457"/>
        <v>5.3646322378716746</v>
      </c>
      <c r="AD137" s="150">
        <f t="shared" si="457"/>
        <v>5.3646322378716746</v>
      </c>
      <c r="AE137" s="150">
        <f t="shared" si="457"/>
        <v>5.3646322378716746</v>
      </c>
      <c r="AF137" s="137">
        <f t="shared" si="355"/>
        <v>-8.3176542395166919E-3</v>
      </c>
      <c r="AG137" s="20"/>
      <c r="AH137" s="20"/>
    </row>
    <row r="138" spans="1:34">
      <c r="B138" s="20"/>
      <c r="C138" s="20"/>
      <c r="D138" s="20"/>
      <c r="E138" s="20"/>
      <c r="F138" s="2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28"/>
      <c r="U138" s="2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28"/>
      <c r="AG138" s="20"/>
      <c r="AH138" s="20"/>
    </row>
    <row r="139" spans="1:34">
      <c r="B139" s="20" t="s">
        <v>330</v>
      </c>
      <c r="C139" s="20"/>
      <c r="D139" s="20"/>
      <c r="E139" s="163"/>
      <c r="F139" s="163"/>
      <c r="G139" s="163">
        <f t="shared" ref="G139:H139" si="458">G88*G57</f>
        <v>3.5935999999999999</v>
      </c>
      <c r="H139" s="163">
        <f t="shared" si="458"/>
        <v>3.58</v>
      </c>
      <c r="I139" s="163">
        <f t="shared" ref="I139:S139" si="459">I88*I57</f>
        <v>4.26</v>
      </c>
      <c r="J139" s="163">
        <f t="shared" si="459"/>
        <v>4.8600000000000003</v>
      </c>
      <c r="K139" s="163">
        <f t="shared" si="459"/>
        <v>4.8600000000000003</v>
      </c>
      <c r="L139" s="163">
        <f t="shared" si="459"/>
        <v>4.8600000000000003</v>
      </c>
      <c r="M139" s="163">
        <f t="shared" si="459"/>
        <v>7.2929999999999993</v>
      </c>
      <c r="N139" s="163">
        <f t="shared" si="459"/>
        <v>7.2929999999999993</v>
      </c>
      <c r="O139" s="163">
        <f t="shared" si="459"/>
        <v>7.2929999999999993</v>
      </c>
      <c r="P139" s="163">
        <f t="shared" si="459"/>
        <v>19.352000000000004</v>
      </c>
      <c r="Q139" s="163">
        <f t="shared" si="459"/>
        <v>28.236000000000001</v>
      </c>
      <c r="R139" s="163">
        <f t="shared" si="459"/>
        <v>40.016300000000001</v>
      </c>
      <c r="S139" s="163">
        <f t="shared" si="459"/>
        <v>44.7241</v>
      </c>
      <c r="T139" s="118">
        <f t="shared" si="450"/>
        <v>0.23381768121436841</v>
      </c>
      <c r="U139" s="20"/>
      <c r="V139" s="163">
        <f t="shared" ref="V139:AE139" si="460">V88*V57</f>
        <v>47.899511100000005</v>
      </c>
      <c r="W139" s="163">
        <f t="shared" si="460"/>
        <v>51.300376388100005</v>
      </c>
      <c r="X139" s="163">
        <f t="shared" si="460"/>
        <v>54.942703111655113</v>
      </c>
      <c r="Y139" s="163">
        <f t="shared" si="460"/>
        <v>58.843635032582633</v>
      </c>
      <c r="Z139" s="163">
        <f t="shared" si="460"/>
        <v>63.021533119896006</v>
      </c>
      <c r="AA139" s="163">
        <f t="shared" si="460"/>
        <v>67.496061971408622</v>
      </c>
      <c r="AB139" s="163">
        <f t="shared" si="460"/>
        <v>72.288282371378642</v>
      </c>
      <c r="AC139" s="163">
        <f t="shared" si="460"/>
        <v>77.420750419746525</v>
      </c>
      <c r="AD139" s="163">
        <f t="shared" si="460"/>
        <v>82.917623699548543</v>
      </c>
      <c r="AE139" s="163">
        <f t="shared" si="460"/>
        <v>88.804774982216486</v>
      </c>
      <c r="AF139" s="137">
        <f t="shared" si="355"/>
        <v>0.15560868237373571</v>
      </c>
      <c r="AG139" s="20"/>
      <c r="AH139" s="20"/>
    </row>
    <row r="140" spans="1:34">
      <c r="B140" s="20" t="s">
        <v>331</v>
      </c>
      <c r="C140" s="20"/>
      <c r="D140" s="20"/>
      <c r="E140" s="163"/>
      <c r="F140" s="163"/>
      <c r="G140" s="163">
        <f t="shared" ref="G140:H140" si="461">(G139*0.17)+G139</f>
        <v>4.2045120000000002</v>
      </c>
      <c r="H140" s="163">
        <f t="shared" si="461"/>
        <v>4.1886000000000001</v>
      </c>
      <c r="I140" s="163">
        <f t="shared" ref="I140:R140" si="462">(I139*0.17)+I139</f>
        <v>4.9841999999999995</v>
      </c>
      <c r="J140" s="163">
        <f t="shared" si="462"/>
        <v>5.6862000000000004</v>
      </c>
      <c r="K140" s="163">
        <f t="shared" si="462"/>
        <v>5.6862000000000004</v>
      </c>
      <c r="L140" s="163">
        <f t="shared" si="462"/>
        <v>5.6862000000000004</v>
      </c>
      <c r="M140" s="163">
        <f t="shared" si="462"/>
        <v>8.5328099999999996</v>
      </c>
      <c r="N140" s="163">
        <f t="shared" si="462"/>
        <v>8.5328099999999996</v>
      </c>
      <c r="O140" s="163">
        <f t="shared" si="462"/>
        <v>8.5328099999999996</v>
      </c>
      <c r="P140" s="163">
        <f t="shared" si="462"/>
        <v>22.641840000000006</v>
      </c>
      <c r="Q140" s="163">
        <f t="shared" si="462"/>
        <v>33.036120000000004</v>
      </c>
      <c r="R140" s="163">
        <f t="shared" si="462"/>
        <v>46.819071000000001</v>
      </c>
      <c r="S140" s="163">
        <f t="shared" ref="S140" si="463">(S139*0.17)+S139</f>
        <v>52.327196999999998</v>
      </c>
      <c r="T140" s="118">
        <f t="shared" si="450"/>
        <v>0.23381768121436819</v>
      </c>
      <c r="U140" s="20"/>
      <c r="V140" s="163">
        <f t="shared" ref="V140:AE140" si="464">(V139*0.17)+V139</f>
        <v>56.042427987000011</v>
      </c>
      <c r="W140" s="163">
        <f t="shared" si="464"/>
        <v>60.021440374077009</v>
      </c>
      <c r="X140" s="163">
        <f t="shared" si="464"/>
        <v>64.282962640636484</v>
      </c>
      <c r="Y140" s="163">
        <f t="shared" si="464"/>
        <v>68.847052988121675</v>
      </c>
      <c r="Z140" s="163">
        <f t="shared" si="464"/>
        <v>73.735193750278327</v>
      </c>
      <c r="AA140" s="163">
        <f t="shared" si="464"/>
        <v>78.970392506548095</v>
      </c>
      <c r="AB140" s="163">
        <f t="shared" si="464"/>
        <v>84.577290374513012</v>
      </c>
      <c r="AC140" s="163">
        <f t="shared" si="464"/>
        <v>90.582277991103439</v>
      </c>
      <c r="AD140" s="163">
        <f t="shared" si="464"/>
        <v>97.013619728471795</v>
      </c>
      <c r="AE140" s="163">
        <f t="shared" si="464"/>
        <v>103.90158672919328</v>
      </c>
      <c r="AF140" s="137">
        <f t="shared" si="355"/>
        <v>0.15560868237373571</v>
      </c>
      <c r="AG140" s="20"/>
      <c r="AH140" s="20"/>
    </row>
    <row r="141" spans="1:34">
      <c r="B141" s="20" t="s">
        <v>332</v>
      </c>
      <c r="C141" s="20"/>
      <c r="D141" s="20"/>
      <c r="E141" s="20"/>
      <c r="F141" s="20"/>
      <c r="G141" s="150">
        <f t="shared" ref="G141:H141" si="465">G140/G55</f>
        <v>0.29609239436619722</v>
      </c>
      <c r="H141" s="150">
        <f t="shared" si="465"/>
        <v>0.26178750000000001</v>
      </c>
      <c r="I141" s="150">
        <f t="shared" ref="I141:S141" si="466">I140/I55</f>
        <v>0.15575624999999998</v>
      </c>
      <c r="J141" s="150">
        <f t="shared" si="466"/>
        <v>0.11604489795918368</v>
      </c>
      <c r="K141" s="150">
        <f t="shared" si="466"/>
        <v>0.10338545454545456</v>
      </c>
      <c r="L141" s="150">
        <f t="shared" si="466"/>
        <v>8.7480000000000002E-2</v>
      </c>
      <c r="M141" s="150">
        <f t="shared" si="466"/>
        <v>6.826248E-2</v>
      </c>
      <c r="N141" s="150">
        <f t="shared" si="466"/>
        <v>7.1106749999999996E-2</v>
      </c>
      <c r="O141" s="150">
        <f t="shared" si="466"/>
        <v>0.11688780821917807</v>
      </c>
      <c r="P141" s="150">
        <f t="shared" si="466"/>
        <v>0.17416800000000005</v>
      </c>
      <c r="Q141" s="150">
        <f t="shared" si="466"/>
        <v>0.12955341176470589</v>
      </c>
      <c r="R141" s="150">
        <f t="shared" si="466"/>
        <v>0.14552738716896679</v>
      </c>
      <c r="S141" s="150">
        <f t="shared" si="466"/>
        <v>0.15527358160237389</v>
      </c>
      <c r="T141" s="118">
        <f t="shared" si="450"/>
        <v>-5.236914443492291E-2</v>
      </c>
      <c r="U141" s="20"/>
      <c r="V141" s="150">
        <f t="shared" ref="V141:AE141" si="467">V140/V55</f>
        <v>0.14848036240727003</v>
      </c>
      <c r="W141" s="150">
        <f t="shared" si="467"/>
        <v>0.14198434655195194</v>
      </c>
      <c r="X141" s="150">
        <f t="shared" si="467"/>
        <v>0.13577253139030404</v>
      </c>
      <c r="Y141" s="150">
        <f t="shared" si="467"/>
        <v>0.12983248314197823</v>
      </c>
      <c r="Z141" s="150">
        <f t="shared" si="467"/>
        <v>0.12415231200451669</v>
      </c>
      <c r="AA141" s="150">
        <f t="shared" si="467"/>
        <v>0.1187206483543191</v>
      </c>
      <c r="AB141" s="150">
        <f t="shared" si="467"/>
        <v>0.11352661998881762</v>
      </c>
      <c r="AC141" s="150">
        <f t="shared" si="467"/>
        <v>0.10855983036430684</v>
      </c>
      <c r="AD141" s="150">
        <f t="shared" si="467"/>
        <v>0.10381033778586843</v>
      </c>
      <c r="AE141" s="150">
        <f t="shared" si="467"/>
        <v>9.9268635507736666E-2</v>
      </c>
      <c r="AF141" s="137">
        <f t="shared" si="355"/>
        <v>-2.1222173033952019E-2</v>
      </c>
      <c r="AG141" s="20"/>
      <c r="AH141" s="20"/>
    </row>
    <row r="142" spans="1:34">
      <c r="B142" s="20" t="s">
        <v>325</v>
      </c>
      <c r="C142" s="20"/>
      <c r="D142" s="20"/>
      <c r="E142" s="20"/>
      <c r="F142" s="20"/>
      <c r="G142" s="150">
        <f t="shared" ref="G142:H142" si="468">1-G141</f>
        <v>0.70390760563380272</v>
      </c>
      <c r="H142" s="150">
        <f t="shared" si="468"/>
        <v>0.73821249999999994</v>
      </c>
      <c r="I142" s="150">
        <f>1-I141</f>
        <v>0.84424374999999996</v>
      </c>
      <c r="J142" s="150">
        <f t="shared" ref="J142:R142" si="469">1-J141</f>
        <v>0.88395510204081629</v>
      </c>
      <c r="K142" s="150">
        <f t="shared" si="469"/>
        <v>0.89661454545454544</v>
      </c>
      <c r="L142" s="150">
        <f t="shared" si="469"/>
        <v>0.91252</v>
      </c>
      <c r="M142" s="150">
        <f t="shared" si="469"/>
        <v>0.93173751999999999</v>
      </c>
      <c r="N142" s="150">
        <f t="shared" si="469"/>
        <v>0.92889325</v>
      </c>
      <c r="O142" s="150">
        <f t="shared" si="469"/>
        <v>0.8831121917808219</v>
      </c>
      <c r="P142" s="150">
        <f t="shared" si="469"/>
        <v>0.8258319999999999</v>
      </c>
      <c r="Q142" s="150">
        <f t="shared" si="469"/>
        <v>0.87044658823529408</v>
      </c>
      <c r="R142" s="150">
        <f t="shared" si="469"/>
        <v>0.85447261283103315</v>
      </c>
      <c r="S142" s="150">
        <f t="shared" ref="S142" si="470">1-S141</f>
        <v>0.84472641839762608</v>
      </c>
      <c r="T142" s="118">
        <f t="shared" si="450"/>
        <v>1.5313205777891303E-2</v>
      </c>
      <c r="U142" s="20"/>
      <c r="V142" s="150">
        <f t="shared" ref="V142:AE142" si="471">1-V141</f>
        <v>0.85151963759272997</v>
      </c>
      <c r="W142" s="150">
        <f t="shared" si="471"/>
        <v>0.85801565344804809</v>
      </c>
      <c r="X142" s="150">
        <f t="shared" si="471"/>
        <v>0.86422746860969601</v>
      </c>
      <c r="Y142" s="150">
        <f t="shared" si="471"/>
        <v>0.87016751685802174</v>
      </c>
      <c r="Z142" s="150">
        <f t="shared" si="471"/>
        <v>0.87584768799548329</v>
      </c>
      <c r="AA142" s="150">
        <f t="shared" si="471"/>
        <v>0.88127935164568094</v>
      </c>
      <c r="AB142" s="150">
        <f t="shared" si="471"/>
        <v>0.88647338001118237</v>
      </c>
      <c r="AC142" s="150">
        <f t="shared" si="471"/>
        <v>0.89144016963569317</v>
      </c>
      <c r="AD142" s="150">
        <f t="shared" si="471"/>
        <v>0.89618966221413154</v>
      </c>
      <c r="AE142" s="150">
        <f t="shared" si="471"/>
        <v>0.90073136449226332</v>
      </c>
      <c r="AF142" s="137">
        <f t="shared" si="355"/>
        <v>3.0888466057186204E-3</v>
      </c>
      <c r="AG142" s="20"/>
      <c r="AH142" s="20"/>
    </row>
    <row r="143" spans="1:34">
      <c r="B143" s="20" t="s">
        <v>448</v>
      </c>
      <c r="C143" s="20"/>
      <c r="D143" s="20"/>
      <c r="E143" s="20"/>
      <c r="F143" s="20"/>
      <c r="G143" s="150">
        <f t="shared" ref="G143:H143" si="472">G140/G20</f>
        <v>-0.52556400000000003</v>
      </c>
      <c r="H143" s="150">
        <f t="shared" si="472"/>
        <v>-4.4090526315789476E-2</v>
      </c>
      <c r="I143" s="150">
        <f t="shared" ref="I143:S143" si="473">I140/I20</f>
        <v>-3.5601428571428569E-2</v>
      </c>
      <c r="J143" s="150">
        <f t="shared" si="473"/>
        <v>3.4884662576687119E-2</v>
      </c>
      <c r="K143" s="150">
        <f t="shared" si="473"/>
        <v>-2.657102803738318E-2</v>
      </c>
      <c r="L143" s="150">
        <f t="shared" si="473"/>
        <v>2.0163829787234043E-2</v>
      </c>
      <c r="M143" s="150">
        <f t="shared" si="473"/>
        <v>4.9899473684210521E-2</v>
      </c>
      <c r="N143" s="150">
        <f t="shared" si="473"/>
        <v>-5.650867549668874E-2</v>
      </c>
      <c r="O143" s="150">
        <f t="shared" si="473"/>
        <v>6.0516382978723401E-2</v>
      </c>
      <c r="P143" s="150">
        <f t="shared" si="473"/>
        <v>0.1331872941176471</v>
      </c>
      <c r="Q143" s="150">
        <f t="shared" si="473"/>
        <v>-0.15959478260869567</v>
      </c>
      <c r="R143" s="150" t="e">
        <f t="shared" si="473"/>
        <v>#DIV/0!</v>
      </c>
      <c r="S143" s="150" t="e">
        <f t="shared" si="473"/>
        <v>#DIV/0!</v>
      </c>
      <c r="T143" s="118" t="e">
        <f t="shared" si="450"/>
        <v>#DIV/0!</v>
      </c>
      <c r="U143" s="20"/>
      <c r="V143" s="150" t="e">
        <f t="shared" ref="V143:AE143" si="474">V140/V20</f>
        <v>#DIV/0!</v>
      </c>
      <c r="W143" s="150" t="e">
        <f t="shared" si="474"/>
        <v>#DIV/0!</v>
      </c>
      <c r="X143" s="150" t="e">
        <f t="shared" si="474"/>
        <v>#DIV/0!</v>
      </c>
      <c r="Y143" s="150" t="e">
        <f t="shared" si="474"/>
        <v>#DIV/0!</v>
      </c>
      <c r="Z143" s="150" t="e">
        <f t="shared" si="474"/>
        <v>#DIV/0!</v>
      </c>
      <c r="AA143" s="150" t="e">
        <f t="shared" si="474"/>
        <v>#DIV/0!</v>
      </c>
      <c r="AB143" s="150" t="e">
        <f t="shared" si="474"/>
        <v>#DIV/0!</v>
      </c>
      <c r="AC143" s="150" t="e">
        <f t="shared" si="474"/>
        <v>#DIV/0!</v>
      </c>
      <c r="AD143" s="150" t="e">
        <f t="shared" si="474"/>
        <v>#DIV/0!</v>
      </c>
      <c r="AE143" s="150" t="e">
        <f t="shared" si="474"/>
        <v>#DIV/0!</v>
      </c>
      <c r="AF143" s="137" t="s">
        <v>449</v>
      </c>
      <c r="AG143" s="20"/>
      <c r="AH143" s="20"/>
    </row>
    <row r="144" spans="1:34">
      <c r="B144" s="20"/>
      <c r="C144" s="20"/>
      <c r="D144" s="20"/>
      <c r="E144" s="20"/>
      <c r="F144" s="2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28"/>
      <c r="U144" s="2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28"/>
      <c r="AG144" s="20"/>
      <c r="AH144" s="20"/>
    </row>
    <row r="145" spans="2:34">
      <c r="B145" s="20" t="s">
        <v>329</v>
      </c>
      <c r="C145" s="150"/>
      <c r="D145" s="150"/>
      <c r="E145" s="150"/>
      <c r="F145" s="150"/>
      <c r="G145" s="150">
        <f t="shared" ref="G145:H145" si="475">G31/G25</f>
        <v>0</v>
      </c>
      <c r="H145" s="150">
        <f t="shared" si="475"/>
        <v>0</v>
      </c>
      <c r="I145" s="150">
        <f t="shared" ref="I145:S145" si="476">I31/I25</f>
        <v>0</v>
      </c>
      <c r="J145" s="150">
        <f t="shared" si="476"/>
        <v>0</v>
      </c>
      <c r="K145" s="150">
        <f t="shared" si="476"/>
        <v>0</v>
      </c>
      <c r="L145" s="150">
        <f t="shared" si="476"/>
        <v>0</v>
      </c>
      <c r="M145" s="150">
        <f t="shared" si="476"/>
        <v>0</v>
      </c>
      <c r="N145" s="150">
        <f t="shared" si="476"/>
        <v>0</v>
      </c>
      <c r="O145" s="150">
        <f t="shared" si="476"/>
        <v>0</v>
      </c>
      <c r="P145" s="150">
        <f t="shared" si="476"/>
        <v>0</v>
      </c>
      <c r="Q145" s="150">
        <f t="shared" si="476"/>
        <v>0</v>
      </c>
      <c r="R145" s="150">
        <f t="shared" si="476"/>
        <v>0</v>
      </c>
      <c r="S145" s="150">
        <f t="shared" si="476"/>
        <v>0</v>
      </c>
      <c r="T145" s="118" t="e">
        <f t="shared" si="450"/>
        <v>#DIV/0!</v>
      </c>
      <c r="U145" s="20"/>
      <c r="V145" s="150">
        <f t="shared" ref="V145:AE145" si="477">V31/V25</f>
        <v>0</v>
      </c>
      <c r="W145" s="150">
        <f t="shared" si="477"/>
        <v>0</v>
      </c>
      <c r="X145" s="150">
        <f t="shared" si="477"/>
        <v>0</v>
      </c>
      <c r="Y145" s="150">
        <f t="shared" si="477"/>
        <v>0</v>
      </c>
      <c r="Z145" s="150">
        <f t="shared" si="477"/>
        <v>0</v>
      </c>
      <c r="AA145" s="150">
        <f t="shared" si="477"/>
        <v>0</v>
      </c>
      <c r="AB145" s="150">
        <f t="shared" si="477"/>
        <v>0</v>
      </c>
      <c r="AC145" s="150">
        <f t="shared" si="477"/>
        <v>0</v>
      </c>
      <c r="AD145" s="150">
        <f t="shared" si="477"/>
        <v>0</v>
      </c>
      <c r="AE145" s="150">
        <f t="shared" si="477"/>
        <v>0</v>
      </c>
      <c r="AF145" s="137" t="e">
        <f t="shared" si="355"/>
        <v>#DIV/0!</v>
      </c>
      <c r="AG145" s="20"/>
      <c r="AH145" s="20"/>
    </row>
    <row r="146" spans="2:34">
      <c r="B146" s="20" t="s">
        <v>326</v>
      </c>
      <c r="C146" s="150"/>
      <c r="D146" s="150"/>
      <c r="E146" s="150"/>
      <c r="F146" s="150"/>
      <c r="G146" s="150">
        <f t="shared" ref="G146:H146" si="478">G32/G25</f>
        <v>0</v>
      </c>
      <c r="H146" s="150">
        <f t="shared" si="478"/>
        <v>0</v>
      </c>
      <c r="I146" s="150">
        <f t="shared" ref="I146:S146" si="479">I32/I25</f>
        <v>0</v>
      </c>
      <c r="J146" s="150">
        <f t="shared" si="479"/>
        <v>0</v>
      </c>
      <c r="K146" s="150">
        <f t="shared" si="479"/>
        <v>0</v>
      </c>
      <c r="L146" s="150">
        <f t="shared" si="479"/>
        <v>0</v>
      </c>
      <c r="M146" s="150">
        <f t="shared" si="479"/>
        <v>0</v>
      </c>
      <c r="N146" s="150">
        <f t="shared" si="479"/>
        <v>0</v>
      </c>
      <c r="O146" s="150">
        <f t="shared" si="479"/>
        <v>0</v>
      </c>
      <c r="P146" s="150">
        <f t="shared" si="479"/>
        <v>0</v>
      </c>
      <c r="Q146" s="150">
        <f t="shared" si="479"/>
        <v>0</v>
      </c>
      <c r="R146" s="150">
        <f t="shared" si="479"/>
        <v>0</v>
      </c>
      <c r="S146" s="150">
        <f t="shared" si="479"/>
        <v>0</v>
      </c>
      <c r="T146" s="118" t="e">
        <f t="shared" si="450"/>
        <v>#DIV/0!</v>
      </c>
      <c r="U146" s="20"/>
      <c r="V146" s="150">
        <f t="shared" ref="V146:AE146" si="480">V32/V25</f>
        <v>0</v>
      </c>
      <c r="W146" s="150">
        <f t="shared" si="480"/>
        <v>0</v>
      </c>
      <c r="X146" s="150">
        <f t="shared" si="480"/>
        <v>0</v>
      </c>
      <c r="Y146" s="150">
        <f t="shared" si="480"/>
        <v>0</v>
      </c>
      <c r="Z146" s="150">
        <f t="shared" si="480"/>
        <v>0</v>
      </c>
      <c r="AA146" s="150">
        <f t="shared" si="480"/>
        <v>0</v>
      </c>
      <c r="AB146" s="150">
        <f t="shared" si="480"/>
        <v>0</v>
      </c>
      <c r="AC146" s="150">
        <f t="shared" si="480"/>
        <v>0</v>
      </c>
      <c r="AD146" s="150">
        <f t="shared" si="480"/>
        <v>0</v>
      </c>
      <c r="AE146" s="150">
        <f t="shared" si="480"/>
        <v>0</v>
      </c>
      <c r="AF146" s="137" t="e">
        <f t="shared" si="355"/>
        <v>#DIV/0!</v>
      </c>
      <c r="AG146" s="20"/>
      <c r="AH146" s="20"/>
    </row>
    <row r="147" spans="2:34">
      <c r="B147" s="20" t="s">
        <v>456</v>
      </c>
      <c r="C147" s="150"/>
      <c r="D147" s="150"/>
      <c r="E147" s="150"/>
      <c r="F147" s="150"/>
      <c r="G147" s="150">
        <f t="shared" ref="G147:H147" si="481">(G31+G32)/G25</f>
        <v>0</v>
      </c>
      <c r="H147" s="150">
        <f t="shared" si="481"/>
        <v>0</v>
      </c>
      <c r="I147" s="150">
        <f t="shared" ref="I147:S147" si="482">(I31+I32)/I25</f>
        <v>0</v>
      </c>
      <c r="J147" s="150">
        <f t="shared" si="482"/>
        <v>0</v>
      </c>
      <c r="K147" s="150">
        <f t="shared" si="482"/>
        <v>0</v>
      </c>
      <c r="L147" s="150">
        <f t="shared" si="482"/>
        <v>0</v>
      </c>
      <c r="M147" s="150">
        <f t="shared" si="482"/>
        <v>0</v>
      </c>
      <c r="N147" s="150">
        <f t="shared" si="482"/>
        <v>0</v>
      </c>
      <c r="O147" s="150">
        <f t="shared" si="482"/>
        <v>0</v>
      </c>
      <c r="P147" s="150">
        <f t="shared" si="482"/>
        <v>0</v>
      </c>
      <c r="Q147" s="150">
        <f t="shared" si="482"/>
        <v>0</v>
      </c>
      <c r="R147" s="150">
        <f t="shared" si="482"/>
        <v>0</v>
      </c>
      <c r="S147" s="150">
        <f t="shared" si="482"/>
        <v>0</v>
      </c>
      <c r="T147" s="118" t="e">
        <f t="shared" si="450"/>
        <v>#DIV/0!</v>
      </c>
      <c r="U147" s="20"/>
      <c r="V147" s="150">
        <f t="shared" ref="V147:AE147" si="483">(V31+V32)/V25</f>
        <v>0</v>
      </c>
      <c r="W147" s="150">
        <f t="shared" si="483"/>
        <v>0</v>
      </c>
      <c r="X147" s="150">
        <f t="shared" si="483"/>
        <v>0</v>
      </c>
      <c r="Y147" s="150">
        <f t="shared" si="483"/>
        <v>0</v>
      </c>
      <c r="Z147" s="150">
        <f t="shared" si="483"/>
        <v>0</v>
      </c>
      <c r="AA147" s="150">
        <f t="shared" si="483"/>
        <v>0</v>
      </c>
      <c r="AB147" s="150">
        <f t="shared" si="483"/>
        <v>0</v>
      </c>
      <c r="AC147" s="150">
        <f t="shared" si="483"/>
        <v>0</v>
      </c>
      <c r="AD147" s="150">
        <f t="shared" si="483"/>
        <v>0</v>
      </c>
      <c r="AE147" s="150">
        <f t="shared" si="483"/>
        <v>0</v>
      </c>
      <c r="AF147" s="137" t="e">
        <f t="shared" si="355"/>
        <v>#DIV/0!</v>
      </c>
      <c r="AG147" s="20"/>
      <c r="AH147" s="20"/>
    </row>
    <row r="148" spans="2:34">
      <c r="B148" s="20"/>
      <c r="C148" s="20"/>
      <c r="D148" s="20"/>
      <c r="E148" s="20"/>
      <c r="F148" s="2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28"/>
      <c r="U148" s="2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28"/>
      <c r="AG148" s="20"/>
      <c r="AH148" s="20"/>
    </row>
    <row r="149" spans="2:34">
      <c r="B149" s="20" t="s">
        <v>350</v>
      </c>
      <c r="C149" s="20"/>
      <c r="D149" s="20"/>
      <c r="E149" s="20"/>
      <c r="F149" s="20"/>
      <c r="G149" s="150">
        <f t="shared" ref="G149:H149" si="484">G27/G25</f>
        <v>0.92546583850931674</v>
      </c>
      <c r="H149" s="150">
        <f t="shared" si="484"/>
        <v>0.92253521126760563</v>
      </c>
      <c r="I149" s="150">
        <f t="shared" ref="I149:S149" si="485">I27/I25</f>
        <v>0.87700534759358284</v>
      </c>
      <c r="J149" s="150">
        <f t="shared" si="485"/>
        <v>0.87589743589743585</v>
      </c>
      <c r="K149" s="150">
        <f t="shared" si="485"/>
        <v>0.86556808326105816</v>
      </c>
      <c r="L149" s="150">
        <f t="shared" si="485"/>
        <v>0.85675119945167921</v>
      </c>
      <c r="M149" s="150">
        <f t="shared" si="485"/>
        <v>0.85224983210208194</v>
      </c>
      <c r="N149" s="150">
        <f t="shared" si="485"/>
        <v>0.866076369673492</v>
      </c>
      <c r="O149" s="150">
        <f t="shared" si="485"/>
        <v>0.87951807228915657</v>
      </c>
      <c r="P149" s="150">
        <f t="shared" si="485"/>
        <v>0.85753550160329817</v>
      </c>
      <c r="Q149" s="150">
        <f t="shared" si="485"/>
        <v>0.83916083916083917</v>
      </c>
      <c r="R149" s="150">
        <f t="shared" si="485"/>
        <v>0.84009691096305272</v>
      </c>
      <c r="S149" s="150">
        <f t="shared" si="485"/>
        <v>0.8465577596266044</v>
      </c>
      <c r="T149" s="118">
        <f t="shared" si="450"/>
        <v>-7.3990568053048378E-3</v>
      </c>
      <c r="U149" s="20"/>
      <c r="V149" s="150">
        <f t="shared" ref="V149:AE149" si="486">V27/V25</f>
        <v>0.8465577596266044</v>
      </c>
      <c r="W149" s="150">
        <f t="shared" si="486"/>
        <v>0.8465577596266044</v>
      </c>
      <c r="X149" s="150">
        <f t="shared" si="486"/>
        <v>0.84655775962660451</v>
      </c>
      <c r="Y149" s="150">
        <f t="shared" si="486"/>
        <v>0.84655775962660462</v>
      </c>
      <c r="Z149" s="150">
        <f t="shared" si="486"/>
        <v>0.84655775962660462</v>
      </c>
      <c r="AA149" s="150">
        <f t="shared" si="486"/>
        <v>0.84655775962660462</v>
      </c>
      <c r="AB149" s="150">
        <f t="shared" si="486"/>
        <v>0.84655775962660451</v>
      </c>
      <c r="AC149" s="150">
        <f t="shared" si="486"/>
        <v>0.84655775962660451</v>
      </c>
      <c r="AD149" s="150">
        <f t="shared" si="486"/>
        <v>0.84655775962660451</v>
      </c>
      <c r="AE149" s="150">
        <f t="shared" si="486"/>
        <v>0.84655775962660451</v>
      </c>
      <c r="AF149" s="137">
        <f t="shared" si="355"/>
        <v>-1.6811879435144617E-3</v>
      </c>
      <c r="AG149" s="20"/>
      <c r="AH149" s="20"/>
    </row>
    <row r="150" spans="2:34">
      <c r="B150" s="20" t="str">
        <f>B33</f>
        <v>Top Expenses ( Interest Out gol )</v>
      </c>
      <c r="C150" s="20"/>
      <c r="D150" s="20"/>
      <c r="E150" s="20"/>
      <c r="F150" s="20"/>
      <c r="G150" s="150">
        <f t="shared" ref="G150:H150" si="487">G33/G25</f>
        <v>0.77846790890269146</v>
      </c>
      <c r="H150" s="150">
        <f t="shared" si="487"/>
        <v>0.79753521126760563</v>
      </c>
      <c r="I150" s="150">
        <f t="shared" ref="I150:S150" si="488">I33/I25</f>
        <v>0.7633689839572193</v>
      </c>
      <c r="J150" s="150">
        <f t="shared" si="488"/>
        <v>0.7712820512820513</v>
      </c>
      <c r="K150" s="150">
        <f t="shared" si="488"/>
        <v>0.76843018213356462</v>
      </c>
      <c r="L150" s="150">
        <f t="shared" si="488"/>
        <v>0.74297464016449621</v>
      </c>
      <c r="M150" s="150">
        <f t="shared" si="488"/>
        <v>0.77635997313633309</v>
      </c>
      <c r="N150" s="150">
        <f t="shared" si="488"/>
        <v>0.7935805201992252</v>
      </c>
      <c r="O150" s="150">
        <f t="shared" si="488"/>
        <v>0.77682157200229485</v>
      </c>
      <c r="P150" s="150">
        <f t="shared" si="488"/>
        <v>0.76866697205680257</v>
      </c>
      <c r="Q150" s="150">
        <f t="shared" si="488"/>
        <v>0.76818181818181819</v>
      </c>
      <c r="R150" s="150">
        <f t="shared" si="488"/>
        <v>0.7605299818291944</v>
      </c>
      <c r="S150" s="150">
        <f t="shared" si="488"/>
        <v>0.73257584597432901</v>
      </c>
      <c r="T150" s="118">
        <f t="shared" si="450"/>
        <v>-5.0506099942673188E-3</v>
      </c>
      <c r="U150" s="20"/>
      <c r="V150" s="150">
        <f t="shared" ref="V150:AE150" si="489">V33/V25</f>
        <v>0.73257584597432901</v>
      </c>
      <c r="W150" s="150">
        <f t="shared" si="489"/>
        <v>0.73257584597432901</v>
      </c>
      <c r="X150" s="150">
        <f t="shared" si="489"/>
        <v>0.73257584597432901</v>
      </c>
      <c r="Y150" s="150">
        <f t="shared" si="489"/>
        <v>0.73257584597432912</v>
      </c>
      <c r="Z150" s="150">
        <f t="shared" si="489"/>
        <v>0.73257584597432901</v>
      </c>
      <c r="AA150" s="150">
        <f t="shared" si="489"/>
        <v>0.73257584597432912</v>
      </c>
      <c r="AB150" s="150">
        <f t="shared" si="489"/>
        <v>0.73257584597432901</v>
      </c>
      <c r="AC150" s="150">
        <f t="shared" si="489"/>
        <v>0.73257584597432901</v>
      </c>
      <c r="AD150" s="150">
        <f t="shared" si="489"/>
        <v>0.73257584597432901</v>
      </c>
      <c r="AE150" s="150">
        <f t="shared" si="489"/>
        <v>0.73257584597432912</v>
      </c>
      <c r="AF150" s="137">
        <f t="shared" si="355"/>
        <v>-1.9587758108061681E-3</v>
      </c>
      <c r="AG150" s="20"/>
      <c r="AH150" s="20"/>
    </row>
    <row r="151" spans="2:34">
      <c r="B151" s="20" t="str">
        <f>B34</f>
        <v>2nd highest Expenses Comp. ( Empl )</v>
      </c>
      <c r="C151" s="20"/>
      <c r="D151" s="20"/>
      <c r="E151" s="20"/>
      <c r="F151" s="20"/>
      <c r="G151" s="150">
        <f t="shared" ref="G151:H151" si="490">G34/G25</f>
        <v>0.10766045548654245</v>
      </c>
      <c r="H151" s="150">
        <f t="shared" si="490"/>
        <v>8.098591549295775E-2</v>
      </c>
      <c r="I151" s="150">
        <f t="shared" ref="I151:S151" si="491">I34/I25</f>
        <v>7.3529411764705885E-2</v>
      </c>
      <c r="J151" s="150">
        <f t="shared" si="491"/>
        <v>6.5641025641025641E-2</v>
      </c>
      <c r="K151" s="150">
        <f t="shared" si="491"/>
        <v>6.6782307025151783E-2</v>
      </c>
      <c r="L151" s="150">
        <f t="shared" si="491"/>
        <v>9.047292666209733E-2</v>
      </c>
      <c r="M151" s="150">
        <f t="shared" si="491"/>
        <v>4.8354600402955E-2</v>
      </c>
      <c r="N151" s="150">
        <f t="shared" si="491"/>
        <v>4.2612064194798009E-2</v>
      </c>
      <c r="O151" s="150">
        <f t="shared" si="491"/>
        <v>7.2862880091795756E-2</v>
      </c>
      <c r="P151" s="150">
        <f t="shared" si="491"/>
        <v>6.5506184150251945E-2</v>
      </c>
      <c r="Q151" s="150">
        <f t="shared" si="491"/>
        <v>5.1398601398601397E-2</v>
      </c>
      <c r="R151" s="150">
        <f t="shared" si="491"/>
        <v>1.6456692913385827E-2</v>
      </c>
      <c r="S151" s="150">
        <f t="shared" si="491"/>
        <v>1.5851808634772462E-2</v>
      </c>
      <c r="T151" s="118">
        <f t="shared" si="450"/>
        <v>-0.14755071533294406</v>
      </c>
      <c r="U151" s="20"/>
      <c r="V151" s="150">
        <f t="shared" ref="V151:AE151" si="492">V34/V25</f>
        <v>1.5851808634772462E-2</v>
      </c>
      <c r="W151" s="150">
        <f t="shared" si="492"/>
        <v>1.5851808634772462E-2</v>
      </c>
      <c r="X151" s="150">
        <f t="shared" si="492"/>
        <v>1.5851808634772462E-2</v>
      </c>
      <c r="Y151" s="150">
        <f t="shared" si="492"/>
        <v>1.5851808634772462E-2</v>
      </c>
      <c r="Z151" s="150">
        <f t="shared" si="492"/>
        <v>1.5851808634772466E-2</v>
      </c>
      <c r="AA151" s="150">
        <f t="shared" si="492"/>
        <v>1.5851808634772466E-2</v>
      </c>
      <c r="AB151" s="150">
        <f t="shared" si="492"/>
        <v>1.5851808634772466E-2</v>
      </c>
      <c r="AC151" s="150">
        <f t="shared" si="492"/>
        <v>1.5851808634772466E-2</v>
      </c>
      <c r="AD151" s="150">
        <f t="shared" si="492"/>
        <v>1.5851808634772466E-2</v>
      </c>
      <c r="AE151" s="150">
        <f t="shared" si="492"/>
        <v>1.5851808634772466E-2</v>
      </c>
      <c r="AF151" s="137">
        <f t="shared" si="355"/>
        <v>-7.0461224644791653E-2</v>
      </c>
      <c r="AG151" s="20"/>
      <c r="AH151" s="20"/>
    </row>
    <row r="152" spans="2:34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28"/>
      <c r="U152" s="128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38"/>
      <c r="AG152" s="20"/>
      <c r="AH152" s="20"/>
    </row>
    <row r="153" spans="2:34">
      <c r="B153" s="108" t="s">
        <v>358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28"/>
      <c r="U153" s="128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137"/>
      <c r="AG153" s="20"/>
      <c r="AH153" s="20"/>
    </row>
    <row r="154" spans="2:34">
      <c r="B154" s="20" t="s">
        <v>361</v>
      </c>
      <c r="C154" s="20"/>
      <c r="D154" s="20"/>
      <c r="E154" s="20"/>
      <c r="F154" s="20"/>
      <c r="G154" s="25">
        <f t="shared" ref="G154:H154" si="493">G15/G9</f>
        <v>12.315789473684211</v>
      </c>
      <c r="H154" s="25">
        <f t="shared" si="493"/>
        <v>9.3255813953488378</v>
      </c>
      <c r="I154" s="25">
        <f t="shared" ref="I154:S154" si="494">I15/I9</f>
        <v>18.068965517241381</v>
      </c>
      <c r="J154" s="25">
        <f t="shared" si="494"/>
        <v>3.8956043956043955</v>
      </c>
      <c r="K154" s="25">
        <f t="shared" si="494"/>
        <v>5.5238095238095237</v>
      </c>
      <c r="L154" s="25">
        <f t="shared" si="494"/>
        <v>6.0347222222222223</v>
      </c>
      <c r="M154" s="25">
        <f t="shared" si="494"/>
        <v>4.6731707317073168</v>
      </c>
      <c r="N154" s="25">
        <f t="shared" si="494"/>
        <v>4.3343949044585983</v>
      </c>
      <c r="O154" s="25">
        <f t="shared" si="494"/>
        <v>3.6982543640897756</v>
      </c>
      <c r="P154" s="25">
        <f t="shared" si="494"/>
        <v>4.6163522012578619</v>
      </c>
      <c r="Q154" s="25">
        <f t="shared" si="494"/>
        <v>6.4447949526813879</v>
      </c>
      <c r="R154" s="25">
        <f t="shared" si="494"/>
        <v>5.4139341269261658</v>
      </c>
      <c r="S154" s="25">
        <f t="shared" si="494"/>
        <v>5.4139341269261658</v>
      </c>
      <c r="T154" s="118">
        <f t="shared" si="450"/>
        <v>-6.6199233887009212E-2</v>
      </c>
      <c r="U154" s="20"/>
      <c r="V154" s="20">
        <f t="shared" ref="V154:AE154" si="495">V15/V9</f>
        <v>5.4139341269261658</v>
      </c>
      <c r="W154" s="20">
        <f t="shared" si="495"/>
        <v>5.4139341269261658</v>
      </c>
      <c r="X154" s="20">
        <f t="shared" si="495"/>
        <v>5.4139341269261658</v>
      </c>
      <c r="Y154" s="20">
        <f t="shared" si="495"/>
        <v>5.4139341269261658</v>
      </c>
      <c r="Z154" s="20">
        <f t="shared" si="495"/>
        <v>5.4139341269261649</v>
      </c>
      <c r="AA154" s="20">
        <f t="shared" si="495"/>
        <v>5.413934126926164</v>
      </c>
      <c r="AB154" s="20">
        <f t="shared" si="495"/>
        <v>5.413934126926164</v>
      </c>
      <c r="AC154" s="20">
        <f t="shared" si="495"/>
        <v>5.4139341269261632</v>
      </c>
      <c r="AD154" s="20">
        <f t="shared" si="495"/>
        <v>5.4139341269261632</v>
      </c>
      <c r="AE154" s="20">
        <f t="shared" si="495"/>
        <v>5.413934126926164</v>
      </c>
      <c r="AF154" s="137">
        <f t="shared" si="355"/>
        <v>-5.5775591760237053E-2</v>
      </c>
      <c r="AG154" s="20"/>
      <c r="AH154" s="20"/>
    </row>
    <row r="155" spans="2:34">
      <c r="B155" s="20" t="s">
        <v>351</v>
      </c>
      <c r="C155" s="20"/>
      <c r="D155" s="20"/>
      <c r="E155" s="20"/>
      <c r="F155" s="20"/>
      <c r="G155" s="25">
        <f t="shared" ref="G155:H155" si="496">G12/G9</f>
        <v>1.0526315789473684</v>
      </c>
      <c r="H155" s="25">
        <f t="shared" si="496"/>
        <v>0.30232558139534882</v>
      </c>
      <c r="I155" s="25">
        <f t="shared" ref="I155:S155" si="497">I12/I9</f>
        <v>2.2758620689655173</v>
      </c>
      <c r="J155" s="25">
        <f t="shared" si="497"/>
        <v>0.2087912087912088</v>
      </c>
      <c r="K155" s="25">
        <f t="shared" si="497"/>
        <v>0.24338624338624337</v>
      </c>
      <c r="L155" s="25">
        <f t="shared" si="497"/>
        <v>0.22916666666666666</v>
      </c>
      <c r="M155" s="25">
        <f t="shared" si="497"/>
        <v>0.21463414634146341</v>
      </c>
      <c r="N155" s="25">
        <f t="shared" si="497"/>
        <v>1.6878980891719745E-2</v>
      </c>
      <c r="O155" s="25">
        <f t="shared" si="497"/>
        <v>4.2394014962593519E-2</v>
      </c>
      <c r="P155" s="25">
        <f t="shared" si="497"/>
        <v>4.0880503144654086E-2</v>
      </c>
      <c r="Q155" s="25">
        <f t="shared" si="497"/>
        <v>0.20820189274447951</v>
      </c>
      <c r="R155" s="25">
        <f t="shared" si="497"/>
        <v>5.9251685776187342E-2</v>
      </c>
      <c r="S155" s="25">
        <f t="shared" si="497"/>
        <v>5.9251685776187342E-2</v>
      </c>
      <c r="T155" s="118">
        <f t="shared" si="450"/>
        <v>-0.21319213407413229</v>
      </c>
      <c r="U155" s="128"/>
      <c r="V155" s="20">
        <f t="shared" ref="V155:AE155" si="498">V12/V9</f>
        <v>5.9251685776187342E-2</v>
      </c>
      <c r="W155" s="20">
        <f t="shared" si="498"/>
        <v>5.9251685776187342E-2</v>
      </c>
      <c r="X155" s="20">
        <f t="shared" si="498"/>
        <v>5.9251685776187349E-2</v>
      </c>
      <c r="Y155" s="20">
        <f t="shared" si="498"/>
        <v>5.9251685776187349E-2</v>
      </c>
      <c r="Z155" s="20">
        <f t="shared" si="498"/>
        <v>5.9251685776187349E-2</v>
      </c>
      <c r="AA155" s="20">
        <f t="shared" si="498"/>
        <v>5.9251685776187349E-2</v>
      </c>
      <c r="AB155" s="20">
        <f t="shared" si="498"/>
        <v>5.9251685776187349E-2</v>
      </c>
      <c r="AC155" s="20">
        <f t="shared" si="498"/>
        <v>5.9251685776187342E-2</v>
      </c>
      <c r="AD155" s="20">
        <f t="shared" si="498"/>
        <v>5.9251685776187335E-2</v>
      </c>
      <c r="AE155" s="20">
        <f t="shared" si="498"/>
        <v>5.9251685776187342E-2</v>
      </c>
      <c r="AF155" s="118">
        <f t="shared" ref="AF155" si="499">((AE155/V155)^(1/($J$2-$J$1) ))-1</f>
        <v>0</v>
      </c>
      <c r="AG155" s="20"/>
      <c r="AH155" s="20"/>
    </row>
    <row r="156" spans="2:34">
      <c r="B156" s="20" t="s">
        <v>353</v>
      </c>
      <c r="C156" s="20"/>
      <c r="D156" s="20"/>
      <c r="E156" s="20"/>
      <c r="F156" s="20"/>
      <c r="G156" s="25">
        <f t="shared" ref="G156:H156" si="500">G25/360</f>
        <v>1.3416666666666666</v>
      </c>
      <c r="H156" s="25">
        <f t="shared" si="500"/>
        <v>1.5777777777777777</v>
      </c>
      <c r="I156" s="25">
        <f t="shared" ref="I156:S156" si="501">I25/360</f>
        <v>2.0777777777777779</v>
      </c>
      <c r="J156" s="25">
        <f t="shared" si="501"/>
        <v>2.7083333333333335</v>
      </c>
      <c r="K156" s="25">
        <f t="shared" si="501"/>
        <v>3.2027777777777779</v>
      </c>
      <c r="L156" s="25">
        <f t="shared" si="501"/>
        <v>4.052777777777778</v>
      </c>
      <c r="M156" s="25">
        <f t="shared" si="501"/>
        <v>4.1361111111111111</v>
      </c>
      <c r="N156" s="25">
        <f t="shared" si="501"/>
        <v>5.0194444444444448</v>
      </c>
      <c r="O156" s="25">
        <f t="shared" si="501"/>
        <v>4.8416666666666668</v>
      </c>
      <c r="P156" s="25">
        <f t="shared" si="501"/>
        <v>6.0638888888888891</v>
      </c>
      <c r="Q156" s="25">
        <f t="shared" si="501"/>
        <v>7.9444444444444446</v>
      </c>
      <c r="R156" s="25">
        <f t="shared" si="501"/>
        <v>9.1722222222222225</v>
      </c>
      <c r="S156" s="25">
        <f t="shared" si="501"/>
        <v>9.5222222222222221</v>
      </c>
      <c r="T156" s="118">
        <f t="shared" si="450"/>
        <v>0.17740119846830016</v>
      </c>
      <c r="U156" s="128"/>
      <c r="V156" s="25">
        <f t="shared" ref="V156:AE156" si="502">V25/360</f>
        <v>10.664888888888891</v>
      </c>
      <c r="W156" s="25">
        <f t="shared" si="502"/>
        <v>11.944675555555559</v>
      </c>
      <c r="X156" s="25">
        <f t="shared" si="502"/>
        <v>13.378036622222226</v>
      </c>
      <c r="Y156" s="25">
        <f t="shared" si="502"/>
        <v>14.983401016888893</v>
      </c>
      <c r="Z156" s="25">
        <f t="shared" si="502"/>
        <v>16.78140913891556</v>
      </c>
      <c r="AA156" s="25">
        <f t="shared" si="502"/>
        <v>18.795178235585428</v>
      </c>
      <c r="AB156" s="25">
        <f t="shared" si="502"/>
        <v>21.050599623855685</v>
      </c>
      <c r="AC156" s="25">
        <f t="shared" si="502"/>
        <v>23.576671578718368</v>
      </c>
      <c r="AD156" s="25">
        <f t="shared" si="502"/>
        <v>26.405872168164574</v>
      </c>
      <c r="AE156" s="25">
        <f t="shared" si="502"/>
        <v>29.574576828344323</v>
      </c>
      <c r="AF156" s="118">
        <f t="shared" ref="AF156:AF167" si="503">((AE156/V156)^(1/($J$2-$J$1) ))-1</f>
        <v>8.8713271415819861E-2</v>
      </c>
      <c r="AG156" s="20"/>
      <c r="AH156" s="20"/>
    </row>
    <row r="157" spans="2:34">
      <c r="B157" s="20" t="s">
        <v>352</v>
      </c>
      <c r="C157" s="20"/>
      <c r="D157" s="20"/>
      <c r="E157" s="20"/>
      <c r="F157" s="20"/>
      <c r="G157" s="25">
        <f t="shared" ref="G157:H157" si="504">G27/360</f>
        <v>1.2416666666666667</v>
      </c>
      <c r="H157" s="25">
        <f t="shared" si="504"/>
        <v>1.4555555555555555</v>
      </c>
      <c r="I157" s="25">
        <f t="shared" ref="I157:S157" si="505">I27/360</f>
        <v>1.8222222222222222</v>
      </c>
      <c r="J157" s="25">
        <f t="shared" si="505"/>
        <v>2.3722222222222222</v>
      </c>
      <c r="K157" s="25">
        <f t="shared" si="505"/>
        <v>2.7722222222222221</v>
      </c>
      <c r="L157" s="25">
        <f t="shared" si="505"/>
        <v>3.4722222222222223</v>
      </c>
      <c r="M157" s="25">
        <f t="shared" si="505"/>
        <v>3.5249999999999999</v>
      </c>
      <c r="N157" s="25">
        <f t="shared" si="505"/>
        <v>4.3472222222222223</v>
      </c>
      <c r="O157" s="25">
        <f t="shared" si="505"/>
        <v>4.2583333333333337</v>
      </c>
      <c r="P157" s="25">
        <f t="shared" si="505"/>
        <v>5.2</v>
      </c>
      <c r="Q157" s="25">
        <f t="shared" si="505"/>
        <v>6.666666666666667</v>
      </c>
      <c r="R157" s="25">
        <f t="shared" si="505"/>
        <v>7.7055555555555557</v>
      </c>
      <c r="S157" s="25">
        <f t="shared" si="505"/>
        <v>8.0611111111111118</v>
      </c>
      <c r="T157" s="118">
        <f t="shared" si="450"/>
        <v>0.16868954011819914</v>
      </c>
      <c r="U157" s="128"/>
      <c r="V157" s="25">
        <f t="shared" ref="V157:AE157" si="506">V27/360</f>
        <v>9.0284444444444443</v>
      </c>
      <c r="W157" s="25">
        <f t="shared" si="506"/>
        <v>10.11185777777778</v>
      </c>
      <c r="X157" s="25">
        <f t="shared" si="506"/>
        <v>11.325280711111114</v>
      </c>
      <c r="Y157" s="25">
        <f t="shared" si="506"/>
        <v>12.684314396444451</v>
      </c>
      <c r="Z157" s="25">
        <f t="shared" si="506"/>
        <v>14.206432124017786</v>
      </c>
      <c r="AA157" s="25">
        <f t="shared" si="506"/>
        <v>15.91120397889992</v>
      </c>
      <c r="AB157" s="25">
        <f t="shared" si="506"/>
        <v>17.820548456367913</v>
      </c>
      <c r="AC157" s="25">
        <f t="shared" si="506"/>
        <v>19.959014271132062</v>
      </c>
      <c r="AD157" s="25">
        <f t="shared" si="506"/>
        <v>22.354095983667911</v>
      </c>
      <c r="AE157" s="25">
        <f t="shared" si="506"/>
        <v>25.036587501708063</v>
      </c>
      <c r="AF157" s="118">
        <f t="shared" si="503"/>
        <v>8.8713271415819861E-2</v>
      </c>
      <c r="AG157" s="20"/>
      <c r="AH157" s="20"/>
    </row>
    <row r="158" spans="2:34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128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128"/>
      <c r="AG158" s="20"/>
      <c r="AH158" s="20"/>
    </row>
    <row r="159" spans="2:34">
      <c r="B159" s="20" t="s">
        <v>362</v>
      </c>
      <c r="C159" s="20"/>
      <c r="D159" s="20"/>
      <c r="E159" s="20"/>
      <c r="F159" s="20"/>
      <c r="G159" s="25">
        <f t="shared" ref="G159:H159" si="507">G10/G7</f>
        <v>1.1466666666666667</v>
      </c>
      <c r="H159" s="25">
        <f t="shared" si="507"/>
        <v>1.6629213483146068</v>
      </c>
      <c r="I159" s="25">
        <f t="shared" ref="I159:S159" si="508">I10/I7</f>
        <v>1.6992481203007519</v>
      </c>
      <c r="J159" s="25">
        <f t="shared" si="508"/>
        <v>1.5659163987138263</v>
      </c>
      <c r="K159" s="25">
        <f t="shared" si="508"/>
        <v>2.1385041551246537</v>
      </c>
      <c r="L159" s="25">
        <f t="shared" si="508"/>
        <v>1.4218009478672986</v>
      </c>
      <c r="M159" s="25">
        <f t="shared" si="508"/>
        <v>1.1289719626168224</v>
      </c>
      <c r="N159" s="25">
        <f t="shared" si="508"/>
        <v>0.13959981386691483</v>
      </c>
      <c r="O159" s="25">
        <f t="shared" si="508"/>
        <v>1.2203626220362622</v>
      </c>
      <c r="P159" s="25">
        <f t="shared" si="508"/>
        <v>1.0072376357056694</v>
      </c>
      <c r="Q159" s="25">
        <f t="shared" si="508"/>
        <v>1.2607861936720997</v>
      </c>
      <c r="R159" s="25">
        <f t="shared" si="508"/>
        <v>0.96786253776435049</v>
      </c>
      <c r="S159" s="25">
        <f t="shared" si="508"/>
        <v>0.78907019704433501</v>
      </c>
      <c r="T159" s="118">
        <f t="shared" si="450"/>
        <v>-3.0666539620261446E-2</v>
      </c>
      <c r="U159" s="128"/>
      <c r="V159" s="25">
        <f t="shared" ref="V159:AE159" si="509">V10/V7</f>
        <v>0.78907019704433501</v>
      </c>
      <c r="W159" s="25">
        <f t="shared" si="509"/>
        <v>0.78907019704433501</v>
      </c>
      <c r="X159" s="25">
        <f t="shared" si="509"/>
        <v>0.78907019704433501</v>
      </c>
      <c r="Y159" s="25">
        <f t="shared" si="509"/>
        <v>0.78907019704433501</v>
      </c>
      <c r="Z159" s="25">
        <f t="shared" si="509"/>
        <v>0.78907019704433501</v>
      </c>
      <c r="AA159" s="25">
        <f t="shared" si="509"/>
        <v>0.78907019704433501</v>
      </c>
      <c r="AB159" s="25">
        <f t="shared" si="509"/>
        <v>0.78907019704433501</v>
      </c>
      <c r="AC159" s="25">
        <f t="shared" si="509"/>
        <v>0.78907019704433512</v>
      </c>
      <c r="AD159" s="25">
        <f t="shared" si="509"/>
        <v>0.78907019704433512</v>
      </c>
      <c r="AE159" s="25">
        <f t="shared" si="509"/>
        <v>0.78907019704433512</v>
      </c>
      <c r="AF159" s="118">
        <f t="shared" si="503"/>
        <v>0</v>
      </c>
      <c r="AG159" s="20"/>
      <c r="AH159" s="20"/>
    </row>
    <row r="160" spans="2:34">
      <c r="B160" s="20" t="s">
        <v>354</v>
      </c>
      <c r="C160" s="20"/>
      <c r="D160" s="20"/>
      <c r="E160" s="20"/>
      <c r="F160" s="20"/>
      <c r="G160" s="25">
        <f t="shared" ref="G160:H160" si="510">G10/(G10+G7)</f>
        <v>0.53416149068322982</v>
      </c>
      <c r="H160" s="25">
        <f t="shared" si="510"/>
        <v>0.62447257383966248</v>
      </c>
      <c r="I160" s="25">
        <f t="shared" ref="I160:S160" si="511">I10/(I10+I7)</f>
        <v>0.62952646239554322</v>
      </c>
      <c r="J160" s="25">
        <f t="shared" si="511"/>
        <v>0.61027568922305764</v>
      </c>
      <c r="K160" s="25">
        <f t="shared" si="511"/>
        <v>0.68137687555163284</v>
      </c>
      <c r="L160" s="25">
        <f t="shared" si="511"/>
        <v>0.58708414872798431</v>
      </c>
      <c r="M160" s="25">
        <f t="shared" si="511"/>
        <v>0.53028972783143113</v>
      </c>
      <c r="N160" s="25">
        <f t="shared" si="511"/>
        <v>0.12249897917517354</v>
      </c>
      <c r="O160" s="25">
        <f t="shared" si="511"/>
        <v>0.54962311557788945</v>
      </c>
      <c r="P160" s="25">
        <f t="shared" si="511"/>
        <v>0.50180288461538458</v>
      </c>
      <c r="Q160" s="25">
        <f t="shared" si="511"/>
        <v>0.55767599660729428</v>
      </c>
      <c r="R160" s="25">
        <f t="shared" si="511"/>
        <v>0.49183442399585492</v>
      </c>
      <c r="S160" s="25">
        <f t="shared" si="511"/>
        <v>0.44105043969092572</v>
      </c>
      <c r="T160" s="118">
        <f t="shared" si="450"/>
        <v>-1.5834869508338123E-2</v>
      </c>
      <c r="U160" s="128"/>
      <c r="V160" s="25">
        <f t="shared" ref="V160:AE160" si="512">V10/(V10+V7)</f>
        <v>0.44105043969092567</v>
      </c>
      <c r="W160" s="25">
        <f t="shared" si="512"/>
        <v>0.44105043969092567</v>
      </c>
      <c r="X160" s="25">
        <f t="shared" si="512"/>
        <v>0.44105043969092572</v>
      </c>
      <c r="Y160" s="25">
        <f t="shared" si="512"/>
        <v>0.44105043969092567</v>
      </c>
      <c r="Z160" s="25">
        <f t="shared" si="512"/>
        <v>0.44105043969092567</v>
      </c>
      <c r="AA160" s="25">
        <f t="shared" si="512"/>
        <v>0.44105043969092567</v>
      </c>
      <c r="AB160" s="25">
        <f t="shared" si="512"/>
        <v>0.44105043969092572</v>
      </c>
      <c r="AC160" s="25">
        <f t="shared" si="512"/>
        <v>0.44105043969092567</v>
      </c>
      <c r="AD160" s="25">
        <f t="shared" si="512"/>
        <v>0.44105043969092567</v>
      </c>
      <c r="AE160" s="25">
        <f t="shared" si="512"/>
        <v>0.44105043969092572</v>
      </c>
      <c r="AF160" s="118">
        <f t="shared" si="503"/>
        <v>0</v>
      </c>
      <c r="AG160" s="20"/>
      <c r="AH160" s="20"/>
    </row>
    <row r="161" spans="2:34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28"/>
      <c r="U161" s="128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136"/>
      <c r="AG161" s="20"/>
      <c r="AH161" s="20"/>
    </row>
    <row r="162" spans="2:34">
      <c r="B162" s="20" t="s">
        <v>359</v>
      </c>
      <c r="C162" s="20"/>
      <c r="D162" s="20"/>
      <c r="E162" s="20"/>
      <c r="F162" s="20"/>
      <c r="G162" s="25">
        <f t="shared" ref="G162:H162" si="513">G16</f>
        <v>239</v>
      </c>
      <c r="H162" s="25">
        <f t="shared" si="513"/>
        <v>366</v>
      </c>
      <c r="I162" s="25">
        <f t="shared" ref="I162:S162" si="514">I16</f>
        <v>571</v>
      </c>
      <c r="J162" s="25">
        <f t="shared" si="514"/>
        <v>551</v>
      </c>
      <c r="K162" s="25">
        <f t="shared" si="514"/>
        <v>898</v>
      </c>
      <c r="L162" s="25">
        <f t="shared" si="514"/>
        <v>772</v>
      </c>
      <c r="M162" s="25">
        <f t="shared" si="514"/>
        <v>786</v>
      </c>
      <c r="N162" s="25">
        <f t="shared" si="514"/>
        <v>1133</v>
      </c>
      <c r="O162" s="25">
        <f t="shared" si="514"/>
        <v>1160</v>
      </c>
      <c r="P162" s="25">
        <f t="shared" si="514"/>
        <v>1202</v>
      </c>
      <c r="Q162" s="25">
        <f t="shared" si="514"/>
        <v>1777</v>
      </c>
      <c r="R162" s="25">
        <f t="shared" si="514"/>
        <v>1847.21</v>
      </c>
      <c r="S162" s="25">
        <f t="shared" si="514"/>
        <v>1847.21</v>
      </c>
      <c r="T162" s="118">
        <f t="shared" si="450"/>
        <v>0.18579568094871468</v>
      </c>
      <c r="U162" s="128"/>
      <c r="V162" s="25">
        <f t="shared" ref="V162:AE162" si="515">V16</f>
        <v>2068.8752000000004</v>
      </c>
      <c r="W162" s="25">
        <f t="shared" si="515"/>
        <v>2317.1402240000007</v>
      </c>
      <c r="X162" s="25">
        <f t="shared" si="515"/>
        <v>2595.1970508800009</v>
      </c>
      <c r="Y162" s="25">
        <f t="shared" si="515"/>
        <v>2906.6206969856012</v>
      </c>
      <c r="Z162" s="25">
        <f t="shared" si="515"/>
        <v>3255.4151806238738</v>
      </c>
      <c r="AA162" s="25">
        <f t="shared" si="515"/>
        <v>3646.0650022987388</v>
      </c>
      <c r="AB162" s="25">
        <f t="shared" si="515"/>
        <v>4083.5928025745879</v>
      </c>
      <c r="AC162" s="25">
        <f t="shared" si="515"/>
        <v>4573.6239388835393</v>
      </c>
      <c r="AD162" s="25">
        <f t="shared" si="515"/>
        <v>5122.4588115495644</v>
      </c>
      <c r="AE162" s="25">
        <f t="shared" si="515"/>
        <v>5737.1538689355129</v>
      </c>
      <c r="AF162" s="118">
        <f t="shared" si="503"/>
        <v>8.8713271415819861E-2</v>
      </c>
      <c r="AG162" s="20"/>
      <c r="AH162" s="20"/>
    </row>
    <row r="163" spans="2:34">
      <c r="B163" s="20" t="s">
        <v>360</v>
      </c>
      <c r="C163" s="20"/>
      <c r="D163" s="20"/>
      <c r="E163" s="20"/>
      <c r="F163" s="20"/>
      <c r="G163" s="119">
        <f t="shared" ref="G163:H163" si="516">G162*365/G25</f>
        <v>180.61076604554864</v>
      </c>
      <c r="H163" s="119">
        <f t="shared" si="516"/>
        <v>235.19366197183098</v>
      </c>
      <c r="I163" s="119">
        <f t="shared" ref="I163:S163" si="517">I162*365/I25</f>
        <v>278.62967914438502</v>
      </c>
      <c r="J163" s="119">
        <f t="shared" si="517"/>
        <v>206.27179487179487</v>
      </c>
      <c r="K163" s="119">
        <f t="shared" si="517"/>
        <v>284.27580225498701</v>
      </c>
      <c r="L163" s="119">
        <f t="shared" si="517"/>
        <v>193.13228238519534</v>
      </c>
      <c r="M163" s="119">
        <f t="shared" si="517"/>
        <v>192.67293485560779</v>
      </c>
      <c r="N163" s="119">
        <f t="shared" si="517"/>
        <v>228.85722191477586</v>
      </c>
      <c r="O163" s="119">
        <f t="shared" si="517"/>
        <v>242.91451520367184</v>
      </c>
      <c r="P163" s="119">
        <f t="shared" si="517"/>
        <v>200.97572148419607</v>
      </c>
      <c r="Q163" s="119">
        <f t="shared" si="517"/>
        <v>226.78496503496504</v>
      </c>
      <c r="R163" s="119">
        <f t="shared" si="517"/>
        <v>204.18887038158692</v>
      </c>
      <c r="S163" s="119">
        <f t="shared" si="517"/>
        <v>196.68367852975496</v>
      </c>
      <c r="T163" s="118">
        <f t="shared" si="450"/>
        <v>7.1296704057506322E-3</v>
      </c>
      <c r="U163" s="128"/>
      <c r="V163" s="119">
        <f t="shared" ref="V163:AE163" si="518">V162*365/V25</f>
        <v>196.68367852975496</v>
      </c>
      <c r="W163" s="119">
        <f t="shared" si="518"/>
        <v>196.68367852975499</v>
      </c>
      <c r="X163" s="119">
        <f t="shared" si="518"/>
        <v>196.68367852975499</v>
      </c>
      <c r="Y163" s="119">
        <f t="shared" si="518"/>
        <v>196.68367852975499</v>
      </c>
      <c r="Z163" s="119">
        <f t="shared" si="518"/>
        <v>196.68367852975501</v>
      </c>
      <c r="AA163" s="119">
        <f t="shared" si="518"/>
        <v>196.68367852975501</v>
      </c>
      <c r="AB163" s="119">
        <f t="shared" si="518"/>
        <v>196.68367852975501</v>
      </c>
      <c r="AC163" s="119">
        <f t="shared" si="518"/>
        <v>196.68367852975501</v>
      </c>
      <c r="AD163" s="119">
        <f t="shared" si="518"/>
        <v>196.68367852975501</v>
      </c>
      <c r="AE163" s="119">
        <f t="shared" si="518"/>
        <v>196.68367852975504</v>
      </c>
      <c r="AF163" s="118">
        <f t="shared" si="503"/>
        <v>0</v>
      </c>
      <c r="AG163" s="20"/>
      <c r="AH163" s="20"/>
    </row>
    <row r="164" spans="2:34">
      <c r="B164" s="20" t="s">
        <v>363</v>
      </c>
      <c r="C164" s="20"/>
      <c r="D164" s="20"/>
      <c r="E164" s="20"/>
      <c r="F164" s="20"/>
      <c r="G164" s="133">
        <f t="shared" ref="G164:H164" si="519">G98/G29</f>
        <v>1.878339269813001</v>
      </c>
      <c r="H164" s="133">
        <f t="shared" si="519"/>
        <v>1.9299136617572372</v>
      </c>
      <c r="I164" s="133">
        <f t="shared" ref="I164:S164" si="520">I98/I29</f>
        <v>1.2570043919430562</v>
      </c>
      <c r="J164" s="133">
        <f t="shared" si="520"/>
        <v>1.0556450169976741</v>
      </c>
      <c r="K164" s="133">
        <f t="shared" si="520"/>
        <v>0.9749920861031971</v>
      </c>
      <c r="L164" s="133">
        <f t="shared" si="520"/>
        <v>0.86287003849727861</v>
      </c>
      <c r="M164" s="133">
        <f t="shared" si="520"/>
        <v>0.19294431059136943</v>
      </c>
      <c r="N164" s="133">
        <f t="shared" si="520"/>
        <v>0.19367887014945839</v>
      </c>
      <c r="O164" s="133">
        <f t="shared" si="520"/>
        <v>0.13280836810248575</v>
      </c>
      <c r="P164" s="133">
        <f t="shared" si="520"/>
        <v>0.15730445660168688</v>
      </c>
      <c r="Q164" s="133">
        <f t="shared" si="520"/>
        <v>0.24604648041693691</v>
      </c>
      <c r="R164" s="133">
        <f t="shared" si="520"/>
        <v>0.25642443521671271</v>
      </c>
      <c r="S164" s="133">
        <f t="shared" si="520"/>
        <v>0.32706043148344199</v>
      </c>
      <c r="T164" s="118">
        <f t="shared" si="450"/>
        <v>-0.13555407655979568</v>
      </c>
      <c r="U164" s="128"/>
      <c r="V164" s="133">
        <f t="shared" ref="V164:AE164" si="521">V98/V29</f>
        <v>0.32064748184651171</v>
      </c>
      <c r="W164" s="133">
        <f t="shared" si="521"/>
        <v>0.31436027632010949</v>
      </c>
      <c r="X164" s="133">
        <f t="shared" si="521"/>
        <v>0.30819634933344064</v>
      </c>
      <c r="Y164" s="133">
        <f t="shared" si="521"/>
        <v>0.30215328366023586</v>
      </c>
      <c r="Z164" s="133">
        <f t="shared" si="521"/>
        <v>0.29622870947081947</v>
      </c>
      <c r="AA164" s="133">
        <f t="shared" si="521"/>
        <v>0.29042030340276426</v>
      </c>
      <c r="AB164" s="133">
        <f t="shared" si="521"/>
        <v>0.2847257876497688</v>
      </c>
      <c r="AC164" s="133">
        <f t="shared" si="521"/>
        <v>0.27914292906840082</v>
      </c>
      <c r="AD164" s="133">
        <f t="shared" si="521"/>
        <v>0.27366953830235369</v>
      </c>
      <c r="AE164" s="133">
        <f t="shared" si="521"/>
        <v>0.26830346892387613</v>
      </c>
      <c r="AF164" s="118">
        <f t="shared" si="503"/>
        <v>-1.4742223947839528E-2</v>
      </c>
      <c r="AG164" s="20"/>
      <c r="AH164" s="20"/>
    </row>
    <row r="165" spans="2:34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128"/>
      <c r="U165" s="12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136"/>
      <c r="AG165" s="20"/>
      <c r="AH165" s="20"/>
    </row>
    <row r="166" spans="2:34">
      <c r="B166" s="20" t="s">
        <v>370</v>
      </c>
      <c r="C166" s="20"/>
      <c r="D166" s="20"/>
      <c r="E166" s="20"/>
      <c r="F166" s="20"/>
      <c r="G166" s="178">
        <f t="shared" ref="G166:H166" si="522">G25/G14</f>
        <v>2.625</v>
      </c>
      <c r="H166" s="178">
        <f t="shared" si="522"/>
        <v>1.868421052631579</v>
      </c>
      <c r="I166" s="178">
        <f t="shared" ref="I166:S166" si="523">I25/I14</f>
        <v>1.9840848806366047</v>
      </c>
      <c r="J166" s="178">
        <f t="shared" si="523"/>
        <v>1.6781411359724612</v>
      </c>
      <c r="K166" s="178">
        <f t="shared" si="523"/>
        <v>1.3824940047961631</v>
      </c>
      <c r="L166" s="178">
        <f t="shared" si="523"/>
        <v>1.851522842639594</v>
      </c>
      <c r="M166" s="178">
        <f t="shared" si="523"/>
        <v>1.9065300896286812</v>
      </c>
      <c r="N166" s="178">
        <f t="shared" si="523"/>
        <v>1.4958609271523178</v>
      </c>
      <c r="O166" s="178">
        <f t="shared" si="523"/>
        <v>1.4090541632983022</v>
      </c>
      <c r="P166" s="178">
        <f t="shared" si="523"/>
        <v>1.7325396825396826</v>
      </c>
      <c r="Q166" s="178">
        <f t="shared" si="523"/>
        <v>1.6923076923076923</v>
      </c>
      <c r="R166" s="178">
        <f t="shared" si="523"/>
        <v>1.7755838401436814</v>
      </c>
      <c r="S166" s="178">
        <f t="shared" si="523"/>
        <v>1.8433377964907751</v>
      </c>
      <c r="T166" s="118">
        <f t="shared" si="450"/>
        <v>-2.9028904592953708E-2</v>
      </c>
      <c r="U166" s="128"/>
      <c r="V166" s="20">
        <f t="shared" ref="V166:AE166" si="524">V25/V14</f>
        <v>1.8433377964907753</v>
      </c>
      <c r="W166" s="20">
        <f t="shared" si="524"/>
        <v>1.8433377964907753</v>
      </c>
      <c r="X166" s="20">
        <f t="shared" si="524"/>
        <v>1.8433377964907753</v>
      </c>
      <c r="Y166" s="20">
        <f t="shared" si="524"/>
        <v>1.8433377964907753</v>
      </c>
      <c r="Z166" s="20">
        <f t="shared" si="524"/>
        <v>1.8433377964907753</v>
      </c>
      <c r="AA166" s="20">
        <f t="shared" si="524"/>
        <v>1.8433377964907753</v>
      </c>
      <c r="AB166" s="20">
        <f t="shared" si="524"/>
        <v>1.8433377964907753</v>
      </c>
      <c r="AC166" s="20">
        <f t="shared" si="524"/>
        <v>1.8433377964907753</v>
      </c>
      <c r="AD166" s="20">
        <f t="shared" si="524"/>
        <v>1.8433377964907753</v>
      </c>
      <c r="AE166" s="20">
        <f t="shared" si="524"/>
        <v>1.8433377964907751</v>
      </c>
      <c r="AF166" s="118">
        <f t="shared" si="503"/>
        <v>0</v>
      </c>
      <c r="AG166" s="20"/>
      <c r="AH166" s="20"/>
    </row>
    <row r="167" spans="2:34">
      <c r="B167" s="20" t="s">
        <v>371</v>
      </c>
      <c r="C167" s="20"/>
      <c r="D167" s="20"/>
      <c r="E167" s="20"/>
      <c r="F167" s="20"/>
      <c r="G167" s="178">
        <f t="shared" ref="G167:H167" si="525">G27/G14</f>
        <v>2.4293478260869565</v>
      </c>
      <c r="H167" s="178">
        <f t="shared" si="525"/>
        <v>1.7236842105263157</v>
      </c>
      <c r="I167" s="178">
        <f t="shared" ref="I167:S167" si="526">I27/I14</f>
        <v>1.7400530503978779</v>
      </c>
      <c r="J167" s="178">
        <f t="shared" si="526"/>
        <v>1.4698795180722892</v>
      </c>
      <c r="K167" s="178">
        <f t="shared" si="526"/>
        <v>1.1966426858513191</v>
      </c>
      <c r="L167" s="178">
        <f t="shared" si="526"/>
        <v>1.5862944162436547</v>
      </c>
      <c r="M167" s="178">
        <f t="shared" si="526"/>
        <v>1.6248399487836107</v>
      </c>
      <c r="N167" s="178">
        <f t="shared" si="526"/>
        <v>1.2955298013245033</v>
      </c>
      <c r="O167" s="178">
        <f t="shared" si="526"/>
        <v>1.2392886014551334</v>
      </c>
      <c r="P167" s="178">
        <f t="shared" si="526"/>
        <v>1.4857142857142858</v>
      </c>
      <c r="Q167" s="178">
        <f t="shared" si="526"/>
        <v>1.4201183431952662</v>
      </c>
      <c r="R167" s="178">
        <f t="shared" si="526"/>
        <v>1.4916624992606216</v>
      </c>
      <c r="S167" s="178">
        <f t="shared" si="526"/>
        <v>1.5604919152322723</v>
      </c>
      <c r="T167" s="118">
        <f t="shared" si="450"/>
        <v>-3.6213174884179522E-2</v>
      </c>
      <c r="U167" s="128"/>
      <c r="V167" s="20">
        <f t="shared" ref="V167:AE167" si="527">V27/V14</f>
        <v>1.5604919152322723</v>
      </c>
      <c r="W167" s="20">
        <f t="shared" si="527"/>
        <v>1.5604919152322725</v>
      </c>
      <c r="X167" s="20">
        <f t="shared" si="527"/>
        <v>1.5604919152322727</v>
      </c>
      <c r="Y167" s="20">
        <f t="shared" si="527"/>
        <v>1.5604919152322727</v>
      </c>
      <c r="Z167" s="20">
        <f t="shared" si="527"/>
        <v>1.5604919152322727</v>
      </c>
      <c r="AA167" s="20">
        <f t="shared" si="527"/>
        <v>1.5604919152322727</v>
      </c>
      <c r="AB167" s="20">
        <f t="shared" si="527"/>
        <v>1.5604919152322725</v>
      </c>
      <c r="AC167" s="20">
        <f t="shared" si="527"/>
        <v>1.5604919152322725</v>
      </c>
      <c r="AD167" s="20">
        <f t="shared" si="527"/>
        <v>1.5604919152322725</v>
      </c>
      <c r="AE167" s="20">
        <f t="shared" si="527"/>
        <v>1.5604919152322725</v>
      </c>
      <c r="AF167" s="118">
        <f t="shared" si="503"/>
        <v>0</v>
      </c>
      <c r="AG167" s="20"/>
      <c r="AH167" s="20"/>
    </row>
    <row r="168" spans="2:34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128"/>
      <c r="U168" s="128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36"/>
      <c r="AG168" s="20"/>
      <c r="AH168" s="20"/>
    </row>
    <row r="169" spans="2:34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3" t="s">
        <v>469</v>
      </c>
      <c r="T169" s="23"/>
      <c r="U169" s="23" t="s">
        <v>470</v>
      </c>
      <c r="V169" s="122" t="s">
        <v>66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136"/>
      <c r="AG169" s="20"/>
      <c r="AH169" s="20"/>
    </row>
    <row r="170" spans="2:34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5"/>
      <c r="S170" s="133">
        <f>AVERAGE(O102:S102)</f>
        <v>9.4882535366838017</v>
      </c>
      <c r="T170" s="158">
        <f>AVERAGE(I72:S72)</f>
        <v>12.895216630798393</v>
      </c>
      <c r="U170" s="158">
        <f>AVERAGE(I102:S102)</f>
        <v>6.0353224242939181</v>
      </c>
      <c r="V170" s="192" t="s">
        <v>425</v>
      </c>
      <c r="W170" s="193" t="s">
        <v>426</v>
      </c>
      <c r="X170" s="20"/>
      <c r="Y170" s="20"/>
      <c r="Z170" s="20"/>
      <c r="AA170" s="20"/>
      <c r="AB170" s="20"/>
      <c r="AC170" s="20"/>
      <c r="AD170" s="20"/>
      <c r="AE170" s="20"/>
      <c r="AF170" s="136"/>
      <c r="AG170" s="20"/>
      <c r="AH170" s="20"/>
    </row>
    <row r="171" spans="2:34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139">
        <f>V171+W171</f>
        <v>43.721276602267679</v>
      </c>
      <c r="V171" s="133">
        <f>PV($C$1, ($AE$3-$V$3), 0, -AE72)</f>
        <v>6.0923090347422182</v>
      </c>
      <c r="W171" s="133">
        <f>PV($C$1, ($AE$3-$V$3), 0, -AH72)</f>
        <v>37.628967567525464</v>
      </c>
      <c r="X171" s="20"/>
      <c r="Y171" s="20"/>
      <c r="Z171" s="20"/>
      <c r="AA171" s="20"/>
      <c r="AB171" s="20"/>
      <c r="AC171" s="20"/>
      <c r="AD171" s="20"/>
      <c r="AE171" s="20"/>
      <c r="AF171" s="136"/>
      <c r="AG171" s="20"/>
      <c r="AH171" s="20"/>
    </row>
    <row r="172" spans="2:34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139">
        <f t="shared" ref="U172:U190" si="528">V172+W172</f>
        <v>210.6924427361505</v>
      </c>
      <c r="V172" s="133">
        <f>PV($C$1, ($AE$3-$V$3), 0, -AE74)</f>
        <v>29.358783004217685</v>
      </c>
      <c r="W172" s="133">
        <f>PV($C$1, ($AE$3-$V$3), 0, -AH74)</f>
        <v>181.33365973193281</v>
      </c>
      <c r="X172" s="20"/>
      <c r="Y172" s="20"/>
      <c r="Z172" s="20"/>
      <c r="AA172" s="20"/>
      <c r="AB172" s="20"/>
      <c r="AC172" s="20"/>
      <c r="AD172" s="20"/>
      <c r="AE172" s="20"/>
      <c r="AF172" s="136"/>
      <c r="AG172" s="20"/>
      <c r="AH172" s="20"/>
    </row>
    <row r="173" spans="2:34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139">
        <f t="shared" si="528"/>
        <v>207.57876131640444</v>
      </c>
      <c r="V173" s="133">
        <f>PV($C$1, ($AE$3-$V$3), 0, -AE75)</f>
        <v>28.924909363761266</v>
      </c>
      <c r="W173" s="133">
        <f>PV($C$1, ($AE$3-$V$3), 0, -AH75)</f>
        <v>178.65385195264318</v>
      </c>
      <c r="X173" s="20"/>
      <c r="Y173" s="20"/>
      <c r="Z173" s="20"/>
      <c r="AA173" s="20"/>
      <c r="AB173" s="20"/>
      <c r="AC173" s="20"/>
      <c r="AD173" s="20"/>
      <c r="AE173" s="20"/>
      <c r="AF173" s="136"/>
      <c r="AG173" s="20"/>
      <c r="AH173" s="20"/>
    </row>
    <row r="174" spans="2:34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139">
        <f t="shared" si="528"/>
        <v>166.25112730556657</v>
      </c>
      <c r="V174" s="133">
        <f>PV($C$1, ($AE$3-$V$3), 0, -AE76)</f>
        <v>23.166140690119924</v>
      </c>
      <c r="W174" s="133">
        <f>PV($C$1, ($AE$3-$V$3), 0, -AH76)</f>
        <v>143.08498661544664</v>
      </c>
      <c r="X174" s="20"/>
      <c r="Y174" s="20"/>
      <c r="Z174" s="20"/>
      <c r="AA174" s="20"/>
      <c r="AB174" s="20"/>
      <c r="AC174" s="20"/>
      <c r="AD174" s="20"/>
      <c r="AE174" s="20"/>
      <c r="AF174" s="136"/>
      <c r="AG174" s="20"/>
      <c r="AH174" s="20"/>
    </row>
    <row r="175" spans="2:34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139">
        <f t="shared" si="528"/>
        <v>3.1577919065258033</v>
      </c>
      <c r="V175" s="133">
        <f>PV($C$1, ($AE$3-$V$3), 0, -AE82)</f>
        <v>0.44002018369621843</v>
      </c>
      <c r="W175" s="133">
        <f>PV($C$1, ($AE$3-$V$3), 0, -AH82)</f>
        <v>2.717771722829585</v>
      </c>
      <c r="X175" s="20"/>
      <c r="Y175" s="20"/>
      <c r="Z175" s="20"/>
      <c r="AA175" s="20"/>
      <c r="AB175" s="20"/>
      <c r="AC175" s="20"/>
      <c r="AD175" s="20"/>
      <c r="AE175" s="20"/>
      <c r="AF175" s="136"/>
      <c r="AG175" s="20"/>
      <c r="AH175" s="20"/>
    </row>
    <row r="176" spans="2:34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139"/>
      <c r="V176" s="133"/>
      <c r="W176" s="20"/>
      <c r="X176" s="20"/>
      <c r="Y176" s="20"/>
      <c r="Z176" s="20"/>
      <c r="AA176" s="20"/>
      <c r="AB176" s="20"/>
      <c r="AC176" s="20"/>
      <c r="AD176" s="20"/>
      <c r="AE176" s="20"/>
      <c r="AF176" s="136"/>
      <c r="AG176" s="20"/>
      <c r="AH176" s="20"/>
    </row>
    <row r="177" spans="2:34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139">
        <f t="shared" si="528"/>
        <v>44.441315430583927</v>
      </c>
      <c r="V177" s="133">
        <f>PV($C$1, ($AE$3-$V$3), 0, -AE78)</f>
        <v>6.1926423140977596</v>
      </c>
      <c r="W177" s="133">
        <f>PV($C$1, ($AE$3-$V$3), 0, -$AH$78)</f>
        <v>38.248673116486167</v>
      </c>
      <c r="X177" s="20"/>
      <c r="Y177" s="20"/>
      <c r="Z177" s="20"/>
      <c r="AA177" s="20"/>
      <c r="AB177" s="20"/>
      <c r="AC177" s="20"/>
      <c r="AD177" s="20"/>
      <c r="AE177" s="20"/>
      <c r="AF177" s="136"/>
      <c r="AG177" s="20"/>
      <c r="AH177" s="20"/>
    </row>
    <row r="178" spans="2:34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139">
        <f t="shared" si="528"/>
        <v>-8.8532341701446988</v>
      </c>
      <c r="V178" s="133">
        <f>PV($C$1, ($AE$3-$V$3), 0, -AE79)</f>
        <v>-1.2336473843644251</v>
      </c>
      <c r="W178" s="133">
        <f>PV($C$1, ($AE$3-$V$3), 0, -$AH$79)</f>
        <v>-7.6195867857802746</v>
      </c>
      <c r="X178" s="20"/>
      <c r="Y178" s="20"/>
      <c r="Z178" s="20"/>
      <c r="AA178" s="20"/>
      <c r="AB178" s="20"/>
      <c r="AC178" s="20"/>
      <c r="AD178" s="20"/>
      <c r="AE178" s="20"/>
      <c r="AF178" s="136"/>
      <c r="AG178" s="20"/>
      <c r="AH178" s="20"/>
    </row>
    <row r="179" spans="2:34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139">
        <f t="shared" si="528"/>
        <v>279.6799466923992</v>
      </c>
      <c r="V179" s="133">
        <f>PV($C$1, ($AE$3-$V$3), 0, -AE80)</f>
        <v>38.971795850580214</v>
      </c>
      <c r="W179" s="133">
        <f>PV($C$1, ($AE$3-$V$3), 0, -$AH$80)</f>
        <v>240.70815084181899</v>
      </c>
      <c r="X179" s="20"/>
      <c r="Y179" s="20"/>
      <c r="Z179" s="20"/>
      <c r="AA179" s="20"/>
      <c r="AB179" s="20"/>
      <c r="AC179" s="20"/>
      <c r="AD179" s="20"/>
      <c r="AE179" s="20"/>
      <c r="AF179" s="136"/>
      <c r="AG179" s="20"/>
      <c r="AH179" s="20"/>
    </row>
    <row r="180" spans="2:34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139"/>
      <c r="V180" s="133"/>
      <c r="W180" s="20"/>
      <c r="X180" s="20"/>
      <c r="Y180" s="20"/>
      <c r="Z180" s="20"/>
      <c r="AA180" s="20"/>
      <c r="AB180" s="20"/>
      <c r="AC180" s="20"/>
      <c r="AD180" s="20"/>
      <c r="AE180" s="20"/>
      <c r="AF180" s="136"/>
      <c r="AG180" s="20"/>
      <c r="AH180" s="20"/>
    </row>
    <row r="181" spans="2:34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139">
        <f t="shared" si="528"/>
        <v>288.53318086254382</v>
      </c>
      <c r="V181" s="133">
        <f>PV($C$1, ($AE$3-$V$3), 0, -AE85)</f>
        <v>40.205443234944632</v>
      </c>
      <c r="W181" s="133">
        <f>PV($C$1, ($AE$3-$V$3), 0, -AH85)</f>
        <v>248.32773762759919</v>
      </c>
      <c r="X181" s="20"/>
      <c r="Y181" s="20"/>
      <c r="Z181" s="20"/>
      <c r="AA181" s="20"/>
      <c r="AB181" s="20"/>
      <c r="AC181" s="20"/>
      <c r="AD181" s="20"/>
      <c r="AE181" s="20"/>
      <c r="AF181" s="136"/>
      <c r="AG181" s="20"/>
      <c r="AH181" s="20"/>
    </row>
    <row r="182" spans="2:34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139">
        <f t="shared" si="528"/>
        <v>185.18484610090005</v>
      </c>
      <c r="V182" s="133">
        <f>PV($C$1, ($AE$3-$V$3), 0, -AE86)</f>
        <v>33.39398864114591</v>
      </c>
      <c r="W182" s="133">
        <f>PV($C$1, ($AE$3-$V$3), 0, -AH86)</f>
        <v>151.79085745975414</v>
      </c>
      <c r="X182" s="20"/>
      <c r="Y182" s="20"/>
      <c r="Z182" s="20"/>
      <c r="AA182" s="20"/>
      <c r="AB182" s="20"/>
      <c r="AC182" s="20"/>
      <c r="AD182" s="20"/>
      <c r="AE182" s="20"/>
      <c r="AF182" s="136"/>
      <c r="AG182" s="20"/>
      <c r="AH182" s="20"/>
    </row>
    <row r="183" spans="2:34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139"/>
      <c r="V183" s="133"/>
      <c r="W183" s="133"/>
      <c r="X183" s="20"/>
      <c r="Y183" s="20"/>
      <c r="Z183" s="20"/>
      <c r="AA183" s="20"/>
      <c r="AB183" s="20"/>
      <c r="AC183" s="20"/>
      <c r="AD183" s="20"/>
      <c r="AE183" s="20"/>
      <c r="AF183" s="136"/>
      <c r="AG183" s="20"/>
      <c r="AH183" s="20"/>
    </row>
    <row r="184" spans="2:34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39">
        <f t="shared" ref="U184" si="529">V184+W184</f>
        <v>90.60939566647852</v>
      </c>
      <c r="V184" s="133">
        <f>PV($C$1, ($AE$3-$V$3), 0, -AE12)</f>
        <v>12.625899396148643</v>
      </c>
      <c r="W184" s="133">
        <f>PV($C$1, ($AE$3-$V$3), 0, -AH12)</f>
        <v>77.98349627032988</v>
      </c>
      <c r="X184" s="20"/>
      <c r="Y184" s="20"/>
      <c r="Z184" s="20"/>
      <c r="AA184" s="20"/>
      <c r="AB184" s="20"/>
      <c r="AC184" s="20"/>
      <c r="AD184" s="20"/>
      <c r="AE184" s="20"/>
      <c r="AF184" s="136"/>
      <c r="AG184" s="20"/>
      <c r="AH184" s="20"/>
    </row>
    <row r="185" spans="2:34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139">
        <f>V185+W185</f>
        <v>3.8493307135595614</v>
      </c>
      <c r="V185" s="139">
        <f>V184/R57</f>
        <v>0.53638214861075839</v>
      </c>
      <c r="W185" s="139">
        <f>W184/R57</f>
        <v>3.3129485649488029</v>
      </c>
      <c r="X185" s="20"/>
      <c r="Y185" s="20"/>
      <c r="Z185" s="20"/>
      <c r="AA185" s="20"/>
      <c r="AB185" s="20"/>
      <c r="AC185" s="20"/>
      <c r="AD185" s="20"/>
      <c r="AE185" s="20"/>
      <c r="AF185" s="136"/>
      <c r="AG185" s="20"/>
      <c r="AH185" s="20"/>
    </row>
    <row r="186" spans="2:34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139"/>
      <c r="V186" s="139"/>
      <c r="W186" s="139"/>
      <c r="X186" s="20"/>
      <c r="Y186" s="20"/>
      <c r="Z186" s="20"/>
      <c r="AA186" s="20"/>
      <c r="AB186" s="20"/>
      <c r="AC186" s="20"/>
      <c r="AD186" s="20"/>
      <c r="AE186" s="20"/>
      <c r="AF186" s="136"/>
      <c r="AG186" s="20"/>
      <c r="AH186" s="20"/>
    </row>
    <row r="187" spans="2:34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139"/>
      <c r="V187" s="133"/>
      <c r="W187" s="133"/>
      <c r="X187" s="20"/>
      <c r="Y187" s="20"/>
      <c r="Z187" s="20"/>
      <c r="AA187" s="20"/>
      <c r="AB187" s="20"/>
      <c r="AC187" s="20"/>
      <c r="AD187" s="20"/>
      <c r="AE187" s="20"/>
      <c r="AF187" s="136"/>
      <c r="AG187" s="20"/>
      <c r="AH187" s="20"/>
    </row>
    <row r="188" spans="2:34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139">
        <f t="shared" ref="U188" si="530">V188+W188</f>
        <v>18.005701379355877</v>
      </c>
      <c r="V188" s="133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14.81307209218226</v>
      </c>
      <c r="W188" s="133">
        <f>PV($C$1, ($AE$3-$V$3), 0, -AH88)</f>
        <v>3.1926292871736157</v>
      </c>
      <c r="X188" s="20"/>
      <c r="Y188" s="20"/>
      <c r="Z188" s="20"/>
      <c r="AA188" s="20"/>
      <c r="AB188" s="20"/>
      <c r="AC188" s="20"/>
      <c r="AD188" s="20"/>
      <c r="AE188" s="20"/>
      <c r="AF188" s="136"/>
      <c r="AG188" s="20"/>
      <c r="AH188" s="20"/>
    </row>
    <row r="189" spans="2:34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139"/>
      <c r="V189" s="133"/>
      <c r="W189" s="133"/>
      <c r="X189" s="20"/>
      <c r="Y189" s="20"/>
      <c r="Z189" s="20"/>
      <c r="AA189" s="20"/>
      <c r="AB189" s="20"/>
      <c r="AC189" s="20"/>
      <c r="AD189" s="20"/>
      <c r="AE189" s="20"/>
      <c r="AF189" s="136"/>
      <c r="AG189" s="20"/>
      <c r="AH189" s="20"/>
    </row>
    <row r="190" spans="2:34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139">
        <f t="shared" si="528"/>
        <v>0</v>
      </c>
      <c r="V190" s="133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0</v>
      </c>
      <c r="W190" s="133">
        <f>PV($C$1, ($AE$3-$V$3), 0, -AH90)</f>
        <v>0</v>
      </c>
      <c r="X190" s="20"/>
      <c r="Y190" s="20"/>
      <c r="Z190" s="20"/>
      <c r="AA190" s="20"/>
      <c r="AB190" s="20"/>
      <c r="AC190" s="20"/>
      <c r="AD190" s="20"/>
      <c r="AE190" s="20"/>
      <c r="AF190" s="136"/>
      <c r="AG190" s="20"/>
      <c r="AH190" s="20"/>
    </row>
    <row r="191" spans="2:34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139"/>
      <c r="V191" s="133"/>
      <c r="W191" s="133"/>
      <c r="X191" s="20"/>
      <c r="Y191" s="20"/>
      <c r="Z191" s="20"/>
      <c r="AA191" s="20"/>
      <c r="AB191" s="20"/>
      <c r="AC191" s="20"/>
      <c r="AD191" s="20"/>
      <c r="AE191" s="20"/>
      <c r="AF191" s="136"/>
      <c r="AG191" s="20"/>
      <c r="AH191" s="20"/>
    </row>
    <row r="192" spans="2:34">
      <c r="B192" s="20" t="s">
        <v>457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139">
        <f t="shared" ref="U192:U195" si="531">V192+W192</f>
        <v>0</v>
      </c>
      <c r="V192" s="133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0</v>
      </c>
      <c r="W192" s="133">
        <f>PV($C$1, ($AE$3-$V$3), 0, -AH92)</f>
        <v>0</v>
      </c>
      <c r="X192" s="20"/>
      <c r="Y192" s="20"/>
      <c r="Z192" s="20"/>
      <c r="AA192" s="20"/>
      <c r="AB192" s="20"/>
      <c r="AC192" s="20"/>
      <c r="AD192" s="20"/>
      <c r="AE192" s="20"/>
      <c r="AF192" s="136"/>
      <c r="AG192" s="20"/>
      <c r="AH192" s="20"/>
    </row>
    <row r="193" spans="2:34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139">
        <f t="shared" si="531"/>
        <v>0</v>
      </c>
      <c r="V193" s="133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0</v>
      </c>
      <c r="W193" s="133">
        <f>PV($C$1, ($AE$3-$V$3), 0, -AH93)</f>
        <v>0</v>
      </c>
      <c r="X193" s="20"/>
      <c r="Y193" s="20"/>
      <c r="Z193" s="20"/>
      <c r="AA193" s="20"/>
      <c r="AB193" s="20"/>
      <c r="AC193" s="20"/>
      <c r="AD193" s="20"/>
      <c r="AE193" s="20"/>
      <c r="AF193" s="136"/>
      <c r="AG193" s="20"/>
      <c r="AH193" s="20"/>
    </row>
    <row r="194" spans="2:34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139">
        <f t="shared" si="531"/>
        <v>0</v>
      </c>
      <c r="V194" s="133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0</v>
      </c>
      <c r="W194" s="133">
        <f>PV($C$1, ($AE$3-$V$3), 0, -AH94)</f>
        <v>0</v>
      </c>
      <c r="X194" s="20"/>
      <c r="Y194" s="20"/>
      <c r="Z194" s="20"/>
      <c r="AA194" s="20"/>
      <c r="AB194" s="20"/>
      <c r="AC194" s="20"/>
      <c r="AD194" s="20"/>
      <c r="AE194" s="20"/>
      <c r="AF194" s="136"/>
      <c r="AG194" s="20"/>
      <c r="AH194" s="20"/>
    </row>
    <row r="195" spans="2:34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139">
        <f t="shared" si="531"/>
        <v>0</v>
      </c>
      <c r="V195" s="133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0</v>
      </c>
      <c r="W195" s="133">
        <f>PV($C$1, ($AE$3-$V$3), 0, -AH95)</f>
        <v>0</v>
      </c>
      <c r="X195" s="20"/>
      <c r="Y195" s="20"/>
      <c r="Z195" s="20"/>
      <c r="AA195" s="20"/>
      <c r="AB195" s="20"/>
      <c r="AC195" s="20"/>
      <c r="AD195" s="20"/>
      <c r="AE195" s="20"/>
      <c r="AF195" s="136"/>
      <c r="AG195" s="20"/>
      <c r="AH195" s="20"/>
    </row>
    <row r="196" spans="2:34">
      <c r="B196" s="20" t="s">
        <v>455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110">
        <f>U193+U194+U195</f>
        <v>0</v>
      </c>
      <c r="V196" s="110">
        <f t="shared" ref="V196:W196" si="532">V193+V194+V195</f>
        <v>0</v>
      </c>
      <c r="W196" s="110">
        <f t="shared" si="532"/>
        <v>0</v>
      </c>
      <c r="X196" s="20"/>
      <c r="Y196" s="20"/>
      <c r="Z196" s="20"/>
      <c r="AA196" s="20"/>
      <c r="AB196" s="20"/>
      <c r="AC196" s="20"/>
      <c r="AD196" s="20"/>
      <c r="AE196" s="20"/>
      <c r="AF196" s="136"/>
      <c r="AG196" s="20"/>
      <c r="AH196" s="20"/>
    </row>
    <row r="197" spans="2:34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39"/>
      <c r="V197" s="133"/>
      <c r="W197" s="133"/>
      <c r="X197" s="20"/>
      <c r="Y197" s="20"/>
      <c r="Z197" s="20"/>
      <c r="AA197" s="20"/>
      <c r="AB197" s="20"/>
      <c r="AC197" s="20"/>
      <c r="AD197" s="20"/>
      <c r="AE197" s="20"/>
      <c r="AF197" s="136"/>
      <c r="AG197" s="20"/>
      <c r="AH197" s="20"/>
    </row>
    <row r="198" spans="2:34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139">
        <f>V198+W198</f>
        <v>0</v>
      </c>
      <c r="V198" s="133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0</v>
      </c>
      <c r="W198" s="133">
        <f>PV($C$1, ($AE$3-$V$3), 0, -AH96)</f>
        <v>0</v>
      </c>
      <c r="X198" s="20"/>
      <c r="Y198" s="20"/>
      <c r="Z198" s="20"/>
      <c r="AA198" s="20"/>
      <c r="AB198" s="20"/>
      <c r="AC198" s="20"/>
      <c r="AD198" s="20"/>
      <c r="AE198" s="20"/>
      <c r="AF198" s="136"/>
      <c r="AG198" s="20"/>
      <c r="AH198" s="20"/>
    </row>
    <row r="199" spans="2:34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81">
        <v>41729</v>
      </c>
      <c r="R199" s="20">
        <v>205</v>
      </c>
      <c r="S199" s="20"/>
      <c r="T199" s="20"/>
      <c r="U199" s="20"/>
      <c r="V199" s="121"/>
      <c r="W199" s="20"/>
      <c r="X199" s="20"/>
      <c r="Y199" s="20"/>
      <c r="Z199" s="20"/>
      <c r="AA199" s="20"/>
      <c r="AB199" s="20"/>
      <c r="AC199" s="20"/>
      <c r="AD199" s="20"/>
      <c r="AE199" s="20"/>
      <c r="AF199" s="136"/>
      <c r="AG199" s="20"/>
      <c r="AH199" s="20"/>
    </row>
    <row r="200" spans="2:34">
      <c r="B200" s="108" t="s">
        <v>251</v>
      </c>
      <c r="C200" s="20"/>
      <c r="D200" s="20"/>
      <c r="E200" s="20"/>
      <c r="F200" s="199" t="s">
        <v>468</v>
      </c>
      <c r="G200" s="194">
        <v>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194">
        <v>0</v>
      </c>
      <c r="Q200" s="23" t="s">
        <v>386</v>
      </c>
      <c r="R200" s="20">
        <v>275</v>
      </c>
      <c r="S200" s="20"/>
      <c r="T200" s="20">
        <v>90</v>
      </c>
      <c r="U200" s="23" t="s">
        <v>387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136"/>
      <c r="AG200" s="20"/>
      <c r="AH200" s="20"/>
    </row>
    <row r="201" spans="2:34">
      <c r="B201" s="20" t="s">
        <v>204</v>
      </c>
      <c r="C201" s="22">
        <v>0</v>
      </c>
      <c r="D201" s="22">
        <v>0</v>
      </c>
      <c r="E201" s="22">
        <v>0</v>
      </c>
      <c r="F201" s="22">
        <v>0</v>
      </c>
      <c r="G201" s="22">
        <v>48</v>
      </c>
      <c r="H201" s="22">
        <v>125</v>
      </c>
      <c r="I201" s="22">
        <v>170</v>
      </c>
      <c r="J201" s="22">
        <v>105</v>
      </c>
      <c r="K201" s="22">
        <v>115</v>
      </c>
      <c r="L201" s="22">
        <v>48</v>
      </c>
      <c r="M201" s="22">
        <v>24</v>
      </c>
      <c r="N201" s="22">
        <v>27</v>
      </c>
      <c r="O201" s="22">
        <v>17.5</v>
      </c>
      <c r="P201" s="22">
        <v>22</v>
      </c>
      <c r="Q201" s="22">
        <v>45</v>
      </c>
      <c r="R201" s="22">
        <v>172</v>
      </c>
      <c r="S201" s="22">
        <v>90</v>
      </c>
      <c r="T201" s="118">
        <f t="shared" ref="T201:T227" si="533">((S201/G201)^(1/($J$2-$J$1) ))-1</f>
        <v>5.3780374378913143E-2</v>
      </c>
      <c r="U201" s="31">
        <v>0</v>
      </c>
      <c r="V201" s="195">
        <v>50</v>
      </c>
      <c r="W201" s="119">
        <f t="shared" ref="W201:AE201" si="534">V201*(1+$U201)</f>
        <v>50</v>
      </c>
      <c r="X201" s="119">
        <f t="shared" si="534"/>
        <v>50</v>
      </c>
      <c r="Y201" s="119">
        <f t="shared" si="534"/>
        <v>50</v>
      </c>
      <c r="Z201" s="119">
        <f t="shared" si="534"/>
        <v>50</v>
      </c>
      <c r="AA201" s="119">
        <f t="shared" si="534"/>
        <v>50</v>
      </c>
      <c r="AB201" s="119">
        <f t="shared" si="534"/>
        <v>50</v>
      </c>
      <c r="AC201" s="119">
        <f t="shared" si="534"/>
        <v>50</v>
      </c>
      <c r="AD201" s="119">
        <f t="shared" si="534"/>
        <v>50</v>
      </c>
      <c r="AE201" s="119">
        <f t="shared" si="534"/>
        <v>50</v>
      </c>
      <c r="AF201" s="137">
        <f t="shared" ref="AF201:AF208" si="535">((AE201/I201)^(1/($AE$3-$J$1) ))-1</f>
        <v>-5.6609540010167381E-2</v>
      </c>
      <c r="AG201" s="31">
        <f t="shared" ref="AG201:AG208" si="536">$N$1</f>
        <v>0.05</v>
      </c>
      <c r="AH201" s="127">
        <f t="shared" ref="AH201:AH212" si="537">(AE201*(1+AF201))/($C$1-AG201)</f>
        <v>277.46778234995082</v>
      </c>
    </row>
    <row r="202" spans="2:34">
      <c r="B202" s="20" t="s">
        <v>357</v>
      </c>
      <c r="C202" s="25"/>
      <c r="D202" s="25"/>
      <c r="E202" s="25"/>
      <c r="F202" s="25"/>
      <c r="G202" s="25">
        <f t="shared" ref="G202:H202" si="538">G201/G66</f>
        <v>0.17856397515527953</v>
      </c>
      <c r="H202" s="25">
        <f t="shared" si="538"/>
        <v>0.39392605633802819</v>
      </c>
      <c r="I202" s="25">
        <f t="shared" ref="I202:S202" si="539">I201/I66</f>
        <v>0.48409090909090902</v>
      </c>
      <c r="J202" s="25">
        <f t="shared" si="539"/>
        <v>0.26169230769230772</v>
      </c>
      <c r="K202" s="25">
        <f t="shared" si="539"/>
        <v>0.24236773633998268</v>
      </c>
      <c r="L202" s="25">
        <f t="shared" si="539"/>
        <v>7.9945167923235111E-2</v>
      </c>
      <c r="M202" s="25">
        <f t="shared" si="539"/>
        <v>0.39183344526527869</v>
      </c>
      <c r="N202" s="25">
        <f t="shared" si="539"/>
        <v>0.36323741007194243</v>
      </c>
      <c r="O202" s="25">
        <f t="shared" si="539"/>
        <v>0.24407630522088353</v>
      </c>
      <c r="P202" s="25">
        <f t="shared" si="539"/>
        <v>0.24378378378378382</v>
      </c>
      <c r="Q202" s="25">
        <f t="shared" si="539"/>
        <v>0.37022727272727274</v>
      </c>
      <c r="R202" s="25">
        <f t="shared" si="539"/>
        <v>1.2261380981223502</v>
      </c>
      <c r="S202" s="25">
        <f t="shared" si="539"/>
        <v>0.61800175029171533</v>
      </c>
      <c r="T202" s="118">
        <f t="shared" si="533"/>
        <v>0.10900368262384563</v>
      </c>
      <c r="U202" s="128"/>
      <c r="V202" s="25">
        <f t="shared" ref="V202:AE202" si="540">V201/V66</f>
        <v>0.31267945699283212</v>
      </c>
      <c r="W202" s="25">
        <f t="shared" si="540"/>
        <v>0.2847616483327578</v>
      </c>
      <c r="X202" s="25">
        <f t="shared" si="540"/>
        <v>0.25933650116019019</v>
      </c>
      <c r="Y202" s="25">
        <f t="shared" si="540"/>
        <v>0.23618145641374463</v>
      </c>
      <c r="Z202" s="25">
        <f t="shared" si="540"/>
        <v>0.21509382637680313</v>
      </c>
      <c r="AA202" s="25">
        <f t="shared" si="540"/>
        <v>0.19588902045030285</v>
      </c>
      <c r="AB202" s="25">
        <f t="shared" si="540"/>
        <v>0.17839892933866863</v>
      </c>
      <c r="AC202" s="25">
        <f t="shared" si="540"/>
        <v>0.16247045350485892</v>
      </c>
      <c r="AD202" s="25">
        <f t="shared" si="540"/>
        <v>0.14796416301335366</v>
      </c>
      <c r="AE202" s="25">
        <f t="shared" si="540"/>
        <v>0.13475307703001851</v>
      </c>
      <c r="AF202" s="137">
        <f t="shared" ref="AF202" si="541">((AE202/I202)^(1/($AE$3-$J$1) ))-1</f>
        <v>-5.9079477348870979E-2</v>
      </c>
      <c r="AG202" s="31">
        <f t="shared" si="536"/>
        <v>0.05</v>
      </c>
      <c r="AH202" s="127">
        <f t="shared" ref="AH202" si="542">(AE202*(1+AF202))/($C$1-AG202)</f>
        <v>0.74583491569372284</v>
      </c>
    </row>
    <row r="203" spans="2:34">
      <c r="B203" s="20" t="s">
        <v>385</v>
      </c>
      <c r="C203" s="25"/>
      <c r="D203" s="25"/>
      <c r="E203" s="25"/>
      <c r="F203" s="25"/>
      <c r="G203" s="25">
        <f t="shared" ref="G203:H203" si="543">G201/G72</f>
        <v>6.0736901408450708</v>
      </c>
      <c r="H203" s="25">
        <f t="shared" si="543"/>
        <v>13.984375</v>
      </c>
      <c r="I203" s="25">
        <f t="shared" ref="I203:S203" si="544">I201/I72</f>
        <v>11.315625000000001</v>
      </c>
      <c r="J203" s="25">
        <f t="shared" si="544"/>
        <v>5.2071428571428573</v>
      </c>
      <c r="K203" s="25">
        <f t="shared" si="544"/>
        <v>5.080909090909091</v>
      </c>
      <c r="L203" s="25">
        <f t="shared" si="544"/>
        <v>1.7944615384615388</v>
      </c>
      <c r="M203" s="25">
        <f t="shared" si="544"/>
        <v>4.6675199999999997</v>
      </c>
      <c r="N203" s="25">
        <f t="shared" si="544"/>
        <v>5.4697500000000003</v>
      </c>
      <c r="O203" s="25">
        <f t="shared" si="544"/>
        <v>5.8277397260273966</v>
      </c>
      <c r="P203" s="25">
        <f t="shared" si="544"/>
        <v>4.093692307692308</v>
      </c>
      <c r="Q203" s="25">
        <f t="shared" si="544"/>
        <v>4.1523529411764715</v>
      </c>
      <c r="R203" s="25">
        <f t="shared" si="544"/>
        <v>12.584570433917692</v>
      </c>
      <c r="S203" s="25">
        <f t="shared" si="544"/>
        <v>6.286379821958457</v>
      </c>
      <c r="T203" s="118">
        <f t="shared" si="533"/>
        <v>2.8723680935027751E-3</v>
      </c>
      <c r="U203" s="128"/>
      <c r="V203" s="119">
        <f t="shared" ref="V203:AE203" si="545">V201/V72</f>
        <v>3.1806088384908859</v>
      </c>
      <c r="W203" s="119">
        <f t="shared" si="545"/>
        <v>2.8966259064827709</v>
      </c>
      <c r="X203" s="119">
        <f t="shared" si="545"/>
        <v>2.6379985934039523</v>
      </c>
      <c r="Y203" s="119">
        <f t="shared" si="545"/>
        <v>2.4024630047071702</v>
      </c>
      <c r="Z203" s="119">
        <f t="shared" si="545"/>
        <v>2.1879573792868872</v>
      </c>
      <c r="AA203" s="119">
        <f t="shared" si="545"/>
        <v>1.9926040418505579</v>
      </c>
      <c r="AB203" s="119">
        <f t="shared" si="545"/>
        <v>1.8146929666853293</v>
      </c>
      <c r="AC203" s="119">
        <f t="shared" si="545"/>
        <v>1.6526668089455676</v>
      </c>
      <c r="AD203" s="119">
        <f t="shared" si="545"/>
        <v>1.5051072724325705</v>
      </c>
      <c r="AE203" s="119">
        <f t="shared" si="545"/>
        <v>1.3707226945368052</v>
      </c>
      <c r="AF203" s="137">
        <f t="shared" si="535"/>
        <v>-9.5629805467082551E-2</v>
      </c>
      <c r="AG203" s="31">
        <f t="shared" si="536"/>
        <v>0.05</v>
      </c>
      <c r="AH203" s="127">
        <f t="shared" si="537"/>
        <v>7.2920044112290316</v>
      </c>
    </row>
    <row r="204" spans="2:34">
      <c r="B204" s="20" t="s">
        <v>460</v>
      </c>
      <c r="C204" s="25"/>
      <c r="D204" s="25"/>
      <c r="E204" s="25"/>
      <c r="F204" s="25"/>
      <c r="G204" s="25">
        <f t="shared" ref="G204:H204" si="546">G201/G70</f>
        <v>3.1943111111111109</v>
      </c>
      <c r="H204" s="25">
        <f t="shared" si="546"/>
        <v>5.8881578947368416</v>
      </c>
      <c r="I204" s="25">
        <f t="shared" ref="I204:S204" si="547">I201/I70</f>
        <v>4.3626506024096381</v>
      </c>
      <c r="J204" s="25">
        <f t="shared" si="547"/>
        <v>2.1622881355932204</v>
      </c>
      <c r="K204" s="25">
        <f t="shared" si="547"/>
        <v>1.8146103896103898</v>
      </c>
      <c r="L204" s="25">
        <f t="shared" si="547"/>
        <v>0.59815384615384615</v>
      </c>
      <c r="M204" s="25">
        <f t="shared" si="547"/>
        <v>2.9616243654822334</v>
      </c>
      <c r="N204" s="25">
        <f t="shared" si="547"/>
        <v>2.90429203539823</v>
      </c>
      <c r="O204" s="25">
        <f t="shared" si="547"/>
        <v>1.8824115044247787</v>
      </c>
      <c r="P204" s="25">
        <f t="shared" si="547"/>
        <v>1.8163139931740615</v>
      </c>
      <c r="Q204" s="25">
        <f t="shared" si="547"/>
        <v>2.406477272727273</v>
      </c>
      <c r="R204" s="25">
        <f t="shared" si="547"/>
        <v>8.2922846902201748</v>
      </c>
      <c r="S204" s="25">
        <f t="shared" si="547"/>
        <v>4.3389861751152079</v>
      </c>
      <c r="T204" s="118">
        <f t="shared" si="533"/>
        <v>2.5850925313110507E-2</v>
      </c>
      <c r="U204" s="128"/>
      <c r="V204" s="25">
        <f t="shared" ref="V204:AE204" si="548">V201/V70</f>
        <v>2.195320386219004</v>
      </c>
      <c r="W204" s="25">
        <f t="shared" si="548"/>
        <v>1.9993096374494499</v>
      </c>
      <c r="X204" s="25">
        <f t="shared" si="548"/>
        <v>1.8207998483914634</v>
      </c>
      <c r="Y204" s="25">
        <f t="shared" si="548"/>
        <v>1.6582284333565112</v>
      </c>
      <c r="Z204" s="25">
        <f t="shared" si="548"/>
        <v>1.5101723232353939</v>
      </c>
      <c r="AA204" s="25">
        <f t="shared" si="548"/>
        <v>1.375335508660805</v>
      </c>
      <c r="AB204" s="25">
        <f t="shared" si="548"/>
        <v>1.2525376953875189</v>
      </c>
      <c r="AC204" s="25">
        <f t="shared" si="548"/>
        <v>1.1407039725850616</v>
      </c>
      <c r="AD204" s="25">
        <f t="shared" si="548"/>
        <v>1.0388554036042525</v>
      </c>
      <c r="AE204" s="25">
        <f t="shared" si="548"/>
        <v>0.94610045685387278</v>
      </c>
      <c r="AF204" s="137">
        <f t="shared" ref="AF204:AF205" si="549">((AE204/I204)^(1/($AE$3-$J$1) ))-1</f>
        <v>-7.0199343345209275E-2</v>
      </c>
      <c r="AG204" s="31">
        <f t="shared" si="536"/>
        <v>0.05</v>
      </c>
      <c r="AH204" s="127">
        <f t="shared" ref="AH204:AH205" si="550">(AE204*(1+AF204))/($C$1-AG204)</f>
        <v>5.1746166237889915</v>
      </c>
    </row>
    <row r="205" spans="2:34">
      <c r="B205" s="20" t="s">
        <v>461</v>
      </c>
      <c r="C205" s="25"/>
      <c r="D205" s="25"/>
      <c r="E205" s="25"/>
      <c r="F205" s="25"/>
      <c r="G205" s="25">
        <f t="shared" ref="G205:H205" si="551">G201/G71</f>
        <v>4.1069714285714287</v>
      </c>
      <c r="H205" s="25">
        <f t="shared" si="551"/>
        <v>8.6057692307692317</v>
      </c>
      <c r="I205" s="25">
        <f t="shared" ref="I205:S205" si="552">I201/I71</f>
        <v>7.5437499999999993</v>
      </c>
      <c r="J205" s="25">
        <f t="shared" si="552"/>
        <v>4.3991379310344829</v>
      </c>
      <c r="K205" s="25">
        <f t="shared" si="552"/>
        <v>4.2992307692307694</v>
      </c>
      <c r="L205" s="25">
        <f t="shared" si="552"/>
        <v>1.2678260869565217</v>
      </c>
      <c r="M205" s="25">
        <f t="shared" si="552"/>
        <v>3.8895999999999997</v>
      </c>
      <c r="N205" s="25">
        <f t="shared" si="552"/>
        <v>4.1542405063291135</v>
      </c>
      <c r="O205" s="25">
        <f t="shared" si="552"/>
        <v>4.4781578947368414</v>
      </c>
      <c r="P205" s="25">
        <f t="shared" si="552"/>
        <v>2.8922826086956523</v>
      </c>
      <c r="Q205" s="25">
        <f t="shared" si="552"/>
        <v>3.2480061349693252</v>
      </c>
      <c r="R205" s="25">
        <f t="shared" si="552"/>
        <v>10.273301192590713</v>
      </c>
      <c r="S205" s="25">
        <f t="shared" si="552"/>
        <v>4.9267674418604654</v>
      </c>
      <c r="T205" s="118">
        <f t="shared" si="533"/>
        <v>1.5282027623218397E-2</v>
      </c>
      <c r="U205" s="128"/>
      <c r="V205" s="25">
        <f t="shared" ref="V205:AE205" si="553">V201/V71</f>
        <v>2.4927097176079736</v>
      </c>
      <c r="W205" s="25">
        <f t="shared" si="553"/>
        <v>2.2701463499644046</v>
      </c>
      <c r="X205" s="25">
        <f t="shared" si="553"/>
        <v>2.067454711574725</v>
      </c>
      <c r="Y205" s="25">
        <f t="shared" si="553"/>
        <v>1.8828605408984107</v>
      </c>
      <c r="Z205" s="25">
        <f t="shared" si="553"/>
        <v>1.7147479926039095</v>
      </c>
      <c r="AA205" s="25">
        <f t="shared" si="553"/>
        <v>1.5616454932642747</v>
      </c>
      <c r="AB205" s="25">
        <f t="shared" si="553"/>
        <v>1.4222128599371073</v>
      </c>
      <c r="AC205" s="25">
        <f t="shared" si="553"/>
        <v>1.295229568871294</v>
      </c>
      <c r="AD205" s="25">
        <f t="shared" si="553"/>
        <v>1.1795840716506425</v>
      </c>
      <c r="AE205" s="25">
        <f t="shared" si="553"/>
        <v>1.0742640652532638</v>
      </c>
      <c r="AF205" s="137">
        <f t="shared" si="549"/>
        <v>-8.8636549270906695E-2</v>
      </c>
      <c r="AG205" s="31">
        <f t="shared" si="536"/>
        <v>0.05</v>
      </c>
      <c r="AH205" s="127">
        <f t="shared" si="550"/>
        <v>5.7590882676675204</v>
      </c>
    </row>
    <row r="206" spans="2:34">
      <c r="B206" s="20" t="s">
        <v>258</v>
      </c>
      <c r="C206" s="25"/>
      <c r="D206" s="25"/>
      <c r="E206" s="25"/>
      <c r="F206" s="25"/>
      <c r="G206" s="25">
        <f t="shared" ref="G206:H206" si="554">G201/G75</f>
        <v>0.65338181818181806</v>
      </c>
      <c r="H206" s="25">
        <f t="shared" si="554"/>
        <v>1.5431034482758621</v>
      </c>
      <c r="I206" s="25">
        <f t="shared" ref="I206:S206" si="555">I201/I75</f>
        <v>1.6534246575342466</v>
      </c>
      <c r="J206" s="25">
        <f t="shared" si="555"/>
        <v>0.88902439024390256</v>
      </c>
      <c r="K206" s="25">
        <f t="shared" si="555"/>
        <v>0.83169642857142867</v>
      </c>
      <c r="L206" s="25">
        <f t="shared" si="555"/>
        <v>0.29306532663316587</v>
      </c>
      <c r="M206" s="25">
        <f t="shared" si="555"/>
        <v>1.141761252446184</v>
      </c>
      <c r="N206" s="25">
        <f t="shared" si="555"/>
        <v>1.055257234726688</v>
      </c>
      <c r="O206" s="25">
        <f t="shared" si="555"/>
        <v>0.61388888888888882</v>
      </c>
      <c r="P206" s="25">
        <f t="shared" si="555"/>
        <v>0.66109316770186344</v>
      </c>
      <c r="Q206" s="25">
        <f t="shared" si="555"/>
        <v>1.0380882352941179</v>
      </c>
      <c r="R206" s="25">
        <f t="shared" si="555"/>
        <v>3.1119969254419679</v>
      </c>
      <c r="S206" s="25">
        <f t="shared" si="555"/>
        <v>1.3240687500000001</v>
      </c>
      <c r="T206" s="118">
        <f t="shared" si="533"/>
        <v>6.0625239060374536E-2</v>
      </c>
      <c r="U206" s="128"/>
      <c r="V206" s="119">
        <f t="shared" ref="V206:AE206" si="556">V201/V75</f>
        <v>0.66991573660714276</v>
      </c>
      <c r="W206" s="119">
        <f t="shared" si="556"/>
        <v>0.61010183155293363</v>
      </c>
      <c r="X206" s="119">
        <f t="shared" si="556"/>
        <v>0.55562845373570746</v>
      </c>
      <c r="Y206" s="119">
        <f t="shared" si="556"/>
        <v>0.50601877036644782</v>
      </c>
      <c r="Z206" s="119">
        <f t="shared" si="556"/>
        <v>0.46083852301230072</v>
      </c>
      <c r="AA206" s="119">
        <f t="shared" si="556"/>
        <v>0.41969222631477388</v>
      </c>
      <c r="AB206" s="119">
        <f t="shared" si="556"/>
        <v>0.38221970610809763</v>
      </c>
      <c r="AC206" s="119">
        <f t="shared" si="556"/>
        <v>0.34809294663416029</v>
      </c>
      <c r="AD206" s="119">
        <f t="shared" si="556"/>
        <v>0.31701321925611026</v>
      </c>
      <c r="AE206" s="119">
        <f t="shared" si="556"/>
        <v>0.28870846753681462</v>
      </c>
      <c r="AF206" s="137">
        <f t="shared" si="535"/>
        <v>-7.9744676059370634E-2</v>
      </c>
      <c r="AG206" s="31">
        <f t="shared" si="536"/>
        <v>0.05</v>
      </c>
      <c r="AH206" s="127">
        <f t="shared" si="537"/>
        <v>1.5628559077499649</v>
      </c>
    </row>
    <row r="207" spans="2:34">
      <c r="B207" s="20" t="s">
        <v>259</v>
      </c>
      <c r="C207" s="25"/>
      <c r="D207" s="25"/>
      <c r="E207" s="25"/>
      <c r="F207" s="25"/>
      <c r="G207" s="25">
        <f t="shared" ref="G207:H207" si="557">G201/G84</f>
        <v>4.3101649175412291</v>
      </c>
      <c r="H207" s="25">
        <f t="shared" si="557"/>
        <v>17.198308993082247</v>
      </c>
      <c r="I207" s="25">
        <f t="shared" ref="I207:S207" si="558">I201/I84</f>
        <v>5.4855324950765034</v>
      </c>
      <c r="J207" s="25">
        <f t="shared" si="558"/>
        <v>5.4287234042553196</v>
      </c>
      <c r="K207" s="25">
        <f t="shared" si="558"/>
        <v>6.0291262135922334</v>
      </c>
      <c r="L207" s="25">
        <f t="shared" si="558"/>
        <v>3.5132530120481928</v>
      </c>
      <c r="M207" s="25">
        <f t="shared" si="558"/>
        <v>13.155355129650507</v>
      </c>
      <c r="N207" s="25">
        <f t="shared" si="558"/>
        <v>45.9</v>
      </c>
      <c r="O207" s="25">
        <f t="shared" si="558"/>
        <v>17.726041666666664</v>
      </c>
      <c r="P207" s="25">
        <f t="shared" si="558"/>
        <v>28.00947368421053</v>
      </c>
      <c r="Q207" s="25">
        <f t="shared" si="558"/>
        <v>14.645228215767633</v>
      </c>
      <c r="R207" s="25">
        <f t="shared" si="558"/>
        <v>130.89906239896544</v>
      </c>
      <c r="S207" s="25">
        <f t="shared" si="558"/>
        <v>68.493695441319119</v>
      </c>
      <c r="T207" s="118">
        <f t="shared" si="533"/>
        <v>0.25920486389953012</v>
      </c>
      <c r="U207" s="128"/>
      <c r="V207" s="119">
        <f t="shared" ref="V207:AE207" si="559">V201/V84</f>
        <v>34.654548288762648</v>
      </c>
      <c r="W207" s="119">
        <f t="shared" si="559"/>
        <v>31.560392191551692</v>
      </c>
      <c r="X207" s="119">
        <f t="shared" si="559"/>
        <v>28.742500031591717</v>
      </c>
      <c r="Y207" s="119">
        <f t="shared" si="559"/>
        <v>26.176205385913885</v>
      </c>
      <c r="Z207" s="119">
        <f t="shared" si="559"/>
        <v>23.839044190743</v>
      </c>
      <c r="AA207" s="119">
        <f t="shared" si="559"/>
        <v>21.710558102283802</v>
      </c>
      <c r="AB207" s="119">
        <f t="shared" si="559"/>
        <v>19.77211541457989</v>
      </c>
      <c r="AC207" s="119">
        <f t="shared" si="559"/>
        <v>18.006747966849542</v>
      </c>
      <c r="AD207" s="119">
        <f t="shared" si="559"/>
        <v>16.399002612666546</v>
      </c>
      <c r="AE207" s="119">
        <f t="shared" si="559"/>
        <v>14.934805950821316</v>
      </c>
      <c r="AF207" s="137">
        <f t="shared" si="535"/>
        <v>4.8849972254537244E-2</v>
      </c>
      <c r="AG207" s="31">
        <f t="shared" si="536"/>
        <v>0.05</v>
      </c>
      <c r="AH207" s="127">
        <f t="shared" si="537"/>
        <v>92.14335768909315</v>
      </c>
    </row>
    <row r="208" spans="2:34">
      <c r="B208" s="20" t="s">
        <v>260</v>
      </c>
      <c r="C208" s="25"/>
      <c r="D208" s="25"/>
      <c r="E208" s="25"/>
      <c r="F208" s="25"/>
      <c r="G208" s="25">
        <f t="shared" ref="G208:H208" si="560">G201/G86</f>
        <v>0.36086359832635978</v>
      </c>
      <c r="H208" s="25">
        <f t="shared" si="560"/>
        <v>0.61133879781420775</v>
      </c>
      <c r="I208" s="25">
        <f t="shared" ref="I208:S208" si="561">I201/I86</f>
        <v>0.63415061295971975</v>
      </c>
      <c r="J208" s="25">
        <f t="shared" si="561"/>
        <v>0.46306715063520876</v>
      </c>
      <c r="K208" s="25">
        <f t="shared" si="561"/>
        <v>0.31119153674832967</v>
      </c>
      <c r="L208" s="25">
        <f t="shared" si="561"/>
        <v>0.15108808290155443</v>
      </c>
      <c r="M208" s="25">
        <f t="shared" si="561"/>
        <v>0.74229007633587785</v>
      </c>
      <c r="N208" s="25">
        <f t="shared" si="561"/>
        <v>0.57932038834951449</v>
      </c>
      <c r="O208" s="25">
        <f t="shared" si="561"/>
        <v>0.3667456896551724</v>
      </c>
      <c r="P208" s="25">
        <f t="shared" si="561"/>
        <v>0.44274542429284525</v>
      </c>
      <c r="Q208" s="25">
        <f t="shared" si="561"/>
        <v>0.59586381541924593</v>
      </c>
      <c r="R208" s="25">
        <f t="shared" si="561"/>
        <v>2.1917962765467922</v>
      </c>
      <c r="S208" s="25">
        <f t="shared" si="561"/>
        <v>1.1468701447047169</v>
      </c>
      <c r="T208" s="118">
        <f t="shared" si="533"/>
        <v>0.10115282590875552</v>
      </c>
      <c r="U208" s="128"/>
      <c r="V208" s="119">
        <f t="shared" ref="V208:AE208" si="562">V201/V86</f>
        <v>0.58026168035655312</v>
      </c>
      <c r="W208" s="119">
        <f t="shared" si="562"/>
        <v>0.52845260175328945</v>
      </c>
      <c r="X208" s="119">
        <f t="shared" si="562"/>
        <v>0.48126933373960284</v>
      </c>
      <c r="Y208" s="119">
        <f t="shared" si="562"/>
        <v>0.43829885751285264</v>
      </c>
      <c r="Z208" s="119">
        <f t="shared" si="562"/>
        <v>0.39916503094920508</v>
      </c>
      <c r="AA208" s="119">
        <f t="shared" si="562"/>
        <v>0.36352529604302602</v>
      </c>
      <c r="AB208" s="119">
        <f t="shared" si="562"/>
        <v>0.33106768032489864</v>
      </c>
      <c r="AC208" s="119">
        <f t="shared" si="562"/>
        <v>0.30150806601017549</v>
      </c>
      <c r="AD208" s="119">
        <f t="shared" si="562"/>
        <v>0.27458770297355267</v>
      </c>
      <c r="AE208" s="119">
        <f t="shared" si="562"/>
        <v>0.25007094377948547</v>
      </c>
      <c r="AF208" s="137">
        <f t="shared" si="535"/>
        <v>-4.3344102448699129E-2</v>
      </c>
      <c r="AG208" s="31">
        <f t="shared" si="536"/>
        <v>0.05</v>
      </c>
      <c r="AH208" s="127">
        <f t="shared" si="537"/>
        <v>1.4072461363109681</v>
      </c>
    </row>
    <row r="209" spans="2:34">
      <c r="B209" s="20" t="s">
        <v>281</v>
      </c>
      <c r="C209" s="25"/>
      <c r="D209" s="25"/>
      <c r="E209" s="25"/>
      <c r="F209" s="25"/>
      <c r="G209" s="180">
        <f t="shared" ref="G209:H209" si="563">G201/G80</f>
        <v>0.44687253886010359</v>
      </c>
      <c r="H209" s="180">
        <f t="shared" si="563"/>
        <v>0.93229166666666674</v>
      </c>
      <c r="I209" s="180">
        <f t="shared" ref="I209:S209" si="564">I201/I80</f>
        <v>1.1718446601941748</v>
      </c>
      <c r="J209" s="180">
        <f t="shared" si="564"/>
        <v>0.72692307692307701</v>
      </c>
      <c r="K209" s="180">
        <f t="shared" si="564"/>
        <v>0.62939189189189193</v>
      </c>
      <c r="L209" s="180">
        <f t="shared" si="564"/>
        <v>0.21323583180987205</v>
      </c>
      <c r="M209" s="180">
        <f t="shared" si="564"/>
        <v>0.85298245614035084</v>
      </c>
      <c r="N209" s="180">
        <f t="shared" si="564"/>
        <v>9.9540491355777971E-2</v>
      </c>
      <c r="O209" s="180">
        <f t="shared" si="564"/>
        <v>0.46041666666666664</v>
      </c>
      <c r="P209" s="180">
        <f t="shared" si="564"/>
        <v>0.46519230769230774</v>
      </c>
      <c r="Q209" s="180">
        <f t="shared" si="564"/>
        <v>0.72823246217331505</v>
      </c>
      <c r="R209" s="180">
        <f t="shared" si="564"/>
        <v>2.1817098208271593</v>
      </c>
      <c r="S209" s="180">
        <f t="shared" si="564"/>
        <v>0.98272526962773976</v>
      </c>
      <c r="T209" s="118">
        <f t="shared" si="533"/>
        <v>6.7875701564136026E-2</v>
      </c>
      <c r="U209" s="128"/>
      <c r="V209" s="134">
        <f t="shared" ref="V209:AE209" si="565">V201/V80</f>
        <v>0.49721218999022554</v>
      </c>
      <c r="W209" s="134">
        <f t="shared" si="565"/>
        <v>0.45281824445538393</v>
      </c>
      <c r="X209" s="134">
        <f t="shared" si="565"/>
        <v>0.41238804405758178</v>
      </c>
      <c r="Y209" s="134">
        <f t="shared" si="565"/>
        <v>0.37556768298101206</v>
      </c>
      <c r="Z209" s="134">
        <f t="shared" si="565"/>
        <v>0.34203485414342161</v>
      </c>
      <c r="AA209" s="134">
        <f t="shared" si="565"/>
        <v>0.3114960278806162</v>
      </c>
      <c r="AB209" s="134">
        <f t="shared" si="565"/>
        <v>0.28368388253413251</v>
      </c>
      <c r="AC209" s="134">
        <f t="shared" si="565"/>
        <v>0.25835496445072792</v>
      </c>
      <c r="AD209" s="134">
        <f t="shared" si="565"/>
        <v>0.23528755691048431</v>
      </c>
      <c r="AE209" s="134">
        <f t="shared" si="565"/>
        <v>0.214279739329191</v>
      </c>
      <c r="AF209" s="137">
        <f t="shared" ref="AF209" si="566">((AE209/I209)^(1/($AE$3-$J$1) ))-1</f>
        <v>-7.772076296995456E-2</v>
      </c>
      <c r="AG209" s="31">
        <f t="shared" ref="AG209:AG212" si="567">$N$1</f>
        <v>0.05</v>
      </c>
      <c r="AH209" s="127">
        <f t="shared" si="537"/>
        <v>1.1625044382324901</v>
      </c>
    </row>
    <row r="210" spans="2:34">
      <c r="B210" s="20"/>
      <c r="C210" s="25"/>
      <c r="D210" s="25"/>
      <c r="E210" s="25"/>
      <c r="F210" s="25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28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7"/>
      <c r="AG210" s="31">
        <f t="shared" si="567"/>
        <v>0.05</v>
      </c>
      <c r="AH210" s="127"/>
    </row>
    <row r="211" spans="2:34">
      <c r="B211" s="20" t="s">
        <v>316</v>
      </c>
      <c r="C211" s="150"/>
      <c r="D211" s="150"/>
      <c r="E211" s="150"/>
      <c r="F211" s="150"/>
      <c r="G211" s="150">
        <f t="shared" ref="G211:H211" si="568">G59/G201</f>
        <v>4.1666666666666664E-2</v>
      </c>
      <c r="H211" s="150">
        <f t="shared" si="568"/>
        <v>1.6E-2</v>
      </c>
      <c r="I211" s="150">
        <f t="shared" ref="I211:S211" si="569">I59/I201</f>
        <v>1.1764705882352941E-2</v>
      </c>
      <c r="J211" s="150">
        <f t="shared" si="569"/>
        <v>1.9047619047619049E-2</v>
      </c>
      <c r="K211" s="150">
        <f t="shared" si="569"/>
        <v>1.7391304347826087E-2</v>
      </c>
      <c r="L211" s="150">
        <f t="shared" si="569"/>
        <v>4.1666666666666664E-2</v>
      </c>
      <c r="M211" s="150">
        <f t="shared" si="569"/>
        <v>1.2499999999999999E-2</v>
      </c>
      <c r="N211" s="150">
        <f t="shared" si="569"/>
        <v>1.1111111111111112E-2</v>
      </c>
      <c r="O211" s="150">
        <f t="shared" si="569"/>
        <v>1.7142857142857144E-2</v>
      </c>
      <c r="P211" s="150">
        <f t="shared" si="569"/>
        <v>3.6363636363636369E-2</v>
      </c>
      <c r="Q211" s="150">
        <f t="shared" si="569"/>
        <v>2.6666666666666665E-2</v>
      </c>
      <c r="R211" s="150">
        <f t="shared" si="569"/>
        <v>9.883720930232558E-3</v>
      </c>
      <c r="S211" s="150">
        <f t="shared" si="569"/>
        <v>2.1111111111111112E-2</v>
      </c>
      <c r="T211" s="118">
        <f t="shared" si="533"/>
        <v>-5.5083293035026792E-2</v>
      </c>
      <c r="U211" s="128"/>
      <c r="V211" s="150">
        <f t="shared" ref="V211:AE211" si="570">V59/V201</f>
        <v>3.9899999999999998E-2</v>
      </c>
      <c r="W211" s="150">
        <f t="shared" si="570"/>
        <v>4.1894999999999995E-2</v>
      </c>
      <c r="X211" s="150">
        <f t="shared" si="570"/>
        <v>4.3989750000000001E-2</v>
      </c>
      <c r="Y211" s="150">
        <f t="shared" si="570"/>
        <v>4.6189237500000008E-2</v>
      </c>
      <c r="Z211" s="150">
        <f t="shared" si="570"/>
        <v>4.8498699375000003E-2</v>
      </c>
      <c r="AA211" s="150">
        <f t="shared" si="570"/>
        <v>5.0923634343750003E-2</v>
      </c>
      <c r="AB211" s="150">
        <f t="shared" si="570"/>
        <v>5.3469816060937508E-2</v>
      </c>
      <c r="AC211" s="150">
        <f t="shared" si="570"/>
        <v>5.6143306863984381E-2</v>
      </c>
      <c r="AD211" s="150">
        <f t="shared" si="570"/>
        <v>5.8950472207183607E-2</v>
      </c>
      <c r="AE211" s="150">
        <f t="shared" si="570"/>
        <v>6.1897995817542795E-2</v>
      </c>
      <c r="AF211" s="137">
        <f t="shared" ref="AF211:AF216" si="571">((AE211/I211)^(1/($AE$3-$J$1) ))-1</f>
        <v>8.2275635445460571E-2</v>
      </c>
      <c r="AG211" s="31">
        <f t="shared" si="567"/>
        <v>0.05</v>
      </c>
      <c r="AH211" s="127">
        <f t="shared" si="537"/>
        <v>0.39406289856606824</v>
      </c>
    </row>
    <row r="212" spans="2:34">
      <c r="B212" s="20" t="s">
        <v>153</v>
      </c>
      <c r="C212" s="150"/>
      <c r="D212" s="150"/>
      <c r="E212" s="150"/>
      <c r="F212" s="150"/>
      <c r="G212" s="163">
        <f t="shared" ref="G212:H212" si="572">G201*G57</f>
        <v>86.246399999999994</v>
      </c>
      <c r="H212" s="163">
        <f t="shared" si="572"/>
        <v>223.75</v>
      </c>
      <c r="I212" s="163">
        <f t="shared" ref="I212:S212" si="573">I201*I57</f>
        <v>362.09999999999997</v>
      </c>
      <c r="J212" s="163">
        <f t="shared" si="573"/>
        <v>255.15</v>
      </c>
      <c r="K212" s="163">
        <f t="shared" si="573"/>
        <v>279.45000000000005</v>
      </c>
      <c r="L212" s="163">
        <f t="shared" si="573"/>
        <v>116.64000000000001</v>
      </c>
      <c r="M212" s="163">
        <f t="shared" si="573"/>
        <v>583.43999999999994</v>
      </c>
      <c r="N212" s="163">
        <f t="shared" si="573"/>
        <v>656.37</v>
      </c>
      <c r="O212" s="163">
        <f t="shared" si="573"/>
        <v>425.42499999999995</v>
      </c>
      <c r="P212" s="163">
        <f t="shared" si="573"/>
        <v>532.18000000000006</v>
      </c>
      <c r="Q212" s="163">
        <f t="shared" si="573"/>
        <v>1058.8500000000001</v>
      </c>
      <c r="R212" s="163">
        <f t="shared" si="573"/>
        <v>4048.7080000000001</v>
      </c>
      <c r="S212" s="163">
        <f t="shared" si="573"/>
        <v>2118.5100000000002</v>
      </c>
      <c r="T212" s="118">
        <f t="shared" si="533"/>
        <v>0.30574226502707424</v>
      </c>
      <c r="U212" s="128"/>
      <c r="V212" s="163">
        <f t="shared" ref="V212:AE212" si="574">V201*V57</f>
        <v>1200.489</v>
      </c>
      <c r="W212" s="163">
        <f t="shared" si="574"/>
        <v>1224.4987800000001</v>
      </c>
      <c r="X212" s="163">
        <f t="shared" si="574"/>
        <v>1248.9887556000003</v>
      </c>
      <c r="Y212" s="163">
        <f t="shared" si="574"/>
        <v>1273.9685307120003</v>
      </c>
      <c r="Z212" s="163">
        <f t="shared" si="574"/>
        <v>1299.4479013262405</v>
      </c>
      <c r="AA212" s="163">
        <f t="shared" si="574"/>
        <v>1325.4368593527654</v>
      </c>
      <c r="AB212" s="163">
        <f t="shared" si="574"/>
        <v>1351.9455965398206</v>
      </c>
      <c r="AC212" s="163">
        <f t="shared" si="574"/>
        <v>1378.9845084706171</v>
      </c>
      <c r="AD212" s="163">
        <f t="shared" si="574"/>
        <v>1406.5641986400294</v>
      </c>
      <c r="AE212" s="163">
        <f t="shared" si="574"/>
        <v>1434.6954826128301</v>
      </c>
      <c r="AF212" s="137">
        <f t="shared" si="571"/>
        <v>6.7758198121212976E-2</v>
      </c>
      <c r="AG212" s="31">
        <f t="shared" si="567"/>
        <v>0.05</v>
      </c>
      <c r="AH212" s="127">
        <f t="shared" si="537"/>
        <v>9011.2227256901151</v>
      </c>
    </row>
    <row r="213" spans="2:34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28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</row>
    <row r="214" spans="2:34">
      <c r="B214" s="20" t="s">
        <v>367</v>
      </c>
      <c r="C214" s="159"/>
      <c r="D214" s="159"/>
      <c r="E214" s="159"/>
      <c r="F214" s="159"/>
      <c r="G214" s="159">
        <f t="shared" ref="G214:H214" si="575">G72/G201</f>
        <v>0.16464455327990501</v>
      </c>
      <c r="H214" s="159">
        <f t="shared" si="575"/>
        <v>7.150837988826815E-2</v>
      </c>
      <c r="I214" s="159">
        <f t="shared" ref="I214:S214" si="576">I72/I201</f>
        <v>8.8373377520022098E-2</v>
      </c>
      <c r="J214" s="159">
        <f t="shared" si="576"/>
        <v>0.19204389574759945</v>
      </c>
      <c r="K214" s="159">
        <f t="shared" si="576"/>
        <v>0.19681517266058327</v>
      </c>
      <c r="L214" s="159">
        <f t="shared" si="576"/>
        <v>0.55727023319615909</v>
      </c>
      <c r="M214" s="159">
        <f t="shared" si="576"/>
        <v>0.21424653777594957</v>
      </c>
      <c r="N214" s="159">
        <f t="shared" si="576"/>
        <v>0.18282371223547694</v>
      </c>
      <c r="O214" s="159">
        <f t="shared" si="576"/>
        <v>0.17159311276958339</v>
      </c>
      <c r="P214" s="159">
        <f t="shared" si="576"/>
        <v>0.24427825171934306</v>
      </c>
      <c r="Q214" s="159">
        <f t="shared" si="576"/>
        <v>0.24082731265051704</v>
      </c>
      <c r="R214" s="159">
        <f t="shared" si="576"/>
        <v>7.9462386519353834E-2</v>
      </c>
      <c r="S214" s="159">
        <f t="shared" si="576"/>
        <v>0.15907406620690956</v>
      </c>
      <c r="T214" s="118">
        <f t="shared" si="533"/>
        <v>-2.8641412256309451E-3</v>
      </c>
      <c r="U214" s="128"/>
      <c r="V214" s="159">
        <f t="shared" ref="V214:AE214" si="577">V72/V201</f>
        <v>0.31440521320895071</v>
      </c>
      <c r="W214" s="159">
        <f t="shared" si="577"/>
        <v>0.3452292537196322</v>
      </c>
      <c r="X214" s="159">
        <f t="shared" si="577"/>
        <v>0.37907525898626276</v>
      </c>
      <c r="Y214" s="159">
        <f t="shared" si="577"/>
        <v>0.41623950006334737</v>
      </c>
      <c r="Z214" s="159">
        <f t="shared" si="577"/>
        <v>0.45704729418720497</v>
      </c>
      <c r="AA214" s="159">
        <f t="shared" si="577"/>
        <v>0.50185585244085251</v>
      </c>
      <c r="AB214" s="159">
        <f t="shared" si="577"/>
        <v>0.55105740660172053</v>
      </c>
      <c r="AC214" s="159">
        <f t="shared" si="577"/>
        <v>0.60508264254306576</v>
      </c>
      <c r="AD214" s="159">
        <f t="shared" si="577"/>
        <v>0.66440447024336635</v>
      </c>
      <c r="AE214" s="159">
        <f t="shared" si="577"/>
        <v>0.72954216340448075</v>
      </c>
      <c r="AF214" s="137">
        <f t="shared" ref="AF214" si="578">((AE214/I214)^(1/($AE$3-$J$1) ))-1</f>
        <v>0.10574188097438642</v>
      </c>
      <c r="AG214" s="31">
        <f t="shared" ref="AG214" si="579">$N$1</f>
        <v>0.05</v>
      </c>
      <c r="AH214" s="127">
        <f t="shared" ref="AH214" si="580">(AE214*(1+AF214))/($C$1-AG214)</f>
        <v>4.7452077883117285</v>
      </c>
    </row>
    <row r="215" spans="2:34">
      <c r="B215" s="20" t="str">
        <f>B203</f>
        <v>P/E (how many years it will take to recover invested amount)</v>
      </c>
      <c r="C215" s="150"/>
      <c r="D215" s="150"/>
      <c r="E215" s="150"/>
      <c r="F215" s="150"/>
      <c r="G215" s="179">
        <f t="shared" ref="G215:H215" si="581">G203</f>
        <v>6.0736901408450708</v>
      </c>
      <c r="H215" s="179">
        <f t="shared" si="581"/>
        <v>13.984375</v>
      </c>
      <c r="I215" s="179">
        <f t="shared" ref="I215:S215" si="582">I203</f>
        <v>11.315625000000001</v>
      </c>
      <c r="J215" s="179">
        <f t="shared" si="582"/>
        <v>5.2071428571428573</v>
      </c>
      <c r="K215" s="179">
        <f t="shared" si="582"/>
        <v>5.080909090909091</v>
      </c>
      <c r="L215" s="179">
        <f t="shared" si="582"/>
        <v>1.7944615384615388</v>
      </c>
      <c r="M215" s="179">
        <f t="shared" si="582"/>
        <v>4.6675199999999997</v>
      </c>
      <c r="N215" s="179">
        <f t="shared" si="582"/>
        <v>5.4697500000000003</v>
      </c>
      <c r="O215" s="179">
        <f t="shared" si="582"/>
        <v>5.8277397260273966</v>
      </c>
      <c r="P215" s="179">
        <f t="shared" si="582"/>
        <v>4.093692307692308</v>
      </c>
      <c r="Q215" s="179">
        <f t="shared" si="582"/>
        <v>4.1523529411764715</v>
      </c>
      <c r="R215" s="179">
        <f t="shared" si="582"/>
        <v>12.584570433917692</v>
      </c>
      <c r="S215" s="179">
        <f t="shared" si="582"/>
        <v>6.286379821958457</v>
      </c>
      <c r="T215" s="118">
        <f t="shared" si="533"/>
        <v>2.8723680935027751E-3</v>
      </c>
      <c r="U215" s="128"/>
      <c r="V215" s="150">
        <f t="shared" ref="V215:AE215" si="583">V203</f>
        <v>3.1806088384908859</v>
      </c>
      <c r="W215" s="150">
        <f t="shared" si="583"/>
        <v>2.8966259064827709</v>
      </c>
      <c r="X215" s="150">
        <f t="shared" si="583"/>
        <v>2.6379985934039523</v>
      </c>
      <c r="Y215" s="150">
        <f t="shared" si="583"/>
        <v>2.4024630047071702</v>
      </c>
      <c r="Z215" s="150">
        <f t="shared" si="583"/>
        <v>2.1879573792868872</v>
      </c>
      <c r="AA215" s="150">
        <f t="shared" si="583"/>
        <v>1.9926040418505579</v>
      </c>
      <c r="AB215" s="150">
        <f t="shared" si="583"/>
        <v>1.8146929666853293</v>
      </c>
      <c r="AC215" s="150">
        <f t="shared" si="583"/>
        <v>1.6526668089455676</v>
      </c>
      <c r="AD215" s="150">
        <f t="shared" si="583"/>
        <v>1.5051072724325705</v>
      </c>
      <c r="AE215" s="150">
        <f t="shared" si="583"/>
        <v>1.3707226945368052</v>
      </c>
      <c r="AF215" s="137">
        <f t="shared" ref="AF215" si="584">((AE215/I215)^(1/($AE$3-$J$1) ))-1</f>
        <v>-9.5629805467082551E-2</v>
      </c>
      <c r="AG215" s="31">
        <f t="shared" ref="AG215:AG217" si="585">$N$1</f>
        <v>0.05</v>
      </c>
      <c r="AH215" s="179">
        <f>(AH202)/($N$2*100)</f>
        <v>6.2152909641143568E-2</v>
      </c>
    </row>
    <row r="216" spans="2:34">
      <c r="B216" s="20" t="s">
        <v>442</v>
      </c>
      <c r="C216" s="179"/>
      <c r="D216" s="179"/>
      <c r="E216" s="179"/>
      <c r="F216" s="179"/>
      <c r="G216" s="179">
        <f t="shared" ref="G216:H216" si="586">(G203)/($N$2*100)</f>
        <v>0.50614084507042256</v>
      </c>
      <c r="H216" s="179">
        <f t="shared" si="586"/>
        <v>1.1653645833333333</v>
      </c>
      <c r="I216" s="179">
        <f t="shared" ref="I216:S216" si="587">(I203)/($N$2*100)</f>
        <v>0.94296875000000002</v>
      </c>
      <c r="J216" s="179">
        <f t="shared" si="587"/>
        <v>0.43392857142857144</v>
      </c>
      <c r="K216" s="179">
        <f t="shared" si="587"/>
        <v>0.4234090909090909</v>
      </c>
      <c r="L216" s="179">
        <f t="shared" si="587"/>
        <v>0.14953846153846156</v>
      </c>
      <c r="M216" s="179">
        <f t="shared" si="587"/>
        <v>0.38895999999999997</v>
      </c>
      <c r="N216" s="179">
        <f t="shared" si="587"/>
        <v>0.45581250000000001</v>
      </c>
      <c r="O216" s="179">
        <f t="shared" si="587"/>
        <v>0.48564497716894972</v>
      </c>
      <c r="P216" s="179">
        <f t="shared" si="587"/>
        <v>0.34114102564102566</v>
      </c>
      <c r="Q216" s="179">
        <f t="shared" si="587"/>
        <v>0.34602941176470597</v>
      </c>
      <c r="R216" s="179">
        <f t="shared" si="587"/>
        <v>1.0487142028264744</v>
      </c>
      <c r="S216" s="179">
        <f t="shared" si="587"/>
        <v>0.52386498516320479</v>
      </c>
      <c r="T216" s="118">
        <f t="shared" si="533"/>
        <v>2.8723680935027751E-3</v>
      </c>
      <c r="U216" s="128"/>
      <c r="V216" s="179">
        <f t="shared" ref="V216:AE216" si="588">(V203)/($N$2*100)</f>
        <v>0.26505073654090716</v>
      </c>
      <c r="W216" s="179">
        <f t="shared" si="588"/>
        <v>0.24138549220689756</v>
      </c>
      <c r="X216" s="179">
        <f t="shared" si="588"/>
        <v>0.21983321611699602</v>
      </c>
      <c r="Y216" s="179">
        <f t="shared" si="588"/>
        <v>0.20020525039226419</v>
      </c>
      <c r="Z216" s="179">
        <f t="shared" si="588"/>
        <v>0.18232978160724059</v>
      </c>
      <c r="AA216" s="179">
        <f t="shared" si="588"/>
        <v>0.16605033682087983</v>
      </c>
      <c r="AB216" s="179">
        <f t="shared" si="588"/>
        <v>0.15122441389044411</v>
      </c>
      <c r="AC216" s="179">
        <f t="shared" si="588"/>
        <v>0.1377222340787973</v>
      </c>
      <c r="AD216" s="179">
        <f t="shared" si="588"/>
        <v>0.12542560603604755</v>
      </c>
      <c r="AE216" s="179">
        <f t="shared" si="588"/>
        <v>0.11422689121140044</v>
      </c>
      <c r="AF216" s="137">
        <f t="shared" si="571"/>
        <v>-9.5629805467082551E-2</v>
      </c>
      <c r="AG216" s="31">
        <f t="shared" si="585"/>
        <v>0.05</v>
      </c>
      <c r="AH216" s="179">
        <f>(AH203)/($N$2*100)</f>
        <v>0.60766703426908597</v>
      </c>
    </row>
    <row r="217" spans="2:34">
      <c r="B217" s="20" t="s">
        <v>443</v>
      </c>
      <c r="C217" s="150"/>
      <c r="D217" s="150"/>
      <c r="E217" s="150"/>
      <c r="F217" s="150"/>
      <c r="G217" s="150">
        <f t="shared" ref="G217:H217" si="589">G216-1</f>
        <v>-0.49385915492957744</v>
      </c>
      <c r="H217" s="150">
        <f t="shared" si="589"/>
        <v>0.16536458333333326</v>
      </c>
      <c r="I217" s="150">
        <f t="shared" ref="I217:R217" si="590">I216-1</f>
        <v>-5.7031249999999978E-2</v>
      </c>
      <c r="J217" s="150">
        <f t="shared" si="590"/>
        <v>-0.56607142857142856</v>
      </c>
      <c r="K217" s="150">
        <f t="shared" si="590"/>
        <v>-0.57659090909090915</v>
      </c>
      <c r="L217" s="150">
        <f t="shared" si="590"/>
        <v>-0.85046153846153838</v>
      </c>
      <c r="M217" s="150">
        <f t="shared" si="590"/>
        <v>-0.61104000000000003</v>
      </c>
      <c r="N217" s="150">
        <f t="shared" si="590"/>
        <v>-0.54418750000000005</v>
      </c>
      <c r="O217" s="150">
        <f t="shared" si="590"/>
        <v>-0.51435502283105028</v>
      </c>
      <c r="P217" s="150">
        <f t="shared" si="590"/>
        <v>-0.65885897435897434</v>
      </c>
      <c r="Q217" s="150">
        <f t="shared" si="590"/>
        <v>-0.65397058823529397</v>
      </c>
      <c r="R217" s="150">
        <f t="shared" si="590"/>
        <v>4.8714202826474429E-2</v>
      </c>
      <c r="S217" s="150">
        <f>S216-1</f>
        <v>-0.47613501483679521</v>
      </c>
      <c r="T217" s="118">
        <f t="shared" si="533"/>
        <v>-3.0411086351557204E-3</v>
      </c>
      <c r="U217" s="128"/>
      <c r="V217" s="150">
        <f t="shared" ref="V217:AE217" si="591">V216-1</f>
        <v>-0.73494926345909284</v>
      </c>
      <c r="W217" s="150">
        <f t="shared" si="591"/>
        <v>-0.75861450779310247</v>
      </c>
      <c r="X217" s="150">
        <f t="shared" si="591"/>
        <v>-0.78016678388300398</v>
      </c>
      <c r="Y217" s="150">
        <f t="shared" si="591"/>
        <v>-0.79979474960773578</v>
      </c>
      <c r="Z217" s="150">
        <f t="shared" si="591"/>
        <v>-0.81767021839275944</v>
      </c>
      <c r="AA217" s="150">
        <f t="shared" si="591"/>
        <v>-0.83394966317912012</v>
      </c>
      <c r="AB217" s="150">
        <f t="shared" si="591"/>
        <v>-0.84877558610955584</v>
      </c>
      <c r="AC217" s="150">
        <f t="shared" si="591"/>
        <v>-0.86227776592120264</v>
      </c>
      <c r="AD217" s="150">
        <f t="shared" si="591"/>
        <v>-0.87457439396395242</v>
      </c>
      <c r="AE217" s="150">
        <f t="shared" si="591"/>
        <v>-0.88577310878859961</v>
      </c>
      <c r="AF217" s="137">
        <f t="shared" ref="AF217" si="592">((AE217/I217)^(1/($AE$3-$J$1) ))-1</f>
        <v>0.13952607346522683</v>
      </c>
      <c r="AG217" s="31">
        <f t="shared" si="585"/>
        <v>0.05</v>
      </c>
      <c r="AH217" s="179">
        <f>(AH204)/($N$2*100)</f>
        <v>0.43121805198241597</v>
      </c>
    </row>
    <row r="218" spans="2:34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28"/>
      <c r="U218" s="128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34"/>
      <c r="AF218" s="136"/>
      <c r="AG218" s="20"/>
      <c r="AH218" s="127"/>
    </row>
    <row r="219" spans="2:34">
      <c r="B219" s="20" t="s">
        <v>471</v>
      </c>
      <c r="C219" s="150"/>
      <c r="D219" s="150"/>
      <c r="E219" s="150"/>
      <c r="F219" s="150"/>
      <c r="G219" s="150">
        <f t="shared" ref="G219:S219" si="593">1/G220</f>
        <v>0.12573588383945664</v>
      </c>
      <c r="H219" s="150">
        <f t="shared" si="593"/>
        <v>4.8282579394351349E-2</v>
      </c>
      <c r="I219" s="150">
        <f t="shared" si="593"/>
        <v>3.5501896613493636E-2</v>
      </c>
      <c r="J219" s="150">
        <f t="shared" si="593"/>
        <v>5.7479261183751601E-2</v>
      </c>
      <c r="K219" s="150">
        <f t="shared" si="593"/>
        <v>5.2481064559077549E-2</v>
      </c>
      <c r="L219" s="150">
        <f t="shared" si="593"/>
        <v>0.12573588383945664</v>
      </c>
      <c r="M219" s="150">
        <f t="shared" si="593"/>
        <v>0.25147176767891327</v>
      </c>
      <c r="N219" s="150">
        <f t="shared" si="593"/>
        <v>0.22353046015903399</v>
      </c>
      <c r="O219" s="150">
        <f t="shared" si="593"/>
        <v>0.34487556710250961</v>
      </c>
      <c r="P219" s="150">
        <f t="shared" si="593"/>
        <v>0.27433283746790538</v>
      </c>
      <c r="Q219" s="150">
        <f t="shared" si="593"/>
        <v>0.1341182760954204</v>
      </c>
      <c r="R219" s="150">
        <f t="shared" si="593"/>
        <v>3.5089083862173943E-2</v>
      </c>
      <c r="S219" s="150">
        <f t="shared" si="593"/>
        <v>6.7059138047710201E-2</v>
      </c>
      <c r="T219" s="118">
        <f t="shared" si="533"/>
        <v>-5.1035657606178897E-2</v>
      </c>
      <c r="U219" s="128"/>
      <c r="V219" s="150">
        <f t="shared" ref="V219:AE219" si="594">1/V220</f>
        <v>0.12070644848587836</v>
      </c>
      <c r="W219" s="150">
        <f t="shared" si="594"/>
        <v>0.12070644848587836</v>
      </c>
      <c r="X219" s="150">
        <f t="shared" si="594"/>
        <v>0.12070644848587836</v>
      </c>
      <c r="Y219" s="150">
        <f t="shared" si="594"/>
        <v>0.12070644848587836</v>
      </c>
      <c r="Z219" s="150">
        <f t="shared" si="594"/>
        <v>0.12070644848587836</v>
      </c>
      <c r="AA219" s="150">
        <f t="shared" si="594"/>
        <v>0.12070644848587836</v>
      </c>
      <c r="AB219" s="150">
        <f t="shared" si="594"/>
        <v>0.12070644848587836</v>
      </c>
      <c r="AC219" s="150">
        <f t="shared" si="594"/>
        <v>0.12070644848587836</v>
      </c>
      <c r="AD219" s="150">
        <f t="shared" si="594"/>
        <v>0.12070644848587836</v>
      </c>
      <c r="AE219" s="150">
        <f t="shared" si="594"/>
        <v>0.12070644848587836</v>
      </c>
      <c r="AF219" s="137">
        <f t="shared" ref="AF219" si="595">((AE219/I219)^(1/($AE$3-$J$1) ))-1</f>
        <v>6.0006479195027662E-2</v>
      </c>
      <c r="AG219" s="31">
        <f t="shared" ref="AG219:AG222" si="596">$N$1</f>
        <v>0.05</v>
      </c>
      <c r="AH219" s="179">
        <f>(AH206)/($N$2*100)</f>
        <v>0.13023799231249708</v>
      </c>
    </row>
    <row r="220" spans="2:34">
      <c r="B220" s="20" t="s">
        <v>472</v>
      </c>
      <c r="C220" s="129"/>
      <c r="D220" s="129"/>
      <c r="E220" s="129"/>
      <c r="F220" s="129"/>
      <c r="G220" s="134">
        <f t="shared" ref="G220:H220" si="597">G201/$U$170</f>
        <v>7.9531790723866083</v>
      </c>
      <c r="H220" s="134">
        <f t="shared" si="597"/>
        <v>20.711403834340125</v>
      </c>
      <c r="I220" s="134">
        <f t="shared" ref="I220:S220" si="598">I201/$U$170</f>
        <v>28.167509214702573</v>
      </c>
      <c r="J220" s="134">
        <f t="shared" si="598"/>
        <v>17.397579220845707</v>
      </c>
      <c r="K220" s="134">
        <f t="shared" si="598"/>
        <v>19.054491527592916</v>
      </c>
      <c r="L220" s="134">
        <f t="shared" si="598"/>
        <v>7.9531790723866083</v>
      </c>
      <c r="M220" s="134">
        <f t="shared" si="598"/>
        <v>3.9765895361933041</v>
      </c>
      <c r="N220" s="134">
        <f t="shared" si="598"/>
        <v>4.4736632282174673</v>
      </c>
      <c r="O220" s="134">
        <f t="shared" si="598"/>
        <v>2.8995965368076178</v>
      </c>
      <c r="P220" s="134">
        <f t="shared" si="598"/>
        <v>3.6452070748438623</v>
      </c>
      <c r="Q220" s="134">
        <f t="shared" si="598"/>
        <v>7.4561053803624455</v>
      </c>
      <c r="R220" s="134">
        <f t="shared" si="598"/>
        <v>28.498891676052015</v>
      </c>
      <c r="S220" s="134">
        <f t="shared" si="598"/>
        <v>14.912210760724891</v>
      </c>
      <c r="T220" s="118">
        <f t="shared" si="533"/>
        <v>5.3780374378913143E-2</v>
      </c>
      <c r="U220" s="128"/>
      <c r="V220" s="134">
        <f t="shared" ref="V220:AE220" si="599">V201/$U$170</f>
        <v>8.284561533736051</v>
      </c>
      <c r="W220" s="134">
        <f t="shared" si="599"/>
        <v>8.284561533736051</v>
      </c>
      <c r="X220" s="134">
        <f t="shared" si="599"/>
        <v>8.284561533736051</v>
      </c>
      <c r="Y220" s="134">
        <f t="shared" si="599"/>
        <v>8.284561533736051</v>
      </c>
      <c r="Z220" s="134">
        <f t="shared" si="599"/>
        <v>8.284561533736051</v>
      </c>
      <c r="AA220" s="134">
        <f t="shared" si="599"/>
        <v>8.284561533736051</v>
      </c>
      <c r="AB220" s="134">
        <f t="shared" si="599"/>
        <v>8.284561533736051</v>
      </c>
      <c r="AC220" s="134">
        <f t="shared" si="599"/>
        <v>8.284561533736051</v>
      </c>
      <c r="AD220" s="134">
        <f t="shared" si="599"/>
        <v>8.284561533736051</v>
      </c>
      <c r="AE220" s="134">
        <f t="shared" si="599"/>
        <v>8.284561533736051</v>
      </c>
      <c r="AF220" s="137">
        <f t="shared" ref="AF220:AF222" si="600">((AE220/I220)^(1/($AE$3-$J$1) ))-1</f>
        <v>-5.6609540010167381E-2</v>
      </c>
      <c r="AG220" s="31">
        <f t="shared" si="596"/>
        <v>0.05</v>
      </c>
      <c r="AH220" s="179">
        <f>(AH206)/($N$2*100)</f>
        <v>0.13023799231249708</v>
      </c>
    </row>
    <row r="221" spans="2:34">
      <c r="B221" s="20" t="s">
        <v>466</v>
      </c>
      <c r="C221" s="129"/>
      <c r="D221" s="129"/>
      <c r="E221" s="129"/>
      <c r="F221" s="129"/>
      <c r="G221" s="179">
        <f t="shared" ref="G221:H221" si="601">(G220)/($N$2*100)</f>
        <v>0.66276492269888398</v>
      </c>
      <c r="H221" s="179">
        <f t="shared" si="601"/>
        <v>1.7259503195283437</v>
      </c>
      <c r="I221" s="179">
        <f t="shared" ref="I221:S221" si="602">(I220)/($N$2*100)</f>
        <v>2.3472924345585477</v>
      </c>
      <c r="J221" s="179">
        <f t="shared" si="602"/>
        <v>1.4497982684038089</v>
      </c>
      <c r="K221" s="179">
        <f t="shared" si="602"/>
        <v>1.5878742939660764</v>
      </c>
      <c r="L221" s="179">
        <f t="shared" si="602"/>
        <v>0.66276492269888398</v>
      </c>
      <c r="M221" s="179">
        <f t="shared" si="602"/>
        <v>0.33138246134944199</v>
      </c>
      <c r="N221" s="179">
        <f t="shared" si="602"/>
        <v>0.37280526901812228</v>
      </c>
      <c r="O221" s="179">
        <f t="shared" si="602"/>
        <v>0.24163304473396816</v>
      </c>
      <c r="P221" s="179">
        <f t="shared" si="602"/>
        <v>0.30376725623698853</v>
      </c>
      <c r="Q221" s="179">
        <f t="shared" si="602"/>
        <v>0.62134211503020376</v>
      </c>
      <c r="R221" s="179">
        <f t="shared" si="602"/>
        <v>2.3749076396710014</v>
      </c>
      <c r="S221" s="179">
        <f t="shared" si="602"/>
        <v>1.2426842300604075</v>
      </c>
      <c r="T221" s="118">
        <f t="shared" si="533"/>
        <v>5.3780374378913143E-2</v>
      </c>
      <c r="U221" s="128"/>
      <c r="V221" s="179">
        <f t="shared" ref="V221:AE221" si="603">(V220)/($N$2*100)</f>
        <v>0.69038012781133762</v>
      </c>
      <c r="W221" s="179">
        <f t="shared" si="603"/>
        <v>0.69038012781133762</v>
      </c>
      <c r="X221" s="179">
        <f t="shared" si="603"/>
        <v>0.69038012781133762</v>
      </c>
      <c r="Y221" s="179">
        <f t="shared" si="603"/>
        <v>0.69038012781133762</v>
      </c>
      <c r="Z221" s="179">
        <f t="shared" si="603"/>
        <v>0.69038012781133762</v>
      </c>
      <c r="AA221" s="179">
        <f t="shared" si="603"/>
        <v>0.69038012781133762</v>
      </c>
      <c r="AB221" s="179">
        <f t="shared" si="603"/>
        <v>0.69038012781133762</v>
      </c>
      <c r="AC221" s="179">
        <f t="shared" si="603"/>
        <v>0.69038012781133762</v>
      </c>
      <c r="AD221" s="179">
        <f t="shared" si="603"/>
        <v>0.69038012781133762</v>
      </c>
      <c r="AE221" s="179">
        <f t="shared" si="603"/>
        <v>0.69038012781133762</v>
      </c>
      <c r="AF221" s="137">
        <f t="shared" si="600"/>
        <v>-5.6609540010167381E-2</v>
      </c>
      <c r="AG221" s="31">
        <f t="shared" si="596"/>
        <v>0.05</v>
      </c>
      <c r="AH221" s="179">
        <f>(AH207)/($N$2*100)</f>
        <v>7.6786131407577622</v>
      </c>
    </row>
    <row r="222" spans="2:34">
      <c r="B222" s="20" t="s">
        <v>467</v>
      </c>
      <c r="C222" s="129"/>
      <c r="D222" s="129"/>
      <c r="E222" s="129"/>
      <c r="F222" s="129"/>
      <c r="G222" s="150">
        <f t="shared" ref="G222:H222" si="604">G221-1</f>
        <v>-0.33723507730111602</v>
      </c>
      <c r="H222" s="150">
        <f t="shared" si="604"/>
        <v>0.72595031952834366</v>
      </c>
      <c r="I222" s="150">
        <f t="shared" ref="I222:S222" si="605">I221-1</f>
        <v>1.3472924345585477</v>
      </c>
      <c r="J222" s="150">
        <f t="shared" si="605"/>
        <v>0.44979826840380888</v>
      </c>
      <c r="K222" s="150">
        <f t="shared" si="605"/>
        <v>0.58787429396607638</v>
      </c>
      <c r="L222" s="150">
        <f t="shared" si="605"/>
        <v>-0.33723507730111602</v>
      </c>
      <c r="M222" s="150">
        <f t="shared" si="605"/>
        <v>-0.66861753865055795</v>
      </c>
      <c r="N222" s="150">
        <f t="shared" si="605"/>
        <v>-0.62719473098187772</v>
      </c>
      <c r="O222" s="150">
        <f t="shared" si="605"/>
        <v>-0.75836695526603182</v>
      </c>
      <c r="P222" s="150">
        <f t="shared" si="605"/>
        <v>-0.69623274376301147</v>
      </c>
      <c r="Q222" s="150">
        <f t="shared" si="605"/>
        <v>-0.37865788496979624</v>
      </c>
      <c r="R222" s="150">
        <f t="shared" si="605"/>
        <v>1.3749076396710014</v>
      </c>
      <c r="S222" s="150">
        <f t="shared" si="605"/>
        <v>0.24268423006040751</v>
      </c>
      <c r="T222" s="118" t="e">
        <f t="shared" si="533"/>
        <v>#NUM!</v>
      </c>
      <c r="U222" s="128"/>
      <c r="V222" s="150">
        <f t="shared" ref="V222:AE222" si="606">V221-1</f>
        <v>-0.30961987218866238</v>
      </c>
      <c r="W222" s="150">
        <f t="shared" si="606"/>
        <v>-0.30961987218866238</v>
      </c>
      <c r="X222" s="150">
        <f t="shared" si="606"/>
        <v>-0.30961987218866238</v>
      </c>
      <c r="Y222" s="150">
        <f t="shared" si="606"/>
        <v>-0.30961987218866238</v>
      </c>
      <c r="Z222" s="150">
        <f t="shared" si="606"/>
        <v>-0.30961987218866238</v>
      </c>
      <c r="AA222" s="150">
        <f t="shared" si="606"/>
        <v>-0.30961987218866238</v>
      </c>
      <c r="AB222" s="150">
        <f t="shared" si="606"/>
        <v>-0.30961987218866238</v>
      </c>
      <c r="AC222" s="150">
        <f t="shared" si="606"/>
        <v>-0.30961987218866238</v>
      </c>
      <c r="AD222" s="150">
        <f t="shared" si="606"/>
        <v>-0.30961987218866238</v>
      </c>
      <c r="AE222" s="150">
        <f t="shared" si="606"/>
        <v>-0.30961987218866238</v>
      </c>
      <c r="AF222" s="137">
        <f t="shared" si="600"/>
        <v>-1.9323713127602962</v>
      </c>
      <c r="AG222" s="31">
        <f t="shared" si="596"/>
        <v>0.05</v>
      </c>
      <c r="AH222" s="179">
        <f>(AH208)/($N$2*100)</f>
        <v>0.11727051135924733</v>
      </c>
    </row>
    <row r="223" spans="2:34">
      <c r="B223" s="20"/>
      <c r="C223" s="129"/>
      <c r="D223" s="129"/>
      <c r="E223" s="129"/>
      <c r="F223" s="129"/>
      <c r="G223" s="134"/>
      <c r="H223" s="134"/>
      <c r="I223" s="134"/>
      <c r="J223" s="134"/>
      <c r="K223" s="134"/>
      <c r="L223" s="134"/>
      <c r="M223" s="197"/>
      <c r="N223" s="198"/>
      <c r="O223" s="134"/>
      <c r="P223" s="134"/>
      <c r="Q223" s="134"/>
      <c r="R223" s="134"/>
      <c r="S223" s="134"/>
      <c r="T223" s="128"/>
      <c r="U223" s="128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6"/>
      <c r="AG223" s="20"/>
      <c r="AH223" s="20"/>
    </row>
    <row r="224" spans="2:34">
      <c r="B224" s="20" t="s">
        <v>471</v>
      </c>
      <c r="C224" s="129"/>
      <c r="D224" s="129"/>
      <c r="E224" s="129"/>
      <c r="F224" s="129"/>
      <c r="G224" s="150">
        <f t="shared" ref="G224:S224" si="607">1/G225</f>
        <v>0.19767194868091253</v>
      </c>
      <c r="H224" s="150">
        <f t="shared" si="607"/>
        <v>7.5906028293470415E-2</v>
      </c>
      <c r="I224" s="150">
        <f t="shared" si="607"/>
        <v>5.5813256098140009E-2</v>
      </c>
      <c r="J224" s="150">
        <f t="shared" si="607"/>
        <v>9.0364319396988593E-2</v>
      </c>
      <c r="K224" s="150">
        <f t="shared" si="607"/>
        <v>8.2506552492902618E-2</v>
      </c>
      <c r="L224" s="150">
        <f t="shared" si="607"/>
        <v>0.19767194868091253</v>
      </c>
      <c r="M224" s="150">
        <f t="shared" si="607"/>
        <v>0.39534389736182507</v>
      </c>
      <c r="N224" s="150">
        <f t="shared" si="607"/>
        <v>0.35141679765495559</v>
      </c>
      <c r="O224" s="150">
        <f t="shared" si="607"/>
        <v>0.54218591638193159</v>
      </c>
      <c r="P224" s="150">
        <f t="shared" si="607"/>
        <v>0.43128425166744555</v>
      </c>
      <c r="Q224" s="150">
        <f t="shared" si="607"/>
        <v>0.21085007859297336</v>
      </c>
      <c r="R224" s="150">
        <f t="shared" si="607"/>
        <v>5.5164264748161634E-2</v>
      </c>
      <c r="S224" s="150">
        <f t="shared" si="607"/>
        <v>0.10542503929648668</v>
      </c>
      <c r="T224" s="118">
        <f t="shared" si="533"/>
        <v>-5.1035657606178897E-2</v>
      </c>
      <c r="U224" s="128"/>
      <c r="V224" s="150">
        <f t="shared" ref="V224:AE224" si="608">1/V225</f>
        <v>0.18976507073367604</v>
      </c>
      <c r="W224" s="150">
        <f t="shared" si="608"/>
        <v>0.18976507073367604</v>
      </c>
      <c r="X224" s="150">
        <f t="shared" si="608"/>
        <v>0.18976507073367604</v>
      </c>
      <c r="Y224" s="150">
        <f t="shared" si="608"/>
        <v>0.18976507073367604</v>
      </c>
      <c r="Z224" s="150">
        <f t="shared" si="608"/>
        <v>0.18976507073367604</v>
      </c>
      <c r="AA224" s="150">
        <f t="shared" si="608"/>
        <v>0.18976507073367604</v>
      </c>
      <c r="AB224" s="150">
        <f t="shared" si="608"/>
        <v>0.18976507073367604</v>
      </c>
      <c r="AC224" s="150">
        <f t="shared" si="608"/>
        <v>0.18976507073367604</v>
      </c>
      <c r="AD224" s="150">
        <f t="shared" si="608"/>
        <v>0.18976507073367604</v>
      </c>
      <c r="AE224" s="150">
        <f t="shared" si="608"/>
        <v>0.18976507073367604</v>
      </c>
      <c r="AF224" s="137">
        <f t="shared" ref="AF224" si="609">((AE224/I224)^(1/($AE$3-$J$1) ))-1</f>
        <v>6.0006479195027662E-2</v>
      </c>
      <c r="AG224" s="31">
        <f t="shared" ref="AG224" si="610">$N$1</f>
        <v>0.05</v>
      </c>
      <c r="AH224" s="179">
        <f>(AH210)/($N$2*100)</f>
        <v>0</v>
      </c>
    </row>
    <row r="225" spans="2:48">
      <c r="B225" s="20" t="s">
        <v>473</v>
      </c>
      <c r="C225" s="129"/>
      <c r="D225" s="129"/>
      <c r="E225" s="129"/>
      <c r="F225" s="129"/>
      <c r="G225" s="134">
        <f t="shared" ref="G225:H225" si="611">G201/$S$170</f>
        <v>5.0588867397378037</v>
      </c>
      <c r="H225" s="134">
        <f t="shared" si="611"/>
        <v>13.174184218067197</v>
      </c>
      <c r="I225" s="134">
        <f t="shared" ref="I225:S225" si="612">I201/$S$170</f>
        <v>17.916890536571387</v>
      </c>
      <c r="J225" s="134">
        <f t="shared" si="612"/>
        <v>11.066314743176445</v>
      </c>
      <c r="K225" s="134">
        <f t="shared" si="612"/>
        <v>12.120249480621821</v>
      </c>
      <c r="L225" s="134">
        <f t="shared" si="612"/>
        <v>5.0588867397378037</v>
      </c>
      <c r="M225" s="134">
        <f t="shared" si="612"/>
        <v>2.5294433698689018</v>
      </c>
      <c r="N225" s="134">
        <f t="shared" si="612"/>
        <v>2.8456237911025144</v>
      </c>
      <c r="O225" s="134">
        <f t="shared" si="612"/>
        <v>1.8443857905294074</v>
      </c>
      <c r="P225" s="134">
        <f t="shared" si="612"/>
        <v>2.3186564223798265</v>
      </c>
      <c r="Q225" s="134">
        <f t="shared" si="612"/>
        <v>4.7427063185041911</v>
      </c>
      <c r="R225" s="134">
        <f t="shared" si="612"/>
        <v>18.127677484060463</v>
      </c>
      <c r="S225" s="134">
        <f t="shared" si="612"/>
        <v>9.4854126370083822</v>
      </c>
      <c r="T225" s="118">
        <f t="shared" si="533"/>
        <v>5.3780374378913143E-2</v>
      </c>
      <c r="U225" s="128"/>
      <c r="V225" s="134">
        <f t="shared" ref="V225:AE225" si="613">V201/$S$170</f>
        <v>5.2696736872268781</v>
      </c>
      <c r="W225" s="134">
        <f t="shared" si="613"/>
        <v>5.2696736872268781</v>
      </c>
      <c r="X225" s="134">
        <f t="shared" si="613"/>
        <v>5.2696736872268781</v>
      </c>
      <c r="Y225" s="134">
        <f t="shared" si="613"/>
        <v>5.2696736872268781</v>
      </c>
      <c r="Z225" s="134">
        <f t="shared" si="613"/>
        <v>5.2696736872268781</v>
      </c>
      <c r="AA225" s="134">
        <f t="shared" si="613"/>
        <v>5.2696736872268781</v>
      </c>
      <c r="AB225" s="134">
        <f t="shared" si="613"/>
        <v>5.2696736872268781</v>
      </c>
      <c r="AC225" s="134">
        <f t="shared" si="613"/>
        <v>5.2696736872268781</v>
      </c>
      <c r="AD225" s="134">
        <f t="shared" si="613"/>
        <v>5.2696736872268781</v>
      </c>
      <c r="AE225" s="134">
        <f t="shared" si="613"/>
        <v>5.2696736872268781</v>
      </c>
      <c r="AF225" s="137">
        <f t="shared" ref="AF225:AF227" si="614">((AE225/I225)^(1/($AE$3-$J$1) ))-1</f>
        <v>-5.6609540010167381E-2</v>
      </c>
      <c r="AG225" s="31">
        <f t="shared" ref="AG225:AG227" si="615">$N$1</f>
        <v>0.05</v>
      </c>
      <c r="AH225" s="179">
        <f>(AH210)/($N$2*100)</f>
        <v>0</v>
      </c>
    </row>
    <row r="226" spans="2:48">
      <c r="B226" s="20" t="s">
        <v>466</v>
      </c>
      <c r="C226" s="129"/>
      <c r="D226" s="129"/>
      <c r="E226" s="129"/>
      <c r="F226" s="129"/>
      <c r="G226" s="179">
        <f t="shared" ref="G226:H226" si="616">(G225)/($N$2*100)</f>
        <v>0.42157389497815029</v>
      </c>
      <c r="H226" s="179">
        <f t="shared" si="616"/>
        <v>1.0978486848389331</v>
      </c>
      <c r="I226" s="179">
        <f t="shared" ref="I226:S226" si="617">(I225)/($N$2*100)</f>
        <v>1.493074211380949</v>
      </c>
      <c r="J226" s="179">
        <f t="shared" si="617"/>
        <v>0.92219289526470372</v>
      </c>
      <c r="K226" s="179">
        <f t="shared" si="617"/>
        <v>1.0100207900518183</v>
      </c>
      <c r="L226" s="179">
        <f t="shared" si="617"/>
        <v>0.42157389497815029</v>
      </c>
      <c r="M226" s="179">
        <f t="shared" si="617"/>
        <v>0.21078694748907514</v>
      </c>
      <c r="N226" s="179">
        <f t="shared" si="617"/>
        <v>0.23713531592520953</v>
      </c>
      <c r="O226" s="179">
        <f t="shared" si="617"/>
        <v>0.15369881587745063</v>
      </c>
      <c r="P226" s="179">
        <f t="shared" si="617"/>
        <v>0.1932213685316522</v>
      </c>
      <c r="Q226" s="179">
        <f t="shared" si="617"/>
        <v>0.39522552654201593</v>
      </c>
      <c r="R226" s="179">
        <f t="shared" si="617"/>
        <v>1.5106397903383719</v>
      </c>
      <c r="S226" s="179">
        <f t="shared" si="617"/>
        <v>0.79045105308403185</v>
      </c>
      <c r="T226" s="118">
        <f t="shared" si="533"/>
        <v>5.3780374378913365E-2</v>
      </c>
      <c r="U226" s="128"/>
      <c r="V226" s="179">
        <f t="shared" ref="V226:AE226" si="618">(V225)/($N$2*100)</f>
        <v>0.43913947393557318</v>
      </c>
      <c r="W226" s="179">
        <f t="shared" si="618"/>
        <v>0.43913947393557318</v>
      </c>
      <c r="X226" s="179">
        <f t="shared" si="618"/>
        <v>0.43913947393557318</v>
      </c>
      <c r="Y226" s="179">
        <f t="shared" si="618"/>
        <v>0.43913947393557318</v>
      </c>
      <c r="Z226" s="179">
        <f t="shared" si="618"/>
        <v>0.43913947393557318</v>
      </c>
      <c r="AA226" s="179">
        <f t="shared" si="618"/>
        <v>0.43913947393557318</v>
      </c>
      <c r="AB226" s="179">
        <f t="shared" si="618"/>
        <v>0.43913947393557318</v>
      </c>
      <c r="AC226" s="179">
        <f t="shared" si="618"/>
        <v>0.43913947393557318</v>
      </c>
      <c r="AD226" s="179">
        <f t="shared" si="618"/>
        <v>0.43913947393557318</v>
      </c>
      <c r="AE226" s="179">
        <f t="shared" si="618"/>
        <v>0.43913947393557318</v>
      </c>
      <c r="AF226" s="137">
        <f t="shared" si="614"/>
        <v>-5.6609540010167381E-2</v>
      </c>
      <c r="AG226" s="31">
        <f t="shared" si="615"/>
        <v>0.05</v>
      </c>
      <c r="AH226" s="179" t="e">
        <f>(#REF!)/($N$2*100)</f>
        <v>#REF!</v>
      </c>
    </row>
    <row r="227" spans="2:48">
      <c r="B227" s="20" t="s">
        <v>467</v>
      </c>
      <c r="C227" s="129"/>
      <c r="D227" s="129"/>
      <c r="E227" s="129"/>
      <c r="F227" s="129"/>
      <c r="G227" s="150">
        <f t="shared" ref="G227:H227" si="619">G226-1</f>
        <v>-0.57842610502184977</v>
      </c>
      <c r="H227" s="150">
        <f t="shared" si="619"/>
        <v>9.7848684838933053E-2</v>
      </c>
      <c r="I227" s="150">
        <f t="shared" ref="I227:S227" si="620">I226-1</f>
        <v>0.49307421138094898</v>
      </c>
      <c r="J227" s="150">
        <f t="shared" si="620"/>
        <v>-7.7807104735296284E-2</v>
      </c>
      <c r="K227" s="150">
        <f t="shared" si="620"/>
        <v>1.0020790051818329E-2</v>
      </c>
      <c r="L227" s="150">
        <f t="shared" si="620"/>
        <v>-0.57842610502184977</v>
      </c>
      <c r="M227" s="150">
        <f t="shared" si="620"/>
        <v>-0.78921305251092488</v>
      </c>
      <c r="N227" s="150">
        <f t="shared" si="620"/>
        <v>-0.76286468407479047</v>
      </c>
      <c r="O227" s="150">
        <f t="shared" si="620"/>
        <v>-0.8463011841225494</v>
      </c>
      <c r="P227" s="150">
        <f t="shared" si="620"/>
        <v>-0.80677863146834783</v>
      </c>
      <c r="Q227" s="150">
        <f t="shared" si="620"/>
        <v>-0.60477447345798407</v>
      </c>
      <c r="R227" s="150">
        <f t="shared" si="620"/>
        <v>0.51063979033837192</v>
      </c>
      <c r="S227" s="150">
        <f t="shared" si="620"/>
        <v>-0.20954894691596815</v>
      </c>
      <c r="T227" s="118">
        <f t="shared" si="533"/>
        <v>-8.1131987606712586E-2</v>
      </c>
      <c r="U227" s="128"/>
      <c r="V227" s="150">
        <f t="shared" ref="V227:AE227" si="621">V226-1</f>
        <v>-0.56086052606442682</v>
      </c>
      <c r="W227" s="150">
        <f t="shared" si="621"/>
        <v>-0.56086052606442682</v>
      </c>
      <c r="X227" s="150">
        <f t="shared" si="621"/>
        <v>-0.56086052606442682</v>
      </c>
      <c r="Y227" s="150">
        <f t="shared" si="621"/>
        <v>-0.56086052606442682</v>
      </c>
      <c r="Z227" s="150">
        <f t="shared" si="621"/>
        <v>-0.56086052606442682</v>
      </c>
      <c r="AA227" s="150">
        <f t="shared" si="621"/>
        <v>-0.56086052606442682</v>
      </c>
      <c r="AB227" s="150">
        <f t="shared" si="621"/>
        <v>-0.56086052606442682</v>
      </c>
      <c r="AC227" s="150">
        <f t="shared" si="621"/>
        <v>-0.56086052606442682</v>
      </c>
      <c r="AD227" s="150">
        <f t="shared" si="621"/>
        <v>-0.56086052606442682</v>
      </c>
      <c r="AE227" s="150">
        <f t="shared" si="621"/>
        <v>-0.56086052606442682</v>
      </c>
      <c r="AF227" s="137">
        <f t="shared" si="614"/>
        <v>-2.0061527827530448</v>
      </c>
      <c r="AG227" s="31">
        <f t="shared" si="615"/>
        <v>0.05</v>
      </c>
      <c r="AH227" s="179">
        <f>(AH211)/($N$2*100)</f>
        <v>3.2838574880505685E-2</v>
      </c>
    </row>
    <row r="228" spans="2:48">
      <c r="B228" s="20"/>
      <c r="C228" s="129"/>
      <c r="D228" s="129"/>
      <c r="E228" s="129"/>
      <c r="F228" s="129"/>
      <c r="G228" s="129"/>
      <c r="H228" s="129"/>
      <c r="I228" s="134"/>
      <c r="J228" s="134"/>
      <c r="K228" s="134"/>
      <c r="L228" s="134"/>
      <c r="M228" s="197"/>
      <c r="N228" s="198"/>
      <c r="O228" s="134"/>
      <c r="P228" s="134"/>
      <c r="Q228" s="134"/>
      <c r="R228" s="134"/>
      <c r="S228" s="134"/>
      <c r="T228" s="128"/>
      <c r="U228" s="128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6"/>
      <c r="AG228" s="20"/>
      <c r="AH228" s="20"/>
    </row>
    <row r="229" spans="2:48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6" t="s">
        <v>347</v>
      </c>
      <c r="N229" s="217"/>
      <c r="O229" s="20"/>
      <c r="P229" s="20"/>
      <c r="Q229" s="20"/>
      <c r="R229" s="108" t="s">
        <v>426</v>
      </c>
      <c r="S229" s="108" t="s">
        <v>425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36"/>
      <c r="AG229" s="20"/>
      <c r="AH229" s="20"/>
    </row>
    <row r="230" spans="2:48">
      <c r="B230" s="20" t="s">
        <v>298</v>
      </c>
      <c r="C230" s="20" t="s">
        <v>311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 t="s">
        <v>348</v>
      </c>
      <c r="N230" s="22">
        <v>1</v>
      </c>
      <c r="O230" s="20"/>
      <c r="P230" s="20"/>
      <c r="Q230" s="20"/>
      <c r="R230" s="128">
        <f>(S201-U188)/S201</f>
        <v>0.79993665134049019</v>
      </c>
      <c r="S230" s="128">
        <f>(S201-V188)/S201</f>
        <v>0.83541031008686373</v>
      </c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36"/>
      <c r="AG230" s="20"/>
      <c r="AH230" s="20"/>
    </row>
    <row r="231" spans="2:48">
      <c r="B231" s="20" t="s">
        <v>345</v>
      </c>
      <c r="C231" s="20" t="s">
        <v>311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170">
        <f>$N$230</f>
        <v>1</v>
      </c>
      <c r="N231" s="20"/>
      <c r="O231" s="128">
        <f>(R201-(M231*U179))/R201</f>
        <v>-0.62604620169999536</v>
      </c>
      <c r="P231" s="20"/>
      <c r="Q231" s="20"/>
      <c r="R231" s="128">
        <f>(S201-U179)/S201</f>
        <v>-2.1075549632488801</v>
      </c>
      <c r="S231" s="128">
        <f>(S201-V179)/S201</f>
        <v>0.56698004610466424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136"/>
      <c r="AG231" s="20"/>
      <c r="AH231" s="20"/>
    </row>
    <row r="232" spans="2:48">
      <c r="B232" s="20" t="s">
        <v>346</v>
      </c>
      <c r="C232" s="20" t="s">
        <v>311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170">
        <f>$N$230</f>
        <v>1</v>
      </c>
      <c r="N232" s="20"/>
      <c r="O232" s="128">
        <f>(R201-(M232*U172))/R201</f>
        <v>-0.22495606241947963</v>
      </c>
      <c r="P232" s="20"/>
      <c r="Q232" s="20"/>
      <c r="R232" s="128">
        <f>(S201-U172)/S201</f>
        <v>-1.3410271415127832</v>
      </c>
      <c r="S232" s="128">
        <f>(S201-V172)/S201</f>
        <v>0.6737912999531368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136"/>
      <c r="AG232" s="20"/>
      <c r="AH232" s="20"/>
    </row>
    <row r="233" spans="2:48">
      <c r="B233" s="20" t="s">
        <v>349</v>
      </c>
      <c r="C233" s="20" t="s">
        <v>311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170">
        <f>$N$230</f>
        <v>1</v>
      </c>
      <c r="N233" s="20"/>
      <c r="O233" s="128">
        <f>(R201-(M233*U185))/R201</f>
        <v>0.97762017027000248</v>
      </c>
      <c r="P233" s="20"/>
      <c r="Q233" s="20"/>
      <c r="R233" s="128">
        <f>(S201-U185)/S201</f>
        <v>0.95722965873822707</v>
      </c>
      <c r="S233" s="128">
        <f>(S201-V185)/S201</f>
        <v>0.99404019834876933</v>
      </c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136"/>
      <c r="AG233" s="20"/>
      <c r="AH233" s="20"/>
    </row>
    <row r="234" spans="2:48">
      <c r="B234" s="20" t="s">
        <v>395</v>
      </c>
      <c r="C234" s="20" t="s">
        <v>311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170">
        <f>$N$230</f>
        <v>1</v>
      </c>
      <c r="N234" s="20"/>
      <c r="O234" s="128">
        <f>(R201-(M234*U198))/R201</f>
        <v>1</v>
      </c>
      <c r="P234" s="20"/>
      <c r="Q234" s="20"/>
      <c r="R234" s="128">
        <f>(S201-U198)/S201</f>
        <v>1</v>
      </c>
      <c r="S234" s="128">
        <f>(S201-V198)/S201</f>
        <v>1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136"/>
      <c r="AG234" s="20"/>
      <c r="AH234" s="20"/>
    </row>
    <row r="235" spans="2:48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>
        <f>S201/U171</f>
        <v>2.0584943303172443</v>
      </c>
      <c r="S235" s="25">
        <f>S201/V171</f>
        <v>14.772724017570809</v>
      </c>
      <c r="T235" s="20"/>
      <c r="U235" s="20"/>
      <c r="V235" s="115" t="s">
        <v>11</v>
      </c>
      <c r="W235" s="115" t="s">
        <v>12</v>
      </c>
      <c r="X235" s="115" t="s">
        <v>13</v>
      </c>
      <c r="Y235" s="115" t="s">
        <v>14</v>
      </c>
      <c r="Z235" s="115" t="s">
        <v>15</v>
      </c>
      <c r="AA235" s="115" t="s">
        <v>234</v>
      </c>
      <c r="AB235" s="115" t="s">
        <v>235</v>
      </c>
      <c r="AC235" s="115" t="s">
        <v>236</v>
      </c>
      <c r="AD235" s="115" t="s">
        <v>237</v>
      </c>
      <c r="AE235" s="115" t="s">
        <v>238</v>
      </c>
      <c r="AF235" s="115" t="s">
        <v>403</v>
      </c>
      <c r="AG235" s="115" t="s">
        <v>404</v>
      </c>
      <c r="AH235" s="115" t="s">
        <v>405</v>
      </c>
      <c r="AI235" s="115" t="s">
        <v>406</v>
      </c>
      <c r="AJ235" s="115" t="s">
        <v>407</v>
      </c>
      <c r="AK235" s="115" t="s">
        <v>408</v>
      </c>
      <c r="AL235" s="115" t="s">
        <v>409</v>
      </c>
      <c r="AM235" s="115" t="s">
        <v>410</v>
      </c>
      <c r="AN235" s="115" t="s">
        <v>411</v>
      </c>
      <c r="AO235" s="115" t="s">
        <v>412</v>
      </c>
      <c r="AP235" s="115" t="s">
        <v>413</v>
      </c>
      <c r="AQ235" s="115" t="s">
        <v>414</v>
      </c>
      <c r="AR235" s="115" t="s">
        <v>415</v>
      </c>
      <c r="AS235" s="115" t="s">
        <v>416</v>
      </c>
      <c r="AT235" s="115" t="s">
        <v>417</v>
      </c>
      <c r="AU235" s="115" t="s">
        <v>418</v>
      </c>
      <c r="AV235" s="115" t="s">
        <v>419</v>
      </c>
    </row>
    <row r="236" spans="2:48">
      <c r="B236" s="20" t="s">
        <v>367</v>
      </c>
      <c r="C236" s="20"/>
      <c r="D236" s="20"/>
      <c r="E236" s="20"/>
      <c r="F236" s="20"/>
      <c r="G236" s="20"/>
      <c r="H236" s="20"/>
      <c r="I236" s="187" t="s">
        <v>444</v>
      </c>
      <c r="J236" s="188"/>
      <c r="K236" s="187" t="s">
        <v>445</v>
      </c>
      <c r="L236" s="188"/>
      <c r="M236" s="20"/>
      <c r="N236" s="187" t="s">
        <v>446</v>
      </c>
      <c r="O236" s="188"/>
      <c r="P236" s="187" t="s">
        <v>447</v>
      </c>
      <c r="Q236" s="188"/>
      <c r="R236" s="150">
        <f>1/R235</f>
        <v>0.48579196224741861</v>
      </c>
      <c r="S236" s="150">
        <f>1/S235</f>
        <v>6.7692322608246869E-2</v>
      </c>
      <c r="T236" s="20"/>
      <c r="U236" s="20"/>
      <c r="V236" s="129">
        <f>S201-V237</f>
        <v>76.460022537661686</v>
      </c>
      <c r="W236" s="183">
        <f>V236-W237</f>
        <v>62.243046202206457</v>
      </c>
      <c r="X236" s="183">
        <f t="shared" ref="X236:Z236" si="622">W236-X237</f>
        <v>47.315221049978469</v>
      </c>
      <c r="Y236" s="183">
        <f t="shared" si="622"/>
        <v>31.64100464013908</v>
      </c>
      <c r="Z236" s="183">
        <f t="shared" si="622"/>
        <v>15.183077409807719</v>
      </c>
      <c r="AA236" s="183">
        <f>Z236-AA237</f>
        <v>-2.0977461820402112</v>
      </c>
      <c r="AB236" s="183">
        <f t="shared" ref="AB236:AE236" si="623">AA236-AB237</f>
        <v>-20.24261095348054</v>
      </c>
      <c r="AC236" s="183">
        <f t="shared" si="623"/>
        <v>-39.294718963492883</v>
      </c>
      <c r="AD236" s="183">
        <f t="shared" si="623"/>
        <v>-59.299432374005846</v>
      </c>
      <c r="AE236" s="183">
        <f t="shared" si="623"/>
        <v>-80.304381455044464</v>
      </c>
      <c r="AF236" s="183">
        <f t="shared" ref="AF236" si="624">AE236-AF237</f>
        <v>-102.35957799013501</v>
      </c>
      <c r="AG236" s="183">
        <f t="shared" ref="AG236" si="625">AF236-AG237</f>
        <v>-125.51753435198009</v>
      </c>
      <c r="AH236" s="183">
        <f t="shared" ref="AH236" si="626">AG236-AH237</f>
        <v>-149.83338853191742</v>
      </c>
      <c r="AI236" s="183">
        <f t="shared" ref="AI236" si="627">AH236-AI237</f>
        <v>-175.36503542085163</v>
      </c>
      <c r="AJ236" s="183">
        <f t="shared" ref="AJ236" si="628">AI236-AJ237</f>
        <v>-202.17326465423253</v>
      </c>
      <c r="AK236" s="183">
        <f t="shared" ref="AK236" si="629">AJ236-AK237</f>
        <v>-230.32190534928247</v>
      </c>
      <c r="AL236" s="183">
        <f t="shared" ref="AL236" si="630">AK236-AL237</f>
        <v>-259.87797807908493</v>
      </c>
      <c r="AM236" s="183">
        <f t="shared" ref="AM236" si="631">AL236-AM237</f>
        <v>-290.91185444537751</v>
      </c>
      <c r="AN236" s="183">
        <f t="shared" ref="AN236" si="632">AM236-AN237</f>
        <v>-323.49742462998472</v>
      </c>
      <c r="AO236" s="183">
        <f t="shared" ref="AO236" si="633">AN236-AO237</f>
        <v>-357.71227332382227</v>
      </c>
      <c r="AP236" s="183">
        <f t="shared" ref="AP236" si="634">AO236-AP237</f>
        <v>-393.63786445235172</v>
      </c>
      <c r="AQ236" s="183">
        <f t="shared" ref="AQ236" si="635">AP236-AQ237</f>
        <v>-431.35973513730767</v>
      </c>
      <c r="AR236" s="183">
        <f t="shared" ref="AR236" si="636">AQ236-AR237</f>
        <v>-470.96769935651139</v>
      </c>
      <c r="AS236" s="183">
        <f t="shared" ref="AS236" si="637">AR236-AS237</f>
        <v>-512.55606178667529</v>
      </c>
      <c r="AT236" s="183">
        <f t="shared" ref="AT236" si="638">AS236-AT237</f>
        <v>-556.22384233834737</v>
      </c>
      <c r="AU236" s="183">
        <f t="shared" ref="AU236" si="639">AT236-AU237</f>
        <v>-602.07501191760309</v>
      </c>
      <c r="AV236" s="183">
        <f t="shared" ref="AV236" si="640">AU236-AV237</f>
        <v>-650.21873997582156</v>
      </c>
    </row>
    <row r="237" spans="2:48">
      <c r="B237" s="20" t="s">
        <v>392</v>
      </c>
      <c r="C237" s="20"/>
      <c r="D237" s="20"/>
      <c r="E237" s="20"/>
      <c r="F237" s="20"/>
      <c r="G237" s="20"/>
      <c r="H237" s="20"/>
      <c r="I237" s="189">
        <v>0</v>
      </c>
      <c r="J237" s="188"/>
      <c r="K237" s="189">
        <v>0.05</v>
      </c>
      <c r="L237" s="188"/>
      <c r="M237" s="182">
        <f>R1</f>
        <v>0.05</v>
      </c>
      <c r="N237" s="189">
        <v>0.12</v>
      </c>
      <c r="O237" s="188"/>
      <c r="P237" s="189">
        <v>0.2</v>
      </c>
      <c r="Q237" s="196" t="s">
        <v>280</v>
      </c>
      <c r="R237" s="179">
        <f>S201/U170</f>
        <v>14.912210760724891</v>
      </c>
      <c r="S237" s="179" t="s">
        <v>465</v>
      </c>
      <c r="T237" s="20"/>
      <c r="U237" s="20"/>
      <c r="V237" s="184">
        <f>T170*(1+$M$237)</f>
        <v>13.539977462338312</v>
      </c>
      <c r="W237" s="184">
        <f>V237*(1+$M$237)</f>
        <v>14.216976335455229</v>
      </c>
      <c r="X237" s="184">
        <f t="shared" ref="X237:AE237" si="641">W237*(1+$M$237)</f>
        <v>14.927825152227991</v>
      </c>
      <c r="Y237" s="184">
        <f t="shared" si="641"/>
        <v>15.67421640983939</v>
      </c>
      <c r="Z237" s="184">
        <f t="shared" si="641"/>
        <v>16.457927230331361</v>
      </c>
      <c r="AA237" s="184">
        <f t="shared" si="641"/>
        <v>17.28082359184793</v>
      </c>
      <c r="AB237" s="184">
        <f t="shared" si="641"/>
        <v>18.144864771440329</v>
      </c>
      <c r="AC237" s="184">
        <f t="shared" si="641"/>
        <v>19.052108010012347</v>
      </c>
      <c r="AD237" s="184">
        <f t="shared" si="641"/>
        <v>20.004713410512966</v>
      </c>
      <c r="AE237" s="184">
        <f t="shared" si="641"/>
        <v>21.004949081038617</v>
      </c>
      <c r="AF237" s="184">
        <f t="shared" ref="AF237" si="642">AE237*(1+$M$237)</f>
        <v>22.055196535090548</v>
      </c>
      <c r="AG237" s="184">
        <f t="shared" ref="AG237" si="643">AF237*(1+$M$237)</f>
        <v>23.157956361845077</v>
      </c>
      <c r="AH237" s="184">
        <f t="shared" ref="AH237" si="644">AG237*(1+$M$237)</f>
        <v>24.315854179937332</v>
      </c>
      <c r="AI237" s="184">
        <f t="shared" ref="AI237" si="645">AH237*(1+$M$237)</f>
        <v>25.531646888934201</v>
      </c>
      <c r="AJ237" s="184">
        <f t="shared" ref="AJ237" si="646">AI237*(1+$M$237)</f>
        <v>26.808229233380914</v>
      </c>
      <c r="AK237" s="184">
        <f t="shared" ref="AK237" si="647">AJ237*(1+$M$237)</f>
        <v>28.148640695049959</v>
      </c>
      <c r="AL237" s="184">
        <f t="shared" ref="AL237" si="648">AK237*(1+$M$237)</f>
        <v>29.556072729802459</v>
      </c>
      <c r="AM237" s="184">
        <f t="shared" ref="AM237" si="649">AL237*(1+$M$237)</f>
        <v>31.033876366292581</v>
      </c>
      <c r="AN237" s="184">
        <f t="shared" ref="AN237" si="650">AM237*(1+$M$237)</f>
        <v>32.585570184607214</v>
      </c>
      <c r="AO237" s="184">
        <f t="shared" ref="AO237" si="651">AN237*(1+$M$237)</f>
        <v>34.214848693837574</v>
      </c>
      <c r="AP237" s="184">
        <f t="shared" ref="AP237" si="652">AO237*(1+$M$237)</f>
        <v>35.925591128529454</v>
      </c>
      <c r="AQ237" s="184">
        <f t="shared" ref="AQ237" si="653">AP237*(1+$M$237)</f>
        <v>37.721870684955931</v>
      </c>
      <c r="AR237" s="184">
        <f t="shared" ref="AR237" si="654">AQ237*(1+$M$237)</f>
        <v>39.60796421920373</v>
      </c>
      <c r="AS237" s="184">
        <f t="shared" ref="AS237" si="655">AR237*(1+$M$237)</f>
        <v>41.588362430163919</v>
      </c>
      <c r="AT237" s="184">
        <f t="shared" ref="AT237" si="656">AS237*(1+$M$237)</f>
        <v>43.667780551672116</v>
      </c>
      <c r="AU237" s="184">
        <f t="shared" ref="AU237" si="657">AT237*(1+$M$237)</f>
        <v>45.851169579255725</v>
      </c>
      <c r="AV237" s="184">
        <f t="shared" ref="AV237" si="658">AU237*(1+$M$237)</f>
        <v>48.143728058218514</v>
      </c>
    </row>
    <row r="238" spans="2:48">
      <c r="B238" s="20" t="s">
        <v>391</v>
      </c>
      <c r="C238" s="20"/>
      <c r="D238" s="20"/>
      <c r="E238" s="23" t="s">
        <v>387</v>
      </c>
      <c r="F238" s="23"/>
      <c r="G238" s="23"/>
      <c r="H238" s="22"/>
      <c r="I238" s="189">
        <v>0</v>
      </c>
      <c r="J238" s="190">
        <f>S203</f>
        <v>6.286379821958457</v>
      </c>
      <c r="K238" s="189">
        <v>0.05</v>
      </c>
      <c r="L238" s="188"/>
      <c r="M238" s="182">
        <f>R1</f>
        <v>0.05</v>
      </c>
      <c r="N238" s="189">
        <v>0.12</v>
      </c>
      <c r="O238" s="188"/>
      <c r="P238" s="189">
        <v>0.2</v>
      </c>
      <c r="Q238" s="196" t="s">
        <v>464</v>
      </c>
      <c r="R238" s="179">
        <f>S201/S72</f>
        <v>6.286379821958457</v>
      </c>
      <c r="S238" s="179" t="s">
        <v>465</v>
      </c>
      <c r="T238" s="20"/>
      <c r="U238" s="20"/>
      <c r="V238" s="184">
        <f>S72*(1+$M$238)</f>
        <v>15.032499256552954</v>
      </c>
      <c r="W238" s="184">
        <f>V238*(1+$M$238)</f>
        <v>15.784124219380603</v>
      </c>
      <c r="X238" s="184">
        <f t="shared" ref="X238:AE238" si="659">W238*(1+$M$238)</f>
        <v>16.573330430349635</v>
      </c>
      <c r="Y238" s="184">
        <f t="shared" si="659"/>
        <v>17.401996951867119</v>
      </c>
      <c r="Z238" s="184">
        <f t="shared" si="659"/>
        <v>18.272096799460474</v>
      </c>
      <c r="AA238" s="184">
        <f t="shared" si="659"/>
        <v>19.1857016394335</v>
      </c>
      <c r="AB238" s="184">
        <f t="shared" si="659"/>
        <v>20.144986721405175</v>
      </c>
      <c r="AC238" s="184">
        <f t="shared" si="659"/>
        <v>21.152236057475434</v>
      </c>
      <c r="AD238" s="184">
        <f t="shared" si="659"/>
        <v>22.209847860349207</v>
      </c>
      <c r="AE238" s="184">
        <f t="shared" si="659"/>
        <v>23.32034025336667</v>
      </c>
      <c r="AF238" s="184">
        <f t="shared" ref="AF238" si="660">AE238*(1+$M$238)</f>
        <v>24.486357266035004</v>
      </c>
      <c r="AG238" s="184">
        <f t="shared" ref="AG238" si="661">AF238*(1+$M$238)</f>
        <v>25.710675129336757</v>
      </c>
      <c r="AH238" s="184">
        <f t="shared" ref="AH238" si="662">AG238*(1+$M$238)</f>
        <v>26.996208885803597</v>
      </c>
      <c r="AI238" s="184">
        <f t="shared" ref="AI238" si="663">AH238*(1+$M$238)</f>
        <v>28.346019330093778</v>
      </c>
      <c r="AJ238" s="184">
        <f t="shared" ref="AJ238" si="664">AI238*(1+$M$238)</f>
        <v>29.763320296598469</v>
      </c>
      <c r="AK238" s="184">
        <f t="shared" ref="AK238" si="665">AJ238*(1+$M$238)</f>
        <v>31.251486311428394</v>
      </c>
      <c r="AL238" s="184">
        <f t="shared" ref="AL238" si="666">AK238*(1+$M$238)</f>
        <v>32.814060626999812</v>
      </c>
      <c r="AM238" s="184">
        <f t="shared" ref="AM238" si="667">AL238*(1+$M$238)</f>
        <v>34.454763658349805</v>
      </c>
      <c r="AN238" s="184">
        <f t="shared" ref="AN238" si="668">AM238*(1+$M$238)</f>
        <v>36.177501841267294</v>
      </c>
      <c r="AO238" s="184">
        <f t="shared" ref="AO238" si="669">AN238*(1+$M$238)</f>
        <v>37.986376933330661</v>
      </c>
      <c r="AP238" s="184">
        <f t="shared" ref="AP238" si="670">AO238*(1+$M$238)</f>
        <v>39.885695779997192</v>
      </c>
      <c r="AQ238" s="184">
        <f t="shared" ref="AQ238" si="671">AP238*(1+$M$238)</f>
        <v>41.879980568997055</v>
      </c>
      <c r="AR238" s="184">
        <f t="shared" ref="AR238" si="672">AQ238*(1+$M$238)</f>
        <v>43.973979597446913</v>
      </c>
      <c r="AS238" s="184">
        <f t="shared" ref="AS238" si="673">AR238*(1+$M$238)</f>
        <v>46.17267857731926</v>
      </c>
      <c r="AT238" s="184">
        <f t="shared" ref="AT238" si="674">AS238*(1+$M$238)</f>
        <v>48.481312506185226</v>
      </c>
      <c r="AU238" s="184">
        <f t="shared" ref="AU238" si="675">AT238*(1+$M$238)</f>
        <v>50.905378131494487</v>
      </c>
      <c r="AV238" s="184">
        <f t="shared" ref="AV238" si="676">AU238*(1+$M$238)</f>
        <v>53.450647038069214</v>
      </c>
    </row>
    <row r="239" spans="2:48">
      <c r="B239" s="20"/>
      <c r="C239" s="20"/>
      <c r="D239" s="20"/>
      <c r="E239" s="23" t="s">
        <v>450</v>
      </c>
      <c r="F239" s="23"/>
      <c r="G239" s="23"/>
      <c r="H239" s="22"/>
      <c r="I239" s="189">
        <v>0</v>
      </c>
      <c r="J239" s="190"/>
      <c r="K239" s="189">
        <v>0.05</v>
      </c>
      <c r="L239" s="188"/>
      <c r="M239" s="188"/>
      <c r="N239" s="189">
        <v>0.12</v>
      </c>
      <c r="O239" s="188"/>
      <c r="P239" s="189">
        <v>0.2</v>
      </c>
      <c r="Q239" s="20"/>
      <c r="R239" s="20"/>
      <c r="S239" s="20"/>
      <c r="T239" s="20"/>
      <c r="U239" s="20"/>
      <c r="V239" s="129">
        <f>S201-V238</f>
        <v>74.967500743447047</v>
      </c>
      <c r="W239" s="183">
        <f>V239-W238</f>
        <v>59.183376524066446</v>
      </c>
      <c r="X239" s="183">
        <f t="shared" ref="X239:AC239" si="677">W239-X238</f>
        <v>42.610046093716811</v>
      </c>
      <c r="Y239" s="183">
        <f t="shared" si="677"/>
        <v>25.208049141849692</v>
      </c>
      <c r="Z239" s="183">
        <f t="shared" si="677"/>
        <v>6.9359523423892178</v>
      </c>
      <c r="AA239" s="183">
        <f t="shared" si="677"/>
        <v>-12.249749297044282</v>
      </c>
      <c r="AB239" s="183">
        <f t="shared" si="677"/>
        <v>-32.394736018449457</v>
      </c>
      <c r="AC239" s="183">
        <f t="shared" si="677"/>
        <v>-53.546972075924891</v>
      </c>
      <c r="AD239" s="183">
        <f>AC239-AD238</f>
        <v>-75.756819936274098</v>
      </c>
      <c r="AE239" s="183">
        <f t="shared" ref="AE239" si="678">AD239-AE238</f>
        <v>-99.077160189640765</v>
      </c>
      <c r="AF239" s="183">
        <f t="shared" ref="AF239" si="679">AE239-AF238</f>
        <v>-123.56351745567576</v>
      </c>
      <c r="AG239" s="183">
        <f t="shared" ref="AG239" si="680">AF239-AG238</f>
        <v>-149.27419258501251</v>
      </c>
      <c r="AH239" s="183">
        <f t="shared" ref="AH239" si="681">AG239-AH238</f>
        <v>-176.27040147081613</v>
      </c>
      <c r="AI239" s="183">
        <f t="shared" ref="AI239" si="682">AH239-AI238</f>
        <v>-204.61642080090991</v>
      </c>
      <c r="AJ239" s="183">
        <f t="shared" ref="AJ239" si="683">AI239-AJ238</f>
        <v>-234.37974109750837</v>
      </c>
      <c r="AK239" s="183">
        <f t="shared" ref="AK239" si="684">AJ239-AK238</f>
        <v>-265.63122740893675</v>
      </c>
      <c r="AL239" s="183">
        <f t="shared" ref="AL239" si="685">AK239-AL238</f>
        <v>-298.44528803593658</v>
      </c>
      <c r="AM239" s="183">
        <f t="shared" ref="AM239" si="686">AL239-AM238</f>
        <v>-332.90005169428639</v>
      </c>
      <c r="AN239" s="183">
        <f t="shared" ref="AN239" si="687">AM239-AN238</f>
        <v>-369.0775535355537</v>
      </c>
      <c r="AO239" s="183">
        <f t="shared" ref="AO239" si="688">AN239-AO238</f>
        <v>-407.06393046888434</v>
      </c>
      <c r="AP239" s="183">
        <f t="shared" ref="AP239" si="689">AO239-AP238</f>
        <v>-446.94962624888154</v>
      </c>
      <c r="AQ239" s="183">
        <f t="shared" ref="AQ239" si="690">AP239-AQ238</f>
        <v>-488.82960681787858</v>
      </c>
      <c r="AR239" s="183">
        <f t="shared" ref="AR239" si="691">AQ239-AR238</f>
        <v>-532.80358641532553</v>
      </c>
      <c r="AS239" s="183">
        <f t="shared" ref="AS239" si="692">AR239-AS238</f>
        <v>-578.97626499264481</v>
      </c>
      <c r="AT239" s="183">
        <f t="shared" ref="AT239" si="693">AS239-AT238</f>
        <v>-627.45757749883001</v>
      </c>
      <c r="AU239" s="183">
        <f t="shared" ref="AU239" si="694">AT239-AU238</f>
        <v>-678.36295563032445</v>
      </c>
      <c r="AV239" s="183">
        <f t="shared" ref="AV239" si="695">AU239-AV238</f>
        <v>-731.81360266839363</v>
      </c>
    </row>
    <row r="240" spans="2:48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>
      <c r="B241" s="20" t="s">
        <v>304</v>
      </c>
      <c r="C241" s="25"/>
      <c r="D241" s="25"/>
      <c r="E241" s="25"/>
      <c r="F241" s="25"/>
      <c r="G241" s="25">
        <f t="shared" ref="G241:H241" si="696">G10/G7</f>
        <v>1.1466666666666667</v>
      </c>
      <c r="H241" s="25">
        <f t="shared" si="696"/>
        <v>1.6629213483146068</v>
      </c>
      <c r="I241" s="25">
        <f t="shared" ref="I241:S241" si="697">I10/I7</f>
        <v>1.6992481203007519</v>
      </c>
      <c r="J241" s="25">
        <f t="shared" si="697"/>
        <v>1.5659163987138263</v>
      </c>
      <c r="K241" s="25">
        <f t="shared" si="697"/>
        <v>2.1385041551246537</v>
      </c>
      <c r="L241" s="25">
        <f t="shared" si="697"/>
        <v>1.4218009478672986</v>
      </c>
      <c r="M241" s="25">
        <f t="shared" si="697"/>
        <v>1.1289719626168224</v>
      </c>
      <c r="N241" s="25">
        <f t="shared" si="697"/>
        <v>0.13959981386691483</v>
      </c>
      <c r="O241" s="25">
        <f t="shared" si="697"/>
        <v>1.2203626220362622</v>
      </c>
      <c r="P241" s="25">
        <f t="shared" si="697"/>
        <v>1.0072376357056694</v>
      </c>
      <c r="Q241" s="25">
        <f t="shared" si="697"/>
        <v>1.2607861936720997</v>
      </c>
      <c r="R241" s="25">
        <f t="shared" si="697"/>
        <v>0.96786253776435049</v>
      </c>
      <c r="S241" s="25">
        <f t="shared" si="697"/>
        <v>0.78907019704433501</v>
      </c>
      <c r="T241" s="118">
        <f t="shared" ref="T241:T243" si="698">((R241/I241)^(1/($J$2-$J$1) ))-1</f>
        <v>-4.5821250471683506E-2</v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>
      <c r="B242" s="20" t="s">
        <v>305</v>
      </c>
      <c r="C242" s="112"/>
      <c r="D242" s="112"/>
      <c r="E242" s="112"/>
      <c r="F242" s="112"/>
      <c r="G242" s="112">
        <f t="shared" ref="G242:H242" si="699">G10/G12</f>
        <v>8.6</v>
      </c>
      <c r="H242" s="112">
        <f t="shared" si="699"/>
        <v>22.76923076923077</v>
      </c>
      <c r="I242" s="112">
        <f t="shared" ref="I242:S242" si="700">I10/I12</f>
        <v>6.8484848484848486</v>
      </c>
      <c r="J242" s="112">
        <f t="shared" si="700"/>
        <v>12.815789473684211</v>
      </c>
      <c r="K242" s="112">
        <f t="shared" si="700"/>
        <v>16.782608695652176</v>
      </c>
      <c r="L242" s="112">
        <f t="shared" si="700"/>
        <v>18.181818181818183</v>
      </c>
      <c r="M242" s="112">
        <f t="shared" si="700"/>
        <v>13.727272727272727</v>
      </c>
      <c r="N242" s="112">
        <f t="shared" si="700"/>
        <v>169.81132075471697</v>
      </c>
      <c r="O242" s="112">
        <f t="shared" si="700"/>
        <v>51.470588235294116</v>
      </c>
      <c r="P242" s="112">
        <f t="shared" si="700"/>
        <v>64.230769230769226</v>
      </c>
      <c r="Q242" s="112">
        <f t="shared" si="700"/>
        <v>19.924242424242426</v>
      </c>
      <c r="R242" s="112">
        <f t="shared" si="700"/>
        <v>52.647904683648321</v>
      </c>
      <c r="S242" s="112">
        <f t="shared" si="700"/>
        <v>52.647904683648321</v>
      </c>
      <c r="T242" s="118">
        <f t="shared" si="698"/>
        <v>0.18526524333153604</v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>
      <c r="B243" s="20" t="s">
        <v>306</v>
      </c>
      <c r="C243" s="25"/>
      <c r="D243" s="25"/>
      <c r="E243" s="25"/>
      <c r="F243" s="25"/>
      <c r="G243" s="25">
        <f t="shared" ref="G243:H243" si="701">G10/(G12+G13)</f>
        <v>8.5957021489255361</v>
      </c>
      <c r="H243" s="25">
        <f t="shared" si="701"/>
        <v>22.751729438893161</v>
      </c>
      <c r="I243" s="25">
        <f t="shared" ref="I243:S243" si="702">I10/(I12+I13)</f>
        <v>6.8474473564611413</v>
      </c>
      <c r="J243" s="25">
        <f t="shared" si="702"/>
        <v>10.361702127659575</v>
      </c>
      <c r="K243" s="25">
        <f t="shared" si="702"/>
        <v>16.655879180151025</v>
      </c>
      <c r="L243" s="25">
        <f t="shared" si="702"/>
        <v>18.072289156626503</v>
      </c>
      <c r="M243" s="25">
        <f t="shared" si="702"/>
        <v>13.618940248027057</v>
      </c>
      <c r="N243" s="25">
        <f t="shared" si="702"/>
        <v>62.937062937062933</v>
      </c>
      <c r="O243" s="25">
        <f t="shared" si="702"/>
        <v>36.458333333333336</v>
      </c>
      <c r="P243" s="25">
        <f t="shared" si="702"/>
        <v>43.94736842105263</v>
      </c>
      <c r="Q243" s="25">
        <f t="shared" si="702"/>
        <v>18.188105117565698</v>
      </c>
      <c r="R243" s="25">
        <f t="shared" si="702"/>
        <v>41.430649854510186</v>
      </c>
      <c r="S243" s="25">
        <f t="shared" si="702"/>
        <v>41.430649854510186</v>
      </c>
      <c r="T243" s="118">
        <f t="shared" si="698"/>
        <v>0.16184828236360982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>
      <c r="B246" s="20"/>
      <c r="C246" s="172" t="s">
        <v>373</v>
      </c>
      <c r="D246" s="173"/>
      <c r="E246" s="173"/>
      <c r="F246" s="173"/>
      <c r="G246" s="173"/>
      <c r="H246" s="173"/>
      <c r="I246" s="173"/>
      <c r="J246" s="173"/>
      <c r="K246" s="173"/>
      <c r="L246" s="173"/>
      <c r="M246" s="20"/>
      <c r="N246" s="213" t="s">
        <v>333</v>
      </c>
      <c r="O246" s="214"/>
      <c r="P246" s="215"/>
      <c r="Q246" s="23" t="s">
        <v>336</v>
      </c>
      <c r="R246" s="20"/>
      <c r="S246" s="136"/>
      <c r="T246" s="213" t="s">
        <v>334</v>
      </c>
      <c r="U246" s="214"/>
      <c r="V246" s="215"/>
      <c r="W246" s="23" t="s">
        <v>336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>
      <c r="B247" s="20"/>
      <c r="C247" s="164" t="s">
        <v>335</v>
      </c>
      <c r="D247" s="164" t="s">
        <v>0</v>
      </c>
      <c r="E247" s="164" t="s">
        <v>374</v>
      </c>
      <c r="F247" s="164"/>
      <c r="G247" s="164"/>
      <c r="H247" s="164" t="s">
        <v>375</v>
      </c>
      <c r="I247" s="164" t="s">
        <v>376</v>
      </c>
      <c r="J247" s="164" t="s">
        <v>377</v>
      </c>
      <c r="K247" s="164" t="s">
        <v>378</v>
      </c>
      <c r="L247" s="164" t="s">
        <v>379</v>
      </c>
      <c r="M247" s="20"/>
      <c r="N247" s="164" t="s">
        <v>335</v>
      </c>
      <c r="O247" s="164"/>
      <c r="P247" s="164" t="s">
        <v>0</v>
      </c>
      <c r="Q247" s="164" t="s">
        <v>368</v>
      </c>
      <c r="R247" s="20"/>
      <c r="S247" s="20"/>
      <c r="T247" s="164" t="s">
        <v>335</v>
      </c>
      <c r="U247" s="164"/>
      <c r="V247" s="164" t="s">
        <v>0</v>
      </c>
      <c r="W247" s="164" t="s">
        <v>368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>
      <c r="B248" s="20"/>
      <c r="C248" s="165" t="s">
        <v>337</v>
      </c>
      <c r="D248" s="21">
        <v>45</v>
      </c>
      <c r="E248" s="174" t="s">
        <v>380</v>
      </c>
      <c r="F248" s="174"/>
      <c r="G248" s="174"/>
      <c r="H248" s="22">
        <v>1</v>
      </c>
      <c r="I248" s="22">
        <v>1</v>
      </c>
      <c r="J248" s="165">
        <f>H248/I248</f>
        <v>1</v>
      </c>
      <c r="K248" s="165">
        <f>J248*D249</f>
        <v>1</v>
      </c>
      <c r="L248" s="175">
        <f>K248+D249</f>
        <v>2</v>
      </c>
      <c r="M248" s="20"/>
      <c r="N248" s="165" t="s">
        <v>337</v>
      </c>
      <c r="O248" s="165"/>
      <c r="P248" s="21">
        <v>1</v>
      </c>
      <c r="Q248" s="171">
        <f>P248</f>
        <v>1</v>
      </c>
      <c r="R248" s="20"/>
      <c r="S248" s="20"/>
      <c r="T248" s="165" t="s">
        <v>337</v>
      </c>
      <c r="U248" s="165"/>
      <c r="V248" s="21">
        <v>1</v>
      </c>
      <c r="W248" s="171">
        <f>V248</f>
        <v>1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>
      <c r="B249" s="20"/>
      <c r="C249" s="165" t="s">
        <v>338</v>
      </c>
      <c r="D249" s="21">
        <v>1</v>
      </c>
      <c r="E249" s="174" t="s">
        <v>381</v>
      </c>
      <c r="F249" s="174"/>
      <c r="G249" s="174"/>
      <c r="H249" s="22">
        <v>0</v>
      </c>
      <c r="I249" s="22">
        <v>1</v>
      </c>
      <c r="J249" s="165">
        <f>H249/I249</f>
        <v>0</v>
      </c>
      <c r="K249" s="165">
        <f>J249*L248</f>
        <v>0</v>
      </c>
      <c r="L249" s="165">
        <f>K249+L248</f>
        <v>2</v>
      </c>
      <c r="M249" s="20"/>
      <c r="N249" s="165" t="s">
        <v>338</v>
      </c>
      <c r="O249" s="165"/>
      <c r="P249" s="21">
        <v>1</v>
      </c>
      <c r="Q249" s="171">
        <f>P249</f>
        <v>1</v>
      </c>
      <c r="R249" s="20"/>
      <c r="S249" s="20"/>
      <c r="T249" s="165" t="s">
        <v>338</v>
      </c>
      <c r="U249" s="165"/>
      <c r="V249" s="21">
        <v>1</v>
      </c>
      <c r="W249" s="171">
        <f>V249</f>
        <v>1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>
      <c r="B250" s="20"/>
      <c r="C250" s="165" t="s">
        <v>340</v>
      </c>
      <c r="D250" s="166">
        <f>D248*D249</f>
        <v>45</v>
      </c>
      <c r="E250" s="174" t="s">
        <v>393</v>
      </c>
      <c r="F250" s="174"/>
      <c r="G250" s="174"/>
      <c r="H250" s="22">
        <v>0</v>
      </c>
      <c r="I250" s="22">
        <v>1</v>
      </c>
      <c r="J250" s="165">
        <f>H250/I250</f>
        <v>0</v>
      </c>
      <c r="K250" s="165">
        <f>J250*L249</f>
        <v>0</v>
      </c>
      <c r="L250" s="165">
        <f>K250+L249</f>
        <v>2</v>
      </c>
      <c r="M250" s="20"/>
      <c r="N250" s="165" t="s">
        <v>339</v>
      </c>
      <c r="O250" s="165"/>
      <c r="P250" s="166">
        <f>P248*P249</f>
        <v>1</v>
      </c>
      <c r="Q250" s="171">
        <f>P250</f>
        <v>1</v>
      </c>
      <c r="R250" s="20"/>
      <c r="S250" s="20"/>
      <c r="T250" s="165" t="s">
        <v>340</v>
      </c>
      <c r="U250" s="165"/>
      <c r="V250" s="166">
        <f>V248*V249</f>
        <v>1</v>
      </c>
      <c r="W250" s="171">
        <f>V250</f>
        <v>1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>
      <c r="B251" s="20"/>
      <c r="C251" s="165"/>
      <c r="D251" s="166"/>
      <c r="E251" s="174" t="s">
        <v>451</v>
      </c>
      <c r="F251" s="174"/>
      <c r="G251" s="174"/>
      <c r="H251" s="22">
        <v>0</v>
      </c>
      <c r="I251" s="22">
        <v>1</v>
      </c>
      <c r="J251" s="165">
        <f t="shared" ref="J251:J254" si="703">H251/I251</f>
        <v>0</v>
      </c>
      <c r="K251" s="165">
        <f t="shared" ref="K251:K253" si="704">J251*L250</f>
        <v>0</v>
      </c>
      <c r="L251" s="165">
        <f t="shared" ref="L251:L253" si="705">K251+L250</f>
        <v>2</v>
      </c>
      <c r="M251" s="20"/>
      <c r="N251" s="165" t="s">
        <v>341</v>
      </c>
      <c r="O251" s="165"/>
      <c r="P251" s="21">
        <v>1</v>
      </c>
      <c r="Q251" s="21">
        <v>1</v>
      </c>
      <c r="R251" s="20"/>
      <c r="S251" s="20"/>
      <c r="T251" s="165" t="s">
        <v>341</v>
      </c>
      <c r="U251" s="165"/>
      <c r="V251" s="21">
        <v>1</v>
      </c>
      <c r="W251" s="21">
        <v>1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>
      <c r="B252" s="20"/>
      <c r="C252" s="165"/>
      <c r="D252" s="166"/>
      <c r="E252" s="174" t="s">
        <v>452</v>
      </c>
      <c r="F252" s="174"/>
      <c r="G252" s="174"/>
      <c r="H252" s="22">
        <v>0</v>
      </c>
      <c r="I252" s="22">
        <v>1</v>
      </c>
      <c r="J252" s="165">
        <f t="shared" si="703"/>
        <v>0</v>
      </c>
      <c r="K252" s="165">
        <f t="shared" si="704"/>
        <v>0</v>
      </c>
      <c r="L252" s="165">
        <f t="shared" si="705"/>
        <v>2</v>
      </c>
      <c r="M252" s="20"/>
      <c r="N252" s="165" t="s">
        <v>342</v>
      </c>
      <c r="O252" s="165"/>
      <c r="P252" s="166">
        <f>P251*P249</f>
        <v>1</v>
      </c>
      <c r="Q252" s="166">
        <f>Q251*Q249</f>
        <v>1</v>
      </c>
      <c r="R252" s="20"/>
      <c r="S252" s="20"/>
      <c r="T252" s="165" t="s">
        <v>338</v>
      </c>
      <c r="U252" s="165"/>
      <c r="V252" s="21">
        <v>1</v>
      </c>
      <c r="W252" s="127">
        <f>V252</f>
        <v>1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>
      <c r="B253" s="20"/>
      <c r="C253" s="165"/>
      <c r="D253" s="166"/>
      <c r="E253" s="174" t="s">
        <v>453</v>
      </c>
      <c r="F253" s="174"/>
      <c r="G253" s="174"/>
      <c r="H253" s="22">
        <v>0</v>
      </c>
      <c r="I253" s="22">
        <v>1</v>
      </c>
      <c r="J253" s="165">
        <f t="shared" si="703"/>
        <v>0</v>
      </c>
      <c r="K253" s="165">
        <f t="shared" si="704"/>
        <v>0</v>
      </c>
      <c r="L253" s="165">
        <f t="shared" si="705"/>
        <v>2</v>
      </c>
      <c r="M253" s="20"/>
      <c r="N253" s="165"/>
      <c r="O253" s="165"/>
      <c r="P253" s="166"/>
      <c r="Q253" s="166"/>
      <c r="R253" s="20"/>
      <c r="S253" s="20"/>
      <c r="T253" s="165" t="s">
        <v>340</v>
      </c>
      <c r="U253" s="165"/>
      <c r="V253" s="166">
        <f>V252*V251</f>
        <v>1</v>
      </c>
      <c r="W253" s="166">
        <f>W252*W251</f>
        <v>1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>
      <c r="B254" s="20"/>
      <c r="C254" s="165"/>
      <c r="D254" s="166"/>
      <c r="E254" s="174" t="s">
        <v>382</v>
      </c>
      <c r="F254" s="174"/>
      <c r="G254" s="174"/>
      <c r="H254" s="22">
        <v>10</v>
      </c>
      <c r="I254" s="22">
        <v>2</v>
      </c>
      <c r="J254" s="165">
        <f t="shared" si="703"/>
        <v>5</v>
      </c>
      <c r="K254" s="165">
        <f>J254*L253</f>
        <v>10</v>
      </c>
      <c r="L254" s="165">
        <f>K254</f>
        <v>10</v>
      </c>
      <c r="M254" s="20"/>
      <c r="N254" s="165"/>
      <c r="O254" s="165"/>
      <c r="P254" s="166"/>
      <c r="Q254" s="166"/>
      <c r="R254" s="20"/>
      <c r="S254" s="20"/>
      <c r="T254" s="165"/>
      <c r="U254" s="165"/>
      <c r="V254" s="166"/>
      <c r="W254" s="166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>
      <c r="B255" s="20"/>
      <c r="C255" s="165"/>
      <c r="D255" s="166"/>
      <c r="E255" s="174" t="s">
        <v>454</v>
      </c>
      <c r="F255" s="174"/>
      <c r="G255" s="174"/>
      <c r="H255" s="22">
        <v>0</v>
      </c>
      <c r="I255" s="22">
        <v>1</v>
      </c>
      <c r="J255" s="165">
        <f>H255/I255</f>
        <v>0</v>
      </c>
      <c r="K255" s="165">
        <f>J255*L254</f>
        <v>0</v>
      </c>
      <c r="L255" s="165">
        <f>K255</f>
        <v>0</v>
      </c>
      <c r="M255" s="20"/>
      <c r="N255" s="167" t="s">
        <v>343</v>
      </c>
      <c r="O255" s="167"/>
      <c r="P255" s="168">
        <f>P252/P250</f>
        <v>1</v>
      </c>
      <c r="Q255" s="168">
        <f>Q252/Q250</f>
        <v>1</v>
      </c>
      <c r="R255" s="20"/>
      <c r="S255" s="20"/>
      <c r="T255" s="167" t="s">
        <v>343</v>
      </c>
      <c r="U255" s="167"/>
      <c r="V255" s="168">
        <f>V253/V250</f>
        <v>1</v>
      </c>
      <c r="W255" s="168">
        <f>W253/W250</f>
        <v>1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>
      <c r="B256" s="20"/>
      <c r="C256" s="165" t="s">
        <v>341</v>
      </c>
      <c r="D256" s="21">
        <v>95</v>
      </c>
      <c r="E256" s="174"/>
      <c r="F256" s="174"/>
      <c r="G256" s="174"/>
      <c r="H256" s="165"/>
      <c r="I256" s="165"/>
      <c r="J256" s="167" t="s">
        <v>383</v>
      </c>
      <c r="K256" s="165"/>
      <c r="L256" s="165">
        <f>L255</f>
        <v>0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>
      <c r="B257" s="20"/>
      <c r="C257" s="165" t="s">
        <v>338</v>
      </c>
      <c r="D257" s="21">
        <v>10</v>
      </c>
      <c r="E257" s="174" t="s">
        <v>382</v>
      </c>
      <c r="F257" s="174"/>
      <c r="G257" s="174"/>
      <c r="H257" s="22">
        <v>10</v>
      </c>
      <c r="I257" s="22">
        <v>2</v>
      </c>
      <c r="J257" s="165">
        <f>H257/I257</f>
        <v>5</v>
      </c>
      <c r="K257" s="175">
        <f>J257*D249</f>
        <v>5</v>
      </c>
      <c r="L257" s="175">
        <f>K257</f>
        <v>5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>
      <c r="B258" s="20"/>
      <c r="C258" s="165" t="s">
        <v>340</v>
      </c>
      <c r="D258" s="166">
        <f>D257*D256</f>
        <v>950</v>
      </c>
      <c r="E258" s="165"/>
      <c r="F258" s="165"/>
      <c r="G258" s="165"/>
      <c r="H258" s="165"/>
      <c r="I258" s="165"/>
      <c r="J258" s="167" t="s">
        <v>383</v>
      </c>
      <c r="K258" s="165"/>
      <c r="L258" s="165">
        <f>L257</f>
        <v>5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>
      <c r="B259" s="20"/>
      <c r="C259" s="165"/>
      <c r="D259" s="166"/>
      <c r="E259" s="174" t="s">
        <v>382</v>
      </c>
      <c r="F259" s="174"/>
      <c r="G259" s="174"/>
      <c r="H259" s="22">
        <v>10</v>
      </c>
      <c r="I259" s="22">
        <v>2</v>
      </c>
      <c r="J259" s="165">
        <f>H259/I259</f>
        <v>5</v>
      </c>
      <c r="K259" s="165">
        <f>J259*L258</f>
        <v>25</v>
      </c>
      <c r="L259" s="165">
        <f>K259</f>
        <v>25</v>
      </c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>
      <c r="B260" s="20"/>
      <c r="C260" s="167" t="s">
        <v>343</v>
      </c>
      <c r="D260" s="168">
        <f>D258/D250</f>
        <v>21.111111111111111</v>
      </c>
      <c r="E260" s="174"/>
      <c r="F260" s="174"/>
      <c r="G260" s="174"/>
      <c r="H260" s="165"/>
      <c r="I260" s="165"/>
      <c r="J260" s="167" t="s">
        <v>383</v>
      </c>
      <c r="K260" s="165"/>
      <c r="L260" s="165">
        <f>L259</f>
        <v>25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>
      <c r="B262" s="20"/>
      <c r="C262" s="20"/>
      <c r="D262" s="136"/>
      <c r="E262" s="176"/>
      <c r="F262" s="176"/>
      <c r="G262" s="176"/>
      <c r="H262" s="176"/>
      <c r="I262" s="177"/>
      <c r="J262" s="20"/>
      <c r="K262" s="136"/>
      <c r="L262" s="176"/>
      <c r="M262" s="177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4.25">
      <c r="B263" s="20"/>
      <c r="C263" s="20"/>
      <c r="D263" s="206" t="s">
        <v>27</v>
      </c>
      <c r="E263" s="207"/>
      <c r="F263" s="207"/>
      <c r="G263" s="207"/>
      <c r="H263" s="207"/>
      <c r="I263" s="208"/>
      <c r="J263" s="20"/>
      <c r="K263" s="206" t="s">
        <v>388</v>
      </c>
      <c r="L263" s="207"/>
      <c r="M263" s="208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>
      <c r="B264" s="20"/>
      <c r="C264" s="20"/>
      <c r="D264" s="20" t="s">
        <v>28</v>
      </c>
      <c r="E264" s="127"/>
      <c r="F264" s="127"/>
      <c r="G264" s="127"/>
      <c r="H264" s="127">
        <f>D248</f>
        <v>45</v>
      </c>
      <c r="I264" s="21">
        <f>D250</f>
        <v>45</v>
      </c>
      <c r="J264" s="20"/>
      <c r="K264" s="20" t="s">
        <v>28</v>
      </c>
      <c r="L264" s="127"/>
      <c r="M264" s="21">
        <f>I264</f>
        <v>45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>
      <c r="B265" s="20"/>
      <c r="C265" s="20"/>
      <c r="D265" s="20" t="s">
        <v>29</v>
      </c>
      <c r="E265" s="127"/>
      <c r="F265" s="127"/>
      <c r="G265" s="127"/>
      <c r="H265" s="127">
        <f>D249</f>
        <v>1</v>
      </c>
      <c r="I265" s="21">
        <f>D258</f>
        <v>950</v>
      </c>
      <c r="J265" s="20"/>
      <c r="K265" s="20" t="s">
        <v>29</v>
      </c>
      <c r="L265" s="20"/>
      <c r="M265" s="21">
        <f>I265</f>
        <v>950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>
      <c r="B266" s="20"/>
      <c r="C266" s="20"/>
      <c r="D266" s="20" t="s">
        <v>30</v>
      </c>
      <c r="E266" s="20"/>
      <c r="F266" s="20"/>
      <c r="G266" s="20"/>
      <c r="H266" s="22">
        <f>I266</f>
        <v>10</v>
      </c>
      <c r="I266" s="22">
        <v>10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>
      <c r="B267" s="20"/>
      <c r="C267" s="20"/>
      <c r="D267" s="23" t="s">
        <v>31</v>
      </c>
      <c r="E267" s="3"/>
      <c r="F267" s="3"/>
      <c r="G267" s="3"/>
      <c r="H267" s="3">
        <f>((H265/H264)^(1/H266))-1</f>
        <v>-0.31659406100683163</v>
      </c>
      <c r="I267" s="3">
        <f>((I265/I264)^(1/I266))-1</f>
        <v>0.35659780224545656</v>
      </c>
      <c r="J267" s="20"/>
      <c r="K267" s="23" t="s">
        <v>389</v>
      </c>
      <c r="L267" s="23"/>
      <c r="M267" s="191">
        <f>(M265-M264)/M264</f>
        <v>20.111111111111111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>
      <c r="B268" s="20"/>
      <c r="C268" s="20"/>
      <c r="D268" s="23" t="s">
        <v>32</v>
      </c>
      <c r="E268" s="163"/>
      <c r="F268" s="163"/>
      <c r="G268" s="163"/>
      <c r="H268" s="163">
        <f>H266*12</f>
        <v>120</v>
      </c>
      <c r="I268" s="24">
        <f>I266*12</f>
        <v>120</v>
      </c>
      <c r="J268" s="20"/>
      <c r="K268" s="23" t="s">
        <v>390</v>
      </c>
      <c r="L268" s="23"/>
      <c r="M268" s="23">
        <f>M265/M264</f>
        <v>21.111111111111111</v>
      </c>
    </row>
    <row r="269" spans="2:34">
      <c r="B269" s="20"/>
      <c r="C269" s="20"/>
      <c r="D269" s="20" t="s">
        <v>30</v>
      </c>
      <c r="E269" s="25"/>
      <c r="F269" s="25"/>
      <c r="G269" s="25"/>
      <c r="H269" s="25">
        <f>H268/12</f>
        <v>10</v>
      </c>
      <c r="I269" s="25">
        <f>I268/12</f>
        <v>10</v>
      </c>
      <c r="J269" s="20"/>
      <c r="K269" s="20"/>
      <c r="L269" s="20"/>
      <c r="M269" s="20"/>
    </row>
    <row r="270" spans="2:34">
      <c r="B270" s="20"/>
      <c r="C270" s="20"/>
      <c r="D270" s="23" t="s">
        <v>33</v>
      </c>
      <c r="E270" s="3"/>
      <c r="F270" s="3"/>
      <c r="G270" s="3"/>
      <c r="H270" s="3">
        <f>((H265/H264)^(1/H269))-1</f>
        <v>-0.31659406100683163</v>
      </c>
      <c r="I270" s="3">
        <f>((I265/I264)^(1/I269))-1</f>
        <v>0.35659780224545656</v>
      </c>
      <c r="J270" s="20"/>
      <c r="K270" s="20"/>
      <c r="L270" s="20"/>
      <c r="M270" s="20"/>
    </row>
    <row r="271" spans="2:34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2:34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</sheetData>
  <mergeCells count="9">
    <mergeCell ref="A36:A45"/>
    <mergeCell ref="A124:A132"/>
    <mergeCell ref="D263:I263"/>
    <mergeCell ref="K263:M263"/>
    <mergeCell ref="AG2:AH2"/>
    <mergeCell ref="AG3:AH3"/>
    <mergeCell ref="N246:P246"/>
    <mergeCell ref="T246:V246"/>
    <mergeCell ref="M229:N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8" t="s">
        <v>27</v>
      </c>
      <c r="K5" s="218"/>
      <c r="M5" s="218" t="s">
        <v>65</v>
      </c>
      <c r="N5" s="218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8" t="s">
        <v>36</v>
      </c>
      <c r="K14" s="218"/>
      <c r="L14" s="218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8" t="s">
        <v>27</v>
      </c>
      <c r="S5" s="218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8" t="s">
        <v>36</v>
      </c>
      <c r="S14" s="218"/>
      <c r="T14" s="218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8" t="s">
        <v>27</v>
      </c>
      <c r="C2" s="218"/>
      <c r="E2" s="218" t="s">
        <v>65</v>
      </c>
      <c r="F2" s="218"/>
      <c r="H2" s="222" t="s">
        <v>36</v>
      </c>
      <c r="I2" s="223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19" t="s">
        <v>68</v>
      </c>
      <c r="E10" s="220"/>
      <c r="F10" s="220"/>
      <c r="G10" s="220"/>
      <c r="H10" s="221"/>
      <c r="I10" s="219" t="s">
        <v>72</v>
      </c>
      <c r="J10" s="220"/>
      <c r="K10" s="220"/>
      <c r="L10" s="221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4" t="s">
        <v>427</v>
      </c>
      <c r="C3" s="225"/>
      <c r="F3" s="224" t="s">
        <v>428</v>
      </c>
      <c r="G3" s="225"/>
    </row>
    <row r="4" spans="2:7">
      <c r="B4" s="186" t="s">
        <v>429</v>
      </c>
      <c r="C4" s="186"/>
      <c r="F4" s="186" t="s">
        <v>430</v>
      </c>
      <c r="G4" s="186"/>
    </row>
    <row r="5" spans="2:7">
      <c r="B5" s="186" t="s">
        <v>431</v>
      </c>
      <c r="C5" s="186"/>
      <c r="F5" s="186" t="s">
        <v>291</v>
      </c>
      <c r="G5" s="186"/>
    </row>
    <row r="6" spans="2:7">
      <c r="B6" s="186" t="s">
        <v>432</v>
      </c>
      <c r="C6" s="186"/>
      <c r="F6" s="186" t="s">
        <v>433</v>
      </c>
      <c r="G6" s="186"/>
    </row>
    <row r="7" spans="2:7">
      <c r="B7" s="186" t="s">
        <v>434</v>
      </c>
      <c r="C7" s="186"/>
      <c r="F7" s="186" t="s">
        <v>435</v>
      </c>
      <c r="G7" s="186"/>
    </row>
    <row r="8" spans="2:7">
      <c r="B8" s="186" t="s">
        <v>436</v>
      </c>
      <c r="C8" s="186"/>
      <c r="F8" s="186" t="s">
        <v>437</v>
      </c>
      <c r="G8" s="186"/>
    </row>
    <row r="9" spans="2:7">
      <c r="B9" s="186" t="s">
        <v>438</v>
      </c>
      <c r="C9" s="186"/>
      <c r="F9" s="186" t="s">
        <v>439</v>
      </c>
      <c r="G9" s="186"/>
    </row>
    <row r="10" spans="2:7">
      <c r="B10" s="186" t="s">
        <v>437</v>
      </c>
      <c r="C10" s="186"/>
      <c r="F10" s="186"/>
      <c r="G10" s="186"/>
    </row>
    <row r="11" spans="2:7">
      <c r="B11" s="186" t="s">
        <v>440</v>
      </c>
      <c r="C11" s="186"/>
      <c r="F11" s="186"/>
      <c r="G11" s="186"/>
    </row>
    <row r="12" spans="2:7">
      <c r="B12" s="186" t="s">
        <v>441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2016-11-22T04:29:07Z</dcterms:modified>
</cp:coreProperties>
</file>